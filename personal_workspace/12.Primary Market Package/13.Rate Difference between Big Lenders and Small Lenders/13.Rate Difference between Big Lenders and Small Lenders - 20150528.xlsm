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9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0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firstSheet="1" activeTab="3"/>
  </bookViews>
  <sheets>
    <sheet name="Report" sheetId="16" state="hidden" r:id="rId1"/>
    <sheet name="PoolLevel" sheetId="9" r:id="rId2"/>
    <sheet name="LoanLevel" sheetId="18" r:id="rId3"/>
    <sheet name="LLwithCondition" sheetId="19" r:id="rId4"/>
    <sheet name="FICO Dist" sheetId="24" r:id="rId5"/>
    <sheet name="LLwithCondition (2)" sheetId="22" r:id="rId6"/>
    <sheet name="720-740" sheetId="23" r:id="rId7"/>
    <sheet name="740-760" sheetId="26" r:id="rId8"/>
    <sheet name="760-780" sheetId="27" r:id="rId9"/>
    <sheet name="&gt;780" sheetId="28" r:id="rId10"/>
  </sheets>
  <functionGroups builtInGroupCount="17"/>
  <externalReferences>
    <externalReference r:id="rId11"/>
    <externalReference r:id="rId12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DatabaseEnv">Report!$U$1</definedName>
    <definedName name="DateToChangeLag">Report!$U$12</definedName>
    <definedName name="HistoricalMtgRatesDataTable" localSheetId="9">#REF!</definedName>
    <definedName name="HistoricalMtgRatesDataTable" localSheetId="6">#REF!</definedName>
    <definedName name="HistoricalMtgRatesDataTable" localSheetId="7">#REF!</definedName>
    <definedName name="HistoricalMtgRatesDataTable" localSheetId="8">#REF!</definedName>
    <definedName name="HistoricalMtgRatesDataTable" localSheetId="5">#REF!</definedName>
    <definedName name="HistoricalMtgRatesDataTable">#REF!</definedName>
    <definedName name="IR" localSheetId="9">#REF!</definedName>
    <definedName name="IR" localSheetId="6">#REF!</definedName>
    <definedName name="IR" localSheetId="7">#REF!</definedName>
    <definedName name="IR" localSheetId="8">#REF!</definedName>
    <definedName name="IR" localSheetId="5">#REF!</definedName>
    <definedName name="IR">#REF!</definedName>
    <definedName name="MmExcelLinker_D5EFE7B8_A5AE_4CC6_B628_05FDC84CBEA4" localSheetId="9">Early Market [2]Data!$C$44:$C$44</definedName>
    <definedName name="MmExcelLinker_D5EFE7B8_A5AE_4CC6_B628_05FDC84CBEA4" localSheetId="6">Early Market [2]Data!$C$44:$C$44</definedName>
    <definedName name="MmExcelLinker_D5EFE7B8_A5AE_4CC6_B628_05FDC84CBEA4" localSheetId="7">Early Market [2]Data!$C$44:$C$44</definedName>
    <definedName name="MmExcelLinker_D5EFE7B8_A5AE_4CC6_B628_05FDC84CBEA4" localSheetId="8">Early Market [2]Data!$C$44:$C$44</definedName>
    <definedName name="MmExcelLinker_D5EFE7B8_A5AE_4CC6_B628_05FDC84CBEA4" localSheetId="5">Early Market [2]Data!$C$44:$C$44</definedName>
    <definedName name="MmExcelLinker_D5EFE7B8_A5AE_4CC6_B628_05FDC84CBEA4">Early Market [2]Data!$C$44:$C$44</definedName>
    <definedName name="NoLagTopTenDataTable" localSheetId="9">#REF!</definedName>
    <definedName name="NoLagTopTenDataTable" localSheetId="6">#REF!</definedName>
    <definedName name="NoLagTopTenDataTable" localSheetId="7">#REF!</definedName>
    <definedName name="NoLagTopTenDataTable" localSheetId="8">#REF!</definedName>
    <definedName name="NoLagTopTenDataTable" localSheetId="5">#REF!</definedName>
    <definedName name="NoLagTopTenDataTable">#REF!</definedName>
    <definedName name="OneDayBusDate" localSheetId="9">#REF!</definedName>
    <definedName name="OneDayBusDate" localSheetId="6">#REF!</definedName>
    <definedName name="OneDayBusDate" localSheetId="7">#REF!</definedName>
    <definedName name="OneDayBusDate" localSheetId="8">#REF!</definedName>
    <definedName name="OneDayBusDate" localSheetId="5">#REF!</definedName>
    <definedName name="OneDayBusDate">#REF!</definedName>
    <definedName name="OneMonthBusDate" localSheetId="9">#REF!</definedName>
    <definedName name="OneMonthBusDate" localSheetId="6">#REF!</definedName>
    <definedName name="OneMonthBusDate" localSheetId="7">#REF!</definedName>
    <definedName name="OneMonthBusDate" localSheetId="8">#REF!</definedName>
    <definedName name="OneMonthBusDate" localSheetId="5">#REF!</definedName>
    <definedName name="OneMonthBusDate">#REF!</definedName>
    <definedName name="OneWeekBusDate" localSheetId="9">#REF!</definedName>
    <definedName name="OneWeekBusDate" localSheetId="6">#REF!</definedName>
    <definedName name="OneWeekBusDate" localSheetId="7">#REF!</definedName>
    <definedName name="OneWeekBusDate" localSheetId="8">#REF!</definedName>
    <definedName name="OneWeekBusDate" localSheetId="5">#REF!</definedName>
    <definedName name="OneWeekBusDate">#REF!</definedName>
    <definedName name="PDFReportDir">Report!$U$3</definedName>
    <definedName name="PDFReportName">Report!$U$4</definedName>
    <definedName name="PivotTable10" localSheetId="9">#REF!</definedName>
    <definedName name="PivotTable10" localSheetId="6">#REF!</definedName>
    <definedName name="PivotTable10" localSheetId="7">#REF!</definedName>
    <definedName name="PivotTable10" localSheetId="8">#REF!</definedName>
    <definedName name="PivotTable10">#REF!</definedName>
    <definedName name="PivotTable11" localSheetId="9">#REF!</definedName>
    <definedName name="PivotTable11" localSheetId="6">#REF!</definedName>
    <definedName name="PivotTable11" localSheetId="7">#REF!</definedName>
    <definedName name="PivotTable11" localSheetId="8">#REF!</definedName>
    <definedName name="PivotTable11">#REF!</definedName>
    <definedName name="PivotTable12" localSheetId="9">#REF!</definedName>
    <definedName name="PivotTable12" localSheetId="6">#REF!</definedName>
    <definedName name="PivotTable12" localSheetId="7">#REF!</definedName>
    <definedName name="PivotTable12" localSheetId="8">#REF!</definedName>
    <definedName name="PivotTable12">#REF!</definedName>
    <definedName name="_xlnm.Print_Area" localSheetId="0">Report!$B$1:$Q$59</definedName>
    <definedName name="Query_from_Agency" localSheetId="1" hidden="1">PoolLevel!#REF!</definedName>
    <definedName name="Query_from_Agency_1" localSheetId="1" hidden="1">PoolLevel!#REF!</definedName>
    <definedName name="Query_from_Agency_10" localSheetId="1" hidden="1">PoolLevel!$N$3:$O$123</definedName>
    <definedName name="Query_from_Agency_4" localSheetId="1" hidden="1">PoolLevel!#REF!</definedName>
    <definedName name="Query_from_Agency_5" localSheetId="1" hidden="1">PoolLevel!#REF!</definedName>
    <definedName name="Query_from_Agency_6" localSheetId="1" hidden="1">PoolLevel!$B$3:$C$123</definedName>
    <definedName name="Query_from_Agency_7" localSheetId="1" hidden="1">PoolLevel!#REF!</definedName>
    <definedName name="Query_from_Agency_8" localSheetId="1" hidden="1">PoolLevel!#REF!</definedName>
    <definedName name="Query_from_Agency_9" localSheetId="1" hidden="1">PoolLevel!$K$3:$L$113</definedName>
    <definedName name="SaveRatesToDB">Report!$W$1</definedName>
    <definedName name="temp" localSheetId="9">'&gt;780'!$B$3:$C$127</definedName>
    <definedName name="temp" localSheetId="6">'720-740'!$B$3:$C$127</definedName>
    <definedName name="temp" localSheetId="7">'740-760'!$B$3:$C$127</definedName>
    <definedName name="temp" localSheetId="8">'760-780'!$B$3:$C$127</definedName>
    <definedName name="temp" localSheetId="4">'FICO Dist'!$B$2:$C$361</definedName>
    <definedName name="temp" localSheetId="3">LLwithCondition!$B$3:$C$129</definedName>
    <definedName name="temp" localSheetId="5">'LLwithCondition (2)'!$B$3:$C$127</definedName>
    <definedName name="temp_1" localSheetId="9">'&gt;780'!$M$3:$N$129</definedName>
    <definedName name="temp_1" localSheetId="6">'720-740'!$M$3:$N$129</definedName>
    <definedName name="temp_1" localSheetId="7">'740-760'!$M$3:$N$129</definedName>
    <definedName name="temp_1" localSheetId="8">'760-780'!$M$3:$N$129</definedName>
    <definedName name="temp_1" localSheetId="3">LLwithCondition!$J$3:$K$129</definedName>
    <definedName name="temp_1" localSheetId="5">'LLwithCondition (2)'!$M$3:$N$128</definedName>
    <definedName name="temp_1" localSheetId="2">LoanLevel!$B$3:$C$129</definedName>
    <definedName name="temp_13" localSheetId="1">PoolLevel!#REF!</definedName>
    <definedName name="temp_14" localSheetId="1">PoolLevel!#REF!</definedName>
    <definedName name="temp_17" localSheetId="9">#REF!</definedName>
    <definedName name="temp_17" localSheetId="6">#REF!</definedName>
    <definedName name="temp_17" localSheetId="7">#REF!</definedName>
    <definedName name="temp_17" localSheetId="8">#REF!</definedName>
    <definedName name="temp_17" localSheetId="5">#REF!</definedName>
    <definedName name="temp_17">#REF!</definedName>
    <definedName name="temp_2" localSheetId="9">'&gt;780'!$P$3:$Q$129</definedName>
    <definedName name="temp_2" localSheetId="6">'720-740'!$P$3:$Q$129</definedName>
    <definedName name="temp_2" localSheetId="7">'740-760'!$P$3:$Q$129</definedName>
    <definedName name="temp_2" localSheetId="8">'760-780'!$P$3:$Q$129</definedName>
    <definedName name="temp_2" localSheetId="3">LLwithCondition!$M$3:$N$129</definedName>
    <definedName name="temp_2" localSheetId="5">'LLwithCondition (2)'!$P$3:$Q$128</definedName>
    <definedName name="temp_2" localSheetId="2">LoanLevel!$H$3:$I$129</definedName>
    <definedName name="temp_3" localSheetId="9">'&gt;780'!$J$3:$K$129</definedName>
    <definedName name="temp_3" localSheetId="6">'720-740'!$J$3:$K$129</definedName>
    <definedName name="temp_3" localSheetId="7">'740-760'!$J$3:$K$129</definedName>
    <definedName name="temp_3" localSheetId="8">'760-780'!$J$3:$K$128</definedName>
    <definedName name="temp_3" localSheetId="5">'LLwithCondition (2)'!$J$3:$K$128</definedName>
    <definedName name="temp_3" localSheetId="2">LoanLevel!$K$3:$L$129</definedName>
    <definedName name="temp_4" localSheetId="2">LoanLevel!$N$3:$O$129</definedName>
    <definedName name="temp_8" localSheetId="9">#REF!</definedName>
    <definedName name="temp_8" localSheetId="6">#REF!</definedName>
    <definedName name="temp_8" localSheetId="7">#REF!</definedName>
    <definedName name="temp_8" localSheetId="8">#REF!</definedName>
    <definedName name="temp_8">#REF!</definedName>
    <definedName name="temp_9" localSheetId="1">PoolLevel!#REF!</definedName>
  </definedNames>
  <calcPr calcId="145621"/>
</workbook>
</file>

<file path=xl/calcChain.xml><?xml version="1.0" encoding="utf-8"?>
<calcChain xmlns="http://schemas.openxmlformats.org/spreadsheetml/2006/main">
  <c r="H128" i="28" l="1"/>
  <c r="G128" i="28"/>
  <c r="F128" i="28"/>
  <c r="H127" i="28"/>
  <c r="G127" i="28"/>
  <c r="F127" i="28"/>
  <c r="H126" i="28"/>
  <c r="G126" i="28"/>
  <c r="F126" i="28"/>
  <c r="H125" i="28"/>
  <c r="G125" i="28"/>
  <c r="F125" i="28"/>
  <c r="H124" i="28"/>
  <c r="G124" i="28"/>
  <c r="F124" i="28"/>
  <c r="H123" i="28"/>
  <c r="G123" i="28"/>
  <c r="F123" i="28"/>
  <c r="H122" i="28"/>
  <c r="G122" i="28"/>
  <c r="F122" i="28"/>
  <c r="H121" i="28"/>
  <c r="G121" i="28"/>
  <c r="F121" i="28"/>
  <c r="H120" i="28"/>
  <c r="G120" i="28"/>
  <c r="F120" i="28"/>
  <c r="H119" i="28"/>
  <c r="G119" i="28"/>
  <c r="F119" i="28"/>
  <c r="H118" i="28"/>
  <c r="G118" i="28"/>
  <c r="F118" i="28"/>
  <c r="H117" i="28"/>
  <c r="G117" i="28"/>
  <c r="F117" i="28"/>
  <c r="H116" i="28"/>
  <c r="G116" i="28"/>
  <c r="F116" i="28"/>
  <c r="H115" i="28"/>
  <c r="G115" i="28"/>
  <c r="F115" i="28"/>
  <c r="H114" i="28"/>
  <c r="G114" i="28"/>
  <c r="F114" i="28"/>
  <c r="H113" i="28"/>
  <c r="G113" i="28"/>
  <c r="F113" i="28"/>
  <c r="H112" i="28"/>
  <c r="G112" i="28"/>
  <c r="F112" i="28"/>
  <c r="H111" i="28"/>
  <c r="G111" i="28"/>
  <c r="F111" i="28"/>
  <c r="H110" i="28"/>
  <c r="G110" i="28"/>
  <c r="F110" i="28"/>
  <c r="H109" i="28"/>
  <c r="G109" i="28"/>
  <c r="F109" i="28"/>
  <c r="H108" i="28"/>
  <c r="G108" i="28"/>
  <c r="F108" i="28"/>
  <c r="H107" i="28"/>
  <c r="G107" i="28"/>
  <c r="F107" i="28"/>
  <c r="H106" i="28"/>
  <c r="G106" i="28"/>
  <c r="F106" i="28"/>
  <c r="H105" i="28"/>
  <c r="G105" i="28"/>
  <c r="F105" i="28"/>
  <c r="H104" i="28"/>
  <c r="G104" i="28"/>
  <c r="F104" i="28"/>
  <c r="H103" i="28"/>
  <c r="G103" i="28"/>
  <c r="F103" i="28"/>
  <c r="H102" i="28"/>
  <c r="G102" i="28"/>
  <c r="F102" i="28"/>
  <c r="H101" i="28"/>
  <c r="G101" i="28"/>
  <c r="F101" i="28"/>
  <c r="H100" i="28"/>
  <c r="G100" i="28"/>
  <c r="F100" i="28"/>
  <c r="H99" i="28"/>
  <c r="G99" i="28"/>
  <c r="F99" i="28"/>
  <c r="H98" i="28"/>
  <c r="G98" i="28"/>
  <c r="F98" i="28"/>
  <c r="H97" i="28"/>
  <c r="G97" i="28"/>
  <c r="F97" i="28"/>
  <c r="H96" i="28"/>
  <c r="G96" i="28"/>
  <c r="F96" i="28"/>
  <c r="H95" i="28"/>
  <c r="G95" i="28"/>
  <c r="F95" i="28"/>
  <c r="H94" i="28"/>
  <c r="G94" i="28"/>
  <c r="F94" i="28"/>
  <c r="H93" i="28"/>
  <c r="G93" i="28"/>
  <c r="F93" i="28"/>
  <c r="H92" i="28"/>
  <c r="G92" i="28"/>
  <c r="F92" i="28"/>
  <c r="H91" i="28"/>
  <c r="G91" i="28"/>
  <c r="F91" i="28"/>
  <c r="H90" i="28"/>
  <c r="G90" i="28"/>
  <c r="F90" i="28"/>
  <c r="H89" i="28"/>
  <c r="G89" i="28"/>
  <c r="F89" i="28"/>
  <c r="H88" i="28"/>
  <c r="G88" i="28"/>
  <c r="F88" i="28"/>
  <c r="H87" i="28"/>
  <c r="G87" i="28"/>
  <c r="F87" i="28"/>
  <c r="H86" i="28"/>
  <c r="G86" i="28"/>
  <c r="F86" i="28"/>
  <c r="H85" i="28"/>
  <c r="G85" i="28"/>
  <c r="F85" i="28"/>
  <c r="H84" i="28"/>
  <c r="G84" i="28"/>
  <c r="F84" i="28"/>
  <c r="H83" i="28"/>
  <c r="G83" i="28"/>
  <c r="F83" i="28"/>
  <c r="H82" i="28"/>
  <c r="G82" i="28"/>
  <c r="F82" i="28"/>
  <c r="H81" i="28"/>
  <c r="G81" i="28"/>
  <c r="F81" i="28"/>
  <c r="H80" i="28"/>
  <c r="G80" i="28"/>
  <c r="F80" i="28"/>
  <c r="H79" i="28"/>
  <c r="G79" i="28"/>
  <c r="F79" i="28"/>
  <c r="H78" i="28"/>
  <c r="G78" i="28"/>
  <c r="F78" i="28"/>
  <c r="H77" i="28"/>
  <c r="G77" i="28"/>
  <c r="F77" i="28"/>
  <c r="H76" i="28"/>
  <c r="G76" i="28"/>
  <c r="F76" i="28"/>
  <c r="H75" i="28"/>
  <c r="G75" i="28"/>
  <c r="F75" i="28"/>
  <c r="H74" i="28"/>
  <c r="G74" i="28"/>
  <c r="F74" i="28"/>
  <c r="H73" i="28"/>
  <c r="G73" i="28"/>
  <c r="F73" i="28"/>
  <c r="H72" i="28"/>
  <c r="G72" i="28"/>
  <c r="F72" i="28"/>
  <c r="H71" i="28"/>
  <c r="G71" i="28"/>
  <c r="F71" i="28"/>
  <c r="H70" i="28"/>
  <c r="G70" i="28"/>
  <c r="F70" i="28"/>
  <c r="H69" i="28"/>
  <c r="G69" i="28"/>
  <c r="F69" i="28"/>
  <c r="H68" i="28"/>
  <c r="G68" i="28"/>
  <c r="F68" i="28"/>
  <c r="H67" i="28"/>
  <c r="G67" i="28"/>
  <c r="F67" i="28"/>
  <c r="H66" i="28"/>
  <c r="G66" i="28"/>
  <c r="F66" i="28"/>
  <c r="H65" i="28"/>
  <c r="G65" i="28"/>
  <c r="F65" i="28"/>
  <c r="H64" i="28"/>
  <c r="G64" i="28"/>
  <c r="F64" i="28"/>
  <c r="H63" i="28"/>
  <c r="G63" i="28"/>
  <c r="F63" i="28"/>
  <c r="H62" i="28"/>
  <c r="G62" i="28"/>
  <c r="F62" i="28"/>
  <c r="H61" i="28"/>
  <c r="G61" i="28"/>
  <c r="F61" i="28"/>
  <c r="H60" i="28"/>
  <c r="G60" i="28"/>
  <c r="F60" i="28"/>
  <c r="H59" i="28"/>
  <c r="G59" i="28"/>
  <c r="F59" i="28"/>
  <c r="H58" i="28"/>
  <c r="G58" i="28"/>
  <c r="F58" i="28"/>
  <c r="H57" i="28"/>
  <c r="G57" i="28"/>
  <c r="F57" i="28"/>
  <c r="H56" i="28"/>
  <c r="G56" i="28"/>
  <c r="F56" i="28"/>
  <c r="H55" i="28"/>
  <c r="G55" i="28"/>
  <c r="F55" i="28"/>
  <c r="H54" i="28"/>
  <c r="G54" i="28"/>
  <c r="F54" i="28"/>
  <c r="H53" i="28"/>
  <c r="G53" i="28"/>
  <c r="F53" i="28"/>
  <c r="H52" i="28"/>
  <c r="G52" i="28"/>
  <c r="F52" i="28"/>
  <c r="H51" i="28"/>
  <c r="G51" i="28"/>
  <c r="F51" i="28"/>
  <c r="H50" i="28"/>
  <c r="G50" i="28"/>
  <c r="F50" i="28"/>
  <c r="H49" i="28"/>
  <c r="G49" i="28"/>
  <c r="F49" i="28"/>
  <c r="H48" i="28"/>
  <c r="G48" i="28"/>
  <c r="F48" i="28"/>
  <c r="H47" i="28"/>
  <c r="G47" i="28"/>
  <c r="F47" i="28"/>
  <c r="H46" i="28"/>
  <c r="G46" i="28"/>
  <c r="F46" i="28"/>
  <c r="H45" i="28"/>
  <c r="G45" i="28"/>
  <c r="F45" i="28"/>
  <c r="H44" i="28"/>
  <c r="G44" i="28"/>
  <c r="F44" i="28"/>
  <c r="H43" i="28"/>
  <c r="G43" i="28"/>
  <c r="F43" i="28"/>
  <c r="H42" i="28"/>
  <c r="G42" i="28"/>
  <c r="F42" i="28"/>
  <c r="H41" i="28"/>
  <c r="G41" i="28"/>
  <c r="F41" i="28"/>
  <c r="H40" i="28"/>
  <c r="G40" i="28"/>
  <c r="F40" i="28"/>
  <c r="H39" i="28"/>
  <c r="G39" i="28"/>
  <c r="F39" i="28"/>
  <c r="H38" i="28"/>
  <c r="G38" i="28"/>
  <c r="F38" i="28"/>
  <c r="H37" i="28"/>
  <c r="G37" i="28"/>
  <c r="F37" i="28"/>
  <c r="H36" i="28"/>
  <c r="G36" i="28"/>
  <c r="F36" i="28"/>
  <c r="H35" i="28"/>
  <c r="G35" i="28"/>
  <c r="F35" i="28"/>
  <c r="H34" i="28"/>
  <c r="G34" i="28"/>
  <c r="F34" i="28"/>
  <c r="H33" i="28"/>
  <c r="G33" i="28"/>
  <c r="F33" i="28"/>
  <c r="H32" i="28"/>
  <c r="G32" i="28"/>
  <c r="F32" i="28"/>
  <c r="H31" i="28"/>
  <c r="G31" i="28"/>
  <c r="F31" i="28"/>
  <c r="H30" i="28"/>
  <c r="G30" i="28"/>
  <c r="F30" i="28"/>
  <c r="H29" i="28"/>
  <c r="G29" i="28"/>
  <c r="F29" i="28"/>
  <c r="H28" i="28"/>
  <c r="G28" i="28"/>
  <c r="F28" i="28"/>
  <c r="H27" i="28"/>
  <c r="G27" i="28"/>
  <c r="F27" i="28"/>
  <c r="H26" i="28"/>
  <c r="G26" i="28"/>
  <c r="F26" i="28"/>
  <c r="H25" i="28"/>
  <c r="G25" i="28"/>
  <c r="F25" i="28"/>
  <c r="H24" i="28"/>
  <c r="G24" i="28"/>
  <c r="F24" i="28"/>
  <c r="H23" i="28"/>
  <c r="G23" i="28"/>
  <c r="F23" i="28"/>
  <c r="H22" i="28"/>
  <c r="G22" i="28"/>
  <c r="F22" i="28"/>
  <c r="H21" i="28"/>
  <c r="G21" i="28"/>
  <c r="F21" i="28"/>
  <c r="H20" i="28"/>
  <c r="G20" i="28"/>
  <c r="F20" i="28"/>
  <c r="H19" i="28"/>
  <c r="G19" i="28"/>
  <c r="F19" i="28"/>
  <c r="H18" i="28"/>
  <c r="G18" i="28"/>
  <c r="F18" i="28"/>
  <c r="H17" i="28"/>
  <c r="G17" i="28"/>
  <c r="F17" i="28"/>
  <c r="H16" i="28"/>
  <c r="G16" i="28"/>
  <c r="F16" i="28"/>
  <c r="H15" i="28"/>
  <c r="G15" i="28"/>
  <c r="F15" i="28"/>
  <c r="H14" i="28"/>
  <c r="G14" i="28"/>
  <c r="F14" i="28"/>
  <c r="H13" i="28"/>
  <c r="G13" i="28"/>
  <c r="F13" i="28"/>
  <c r="H12" i="28"/>
  <c r="G12" i="28"/>
  <c r="F12" i="28"/>
  <c r="H11" i="28"/>
  <c r="G11" i="28"/>
  <c r="F11" i="28"/>
  <c r="H10" i="28"/>
  <c r="G10" i="28"/>
  <c r="F10" i="28"/>
  <c r="H9" i="28"/>
  <c r="G9" i="28"/>
  <c r="F9" i="28"/>
  <c r="H8" i="28"/>
  <c r="G8" i="28"/>
  <c r="F8" i="28"/>
  <c r="H7" i="28"/>
  <c r="G7" i="28"/>
  <c r="F7" i="28"/>
  <c r="H6" i="28"/>
  <c r="G6" i="28"/>
  <c r="F6" i="28"/>
  <c r="H5" i="28"/>
  <c r="G5" i="28"/>
  <c r="F5" i="28"/>
  <c r="H4" i="28"/>
  <c r="G4" i="28"/>
  <c r="F4" i="28"/>
  <c r="H128" i="27"/>
  <c r="G128" i="27"/>
  <c r="F128" i="27"/>
  <c r="H127" i="27"/>
  <c r="G127" i="27"/>
  <c r="F127" i="27"/>
  <c r="H126" i="27"/>
  <c r="G126" i="27"/>
  <c r="F126" i="27"/>
  <c r="H125" i="27"/>
  <c r="G125" i="27"/>
  <c r="F125" i="27"/>
  <c r="H124" i="27"/>
  <c r="G124" i="27"/>
  <c r="F124" i="27"/>
  <c r="H123" i="27"/>
  <c r="G123" i="27"/>
  <c r="F123" i="27"/>
  <c r="H122" i="27"/>
  <c r="G122" i="27"/>
  <c r="F122" i="27"/>
  <c r="H121" i="27"/>
  <c r="G121" i="27"/>
  <c r="F121" i="27"/>
  <c r="H120" i="27"/>
  <c r="G120" i="27"/>
  <c r="F120" i="27"/>
  <c r="H119" i="27"/>
  <c r="G119" i="27"/>
  <c r="F119" i="27"/>
  <c r="H118" i="27"/>
  <c r="G118" i="27"/>
  <c r="F118" i="27"/>
  <c r="H117" i="27"/>
  <c r="G117" i="27"/>
  <c r="F117" i="27"/>
  <c r="H116" i="27"/>
  <c r="G116" i="27"/>
  <c r="F116" i="27"/>
  <c r="H115" i="27"/>
  <c r="G115" i="27"/>
  <c r="F115" i="27"/>
  <c r="H114" i="27"/>
  <c r="G114" i="27"/>
  <c r="F114" i="27"/>
  <c r="H113" i="27"/>
  <c r="G113" i="27"/>
  <c r="F113" i="27"/>
  <c r="H112" i="27"/>
  <c r="G112" i="27"/>
  <c r="F112" i="27"/>
  <c r="H111" i="27"/>
  <c r="G111" i="27"/>
  <c r="F111" i="27"/>
  <c r="H110" i="27"/>
  <c r="G110" i="27"/>
  <c r="F110" i="27"/>
  <c r="H109" i="27"/>
  <c r="G109" i="27"/>
  <c r="F109" i="27"/>
  <c r="H108" i="27"/>
  <c r="G108" i="27"/>
  <c r="F108" i="27"/>
  <c r="H107" i="27"/>
  <c r="G107" i="27"/>
  <c r="F107" i="27"/>
  <c r="H106" i="27"/>
  <c r="G106" i="27"/>
  <c r="F106" i="27"/>
  <c r="H105" i="27"/>
  <c r="G105" i="27"/>
  <c r="F105" i="27"/>
  <c r="H104" i="27"/>
  <c r="G104" i="27"/>
  <c r="F104" i="27"/>
  <c r="H103" i="27"/>
  <c r="G103" i="27"/>
  <c r="F103" i="27"/>
  <c r="H102" i="27"/>
  <c r="G102" i="27"/>
  <c r="F102" i="27"/>
  <c r="H101" i="27"/>
  <c r="G101" i="27"/>
  <c r="F101" i="27"/>
  <c r="H100" i="27"/>
  <c r="G100" i="27"/>
  <c r="F100" i="27"/>
  <c r="H99" i="27"/>
  <c r="G99" i="27"/>
  <c r="F99" i="27"/>
  <c r="H98" i="27"/>
  <c r="G98" i="27"/>
  <c r="F98" i="27"/>
  <c r="H97" i="27"/>
  <c r="G97" i="27"/>
  <c r="F97" i="27"/>
  <c r="H96" i="27"/>
  <c r="G96" i="27"/>
  <c r="F96" i="27"/>
  <c r="H95" i="27"/>
  <c r="G95" i="27"/>
  <c r="F95" i="27"/>
  <c r="H94" i="27"/>
  <c r="G94" i="27"/>
  <c r="F94" i="27"/>
  <c r="H93" i="27"/>
  <c r="G93" i="27"/>
  <c r="F93" i="27"/>
  <c r="H92" i="27"/>
  <c r="G92" i="27"/>
  <c r="F92" i="27"/>
  <c r="H91" i="27"/>
  <c r="G91" i="27"/>
  <c r="F91" i="27"/>
  <c r="H90" i="27"/>
  <c r="G90" i="27"/>
  <c r="F90" i="27"/>
  <c r="H89" i="27"/>
  <c r="G89" i="27"/>
  <c r="F89" i="27"/>
  <c r="H88" i="27"/>
  <c r="G88" i="27"/>
  <c r="F88" i="27"/>
  <c r="H87" i="27"/>
  <c r="G87" i="27"/>
  <c r="F87" i="27"/>
  <c r="H86" i="27"/>
  <c r="G86" i="27"/>
  <c r="F86" i="27"/>
  <c r="H85" i="27"/>
  <c r="G85" i="27"/>
  <c r="F85" i="27"/>
  <c r="H84" i="27"/>
  <c r="G84" i="27"/>
  <c r="F84" i="27"/>
  <c r="H83" i="27"/>
  <c r="G83" i="27"/>
  <c r="F83" i="27"/>
  <c r="H82" i="27"/>
  <c r="G82" i="27"/>
  <c r="F82" i="27"/>
  <c r="H81" i="27"/>
  <c r="G81" i="27"/>
  <c r="F81" i="27"/>
  <c r="H80" i="27"/>
  <c r="G80" i="27"/>
  <c r="F80" i="27"/>
  <c r="H79" i="27"/>
  <c r="G79" i="27"/>
  <c r="F79" i="27"/>
  <c r="H78" i="27"/>
  <c r="G78" i="27"/>
  <c r="F78" i="27"/>
  <c r="H77" i="27"/>
  <c r="G77" i="27"/>
  <c r="F77" i="27"/>
  <c r="H76" i="27"/>
  <c r="G76" i="27"/>
  <c r="F76" i="27"/>
  <c r="H75" i="27"/>
  <c r="G75" i="27"/>
  <c r="F75" i="27"/>
  <c r="H74" i="27"/>
  <c r="G74" i="27"/>
  <c r="F74" i="27"/>
  <c r="H73" i="27"/>
  <c r="G73" i="27"/>
  <c r="F73" i="27"/>
  <c r="H72" i="27"/>
  <c r="G72" i="27"/>
  <c r="F72" i="27"/>
  <c r="H71" i="27"/>
  <c r="G71" i="27"/>
  <c r="F71" i="27"/>
  <c r="H70" i="27"/>
  <c r="G70" i="27"/>
  <c r="F70" i="27"/>
  <c r="H69" i="27"/>
  <c r="G69" i="27"/>
  <c r="F69" i="27"/>
  <c r="H68" i="27"/>
  <c r="G68" i="27"/>
  <c r="F68" i="27"/>
  <c r="H67" i="27"/>
  <c r="G67" i="27"/>
  <c r="F67" i="27"/>
  <c r="H66" i="27"/>
  <c r="G66" i="27"/>
  <c r="F66" i="27"/>
  <c r="H65" i="27"/>
  <c r="G65" i="27"/>
  <c r="F65" i="27"/>
  <c r="H64" i="27"/>
  <c r="G64" i="27"/>
  <c r="F64" i="27"/>
  <c r="H63" i="27"/>
  <c r="G63" i="27"/>
  <c r="F63" i="27"/>
  <c r="H62" i="27"/>
  <c r="G62" i="27"/>
  <c r="F62" i="27"/>
  <c r="H61" i="27"/>
  <c r="G61" i="27"/>
  <c r="F61" i="27"/>
  <c r="H60" i="27"/>
  <c r="G60" i="27"/>
  <c r="F60" i="27"/>
  <c r="H59" i="27"/>
  <c r="G59" i="27"/>
  <c r="F59" i="27"/>
  <c r="H58" i="27"/>
  <c r="G58" i="27"/>
  <c r="F58" i="27"/>
  <c r="H57" i="27"/>
  <c r="G57" i="27"/>
  <c r="F57" i="27"/>
  <c r="H56" i="27"/>
  <c r="G56" i="27"/>
  <c r="F56" i="27"/>
  <c r="H55" i="27"/>
  <c r="G55" i="27"/>
  <c r="F55" i="27"/>
  <c r="H54" i="27"/>
  <c r="G54" i="27"/>
  <c r="F54" i="27"/>
  <c r="H53" i="27"/>
  <c r="G53" i="27"/>
  <c r="F53" i="27"/>
  <c r="H52" i="27"/>
  <c r="G52" i="27"/>
  <c r="F52" i="27"/>
  <c r="H51" i="27"/>
  <c r="G51" i="27"/>
  <c r="F51" i="27"/>
  <c r="H50" i="27"/>
  <c r="G50" i="27"/>
  <c r="F50" i="27"/>
  <c r="H49" i="27"/>
  <c r="G49" i="27"/>
  <c r="F49" i="27"/>
  <c r="H48" i="27"/>
  <c r="G48" i="27"/>
  <c r="F48" i="27"/>
  <c r="H47" i="27"/>
  <c r="G47" i="27"/>
  <c r="F47" i="27"/>
  <c r="H46" i="27"/>
  <c r="G46" i="27"/>
  <c r="F46" i="27"/>
  <c r="H45" i="27"/>
  <c r="G45" i="27"/>
  <c r="F45" i="27"/>
  <c r="H44" i="27"/>
  <c r="G44" i="27"/>
  <c r="F44" i="27"/>
  <c r="H43" i="27"/>
  <c r="G43" i="27"/>
  <c r="F43" i="27"/>
  <c r="H42" i="27"/>
  <c r="G42" i="27"/>
  <c r="F42" i="27"/>
  <c r="H41" i="27"/>
  <c r="G41" i="27"/>
  <c r="F41" i="27"/>
  <c r="H40" i="27"/>
  <c r="G40" i="27"/>
  <c r="F40" i="27"/>
  <c r="H39" i="27"/>
  <c r="G39" i="27"/>
  <c r="F39" i="27"/>
  <c r="H38" i="27"/>
  <c r="G38" i="27"/>
  <c r="F38" i="27"/>
  <c r="H37" i="27"/>
  <c r="G37" i="27"/>
  <c r="F37" i="27"/>
  <c r="H36" i="27"/>
  <c r="G36" i="27"/>
  <c r="F36" i="27"/>
  <c r="H35" i="27"/>
  <c r="G35" i="27"/>
  <c r="F35" i="27"/>
  <c r="H34" i="27"/>
  <c r="G34" i="27"/>
  <c r="F34" i="27"/>
  <c r="H33" i="27"/>
  <c r="G33" i="27"/>
  <c r="F33" i="27"/>
  <c r="H32" i="27"/>
  <c r="G32" i="27"/>
  <c r="F32" i="27"/>
  <c r="H31" i="27"/>
  <c r="G31" i="27"/>
  <c r="F31" i="27"/>
  <c r="H30" i="27"/>
  <c r="G30" i="27"/>
  <c r="F30" i="27"/>
  <c r="H29" i="27"/>
  <c r="G29" i="27"/>
  <c r="F29" i="27"/>
  <c r="H28" i="27"/>
  <c r="G28" i="27"/>
  <c r="F28" i="27"/>
  <c r="H27" i="27"/>
  <c r="G27" i="27"/>
  <c r="F27" i="27"/>
  <c r="H26" i="27"/>
  <c r="G26" i="27"/>
  <c r="F26" i="27"/>
  <c r="H25" i="27"/>
  <c r="G25" i="27"/>
  <c r="F25" i="27"/>
  <c r="H24" i="27"/>
  <c r="G24" i="27"/>
  <c r="F24" i="27"/>
  <c r="H23" i="27"/>
  <c r="G23" i="27"/>
  <c r="F23" i="27"/>
  <c r="H22" i="27"/>
  <c r="G22" i="27"/>
  <c r="F22" i="27"/>
  <c r="H21" i="27"/>
  <c r="G21" i="27"/>
  <c r="F21" i="27"/>
  <c r="H20" i="27"/>
  <c r="G20" i="27"/>
  <c r="F20" i="27"/>
  <c r="H19" i="27"/>
  <c r="G19" i="27"/>
  <c r="F19" i="27"/>
  <c r="H18" i="27"/>
  <c r="G18" i="27"/>
  <c r="F18" i="27"/>
  <c r="H17" i="27"/>
  <c r="G17" i="27"/>
  <c r="F17" i="27"/>
  <c r="H16" i="27"/>
  <c r="G16" i="27"/>
  <c r="F16" i="27"/>
  <c r="H15" i="27"/>
  <c r="G15" i="27"/>
  <c r="F15" i="27"/>
  <c r="H14" i="27"/>
  <c r="G14" i="27"/>
  <c r="F14" i="27"/>
  <c r="H13" i="27"/>
  <c r="G13" i="27"/>
  <c r="F13" i="27"/>
  <c r="H12" i="27"/>
  <c r="G12" i="27"/>
  <c r="F12" i="27"/>
  <c r="H11" i="27"/>
  <c r="G11" i="27"/>
  <c r="F11" i="27"/>
  <c r="H10" i="27"/>
  <c r="G10" i="27"/>
  <c r="F10" i="27"/>
  <c r="H9" i="27"/>
  <c r="G9" i="27"/>
  <c r="F9" i="27"/>
  <c r="H8" i="27"/>
  <c r="G8" i="27"/>
  <c r="F8" i="27"/>
  <c r="H7" i="27"/>
  <c r="G7" i="27"/>
  <c r="F7" i="27"/>
  <c r="H6" i="27"/>
  <c r="G6" i="27"/>
  <c r="F6" i="27"/>
  <c r="H5" i="27"/>
  <c r="G5" i="27"/>
  <c r="F5" i="27"/>
  <c r="H4" i="27"/>
  <c r="G4" i="27"/>
  <c r="F4" i="27"/>
  <c r="H128" i="26"/>
  <c r="G128" i="26"/>
  <c r="F128" i="26"/>
  <c r="H127" i="26"/>
  <c r="G127" i="26"/>
  <c r="F127" i="26"/>
  <c r="H126" i="26"/>
  <c r="G126" i="26"/>
  <c r="F126" i="26"/>
  <c r="H125" i="26"/>
  <c r="G125" i="26"/>
  <c r="F125" i="26"/>
  <c r="H124" i="26"/>
  <c r="G124" i="26"/>
  <c r="F124" i="26"/>
  <c r="H123" i="26"/>
  <c r="G123" i="26"/>
  <c r="F123" i="26"/>
  <c r="H122" i="26"/>
  <c r="G122" i="26"/>
  <c r="F122" i="26"/>
  <c r="H121" i="26"/>
  <c r="G121" i="26"/>
  <c r="F121" i="26"/>
  <c r="H120" i="26"/>
  <c r="G120" i="26"/>
  <c r="F120" i="26"/>
  <c r="H119" i="26"/>
  <c r="G119" i="26"/>
  <c r="F119" i="26"/>
  <c r="H118" i="26"/>
  <c r="G118" i="26"/>
  <c r="F118" i="26"/>
  <c r="H117" i="26"/>
  <c r="G117" i="26"/>
  <c r="F117" i="26"/>
  <c r="H116" i="26"/>
  <c r="G116" i="26"/>
  <c r="F116" i="26"/>
  <c r="H115" i="26"/>
  <c r="G115" i="26"/>
  <c r="F115" i="26"/>
  <c r="H114" i="26"/>
  <c r="G114" i="26"/>
  <c r="F114" i="26"/>
  <c r="H113" i="26"/>
  <c r="G113" i="26"/>
  <c r="F113" i="26"/>
  <c r="H112" i="26"/>
  <c r="G112" i="26"/>
  <c r="F112" i="26"/>
  <c r="H111" i="26"/>
  <c r="G111" i="26"/>
  <c r="F111" i="26"/>
  <c r="H110" i="26"/>
  <c r="G110" i="26"/>
  <c r="F110" i="26"/>
  <c r="H109" i="26"/>
  <c r="G109" i="26"/>
  <c r="F109" i="26"/>
  <c r="H108" i="26"/>
  <c r="G108" i="26"/>
  <c r="F108" i="26"/>
  <c r="H107" i="26"/>
  <c r="G107" i="26"/>
  <c r="F107" i="26"/>
  <c r="H106" i="26"/>
  <c r="G106" i="26"/>
  <c r="F106" i="26"/>
  <c r="H105" i="26"/>
  <c r="G105" i="26"/>
  <c r="F105" i="26"/>
  <c r="H104" i="26"/>
  <c r="G104" i="26"/>
  <c r="F104" i="26"/>
  <c r="H103" i="26"/>
  <c r="G103" i="26"/>
  <c r="F103" i="26"/>
  <c r="H102" i="26"/>
  <c r="G102" i="26"/>
  <c r="F102" i="26"/>
  <c r="H101" i="26"/>
  <c r="G101" i="26"/>
  <c r="F101" i="26"/>
  <c r="H100" i="26"/>
  <c r="G100" i="26"/>
  <c r="F100" i="26"/>
  <c r="H99" i="26"/>
  <c r="G99" i="26"/>
  <c r="F99" i="26"/>
  <c r="H98" i="26"/>
  <c r="G98" i="26"/>
  <c r="F98" i="26"/>
  <c r="H97" i="26"/>
  <c r="G97" i="26"/>
  <c r="F97" i="26"/>
  <c r="H96" i="26"/>
  <c r="G96" i="26"/>
  <c r="F96" i="26"/>
  <c r="H95" i="26"/>
  <c r="G95" i="26"/>
  <c r="F95" i="26"/>
  <c r="H94" i="26"/>
  <c r="G94" i="26"/>
  <c r="F94" i="26"/>
  <c r="H93" i="26"/>
  <c r="G93" i="26"/>
  <c r="F93" i="26"/>
  <c r="H92" i="26"/>
  <c r="G92" i="26"/>
  <c r="F92" i="26"/>
  <c r="H91" i="26"/>
  <c r="G91" i="26"/>
  <c r="F91" i="26"/>
  <c r="H90" i="26"/>
  <c r="G90" i="26"/>
  <c r="F90" i="26"/>
  <c r="H89" i="26"/>
  <c r="G89" i="26"/>
  <c r="F89" i="26"/>
  <c r="H88" i="26"/>
  <c r="G88" i="26"/>
  <c r="F88" i="26"/>
  <c r="H87" i="26"/>
  <c r="G87" i="26"/>
  <c r="F87" i="26"/>
  <c r="H86" i="26"/>
  <c r="G86" i="26"/>
  <c r="F86" i="26"/>
  <c r="H85" i="26"/>
  <c r="G85" i="26"/>
  <c r="F85" i="26"/>
  <c r="H84" i="26"/>
  <c r="G84" i="26"/>
  <c r="F84" i="26"/>
  <c r="H83" i="26"/>
  <c r="G83" i="26"/>
  <c r="F83" i="26"/>
  <c r="H82" i="26"/>
  <c r="G82" i="26"/>
  <c r="F82" i="26"/>
  <c r="H81" i="26"/>
  <c r="G81" i="26"/>
  <c r="F81" i="26"/>
  <c r="H80" i="26"/>
  <c r="G80" i="26"/>
  <c r="F80" i="26"/>
  <c r="H79" i="26"/>
  <c r="G79" i="26"/>
  <c r="F79" i="26"/>
  <c r="H78" i="26"/>
  <c r="G78" i="26"/>
  <c r="F78" i="26"/>
  <c r="H77" i="26"/>
  <c r="G77" i="26"/>
  <c r="F77" i="26"/>
  <c r="H76" i="26"/>
  <c r="G76" i="26"/>
  <c r="F76" i="26"/>
  <c r="H75" i="26"/>
  <c r="G75" i="26"/>
  <c r="F75" i="26"/>
  <c r="H74" i="26"/>
  <c r="G74" i="26"/>
  <c r="F74" i="26"/>
  <c r="H73" i="26"/>
  <c r="G73" i="26"/>
  <c r="F73" i="26"/>
  <c r="H72" i="26"/>
  <c r="G72" i="26"/>
  <c r="F72" i="26"/>
  <c r="H71" i="26"/>
  <c r="G71" i="26"/>
  <c r="F71" i="26"/>
  <c r="H70" i="26"/>
  <c r="G70" i="26"/>
  <c r="F70" i="26"/>
  <c r="H69" i="26"/>
  <c r="G69" i="26"/>
  <c r="F69" i="26"/>
  <c r="H68" i="26"/>
  <c r="G68" i="26"/>
  <c r="F68" i="26"/>
  <c r="H67" i="26"/>
  <c r="G67" i="26"/>
  <c r="F67" i="26"/>
  <c r="H66" i="26"/>
  <c r="G66" i="26"/>
  <c r="F66" i="26"/>
  <c r="H65" i="26"/>
  <c r="G65" i="26"/>
  <c r="F65" i="26"/>
  <c r="H64" i="26"/>
  <c r="G64" i="26"/>
  <c r="F64" i="26"/>
  <c r="H63" i="26"/>
  <c r="G63" i="26"/>
  <c r="F63" i="26"/>
  <c r="H62" i="26"/>
  <c r="G62" i="26"/>
  <c r="F62" i="26"/>
  <c r="H61" i="26"/>
  <c r="G61" i="26"/>
  <c r="F61" i="26"/>
  <c r="H60" i="26"/>
  <c r="G60" i="26"/>
  <c r="F60" i="26"/>
  <c r="H59" i="26"/>
  <c r="G59" i="26"/>
  <c r="F59" i="26"/>
  <c r="H58" i="26"/>
  <c r="G58" i="26"/>
  <c r="F58" i="26"/>
  <c r="H57" i="26"/>
  <c r="G57" i="26"/>
  <c r="F57" i="26"/>
  <c r="H56" i="26"/>
  <c r="G56" i="26"/>
  <c r="F56" i="26"/>
  <c r="H55" i="26"/>
  <c r="G55" i="26"/>
  <c r="F55" i="26"/>
  <c r="H54" i="26"/>
  <c r="G54" i="26"/>
  <c r="F54" i="26"/>
  <c r="H53" i="26"/>
  <c r="G53" i="26"/>
  <c r="F53" i="26"/>
  <c r="H52" i="26"/>
  <c r="G52" i="26"/>
  <c r="F52" i="26"/>
  <c r="H51" i="26"/>
  <c r="G51" i="26"/>
  <c r="F51" i="26"/>
  <c r="H50" i="26"/>
  <c r="G50" i="26"/>
  <c r="F50" i="26"/>
  <c r="H49" i="26"/>
  <c r="G49" i="26"/>
  <c r="F49" i="26"/>
  <c r="H48" i="26"/>
  <c r="G48" i="26"/>
  <c r="F48" i="26"/>
  <c r="H47" i="26"/>
  <c r="G47" i="26"/>
  <c r="F47" i="26"/>
  <c r="H46" i="26"/>
  <c r="G46" i="26"/>
  <c r="F46" i="26"/>
  <c r="H45" i="26"/>
  <c r="G45" i="26"/>
  <c r="F45" i="26"/>
  <c r="H44" i="26"/>
  <c r="G44" i="26"/>
  <c r="F44" i="26"/>
  <c r="H43" i="26"/>
  <c r="G43" i="26"/>
  <c r="F43" i="26"/>
  <c r="H42" i="26"/>
  <c r="G42" i="26"/>
  <c r="F42" i="26"/>
  <c r="H41" i="26"/>
  <c r="G41" i="26"/>
  <c r="F41" i="26"/>
  <c r="H40" i="26"/>
  <c r="G40" i="26"/>
  <c r="F40" i="26"/>
  <c r="H39" i="26"/>
  <c r="G39" i="26"/>
  <c r="F39" i="26"/>
  <c r="H38" i="26"/>
  <c r="G38" i="26"/>
  <c r="F38" i="26"/>
  <c r="H37" i="26"/>
  <c r="G37" i="26"/>
  <c r="F37" i="26"/>
  <c r="H36" i="26"/>
  <c r="G36" i="26"/>
  <c r="F36" i="26"/>
  <c r="H35" i="26"/>
  <c r="G35" i="26"/>
  <c r="F35" i="26"/>
  <c r="H34" i="26"/>
  <c r="G34" i="26"/>
  <c r="F34" i="26"/>
  <c r="H33" i="26"/>
  <c r="G33" i="26"/>
  <c r="F33" i="26"/>
  <c r="H32" i="26"/>
  <c r="G32" i="26"/>
  <c r="F32" i="26"/>
  <c r="H31" i="26"/>
  <c r="G31" i="26"/>
  <c r="F31" i="26"/>
  <c r="H30" i="26"/>
  <c r="G30" i="26"/>
  <c r="F30" i="26"/>
  <c r="H29" i="26"/>
  <c r="G29" i="26"/>
  <c r="F29" i="26"/>
  <c r="H28" i="26"/>
  <c r="G28" i="26"/>
  <c r="F28" i="26"/>
  <c r="H27" i="26"/>
  <c r="G27" i="26"/>
  <c r="F27" i="26"/>
  <c r="H26" i="26"/>
  <c r="G26" i="26"/>
  <c r="F26" i="26"/>
  <c r="H25" i="26"/>
  <c r="G25" i="26"/>
  <c r="F25" i="26"/>
  <c r="H24" i="26"/>
  <c r="G24" i="26"/>
  <c r="F24" i="26"/>
  <c r="H23" i="26"/>
  <c r="G23" i="26"/>
  <c r="F23" i="26"/>
  <c r="H22" i="26"/>
  <c r="G22" i="26"/>
  <c r="F22" i="26"/>
  <c r="H21" i="26"/>
  <c r="G21" i="26"/>
  <c r="F21" i="26"/>
  <c r="H20" i="26"/>
  <c r="G20" i="26"/>
  <c r="F20" i="26"/>
  <c r="H19" i="26"/>
  <c r="G19" i="26"/>
  <c r="F19" i="26"/>
  <c r="H18" i="26"/>
  <c r="G18" i="26"/>
  <c r="F18" i="26"/>
  <c r="H17" i="26"/>
  <c r="G17" i="26"/>
  <c r="F17" i="26"/>
  <c r="H16" i="26"/>
  <c r="G16" i="26"/>
  <c r="F16" i="26"/>
  <c r="H15" i="26"/>
  <c r="G15" i="26"/>
  <c r="F15" i="26"/>
  <c r="H14" i="26"/>
  <c r="G14" i="26"/>
  <c r="F14" i="26"/>
  <c r="H13" i="26"/>
  <c r="G13" i="26"/>
  <c r="F13" i="26"/>
  <c r="H12" i="26"/>
  <c r="G12" i="26"/>
  <c r="F12" i="26"/>
  <c r="H11" i="26"/>
  <c r="G11" i="26"/>
  <c r="F11" i="26"/>
  <c r="H10" i="26"/>
  <c r="G10" i="26"/>
  <c r="F10" i="26"/>
  <c r="H9" i="26"/>
  <c r="G9" i="26"/>
  <c r="F9" i="26"/>
  <c r="H8" i="26"/>
  <c r="G8" i="26"/>
  <c r="F8" i="26"/>
  <c r="H7" i="26"/>
  <c r="G7" i="26"/>
  <c r="F7" i="26"/>
  <c r="H6" i="26"/>
  <c r="G6" i="26"/>
  <c r="F6" i="26"/>
  <c r="H5" i="26"/>
  <c r="G5" i="26"/>
  <c r="F5" i="26"/>
  <c r="H4" i="26"/>
  <c r="G4" i="26"/>
  <c r="F4" i="26"/>
  <c r="F128" i="23"/>
  <c r="G128" i="23"/>
  <c r="H128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4" i="23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G4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41" i="22"/>
  <c r="G42" i="22"/>
  <c r="G43" i="22"/>
  <c r="G44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63" i="22"/>
  <c r="G64" i="22"/>
  <c r="G65" i="22"/>
  <c r="G66" i="22"/>
  <c r="G67" i="22"/>
  <c r="G68" i="22"/>
  <c r="G69" i="22"/>
  <c r="G70" i="22"/>
  <c r="G71" i="22"/>
  <c r="G72" i="22"/>
  <c r="G73" i="22"/>
  <c r="G74" i="22"/>
  <c r="G75" i="22"/>
  <c r="G76" i="22"/>
  <c r="G77" i="22"/>
  <c r="G78" i="22"/>
  <c r="G79" i="22"/>
  <c r="G80" i="22"/>
  <c r="G81" i="22"/>
  <c r="G82" i="22"/>
  <c r="G83" i="22"/>
  <c r="G84" i="22"/>
  <c r="G85" i="22"/>
  <c r="G86" i="22"/>
  <c r="G87" i="22"/>
  <c r="G88" i="22"/>
  <c r="G89" i="22"/>
  <c r="G90" i="22"/>
  <c r="G91" i="22"/>
  <c r="G92" i="22"/>
  <c r="G93" i="22"/>
  <c r="G94" i="22"/>
  <c r="G95" i="22"/>
  <c r="G96" i="22"/>
  <c r="G97" i="22"/>
  <c r="G98" i="22"/>
  <c r="G99" i="22"/>
  <c r="G100" i="22"/>
  <c r="G101" i="22"/>
  <c r="G102" i="22"/>
  <c r="G103" i="22"/>
  <c r="G104" i="22"/>
  <c r="G105" i="22"/>
  <c r="G106" i="22"/>
  <c r="G107" i="22"/>
  <c r="G108" i="22"/>
  <c r="G109" i="22"/>
  <c r="G110" i="22"/>
  <c r="G111" i="22"/>
  <c r="G112" i="22"/>
  <c r="G113" i="22"/>
  <c r="G114" i="22"/>
  <c r="G115" i="22"/>
  <c r="G116" i="22"/>
  <c r="G117" i="22"/>
  <c r="G118" i="22"/>
  <c r="G119" i="22"/>
  <c r="G120" i="22"/>
  <c r="G121" i="22"/>
  <c r="G122" i="22"/>
  <c r="G123" i="22"/>
  <c r="G124" i="22"/>
  <c r="G125" i="22"/>
  <c r="G126" i="22"/>
  <c r="G127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F51" i="22"/>
  <c r="F50" i="22"/>
  <c r="F49" i="22"/>
  <c r="F48" i="22"/>
  <c r="F47" i="22"/>
  <c r="F46" i="22"/>
  <c r="F45" i="22"/>
  <c r="F44" i="22"/>
  <c r="F43" i="22"/>
  <c r="F42" i="22"/>
  <c r="F41" i="22"/>
  <c r="F40" i="22"/>
  <c r="F39" i="22"/>
  <c r="F38" i="22"/>
  <c r="F37" i="22"/>
  <c r="F36" i="22"/>
  <c r="F35" i="22"/>
  <c r="F34" i="22"/>
  <c r="F33" i="22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16" i="22"/>
  <c r="F15" i="22"/>
  <c r="F14" i="22"/>
  <c r="F13" i="22"/>
  <c r="F12" i="22"/>
  <c r="F11" i="22"/>
  <c r="F10" i="22"/>
  <c r="F9" i="22"/>
  <c r="F8" i="22"/>
  <c r="F7" i="22"/>
  <c r="F6" i="22"/>
  <c r="F5" i="22"/>
  <c r="F4" i="22"/>
  <c r="F5" i="19"/>
  <c r="G5" i="19"/>
  <c r="H5" i="19"/>
  <c r="F6" i="19"/>
  <c r="G6" i="19"/>
  <c r="H6" i="19"/>
  <c r="F7" i="19"/>
  <c r="G7" i="19"/>
  <c r="H7" i="19"/>
  <c r="F8" i="19"/>
  <c r="G8" i="19"/>
  <c r="H8" i="19"/>
  <c r="F9" i="19"/>
  <c r="G9" i="19"/>
  <c r="H9" i="19"/>
  <c r="F10" i="19"/>
  <c r="G10" i="19"/>
  <c r="H10" i="19"/>
  <c r="F11" i="19"/>
  <c r="G11" i="19"/>
  <c r="H11" i="19"/>
  <c r="F12" i="19"/>
  <c r="G12" i="19"/>
  <c r="H12" i="19"/>
  <c r="F13" i="19"/>
  <c r="G13" i="19"/>
  <c r="H13" i="19"/>
  <c r="F14" i="19"/>
  <c r="G14" i="19"/>
  <c r="H14" i="19"/>
  <c r="F15" i="19"/>
  <c r="G15" i="19"/>
  <c r="H15" i="19"/>
  <c r="F16" i="19"/>
  <c r="G16" i="19"/>
  <c r="H16" i="19"/>
  <c r="F17" i="19"/>
  <c r="G17" i="19"/>
  <c r="H17" i="19"/>
  <c r="F18" i="19"/>
  <c r="G18" i="19"/>
  <c r="H18" i="19"/>
  <c r="F19" i="19"/>
  <c r="G19" i="19"/>
  <c r="H19" i="19"/>
  <c r="F20" i="19"/>
  <c r="G20" i="19"/>
  <c r="H20" i="19"/>
  <c r="F21" i="19"/>
  <c r="G21" i="19"/>
  <c r="H21" i="19"/>
  <c r="F22" i="19"/>
  <c r="G22" i="19"/>
  <c r="H22" i="19"/>
  <c r="F23" i="19"/>
  <c r="G23" i="19"/>
  <c r="H23" i="19"/>
  <c r="F24" i="19"/>
  <c r="G24" i="19"/>
  <c r="H24" i="19"/>
  <c r="F25" i="19"/>
  <c r="G25" i="19"/>
  <c r="H25" i="19"/>
  <c r="F26" i="19"/>
  <c r="G26" i="19"/>
  <c r="H26" i="19"/>
  <c r="F27" i="19"/>
  <c r="G27" i="19"/>
  <c r="H27" i="19"/>
  <c r="F28" i="19"/>
  <c r="G28" i="19"/>
  <c r="H28" i="19"/>
  <c r="F29" i="19"/>
  <c r="G29" i="19"/>
  <c r="H29" i="19"/>
  <c r="F30" i="19"/>
  <c r="G30" i="19"/>
  <c r="H30" i="19"/>
  <c r="F31" i="19"/>
  <c r="G31" i="19"/>
  <c r="H31" i="19"/>
  <c r="F32" i="19"/>
  <c r="G32" i="19"/>
  <c r="H32" i="19"/>
  <c r="F33" i="19"/>
  <c r="G33" i="19"/>
  <c r="H33" i="19"/>
  <c r="F34" i="19"/>
  <c r="G34" i="19"/>
  <c r="H34" i="19"/>
  <c r="F35" i="19"/>
  <c r="G35" i="19"/>
  <c r="H35" i="19"/>
  <c r="F36" i="19"/>
  <c r="G36" i="19"/>
  <c r="H36" i="19"/>
  <c r="F37" i="19"/>
  <c r="G37" i="19"/>
  <c r="H37" i="19"/>
  <c r="F38" i="19"/>
  <c r="G38" i="19"/>
  <c r="H38" i="19"/>
  <c r="F39" i="19"/>
  <c r="G39" i="19"/>
  <c r="H39" i="19"/>
  <c r="F40" i="19"/>
  <c r="G40" i="19"/>
  <c r="H40" i="19"/>
  <c r="F41" i="19"/>
  <c r="G41" i="19"/>
  <c r="H41" i="19"/>
  <c r="F42" i="19"/>
  <c r="G42" i="19"/>
  <c r="H42" i="19"/>
  <c r="F43" i="19"/>
  <c r="G43" i="19"/>
  <c r="H43" i="19"/>
  <c r="F44" i="19"/>
  <c r="G44" i="19"/>
  <c r="H44" i="19"/>
  <c r="F45" i="19"/>
  <c r="G45" i="19"/>
  <c r="H45" i="19"/>
  <c r="F46" i="19"/>
  <c r="G46" i="19"/>
  <c r="H46" i="19"/>
  <c r="F47" i="19"/>
  <c r="G47" i="19"/>
  <c r="H47" i="19"/>
  <c r="F48" i="19"/>
  <c r="G48" i="19"/>
  <c r="H48" i="19"/>
  <c r="F49" i="19"/>
  <c r="G49" i="19"/>
  <c r="H49" i="19"/>
  <c r="F50" i="19"/>
  <c r="G50" i="19"/>
  <c r="H50" i="19"/>
  <c r="F51" i="19"/>
  <c r="G51" i="19"/>
  <c r="H51" i="19"/>
  <c r="F52" i="19"/>
  <c r="G52" i="19"/>
  <c r="H52" i="19"/>
  <c r="F53" i="19"/>
  <c r="G53" i="19"/>
  <c r="H53" i="19"/>
  <c r="F54" i="19"/>
  <c r="G54" i="19"/>
  <c r="H54" i="19"/>
  <c r="F55" i="19"/>
  <c r="G55" i="19"/>
  <c r="H55" i="19"/>
  <c r="F56" i="19"/>
  <c r="G56" i="19"/>
  <c r="H56" i="19"/>
  <c r="F57" i="19"/>
  <c r="G57" i="19"/>
  <c r="H57" i="19"/>
  <c r="F58" i="19"/>
  <c r="G58" i="19"/>
  <c r="H58" i="19"/>
  <c r="F59" i="19"/>
  <c r="G59" i="19"/>
  <c r="H59" i="19"/>
  <c r="F60" i="19"/>
  <c r="G60" i="19"/>
  <c r="H60" i="19"/>
  <c r="F61" i="19"/>
  <c r="G61" i="19"/>
  <c r="H61" i="19"/>
  <c r="F62" i="19"/>
  <c r="G62" i="19"/>
  <c r="H62" i="19"/>
  <c r="F63" i="19"/>
  <c r="G63" i="19"/>
  <c r="H63" i="19"/>
  <c r="F64" i="19"/>
  <c r="G64" i="19"/>
  <c r="H64" i="19"/>
  <c r="F65" i="19"/>
  <c r="G65" i="19"/>
  <c r="H65" i="19"/>
  <c r="F66" i="19"/>
  <c r="G66" i="19"/>
  <c r="H66" i="19"/>
  <c r="F67" i="19"/>
  <c r="G67" i="19"/>
  <c r="H67" i="19"/>
  <c r="F68" i="19"/>
  <c r="G68" i="19"/>
  <c r="H68" i="19"/>
  <c r="F69" i="19"/>
  <c r="G69" i="19"/>
  <c r="H69" i="19"/>
  <c r="F70" i="19"/>
  <c r="G70" i="19"/>
  <c r="H70" i="19"/>
  <c r="F71" i="19"/>
  <c r="G71" i="19"/>
  <c r="H71" i="19"/>
  <c r="F72" i="19"/>
  <c r="G72" i="19"/>
  <c r="H72" i="19"/>
  <c r="F73" i="19"/>
  <c r="G73" i="19"/>
  <c r="H73" i="19"/>
  <c r="F74" i="19"/>
  <c r="G74" i="19"/>
  <c r="H74" i="19"/>
  <c r="F75" i="19"/>
  <c r="G75" i="19"/>
  <c r="H75" i="19"/>
  <c r="F76" i="19"/>
  <c r="G76" i="19"/>
  <c r="H76" i="19"/>
  <c r="F77" i="19"/>
  <c r="G77" i="19"/>
  <c r="H77" i="19"/>
  <c r="F78" i="19"/>
  <c r="G78" i="19"/>
  <c r="H78" i="19"/>
  <c r="F79" i="19"/>
  <c r="G79" i="19"/>
  <c r="H79" i="19"/>
  <c r="F80" i="19"/>
  <c r="G80" i="19"/>
  <c r="H80" i="19"/>
  <c r="F81" i="19"/>
  <c r="G81" i="19"/>
  <c r="H81" i="19"/>
  <c r="F82" i="19"/>
  <c r="G82" i="19"/>
  <c r="H82" i="19"/>
  <c r="F83" i="19"/>
  <c r="G83" i="19"/>
  <c r="H83" i="19"/>
  <c r="F84" i="19"/>
  <c r="G84" i="19"/>
  <c r="H84" i="19"/>
  <c r="F85" i="19"/>
  <c r="G85" i="19"/>
  <c r="H85" i="19"/>
  <c r="F86" i="19"/>
  <c r="G86" i="19"/>
  <c r="H86" i="19"/>
  <c r="F87" i="19"/>
  <c r="G87" i="19"/>
  <c r="H87" i="19"/>
  <c r="F88" i="19"/>
  <c r="G88" i="19"/>
  <c r="H88" i="19"/>
  <c r="F89" i="19"/>
  <c r="G89" i="19"/>
  <c r="H89" i="19"/>
  <c r="F90" i="19"/>
  <c r="G90" i="19"/>
  <c r="H90" i="19"/>
  <c r="F91" i="19"/>
  <c r="G91" i="19"/>
  <c r="H91" i="19"/>
  <c r="F92" i="19"/>
  <c r="G92" i="19"/>
  <c r="H92" i="19"/>
  <c r="F93" i="19"/>
  <c r="G93" i="19"/>
  <c r="H93" i="19"/>
  <c r="F94" i="19"/>
  <c r="G94" i="19"/>
  <c r="H94" i="19"/>
  <c r="F95" i="19"/>
  <c r="G95" i="19"/>
  <c r="H95" i="19"/>
  <c r="F96" i="19"/>
  <c r="G96" i="19"/>
  <c r="H96" i="19"/>
  <c r="F97" i="19"/>
  <c r="G97" i="19"/>
  <c r="H97" i="19"/>
  <c r="F98" i="19"/>
  <c r="G98" i="19"/>
  <c r="H98" i="19"/>
  <c r="F99" i="19"/>
  <c r="G99" i="19"/>
  <c r="H99" i="19"/>
  <c r="F100" i="19"/>
  <c r="G100" i="19"/>
  <c r="H100" i="19"/>
  <c r="F101" i="19"/>
  <c r="G101" i="19"/>
  <c r="H101" i="19"/>
  <c r="F102" i="19"/>
  <c r="G102" i="19"/>
  <c r="H102" i="19"/>
  <c r="F103" i="19"/>
  <c r="G103" i="19"/>
  <c r="H103" i="19"/>
  <c r="F104" i="19"/>
  <c r="G104" i="19"/>
  <c r="H104" i="19"/>
  <c r="F105" i="19"/>
  <c r="G105" i="19"/>
  <c r="H105" i="19"/>
  <c r="F106" i="19"/>
  <c r="G106" i="19"/>
  <c r="H106" i="19"/>
  <c r="F107" i="19"/>
  <c r="G107" i="19"/>
  <c r="H107" i="19"/>
  <c r="F108" i="19"/>
  <c r="G108" i="19"/>
  <c r="H108" i="19"/>
  <c r="F109" i="19"/>
  <c r="G109" i="19"/>
  <c r="H109" i="19"/>
  <c r="F110" i="19"/>
  <c r="G110" i="19"/>
  <c r="H110" i="19"/>
  <c r="F111" i="19"/>
  <c r="G111" i="19"/>
  <c r="H111" i="19"/>
  <c r="F112" i="19"/>
  <c r="G112" i="19"/>
  <c r="H112" i="19"/>
  <c r="F113" i="19"/>
  <c r="G113" i="19"/>
  <c r="H113" i="19"/>
  <c r="F114" i="19"/>
  <c r="G114" i="19"/>
  <c r="H114" i="19"/>
  <c r="F115" i="19"/>
  <c r="G115" i="19"/>
  <c r="H115" i="19"/>
  <c r="F116" i="19"/>
  <c r="G116" i="19"/>
  <c r="H116" i="19"/>
  <c r="F117" i="19"/>
  <c r="G117" i="19"/>
  <c r="H117" i="19"/>
  <c r="F118" i="19"/>
  <c r="G118" i="19"/>
  <c r="H118" i="19"/>
  <c r="F119" i="19"/>
  <c r="G119" i="19"/>
  <c r="H119" i="19"/>
  <c r="F120" i="19"/>
  <c r="G120" i="19"/>
  <c r="H120" i="19"/>
  <c r="F121" i="19"/>
  <c r="G121" i="19"/>
  <c r="H121" i="19"/>
  <c r="F122" i="19"/>
  <c r="G122" i="19"/>
  <c r="H122" i="19"/>
  <c r="F123" i="19"/>
  <c r="G123" i="19"/>
  <c r="H123" i="19"/>
  <c r="F124" i="19"/>
  <c r="G124" i="19"/>
  <c r="H124" i="19"/>
  <c r="F125" i="19"/>
  <c r="G125" i="19"/>
  <c r="H125" i="19"/>
  <c r="F126" i="19"/>
  <c r="G126" i="19"/>
  <c r="H126" i="19"/>
  <c r="F127" i="19"/>
  <c r="G127" i="19"/>
  <c r="H127" i="19"/>
  <c r="F128" i="19"/>
  <c r="G128" i="19"/>
  <c r="H128" i="19"/>
  <c r="F129" i="19"/>
  <c r="G129" i="19"/>
  <c r="H129" i="19"/>
  <c r="H4" i="19"/>
  <c r="G4" i="19"/>
  <c r="F4" i="1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4" i="18"/>
  <c r="U9" i="16"/>
  <c r="E56" i="16" a="1"/>
  <c r="E56" i="16"/>
  <c r="F58" i="16" a="1"/>
  <c r="F58" i="16"/>
  <c r="I42" i="16"/>
  <c r="G42" i="16"/>
  <c r="I41" i="16"/>
  <c r="I39" i="16"/>
  <c r="G43" i="16"/>
  <c r="H43" i="16"/>
  <c r="G41" i="16"/>
  <c r="I43" i="16"/>
  <c r="H41" i="16"/>
  <c r="H42" i="16"/>
  <c r="U4" i="16"/>
  <c r="F41" i="16"/>
  <c r="E42" i="16"/>
  <c r="F42" i="16"/>
  <c r="E41" i="16"/>
  <c r="F43" i="16"/>
  <c r="E43" i="16"/>
  <c r="E55" i="16" a="1"/>
  <c r="E55" i="16"/>
  <c r="F50" i="16" a="1"/>
  <c r="F50" i="16"/>
  <c r="D54" i="16" a="1"/>
  <c r="D54" i="16"/>
  <c r="F54" i="16" a="1"/>
  <c r="F54" i="16"/>
  <c r="F53" i="16" a="1"/>
  <c r="F53" i="16"/>
  <c r="D55" i="16" a="1"/>
  <c r="D55" i="16"/>
  <c r="F51" i="16" a="1"/>
  <c r="F51" i="16"/>
  <c r="E50" i="16" a="1"/>
  <c r="E50" i="16"/>
  <c r="E52" i="16" a="1"/>
  <c r="E52" i="16"/>
  <c r="F57" i="16" a="1"/>
  <c r="F57" i="16"/>
  <c r="D58" i="16" a="1"/>
  <c r="D58" i="16"/>
  <c r="U10" i="16"/>
  <c r="J58" i="16" a="1"/>
  <c r="J58" i="16"/>
  <c r="D52" i="16" a="1"/>
  <c r="D52" i="16"/>
  <c r="D50" i="16" a="1"/>
  <c r="D50" i="16"/>
  <c r="E54" i="16" a="1"/>
  <c r="E54" i="16"/>
  <c r="I56" i="16" a="1"/>
  <c r="I56" i="16"/>
  <c r="I53" i="16" a="1"/>
  <c r="I53" i="16"/>
  <c r="J51" i="16" a="1"/>
  <c r="J51" i="16"/>
  <c r="D49" i="16" a="1"/>
  <c r="D49" i="16"/>
  <c r="F47" i="16"/>
  <c r="E57" i="16" a="1"/>
  <c r="E57" i="16"/>
  <c r="D56" i="16" a="1"/>
  <c r="D56" i="16"/>
  <c r="D53" i="16" a="1"/>
  <c r="D53" i="16"/>
  <c r="D57" i="16" a="1"/>
  <c r="D57" i="16"/>
  <c r="F55" i="16" a="1"/>
  <c r="F55" i="16"/>
  <c r="F56" i="16" a="1"/>
  <c r="F56" i="16"/>
  <c r="K54" i="16" a="1"/>
  <c r="K54" i="16"/>
  <c r="K47" i="16"/>
  <c r="K49" i="16" a="1"/>
  <c r="K49" i="16"/>
  <c r="I49" i="16" a="1"/>
  <c r="I49" i="16"/>
  <c r="I55" i="16" a="1"/>
  <c r="I55" i="16"/>
  <c r="K51" i="16" a="1"/>
  <c r="K51" i="16"/>
  <c r="J53" i="16" a="1"/>
  <c r="J53" i="16"/>
  <c r="J49" i="16" a="1"/>
  <c r="J49" i="16"/>
  <c r="J54" i="16" a="1"/>
  <c r="J54" i="16"/>
  <c r="E49" i="16" a="1"/>
  <c r="E49" i="16"/>
  <c r="F52" i="16" a="1"/>
  <c r="F52" i="16"/>
  <c r="F49" i="16" a="1"/>
  <c r="F49" i="16"/>
  <c r="E58" i="16" a="1"/>
  <c r="E58" i="16"/>
  <c r="E51" i="16" a="1"/>
  <c r="E51" i="16"/>
  <c r="E53" i="16" a="1"/>
  <c r="E53" i="16"/>
  <c r="D51" i="16" a="1"/>
  <c r="D51" i="16"/>
  <c r="J57" i="16" a="1"/>
  <c r="J57" i="16"/>
  <c r="K58" i="16" a="1"/>
  <c r="K58" i="16"/>
  <c r="I57" i="16" a="1"/>
  <c r="I57" i="16"/>
  <c r="K53" i="16" a="1"/>
  <c r="K53" i="16"/>
  <c r="I50" i="16" a="1"/>
  <c r="I50" i="16"/>
  <c r="K56" i="16" a="1"/>
  <c r="K56" i="16"/>
  <c r="K55" i="16" a="1"/>
  <c r="K55" i="16"/>
  <c r="K57" i="16" a="1"/>
  <c r="K57" i="16"/>
  <c r="K50" i="16" a="1"/>
  <c r="K50" i="16"/>
  <c r="I58" i="16" a="1"/>
  <c r="I58" i="16"/>
  <c r="I54" i="16" a="1"/>
  <c r="I54" i="16"/>
  <c r="J52" i="16" a="1"/>
  <c r="J52" i="16"/>
  <c r="K52" i="16" a="1"/>
  <c r="K52" i="16"/>
  <c r="I52" i="16" a="1"/>
  <c r="I52" i="16"/>
  <c r="I51" i="16" a="1"/>
  <c r="I51" i="16"/>
  <c r="J55" i="16" a="1"/>
  <c r="J55" i="16"/>
  <c r="J50" i="16" a="1"/>
  <c r="J50" i="16"/>
  <c r="J56" i="16" a="1"/>
  <c r="J56" i="16"/>
</calcChain>
</file>

<file path=xl/connections.xml><?xml version="1.0" encoding="utf-8"?>
<connections xmlns="http://schemas.openxmlformats.org/spreadsheetml/2006/main">
  <connection id="1" name="BigBankQuery" type="1" refreshedVersion="4" savePassword="1" saveData="1">
    <dbPr connection="DSN=Agency" command="select asOf, avg(originalWac) Wac from fnm.MappedServicerDist m join fnm.Sec b on b.issueID = m.issueId and b.issueDate = m.asOf where rpb&gt;0 and collateralType = 'LOAN' and couponType = 'FIX' and AsOf &lt;= '2015-05-08' and AsOf &gt;= '20050101' and servicerName in ('WELLS FARGO','CITI','CHASE','BANK OF AMERICA','CWB','SUNTRUST','PNC','WACHOVIA') Group by Asof order by asof desc"/>
  </connection>
  <connection id="2" name="BigNonBankQuery" type="1" refreshedVersion="4" savePassword="1" saveData="1">
    <dbPr connection="DSN=Agency" command="select asOf, avg(originalWac) Wac from fnm.MappedServicerDist m join fnm.Sec b on b.issueID = m.issueId and b.issueDate = m.asOf where rpb&gt;0 and collateralType = 'LOAN' and couponType = 'FIX' and AsOf &lt;= '2015-05-08' and AsOf &gt;= '20050101' and servicerName in ('QUICKEN','GREEN TREE SERVICING, LLC','FLAGSTAR','PINGORA LOAN SERVICING, INC.','FRANKLIN AMERICAN MORTGAGE COMPANY','FREEDOM','NATIONSTAR','GUILD','HOMESTREET BANK','ROUNDPOINT MORTGAGE SERVICING CORPORATIO') Group by Asof order by asof desc"/>
  </connection>
  <connection id="3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4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5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6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7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8" name="SmallLenderQuery" type="1" refreshedVersion="4" savePassword="1" saveData="1">
    <dbPr connection="DSN=Agency" command="select asOf, avg(originalWac) Wac from fnm.MappedServicerDist m join fnm.Sec b on b.issueID = m.issueId and b.issueDate = m.asOf where rpb&gt;0 and collateralType = 'LOAN' and couponType = 'FIX' and AsOf &lt;= '2015-05-08' and AsOf &gt;= '20050101' and servicerName not in ('N/A' ,'REMAINING','WELLS FARGO','CITI','CHASE','BANK OF AMERICA','CWB','SUNTRUST','PNC','WACHOVIA','QUICKEN','GREEN TREE SERVICING, LLC','FLAGSTAR','PINGORA LOAN SERVICING, INC.','FRANKLIN AMERICAN MORTGAGE COMPANY','FREEDOM','NATIONSTAR','GUILD','HOMESTREET BANK','ROUNDPOINT MORTGAGE SERVICING CORPORATIO') Group by Asof order by asof desc"/>
  </connection>
  <connection id="9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0" name="temp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1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2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3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4" name="temp3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5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16" name="temp5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7" name="temp5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8" name="temp51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9" name="temp511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0" name="temp5111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1" name="temp51111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2" name="temp6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3" name="temp6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4" name="temp61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5" name="temp611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6" name="temp6111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7" name="temp61111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8" name="temp7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9" name="temp7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30" name="temp71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31" name="temp711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32" name="temp7111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33" name="temp71111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34" name="temp8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35" name="temp8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36" name="temp81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37" name="temp811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38" name="temp8111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39" name="temp9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<sst xmlns="http://schemas.openxmlformats.org/spreadsheetml/2006/main" count="167" uniqueCount="47">
  <si>
    <t>asOf</t>
  </si>
  <si>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</si>
  <si>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</si>
  <si>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</si>
  <si>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</si>
  <si>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</si>
  <si>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</si>
  <si>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</si>
  <si>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</si>
  <si>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</si>
  <si>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</si>
  <si>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</si>
  <si>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</si>
  <si>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Top 10 Lenders</t>
  </si>
  <si>
    <t>Top 5 Lenders</t>
  </si>
  <si>
    <t>Top 1 Lender</t>
  </si>
  <si>
    <t>Current Mkt Share</t>
  </si>
  <si>
    <t>1M Chg</t>
  </si>
  <si>
    <t>3M Chg</t>
  </si>
  <si>
    <t>6M Chg</t>
  </si>
  <si>
    <t>1Y Chg</t>
  </si>
  <si>
    <t>Market Share</t>
  </si>
  <si>
    <t>Month</t>
  </si>
  <si>
    <t>Last Month</t>
  </si>
  <si>
    <t>Servicer Name</t>
  </si>
  <si>
    <t>Top 10 For Current Month</t>
  </si>
  <si>
    <t>Top 10 For Previous Month</t>
  </si>
  <si>
    <t>Report Folder</t>
  </si>
  <si>
    <t>Change lag on</t>
  </si>
  <si>
    <t>Volume (M)</t>
  </si>
  <si>
    <t>S:\IT\Production\Daily Reports\Primary Market\tmp\</t>
  </si>
  <si>
    <t>Issue Month:</t>
  </si>
  <si>
    <t>Wac</t>
  </si>
  <si>
    <t>Big Bank</t>
  </si>
  <si>
    <t>Big Non-Bank</t>
  </si>
  <si>
    <t>Small Lender</t>
  </si>
  <si>
    <t>Big Non-Bank Lender</t>
  </si>
  <si>
    <t>1-2</t>
  </si>
  <si>
    <t>1-3</t>
  </si>
  <si>
    <t>2-3</t>
  </si>
  <si>
    <t>poolIssueDate</t>
  </si>
  <si>
    <t>NoteRate</t>
  </si>
  <si>
    <t>Avg</t>
  </si>
  <si>
    <t>WA</t>
  </si>
  <si>
    <t>WANoteRate</t>
  </si>
  <si>
    <t>calcOrigMonth_LL</t>
  </si>
  <si>
    <t>Cnt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</si>
</sst>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sz val="10"/>
      <color theme="1"/>
      <name val="Calibri"/>
      <scheme val="minor"/>
    </font>
    <font>
      <b/>
      <sz val="10"/>
      <color theme="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</fills>
  <borders count="4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</borders>
  <cellStyleXfs count="527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</cellStyleXfs>
  <cellXfs count="46">
    <xf numFmtId="0" fontId="0" fillId="0" borderId="0" xfId="0"/>
    <xf numFmtId="14" fontId="0" fillId="0" borderId="0" xfId="0" applyNumberFormat="1"/>
    <xf numFmtId="0" fontId="0" fillId="0" borderId="0" xfId="0" applyNumberFormat="1"/>
    <xf numFmtId="2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34" fillId="41" borderId="0" xfId="351" applyFont="1"/>
    <xf numFmtId="0" fontId="7" fillId="0" borderId="0" xfId="0" applyFont="1"/>
    <xf numFmtId="164" fontId="8" fillId="7" borderId="38" xfId="0" applyNumberFormat="1" applyFont="1" applyFill="1" applyBorder="1" applyAlignment="1">
      <alignment horizontal="left"/>
    </xf>
    <xf numFmtId="164" fontId="8" fillId="7" borderId="38" xfId="0" applyNumberFormat="1" applyFont="1" applyFill="1" applyBorder="1" applyAlignment="1">
      <alignment horizontal="center"/>
    </xf>
    <xf numFmtId="164" fontId="8" fillId="7" borderId="39" xfId="0" applyNumberFormat="1" applyFont="1" applyFill="1" applyBorder="1" applyAlignment="1">
      <alignment horizontal="center"/>
    </xf>
    <xf numFmtId="164" fontId="7" fillId="0" borderId="38" xfId="1" applyNumberFormat="1" applyFont="1" applyBorder="1" applyAlignment="1">
      <alignment horizontal="left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94" fontId="7" fillId="0" borderId="39" xfId="1" applyNumberFormat="1" applyFont="1" applyBorder="1" applyAlignment="1">
      <alignment horizontal="center"/>
    </xf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94" fontId="4" fillId="0" borderId="38" xfId="1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14" fontId="7" fillId="0" borderId="41" xfId="0" applyNumberFormat="1" applyFont="1" applyBorder="1" applyAlignment="1">
      <alignment horizontal="left"/>
    </xf>
    <xf numFmtId="194" fontId="7" fillId="0" borderId="41" xfId="1" applyNumberFormat="1" applyFont="1" applyBorder="1" applyAlignment="1">
      <alignment horizontal="center"/>
    </xf>
    <xf numFmtId="195" fontId="7" fillId="0" borderId="42" xfId="1" applyNumberFormat="1" applyFont="1" applyBorder="1" applyAlignment="1">
      <alignment horizontal="center"/>
    </xf>
    <xf numFmtId="195" fontId="7" fillId="0" borderId="42" xfId="0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0" fontId="133" fillId="52" borderId="43" xfId="0" applyFont="1" applyFill="1" applyBorder="1"/>
    <xf numFmtId="0" fontId="133" fillId="52" borderId="44" xfId="0" applyFont="1" applyFill="1" applyBorder="1"/>
    <xf numFmtId="2" fontId="132" fillId="0" borderId="0" xfId="0" applyNumberFormat="1" applyFont="1"/>
    <xf numFmtId="2" fontId="7" fillId="0" borderId="0" xfId="0" applyNumberFormat="1" applyFont="1"/>
    <xf numFmtId="16" fontId="7" fillId="0" borderId="0" xfId="0" quotePrefix="1" applyNumberFormat="1" applyFont="1"/>
    <xf numFmtId="0" fontId="7" fillId="0" borderId="0" xfId="0" quotePrefix="1" applyFont="1"/>
    <xf numFmtId="16" fontId="133" fillId="52" borderId="43" xfId="0" applyNumberFormat="1" applyFont="1" applyFill="1" applyBorder="1"/>
    <xf numFmtId="0" fontId="9" fillId="0" borderId="0" xfId="3"/>
  </cellXfs>
  <cellStyles count="527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5" xfId="17"/>
    <cellStyle name="20% - Accent2 2" xfId="18"/>
    <cellStyle name="20% - Accent2 3" xfId="19"/>
    <cellStyle name="20% - Accent2 4" xfId="20"/>
    <cellStyle name="20% - Accent3 2" xfId="21"/>
    <cellStyle name="20% - Accent3 3" xfId="22"/>
    <cellStyle name="20% - Accent3 4" xfId="23"/>
    <cellStyle name="20% - Accent4 2" xfId="24"/>
    <cellStyle name="20% - Accent4 3" xfId="25"/>
    <cellStyle name="20% - Accent4 4" xfId="26"/>
    <cellStyle name="20% - Accent5 2" xfId="27"/>
    <cellStyle name="20% - Accent5 3" xfId="28"/>
    <cellStyle name="20% - Accent5 4" xfId="29"/>
    <cellStyle name="20% - Accent6 2" xfId="30"/>
    <cellStyle name="20% - Accent6 3" xfId="31"/>
    <cellStyle name="20% - Accent6 4" xfId="32"/>
    <cellStyle name="40% - Accent1 2" xfId="33"/>
    <cellStyle name="40% - Accent1 3" xfId="34"/>
    <cellStyle name="40% - Accent1 4" xfId="35"/>
    <cellStyle name="40% - Accent2 2" xfId="36"/>
    <cellStyle name="40% - Accent2 3" xfId="37"/>
    <cellStyle name="40% - Accent2 4" xfId="38"/>
    <cellStyle name="40% - Accent3 2" xfId="39"/>
    <cellStyle name="40% - Accent3 3" xfId="40"/>
    <cellStyle name="40% - Accent3 4" xfId="41"/>
    <cellStyle name="40% - Accent4 2" xfId="42"/>
    <cellStyle name="40% - Accent4 3" xfId="43"/>
    <cellStyle name="40% - Accent4 4" xfId="44"/>
    <cellStyle name="40% - Accent5 2" xfId="45"/>
    <cellStyle name="40% - Accent5 3" xfId="46"/>
    <cellStyle name="40% - Accent5 4" xfId="47"/>
    <cellStyle name="40% - Accent6 2" xfId="48"/>
    <cellStyle name="40% - Accent6 3" xfId="49"/>
    <cellStyle name="40% - Accent6 4" xfId="50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3" xfId="126"/>
    <cellStyle name="Cello Calculation 4" xfId="127"/>
    <cellStyle name="Cello Input" xfId="2"/>
    <cellStyle name="Cello Input 2" xfId="128"/>
    <cellStyle name="Cello Input 2 2" xfId="129"/>
    <cellStyle name="Cello Input 2 3" xfId="130"/>
    <cellStyle name="Cello Input 2 5" xfId="131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3" xfId="182"/>
    <cellStyle name="Comma 30" xfId="183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2" xfId="205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Input [yellow]" xfId="288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3" xfId="340"/>
    <cellStyle name="Normal 2 3 2" xfId="341"/>
    <cellStyle name="Normal 2 3 2 2" xfId="342"/>
    <cellStyle name="Normal 2 3 3" xfId="343"/>
    <cellStyle name="Normal 2 4" xfId="344"/>
    <cellStyle name="Normal 2 4 2" xfId="345"/>
    <cellStyle name="Normal 2 4 2 2" xfId="346"/>
    <cellStyle name="Normal 2 4 3" xfId="347"/>
    <cellStyle name="Normal 2 5" xfId="348"/>
    <cellStyle name="Normal 2 5 2" xfId="349"/>
    <cellStyle name="Normal 2 6" xfId="350"/>
    <cellStyle name="Normal 2 7" xfId="351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9" xfId="377"/>
    <cellStyle name="Normal 4" xfId="378"/>
    <cellStyle name="Normal 4 2" xfId="379"/>
    <cellStyle name="Normal 4 3" xfId="380"/>
    <cellStyle name="Normal 4 4" xfId="381"/>
    <cellStyle name="Normal 40" xfId="382"/>
    <cellStyle name="Normal 41" xfId="383"/>
    <cellStyle name="Normal 42" xfId="384"/>
    <cellStyle name="Normal 42 2" xfId="385"/>
    <cellStyle name="Normal 5" xfId="386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5" xfId="401"/>
    <cellStyle name="Note 6" xfId="402"/>
    <cellStyle name="Note 7" xfId="403"/>
    <cellStyle name="Note 7 2" xfId="404"/>
    <cellStyle name="Note 8" xfId="405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ption" xfId="413"/>
    <cellStyle name="orange text cell" xfId="414"/>
    <cellStyle name="Output 2" xfId="415"/>
    <cellStyle name="Output 3" xfId="416"/>
    <cellStyle name="Output 4" xfId="417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3" xfId="431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Indicative" xfId="501"/>
    <cellStyle name="Title Indicative 2" xfId="502"/>
    <cellStyle name="Title Pricing Assumptions" xfId="503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2 8" xfId="508"/>
    <cellStyle name="Title Pricing Assumptions 3 6 4 2 8" xfId="509"/>
    <cellStyle name="Titles - Other" xfId="510"/>
    <cellStyle name="Total 2" xfId="511"/>
    <cellStyle name="Total 2 2" xfId="512"/>
    <cellStyle name="Total 3" xfId="513"/>
    <cellStyle name="Total 4" xfId="514"/>
    <cellStyle name="Warning" xfId="515"/>
    <cellStyle name="Warning Text 2" xfId="516"/>
    <cellStyle name="Warning Text 3" xfId="517"/>
    <cellStyle name="Warning Text 4" xfId="518"/>
    <cellStyle name="YB Calculations" xfId="519"/>
    <cellStyle name="YB Calculations 2" xfId="520"/>
    <cellStyle name="YB Curve" xfId="521"/>
    <cellStyle name="YB Indicative" xfId="522"/>
    <cellStyle name="YBINDIC" xfId="523"/>
    <cellStyle name="YBIOPOBE" xfId="524"/>
    <cellStyle name="YBPRICE" xfId="525"/>
    <cellStyle name="一般_原始檔案" xfId="526"/>
  </cellStyles>
  <dxfs count="17"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AD275C"/>
      <color rgb="FF74B629"/>
      <color rgb="FF2E398A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</a:t>
            </a:r>
          </a:p>
        </c:rich>
      </c:tx>
      <c:layout>
        <c:manualLayout>
          <c:xMode val="edge"/>
          <c:yMode val="edge"/>
          <c:x val="0.41607400982943049"/>
          <c:y val="1.8348623853211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621990334469252E-2"/>
          <c:y val="0.10627681860868309"/>
          <c:w val="0.77668918027864398"/>
          <c:h val="0.75564737894001777"/>
        </c:manualLayout>
      </c:layout>
      <c:barChart>
        <c:barDir val="col"/>
        <c:grouping val="clustered"/>
        <c:varyColors val="0"/>
        <c:ser>
          <c:idx val="3"/>
          <c:order val="3"/>
          <c:tx>
            <c:v>Issue Amount</c:v>
          </c:tx>
          <c:spPr>
            <a:solidFill>
              <a:schemeClr val="accent1">
                <a:lumMod val="20000"/>
                <a:lumOff val="80000"/>
              </a:schemeClr>
            </a:solidFill>
            <a:ln cap="sq">
              <a:noFill/>
              <a:prstDash val="solid"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082048"/>
        <c:axId val="314004608"/>
      </c:barChart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853056"/>
        <c:axId val="313854592"/>
      </c:lineChart>
      <c:catAx>
        <c:axId val="31385305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313854592"/>
        <c:crosses val="autoZero"/>
        <c:auto val="1"/>
        <c:lblAlgn val="ctr"/>
        <c:lblOffset val="100"/>
        <c:tickLblSkip val="2"/>
        <c:noMultiLvlLbl val="1"/>
      </c:catAx>
      <c:valAx>
        <c:axId val="313854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3853056"/>
        <c:crosses val="autoZero"/>
        <c:crossBetween val="between"/>
      </c:valAx>
      <c:valAx>
        <c:axId val="314004608"/>
        <c:scaling>
          <c:orientation val="minMax"/>
          <c:max val="12000000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 Amount (Billions)</a:t>
                </a:r>
              </a:p>
            </c:rich>
          </c:tx>
          <c:layout>
            <c:manualLayout>
              <c:xMode val="edge"/>
              <c:yMode val="edge"/>
              <c:x val="0.87415509031481864"/>
              <c:y val="0.3203696212285390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314082048"/>
        <c:crosses val="max"/>
        <c:crossBetween val="between"/>
        <c:dispUnits>
          <c:builtInUnit val="billions"/>
        </c:dispUnits>
      </c:valAx>
      <c:catAx>
        <c:axId val="314082048"/>
        <c:scaling>
          <c:orientation val="minMax"/>
        </c:scaling>
        <c:delete val="1"/>
        <c:axPos val="b"/>
        <c:majorTickMark val="out"/>
        <c:minorTickMark val="none"/>
        <c:tickLblPos val="nextTo"/>
        <c:crossAx val="314004608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Current Month</c:v>
          </c:tx>
          <c:spPr>
            <a:solidFill>
              <a:srgbClr val="2E398A"/>
            </a:solidFill>
          </c:spPr>
          <c:invertIfNegative val="0"/>
          <c:val>
            <c:numRef>
              <c:f>Report!$E$49:$E$58</c:f>
              <c:numCache>
                <c:formatCode>0.0%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ser>
          <c:idx val="1"/>
          <c:order val="1"/>
          <c:tx>
            <c:v>Previous Month</c:v>
          </c:tx>
          <c:spPr>
            <a:solidFill>
              <a:srgbClr val="AD275C"/>
            </a:solidFill>
          </c:spPr>
          <c:invertIfNegative val="0"/>
          <c:val>
            <c:numRef>
              <c:f>Report!$J$49:$J$58</c:f>
              <c:numCache>
                <c:formatCode>0.0%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939840"/>
        <c:axId val="353942528"/>
      </c:barChart>
      <c:catAx>
        <c:axId val="353939840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Rank</a:t>
                </a:r>
              </a:p>
            </c:rich>
          </c:tx>
          <c:overlay val="0"/>
        </c:title>
        <c:majorTickMark val="out"/>
        <c:minorTickMark val="none"/>
        <c:tickLblPos val="nextTo"/>
        <c:crossAx val="353942528"/>
        <c:crosses val="autoZero"/>
        <c:auto val="1"/>
        <c:lblAlgn val="ctr"/>
        <c:lblOffset val="100"/>
        <c:noMultiLvlLbl val="0"/>
      </c:catAx>
      <c:valAx>
        <c:axId val="353942528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high"/>
        <c:crossAx val="35393984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Big Bank Lender</c:v>
          </c:tx>
          <c:marker>
            <c:symbol val="none"/>
          </c:marker>
          <c:cat>
            <c:numRef>
              <c:f>PoolLevel!$B$4:$B$123</c:f>
              <c:numCache>
                <c:formatCode>m/d/yyyy</c:formatCode>
                <c:ptCount val="120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</c:numCache>
            </c:numRef>
          </c:cat>
          <c:val>
            <c:numRef>
              <c:f>PoolLevel!$C$4:$C$123</c:f>
              <c:numCache>
                <c:formatCode>0.00</c:formatCode>
                <c:ptCount val="120"/>
                <c:pt idx="0">
                  <c:v>3.9912955465587046</c:v>
                </c:pt>
                <c:pt idx="1">
                  <c:v>3.9979175704989154</c:v>
                </c:pt>
                <c:pt idx="2">
                  <c:v>4.1609779951100245</c:v>
                </c:pt>
                <c:pt idx="3">
                  <c:v>4.24542600896861</c:v>
                </c:pt>
                <c:pt idx="4">
                  <c:v>4.2274654377880188</c:v>
                </c:pt>
                <c:pt idx="5">
                  <c:v>4.1999220272904481</c:v>
                </c:pt>
                <c:pt idx="6">
                  <c:v>4.2928996282527878</c:v>
                </c:pt>
                <c:pt idx="7">
                  <c:v>4.5364476021314388</c:v>
                </c:pt>
                <c:pt idx="8">
                  <c:v>4.3340740740740742</c:v>
                </c:pt>
                <c:pt idx="9">
                  <c:v>4.2793501048218028</c:v>
                </c:pt>
                <c:pt idx="10">
                  <c:v>4.4661368653421629</c:v>
                </c:pt>
                <c:pt idx="11">
                  <c:v>4.3982524271844659</c:v>
                </c:pt>
                <c:pt idx="12">
                  <c:v>4.444987593052109</c:v>
                </c:pt>
                <c:pt idx="13">
                  <c:v>4.5344392523364485</c:v>
                </c:pt>
                <c:pt idx="14">
                  <c:v>4.5166512702078521</c:v>
                </c:pt>
                <c:pt idx="15">
                  <c:v>4.454457593688363</c:v>
                </c:pt>
                <c:pt idx="16">
                  <c:v>4.5210021321961618</c:v>
                </c:pt>
                <c:pt idx="17">
                  <c:v>4.5146623794212219</c:v>
                </c:pt>
                <c:pt idx="18">
                  <c:v>4.4361654135338346</c:v>
                </c:pt>
                <c:pt idx="19">
                  <c:v>4.3628930817610065</c:v>
                </c:pt>
                <c:pt idx="20">
                  <c:v>4.219472972972973</c:v>
                </c:pt>
                <c:pt idx="21">
                  <c:v>3.9966482758620692</c:v>
                </c:pt>
                <c:pt idx="22">
                  <c:v>3.7630917874396137</c:v>
                </c:pt>
                <c:pt idx="23">
                  <c:v>3.8248064918851434</c:v>
                </c:pt>
                <c:pt idx="24">
                  <c:v>3.8760879120879119</c:v>
                </c:pt>
                <c:pt idx="25">
                  <c:v>3.8113201970443349</c:v>
                </c:pt>
                <c:pt idx="26">
                  <c:v>3.7122934782608694</c:v>
                </c:pt>
                <c:pt idx="27">
                  <c:v>3.7481714285714287</c:v>
                </c:pt>
                <c:pt idx="28">
                  <c:v>3.7645962113659022</c:v>
                </c:pt>
                <c:pt idx="29">
                  <c:v>3.7716748166259171</c:v>
                </c:pt>
                <c:pt idx="30">
                  <c:v>3.835059523809524</c:v>
                </c:pt>
                <c:pt idx="31">
                  <c:v>3.8882166301969368</c:v>
                </c:pt>
                <c:pt idx="32">
                  <c:v>4.1436777178103315</c:v>
                </c:pt>
                <c:pt idx="33">
                  <c:v>4.0408633093525177</c:v>
                </c:pt>
                <c:pt idx="34">
                  <c:v>4.2002081268582758</c:v>
                </c:pt>
                <c:pt idx="35">
                  <c:v>4.2402633814783348</c:v>
                </c:pt>
                <c:pt idx="36">
                  <c:v>4.3046093064091311</c:v>
                </c:pt>
                <c:pt idx="37">
                  <c:v>4.1793540051679585</c:v>
                </c:pt>
                <c:pt idx="38">
                  <c:v>4.2623658694246931</c:v>
                </c:pt>
                <c:pt idx="39">
                  <c:v>4.3718718718718721</c:v>
                </c:pt>
                <c:pt idx="40">
                  <c:v>4.4309605122732121</c:v>
                </c:pt>
                <c:pt idx="41">
                  <c:v>4.631294326241135</c:v>
                </c:pt>
                <c:pt idx="42">
                  <c:v>4.5057812500000001</c:v>
                </c:pt>
                <c:pt idx="43">
                  <c:v>4.6595498783454987</c:v>
                </c:pt>
                <c:pt idx="44">
                  <c:v>4.7836633663366337</c:v>
                </c:pt>
                <c:pt idx="45">
                  <c:v>4.8711698113207547</c:v>
                </c:pt>
                <c:pt idx="46">
                  <c:v>4.9163437500000002</c:v>
                </c:pt>
                <c:pt idx="47">
                  <c:v>4.966902286902287</c:v>
                </c:pt>
                <c:pt idx="48">
                  <c:v>4.9275345167652862</c:v>
                </c:pt>
                <c:pt idx="49">
                  <c:v>4.8821004184100421</c:v>
                </c:pt>
                <c:pt idx="50">
                  <c:v>4.9729197572488202</c:v>
                </c:pt>
                <c:pt idx="51">
                  <c:v>4.6669620253164554</c:v>
                </c:pt>
                <c:pt idx="52">
                  <c:v>4.5938719832109127</c:v>
                </c:pt>
                <c:pt idx="53">
                  <c:v>4.5925727773406768</c:v>
                </c:pt>
                <c:pt idx="54">
                  <c:v>4.6825050916496949</c:v>
                </c:pt>
                <c:pt idx="55">
                  <c:v>4.7646637744034708</c:v>
                </c:pt>
                <c:pt idx="56">
                  <c:v>4.8957653631284916</c:v>
                </c:pt>
                <c:pt idx="57">
                  <c:v>4.9864661654135336</c:v>
                </c:pt>
                <c:pt idx="58">
                  <c:v>5.075707620528771</c:v>
                </c:pt>
                <c:pt idx="59">
                  <c:v>5.2701765447667084</c:v>
                </c:pt>
                <c:pt idx="60">
                  <c:v>5.1354871794871793</c:v>
                </c:pt>
                <c:pt idx="61">
                  <c:v>5.1234027777777778</c:v>
                </c:pt>
                <c:pt idx="62">
                  <c:v>5.1650490196078431</c:v>
                </c:pt>
                <c:pt idx="63">
                  <c:v>5.1120547945205477</c:v>
                </c:pt>
                <c:pt idx="64">
                  <c:v>5.1348584905660379</c:v>
                </c:pt>
                <c:pt idx="65">
                  <c:v>5.1564142538975499</c:v>
                </c:pt>
                <c:pt idx="66">
                  <c:v>5.2733474576271187</c:v>
                </c:pt>
                <c:pt idx="67">
                  <c:v>5.2421489361702127</c:v>
                </c:pt>
                <c:pt idx="68">
                  <c:v>5.5872941176470592</c:v>
                </c:pt>
                <c:pt idx="69">
                  <c:v>5.2512607944732297</c:v>
                </c:pt>
                <c:pt idx="70">
                  <c:v>5.1873538461538464</c:v>
                </c:pt>
                <c:pt idx="71">
                  <c:v>5.6413742690058477</c:v>
                </c:pt>
                <c:pt idx="72">
                  <c:v>5.4856545454545458</c:v>
                </c:pt>
                <c:pt idx="73">
                  <c:v>5.1703921568627447</c:v>
                </c:pt>
                <c:pt idx="74">
                  <c:v>5.4608626974483601</c:v>
                </c:pt>
                <c:pt idx="75">
                  <c:v>5.6196038034865294</c:v>
                </c:pt>
                <c:pt idx="76">
                  <c:v>5.9806085526315789</c:v>
                </c:pt>
                <c:pt idx="77">
                  <c:v>6.2480476626947752</c:v>
                </c:pt>
                <c:pt idx="78">
                  <c:v>6.280556390977444</c:v>
                </c:pt>
                <c:pt idx="79">
                  <c:v>6.3899496855345914</c:v>
                </c:pt>
                <c:pt idx="80">
                  <c:v>6.4493476531424028</c:v>
                </c:pt>
                <c:pt idx="81">
                  <c:v>6.342199832073887</c:v>
                </c:pt>
                <c:pt idx="82">
                  <c:v>6.2690345937248591</c:v>
                </c:pt>
                <c:pt idx="83">
                  <c:v>6.1458327847267942</c:v>
                </c:pt>
                <c:pt idx="84">
                  <c:v>6.2167653429602892</c:v>
                </c:pt>
                <c:pt idx="85">
                  <c:v>6.1492801251956184</c:v>
                </c:pt>
                <c:pt idx="86">
                  <c:v>6.1076459330143544</c:v>
                </c:pt>
                <c:pt idx="87">
                  <c:v>6.3138388625592414</c:v>
                </c:pt>
                <c:pt idx="88">
                  <c:v>6.4733263598326358</c:v>
                </c:pt>
                <c:pt idx="89">
                  <c:v>6.5789473684210522</c:v>
                </c:pt>
                <c:pt idx="90">
                  <c:v>6.6916723549488051</c:v>
                </c:pt>
                <c:pt idx="91">
                  <c:v>6.7042653673163422</c:v>
                </c:pt>
                <c:pt idx="92">
                  <c:v>6.6666204506065858</c:v>
                </c:pt>
                <c:pt idx="93">
                  <c:v>6.5981589403973508</c:v>
                </c:pt>
                <c:pt idx="94">
                  <c:v>6.7673333333333332</c:v>
                </c:pt>
                <c:pt idx="95">
                  <c:v>6.1670833333333333</c:v>
                </c:pt>
                <c:pt idx="96">
                  <c:v>6.4480447330447328</c:v>
                </c:pt>
                <c:pt idx="97">
                  <c:v>6.4221865671641787</c:v>
                </c:pt>
                <c:pt idx="98">
                  <c:v>6.42830303030303</c:v>
                </c:pt>
                <c:pt idx="99">
                  <c:v>6.4058564814814813</c:v>
                </c:pt>
                <c:pt idx="100">
                  <c:v>6.4159050683829442</c:v>
                </c:pt>
                <c:pt idx="101">
                  <c:v>6.5381555733761028</c:v>
                </c:pt>
                <c:pt idx="102">
                  <c:v>6.5851003344481605</c:v>
                </c:pt>
                <c:pt idx="103">
                  <c:v>6.5427777777777774</c:v>
                </c:pt>
                <c:pt idx="104">
                  <c:v>6.256379310344828</c:v>
                </c:pt>
                <c:pt idx="105">
                  <c:v>6.4051999999999998</c:v>
                </c:pt>
                <c:pt idx="106">
                  <c:v>6.0122222222222224</c:v>
                </c:pt>
                <c:pt idx="107">
                  <c:v>5.762777777777778</c:v>
                </c:pt>
                <c:pt idx="108">
                  <c:v>6.4379999999999997</c:v>
                </c:pt>
                <c:pt idx="109">
                  <c:v>6.1957142857142857</c:v>
                </c:pt>
                <c:pt idx="110">
                  <c:v>5.8312499999999998</c:v>
                </c:pt>
                <c:pt idx="111">
                  <c:v>5.9120689655172418</c:v>
                </c:pt>
                <c:pt idx="112">
                  <c:v>5.5707142857142857</c:v>
                </c:pt>
                <c:pt idx="113">
                  <c:v>6.1768181818181818</c:v>
                </c:pt>
                <c:pt idx="114">
                  <c:v>5.8255555555555558</c:v>
                </c:pt>
                <c:pt idx="115">
                  <c:v>5.763684210526316</c:v>
                </c:pt>
                <c:pt idx="116">
                  <c:v>6.3849999999999998</c:v>
                </c:pt>
                <c:pt idx="117">
                  <c:v>6.3880769230769232</c:v>
                </c:pt>
                <c:pt idx="118">
                  <c:v>6.2105555555555556</c:v>
                </c:pt>
                <c:pt idx="119">
                  <c:v>6.8342857142857145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PoolLevel!$D$3</c:f>
              <c:strCache>
                <c:ptCount val="1"/>
                <c:pt idx="0">
                  <c:v>Big Non-Bank Lender</c:v>
                </c:pt>
              </c:strCache>
            </c:strRef>
          </c:tx>
          <c:marker>
            <c:symbol val="none"/>
          </c:marker>
          <c:cat>
            <c:numRef>
              <c:f>PoolLevel!$B$4:$B$123</c:f>
              <c:numCache>
                <c:formatCode>m/d/yyyy</c:formatCode>
                <c:ptCount val="120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</c:numCache>
            </c:numRef>
          </c:cat>
          <c:val>
            <c:numRef>
              <c:f>PoolLevel!$D$4:$D$123</c:f>
              <c:numCache>
                <c:formatCode>0.00</c:formatCode>
                <c:ptCount val="120"/>
                <c:pt idx="0">
                  <c:v>4.1031823745410039</c:v>
                </c:pt>
                <c:pt idx="1">
                  <c:v>4.1035747126436783</c:v>
                </c:pt>
                <c:pt idx="2">
                  <c:v>4.0939948783610758</c:v>
                </c:pt>
                <c:pt idx="3">
                  <c:v>4.2022985468956406</c:v>
                </c:pt>
                <c:pt idx="4">
                  <c:v>4.2962853107344632</c:v>
                </c:pt>
                <c:pt idx="5">
                  <c:v>4.3708053691275168</c:v>
                </c:pt>
                <c:pt idx="6">
                  <c:v>4.4032330827067669</c:v>
                </c:pt>
                <c:pt idx="7">
                  <c:v>4.6441150442477879</c:v>
                </c:pt>
                <c:pt idx="8">
                  <c:v>4.3866253443526171</c:v>
                </c:pt>
                <c:pt idx="9">
                  <c:v>4.4176777939042093</c:v>
                </c:pt>
                <c:pt idx="10">
                  <c:v>4.5105019305019303</c:v>
                </c:pt>
                <c:pt idx="11">
                  <c:v>4.5577452415812587</c:v>
                </c:pt>
                <c:pt idx="12">
                  <c:v>4.5295286195286195</c:v>
                </c:pt>
                <c:pt idx="13">
                  <c:v>4.5175726495726494</c:v>
                </c:pt>
                <c:pt idx="14">
                  <c:v>4.5882324840764328</c:v>
                </c:pt>
                <c:pt idx="15">
                  <c:v>4.5510142630744852</c:v>
                </c:pt>
                <c:pt idx="16">
                  <c:v>4.5085251798561155</c:v>
                </c:pt>
                <c:pt idx="17">
                  <c:v>4.4742771982116247</c:v>
                </c:pt>
                <c:pt idx="18">
                  <c:v>4.5233111480865222</c:v>
                </c:pt>
                <c:pt idx="19">
                  <c:v>4.4468817204301079</c:v>
                </c:pt>
                <c:pt idx="20">
                  <c:v>4.3189413447782545</c:v>
                </c:pt>
                <c:pt idx="21">
                  <c:v>4.0715979381443299</c:v>
                </c:pt>
                <c:pt idx="22">
                  <c:v>3.8559116022099449</c:v>
                </c:pt>
                <c:pt idx="23">
                  <c:v>3.7887275693311584</c:v>
                </c:pt>
                <c:pt idx="24">
                  <c:v>3.8455106382978723</c:v>
                </c:pt>
                <c:pt idx="25">
                  <c:v>3.852469135802469</c:v>
                </c:pt>
                <c:pt idx="26">
                  <c:v>3.7388683602771362</c:v>
                </c:pt>
                <c:pt idx="27">
                  <c:v>3.6278368121442126</c:v>
                </c:pt>
                <c:pt idx="28">
                  <c:v>3.6697932330827068</c:v>
                </c:pt>
                <c:pt idx="29">
                  <c:v>3.7777342047930285</c:v>
                </c:pt>
                <c:pt idx="30">
                  <c:v>3.8298930481283424</c:v>
                </c:pt>
                <c:pt idx="31">
                  <c:v>3.8924703557312252</c:v>
                </c:pt>
                <c:pt idx="32">
                  <c:v>3.9875981161695448</c:v>
                </c:pt>
                <c:pt idx="33">
                  <c:v>3.9936727879799667</c:v>
                </c:pt>
                <c:pt idx="34">
                  <c:v>4.1069872958257712</c:v>
                </c:pt>
                <c:pt idx="35">
                  <c:v>4.1715500945179587</c:v>
                </c:pt>
                <c:pt idx="36">
                  <c:v>4.2490111642743225</c:v>
                </c:pt>
                <c:pt idx="37">
                  <c:v>4.1477854671280276</c:v>
                </c:pt>
                <c:pt idx="38">
                  <c:v>4.1229347826086959</c:v>
                </c:pt>
                <c:pt idx="39">
                  <c:v>4.2531494252873561</c:v>
                </c:pt>
                <c:pt idx="40">
                  <c:v>4.285530085959885</c:v>
                </c:pt>
                <c:pt idx="41">
                  <c:v>4.4425287356321839</c:v>
                </c:pt>
                <c:pt idx="42">
                  <c:v>4.3438461538461537</c:v>
                </c:pt>
                <c:pt idx="43">
                  <c:v>4.4594894894894894</c:v>
                </c:pt>
                <c:pt idx="44">
                  <c:v>4.669598662207358</c:v>
                </c:pt>
                <c:pt idx="45">
                  <c:v>4.7421739130434784</c:v>
                </c:pt>
                <c:pt idx="46">
                  <c:v>4.8989361702127656</c:v>
                </c:pt>
                <c:pt idx="47">
                  <c:v>5.0018666666666665</c:v>
                </c:pt>
                <c:pt idx="48">
                  <c:v>5.0273376623376622</c:v>
                </c:pt>
                <c:pt idx="49">
                  <c:v>5.0941304347826089</c:v>
                </c:pt>
                <c:pt idx="50">
                  <c:v>5.1860080645161286</c:v>
                </c:pt>
                <c:pt idx="51">
                  <c:v>4.6892090395480226</c:v>
                </c:pt>
                <c:pt idx="52">
                  <c:v>4.5987777777777774</c:v>
                </c:pt>
                <c:pt idx="53">
                  <c:v>4.5257679180887376</c:v>
                </c:pt>
                <c:pt idx="54">
                  <c:v>4.5908296943231441</c:v>
                </c:pt>
                <c:pt idx="55">
                  <c:v>4.6623129251700677</c:v>
                </c:pt>
                <c:pt idx="56">
                  <c:v>4.7988177339901474</c:v>
                </c:pt>
                <c:pt idx="57">
                  <c:v>4.9659154929577465</c:v>
                </c:pt>
                <c:pt idx="58">
                  <c:v>5.2304761904761907</c:v>
                </c:pt>
                <c:pt idx="59">
                  <c:v>5.3774380165289255</c:v>
                </c:pt>
                <c:pt idx="60">
                  <c:v>5.2816853932584271</c:v>
                </c:pt>
                <c:pt idx="61">
                  <c:v>5.2726562499999998</c:v>
                </c:pt>
                <c:pt idx="62">
                  <c:v>5.226</c:v>
                </c:pt>
                <c:pt idx="63">
                  <c:v>5.0967543859649123</c:v>
                </c:pt>
                <c:pt idx="64">
                  <c:v>5.0649655172413794</c:v>
                </c:pt>
                <c:pt idx="65">
                  <c:v>5.1366176470588236</c:v>
                </c:pt>
                <c:pt idx="66">
                  <c:v>5.2318045112781952</c:v>
                </c:pt>
                <c:pt idx="67">
                  <c:v>5.3814728682170543</c:v>
                </c:pt>
                <c:pt idx="68">
                  <c:v>5.5050340136054423</c:v>
                </c:pt>
                <c:pt idx="69">
                  <c:v>5.3330379746835446</c:v>
                </c:pt>
                <c:pt idx="70">
                  <c:v>5.2791366906474817</c:v>
                </c:pt>
                <c:pt idx="71">
                  <c:v>5.7425600000000001</c:v>
                </c:pt>
                <c:pt idx="72">
                  <c:v>5.3722826086956523</c:v>
                </c:pt>
                <c:pt idx="73">
                  <c:v>5.5121276595744684</c:v>
                </c:pt>
                <c:pt idx="74">
                  <c:v>5.5514285714285716</c:v>
                </c:pt>
                <c:pt idx="75">
                  <c:v>5.4381034482758617</c:v>
                </c:pt>
                <c:pt idx="76">
                  <c:v>6.1330882352941174</c:v>
                </c:pt>
                <c:pt idx="77">
                  <c:v>6.4772727272727275</c:v>
                </c:pt>
                <c:pt idx="78">
                  <c:v>6.3393220338983047</c:v>
                </c:pt>
                <c:pt idx="79">
                  <c:v>6.5872602739726025</c:v>
                </c:pt>
                <c:pt idx="80">
                  <c:v>6.7409774436090224</c:v>
                </c:pt>
                <c:pt idx="81">
                  <c:v>6.7704545454545455</c:v>
                </c:pt>
                <c:pt idx="82">
                  <c:v>6.6987301587301591</c:v>
                </c:pt>
                <c:pt idx="83">
                  <c:v>6.6612799999999996</c:v>
                </c:pt>
                <c:pt idx="84">
                  <c:v>6.4648502994011974</c:v>
                </c:pt>
                <c:pt idx="85">
                  <c:v>6.4444808743169402</c:v>
                </c:pt>
                <c:pt idx="86">
                  <c:v>6.3173493975903616</c:v>
                </c:pt>
                <c:pt idx="87">
                  <c:v>6.6717050691244237</c:v>
                </c:pt>
                <c:pt idx="88">
                  <c:v>6.8150248756218907</c:v>
                </c:pt>
                <c:pt idx="89">
                  <c:v>6.9997969543147205</c:v>
                </c:pt>
                <c:pt idx="90">
                  <c:v>7.0223529411764707</c:v>
                </c:pt>
                <c:pt idx="91">
                  <c:v>7.0123444976076552</c:v>
                </c:pt>
                <c:pt idx="92">
                  <c:v>7.0294786729857819</c:v>
                </c:pt>
                <c:pt idx="93">
                  <c:v>6.9441346153846153</c:v>
                </c:pt>
                <c:pt idx="94">
                  <c:v>7.1961538461538463</c:v>
                </c:pt>
                <c:pt idx="95">
                  <c:v>6.85</c:v>
                </c:pt>
                <c:pt idx="96">
                  <c:v>6.5947345132743367</c:v>
                </c:pt>
                <c:pt idx="97">
                  <c:v>6.6341379310344823</c:v>
                </c:pt>
                <c:pt idx="98">
                  <c:v>6.6061594202898553</c:v>
                </c:pt>
                <c:pt idx="99">
                  <c:v>6.4742105263157894</c:v>
                </c:pt>
                <c:pt idx="100">
                  <c:v>6.632421052631579</c:v>
                </c:pt>
                <c:pt idx="101">
                  <c:v>6.6694392523364483</c:v>
                </c:pt>
                <c:pt idx="102">
                  <c:v>6.8106206896551722</c:v>
                </c:pt>
                <c:pt idx="103">
                  <c:v>7.86</c:v>
                </c:pt>
                <c:pt idx="104">
                  <c:v>#N/A</c:v>
                </c:pt>
                <c:pt idx="105">
                  <c:v>6.48</c:v>
                </c:pt>
                <c:pt idx="106">
                  <c:v>#N/A</c:v>
                </c:pt>
                <c:pt idx="107">
                  <c:v>#N/A</c:v>
                </c:pt>
                <c:pt idx="108">
                  <c:v>6.37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6.77</c:v>
                </c:pt>
                <c:pt idx="114">
                  <c:v>5.89</c:v>
                </c:pt>
                <c:pt idx="115">
                  <c:v>#N/A</c:v>
                </c:pt>
                <c:pt idx="116">
                  <c:v>5.5</c:v>
                </c:pt>
                <c:pt idx="117">
                  <c:v>#N/A</c:v>
                </c:pt>
                <c:pt idx="118">
                  <c:v>#N/A</c:v>
                </c:pt>
                <c:pt idx="119">
                  <c:v>5.9349999999999996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PoolLevel!$E$3</c:f>
              <c:strCache>
                <c:ptCount val="1"/>
                <c:pt idx="0">
                  <c:v>Small Lender</c:v>
                </c:pt>
              </c:strCache>
            </c:strRef>
          </c:tx>
          <c:marker>
            <c:symbol val="none"/>
          </c:marker>
          <c:cat>
            <c:numRef>
              <c:f>PoolLevel!$B$4:$B$123</c:f>
              <c:numCache>
                <c:formatCode>m/d/yyyy</c:formatCode>
                <c:ptCount val="120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</c:numCache>
            </c:numRef>
          </c:cat>
          <c:val>
            <c:numRef>
              <c:f>PoolLevel!$E$4:$E$123</c:f>
              <c:numCache>
                <c:formatCode>0.00</c:formatCode>
                <c:ptCount val="120"/>
                <c:pt idx="0">
                  <c:v>4.0292713077423556</c:v>
                </c:pt>
                <c:pt idx="1">
                  <c:v>4.0326439351593066</c:v>
                </c:pt>
                <c:pt idx="2">
                  <c:v>4.0136091661362192</c:v>
                </c:pt>
                <c:pt idx="3">
                  <c:v>4.2049160510409669</c:v>
                </c:pt>
                <c:pt idx="4">
                  <c:v>4.2893762311227839</c:v>
                </c:pt>
                <c:pt idx="5">
                  <c:v>4.2744139004149382</c:v>
                </c:pt>
                <c:pt idx="6">
                  <c:v>4.4161538461538461</c:v>
                </c:pt>
                <c:pt idx="7">
                  <c:v>4.6339791356184801</c:v>
                </c:pt>
                <c:pt idx="8">
                  <c:v>4.3585949943117175</c:v>
                </c:pt>
                <c:pt idx="9">
                  <c:v>4.3804644495412841</c:v>
                </c:pt>
                <c:pt idx="10">
                  <c:v>4.4667106710671067</c:v>
                </c:pt>
                <c:pt idx="11">
                  <c:v>4.5122021210230816</c:v>
                </c:pt>
                <c:pt idx="12">
                  <c:v>4.5604559650218617</c:v>
                </c:pt>
                <c:pt idx="13">
                  <c:v>4.5419607843137255</c:v>
                </c:pt>
                <c:pt idx="14">
                  <c:v>4.4715871979098631</c:v>
                </c:pt>
                <c:pt idx="15">
                  <c:v>4.5283301946013808</c:v>
                </c:pt>
                <c:pt idx="16">
                  <c:v>4.5644876543209874</c:v>
                </c:pt>
                <c:pt idx="17">
                  <c:v>4.478249063670412</c:v>
                </c:pt>
                <c:pt idx="18">
                  <c:v>4.5137945492662475</c:v>
                </c:pt>
                <c:pt idx="19">
                  <c:v>4.5148250000000001</c:v>
                </c:pt>
                <c:pt idx="20">
                  <c:v>4.3738364167478094</c:v>
                </c:pt>
                <c:pt idx="21">
                  <c:v>4.1280199430199431</c:v>
                </c:pt>
                <c:pt idx="22">
                  <c:v>3.9304855588112182</c:v>
                </c:pt>
                <c:pt idx="23">
                  <c:v>3.7581178947368423</c:v>
                </c:pt>
                <c:pt idx="24">
                  <c:v>3.7433420365535248</c:v>
                </c:pt>
                <c:pt idx="25">
                  <c:v>3.7339111747851002</c:v>
                </c:pt>
                <c:pt idx="26">
                  <c:v>3.7099337504600665</c:v>
                </c:pt>
                <c:pt idx="27">
                  <c:v>3.5958880936890045</c:v>
                </c:pt>
                <c:pt idx="28">
                  <c:v>3.631695067264574</c:v>
                </c:pt>
                <c:pt idx="29">
                  <c:v>3.6432513123359582</c:v>
                </c:pt>
                <c:pt idx="30">
                  <c:v>3.677646296696178</c:v>
                </c:pt>
                <c:pt idx="31">
                  <c:v>3.752032640949555</c:v>
                </c:pt>
                <c:pt idx="32">
                  <c:v>4.0732542746828457</c:v>
                </c:pt>
                <c:pt idx="33">
                  <c:v>3.8683670760039828</c:v>
                </c:pt>
                <c:pt idx="34">
                  <c:v>3.9891616314199396</c:v>
                </c:pt>
                <c:pt idx="35">
                  <c:v>4.0717039321511184</c:v>
                </c:pt>
                <c:pt idx="36">
                  <c:v>4.3062351980400164</c:v>
                </c:pt>
                <c:pt idx="37">
                  <c:v>4.1242911877394635</c:v>
                </c:pt>
                <c:pt idx="38">
                  <c:v>4.2107571801566577</c:v>
                </c:pt>
                <c:pt idx="39">
                  <c:v>4.3205293276108723</c:v>
                </c:pt>
                <c:pt idx="40">
                  <c:v>4.3408612204724406</c:v>
                </c:pt>
                <c:pt idx="41">
                  <c:v>4.6022926617455493</c:v>
                </c:pt>
                <c:pt idx="42">
                  <c:v>4.395429945880938</c:v>
                </c:pt>
                <c:pt idx="43">
                  <c:v>4.5478952879581156</c:v>
                </c:pt>
                <c:pt idx="44">
                  <c:v>4.6959080188679243</c:v>
                </c:pt>
                <c:pt idx="45">
                  <c:v>4.823563766388558</c:v>
                </c:pt>
                <c:pt idx="46">
                  <c:v>4.8169811320754716</c:v>
                </c:pt>
                <c:pt idx="47">
                  <c:v>4.9943731431966727</c:v>
                </c:pt>
                <c:pt idx="48">
                  <c:v>5.0189510901591046</c:v>
                </c:pt>
                <c:pt idx="49">
                  <c:v>4.941537530266344</c:v>
                </c:pt>
                <c:pt idx="50">
                  <c:v>5.151738473167045</c:v>
                </c:pt>
                <c:pt idx="51">
                  <c:v>4.8664612114771524</c:v>
                </c:pt>
                <c:pt idx="52">
                  <c:v>4.7065556182947486</c:v>
                </c:pt>
                <c:pt idx="53">
                  <c:v>4.6478582677165354</c:v>
                </c:pt>
                <c:pt idx="54">
                  <c:v>4.6539765510503175</c:v>
                </c:pt>
                <c:pt idx="55">
                  <c:v>4.6638649592549477</c:v>
                </c:pt>
                <c:pt idx="56">
                  <c:v>4.7756931012250163</c:v>
                </c:pt>
                <c:pt idx="57">
                  <c:v>5.0002510760401719</c:v>
                </c:pt>
                <c:pt idx="58">
                  <c:v>5.1613145539906107</c:v>
                </c:pt>
                <c:pt idx="59">
                  <c:v>5.2962028127313099</c:v>
                </c:pt>
                <c:pt idx="60">
                  <c:v>5.1788924731182799</c:v>
                </c:pt>
                <c:pt idx="61">
                  <c:v>5.2731155778894472</c:v>
                </c:pt>
                <c:pt idx="62">
                  <c:v>5.2865248226950357</c:v>
                </c:pt>
                <c:pt idx="63">
                  <c:v>5.2236041189931353</c:v>
                </c:pt>
                <c:pt idx="64">
                  <c:v>5.2146581691772882</c:v>
                </c:pt>
                <c:pt idx="65">
                  <c:v>5.254167400881057</c:v>
                </c:pt>
                <c:pt idx="66">
                  <c:v>5.2768128654970763</c:v>
                </c:pt>
                <c:pt idx="67">
                  <c:v>5.3857841328413283</c:v>
                </c:pt>
                <c:pt idx="68">
                  <c:v>5.5528234398782343</c:v>
                </c:pt>
                <c:pt idx="69">
                  <c:v>5.3978220140515223</c:v>
                </c:pt>
                <c:pt idx="70">
                  <c:v>5.3322008862629247</c:v>
                </c:pt>
                <c:pt idx="71">
                  <c:v>5.518167855183763</c:v>
                </c:pt>
                <c:pt idx="72">
                  <c:v>5.5367820990942995</c:v>
                </c:pt>
                <c:pt idx="73">
                  <c:v>5.3880502599653379</c:v>
                </c:pt>
                <c:pt idx="74">
                  <c:v>5.5721674876847294</c:v>
                </c:pt>
                <c:pt idx="75">
                  <c:v>5.69468</c:v>
                </c:pt>
                <c:pt idx="76">
                  <c:v>6.30480231436837</c:v>
                </c:pt>
                <c:pt idx="77">
                  <c:v>6.3725907752698721</c:v>
                </c:pt>
                <c:pt idx="78">
                  <c:v>6.2272332015810274</c:v>
                </c:pt>
                <c:pt idx="79">
                  <c:v>6.3768311688311687</c:v>
                </c:pt>
                <c:pt idx="80">
                  <c:v>6.4475167785234904</c:v>
                </c:pt>
                <c:pt idx="81">
                  <c:v>6.3473432835820898</c:v>
                </c:pt>
                <c:pt idx="82">
                  <c:v>6.2026535947712418</c:v>
                </c:pt>
                <c:pt idx="83">
                  <c:v>6.1763245033112586</c:v>
                </c:pt>
                <c:pt idx="84">
                  <c:v>6.1907136150234745</c:v>
                </c:pt>
                <c:pt idx="85">
                  <c:v>6.1068078175895764</c:v>
                </c:pt>
                <c:pt idx="86">
                  <c:v>6.2039655172413797</c:v>
                </c:pt>
                <c:pt idx="87">
                  <c:v>6.4203461918892186</c:v>
                </c:pt>
                <c:pt idx="88">
                  <c:v>6.5952353616532724</c:v>
                </c:pt>
                <c:pt idx="89">
                  <c:v>6.7157816091954023</c:v>
                </c:pt>
                <c:pt idx="90">
                  <c:v>6.7457671381936892</c:v>
                </c:pt>
                <c:pt idx="91">
                  <c:v>6.932586206896552</c:v>
                </c:pt>
                <c:pt idx="92">
                  <c:v>6.8497566137566137</c:v>
                </c:pt>
                <c:pt idx="93">
                  <c:v>6.6953164556962026</c:v>
                </c:pt>
                <c:pt idx="94">
                  <c:v>6.5186842105263159</c:v>
                </c:pt>
                <c:pt idx="95">
                  <c:v>6.1310937499999998</c:v>
                </c:pt>
                <c:pt idx="96">
                  <c:v>6.4248387096774193</c:v>
                </c:pt>
                <c:pt idx="97">
                  <c:v>6.5108291203235593</c:v>
                </c:pt>
                <c:pt idx="98">
                  <c:v>6.3810185185185189</c:v>
                </c:pt>
                <c:pt idx="99">
                  <c:v>6.3686563307493538</c:v>
                </c:pt>
                <c:pt idx="100">
                  <c:v>6.4637398373983741</c:v>
                </c:pt>
                <c:pt idx="101">
                  <c:v>6.483436385255648</c:v>
                </c:pt>
                <c:pt idx="102">
                  <c:v>6.5479828850855748</c:v>
                </c:pt>
                <c:pt idx="103">
                  <c:v>6.4406060606060604</c:v>
                </c:pt>
                <c:pt idx="104">
                  <c:v>6.2308823529411761</c:v>
                </c:pt>
                <c:pt idx="105">
                  <c:v>6.2974285714285712</c:v>
                </c:pt>
                <c:pt idx="106">
                  <c:v>6.264842105263158</c:v>
                </c:pt>
                <c:pt idx="107">
                  <c:v>6.1193069306930692</c:v>
                </c:pt>
                <c:pt idx="108">
                  <c:v>6.2129411764705882</c:v>
                </c:pt>
                <c:pt idx="109">
                  <c:v>6.1925714285714282</c:v>
                </c:pt>
                <c:pt idx="110">
                  <c:v>6.3875000000000002</c:v>
                </c:pt>
                <c:pt idx="111">
                  <c:v>6.12</c:v>
                </c:pt>
                <c:pt idx="112">
                  <c:v>6.3566666666666665</c:v>
                </c:pt>
                <c:pt idx="113">
                  <c:v>6.3449999999999998</c:v>
                </c:pt>
                <c:pt idx="114">
                  <c:v>6.9285714285714288</c:v>
                </c:pt>
                <c:pt idx="115">
                  <c:v>6.34</c:v>
                </c:pt>
                <c:pt idx="116">
                  <c:v>6.23</c:v>
                </c:pt>
                <c:pt idx="117">
                  <c:v>5.7712500000000002</c:v>
                </c:pt>
                <c:pt idx="118">
                  <c:v>6.03125</c:v>
                </c:pt>
                <c:pt idx="119">
                  <c:v>6.4154545454545451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463936"/>
        <c:axId val="311465472"/>
      </c:lineChart>
      <c:dateAx>
        <c:axId val="31146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1465472"/>
        <c:crosses val="autoZero"/>
        <c:auto val="1"/>
        <c:lblOffset val="100"/>
        <c:baseTimeUnit val="months"/>
        <c:majorUnit val="6"/>
        <c:majorTimeUnit val="months"/>
      </c:dateAx>
      <c:valAx>
        <c:axId val="311465472"/>
        <c:scaling>
          <c:orientation val="minMax"/>
          <c:min val="3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114639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PoolLevel!$F$3</c:f>
              <c:strCache>
                <c:ptCount val="1"/>
                <c:pt idx="0">
                  <c:v>1-2</c:v>
                </c:pt>
              </c:strCache>
            </c:strRef>
          </c:tx>
          <c:invertIfNegative val="0"/>
          <c:cat>
            <c:numRef>
              <c:f>PoolLevel!$B$4:$B$106</c:f>
              <c:numCache>
                <c:formatCode>m/d/yyyy</c:formatCode>
                <c:ptCount val="103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</c:numCache>
            </c:numRef>
          </c:cat>
          <c:val>
            <c:numRef>
              <c:f>PoolLevel!$F$4:$F$106</c:f>
              <c:numCache>
                <c:formatCode>0.00</c:formatCode>
                <c:ptCount val="103"/>
                <c:pt idx="0">
                  <c:v>-0.11188682798229932</c:v>
                </c:pt>
                <c:pt idx="1">
                  <c:v>-0.10565714214476296</c:v>
                </c:pt>
                <c:pt idx="2">
                  <c:v>6.6983116748948746E-2</c:v>
                </c:pt>
                <c:pt idx="3">
                  <c:v>4.3127462072969358E-2</c:v>
                </c:pt>
                <c:pt idx="4">
                  <c:v>-6.8819872946444427E-2</c:v>
                </c:pt>
                <c:pt idx="5">
                  <c:v>-0.17088334183706877</c:v>
                </c:pt>
                <c:pt idx="6">
                  <c:v>-0.11033345445397913</c:v>
                </c:pt>
                <c:pt idx="7">
                  <c:v>-0.10766744211634904</c:v>
                </c:pt>
                <c:pt idx="8">
                  <c:v>-5.2551270278542894E-2</c:v>
                </c:pt>
                <c:pt idx="9">
                  <c:v>-0.13832768908240656</c:v>
                </c:pt>
                <c:pt idx="10">
                  <c:v>-4.4365065159767347E-2</c:v>
                </c:pt>
                <c:pt idx="11">
                  <c:v>-0.15949281439679286</c:v>
                </c:pt>
                <c:pt idx="12">
                  <c:v>-8.4541026476510517E-2</c:v>
                </c:pt>
                <c:pt idx="13">
                  <c:v>1.6866602763799143E-2</c:v>
                </c:pt>
                <c:pt idx="14">
                  <c:v>-7.158121386858074E-2</c:v>
                </c:pt>
                <c:pt idx="15">
                  <c:v>-9.6556669386122174E-2</c:v>
                </c:pt>
                <c:pt idx="16">
                  <c:v>1.247695234004631E-2</c:v>
                </c:pt>
                <c:pt idx="17">
                  <c:v>4.0385181209597221E-2</c:v>
                </c:pt>
                <c:pt idx="18">
                  <c:v>-8.7145734552687593E-2</c:v>
                </c:pt>
                <c:pt idx="19">
                  <c:v>-8.3988638669101334E-2</c:v>
                </c:pt>
                <c:pt idx="20">
                  <c:v>-9.9468371805281564E-2</c:v>
                </c:pt>
                <c:pt idx="21">
                  <c:v>-7.4949662282260743E-2</c:v>
                </c:pt>
                <c:pt idx="22">
                  <c:v>-9.2819814770331188E-2</c:v>
                </c:pt>
                <c:pt idx="23">
                  <c:v>3.6078922553985038E-2</c:v>
                </c:pt>
                <c:pt idx="24">
                  <c:v>3.0577273790039605E-2</c:v>
                </c:pt>
                <c:pt idx="25">
                  <c:v>-4.1148938758134079E-2</c:v>
                </c:pt>
                <c:pt idx="26">
                  <c:v>-2.6574882016266788E-2</c:v>
                </c:pt>
                <c:pt idx="27">
                  <c:v>0.1203346164272161</c:v>
                </c:pt>
                <c:pt idx="28">
                  <c:v>9.4802978283195394E-2</c:v>
                </c:pt>
                <c:pt idx="29">
                  <c:v>-6.0593881671113792E-3</c:v>
                </c:pt>
                <c:pt idx="30">
                  <c:v>5.1664756811815593E-3</c:v>
                </c:pt>
                <c:pt idx="31">
                  <c:v>-4.2537255342884883E-3</c:v>
                </c:pt>
                <c:pt idx="32">
                  <c:v>0.1560796016407866</c:v>
                </c:pt>
                <c:pt idx="33">
                  <c:v>4.7190521372550975E-2</c:v>
                </c:pt>
                <c:pt idx="34">
                  <c:v>9.322083103250467E-2</c:v>
                </c:pt>
                <c:pt idx="35">
                  <c:v>6.8713286960376152E-2</c:v>
                </c:pt>
                <c:pt idx="36">
                  <c:v>5.5598142134808626E-2</c:v>
                </c:pt>
                <c:pt idx="37">
                  <c:v>3.1568538039930871E-2</c:v>
                </c:pt>
                <c:pt idx="38">
                  <c:v>0.13943108681599714</c:v>
                </c:pt>
                <c:pt idx="39">
                  <c:v>0.11872244658451603</c:v>
                </c:pt>
                <c:pt idx="40">
                  <c:v>0.14543042631332703</c:v>
                </c:pt>
                <c:pt idx="41">
                  <c:v>0.18876559060895115</c:v>
                </c:pt>
                <c:pt idx="42">
                  <c:v>0.16193509615384638</c:v>
                </c:pt>
                <c:pt idx="43">
                  <c:v>0.2000603888560093</c:v>
                </c:pt>
                <c:pt idx="44">
                  <c:v>0.11406470412927572</c:v>
                </c:pt>
                <c:pt idx="45">
                  <c:v>0.12899589827727631</c:v>
                </c:pt>
                <c:pt idx="46">
                  <c:v>1.7407579787234617E-2</c:v>
                </c:pt>
                <c:pt idx="47">
                  <c:v>-3.4964379764379494E-2</c:v>
                </c:pt>
                <c:pt idx="48">
                  <c:v>-9.9803145572376017E-2</c:v>
                </c:pt>
                <c:pt idx="49">
                  <c:v>-0.2120300163725668</c:v>
                </c:pt>
                <c:pt idx="50">
                  <c:v>-0.21308830726730843</c:v>
                </c:pt>
                <c:pt idx="51">
                  <c:v>-2.2247014231567164E-2</c:v>
                </c:pt>
                <c:pt idx="52">
                  <c:v>-4.9057945668646852E-3</c:v>
                </c:pt>
                <c:pt idx="53">
                  <c:v>6.6804859251939241E-2</c:v>
                </c:pt>
                <c:pt idx="54">
                  <c:v>9.1675397326550723E-2</c:v>
                </c:pt>
                <c:pt idx="55">
                  <c:v>0.1023508492334031</c:v>
                </c:pt>
                <c:pt idx="56">
                  <c:v>9.6947629138344205E-2</c:v>
                </c:pt>
                <c:pt idx="57">
                  <c:v>2.0550672455787122E-2</c:v>
                </c:pt>
                <c:pt idx="58">
                  <c:v>-0.15476856994741972</c:v>
                </c:pt>
                <c:pt idx="59">
                  <c:v>-0.10726147176221712</c:v>
                </c:pt>
                <c:pt idx="60">
                  <c:v>-0.14619821377124786</c:v>
                </c:pt>
                <c:pt idx="61">
                  <c:v>-0.14925347222222207</c:v>
                </c:pt>
                <c:pt idx="62">
                  <c:v>-6.095098039215685E-2</c:v>
                </c:pt>
                <c:pt idx="63">
                  <c:v>1.5300408555635414E-2</c:v>
                </c:pt>
                <c:pt idx="64">
                  <c:v>6.9892973324658492E-2</c:v>
                </c:pt>
                <c:pt idx="65">
                  <c:v>1.9796606838726305E-2</c:v>
                </c:pt>
                <c:pt idx="66">
                  <c:v>4.1542946348923415E-2</c:v>
                </c:pt>
                <c:pt idx="67">
                  <c:v>-0.13932393204684157</c:v>
                </c:pt>
                <c:pt idx="68">
                  <c:v>8.2260104041616877E-2</c:v>
                </c:pt>
                <c:pt idx="69">
                  <c:v>-8.1777180210314881E-2</c:v>
                </c:pt>
                <c:pt idx="70">
                  <c:v>-9.1782844493635274E-2</c:v>
                </c:pt>
                <c:pt idx="71">
                  <c:v>-0.1011857309941524</c:v>
                </c:pt>
                <c:pt idx="72">
                  <c:v>0.11337193675889345</c:v>
                </c:pt>
                <c:pt idx="73">
                  <c:v>-0.3417355027117237</c:v>
                </c:pt>
                <c:pt idx="74">
                  <c:v>-9.0565873980211542E-2</c:v>
                </c:pt>
                <c:pt idx="75">
                  <c:v>0.18150035521066776</c:v>
                </c:pt>
                <c:pt idx="76">
                  <c:v>-0.15247968266253853</c:v>
                </c:pt>
                <c:pt idx="77">
                  <c:v>-0.22922506457795233</c:v>
                </c:pt>
                <c:pt idx="78">
                  <c:v>-5.8765642920860728E-2</c:v>
                </c:pt>
                <c:pt idx="79">
                  <c:v>-0.19731058843801108</c:v>
                </c:pt>
                <c:pt idx="80">
                  <c:v>-0.29162979046661963</c:v>
                </c:pt>
                <c:pt idx="81">
                  <c:v>-0.42825471338065846</c:v>
                </c:pt>
                <c:pt idx="82">
                  <c:v>-0.42969556500530004</c:v>
                </c:pt>
                <c:pt idx="83">
                  <c:v>-0.51544721527320547</c:v>
                </c:pt>
                <c:pt idx="84">
                  <c:v>-0.24808495644090822</c:v>
                </c:pt>
                <c:pt idx="85">
                  <c:v>-0.29520074912132177</c:v>
                </c:pt>
                <c:pt idx="86">
                  <c:v>-0.20970346457600719</c:v>
                </c:pt>
                <c:pt idx="87">
                  <c:v>-0.35786620656518231</c:v>
                </c:pt>
                <c:pt idx="88">
                  <c:v>-0.34169851578925492</c:v>
                </c:pt>
                <c:pt idx="89">
                  <c:v>-0.42084958589366828</c:v>
                </c:pt>
                <c:pt idx="90">
                  <c:v>-0.33068058622766561</c:v>
                </c:pt>
                <c:pt idx="91">
                  <c:v>-0.30807913029131306</c:v>
                </c:pt>
                <c:pt idx="92">
                  <c:v>-0.36285822237919607</c:v>
                </c:pt>
                <c:pt idx="93">
                  <c:v>-0.34597567498726445</c:v>
                </c:pt>
                <c:pt idx="94">
                  <c:v>-0.42882051282051314</c:v>
                </c:pt>
                <c:pt idx="95">
                  <c:v>-0.68291666666666639</c:v>
                </c:pt>
                <c:pt idx="96">
                  <c:v>-0.14668978022960388</c:v>
                </c:pt>
                <c:pt idx="97">
                  <c:v>-0.21195136387030367</c:v>
                </c:pt>
                <c:pt idx="98">
                  <c:v>-0.17785638998682529</c:v>
                </c:pt>
                <c:pt idx="99">
                  <c:v>-6.835404483430807E-2</c:v>
                </c:pt>
                <c:pt idx="100">
                  <c:v>-0.21651598424863483</c:v>
                </c:pt>
                <c:pt idx="101">
                  <c:v>-0.13128367896034554</c:v>
                </c:pt>
                <c:pt idx="102">
                  <c:v>-0.22552035520701175</c:v>
                </c:pt>
              </c:numCache>
            </c:numRef>
          </c:val>
        </c:ser>
        <c:ser>
          <c:idx val="4"/>
          <c:order val="1"/>
          <c:tx>
            <c:strRef>
              <c:f>PoolLevel!$G$3</c:f>
              <c:strCache>
                <c:ptCount val="1"/>
                <c:pt idx="0">
                  <c:v>1-3</c:v>
                </c:pt>
              </c:strCache>
            </c:strRef>
          </c:tx>
          <c:invertIfNegative val="0"/>
          <c:cat>
            <c:numRef>
              <c:f>PoolLevel!$B$4:$B$106</c:f>
              <c:numCache>
                <c:formatCode>m/d/yyyy</c:formatCode>
                <c:ptCount val="103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</c:numCache>
            </c:numRef>
          </c:cat>
          <c:val>
            <c:numRef>
              <c:f>PoolLevel!$G$4:$G$106</c:f>
              <c:numCache>
                <c:formatCode>0.00</c:formatCode>
                <c:ptCount val="103"/>
                <c:pt idx="0">
                  <c:v>-3.7975761183651091E-2</c:v>
                </c:pt>
                <c:pt idx="1">
                  <c:v>-3.4726364660391251E-2</c:v>
                </c:pt>
                <c:pt idx="2">
                  <c:v>0.14736882897380532</c:v>
                </c:pt>
                <c:pt idx="3">
                  <c:v>4.0509957927643114E-2</c:v>
                </c:pt>
                <c:pt idx="4">
                  <c:v>-6.1910793334765124E-2</c:v>
                </c:pt>
                <c:pt idx="5">
                  <c:v>-7.4491873124490127E-2</c:v>
                </c:pt>
                <c:pt idx="6">
                  <c:v>-0.12325421790105828</c:v>
                </c:pt>
                <c:pt idx="7">
                  <c:v>-9.7531533487041244E-2</c:v>
                </c:pt>
                <c:pt idx="8">
                  <c:v>-2.4520920237643296E-2</c:v>
                </c:pt>
                <c:pt idx="9">
                  <c:v>-0.10111434471948133</c:v>
                </c:pt>
                <c:pt idx="10">
                  <c:v>-5.7380572494380999E-4</c:v>
                </c:pt>
                <c:pt idx="11">
                  <c:v>-0.11394969383861575</c:v>
                </c:pt>
                <c:pt idx="12">
                  <c:v>-0.11546837196975268</c:v>
                </c:pt>
                <c:pt idx="13">
                  <c:v>-7.5215319772770073E-3</c:v>
                </c:pt>
                <c:pt idx="14">
                  <c:v>4.5064072297988922E-2</c:v>
                </c:pt>
                <c:pt idx="15">
                  <c:v>-7.3872600913017727E-2</c:v>
                </c:pt>
                <c:pt idx="16">
                  <c:v>-4.3485522124825593E-2</c:v>
                </c:pt>
                <c:pt idx="17">
                  <c:v>3.6413315750809971E-2</c:v>
                </c:pt>
                <c:pt idx="18">
                  <c:v>-7.7629135732412813E-2</c:v>
                </c:pt>
                <c:pt idx="19">
                  <c:v>-0.15193191823899355</c:v>
                </c:pt>
                <c:pt idx="20">
                  <c:v>-0.15436344377483646</c:v>
                </c:pt>
                <c:pt idx="21">
                  <c:v>-0.13137166715787396</c:v>
                </c:pt>
                <c:pt idx="22">
                  <c:v>-0.16739377137160449</c:v>
                </c:pt>
                <c:pt idx="23">
                  <c:v>6.668859714830111E-2</c:v>
                </c:pt>
                <c:pt idx="24">
                  <c:v>0.1327458755343871</c:v>
                </c:pt>
                <c:pt idx="25">
                  <c:v>7.7409022259234739E-2</c:v>
                </c:pt>
                <c:pt idx="26">
                  <c:v>2.3597278008029576E-3</c:v>
                </c:pt>
                <c:pt idx="27">
                  <c:v>0.15228333488242418</c:v>
                </c:pt>
                <c:pt idx="28">
                  <c:v>0.13290114410132814</c:v>
                </c:pt>
                <c:pt idx="29">
                  <c:v>0.12842350428995886</c:v>
                </c:pt>
                <c:pt idx="30">
                  <c:v>0.15741322711334593</c:v>
                </c:pt>
                <c:pt idx="31">
                  <c:v>0.13618398924738173</c:v>
                </c:pt>
                <c:pt idx="32">
                  <c:v>7.0423443127485719E-2</c:v>
                </c:pt>
                <c:pt idx="33">
                  <c:v>0.17249623334853492</c:v>
                </c:pt>
                <c:pt idx="34">
                  <c:v>0.2110464954383362</c:v>
                </c:pt>
                <c:pt idx="35">
                  <c:v>0.16855944932721645</c:v>
                </c:pt>
                <c:pt idx="36">
                  <c:v>-1.6258916308853344E-3</c:v>
                </c:pt>
                <c:pt idx="37">
                  <c:v>5.5062817428495059E-2</c:v>
                </c:pt>
                <c:pt idx="38">
                  <c:v>5.1608689268035413E-2</c:v>
                </c:pt>
                <c:pt idx="39">
                  <c:v>5.1342544260999823E-2</c:v>
                </c:pt>
                <c:pt idx="40">
                  <c:v>9.0099291800771475E-2</c:v>
                </c:pt>
                <c:pt idx="41">
                  <c:v>2.9001664495585722E-2</c:v>
                </c:pt>
                <c:pt idx="42">
                  <c:v>0.11035130411906202</c:v>
                </c:pt>
                <c:pt idx="43">
                  <c:v>0.11165459038738312</c:v>
                </c:pt>
                <c:pt idx="44">
                  <c:v>8.7755347468709388E-2</c:v>
                </c:pt>
                <c:pt idx="45">
                  <c:v>4.7606044932196667E-2</c:v>
                </c:pt>
                <c:pt idx="46">
                  <c:v>9.9362617924528607E-2</c:v>
                </c:pt>
                <c:pt idx="47">
                  <c:v>-2.7470856294385726E-2</c:v>
                </c:pt>
                <c:pt idx="48">
                  <c:v>-9.1416573393818368E-2</c:v>
                </c:pt>
                <c:pt idx="49">
                  <c:v>-5.9437111856301961E-2</c:v>
                </c:pt>
                <c:pt idx="50">
                  <c:v>-0.17881871591822485</c:v>
                </c:pt>
                <c:pt idx="51">
                  <c:v>-0.19949918616069695</c:v>
                </c:pt>
                <c:pt idx="52">
                  <c:v>-0.11268363508383583</c:v>
                </c:pt>
                <c:pt idx="53">
                  <c:v>-5.5285490375858615E-2</c:v>
                </c:pt>
                <c:pt idx="54">
                  <c:v>2.8528540599377372E-2</c:v>
                </c:pt>
                <c:pt idx="55">
                  <c:v>0.10079881514852307</c:v>
                </c:pt>
                <c:pt idx="56">
                  <c:v>0.12007226190347531</c:v>
                </c:pt>
                <c:pt idx="57">
                  <c:v>-1.3784910626638336E-2</c:v>
                </c:pt>
                <c:pt idx="58">
                  <c:v>-8.5606933461839674E-2</c:v>
                </c:pt>
                <c:pt idx="59">
                  <c:v>-2.6026267964601502E-2</c:v>
                </c:pt>
                <c:pt idx="60">
                  <c:v>-4.3405293631100683E-2</c:v>
                </c:pt>
                <c:pt idx="61">
                  <c:v>-0.14971280011166943</c:v>
                </c:pt>
                <c:pt idx="62">
                  <c:v>-0.12147580308719252</c:v>
                </c:pt>
                <c:pt idx="63">
                  <c:v>-0.11154932447258759</c:v>
                </c:pt>
                <c:pt idx="64">
                  <c:v>-7.9799678611250258E-2</c:v>
                </c:pt>
                <c:pt idx="65">
                  <c:v>-9.7753146983507122E-2</c:v>
                </c:pt>
                <c:pt idx="66">
                  <c:v>-3.4654078699576374E-3</c:v>
                </c:pt>
                <c:pt idx="67">
                  <c:v>-0.14363519667111557</c:v>
                </c:pt>
                <c:pt idx="68">
                  <c:v>3.4470677768824842E-2</c:v>
                </c:pt>
                <c:pt idx="69">
                  <c:v>-0.1465612195782926</c:v>
                </c:pt>
                <c:pt idx="70">
                  <c:v>-0.14484704010907823</c:v>
                </c:pt>
                <c:pt idx="71">
                  <c:v>0.12320641382208475</c:v>
                </c:pt>
                <c:pt idx="72">
                  <c:v>-5.1127553639753742E-2</c:v>
                </c:pt>
                <c:pt idx="73">
                  <c:v>-0.21765810310259326</c:v>
                </c:pt>
                <c:pt idx="74">
                  <c:v>-0.1113047902363693</c:v>
                </c:pt>
                <c:pt idx="75">
                  <c:v>-7.5076196513470528E-2</c:v>
                </c:pt>
                <c:pt idx="76">
                  <c:v>-0.32419376173679115</c:v>
                </c:pt>
                <c:pt idx="77">
                  <c:v>-0.12454311257509687</c:v>
                </c:pt>
                <c:pt idx="78">
                  <c:v>5.3323189396416559E-2</c:v>
                </c:pt>
                <c:pt idx="79">
                  <c:v>1.3118516703422678E-2</c:v>
                </c:pt>
                <c:pt idx="80">
                  <c:v>1.8308746189124037E-3</c:v>
                </c:pt>
                <c:pt idx="81">
                  <c:v>-5.1434515082027232E-3</c:v>
                </c:pt>
                <c:pt idx="82">
                  <c:v>6.6380998953617265E-2</c:v>
                </c:pt>
                <c:pt idx="83">
                  <c:v>-3.0491718584464422E-2</c:v>
                </c:pt>
                <c:pt idx="84">
                  <c:v>2.605172793681465E-2</c:v>
                </c:pt>
                <c:pt idx="85">
                  <c:v>4.2472307606042037E-2</c:v>
                </c:pt>
                <c:pt idx="86">
                  <c:v>-9.6319584227025246E-2</c:v>
                </c:pt>
                <c:pt idx="87">
                  <c:v>-0.1065073293299772</c:v>
                </c:pt>
                <c:pt idx="88">
                  <c:v>-0.12190900182063658</c:v>
                </c:pt>
                <c:pt idx="89">
                  <c:v>-0.13683424077435014</c:v>
                </c:pt>
                <c:pt idx="90">
                  <c:v>-5.4094783244884148E-2</c:v>
                </c:pt>
                <c:pt idx="91">
                  <c:v>-0.22832083958020988</c:v>
                </c:pt>
                <c:pt idx="92">
                  <c:v>-0.1831361631500279</c:v>
                </c:pt>
                <c:pt idx="93">
                  <c:v>-9.7157515298851749E-2</c:v>
                </c:pt>
                <c:pt idx="94">
                  <c:v>0.24864912280701734</c:v>
                </c:pt>
                <c:pt idx="95">
                  <c:v>3.5989583333333464E-2</c:v>
                </c:pt>
                <c:pt idx="96">
                  <c:v>2.3206023367313477E-2</c:v>
                </c:pt>
                <c:pt idx="97">
                  <c:v>-8.8642553159380633E-2</c:v>
                </c:pt>
                <c:pt idx="98">
                  <c:v>4.7284511784511096E-2</c:v>
                </c:pt>
                <c:pt idx="99">
                  <c:v>3.7200150732127568E-2</c:v>
                </c:pt>
                <c:pt idx="100">
                  <c:v>-4.7834769015429934E-2</c:v>
                </c:pt>
                <c:pt idx="101">
                  <c:v>5.4719188120454731E-2</c:v>
                </c:pt>
                <c:pt idx="102">
                  <c:v>3.7117449362585653E-2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568256"/>
        <c:axId val="311569792"/>
      </c:barChart>
      <c:dateAx>
        <c:axId val="311568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311569792"/>
        <c:crosses val="autoZero"/>
        <c:auto val="1"/>
        <c:lblOffset val="100"/>
        <c:baseTimeUnit val="months"/>
        <c:majorUnit val="6"/>
        <c:majorTimeUnit val="months"/>
      </c:dateAx>
      <c:valAx>
        <c:axId val="311569792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311568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LoanLevel!$C$3</c:f>
              <c:strCache>
                <c:ptCount val="1"/>
                <c:pt idx="0">
                  <c:v>NoteRate</c:v>
                </c:pt>
              </c:strCache>
            </c:strRef>
          </c:tx>
          <c:marker>
            <c:symbol val="none"/>
          </c:marker>
          <c:cat>
            <c:numRef>
              <c:f>LoanLevel!$B$4:$B$129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LoanLevel!$C$4:$C$129</c:f>
              <c:numCache>
                <c:formatCode>General</c:formatCode>
                <c:ptCount val="126"/>
                <c:pt idx="0">
                  <c:v>4.0494685039369998</c:v>
                </c:pt>
                <c:pt idx="1">
                  <c:v>4.1309791852410598</c:v>
                </c:pt>
                <c:pt idx="2">
                  <c:v>4.0349233696411098</c:v>
                </c:pt>
                <c:pt idx="3">
                  <c:v>4.1462932609113601</c:v>
                </c:pt>
                <c:pt idx="4">
                  <c:v>4.2898292327319103</c:v>
                </c:pt>
                <c:pt idx="5">
                  <c:v>4.3502841724089398</c:v>
                </c:pt>
                <c:pt idx="6">
                  <c:v>4.4014198445020298</c:v>
                </c:pt>
                <c:pt idx="7">
                  <c:v>4.6343512256881496</c:v>
                </c:pt>
                <c:pt idx="8">
                  <c:v>4.49423910948342</c:v>
                </c:pt>
                <c:pt idx="9">
                  <c:v>4.4184286528179504</c:v>
                </c:pt>
                <c:pt idx="10">
                  <c:v>4.4864489218660299</c:v>
                </c:pt>
                <c:pt idx="11">
                  <c:v>4.5996196449530498</c:v>
                </c:pt>
                <c:pt idx="12">
                  <c:v>4.6253476993545704</c:v>
                </c:pt>
                <c:pt idx="13">
                  <c:v>4.6431967001804502</c:v>
                </c:pt>
                <c:pt idx="14">
                  <c:v>4.6526377313799401</c:v>
                </c:pt>
                <c:pt idx="15">
                  <c:v>4.7278443383717796</c:v>
                </c:pt>
                <c:pt idx="16">
                  <c:v>4.6701243630873703</c:v>
                </c:pt>
                <c:pt idx="17">
                  <c:v>4.6178736440337396</c:v>
                </c:pt>
                <c:pt idx="18">
                  <c:v>4.6588449980117002</c:v>
                </c:pt>
                <c:pt idx="19">
                  <c:v>4.6846957837447203</c:v>
                </c:pt>
                <c:pt idx="20">
                  <c:v>4.6106840992703102</c:v>
                </c:pt>
                <c:pt idx="21">
                  <c:v>4.3523140316297502</c:v>
                </c:pt>
                <c:pt idx="22">
                  <c:v>4.0043737390958398</c:v>
                </c:pt>
                <c:pt idx="23">
                  <c:v>3.8003082962475898</c:v>
                </c:pt>
                <c:pt idx="24">
                  <c:v>3.8278388710041402</c:v>
                </c:pt>
                <c:pt idx="25">
                  <c:v>3.8791931919463001</c:v>
                </c:pt>
                <c:pt idx="26">
                  <c:v>3.8494599652044501</c:v>
                </c:pt>
                <c:pt idx="27">
                  <c:v>3.7542080107757601</c:v>
                </c:pt>
                <c:pt idx="28">
                  <c:v>3.6861640503009698</c:v>
                </c:pt>
                <c:pt idx="29">
                  <c:v>3.7513119292196699</c:v>
                </c:pt>
                <c:pt idx="30">
                  <c:v>3.80444295888379</c:v>
                </c:pt>
                <c:pt idx="31">
                  <c:v>3.8501827719942798</c:v>
                </c:pt>
                <c:pt idx="32">
                  <c:v>3.8851657961328798</c:v>
                </c:pt>
                <c:pt idx="33">
                  <c:v>3.9330528569231999</c:v>
                </c:pt>
                <c:pt idx="34">
                  <c:v>4.0639813086545002</c:v>
                </c:pt>
                <c:pt idx="35">
                  <c:v>4.1536279665880196</c:v>
                </c:pt>
                <c:pt idx="36">
                  <c:v>4.3387699009056302</c:v>
                </c:pt>
                <c:pt idx="37">
                  <c:v>4.2229502227827602</c:v>
                </c:pt>
                <c:pt idx="38">
                  <c:v>4.2271606127902999</c:v>
                </c:pt>
                <c:pt idx="39">
                  <c:v>4.2259777566405896</c:v>
                </c:pt>
                <c:pt idx="40">
                  <c:v>4.3133330547542599</c:v>
                </c:pt>
                <c:pt idx="41">
                  <c:v>4.3769175709635002</c:v>
                </c:pt>
                <c:pt idx="42">
                  <c:v>4.3733129301055103</c:v>
                </c:pt>
                <c:pt idx="43">
                  <c:v>4.49863074972835</c:v>
                </c:pt>
                <c:pt idx="44">
                  <c:v>4.6482474059449297</c:v>
                </c:pt>
                <c:pt idx="45">
                  <c:v>4.8457829696568897</c:v>
                </c:pt>
                <c:pt idx="46">
                  <c:v>4.9628793120647998</c:v>
                </c:pt>
                <c:pt idx="47">
                  <c:v>4.9978427568114103</c:v>
                </c:pt>
                <c:pt idx="48">
                  <c:v>5.1442998979530499</c:v>
                </c:pt>
                <c:pt idx="49">
                  <c:v>5.1382030398690501</c:v>
                </c:pt>
                <c:pt idx="50">
                  <c:v>5.0728286303908297</c:v>
                </c:pt>
                <c:pt idx="51">
                  <c:v>4.88955403929429</c:v>
                </c:pt>
                <c:pt idx="52">
                  <c:v>4.6452323968705498</c:v>
                </c:pt>
                <c:pt idx="53">
                  <c:v>4.5071047101001298</c:v>
                </c:pt>
                <c:pt idx="54">
                  <c:v>4.5270813638841298</c:v>
                </c:pt>
                <c:pt idx="55">
                  <c:v>4.6529607514989202</c:v>
                </c:pt>
                <c:pt idx="56">
                  <c:v>4.7149745189416699</c:v>
                </c:pt>
                <c:pt idx="57">
                  <c:v>4.84186038524712</c:v>
                </c:pt>
                <c:pt idx="58">
                  <c:v>5.0047223685494</c:v>
                </c:pt>
                <c:pt idx="59">
                  <c:v>5.1519638197333997</c:v>
                </c:pt>
                <c:pt idx="60">
                  <c:v>5.2225869542716303</c:v>
                </c:pt>
                <c:pt idx="61">
                  <c:v>5.2006432603080404</c:v>
                </c:pt>
                <c:pt idx="62">
                  <c:v>5.1613985261298101</c:v>
                </c:pt>
                <c:pt idx="63">
                  <c:v>5.1557443046582696</c:v>
                </c:pt>
                <c:pt idx="64">
                  <c:v>5.0964886494886397</c:v>
                </c:pt>
                <c:pt idx="65">
                  <c:v>5.1208530798412299</c:v>
                </c:pt>
                <c:pt idx="66">
                  <c:v>5.12567337011121</c:v>
                </c:pt>
                <c:pt idx="67">
                  <c:v>5.1775412746884601</c:v>
                </c:pt>
                <c:pt idx="68">
                  <c:v>5.1364082034284504</c:v>
                </c:pt>
                <c:pt idx="69">
                  <c:v>5.1442481007163003</c:v>
                </c:pt>
                <c:pt idx="70">
                  <c:v>4.9592367490233302</c:v>
                </c:pt>
                <c:pt idx="71">
                  <c:v>4.8647062738518798</c:v>
                </c:pt>
                <c:pt idx="72">
                  <c:v>4.9923121425297401</c:v>
                </c:pt>
                <c:pt idx="73">
                  <c:v>5.3999815094408197</c:v>
                </c:pt>
                <c:pt idx="74">
                  <c:v>4.9179899682853803</c:v>
                </c:pt>
                <c:pt idx="75">
                  <c:v>4.9724475365289704</c:v>
                </c:pt>
                <c:pt idx="76">
                  <c:v>5.0509101839159198</c:v>
                </c:pt>
                <c:pt idx="77">
                  <c:v>5.71385681848537</c:v>
                </c:pt>
                <c:pt idx="78">
                  <c:v>6.10647975360519</c:v>
                </c:pt>
                <c:pt idx="79">
                  <c:v>6.3182248017395697</c:v>
                </c:pt>
                <c:pt idx="80">
                  <c:v>6.4218816378371804</c:v>
                </c:pt>
                <c:pt idx="81">
                  <c:v>6.4909743488399601</c:v>
                </c:pt>
                <c:pt idx="82">
                  <c:v>6.4412567091028601</c:v>
                </c:pt>
                <c:pt idx="83">
                  <c:v>6.2014520372738904</c:v>
                </c:pt>
                <c:pt idx="84">
                  <c:v>6.0399560478885999</c:v>
                </c:pt>
                <c:pt idx="85">
                  <c:v>6.1046790596330203</c:v>
                </c:pt>
                <c:pt idx="86">
                  <c:v>5.97807250669607</c:v>
                </c:pt>
                <c:pt idx="87">
                  <c:v>5.9953588500525399</c:v>
                </c:pt>
                <c:pt idx="88">
                  <c:v>6.14655328097406</c:v>
                </c:pt>
                <c:pt idx="89">
                  <c:v>6.3884422330096999</c:v>
                </c:pt>
                <c:pt idx="90">
                  <c:v>6.4943869446223701</c:v>
                </c:pt>
                <c:pt idx="91">
                  <c:v>6.6089324449953502</c:v>
                </c:pt>
                <c:pt idx="92">
                  <c:v>6.7456027275422397</c:v>
                </c:pt>
                <c:pt idx="93">
                  <c:v>6.7336949788066498</c:v>
                </c:pt>
                <c:pt idx="94">
                  <c:v>6.6309603085026296</c:v>
                </c:pt>
                <c:pt idx="95">
                  <c:v>6.4501169463396604</c:v>
                </c:pt>
                <c:pt idx="96">
                  <c:v>6.3683067840350596</c:v>
                </c:pt>
                <c:pt idx="97">
                  <c:v>6.2812562616127803</c:v>
                </c:pt>
                <c:pt idx="98">
                  <c:v>6.3586124560048001</c:v>
                </c:pt>
                <c:pt idx="99">
                  <c:v>6.3578005025827098</c:v>
                </c:pt>
                <c:pt idx="100">
                  <c:v>6.3506783673804899</c:v>
                </c:pt>
                <c:pt idx="101">
                  <c:v>6.3509745999614404</c:v>
                </c:pt>
                <c:pt idx="102">
                  <c:v>6.4989568818075396</c:v>
                </c:pt>
                <c:pt idx="103">
                  <c:v>6.57800330899732</c:v>
                </c:pt>
                <c:pt idx="104">
                  <c:v>6.6419454618010896</c:v>
                </c:pt>
                <c:pt idx="105">
                  <c:v>6.8165737071966497</c:v>
                </c:pt>
                <c:pt idx="106">
                  <c:v>6.8415610942249199</c:v>
                </c:pt>
                <c:pt idx="107">
                  <c:v>6.7397180802701602</c:v>
                </c:pt>
                <c:pt idx="108">
                  <c:v>6.6073343176784496</c:v>
                </c:pt>
                <c:pt idx="109">
                  <c:v>6.4699120161481796</c:v>
                </c:pt>
                <c:pt idx="110">
                  <c:v>6.3603119737837099</c:v>
                </c:pt>
                <c:pt idx="111">
                  <c:v>6.4505817367645299</c:v>
                </c:pt>
                <c:pt idx="112">
                  <c:v>6.3479245363591899</c:v>
                </c:pt>
                <c:pt idx="113">
                  <c:v>6.3448839071257002</c:v>
                </c:pt>
                <c:pt idx="114">
                  <c:v>6.1095905484247304</c:v>
                </c:pt>
                <c:pt idx="115">
                  <c:v>5.9993419161483601</c:v>
                </c:pt>
                <c:pt idx="116">
                  <c:v>5.9151791799418199</c:v>
                </c:pt>
                <c:pt idx="117">
                  <c:v>5.8716237826203903</c:v>
                </c:pt>
                <c:pt idx="118">
                  <c:v>5.8519922909847297</c:v>
                </c:pt>
                <c:pt idx="119">
                  <c:v>5.9088034752332099</c:v>
                </c:pt>
                <c:pt idx="120">
                  <c:v>6.0165619939961701</c:v>
                </c:pt>
                <c:pt idx="121">
                  <c:v>5.9951206686073801</c:v>
                </c:pt>
                <c:pt idx="122">
                  <c:v>5.8325293962678302</c:v>
                </c:pt>
                <c:pt idx="123">
                  <c:v>5.8158221041790803</c:v>
                </c:pt>
                <c:pt idx="124">
                  <c:v>5.9082920831350103</c:v>
                </c:pt>
                <c:pt idx="125">
                  <c:v>5.8940152107991697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LoanLevel!$D$3</c:f>
              <c:strCache>
                <c:ptCount val="1"/>
                <c:pt idx="0">
                  <c:v>Big Bank</c:v>
                </c:pt>
              </c:strCache>
            </c:strRef>
          </c:tx>
          <c:marker>
            <c:symbol val="none"/>
          </c:marker>
          <c:cat>
            <c:numRef>
              <c:f>LoanLevel!$B$4:$B$129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LoanLevel!$D$4:$D$129</c:f>
              <c:numCache>
                <c:formatCode>General</c:formatCode>
                <c:ptCount val="126"/>
                <c:pt idx="0">
                  <c:v>4.03346663290084</c:v>
                </c:pt>
                <c:pt idx="1">
                  <c:v>4.08684711807037</c:v>
                </c:pt>
                <c:pt idx="2">
                  <c:v>3.9789730538138399</c:v>
                </c:pt>
                <c:pt idx="3">
                  <c:v>4.1129573705501699</c:v>
                </c:pt>
                <c:pt idx="4">
                  <c:v>4.2423242846558296</c:v>
                </c:pt>
                <c:pt idx="5">
                  <c:v>4.3085359218445003</c:v>
                </c:pt>
                <c:pt idx="6">
                  <c:v>4.3658755157534399</c:v>
                </c:pt>
                <c:pt idx="7">
                  <c:v>4.5500005085103901</c:v>
                </c:pt>
                <c:pt idx="8">
                  <c:v>4.43647545579464</c:v>
                </c:pt>
                <c:pt idx="9">
                  <c:v>4.3928606963213097</c:v>
                </c:pt>
                <c:pt idx="10">
                  <c:v>4.46240399555957</c:v>
                </c:pt>
                <c:pt idx="11">
                  <c:v>4.5464654686383899</c:v>
                </c:pt>
                <c:pt idx="12">
                  <c:v>4.5955921919831102</c:v>
                </c:pt>
                <c:pt idx="13">
                  <c:v>4.6169256515675503</c:v>
                </c:pt>
                <c:pt idx="14">
                  <c:v>4.6073322411551896</c:v>
                </c:pt>
                <c:pt idx="15">
                  <c:v>4.6999271259678803</c:v>
                </c:pt>
                <c:pt idx="16">
                  <c:v>4.6303142727846298</c:v>
                </c:pt>
                <c:pt idx="17">
                  <c:v>4.5774117342330101</c:v>
                </c:pt>
                <c:pt idx="18">
                  <c:v>4.6159903325616201</c:v>
                </c:pt>
                <c:pt idx="19">
                  <c:v>4.6570270646319702</c:v>
                </c:pt>
                <c:pt idx="20">
                  <c:v>4.5747903820444398</c:v>
                </c:pt>
                <c:pt idx="21">
                  <c:v>4.3167056292724499</c:v>
                </c:pt>
                <c:pt idx="22">
                  <c:v>3.9673811689170999</c:v>
                </c:pt>
                <c:pt idx="23">
                  <c:v>3.7672915360521699</c:v>
                </c:pt>
                <c:pt idx="24">
                  <c:v>3.7865299918932398</c:v>
                </c:pt>
                <c:pt idx="25">
                  <c:v>3.8287257176732998</c:v>
                </c:pt>
                <c:pt idx="26">
                  <c:v>3.80898297570084</c:v>
                </c:pt>
                <c:pt idx="27">
                  <c:v>3.6985225172464</c:v>
                </c:pt>
                <c:pt idx="28">
                  <c:v>3.6186085375755299</c:v>
                </c:pt>
                <c:pt idx="29">
                  <c:v>3.6797173850783902</c:v>
                </c:pt>
                <c:pt idx="30">
                  <c:v>3.7385934204500302</c:v>
                </c:pt>
                <c:pt idx="31">
                  <c:v>3.7950682875441202</c:v>
                </c:pt>
                <c:pt idx="32">
                  <c:v>3.8403205772992299</c:v>
                </c:pt>
                <c:pt idx="33">
                  <c:v>3.8665690402128798</c:v>
                </c:pt>
                <c:pt idx="34">
                  <c:v>3.9919398022390098</c:v>
                </c:pt>
                <c:pt idx="35">
                  <c:v>4.1014170454803196</c:v>
                </c:pt>
                <c:pt idx="36">
                  <c:v>4.2829572413878898</c:v>
                </c:pt>
                <c:pt idx="37">
                  <c:v>4.15505478401335</c:v>
                </c:pt>
                <c:pt idx="38">
                  <c:v>4.1678805048693901</c:v>
                </c:pt>
                <c:pt idx="39">
                  <c:v>4.1742321630217001</c:v>
                </c:pt>
                <c:pt idx="40">
                  <c:v>4.2527360003204597</c:v>
                </c:pt>
                <c:pt idx="41">
                  <c:v>4.3182452806410199</c:v>
                </c:pt>
                <c:pt idx="42">
                  <c:v>4.2980884319401298</c:v>
                </c:pt>
                <c:pt idx="43">
                  <c:v>4.4535438389345403</c:v>
                </c:pt>
                <c:pt idx="44">
                  <c:v>4.5998178294144099</c:v>
                </c:pt>
                <c:pt idx="45">
                  <c:v>4.80805911750367</c:v>
                </c:pt>
                <c:pt idx="46">
                  <c:v>4.9339438820339403</c:v>
                </c:pt>
                <c:pt idx="47">
                  <c:v>4.9715531535799</c:v>
                </c:pt>
                <c:pt idx="48">
                  <c:v>5.1138951251471401</c:v>
                </c:pt>
                <c:pt idx="49">
                  <c:v>5.1055466232812101</c:v>
                </c:pt>
                <c:pt idx="50">
                  <c:v>5.03076127105673</c:v>
                </c:pt>
                <c:pt idx="51">
                  <c:v>4.8427155622755702</c:v>
                </c:pt>
                <c:pt idx="52">
                  <c:v>4.6082110829618896</c:v>
                </c:pt>
                <c:pt idx="53">
                  <c:v>4.4772434565145902</c:v>
                </c:pt>
                <c:pt idx="54">
                  <c:v>4.4836818182952696</c:v>
                </c:pt>
                <c:pt idx="55">
                  <c:v>4.6105618860953896</c:v>
                </c:pt>
                <c:pt idx="56">
                  <c:v>4.6831524545941798</c:v>
                </c:pt>
                <c:pt idx="57">
                  <c:v>4.8019133710060302</c:v>
                </c:pt>
                <c:pt idx="58">
                  <c:v>4.9602286395489399</c:v>
                </c:pt>
                <c:pt idx="59">
                  <c:v>5.1103941231036103</c:v>
                </c:pt>
                <c:pt idx="60">
                  <c:v>5.1917802782592597</c:v>
                </c:pt>
                <c:pt idx="61">
                  <c:v>5.1746622463618497</c:v>
                </c:pt>
                <c:pt idx="62">
                  <c:v>5.1372119652002199</c:v>
                </c:pt>
                <c:pt idx="63">
                  <c:v>5.1289000010956096</c:v>
                </c:pt>
                <c:pt idx="64">
                  <c:v>5.0633686726209399</c:v>
                </c:pt>
                <c:pt idx="65">
                  <c:v>5.0785246723953197</c:v>
                </c:pt>
                <c:pt idx="66">
                  <c:v>5.0878942542684102</c:v>
                </c:pt>
                <c:pt idx="67">
                  <c:v>5.1391147583544399</c:v>
                </c:pt>
                <c:pt idx="68">
                  <c:v>5.0916689913954896</c:v>
                </c:pt>
                <c:pt idx="69">
                  <c:v>5.0887343744868803</c:v>
                </c:pt>
                <c:pt idx="70">
                  <c:v>4.9225020689237597</c:v>
                </c:pt>
                <c:pt idx="71">
                  <c:v>4.8204519336987097</c:v>
                </c:pt>
                <c:pt idx="72">
                  <c:v>4.8553059069655502</c:v>
                </c:pt>
                <c:pt idx="73">
                  <c:v>5.2006638389425603</c:v>
                </c:pt>
                <c:pt idx="74">
                  <c:v>4.8792897051584099</c:v>
                </c:pt>
                <c:pt idx="75">
                  <c:v>4.9239077338743904</c:v>
                </c:pt>
                <c:pt idx="76">
                  <c:v>4.9902218271859997</c:v>
                </c:pt>
                <c:pt idx="77">
                  <c:v>5.5937568393914097</c:v>
                </c:pt>
                <c:pt idx="78">
                  <c:v>6.0007704366013099</c:v>
                </c:pt>
                <c:pt idx="79">
                  <c:v>6.20832550585299</c:v>
                </c:pt>
                <c:pt idx="80">
                  <c:v>6.3263395423173003</c:v>
                </c:pt>
                <c:pt idx="81">
                  <c:v>6.4330301689607596</c:v>
                </c:pt>
                <c:pt idx="82">
                  <c:v>6.3487899437489999</c:v>
                </c:pt>
                <c:pt idx="83">
                  <c:v>6.1308941603750302</c:v>
                </c:pt>
                <c:pt idx="84">
                  <c:v>5.9897564757478596</c:v>
                </c:pt>
                <c:pt idx="85">
                  <c:v>5.9985598875952402</c:v>
                </c:pt>
                <c:pt idx="86">
                  <c:v>5.8920258043607197</c:v>
                </c:pt>
                <c:pt idx="87">
                  <c:v>5.8779333613604097</c:v>
                </c:pt>
                <c:pt idx="88">
                  <c:v>6.0700953126868802</c:v>
                </c:pt>
                <c:pt idx="89">
                  <c:v>6.3194565877859796</c:v>
                </c:pt>
                <c:pt idx="90">
                  <c:v>6.4223154354993</c:v>
                </c:pt>
                <c:pt idx="91">
                  <c:v>6.5493885914215699</c:v>
                </c:pt>
                <c:pt idx="92">
                  <c:v>6.6716199538449796</c:v>
                </c:pt>
                <c:pt idx="93">
                  <c:v>6.6695300102601696</c:v>
                </c:pt>
                <c:pt idx="94">
                  <c:v>6.5692834027918803</c:v>
                </c:pt>
                <c:pt idx="95">
                  <c:v>6.3881390236601501</c:v>
                </c:pt>
                <c:pt idx="96">
                  <c:v>6.2828531311073998</c:v>
                </c:pt>
                <c:pt idx="97">
                  <c:v>6.1918345180544199</c:v>
                </c:pt>
                <c:pt idx="98">
                  <c:v>6.2835571912711403</c:v>
                </c:pt>
                <c:pt idx="99">
                  <c:v>6.2860507592589299</c:v>
                </c:pt>
                <c:pt idx="100">
                  <c:v>6.27743328221091</c:v>
                </c:pt>
                <c:pt idx="101">
                  <c:v>6.2827407880660404</c:v>
                </c:pt>
                <c:pt idx="102">
                  <c:v>6.4242141511761304</c:v>
                </c:pt>
                <c:pt idx="103">
                  <c:v>6.5127018282194697</c:v>
                </c:pt>
                <c:pt idx="104">
                  <c:v>6.5796597253344</c:v>
                </c:pt>
                <c:pt idx="105">
                  <c:v>6.7479203286783802</c:v>
                </c:pt>
                <c:pt idx="106">
                  <c:v>6.7790527335305004</c:v>
                </c:pt>
                <c:pt idx="107">
                  <c:v>6.6798434584770803</c:v>
                </c:pt>
                <c:pt idx="108">
                  <c:v>6.5299561078178696</c:v>
                </c:pt>
                <c:pt idx="109">
                  <c:v>6.4005614290207804</c:v>
                </c:pt>
                <c:pt idx="110">
                  <c:v>6.2550815378949798</c:v>
                </c:pt>
                <c:pt idx="111">
                  <c:v>6.3294262723029702</c:v>
                </c:pt>
                <c:pt idx="112">
                  <c:v>6.2741538463581996</c:v>
                </c:pt>
                <c:pt idx="113">
                  <c:v>6.2351864837878699</c:v>
                </c:pt>
                <c:pt idx="114">
                  <c:v>6.0329281225632698</c:v>
                </c:pt>
                <c:pt idx="115">
                  <c:v>5.9081360643643901</c:v>
                </c:pt>
                <c:pt idx="116">
                  <c:v>5.8431368476848302</c:v>
                </c:pt>
                <c:pt idx="117">
                  <c:v>5.8074520090528701</c:v>
                </c:pt>
                <c:pt idx="118">
                  <c:v>5.7878064259623399</c:v>
                </c:pt>
                <c:pt idx="119">
                  <c:v>5.8446551218521101</c:v>
                </c:pt>
                <c:pt idx="120">
                  <c:v>5.95120703572689</c:v>
                </c:pt>
                <c:pt idx="121">
                  <c:v>5.9118091725111803</c:v>
                </c:pt>
                <c:pt idx="122">
                  <c:v>5.76760509054502</c:v>
                </c:pt>
                <c:pt idx="123">
                  <c:v>5.7602796890994004</c:v>
                </c:pt>
                <c:pt idx="124">
                  <c:v>5.8571983273106998</c:v>
                </c:pt>
                <c:pt idx="125">
                  <c:v>5.8491859754868401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883456"/>
        <c:axId val="312893440"/>
      </c:lineChart>
      <c:dateAx>
        <c:axId val="3128834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2893440"/>
        <c:crosses val="autoZero"/>
        <c:auto val="1"/>
        <c:lblOffset val="100"/>
        <c:baseTimeUnit val="months"/>
      </c:dateAx>
      <c:valAx>
        <c:axId val="312893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883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LoanLevel!$D$3</c:f>
              <c:strCache>
                <c:ptCount val="1"/>
                <c:pt idx="0">
                  <c:v>Big Bank</c:v>
                </c:pt>
              </c:strCache>
            </c:strRef>
          </c:tx>
          <c:marker>
            <c:symbol val="none"/>
          </c:marker>
          <c:cat>
            <c:numRef>
              <c:f>LoanLevel!$B$4:$B$129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LoanLevel!$D$4:$D$129</c:f>
              <c:numCache>
                <c:formatCode>General</c:formatCode>
                <c:ptCount val="126"/>
                <c:pt idx="0">
                  <c:v>4.03346663290084</c:v>
                </c:pt>
                <c:pt idx="1">
                  <c:v>4.08684711807037</c:v>
                </c:pt>
                <c:pt idx="2">
                  <c:v>3.9789730538138399</c:v>
                </c:pt>
                <c:pt idx="3">
                  <c:v>4.1129573705501699</c:v>
                </c:pt>
                <c:pt idx="4">
                  <c:v>4.2423242846558296</c:v>
                </c:pt>
                <c:pt idx="5">
                  <c:v>4.3085359218445003</c:v>
                </c:pt>
                <c:pt idx="6">
                  <c:v>4.3658755157534399</c:v>
                </c:pt>
                <c:pt idx="7">
                  <c:v>4.5500005085103901</c:v>
                </c:pt>
                <c:pt idx="8">
                  <c:v>4.43647545579464</c:v>
                </c:pt>
                <c:pt idx="9">
                  <c:v>4.3928606963213097</c:v>
                </c:pt>
                <c:pt idx="10">
                  <c:v>4.46240399555957</c:v>
                </c:pt>
                <c:pt idx="11">
                  <c:v>4.5464654686383899</c:v>
                </c:pt>
                <c:pt idx="12">
                  <c:v>4.5955921919831102</c:v>
                </c:pt>
                <c:pt idx="13">
                  <c:v>4.6169256515675503</c:v>
                </c:pt>
                <c:pt idx="14">
                  <c:v>4.6073322411551896</c:v>
                </c:pt>
                <c:pt idx="15">
                  <c:v>4.6999271259678803</c:v>
                </c:pt>
                <c:pt idx="16">
                  <c:v>4.6303142727846298</c:v>
                </c:pt>
                <c:pt idx="17">
                  <c:v>4.5774117342330101</c:v>
                </c:pt>
                <c:pt idx="18">
                  <c:v>4.6159903325616201</c:v>
                </c:pt>
                <c:pt idx="19">
                  <c:v>4.6570270646319702</c:v>
                </c:pt>
                <c:pt idx="20">
                  <c:v>4.5747903820444398</c:v>
                </c:pt>
                <c:pt idx="21">
                  <c:v>4.3167056292724499</c:v>
                </c:pt>
                <c:pt idx="22">
                  <c:v>3.9673811689170999</c:v>
                </c:pt>
                <c:pt idx="23">
                  <c:v>3.7672915360521699</c:v>
                </c:pt>
                <c:pt idx="24">
                  <c:v>3.7865299918932398</c:v>
                </c:pt>
                <c:pt idx="25">
                  <c:v>3.8287257176732998</c:v>
                </c:pt>
                <c:pt idx="26">
                  <c:v>3.80898297570084</c:v>
                </c:pt>
                <c:pt idx="27">
                  <c:v>3.6985225172464</c:v>
                </c:pt>
                <c:pt idx="28">
                  <c:v>3.6186085375755299</c:v>
                </c:pt>
                <c:pt idx="29">
                  <c:v>3.6797173850783902</c:v>
                </c:pt>
                <c:pt idx="30">
                  <c:v>3.7385934204500302</c:v>
                </c:pt>
                <c:pt idx="31">
                  <c:v>3.7950682875441202</c:v>
                </c:pt>
                <c:pt idx="32">
                  <c:v>3.8403205772992299</c:v>
                </c:pt>
                <c:pt idx="33">
                  <c:v>3.8665690402128798</c:v>
                </c:pt>
                <c:pt idx="34">
                  <c:v>3.9919398022390098</c:v>
                </c:pt>
                <c:pt idx="35">
                  <c:v>4.1014170454803196</c:v>
                </c:pt>
                <c:pt idx="36">
                  <c:v>4.2829572413878898</c:v>
                </c:pt>
                <c:pt idx="37">
                  <c:v>4.15505478401335</c:v>
                </c:pt>
                <c:pt idx="38">
                  <c:v>4.1678805048693901</c:v>
                </c:pt>
                <c:pt idx="39">
                  <c:v>4.1742321630217001</c:v>
                </c:pt>
                <c:pt idx="40">
                  <c:v>4.2527360003204597</c:v>
                </c:pt>
                <c:pt idx="41">
                  <c:v>4.3182452806410199</c:v>
                </c:pt>
                <c:pt idx="42">
                  <c:v>4.2980884319401298</c:v>
                </c:pt>
                <c:pt idx="43">
                  <c:v>4.4535438389345403</c:v>
                </c:pt>
                <c:pt idx="44">
                  <c:v>4.5998178294144099</c:v>
                </c:pt>
                <c:pt idx="45">
                  <c:v>4.80805911750367</c:v>
                </c:pt>
                <c:pt idx="46">
                  <c:v>4.9339438820339403</c:v>
                </c:pt>
                <c:pt idx="47">
                  <c:v>4.9715531535799</c:v>
                </c:pt>
                <c:pt idx="48">
                  <c:v>5.1138951251471401</c:v>
                </c:pt>
                <c:pt idx="49">
                  <c:v>5.1055466232812101</c:v>
                </c:pt>
                <c:pt idx="50">
                  <c:v>5.03076127105673</c:v>
                </c:pt>
                <c:pt idx="51">
                  <c:v>4.8427155622755702</c:v>
                </c:pt>
                <c:pt idx="52">
                  <c:v>4.6082110829618896</c:v>
                </c:pt>
                <c:pt idx="53">
                  <c:v>4.4772434565145902</c:v>
                </c:pt>
                <c:pt idx="54">
                  <c:v>4.4836818182952696</c:v>
                </c:pt>
                <c:pt idx="55">
                  <c:v>4.6105618860953896</c:v>
                </c:pt>
                <c:pt idx="56">
                  <c:v>4.6831524545941798</c:v>
                </c:pt>
                <c:pt idx="57">
                  <c:v>4.8019133710060302</c:v>
                </c:pt>
                <c:pt idx="58">
                  <c:v>4.9602286395489399</c:v>
                </c:pt>
                <c:pt idx="59">
                  <c:v>5.1103941231036103</c:v>
                </c:pt>
                <c:pt idx="60">
                  <c:v>5.1917802782592597</c:v>
                </c:pt>
                <c:pt idx="61">
                  <c:v>5.1746622463618497</c:v>
                </c:pt>
                <c:pt idx="62">
                  <c:v>5.1372119652002199</c:v>
                </c:pt>
                <c:pt idx="63">
                  <c:v>5.1289000010956096</c:v>
                </c:pt>
                <c:pt idx="64">
                  <c:v>5.0633686726209399</c:v>
                </c:pt>
                <c:pt idx="65">
                  <c:v>5.0785246723953197</c:v>
                </c:pt>
                <c:pt idx="66">
                  <c:v>5.0878942542684102</c:v>
                </c:pt>
                <c:pt idx="67">
                  <c:v>5.1391147583544399</c:v>
                </c:pt>
                <c:pt idx="68">
                  <c:v>5.0916689913954896</c:v>
                </c:pt>
                <c:pt idx="69">
                  <c:v>5.0887343744868803</c:v>
                </c:pt>
                <c:pt idx="70">
                  <c:v>4.9225020689237597</c:v>
                </c:pt>
                <c:pt idx="71">
                  <c:v>4.8204519336987097</c:v>
                </c:pt>
                <c:pt idx="72">
                  <c:v>4.8553059069655502</c:v>
                </c:pt>
                <c:pt idx="73">
                  <c:v>5.2006638389425603</c:v>
                </c:pt>
                <c:pt idx="74">
                  <c:v>4.8792897051584099</c:v>
                </c:pt>
                <c:pt idx="75">
                  <c:v>4.9239077338743904</c:v>
                </c:pt>
                <c:pt idx="76">
                  <c:v>4.9902218271859997</c:v>
                </c:pt>
                <c:pt idx="77">
                  <c:v>5.5937568393914097</c:v>
                </c:pt>
                <c:pt idx="78">
                  <c:v>6.0007704366013099</c:v>
                </c:pt>
                <c:pt idx="79">
                  <c:v>6.20832550585299</c:v>
                </c:pt>
                <c:pt idx="80">
                  <c:v>6.3263395423173003</c:v>
                </c:pt>
                <c:pt idx="81">
                  <c:v>6.4330301689607596</c:v>
                </c:pt>
                <c:pt idx="82">
                  <c:v>6.3487899437489999</c:v>
                </c:pt>
                <c:pt idx="83">
                  <c:v>6.1308941603750302</c:v>
                </c:pt>
                <c:pt idx="84">
                  <c:v>5.9897564757478596</c:v>
                </c:pt>
                <c:pt idx="85">
                  <c:v>5.9985598875952402</c:v>
                </c:pt>
                <c:pt idx="86">
                  <c:v>5.8920258043607197</c:v>
                </c:pt>
                <c:pt idx="87">
                  <c:v>5.8779333613604097</c:v>
                </c:pt>
                <c:pt idx="88">
                  <c:v>6.0700953126868802</c:v>
                </c:pt>
                <c:pt idx="89">
                  <c:v>6.3194565877859796</c:v>
                </c:pt>
                <c:pt idx="90">
                  <c:v>6.4223154354993</c:v>
                </c:pt>
                <c:pt idx="91">
                  <c:v>6.5493885914215699</c:v>
                </c:pt>
                <c:pt idx="92">
                  <c:v>6.6716199538449796</c:v>
                </c:pt>
                <c:pt idx="93">
                  <c:v>6.6695300102601696</c:v>
                </c:pt>
                <c:pt idx="94">
                  <c:v>6.5692834027918803</c:v>
                </c:pt>
                <c:pt idx="95">
                  <c:v>6.3881390236601501</c:v>
                </c:pt>
                <c:pt idx="96">
                  <c:v>6.2828531311073998</c:v>
                </c:pt>
                <c:pt idx="97">
                  <c:v>6.1918345180544199</c:v>
                </c:pt>
                <c:pt idx="98">
                  <c:v>6.2835571912711403</c:v>
                </c:pt>
                <c:pt idx="99">
                  <c:v>6.2860507592589299</c:v>
                </c:pt>
                <c:pt idx="100">
                  <c:v>6.27743328221091</c:v>
                </c:pt>
                <c:pt idx="101">
                  <c:v>6.2827407880660404</c:v>
                </c:pt>
                <c:pt idx="102">
                  <c:v>6.4242141511761304</c:v>
                </c:pt>
                <c:pt idx="103">
                  <c:v>6.5127018282194697</c:v>
                </c:pt>
                <c:pt idx="104">
                  <c:v>6.5796597253344</c:v>
                </c:pt>
                <c:pt idx="105">
                  <c:v>6.7479203286783802</c:v>
                </c:pt>
                <c:pt idx="106">
                  <c:v>6.7790527335305004</c:v>
                </c:pt>
                <c:pt idx="107">
                  <c:v>6.6798434584770803</c:v>
                </c:pt>
                <c:pt idx="108">
                  <c:v>6.5299561078178696</c:v>
                </c:pt>
                <c:pt idx="109">
                  <c:v>6.4005614290207804</c:v>
                </c:pt>
                <c:pt idx="110">
                  <c:v>6.2550815378949798</c:v>
                </c:pt>
                <c:pt idx="111">
                  <c:v>6.3294262723029702</c:v>
                </c:pt>
                <c:pt idx="112">
                  <c:v>6.2741538463581996</c:v>
                </c:pt>
                <c:pt idx="113">
                  <c:v>6.2351864837878699</c:v>
                </c:pt>
                <c:pt idx="114">
                  <c:v>6.0329281225632698</c:v>
                </c:pt>
                <c:pt idx="115">
                  <c:v>5.9081360643643901</c:v>
                </c:pt>
                <c:pt idx="116">
                  <c:v>5.8431368476848302</c:v>
                </c:pt>
                <c:pt idx="117">
                  <c:v>5.8074520090528701</c:v>
                </c:pt>
                <c:pt idx="118">
                  <c:v>5.7878064259623399</c:v>
                </c:pt>
                <c:pt idx="119">
                  <c:v>5.8446551218521101</c:v>
                </c:pt>
                <c:pt idx="120">
                  <c:v>5.95120703572689</c:v>
                </c:pt>
                <c:pt idx="121">
                  <c:v>5.9118091725111803</c:v>
                </c:pt>
                <c:pt idx="122">
                  <c:v>5.76760509054502</c:v>
                </c:pt>
                <c:pt idx="123">
                  <c:v>5.7602796890994004</c:v>
                </c:pt>
                <c:pt idx="124">
                  <c:v>5.8571983273106998</c:v>
                </c:pt>
                <c:pt idx="125">
                  <c:v>5.8491859754868401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LoanLevel!$E$3</c:f>
              <c:strCache>
                <c:ptCount val="1"/>
                <c:pt idx="0">
                  <c:v>Big Non-Bank</c:v>
                </c:pt>
              </c:strCache>
            </c:strRef>
          </c:tx>
          <c:marker>
            <c:symbol val="none"/>
          </c:marker>
          <c:cat>
            <c:numRef>
              <c:f>LoanLevel!$B$4:$B$129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LoanLevel!$E$4:$E$129</c:f>
              <c:numCache>
                <c:formatCode>General</c:formatCode>
                <c:ptCount val="126"/>
                <c:pt idx="0">
                  <c:v>4.2191101493671104</c:v>
                </c:pt>
                <c:pt idx="1">
                  <c:v>4.1047356387805598</c:v>
                </c:pt>
                <c:pt idx="2">
                  <c:v>4.0802746460940602</c:v>
                </c:pt>
                <c:pt idx="3">
                  <c:v>4.0827757855292202</c:v>
                </c:pt>
                <c:pt idx="4">
                  <c:v>4.2463276905126701</c:v>
                </c:pt>
                <c:pt idx="5">
                  <c:v>4.3502702860523303</c:v>
                </c:pt>
                <c:pt idx="6">
                  <c:v>4.4027082326907596</c:v>
                </c:pt>
                <c:pt idx="7">
                  <c:v>4.5181402111511098</c:v>
                </c:pt>
                <c:pt idx="8">
                  <c:v>4.5460665183556301</c:v>
                </c:pt>
                <c:pt idx="9">
                  <c:v>4.5256544357841504</c:v>
                </c:pt>
                <c:pt idx="10">
                  <c:v>4.5470041872076301</c:v>
                </c:pt>
                <c:pt idx="11">
                  <c:v>4.5864628238594998</c:v>
                </c:pt>
                <c:pt idx="12">
                  <c:v>4.6769359298809503</c:v>
                </c:pt>
                <c:pt idx="13">
                  <c:v>4.71889414579132</c:v>
                </c:pt>
                <c:pt idx="14">
                  <c:v>4.7040503515759404</c:v>
                </c:pt>
                <c:pt idx="15">
                  <c:v>4.7860051914523396</c:v>
                </c:pt>
                <c:pt idx="16">
                  <c:v>4.7712676043257503</c:v>
                </c:pt>
                <c:pt idx="17">
                  <c:v>4.6755959267023801</c:v>
                </c:pt>
                <c:pt idx="18">
                  <c:v>4.6383795419379501</c:v>
                </c:pt>
                <c:pt idx="19">
                  <c:v>4.6982473002863196</c:v>
                </c:pt>
                <c:pt idx="20">
                  <c:v>4.7155703464598</c:v>
                </c:pt>
                <c:pt idx="21">
                  <c:v>4.6095205967144004</c:v>
                </c:pt>
                <c:pt idx="22">
                  <c:v>4.2641516129896599</c:v>
                </c:pt>
                <c:pt idx="23">
                  <c:v>3.9334710099402699</c:v>
                </c:pt>
                <c:pt idx="24">
                  <c:v>3.82186500173616</c:v>
                </c:pt>
                <c:pt idx="25">
                  <c:v>3.81978239147305</c:v>
                </c:pt>
                <c:pt idx="26">
                  <c:v>3.8429710233131402</c:v>
                </c:pt>
                <c:pt idx="27">
                  <c:v>3.7389995759385299</c:v>
                </c:pt>
                <c:pt idx="28">
                  <c:v>3.6293389825453901</c:v>
                </c:pt>
                <c:pt idx="29">
                  <c:v>3.60652868740865</c:v>
                </c:pt>
                <c:pt idx="30">
                  <c:v>3.6768684830954399</c:v>
                </c:pt>
                <c:pt idx="31">
                  <c:v>3.71432751533747</c:v>
                </c:pt>
                <c:pt idx="32">
                  <c:v>3.7872982356612201</c:v>
                </c:pt>
                <c:pt idx="33">
                  <c:v>3.8128262922832201</c:v>
                </c:pt>
                <c:pt idx="34">
                  <c:v>3.88795466671889</c:v>
                </c:pt>
                <c:pt idx="35">
                  <c:v>3.9706097113700798</c:v>
                </c:pt>
                <c:pt idx="36">
                  <c:v>4.10031311664281</c:v>
                </c:pt>
                <c:pt idx="37">
                  <c:v>4.2025156700185899</c:v>
                </c:pt>
                <c:pt idx="38">
                  <c:v>4.0709572620455798</c:v>
                </c:pt>
                <c:pt idx="39">
                  <c:v>4.1277531381253496</c:v>
                </c:pt>
                <c:pt idx="40">
                  <c:v>4.1946394872099999</c:v>
                </c:pt>
                <c:pt idx="41">
                  <c:v>4.2740728228456701</c:v>
                </c:pt>
                <c:pt idx="42">
                  <c:v>4.2951635317798003</c:v>
                </c:pt>
                <c:pt idx="43">
                  <c:v>4.3412260741863502</c:v>
                </c:pt>
                <c:pt idx="44">
                  <c:v>4.4920919567592597</c:v>
                </c:pt>
                <c:pt idx="45">
                  <c:v>4.7662452241961404</c:v>
                </c:pt>
                <c:pt idx="46">
                  <c:v>4.8589903815148503</c:v>
                </c:pt>
                <c:pt idx="47">
                  <c:v>5.0325095152394699</c:v>
                </c:pt>
                <c:pt idx="48">
                  <c:v>5.22435639158632</c:v>
                </c:pt>
                <c:pt idx="49">
                  <c:v>5.2102638630155802</c:v>
                </c:pt>
                <c:pt idx="50">
                  <c:v>5.2247431483995603</c:v>
                </c:pt>
                <c:pt idx="51">
                  <c:v>5.1723055613769597</c:v>
                </c:pt>
                <c:pt idx="52">
                  <c:v>4.8696775108855297</c:v>
                </c:pt>
                <c:pt idx="53">
                  <c:v>4.6708414040887103</c:v>
                </c:pt>
                <c:pt idx="54">
                  <c:v>4.5042392639268902</c:v>
                </c:pt>
                <c:pt idx="55">
                  <c:v>4.5558395663825104</c:v>
                </c:pt>
                <c:pt idx="56">
                  <c:v>4.6160106139684798</c:v>
                </c:pt>
                <c:pt idx="57">
                  <c:v>4.7535573276105101</c:v>
                </c:pt>
                <c:pt idx="58">
                  <c:v>4.9660772036167202</c:v>
                </c:pt>
                <c:pt idx="59">
                  <c:v>5.2389251135228498</c:v>
                </c:pt>
                <c:pt idx="60">
                  <c:v>5.3579171524626998</c:v>
                </c:pt>
                <c:pt idx="61">
                  <c:v>5.3653739858383602</c:v>
                </c:pt>
                <c:pt idx="62">
                  <c:v>5.31932796058324</c:v>
                </c:pt>
                <c:pt idx="63">
                  <c:v>5.3031779431844699</c:v>
                </c:pt>
                <c:pt idx="64">
                  <c:v>5.23361177748433</c:v>
                </c:pt>
                <c:pt idx="65">
                  <c:v>5.2044903926043498</c:v>
                </c:pt>
                <c:pt idx="66">
                  <c:v>5.2144125223937596</c:v>
                </c:pt>
                <c:pt idx="67">
                  <c:v>5.21949356054796</c:v>
                </c:pt>
                <c:pt idx="68">
                  <c:v>5.3314211759409798</c:v>
                </c:pt>
                <c:pt idx="69">
                  <c:v>5.4997579357257997</c:v>
                </c:pt>
                <c:pt idx="70">
                  <c:v>5.2238117446493302</c:v>
                </c:pt>
                <c:pt idx="71">
                  <c:v>4.93640089631241</c:v>
                </c:pt>
                <c:pt idx="72">
                  <c:v>5.9905883653509502</c:v>
                </c:pt>
                <c:pt idx="73">
                  <c:v>5.69945981421046</c:v>
                </c:pt>
                <c:pt idx="74">
                  <c:v>5.0469071863016701</c:v>
                </c:pt>
                <c:pt idx="75">
                  <c:v>5.11774810734501</c:v>
                </c:pt>
                <c:pt idx="76">
                  <c:v>5.1668371185003199</c:v>
                </c:pt>
                <c:pt idx="77">
                  <c:v>6.0709809747291601</c:v>
                </c:pt>
                <c:pt idx="78">
                  <c:v>6.4776948659917899</c:v>
                </c:pt>
                <c:pt idx="79">
                  <c:v>6.3927780880237499</c:v>
                </c:pt>
                <c:pt idx="80">
                  <c:v>6.5740844278307602</c:v>
                </c:pt>
                <c:pt idx="81">
                  <c:v>6.6559602699741198</c:v>
                </c:pt>
                <c:pt idx="82">
                  <c:v>6.6587285480346203</c:v>
                </c:pt>
                <c:pt idx="83">
                  <c:v>6.4693477555282204</c:v>
                </c:pt>
                <c:pt idx="84">
                  <c:v>6.3482598149091602</c:v>
                </c:pt>
                <c:pt idx="85">
                  <c:v>6.2613742629983902</c:v>
                </c:pt>
                <c:pt idx="86">
                  <c:v>6.3804220921947499</c:v>
                </c:pt>
                <c:pt idx="87">
                  <c:v>6.3131029785977697</c:v>
                </c:pt>
                <c:pt idx="88">
                  <c:v>6.4301337937091603</c:v>
                </c:pt>
                <c:pt idx="89">
                  <c:v>6.6000675241462199</c:v>
                </c:pt>
                <c:pt idx="90">
                  <c:v>6.7543465848043098</c:v>
                </c:pt>
                <c:pt idx="91">
                  <c:v>6.8634388963103996</c:v>
                </c:pt>
                <c:pt idx="92">
                  <c:v>7.0218007025014</c:v>
                </c:pt>
                <c:pt idx="93">
                  <c:v>7.0799485955220698</c:v>
                </c:pt>
                <c:pt idx="94">
                  <c:v>6.9709869725512199</c:v>
                </c:pt>
                <c:pt idx="95">
                  <c:v>6.6954769763540201</c:v>
                </c:pt>
                <c:pt idx="96">
                  <c:v>6.5746169181710403</c:v>
                </c:pt>
                <c:pt idx="97">
                  <c:v>6.4293129140081096</c:v>
                </c:pt>
                <c:pt idx="98">
                  <c:v>6.58575103608809</c:v>
                </c:pt>
                <c:pt idx="99">
                  <c:v>6.7148601921168503</c:v>
                </c:pt>
                <c:pt idx="100">
                  <c:v>6.54168709015189</c:v>
                </c:pt>
                <c:pt idx="101">
                  <c:v>6.7034352325189301</c:v>
                </c:pt>
                <c:pt idx="102">
                  <c:v>6.6844188027977998</c:v>
                </c:pt>
                <c:pt idx="103">
                  <c:v>6.8354900848509201</c:v>
                </c:pt>
                <c:pt idx="104">
                  <c:v>6.84862407229999</c:v>
                </c:pt>
                <c:pt idx="105">
                  <c:v>7.04263094877426</c:v>
                </c:pt>
                <c:pt idx="106">
                  <c:v>6.9025066392523904</c:v>
                </c:pt>
                <c:pt idx="107">
                  <c:v>6.8885633667757196</c:v>
                </c:pt>
                <c:pt idx="108">
                  <c:v>6.7064319366153704</c:v>
                </c:pt>
                <c:pt idx="109">
                  <c:v>6.7201235538084001</c:v>
                </c:pt>
                <c:pt idx="110">
                  <c:v>6.5063719858417297</c:v>
                </c:pt>
                <c:pt idx="111">
                  <c:v>6.6320335369943004</c:v>
                </c:pt>
                <c:pt idx="112">
                  <c:v>6.6140000944145196</c:v>
                </c:pt>
                <c:pt idx="113">
                  <c:v>6.6027538791997999</c:v>
                </c:pt>
                <c:pt idx="114">
                  <c:v>6.3374967980825803</c:v>
                </c:pt>
                <c:pt idx="115">
                  <c:v>6.22590961613923</c:v>
                </c:pt>
                <c:pt idx="116">
                  <c:v>6.2548632671207596</c:v>
                </c:pt>
                <c:pt idx="117">
                  <c:v>6.0729708815801899</c:v>
                </c:pt>
                <c:pt idx="118">
                  <c:v>5.9304329653969798</c:v>
                </c:pt>
                <c:pt idx="119">
                  <c:v>6.04133112740175</c:v>
                </c:pt>
                <c:pt idx="120">
                  <c:v>6.1123957519230601</c:v>
                </c:pt>
                <c:pt idx="121">
                  <c:v>6.1615850711694398</c:v>
                </c:pt>
                <c:pt idx="122">
                  <c:v>5.9788163394643297</c:v>
                </c:pt>
                <c:pt idx="123">
                  <c:v>5.9816424527216601</c:v>
                </c:pt>
                <c:pt idx="124">
                  <c:v>6.0968817881915101</c:v>
                </c:pt>
                <c:pt idx="125">
                  <c:v>6.0504871313193602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LoanLevel!$F$3</c:f>
              <c:strCache>
                <c:ptCount val="1"/>
                <c:pt idx="0">
                  <c:v>Small Lender</c:v>
                </c:pt>
              </c:strCache>
            </c:strRef>
          </c:tx>
          <c:marker>
            <c:symbol val="none"/>
          </c:marker>
          <c:cat>
            <c:numRef>
              <c:f>LoanLevel!$B$4:$B$129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LoanLevel!$F$4:$F$129</c:f>
              <c:numCache>
                <c:formatCode>General</c:formatCode>
                <c:ptCount val="126"/>
                <c:pt idx="0">
                  <c:v>4.1037910444357104</c:v>
                </c:pt>
                <c:pt idx="1">
                  <c:v>4.0203835309051703</c:v>
                </c:pt>
                <c:pt idx="2">
                  <c:v>3.98825896732659</c:v>
                </c:pt>
                <c:pt idx="3">
                  <c:v>3.9888208078896099</c:v>
                </c:pt>
                <c:pt idx="4">
                  <c:v>4.1789887425929004</c:v>
                </c:pt>
                <c:pt idx="5">
                  <c:v>4.2746673686713397</c:v>
                </c:pt>
                <c:pt idx="6">
                  <c:v>4.3513149361685004</c:v>
                </c:pt>
                <c:pt idx="7">
                  <c:v>4.3984842689422798</c:v>
                </c:pt>
                <c:pt idx="8">
                  <c:v>4.4750057291068597</c:v>
                </c:pt>
                <c:pt idx="9">
                  <c:v>4.4303742565342699</c:v>
                </c:pt>
                <c:pt idx="10">
                  <c:v>4.4426965691305504</c:v>
                </c:pt>
                <c:pt idx="11">
                  <c:v>4.4870171590413204</c:v>
                </c:pt>
                <c:pt idx="12">
                  <c:v>4.5739784541027797</c:v>
                </c:pt>
                <c:pt idx="13">
                  <c:v>4.6282846745247301</c:v>
                </c:pt>
                <c:pt idx="14">
                  <c:v>4.6303668541590701</c:v>
                </c:pt>
                <c:pt idx="15">
                  <c:v>4.6594694926662301</c:v>
                </c:pt>
                <c:pt idx="16">
                  <c:v>4.6706348873408796</c:v>
                </c:pt>
                <c:pt idx="17">
                  <c:v>4.6007318764534197</c:v>
                </c:pt>
                <c:pt idx="18">
                  <c:v>4.5463808970805299</c:v>
                </c:pt>
                <c:pt idx="19">
                  <c:v>4.65282595275439</c:v>
                </c:pt>
                <c:pt idx="20">
                  <c:v>4.7064056244570196</c:v>
                </c:pt>
                <c:pt idx="21">
                  <c:v>4.5602518039139603</c:v>
                </c:pt>
                <c:pt idx="22">
                  <c:v>4.2883487507731797</c:v>
                </c:pt>
                <c:pt idx="23">
                  <c:v>3.90268651541925</c:v>
                </c:pt>
                <c:pt idx="24">
                  <c:v>3.7767466082449599</c:v>
                </c:pt>
                <c:pt idx="25">
                  <c:v>3.7779372184327999</c:v>
                </c:pt>
                <c:pt idx="26">
                  <c:v>3.7591948230671299</c:v>
                </c:pt>
                <c:pt idx="27">
                  <c:v>3.6801573391545799</c:v>
                </c:pt>
                <c:pt idx="28">
                  <c:v>3.5852881060673698</c:v>
                </c:pt>
                <c:pt idx="29">
                  <c:v>3.5687441139760199</c:v>
                </c:pt>
                <c:pt idx="30">
                  <c:v>3.5837812180153299</c:v>
                </c:pt>
                <c:pt idx="31">
                  <c:v>3.6505486748299498</c:v>
                </c:pt>
                <c:pt idx="32">
                  <c:v>3.7494706301335499</c:v>
                </c:pt>
                <c:pt idx="33">
                  <c:v>3.8760821477017999</c:v>
                </c:pt>
                <c:pt idx="34">
                  <c:v>3.85472764792148</c:v>
                </c:pt>
                <c:pt idx="35">
                  <c:v>3.98362585842998</c:v>
                </c:pt>
                <c:pt idx="36">
                  <c:v>4.0947481203161002</c:v>
                </c:pt>
                <c:pt idx="37">
                  <c:v>4.2796143873128401</c:v>
                </c:pt>
                <c:pt idx="38">
                  <c:v>4.0682102269739699</c:v>
                </c:pt>
                <c:pt idx="39">
                  <c:v>4.07214636966249</c:v>
                </c:pt>
                <c:pt idx="40">
                  <c:v>4.1455149413064101</c:v>
                </c:pt>
                <c:pt idx="41">
                  <c:v>4.2075990245705999</c:v>
                </c:pt>
                <c:pt idx="42">
                  <c:v>4.3401437482857403</c:v>
                </c:pt>
                <c:pt idx="43">
                  <c:v>4.2783291143147499</c:v>
                </c:pt>
                <c:pt idx="44">
                  <c:v>4.3968751943773503</c:v>
                </c:pt>
                <c:pt idx="45">
                  <c:v>4.6257390566703904</c:v>
                </c:pt>
                <c:pt idx="46">
                  <c:v>4.7814255284886604</c:v>
                </c:pt>
                <c:pt idx="47">
                  <c:v>4.8597580147180901</c:v>
                </c:pt>
                <c:pt idx="48">
                  <c:v>5.0026352109087302</c:v>
                </c:pt>
                <c:pt idx="49">
                  <c:v>5.0406873569878901</c:v>
                </c:pt>
                <c:pt idx="50">
                  <c:v>4.9801234731501598</c:v>
                </c:pt>
                <c:pt idx="51">
                  <c:v>4.9567526335930001</c:v>
                </c:pt>
                <c:pt idx="52">
                  <c:v>4.65535676940216</c:v>
                </c:pt>
                <c:pt idx="53">
                  <c:v>4.4859551835159204</c:v>
                </c:pt>
                <c:pt idx="54">
                  <c:v>4.4340825724026098</c:v>
                </c:pt>
                <c:pt idx="55">
                  <c:v>4.4798495771048303</c:v>
                </c:pt>
                <c:pt idx="56">
                  <c:v>4.5474435543433396</c:v>
                </c:pt>
                <c:pt idx="57">
                  <c:v>4.6572464339789796</c:v>
                </c:pt>
                <c:pt idx="58">
                  <c:v>4.8270181400290904</c:v>
                </c:pt>
                <c:pt idx="59">
                  <c:v>5.0538033345178297</c:v>
                </c:pt>
                <c:pt idx="60">
                  <c:v>5.2267715901211096</c:v>
                </c:pt>
                <c:pt idx="61">
                  <c:v>5.15850767587429</c:v>
                </c:pt>
                <c:pt idx="62">
                  <c:v>5.13746875669095</c:v>
                </c:pt>
                <c:pt idx="63">
                  <c:v>5.1142810293946397</c:v>
                </c:pt>
                <c:pt idx="64">
                  <c:v>5.0493664962935796</c:v>
                </c:pt>
                <c:pt idx="65">
                  <c:v>5.0405626466946698</c:v>
                </c:pt>
                <c:pt idx="66">
                  <c:v>5.0610229197224301</c:v>
                </c:pt>
                <c:pt idx="67">
                  <c:v>5.1151153297150502</c:v>
                </c:pt>
                <c:pt idx="68">
                  <c:v>5.2190653494945396</c:v>
                </c:pt>
                <c:pt idx="69">
                  <c:v>5.50591977260809</c:v>
                </c:pt>
                <c:pt idx="70">
                  <c:v>5.09525266825566</c:v>
                </c:pt>
                <c:pt idx="71">
                  <c:v>4.9163088922802398</c:v>
                </c:pt>
                <c:pt idx="72">
                  <c:v>5.3769205857496196</c:v>
                </c:pt>
                <c:pt idx="73">
                  <c:v>5.6297782840431099</c:v>
                </c:pt>
                <c:pt idx="74">
                  <c:v>4.9422362827836901</c:v>
                </c:pt>
                <c:pt idx="75">
                  <c:v>4.9804912783535302</c:v>
                </c:pt>
                <c:pt idx="76">
                  <c:v>5.0346050973979297</c:v>
                </c:pt>
                <c:pt idx="77">
                  <c:v>5.77095443748125</c:v>
                </c:pt>
                <c:pt idx="78">
                  <c:v>5.93780071977198</c:v>
                </c:pt>
                <c:pt idx="79">
                  <c:v>6.20309736353415</c:v>
                </c:pt>
                <c:pt idx="80">
                  <c:v>6.4308845785883104</c:v>
                </c:pt>
                <c:pt idx="81">
                  <c:v>6.5259476106836196</c:v>
                </c:pt>
                <c:pt idx="82">
                  <c:v>6.3616328458173799</c:v>
                </c:pt>
                <c:pt idx="83">
                  <c:v>6.1771344431920197</c:v>
                </c:pt>
                <c:pt idx="84">
                  <c:v>6.1200407858524404</c:v>
                </c:pt>
                <c:pt idx="85">
                  <c:v>6.0741053401260796</c:v>
                </c:pt>
                <c:pt idx="86">
                  <c:v>5.9900342457379798</c:v>
                </c:pt>
                <c:pt idx="87">
                  <c:v>5.9285297397419399</c:v>
                </c:pt>
                <c:pt idx="88">
                  <c:v>6.2229530518290099</c:v>
                </c:pt>
                <c:pt idx="89">
                  <c:v>6.4497153925437001</c:v>
                </c:pt>
                <c:pt idx="90">
                  <c:v>6.5706427113859798</c:v>
                </c:pt>
                <c:pt idx="91">
                  <c:v>6.6549674746680401</c:v>
                </c:pt>
                <c:pt idx="92">
                  <c:v>6.7961051038676699</c:v>
                </c:pt>
                <c:pt idx="93">
                  <c:v>6.8223731845503499</c:v>
                </c:pt>
                <c:pt idx="94">
                  <c:v>6.7215684460913803</c:v>
                </c:pt>
                <c:pt idx="95">
                  <c:v>6.5326356980059197</c:v>
                </c:pt>
                <c:pt idx="96">
                  <c:v>6.4062165457665401</c:v>
                </c:pt>
                <c:pt idx="97">
                  <c:v>6.3756550707146902</c:v>
                </c:pt>
                <c:pt idx="98">
                  <c:v>6.4205619145400998</c:v>
                </c:pt>
                <c:pt idx="99">
                  <c:v>6.3883535633716999</c:v>
                </c:pt>
                <c:pt idx="100">
                  <c:v>6.3512091764187897</c:v>
                </c:pt>
                <c:pt idx="101">
                  <c:v>6.3742340239320203</c:v>
                </c:pt>
                <c:pt idx="102">
                  <c:v>6.5023804808115102</c:v>
                </c:pt>
                <c:pt idx="103">
                  <c:v>6.6023882804290404</c:v>
                </c:pt>
                <c:pt idx="104">
                  <c:v>6.69025910427884</c:v>
                </c:pt>
                <c:pt idx="105">
                  <c:v>6.7468424557132796</c:v>
                </c:pt>
                <c:pt idx="106">
                  <c:v>6.7751082370689897</c:v>
                </c:pt>
                <c:pt idx="107">
                  <c:v>6.74730082511776</c:v>
                </c:pt>
                <c:pt idx="108">
                  <c:v>6.5826559206906996</c:v>
                </c:pt>
                <c:pt idx="109">
                  <c:v>6.47602206402484</c:v>
                </c:pt>
                <c:pt idx="110">
                  <c:v>6.3782329051897202</c:v>
                </c:pt>
                <c:pt idx="111">
                  <c:v>6.3508092439242603</c:v>
                </c:pt>
                <c:pt idx="112">
                  <c:v>6.3651779405806304</c:v>
                </c:pt>
                <c:pt idx="113">
                  <c:v>6.3142358527999498</c:v>
                </c:pt>
                <c:pt idx="114">
                  <c:v>6.1100604418333599</c:v>
                </c:pt>
                <c:pt idx="115">
                  <c:v>5.9657535962386898</c:v>
                </c:pt>
                <c:pt idx="116">
                  <c:v>5.9350299799815103</c:v>
                </c:pt>
                <c:pt idx="117">
                  <c:v>5.8541010753403997</c:v>
                </c:pt>
                <c:pt idx="118">
                  <c:v>5.7924446190363597</c:v>
                </c:pt>
                <c:pt idx="119">
                  <c:v>5.8779163652289697</c:v>
                </c:pt>
                <c:pt idx="120">
                  <c:v>6.0095486955718798</c:v>
                </c:pt>
                <c:pt idx="121">
                  <c:v>5.9453896731722002</c:v>
                </c:pt>
                <c:pt idx="122">
                  <c:v>5.7615869299725304</c:v>
                </c:pt>
                <c:pt idx="123">
                  <c:v>5.8222054905926797</c:v>
                </c:pt>
                <c:pt idx="124">
                  <c:v>5.8888224546342798</c:v>
                </c:pt>
                <c:pt idx="125">
                  <c:v>5.8403493285085597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919168"/>
        <c:axId val="312920704"/>
      </c:lineChart>
      <c:dateAx>
        <c:axId val="312919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2920704"/>
        <c:crosses val="autoZero"/>
        <c:auto val="1"/>
        <c:lblOffset val="100"/>
        <c:baseTimeUnit val="months"/>
      </c:dateAx>
      <c:valAx>
        <c:axId val="312920704"/>
        <c:scaling>
          <c:orientation val="minMax"/>
          <c:min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9191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LLwithCondition!$C$3</c:f>
              <c:strCache>
                <c:ptCount val="1"/>
                <c:pt idx="0">
                  <c:v>Big Bank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LLwithCondition!$B$4:$B$129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LLwithCondition!$C$4:$C$129</c:f>
              <c:numCache>
                <c:formatCode>0.00</c:formatCode>
                <c:ptCount val="126"/>
                <c:pt idx="0">
                  <c:v>4.2814568652573097</c:v>
                </c:pt>
                <c:pt idx="1">
                  <c:v>4.1497341953507201</c:v>
                </c:pt>
                <c:pt idx="2">
                  <c:v>3.9762156604078802</c:v>
                </c:pt>
                <c:pt idx="3">
                  <c:v>4.1156717681475801</c:v>
                </c:pt>
                <c:pt idx="4">
                  <c:v>4.2616069792633198</c:v>
                </c:pt>
                <c:pt idx="5">
                  <c:v>4.3286198758944696</c:v>
                </c:pt>
                <c:pt idx="6">
                  <c:v>4.4668929370465698</c:v>
                </c:pt>
                <c:pt idx="7">
                  <c:v>4.7049313458332698</c:v>
                </c:pt>
                <c:pt idx="8">
                  <c:v>4.4490704943226804</c:v>
                </c:pt>
                <c:pt idx="9">
                  <c:v>4.4536976926398104</c:v>
                </c:pt>
                <c:pt idx="10">
                  <c:v>4.4745700811097597</c:v>
                </c:pt>
                <c:pt idx="11">
                  <c:v>4.6155240570251399</c:v>
                </c:pt>
                <c:pt idx="12">
                  <c:v>4.6457399086433897</c:v>
                </c:pt>
                <c:pt idx="13">
                  <c:v>4.6332822318684102</c:v>
                </c:pt>
                <c:pt idx="14">
                  <c:v>4.6407670714703801</c:v>
                </c:pt>
                <c:pt idx="15">
                  <c:v>4.73263952671212</c:v>
                </c:pt>
                <c:pt idx="16">
                  <c:v>4.6536719492279799</c:v>
                </c:pt>
                <c:pt idx="17">
                  <c:v>4.5895646237737804</c:v>
                </c:pt>
                <c:pt idx="18">
                  <c:v>4.61920026135369</c:v>
                </c:pt>
                <c:pt idx="19">
                  <c:v>4.6747178236477502</c:v>
                </c:pt>
                <c:pt idx="20">
                  <c:v>4.5862204451268598</c:v>
                </c:pt>
                <c:pt idx="21">
                  <c:v>4.2507659645031097</c:v>
                </c:pt>
                <c:pt idx="22">
                  <c:v>3.9491096805015098</c:v>
                </c:pt>
                <c:pt idx="23">
                  <c:v>3.8211445865321001</c:v>
                </c:pt>
                <c:pt idx="24">
                  <c:v>3.8062802293370401</c:v>
                </c:pt>
                <c:pt idx="25">
                  <c:v>3.9283481871750499</c:v>
                </c:pt>
                <c:pt idx="26">
                  <c:v>3.8038767498904398</c:v>
                </c:pt>
                <c:pt idx="27">
                  <c:v>3.69926642416794</c:v>
                </c:pt>
                <c:pt idx="28">
                  <c:v>3.63325349969457</c:v>
                </c:pt>
                <c:pt idx="29">
                  <c:v>3.7531777758654599</c:v>
                </c:pt>
                <c:pt idx="30">
                  <c:v>3.7529169822709099</c:v>
                </c:pt>
                <c:pt idx="31">
                  <c:v>3.8270042987425001</c:v>
                </c:pt>
                <c:pt idx="32">
                  <c:v>3.8503675120790701</c:v>
                </c:pt>
                <c:pt idx="33">
                  <c:v>3.9015765798451199</c:v>
                </c:pt>
                <c:pt idx="34">
                  <c:v>4.0168085289684097</c:v>
                </c:pt>
                <c:pt idx="35">
                  <c:v>4.1313460757178397</c:v>
                </c:pt>
                <c:pt idx="36">
                  <c:v>4.3125175098783002</c:v>
                </c:pt>
                <c:pt idx="37">
                  <c:v>4.1556151382690096</c:v>
                </c:pt>
                <c:pt idx="38">
                  <c:v>4.1739330968867403</c:v>
                </c:pt>
                <c:pt idx="39">
                  <c:v>4.1882604412744202</c:v>
                </c:pt>
                <c:pt idx="40">
                  <c:v>4.2765226382154298</c:v>
                </c:pt>
                <c:pt idx="41">
                  <c:v>4.3227644059747696</c:v>
                </c:pt>
                <c:pt idx="42">
                  <c:v>4.3278463437356898</c:v>
                </c:pt>
                <c:pt idx="43">
                  <c:v>4.4491338596756798</c:v>
                </c:pt>
                <c:pt idx="44">
                  <c:v>4.5669157311845598</c:v>
                </c:pt>
                <c:pt idx="45">
                  <c:v>4.8218941601059599</c:v>
                </c:pt>
                <c:pt idx="46">
                  <c:v>4.9368701544670603</c:v>
                </c:pt>
                <c:pt idx="47">
                  <c:v>4.9621704900752599</c:v>
                </c:pt>
                <c:pt idx="48">
                  <c:v>5.11213707449979</c:v>
                </c:pt>
                <c:pt idx="49">
                  <c:v>5.0898398470488999</c:v>
                </c:pt>
                <c:pt idx="50">
                  <c:v>4.9859301813030701</c:v>
                </c:pt>
                <c:pt idx="51">
                  <c:v>4.8078077345350003</c:v>
                </c:pt>
                <c:pt idx="52">
                  <c:v>4.57035078861953</c:v>
                </c:pt>
                <c:pt idx="53">
                  <c:v>4.47777180912228</c:v>
                </c:pt>
                <c:pt idx="54">
                  <c:v>4.5070489226462804</c:v>
                </c:pt>
                <c:pt idx="55">
                  <c:v>4.6242812881039903</c:v>
                </c:pt>
                <c:pt idx="56">
                  <c:v>4.6829538502499499</c:v>
                </c:pt>
                <c:pt idx="57">
                  <c:v>4.7967452175748404</c:v>
                </c:pt>
                <c:pt idx="58">
                  <c:v>4.9665212100368699</c:v>
                </c:pt>
                <c:pt idx="59">
                  <c:v>5.1335206483369902</c:v>
                </c:pt>
                <c:pt idx="60">
                  <c:v>5.1970539533687603</c:v>
                </c:pt>
                <c:pt idx="61">
                  <c:v>5.1822039110491298</c:v>
                </c:pt>
                <c:pt idx="62">
                  <c:v>5.1143490178859601</c:v>
                </c:pt>
                <c:pt idx="63">
                  <c:v>5.0940064737528603</c:v>
                </c:pt>
                <c:pt idx="64">
                  <c:v>5.0325290775223701</c:v>
                </c:pt>
                <c:pt idx="65">
                  <c:v>5.0819040507103104</c:v>
                </c:pt>
                <c:pt idx="66">
                  <c:v>5.0601004655389001</c:v>
                </c:pt>
                <c:pt idx="67">
                  <c:v>5.1270693264062697</c:v>
                </c:pt>
                <c:pt idx="68">
                  <c:v>5.0436840369302098</c:v>
                </c:pt>
                <c:pt idx="69">
                  <c:v>5.0708901929194203</c:v>
                </c:pt>
                <c:pt idx="70">
                  <c:v>4.9170217745910296</c:v>
                </c:pt>
                <c:pt idx="71">
                  <c:v>4.8347262351269</c:v>
                </c:pt>
                <c:pt idx="72">
                  <c:v>4.8436569444591697</c:v>
                </c:pt>
                <c:pt idx="73">
                  <c:v>5.0053142767531096</c:v>
                </c:pt>
                <c:pt idx="74">
                  <c:v>4.9033025170080702</c:v>
                </c:pt>
                <c:pt idx="75">
                  <c:v>4.9372645695745003</c:v>
                </c:pt>
                <c:pt idx="76">
                  <c:v>4.9958465711364504</c:v>
                </c:pt>
                <c:pt idx="77">
                  <c:v>5.4116982160407501</c:v>
                </c:pt>
                <c:pt idx="78">
                  <c:v>5.95114825620941</c:v>
                </c:pt>
                <c:pt idx="79">
                  <c:v>6.1086940972447898</c:v>
                </c:pt>
                <c:pt idx="80">
                  <c:v>6.1605734440785103</c:v>
                </c:pt>
                <c:pt idx="81">
                  <c:v>6.3731672691902599</c:v>
                </c:pt>
                <c:pt idx="82">
                  <c:v>6.1738686786969001</c:v>
                </c:pt>
                <c:pt idx="83">
                  <c:v>6.0117805367643102</c:v>
                </c:pt>
                <c:pt idx="84">
                  <c:v>5.8879216459290902</c:v>
                </c:pt>
                <c:pt idx="85">
                  <c:v>5.8042207761092701</c:v>
                </c:pt>
                <c:pt idx="86">
                  <c:v>5.7637600292244597</c:v>
                </c:pt>
                <c:pt idx="87">
                  <c:v>5.7435418841214796</c:v>
                </c:pt>
                <c:pt idx="88">
                  <c:v>5.9365804213282498</c:v>
                </c:pt>
                <c:pt idx="89">
                  <c:v>6.1982599615576399</c:v>
                </c:pt>
                <c:pt idx="90">
                  <c:v>6.3394385012274101</c:v>
                </c:pt>
                <c:pt idx="91">
                  <c:v>6.46532332553672</c:v>
                </c:pt>
                <c:pt idx="92">
                  <c:v>6.5700777738285403</c:v>
                </c:pt>
                <c:pt idx="93">
                  <c:v>6.5991799225757699</c:v>
                </c:pt>
                <c:pt idx="94">
                  <c:v>6.5467608392706502</c:v>
                </c:pt>
                <c:pt idx="95">
                  <c:v>6.3439060133520604</c:v>
                </c:pt>
                <c:pt idx="96">
                  <c:v>6.2438765224041397</c:v>
                </c:pt>
                <c:pt idx="97">
                  <c:v>6.1921209476416399</c:v>
                </c:pt>
                <c:pt idx="98">
                  <c:v>6.2324641450380804</c:v>
                </c:pt>
                <c:pt idx="99">
                  <c:v>6.2398728301374602</c:v>
                </c:pt>
                <c:pt idx="100">
                  <c:v>6.2313178246901302</c:v>
                </c:pt>
                <c:pt idx="101">
                  <c:v>6.2033136271096696</c:v>
                </c:pt>
                <c:pt idx="102">
                  <c:v>6.3588353922846599</c:v>
                </c:pt>
                <c:pt idx="103">
                  <c:v>6.4541087802732102</c:v>
                </c:pt>
                <c:pt idx="104">
                  <c:v>6.5303692548919301</c:v>
                </c:pt>
                <c:pt idx="105">
                  <c:v>6.6969214773724</c:v>
                </c:pt>
                <c:pt idx="106">
                  <c:v>6.7489866680389001</c:v>
                </c:pt>
                <c:pt idx="107">
                  <c:v>6.6582320930680501</c:v>
                </c:pt>
                <c:pt idx="108">
                  <c:v>6.4966828781134502</c:v>
                </c:pt>
                <c:pt idx="109">
                  <c:v>6.3496636274609601</c:v>
                </c:pt>
                <c:pt idx="110">
                  <c:v>6.1625003353485797</c:v>
                </c:pt>
                <c:pt idx="111">
                  <c:v>6.2300990392303204</c:v>
                </c:pt>
                <c:pt idx="112">
                  <c:v>6.2157719062395396</c:v>
                </c:pt>
                <c:pt idx="113">
                  <c:v>6.1790285154481799</c:v>
                </c:pt>
                <c:pt idx="114">
                  <c:v>6.0110893377154699</c:v>
                </c:pt>
                <c:pt idx="115">
                  <c:v>5.8665917585648204</c:v>
                </c:pt>
                <c:pt idx="116">
                  <c:v>5.8261810662029001</c:v>
                </c:pt>
                <c:pt idx="117">
                  <c:v>5.7737271421591601</c:v>
                </c:pt>
                <c:pt idx="118">
                  <c:v>5.7509442380804598</c:v>
                </c:pt>
                <c:pt idx="119">
                  <c:v>5.7798931724268998</c:v>
                </c:pt>
                <c:pt idx="120">
                  <c:v>5.9359092819794297</c:v>
                </c:pt>
                <c:pt idx="121">
                  <c:v>5.8650240305353201</c:v>
                </c:pt>
                <c:pt idx="122">
                  <c:v>5.7131424649754203</c:v>
                </c:pt>
                <c:pt idx="123">
                  <c:v>5.7080755223592199</c:v>
                </c:pt>
                <c:pt idx="124">
                  <c:v>5.8034733297388401</c:v>
                </c:pt>
                <c:pt idx="125">
                  <c:v>5.8285798965769704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LLwithCondition!$D$3</c:f>
              <c:strCache>
                <c:ptCount val="1"/>
                <c:pt idx="0">
                  <c:v>Big Non-Bank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LLwithCondition!$B$4:$B$129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LLwithCondition!$D$4:$D$129</c:f>
              <c:numCache>
                <c:formatCode>0.00</c:formatCode>
                <c:ptCount val="126"/>
                <c:pt idx="0">
                  <c:v>4.0686507646154899</c:v>
                </c:pt>
                <c:pt idx="1">
                  <c:v>4.0642555362097301</c:v>
                </c:pt>
                <c:pt idx="2">
                  <c:v>4.0277059899699301</c:v>
                </c:pt>
                <c:pt idx="3">
                  <c:v>4.0516131888317304</c:v>
                </c:pt>
                <c:pt idx="4">
                  <c:v>4.1799260938571896</c:v>
                </c:pt>
                <c:pt idx="5">
                  <c:v>4.29507902652733</c:v>
                </c:pt>
                <c:pt idx="6">
                  <c:v>4.3614534485438199</c:v>
                </c:pt>
                <c:pt idx="7">
                  <c:v>4.4669266317103196</c:v>
                </c:pt>
                <c:pt idx="8">
                  <c:v>4.4759398824380998</c:v>
                </c:pt>
                <c:pt idx="9">
                  <c:v>4.50690906458677</c:v>
                </c:pt>
                <c:pt idx="10">
                  <c:v>4.5211881324073904</c:v>
                </c:pt>
                <c:pt idx="11">
                  <c:v>4.5436109646790204</c:v>
                </c:pt>
                <c:pt idx="12">
                  <c:v>4.6392985360140004</c:v>
                </c:pt>
                <c:pt idx="13">
                  <c:v>4.6819615889319897</c:v>
                </c:pt>
                <c:pt idx="14">
                  <c:v>4.6955468117550598</c:v>
                </c:pt>
                <c:pt idx="15">
                  <c:v>4.7366032886628702</c:v>
                </c:pt>
                <c:pt idx="16">
                  <c:v>4.7295954340305402</c:v>
                </c:pt>
                <c:pt idx="17">
                  <c:v>4.6121976997306398</c:v>
                </c:pt>
                <c:pt idx="18">
                  <c:v>4.5903276122072301</c:v>
                </c:pt>
                <c:pt idx="19">
                  <c:v>4.6286520450176498</c:v>
                </c:pt>
                <c:pt idx="20">
                  <c:v>4.6690205639464004</c:v>
                </c:pt>
                <c:pt idx="21">
                  <c:v>4.5745696530370399</c:v>
                </c:pt>
                <c:pt idx="22">
                  <c:v>4.2447480399268001</c:v>
                </c:pt>
                <c:pt idx="23">
                  <c:v>3.8919528668798899</c:v>
                </c:pt>
                <c:pt idx="24">
                  <c:v>3.7793401133038</c:v>
                </c:pt>
                <c:pt idx="25">
                  <c:v>3.80303948125629</c:v>
                </c:pt>
                <c:pt idx="26">
                  <c:v>3.80364044849131</c:v>
                </c:pt>
                <c:pt idx="27">
                  <c:v>3.7542129023702202</c:v>
                </c:pt>
                <c:pt idx="28">
                  <c:v>3.6053486298375601</c:v>
                </c:pt>
                <c:pt idx="29">
                  <c:v>3.61383049302919</c:v>
                </c:pt>
                <c:pt idx="30">
                  <c:v>3.6787505408074899</c:v>
                </c:pt>
                <c:pt idx="31">
                  <c:v>3.7165128808085699</c:v>
                </c:pt>
                <c:pt idx="32">
                  <c:v>3.8126189038843799</c:v>
                </c:pt>
                <c:pt idx="33">
                  <c:v>3.8442939134793499</c:v>
                </c:pt>
                <c:pt idx="34">
                  <c:v>3.9188893390305402</c:v>
                </c:pt>
                <c:pt idx="35">
                  <c:v>4.0210240278428504</c:v>
                </c:pt>
                <c:pt idx="36">
                  <c:v>4.0942294802658896</c:v>
                </c:pt>
                <c:pt idx="37">
                  <c:v>4.17333271294269</c:v>
                </c:pt>
                <c:pt idx="38">
                  <c:v>4.1092129545932403</c:v>
                </c:pt>
                <c:pt idx="39">
                  <c:v>4.1549008131127501</c:v>
                </c:pt>
                <c:pt idx="40">
                  <c:v>4.2256085430486303</c:v>
                </c:pt>
                <c:pt idx="41">
                  <c:v>4.33310028406291</c:v>
                </c:pt>
                <c:pt idx="42">
                  <c:v>4.2673548758431599</c:v>
                </c:pt>
                <c:pt idx="43">
                  <c:v>4.34694600021336</c:v>
                </c:pt>
                <c:pt idx="44">
                  <c:v>4.4539225851543804</c:v>
                </c:pt>
                <c:pt idx="45">
                  <c:v>4.74605707840702</c:v>
                </c:pt>
                <c:pt idx="46">
                  <c:v>4.77017791678142</c:v>
                </c:pt>
                <c:pt idx="47">
                  <c:v>4.9444954687776601</c:v>
                </c:pt>
                <c:pt idx="48">
                  <c:v>5.0106522497190102</c:v>
                </c:pt>
                <c:pt idx="49">
                  <c:v>5.1272066949473798</c:v>
                </c:pt>
                <c:pt idx="50">
                  <c:v>5.1598024386056496</c:v>
                </c:pt>
                <c:pt idx="51">
                  <c:v>4.9744173256000304</c:v>
                </c:pt>
                <c:pt idx="52">
                  <c:v>4.7009443977877297</c:v>
                </c:pt>
                <c:pt idx="53">
                  <c:v>4.5086726559339203</c:v>
                </c:pt>
                <c:pt idx="54">
                  <c:v>4.3965985586797096</c:v>
                </c:pt>
                <c:pt idx="55">
                  <c:v>4.5257030510575804</c:v>
                </c:pt>
                <c:pt idx="56">
                  <c:v>4.6295395373089496</c:v>
                </c:pt>
                <c:pt idx="57">
                  <c:v>4.7233472303049897</c:v>
                </c:pt>
                <c:pt idx="58">
                  <c:v>4.9026518418762004</c:v>
                </c:pt>
                <c:pt idx="59">
                  <c:v>5.2044462933785898</c:v>
                </c:pt>
                <c:pt idx="60">
                  <c:v>5.2384048241764596</c:v>
                </c:pt>
                <c:pt idx="61">
                  <c:v>5.1723318777901603</c:v>
                </c:pt>
                <c:pt idx="62">
                  <c:v>5.2625221084983602</c:v>
                </c:pt>
                <c:pt idx="63">
                  <c:v>5.1536480736346402</c:v>
                </c:pt>
                <c:pt idx="64">
                  <c:v>5.0033117888577898</c:v>
                </c:pt>
                <c:pt idx="65">
                  <c:v>5.0607206510651999</c:v>
                </c:pt>
                <c:pt idx="66">
                  <c:v>5.0894250837878499</c:v>
                </c:pt>
                <c:pt idx="67">
                  <c:v>5.0526037520760498</c:v>
                </c:pt>
                <c:pt idx="68">
                  <c:v>5.2545075049288199</c:v>
                </c:pt>
                <c:pt idx="69">
                  <c:v>5.3101678904135801</c:v>
                </c:pt>
                <c:pt idx="70">
                  <c:v>5.0901129423818601</c:v>
                </c:pt>
                <c:pt idx="71">
                  <c:v>4.9031303299357702</c:v>
                </c:pt>
                <c:pt idx="72">
                  <c:v>5.02641150947629</c:v>
                </c:pt>
                <c:pt idx="73">
                  <c:v>5.5034726021122697</c:v>
                </c:pt>
                <c:pt idx="74">
                  <c:v>4.9790307716941102</c:v>
                </c:pt>
                <c:pt idx="75">
                  <c:v>4.9859417574931797</c:v>
                </c:pt>
                <c:pt idx="76">
                  <c:v>4.8140476772344503</c:v>
                </c:pt>
                <c:pt idx="77">
                  <c:v>5.5879429462892798</c:v>
                </c:pt>
                <c:pt idx="78">
                  <c:v>6.0305100587502203</c:v>
                </c:pt>
                <c:pt idx="79">
                  <c:v>6.1393205362583698</c:v>
                </c:pt>
                <c:pt idx="80">
                  <c:v>6.3360286152089502</c:v>
                </c:pt>
                <c:pt idx="81">
                  <c:v>6.65090654381852</c:v>
                </c:pt>
                <c:pt idx="82">
                  <c:v>6.55888596105987</c:v>
                </c:pt>
                <c:pt idx="83">
                  <c:v>6.5773430662026398</c:v>
                </c:pt>
                <c:pt idx="84">
                  <c:v>6.031624251497</c:v>
                </c:pt>
                <c:pt idx="85">
                  <c:v>6.0359561667382797</c:v>
                </c:pt>
                <c:pt idx="86">
                  <c:v>5.9791683995526803</c:v>
                </c:pt>
                <c:pt idx="87">
                  <c:v>5.9431939282981698</c:v>
                </c:pt>
                <c:pt idx="88">
                  <c:v>6.1433166093110403</c:v>
                </c:pt>
                <c:pt idx="89">
                  <c:v>6.3152421891756596</c:v>
                </c:pt>
                <c:pt idx="90">
                  <c:v>6.38327217239536</c:v>
                </c:pt>
                <c:pt idx="91">
                  <c:v>6.4972427317042101</c:v>
                </c:pt>
                <c:pt idx="92">
                  <c:v>6.6248504403212802</c:v>
                </c:pt>
                <c:pt idx="93">
                  <c:v>6.7767987384436097</c:v>
                </c:pt>
                <c:pt idx="94">
                  <c:v>6.7227397056198903</c:v>
                </c:pt>
                <c:pt idx="95">
                  <c:v>6.6672712474198104</c:v>
                </c:pt>
                <c:pt idx="96">
                  <c:v>6.2402690361093898</c:v>
                </c:pt>
                <c:pt idx="97">
                  <c:v>6.1389123088444197</c:v>
                </c:pt>
                <c:pt idx="98">
                  <c:v>6.4147007427720597</c:v>
                </c:pt>
                <c:pt idx="99">
                  <c:v>6.4583574932373802</c:v>
                </c:pt>
                <c:pt idx="100">
                  <c:v>6.4570522130320001</c:v>
                </c:pt>
                <c:pt idx="101">
                  <c:v>6.5951725501935003</c:v>
                </c:pt>
                <c:pt idx="102">
                  <c:v>6.5400345488193796</c:v>
                </c:pt>
                <c:pt idx="103">
                  <c:v>6.6050926142464297</c:v>
                </c:pt>
                <c:pt idx="104">
                  <c:v>6.7612498647602699</c:v>
                </c:pt>
                <c:pt idx="105">
                  <c:v>6.8026987479921601</c:v>
                </c:pt>
                <c:pt idx="106">
                  <c:v>6.8165332362930604</c:v>
                </c:pt>
                <c:pt idx="107">
                  <c:v>6.79919524180242</c:v>
                </c:pt>
                <c:pt idx="108">
                  <c:v>6.7723561623469903</c:v>
                </c:pt>
                <c:pt idx="109">
                  <c:v>6.6439112465558896</c:v>
                </c:pt>
                <c:pt idx="110">
                  <c:v>6.44507652227413</c:v>
                </c:pt>
                <c:pt idx="111">
                  <c:v>6.6172545901618598</c:v>
                </c:pt>
                <c:pt idx="112">
                  <c:v>6.5915094227876203</c:v>
                </c:pt>
                <c:pt idx="113">
                  <c:v>6.5427289793067303</c:v>
                </c:pt>
                <c:pt idx="114">
                  <c:v>6.2082868116654</c:v>
                </c:pt>
                <c:pt idx="115">
                  <c:v>5.9911124383801297</c:v>
                </c:pt>
                <c:pt idx="116">
                  <c:v>6.0827941560026799</c:v>
                </c:pt>
                <c:pt idx="117">
                  <c:v>6.0248056296464396</c:v>
                </c:pt>
                <c:pt idx="118">
                  <c:v>6.0116534514124798</c:v>
                </c:pt>
                <c:pt idx="119">
                  <c:v>5.9291439279153604</c:v>
                </c:pt>
                <c:pt idx="120">
                  <c:v>6.0861604457115899</c:v>
                </c:pt>
                <c:pt idx="121">
                  <c:v>5.9156436011904701</c:v>
                </c:pt>
                <c:pt idx="122">
                  <c:v>6.0336881169928702</c:v>
                </c:pt>
                <c:pt idx="123">
                  <c:v>5.9235606448311096</c:v>
                </c:pt>
                <c:pt idx="124">
                  <c:v>6.1476152160514896</c:v>
                </c:pt>
                <c:pt idx="125">
                  <c:v>5.9643916855714201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LLwithCondition!$E$3</c:f>
              <c:strCache>
                <c:ptCount val="1"/>
                <c:pt idx="0">
                  <c:v>Small Lender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LLwithCondition!$B$4:$B$129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LLwithCondition!$E$4:$E$129</c:f>
              <c:numCache>
                <c:formatCode>0.00</c:formatCode>
                <c:ptCount val="126"/>
                <c:pt idx="0">
                  <c:v>4.0561251713544104</c:v>
                </c:pt>
                <c:pt idx="1">
                  <c:v>3.9762475049440198</c:v>
                </c:pt>
                <c:pt idx="2">
                  <c:v>3.9282028775760498</c:v>
                </c:pt>
                <c:pt idx="3">
                  <c:v>3.9320396187248101</c:v>
                </c:pt>
                <c:pt idx="4">
                  <c:v>4.1049873604232801</c:v>
                </c:pt>
                <c:pt idx="5">
                  <c:v>4.2149770950800001</c:v>
                </c:pt>
                <c:pt idx="6">
                  <c:v>4.2823710809759499</c:v>
                </c:pt>
                <c:pt idx="7">
                  <c:v>4.3555208650457802</c:v>
                </c:pt>
                <c:pt idx="8">
                  <c:v>4.3973010870007103</c:v>
                </c:pt>
                <c:pt idx="9">
                  <c:v>4.3669489809585196</c:v>
                </c:pt>
                <c:pt idx="10">
                  <c:v>4.4174894237425599</c:v>
                </c:pt>
                <c:pt idx="11">
                  <c:v>4.4428648016081</c:v>
                </c:pt>
                <c:pt idx="12">
                  <c:v>4.5499580654746996</c:v>
                </c:pt>
                <c:pt idx="13">
                  <c:v>4.5766765568888301</c:v>
                </c:pt>
                <c:pt idx="14">
                  <c:v>4.5955650821670497</c:v>
                </c:pt>
                <c:pt idx="15">
                  <c:v>4.6124541798731897</c:v>
                </c:pt>
                <c:pt idx="16">
                  <c:v>4.6047579940496401</c:v>
                </c:pt>
                <c:pt idx="17">
                  <c:v>4.5423720637683003</c:v>
                </c:pt>
                <c:pt idx="18">
                  <c:v>4.4856529453012701</c:v>
                </c:pt>
                <c:pt idx="19">
                  <c:v>4.5931885852676899</c:v>
                </c:pt>
                <c:pt idx="20">
                  <c:v>4.6448965055844003</c:v>
                </c:pt>
                <c:pt idx="21">
                  <c:v>4.4868701789443204</c:v>
                </c:pt>
                <c:pt idx="22">
                  <c:v>4.1904757607515801</c:v>
                </c:pt>
                <c:pt idx="23">
                  <c:v>3.8614924384028302</c:v>
                </c:pt>
                <c:pt idx="24">
                  <c:v>3.7594762587358401</c:v>
                </c:pt>
                <c:pt idx="25">
                  <c:v>3.7579848918707599</c:v>
                </c:pt>
                <c:pt idx="26">
                  <c:v>3.7233882877985902</c:v>
                </c:pt>
                <c:pt idx="27">
                  <c:v>3.6572873433600201</c:v>
                </c:pt>
                <c:pt idx="28">
                  <c:v>3.58160500208843</c:v>
                </c:pt>
                <c:pt idx="29">
                  <c:v>3.5617646791317901</c:v>
                </c:pt>
                <c:pt idx="30">
                  <c:v>3.56765547891264</c:v>
                </c:pt>
                <c:pt idx="31">
                  <c:v>3.6357269037879698</c:v>
                </c:pt>
                <c:pt idx="32">
                  <c:v>3.7556527877728501</c:v>
                </c:pt>
                <c:pt idx="33">
                  <c:v>3.8328685818010499</c:v>
                </c:pt>
                <c:pt idx="34">
                  <c:v>3.84847397972475</c:v>
                </c:pt>
                <c:pt idx="35">
                  <c:v>3.9915397167780799</c:v>
                </c:pt>
                <c:pt idx="36">
                  <c:v>4.0796072104057002</c:v>
                </c:pt>
                <c:pt idx="37">
                  <c:v>4.0951346139394103</c:v>
                </c:pt>
                <c:pt idx="38">
                  <c:v>4.0552340372442899</c:v>
                </c:pt>
                <c:pt idx="39">
                  <c:v>4.0730557594336103</c:v>
                </c:pt>
                <c:pt idx="40">
                  <c:v>4.1302566229502302</c:v>
                </c:pt>
                <c:pt idx="41">
                  <c:v>4.2152473802194796</c:v>
                </c:pt>
                <c:pt idx="42">
                  <c:v>4.2221592290878203</c:v>
                </c:pt>
                <c:pt idx="43">
                  <c:v>4.2804118399340396</c:v>
                </c:pt>
                <c:pt idx="44">
                  <c:v>4.3601827778140496</c:v>
                </c:pt>
                <c:pt idx="45">
                  <c:v>4.5906352698938502</c:v>
                </c:pt>
                <c:pt idx="46">
                  <c:v>4.7660299889469897</c:v>
                </c:pt>
                <c:pt idx="47">
                  <c:v>4.8542933668009498</c:v>
                </c:pt>
                <c:pt idx="48">
                  <c:v>4.95904409974725</c:v>
                </c:pt>
                <c:pt idx="49">
                  <c:v>5.0024613921514902</c:v>
                </c:pt>
                <c:pt idx="50">
                  <c:v>4.9197654711748502</c:v>
                </c:pt>
                <c:pt idx="51">
                  <c:v>4.8488406302649203</c:v>
                </c:pt>
                <c:pt idx="52">
                  <c:v>4.6256668706208099</c:v>
                </c:pt>
                <c:pt idx="53">
                  <c:v>4.4727380652121402</c:v>
                </c:pt>
                <c:pt idx="54">
                  <c:v>4.4263113947291099</c:v>
                </c:pt>
                <c:pt idx="55">
                  <c:v>4.46808288934138</c:v>
                </c:pt>
                <c:pt idx="56">
                  <c:v>4.5241107366993702</c:v>
                </c:pt>
                <c:pt idx="57">
                  <c:v>4.6422108273695404</c:v>
                </c:pt>
                <c:pt idx="58">
                  <c:v>4.7850141216470501</c:v>
                </c:pt>
                <c:pt idx="59">
                  <c:v>5.0279533756399903</c:v>
                </c:pt>
                <c:pt idx="60">
                  <c:v>5.1463617792058498</c:v>
                </c:pt>
                <c:pt idx="61">
                  <c:v>5.1203829978817703</c:v>
                </c:pt>
                <c:pt idx="62">
                  <c:v>5.1197191823873904</c:v>
                </c:pt>
                <c:pt idx="63">
                  <c:v>5.0761830844653897</c:v>
                </c:pt>
                <c:pt idx="64">
                  <c:v>5.0031136856172704</c:v>
                </c:pt>
                <c:pt idx="65">
                  <c:v>5.0065109001000803</c:v>
                </c:pt>
                <c:pt idx="66">
                  <c:v>5.0281029458344397</c:v>
                </c:pt>
                <c:pt idx="67">
                  <c:v>5.1209082438209101</c:v>
                </c:pt>
                <c:pt idx="68">
                  <c:v>5.2362539252109102</c:v>
                </c:pt>
                <c:pt idx="69">
                  <c:v>5.3883722712743003</c:v>
                </c:pt>
                <c:pt idx="70">
                  <c:v>5.0821268609385104</c:v>
                </c:pt>
                <c:pt idx="71">
                  <c:v>4.9194447639263403</c:v>
                </c:pt>
                <c:pt idx="72">
                  <c:v>5.0433127624664502</c:v>
                </c:pt>
                <c:pt idx="73">
                  <c:v>5.4341002241852001</c:v>
                </c:pt>
                <c:pt idx="74">
                  <c:v>4.95152249298161</c:v>
                </c:pt>
                <c:pt idx="75">
                  <c:v>4.9508646158068697</c:v>
                </c:pt>
                <c:pt idx="76">
                  <c:v>4.9641054943975496</c:v>
                </c:pt>
                <c:pt idx="77">
                  <c:v>5.6622577166640902</c:v>
                </c:pt>
                <c:pt idx="78">
                  <c:v>5.8596863041649598</c:v>
                </c:pt>
                <c:pt idx="79">
                  <c:v>6.0422214557060299</c:v>
                </c:pt>
                <c:pt idx="80">
                  <c:v>6.2080239949810698</c:v>
                </c:pt>
                <c:pt idx="81">
                  <c:v>6.4089655022722702</c:v>
                </c:pt>
                <c:pt idx="82">
                  <c:v>6.2387191553264101</c:v>
                </c:pt>
                <c:pt idx="83">
                  <c:v>6.0218748192218401</c:v>
                </c:pt>
                <c:pt idx="84">
                  <c:v>5.9720228438158003</c:v>
                </c:pt>
                <c:pt idx="85">
                  <c:v>5.8368842036889896</c:v>
                </c:pt>
                <c:pt idx="86">
                  <c:v>5.7104180355247598</c:v>
                </c:pt>
                <c:pt idx="87">
                  <c:v>5.7260938763857698</c:v>
                </c:pt>
                <c:pt idx="88">
                  <c:v>5.9576782218423299</c:v>
                </c:pt>
                <c:pt idx="89">
                  <c:v>6.2558018281549401</c:v>
                </c:pt>
                <c:pt idx="90">
                  <c:v>6.3910935421455797</c:v>
                </c:pt>
                <c:pt idx="91">
                  <c:v>6.4735852917291901</c:v>
                </c:pt>
                <c:pt idx="92">
                  <c:v>6.60761287553479</c:v>
                </c:pt>
                <c:pt idx="93">
                  <c:v>6.6516552376793499</c:v>
                </c:pt>
                <c:pt idx="94">
                  <c:v>6.5834400513605198</c:v>
                </c:pt>
                <c:pt idx="95">
                  <c:v>6.3684215365538597</c:v>
                </c:pt>
                <c:pt idx="96">
                  <c:v>6.2258449290489803</c:v>
                </c:pt>
                <c:pt idx="97">
                  <c:v>6.2318888958699299</c:v>
                </c:pt>
                <c:pt idx="98">
                  <c:v>6.3741012932097298</c:v>
                </c:pt>
                <c:pt idx="99">
                  <c:v>6.2558275704371002</c:v>
                </c:pt>
                <c:pt idx="100">
                  <c:v>6.2136411587990699</c:v>
                </c:pt>
                <c:pt idx="101">
                  <c:v>6.2930519936589402</c:v>
                </c:pt>
                <c:pt idx="102">
                  <c:v>6.39834118453411</c:v>
                </c:pt>
                <c:pt idx="103">
                  <c:v>6.4627379583711599</c:v>
                </c:pt>
                <c:pt idx="104">
                  <c:v>6.5036892452480002</c:v>
                </c:pt>
                <c:pt idx="105">
                  <c:v>6.5984951599902804</c:v>
                </c:pt>
                <c:pt idx="106">
                  <c:v>6.64420965530201</c:v>
                </c:pt>
                <c:pt idx="107">
                  <c:v>6.6718242011780502</c:v>
                </c:pt>
                <c:pt idx="108">
                  <c:v>6.5174767584399396</c:v>
                </c:pt>
                <c:pt idx="109">
                  <c:v>6.4293742265984299</c:v>
                </c:pt>
                <c:pt idx="110">
                  <c:v>6.2872382875702897</c:v>
                </c:pt>
                <c:pt idx="111">
                  <c:v>6.2982082968512598</c:v>
                </c:pt>
                <c:pt idx="112">
                  <c:v>6.2874154697010702</c:v>
                </c:pt>
                <c:pt idx="113">
                  <c:v>6.2545362046244097</c:v>
                </c:pt>
                <c:pt idx="114">
                  <c:v>6.0663837781049201</c:v>
                </c:pt>
                <c:pt idx="115">
                  <c:v>5.8824956492188702</c:v>
                </c:pt>
                <c:pt idx="116">
                  <c:v>5.90450688398127</c:v>
                </c:pt>
                <c:pt idx="117">
                  <c:v>5.7835762679290603</c:v>
                </c:pt>
                <c:pt idx="118">
                  <c:v>5.6867978695648898</c:v>
                </c:pt>
                <c:pt idx="119">
                  <c:v>5.77587230029149</c:v>
                </c:pt>
                <c:pt idx="120">
                  <c:v>5.9011810521622499</c:v>
                </c:pt>
                <c:pt idx="121">
                  <c:v>5.93851052657556</c:v>
                </c:pt>
                <c:pt idx="122">
                  <c:v>5.7027763131622304</c:v>
                </c:pt>
                <c:pt idx="123">
                  <c:v>5.7027848550616698</c:v>
                </c:pt>
                <c:pt idx="124">
                  <c:v>5.84702160477205</c:v>
                </c:pt>
                <c:pt idx="125">
                  <c:v>5.8075675352202101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771136"/>
        <c:axId val="313772672"/>
      </c:lineChart>
      <c:dateAx>
        <c:axId val="313771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3772672"/>
        <c:crosses val="autoZero"/>
        <c:auto val="1"/>
        <c:lblOffset val="100"/>
        <c:baseTimeUnit val="months"/>
        <c:majorUnit val="6"/>
        <c:majorTimeUnit val="months"/>
      </c:dateAx>
      <c:valAx>
        <c:axId val="313772672"/>
        <c:scaling>
          <c:orientation val="minMax"/>
          <c:min val="3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137711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v>Bank vs Non-Bank</c:v>
          </c:tx>
          <c:spPr>
            <a:solidFill>
              <a:srgbClr val="2E398A"/>
            </a:solidFill>
            <a:ln>
              <a:noFill/>
            </a:ln>
          </c:spPr>
          <c:invertIfNegative val="0"/>
          <c:cat>
            <c:numRef>
              <c:f>LLwithCondition!$B$4:$B$129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LLwithCondition!$F$4:$F$129</c:f>
              <c:numCache>
                <c:formatCode>0.00</c:formatCode>
                <c:ptCount val="126"/>
                <c:pt idx="0">
                  <c:v>0.21280610064181982</c:v>
                </c:pt>
                <c:pt idx="1">
                  <c:v>8.5478659140989954E-2</c:v>
                </c:pt>
                <c:pt idx="2">
                  <c:v>-5.1490329562049908E-2</c:v>
                </c:pt>
                <c:pt idx="3">
                  <c:v>6.4058579315849684E-2</c:v>
                </c:pt>
                <c:pt idx="4">
                  <c:v>8.1680885406130166E-2</c:v>
                </c:pt>
                <c:pt idx="5">
                  <c:v>3.3540849367139636E-2</c:v>
                </c:pt>
                <c:pt idx="6">
                  <c:v>0.10543948850274987</c:v>
                </c:pt>
                <c:pt idx="7">
                  <c:v>0.23800471412295021</c:v>
                </c:pt>
                <c:pt idx="8">
                  <c:v>-2.686938811541939E-2</c:v>
                </c:pt>
                <c:pt idx="9">
                  <c:v>-5.3211371946959574E-2</c:v>
                </c:pt>
                <c:pt idx="10">
                  <c:v>-4.6618051297630636E-2</c:v>
                </c:pt>
                <c:pt idx="11">
                  <c:v>7.1913092346119534E-2</c:v>
                </c:pt>
                <c:pt idx="12">
                  <c:v>6.4413726293892637E-3</c:v>
                </c:pt>
                <c:pt idx="13">
                  <c:v>-4.8679357063579509E-2</c:v>
                </c:pt>
                <c:pt idx="14">
                  <c:v>-5.477974028467969E-2</c:v>
                </c:pt>
                <c:pt idx="15">
                  <c:v>-3.9637619507502109E-3</c:v>
                </c:pt>
                <c:pt idx="16">
                  <c:v>-7.5923484802560282E-2</c:v>
                </c:pt>
                <c:pt idx="17">
                  <c:v>-2.2633075956859372E-2</c:v>
                </c:pt>
                <c:pt idx="18">
                  <c:v>2.8872649146459928E-2</c:v>
                </c:pt>
                <c:pt idx="19">
                  <c:v>4.6065778630100418E-2</c:v>
                </c:pt>
                <c:pt idx="20">
                  <c:v>-8.2800118819540636E-2</c:v>
                </c:pt>
                <c:pt idx="21">
                  <c:v>-0.32380368853393016</c:v>
                </c:pt>
                <c:pt idx="22">
                  <c:v>-0.29563835942529026</c:v>
                </c:pt>
                <c:pt idx="23">
                  <c:v>-7.0808280347789854E-2</c:v>
                </c:pt>
                <c:pt idx="24">
                  <c:v>2.6940116033240091E-2</c:v>
                </c:pt>
                <c:pt idx="25">
                  <c:v>0.12530870591875987</c:v>
                </c:pt>
                <c:pt idx="26">
                  <c:v>2.363013991297791E-4</c:v>
                </c:pt>
                <c:pt idx="27">
                  <c:v>-5.4946478202280158E-2</c:v>
                </c:pt>
                <c:pt idx="28">
                  <c:v>2.7904869857009906E-2</c:v>
                </c:pt>
                <c:pt idx="29">
                  <c:v>0.13934728283626985</c:v>
                </c:pt>
                <c:pt idx="30">
                  <c:v>7.4166441463419996E-2</c:v>
                </c:pt>
                <c:pt idx="31">
                  <c:v>0.11049141793393025</c:v>
                </c:pt>
                <c:pt idx="32">
                  <c:v>3.7748608194690281E-2</c:v>
                </c:pt>
                <c:pt idx="33">
                  <c:v>5.7282666365769952E-2</c:v>
                </c:pt>
                <c:pt idx="34">
                  <c:v>9.7919189937869522E-2</c:v>
                </c:pt>
                <c:pt idx="35">
                  <c:v>0.11032204787498934</c:v>
                </c:pt>
                <c:pt idx="36">
                  <c:v>0.21828802961241056</c:v>
                </c:pt>
                <c:pt idx="37">
                  <c:v>-1.7717574673680403E-2</c:v>
                </c:pt>
                <c:pt idx="38">
                  <c:v>6.4720142293499983E-2</c:v>
                </c:pt>
                <c:pt idx="39">
                  <c:v>3.3359628161670152E-2</c:v>
                </c:pt>
                <c:pt idx="40">
                  <c:v>5.0914095166799456E-2</c:v>
                </c:pt>
                <c:pt idx="41">
                  <c:v>-1.0335878088140404E-2</c:v>
                </c:pt>
                <c:pt idx="42">
                  <c:v>6.0491467892529904E-2</c:v>
                </c:pt>
                <c:pt idx="43">
                  <c:v>0.10218785946231979</c:v>
                </c:pt>
                <c:pt idx="44">
                  <c:v>0.1129931460301794</c:v>
                </c:pt>
                <c:pt idx="45">
                  <c:v>7.583708169893999E-2</c:v>
                </c:pt>
                <c:pt idx="46">
                  <c:v>0.16669223768564034</c:v>
                </c:pt>
                <c:pt idx="47">
                  <c:v>1.7675021297599791E-2</c:v>
                </c:pt>
                <c:pt idx="48">
                  <c:v>0.1014848247807798</c:v>
                </c:pt>
                <c:pt idx="49">
                  <c:v>-3.7366847898479882E-2</c:v>
                </c:pt>
                <c:pt idx="50">
                  <c:v>-0.17387225730257949</c:v>
                </c:pt>
                <c:pt idx="51">
                  <c:v>-0.16660959106503004</c:v>
                </c:pt>
                <c:pt idx="52">
                  <c:v>-0.13059360916819962</c:v>
                </c:pt>
                <c:pt idx="53">
                  <c:v>-3.0900846811640292E-2</c:v>
                </c:pt>
                <c:pt idx="54">
                  <c:v>0.11045036396657082</c:v>
                </c:pt>
                <c:pt idx="55">
                  <c:v>9.8578237046409889E-2</c:v>
                </c:pt>
                <c:pt idx="56">
                  <c:v>5.3414312941000297E-2</c:v>
                </c:pt>
                <c:pt idx="57">
                  <c:v>7.3397987269850695E-2</c:v>
                </c:pt>
                <c:pt idx="58">
                  <c:v>6.386936816066946E-2</c:v>
                </c:pt>
                <c:pt idx="59">
                  <c:v>-7.0925645041599594E-2</c:v>
                </c:pt>
                <c:pt idx="60">
                  <c:v>-4.135087080769928E-2</c:v>
                </c:pt>
                <c:pt idx="61">
                  <c:v>9.8720332589694593E-3</c:v>
                </c:pt>
                <c:pt idx="62">
                  <c:v>-0.14817309061240014</c:v>
                </c:pt>
                <c:pt idx="63">
                  <c:v>-5.9641599881779861E-2</c:v>
                </c:pt>
                <c:pt idx="64">
                  <c:v>2.9217288664580288E-2</c:v>
                </c:pt>
                <c:pt idx="65">
                  <c:v>2.1183399645110512E-2</c:v>
                </c:pt>
                <c:pt idx="66">
                  <c:v>-2.9324618248949719E-2</c:v>
                </c:pt>
                <c:pt idx="67">
                  <c:v>7.446557433021983E-2</c:v>
                </c:pt>
                <c:pt idx="68">
                  <c:v>-0.21082346799861007</c:v>
                </c:pt>
                <c:pt idx="69">
                  <c:v>-0.23927769749415972</c:v>
                </c:pt>
                <c:pt idx="70">
                  <c:v>-0.17309116779083045</c:v>
                </c:pt>
                <c:pt idx="71">
                  <c:v>-6.8404094808870219E-2</c:v>
                </c:pt>
                <c:pt idx="72">
                  <c:v>-0.18275456501712029</c:v>
                </c:pt>
                <c:pt idx="73">
                  <c:v>-0.49815832535916016</c:v>
                </c:pt>
                <c:pt idx="74">
                  <c:v>-7.5728254686040053E-2</c:v>
                </c:pt>
                <c:pt idx="75">
                  <c:v>-4.8677187918679365E-2</c:v>
                </c:pt>
                <c:pt idx="76">
                  <c:v>0.1817988939020001</c:v>
                </c:pt>
                <c:pt idx="77">
                  <c:v>-0.17624473024852971</c:v>
                </c:pt>
                <c:pt idx="78">
                  <c:v>-7.9361802540810267E-2</c:v>
                </c:pt>
                <c:pt idx="79">
                  <c:v>-3.0626439013579976E-2</c:v>
                </c:pt>
                <c:pt idx="80">
                  <c:v>-0.17545517113043996</c:v>
                </c:pt>
                <c:pt idx="81">
                  <c:v>-0.27773927462826009</c:v>
                </c:pt>
                <c:pt idx="82">
                  <c:v>-0.38501728236296984</c:v>
                </c:pt>
                <c:pt idx="83">
                  <c:v>-0.56556252943832952</c:v>
                </c:pt>
                <c:pt idx="84">
                  <c:v>-0.14370260556790981</c:v>
                </c:pt>
                <c:pt idx="85">
                  <c:v>-0.23173539062900961</c:v>
                </c:pt>
                <c:pt idx="86">
                  <c:v>-0.21540837032822058</c:v>
                </c:pt>
                <c:pt idx="87">
                  <c:v>-0.19965204417669025</c:v>
                </c:pt>
                <c:pt idx="88">
                  <c:v>-0.20673618798279048</c:v>
                </c:pt>
                <c:pt idx="89">
                  <c:v>-0.11698222761801969</c:v>
                </c:pt>
                <c:pt idx="90">
                  <c:v>-4.3833671167949895E-2</c:v>
                </c:pt>
                <c:pt idx="91">
                  <c:v>-3.1919406167490116E-2</c:v>
                </c:pt>
                <c:pt idx="92">
                  <c:v>-5.477266649273993E-2</c:v>
                </c:pt>
                <c:pt idx="93">
                  <c:v>-0.17761881586783979</c:v>
                </c:pt>
                <c:pt idx="94">
                  <c:v>-0.17597886634924009</c:v>
                </c:pt>
                <c:pt idx="95">
                  <c:v>-0.32336523406774997</c:v>
                </c:pt>
                <c:pt idx="96">
                  <c:v>3.6074862947499398E-3</c:v>
                </c:pt>
                <c:pt idx="97">
                  <c:v>5.3208638797220154E-2</c:v>
                </c:pt>
                <c:pt idx="98">
                  <c:v>-0.18223659773397927</c:v>
                </c:pt>
                <c:pt idx="99">
                  <c:v>-0.21848466309991998</c:v>
                </c:pt>
                <c:pt idx="100">
                  <c:v>-0.22573438834186987</c:v>
                </c:pt>
                <c:pt idx="101">
                  <c:v>-0.39185892308383075</c:v>
                </c:pt>
                <c:pt idx="102">
                  <c:v>-0.18119915653471974</c:v>
                </c:pt>
                <c:pt idx="103">
                  <c:v>-0.15098383397321946</c:v>
                </c:pt>
                <c:pt idx="104">
                  <c:v>-0.2308806098683398</c:v>
                </c:pt>
                <c:pt idx="105">
                  <c:v>-0.10577727061976017</c:v>
                </c:pt>
                <c:pt idx="106">
                  <c:v>-6.7546568254160277E-2</c:v>
                </c:pt>
                <c:pt idx="107">
                  <c:v>-0.14096314873436988</c:v>
                </c:pt>
                <c:pt idx="108">
                  <c:v>-0.27567328423354009</c:v>
                </c:pt>
                <c:pt idx="109">
                  <c:v>-0.29424761909492947</c:v>
                </c:pt>
                <c:pt idx="110">
                  <c:v>-0.28257618692555031</c:v>
                </c:pt>
                <c:pt idx="111">
                  <c:v>-0.38715555093153942</c:v>
                </c:pt>
                <c:pt idx="112">
                  <c:v>-0.37573751654808074</c:v>
                </c:pt>
                <c:pt idx="113">
                  <c:v>-0.36370046385855037</c:v>
                </c:pt>
                <c:pt idx="114">
                  <c:v>-0.19719747394993004</c:v>
                </c:pt>
                <c:pt idx="115">
                  <c:v>-0.12452067981530934</c:v>
                </c:pt>
                <c:pt idx="116">
                  <c:v>-0.25661308979977981</c:v>
                </c:pt>
                <c:pt idx="117">
                  <c:v>-0.25107848748727957</c:v>
                </c:pt>
                <c:pt idx="118">
                  <c:v>-0.26070921333201991</c:v>
                </c:pt>
                <c:pt idx="119">
                  <c:v>-0.14925075548846056</c:v>
                </c:pt>
                <c:pt idx="120">
                  <c:v>-0.15025116373216019</c:v>
                </c:pt>
                <c:pt idx="121">
                  <c:v>-5.0619570655149992E-2</c:v>
                </c:pt>
                <c:pt idx="122">
                  <c:v>-0.32054565201744989</c:v>
                </c:pt>
                <c:pt idx="123">
                  <c:v>-0.21548512247188967</c:v>
                </c:pt>
                <c:pt idx="124">
                  <c:v>-0.34414188631264953</c:v>
                </c:pt>
                <c:pt idx="125">
                  <c:v>-0.13581178899444968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800960"/>
        <c:axId val="313802752"/>
      </c:barChart>
      <c:dateAx>
        <c:axId val="313800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313802752"/>
        <c:crosses val="autoZero"/>
        <c:auto val="1"/>
        <c:lblOffset val="100"/>
        <c:baseTimeUnit val="months"/>
        <c:majorUnit val="6"/>
        <c:majorTimeUnit val="months"/>
      </c:dateAx>
      <c:valAx>
        <c:axId val="3138027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138009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v>Bank vs Small</c:v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numRef>
              <c:f>LLwithCondition!$B$4:$B$129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LLwithCondition!$G$4:$G$129</c:f>
              <c:numCache>
                <c:formatCode>0.00</c:formatCode>
                <c:ptCount val="126"/>
                <c:pt idx="0">
                  <c:v>0.22533169390289931</c:v>
                </c:pt>
                <c:pt idx="1">
                  <c:v>0.17348669040670028</c:v>
                </c:pt>
                <c:pt idx="2">
                  <c:v>4.8012782831830414E-2</c:v>
                </c:pt>
                <c:pt idx="3">
                  <c:v>0.18363214942276995</c:v>
                </c:pt>
                <c:pt idx="4">
                  <c:v>0.15661961884003972</c:v>
                </c:pt>
                <c:pt idx="5">
                  <c:v>0.11364278081446955</c:v>
                </c:pt>
                <c:pt idx="6">
                  <c:v>0.18452185607061988</c:v>
                </c:pt>
                <c:pt idx="7">
                  <c:v>0.3494104807874896</c:v>
                </c:pt>
                <c:pt idx="8">
                  <c:v>5.1769407321970107E-2</c:v>
                </c:pt>
                <c:pt idx="9">
                  <c:v>8.6748711681290835E-2</c:v>
                </c:pt>
                <c:pt idx="10">
                  <c:v>5.7080657367199805E-2</c:v>
                </c:pt>
                <c:pt idx="11">
                  <c:v>0.17265925541703986</c:v>
                </c:pt>
                <c:pt idx="12">
                  <c:v>9.5781843168690095E-2</c:v>
                </c:pt>
                <c:pt idx="13">
                  <c:v>5.6605674979580023E-2</c:v>
                </c:pt>
                <c:pt idx="14">
                  <c:v>4.5201989303330414E-2</c:v>
                </c:pt>
                <c:pt idx="15">
                  <c:v>0.12018534683893023</c:v>
                </c:pt>
                <c:pt idx="16">
                  <c:v>4.8913955178339741E-2</c:v>
                </c:pt>
                <c:pt idx="17">
                  <c:v>4.7192560005480111E-2</c:v>
                </c:pt>
                <c:pt idx="18">
                  <c:v>0.13354731605241987</c:v>
                </c:pt>
                <c:pt idx="19">
                  <c:v>8.152923838006032E-2</c:v>
                </c:pt>
                <c:pt idx="20">
                  <c:v>-5.867606045754048E-2</c:v>
                </c:pt>
                <c:pt idx="21">
                  <c:v>-0.23610421444121066</c:v>
                </c:pt>
                <c:pt idx="22">
                  <c:v>-0.24136608025007034</c:v>
                </c:pt>
                <c:pt idx="23">
                  <c:v>-4.0347851870730089E-2</c:v>
                </c:pt>
                <c:pt idx="24">
                  <c:v>4.6803970601200007E-2</c:v>
                </c:pt>
                <c:pt idx="25">
                  <c:v>0.17036329530428995</c:v>
                </c:pt>
                <c:pt idx="26">
                  <c:v>8.0488462091849566E-2</c:v>
                </c:pt>
                <c:pt idx="27">
                  <c:v>4.19790808079199E-2</c:v>
                </c:pt>
                <c:pt idx="28">
                  <c:v>5.1648497606139987E-2</c:v>
                </c:pt>
                <c:pt idx="29">
                  <c:v>0.1914130967336698</c:v>
                </c:pt>
                <c:pt idx="30">
                  <c:v>0.18526150335826985</c:v>
                </c:pt>
                <c:pt idx="31">
                  <c:v>0.19127739495453033</c:v>
                </c:pt>
                <c:pt idx="32">
                  <c:v>9.4714724306220077E-2</c:v>
                </c:pt>
                <c:pt idx="33">
                  <c:v>6.8707998044069907E-2</c:v>
                </c:pt>
                <c:pt idx="34">
                  <c:v>0.16833454924365965</c:v>
                </c:pt>
                <c:pt idx="35">
                  <c:v>0.13980635893975979</c:v>
                </c:pt>
                <c:pt idx="36">
                  <c:v>0.2329102994726</c:v>
                </c:pt>
                <c:pt idx="37">
                  <c:v>6.0480524329599383E-2</c:v>
                </c:pt>
                <c:pt idx="38">
                  <c:v>0.11869905964245042</c:v>
                </c:pt>
                <c:pt idx="39">
                  <c:v>0.1152046818408099</c:v>
                </c:pt>
                <c:pt idx="40">
                  <c:v>0.14626601526519956</c:v>
                </c:pt>
                <c:pt idx="41">
                  <c:v>0.10751702575528999</c:v>
                </c:pt>
                <c:pt idx="42">
                  <c:v>0.10568711464786951</c:v>
                </c:pt>
                <c:pt idx="43">
                  <c:v>0.16872201974164014</c:v>
                </c:pt>
                <c:pt idx="44">
                  <c:v>0.20673295337051023</c:v>
                </c:pt>
                <c:pt idx="45">
                  <c:v>0.23125889021210977</c:v>
                </c:pt>
                <c:pt idx="46">
                  <c:v>0.17084016552007064</c:v>
                </c:pt>
                <c:pt idx="47">
                  <c:v>0.10787712327431009</c:v>
                </c:pt>
                <c:pt idx="48">
                  <c:v>0.15309297475254002</c:v>
                </c:pt>
                <c:pt idx="49">
                  <c:v>8.7378454897409696E-2</c:v>
                </c:pt>
                <c:pt idx="50">
                  <c:v>6.6164710128219895E-2</c:v>
                </c:pt>
                <c:pt idx="51">
                  <c:v>-4.1032895729919971E-2</c:v>
                </c:pt>
                <c:pt idx="52">
                  <c:v>-5.5316082001279909E-2</c:v>
                </c:pt>
                <c:pt idx="53">
                  <c:v>5.0337439101397763E-3</c:v>
                </c:pt>
                <c:pt idx="54">
                  <c:v>8.0737527917170482E-2</c:v>
                </c:pt>
                <c:pt idx="55">
                  <c:v>0.15619839876261032</c:v>
                </c:pt>
                <c:pt idx="56">
                  <c:v>0.15884311355057967</c:v>
                </c:pt>
                <c:pt idx="57">
                  <c:v>0.15453439020530002</c:v>
                </c:pt>
                <c:pt idx="58">
                  <c:v>0.18150708838981977</c:v>
                </c:pt>
                <c:pt idx="59">
                  <c:v>0.10556727269699984</c:v>
                </c:pt>
                <c:pt idx="60">
                  <c:v>5.0692174162910497E-2</c:v>
                </c:pt>
                <c:pt idx="61">
                  <c:v>6.1820913167359492E-2</c:v>
                </c:pt>
                <c:pt idx="62">
                  <c:v>-5.3701645014303523E-3</c:v>
                </c:pt>
                <c:pt idx="63">
                  <c:v>1.7823389287470626E-2</c:v>
                </c:pt>
                <c:pt idx="64">
                  <c:v>2.9415391905099675E-2</c:v>
                </c:pt>
                <c:pt idx="65">
                  <c:v>7.5393150610230109E-2</c:v>
                </c:pt>
                <c:pt idx="66">
                  <c:v>3.1997519704460409E-2</c:v>
                </c:pt>
                <c:pt idx="67">
                  <c:v>6.161082585359523E-3</c:v>
                </c:pt>
                <c:pt idx="68">
                  <c:v>-0.19256988828070032</c:v>
                </c:pt>
                <c:pt idx="69">
                  <c:v>-0.31748207835487996</c:v>
                </c:pt>
                <c:pt idx="70">
                  <c:v>-0.16510508634748078</c:v>
                </c:pt>
                <c:pt idx="71">
                  <c:v>-8.4718528799440307E-2</c:v>
                </c:pt>
                <c:pt idx="72">
                  <c:v>-0.19965581800728049</c:v>
                </c:pt>
                <c:pt idx="73">
                  <c:v>-0.42878594743209053</c:v>
                </c:pt>
                <c:pt idx="74">
                  <c:v>-4.8219975973539775E-2</c:v>
                </c:pt>
                <c:pt idx="75">
                  <c:v>-1.3600046232369323E-2</c:v>
                </c:pt>
                <c:pt idx="76">
                  <c:v>3.1741076738900809E-2</c:v>
                </c:pt>
                <c:pt idx="77">
                  <c:v>-0.25055950062334009</c:v>
                </c:pt>
                <c:pt idx="78">
                  <c:v>9.1461952044450179E-2</c:v>
                </c:pt>
                <c:pt idx="79">
                  <c:v>6.647264153875998E-2</c:v>
                </c:pt>
                <c:pt idx="80">
                  <c:v>-4.7450550902559563E-2</c:v>
                </c:pt>
                <c:pt idx="81">
                  <c:v>-3.5798233082010356E-2</c:v>
                </c:pt>
                <c:pt idx="82">
                  <c:v>-6.4850476629509934E-2</c:v>
                </c:pt>
                <c:pt idx="83">
                  <c:v>-1.0094282457529857E-2</c:v>
                </c:pt>
                <c:pt idx="84">
                  <c:v>-8.4101197886710111E-2</c:v>
                </c:pt>
                <c:pt idx="85">
                  <c:v>-3.2663427579719517E-2</c:v>
                </c:pt>
                <c:pt idx="86">
                  <c:v>5.3341993699699941E-2</c:v>
                </c:pt>
                <c:pt idx="87">
                  <c:v>1.7448007735709758E-2</c:v>
                </c:pt>
                <c:pt idx="88">
                  <c:v>-2.1097800514080056E-2</c:v>
                </c:pt>
                <c:pt idx="89">
                  <c:v>-5.7541866597300206E-2</c:v>
                </c:pt>
                <c:pt idx="90">
                  <c:v>-5.1655040918169526E-2</c:v>
                </c:pt>
                <c:pt idx="91">
                  <c:v>-8.2619661924701049E-3</c:v>
                </c:pt>
                <c:pt idx="92">
                  <c:v>-3.7535101706249741E-2</c:v>
                </c:pt>
                <c:pt idx="93">
                  <c:v>-5.2475315103579945E-2</c:v>
                </c:pt>
                <c:pt idx="94">
                  <c:v>-3.6679212089869573E-2</c:v>
                </c:pt>
                <c:pt idx="95">
                  <c:v>-2.4515523201799283E-2</c:v>
                </c:pt>
                <c:pt idx="96">
                  <c:v>1.8031593355159359E-2</c:v>
                </c:pt>
                <c:pt idx="97">
                  <c:v>-3.9767948228289995E-2</c:v>
                </c:pt>
                <c:pt idx="98">
                  <c:v>-0.14163714817164941</c:v>
                </c:pt>
                <c:pt idx="99">
                  <c:v>-1.5954740299640058E-2</c:v>
                </c:pt>
                <c:pt idx="100">
                  <c:v>1.7676665891060317E-2</c:v>
                </c:pt>
                <c:pt idx="101">
                  <c:v>-8.9738366549270587E-2</c:v>
                </c:pt>
                <c:pt idx="102">
                  <c:v>-3.9505792249450167E-2</c:v>
                </c:pt>
                <c:pt idx="103">
                  <c:v>-8.629178097949719E-3</c:v>
                </c:pt>
                <c:pt idx="104">
                  <c:v>2.6680009643929914E-2</c:v>
                </c:pt>
                <c:pt idx="105">
                  <c:v>9.8426317382119599E-2</c:v>
                </c:pt>
                <c:pt idx="106">
                  <c:v>0.10477701273689011</c:v>
                </c:pt>
                <c:pt idx="107">
                  <c:v>-1.3592108110000112E-2</c:v>
                </c:pt>
                <c:pt idx="108">
                  <c:v>-2.0793880326489322E-2</c:v>
                </c:pt>
                <c:pt idx="109">
                  <c:v>-7.9710599137469806E-2</c:v>
                </c:pt>
                <c:pt idx="110">
                  <c:v>-0.12473795222171002</c:v>
                </c:pt>
                <c:pt idx="111">
                  <c:v>-6.8109257620939445E-2</c:v>
                </c:pt>
                <c:pt idx="112">
                  <c:v>-7.1643563461530668E-2</c:v>
                </c:pt>
                <c:pt idx="113">
                  <c:v>-7.5507689176229853E-2</c:v>
                </c:pt>
                <c:pt idx="114">
                  <c:v>-5.5294440389450195E-2</c:v>
                </c:pt>
                <c:pt idx="115">
                  <c:v>-1.5903890654049846E-2</c:v>
                </c:pt>
                <c:pt idx="116">
                  <c:v>-7.8325817778369888E-2</c:v>
                </c:pt>
                <c:pt idx="117">
                  <c:v>-9.8491257699002688E-3</c:v>
                </c:pt>
                <c:pt idx="118">
                  <c:v>6.4146368515570096E-2</c:v>
                </c:pt>
                <c:pt idx="119">
                  <c:v>4.0208721354098031E-3</c:v>
                </c:pt>
                <c:pt idx="120">
                  <c:v>3.4728229817179823E-2</c:v>
                </c:pt>
                <c:pt idx="121">
                  <c:v>-7.3486496040239935E-2</c:v>
                </c:pt>
                <c:pt idx="122">
                  <c:v>1.0366151813189894E-2</c:v>
                </c:pt>
                <c:pt idx="123">
                  <c:v>5.2906672975501223E-3</c:v>
                </c:pt>
                <c:pt idx="124">
                  <c:v>-4.3548275033209904E-2</c:v>
                </c:pt>
                <c:pt idx="125">
                  <c:v>2.1012361356760323E-2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810304"/>
        <c:axId val="313824384"/>
      </c:barChart>
      <c:dateAx>
        <c:axId val="313810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313824384"/>
        <c:crosses val="autoZero"/>
        <c:auto val="1"/>
        <c:lblOffset val="100"/>
        <c:baseTimeUnit val="months"/>
        <c:majorUnit val="6"/>
        <c:majorTimeUnit val="months"/>
      </c:dateAx>
      <c:valAx>
        <c:axId val="31382438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138103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'FICO Dist'!$C$2</c:f>
              <c:strCache>
                <c:ptCount val="1"/>
                <c:pt idx="0">
                  <c:v>Cnt</c:v>
                </c:pt>
              </c:strCache>
            </c:strRef>
          </c:tx>
          <c:invertIfNegative val="0"/>
          <c:cat>
            <c:numRef>
              <c:f>'FICO Dist'!$B$147:$B$361</c:f>
              <c:numCache>
                <c:formatCode>General</c:formatCode>
                <c:ptCount val="215"/>
                <c:pt idx="0">
                  <c:v>618</c:v>
                </c:pt>
                <c:pt idx="1">
                  <c:v>619</c:v>
                </c:pt>
                <c:pt idx="2">
                  <c:v>620</c:v>
                </c:pt>
                <c:pt idx="3">
                  <c:v>621</c:v>
                </c:pt>
                <c:pt idx="4">
                  <c:v>622</c:v>
                </c:pt>
                <c:pt idx="5">
                  <c:v>623</c:v>
                </c:pt>
                <c:pt idx="6">
                  <c:v>624</c:v>
                </c:pt>
                <c:pt idx="7">
                  <c:v>625</c:v>
                </c:pt>
                <c:pt idx="8">
                  <c:v>626</c:v>
                </c:pt>
                <c:pt idx="9">
                  <c:v>627</c:v>
                </c:pt>
                <c:pt idx="10">
                  <c:v>628</c:v>
                </c:pt>
                <c:pt idx="11">
                  <c:v>629</c:v>
                </c:pt>
                <c:pt idx="12">
                  <c:v>630</c:v>
                </c:pt>
                <c:pt idx="13">
                  <c:v>631</c:v>
                </c:pt>
                <c:pt idx="14">
                  <c:v>632</c:v>
                </c:pt>
                <c:pt idx="15">
                  <c:v>633</c:v>
                </c:pt>
                <c:pt idx="16">
                  <c:v>634</c:v>
                </c:pt>
                <c:pt idx="17">
                  <c:v>635</c:v>
                </c:pt>
                <c:pt idx="18">
                  <c:v>636</c:v>
                </c:pt>
                <c:pt idx="19">
                  <c:v>637</c:v>
                </c:pt>
                <c:pt idx="20">
                  <c:v>638</c:v>
                </c:pt>
                <c:pt idx="21">
                  <c:v>639</c:v>
                </c:pt>
                <c:pt idx="22">
                  <c:v>640</c:v>
                </c:pt>
                <c:pt idx="23">
                  <c:v>641</c:v>
                </c:pt>
                <c:pt idx="24">
                  <c:v>642</c:v>
                </c:pt>
                <c:pt idx="25">
                  <c:v>643</c:v>
                </c:pt>
                <c:pt idx="26">
                  <c:v>644</c:v>
                </c:pt>
                <c:pt idx="27">
                  <c:v>645</c:v>
                </c:pt>
                <c:pt idx="28">
                  <c:v>646</c:v>
                </c:pt>
                <c:pt idx="29">
                  <c:v>647</c:v>
                </c:pt>
                <c:pt idx="30">
                  <c:v>648</c:v>
                </c:pt>
                <c:pt idx="31">
                  <c:v>649</c:v>
                </c:pt>
                <c:pt idx="32">
                  <c:v>650</c:v>
                </c:pt>
                <c:pt idx="33">
                  <c:v>651</c:v>
                </c:pt>
                <c:pt idx="34">
                  <c:v>652</c:v>
                </c:pt>
                <c:pt idx="35">
                  <c:v>653</c:v>
                </c:pt>
                <c:pt idx="36">
                  <c:v>654</c:v>
                </c:pt>
                <c:pt idx="37">
                  <c:v>655</c:v>
                </c:pt>
                <c:pt idx="38">
                  <c:v>656</c:v>
                </c:pt>
                <c:pt idx="39">
                  <c:v>657</c:v>
                </c:pt>
                <c:pt idx="40">
                  <c:v>658</c:v>
                </c:pt>
                <c:pt idx="41">
                  <c:v>659</c:v>
                </c:pt>
                <c:pt idx="42">
                  <c:v>660</c:v>
                </c:pt>
                <c:pt idx="43">
                  <c:v>661</c:v>
                </c:pt>
                <c:pt idx="44">
                  <c:v>662</c:v>
                </c:pt>
                <c:pt idx="45">
                  <c:v>663</c:v>
                </c:pt>
                <c:pt idx="46">
                  <c:v>664</c:v>
                </c:pt>
                <c:pt idx="47">
                  <c:v>665</c:v>
                </c:pt>
                <c:pt idx="48">
                  <c:v>666</c:v>
                </c:pt>
                <c:pt idx="49">
                  <c:v>667</c:v>
                </c:pt>
                <c:pt idx="50">
                  <c:v>668</c:v>
                </c:pt>
                <c:pt idx="51">
                  <c:v>669</c:v>
                </c:pt>
                <c:pt idx="52">
                  <c:v>670</c:v>
                </c:pt>
                <c:pt idx="53">
                  <c:v>671</c:v>
                </c:pt>
                <c:pt idx="54">
                  <c:v>672</c:v>
                </c:pt>
                <c:pt idx="55">
                  <c:v>673</c:v>
                </c:pt>
                <c:pt idx="56">
                  <c:v>674</c:v>
                </c:pt>
                <c:pt idx="57">
                  <c:v>675</c:v>
                </c:pt>
                <c:pt idx="58">
                  <c:v>676</c:v>
                </c:pt>
                <c:pt idx="59">
                  <c:v>677</c:v>
                </c:pt>
                <c:pt idx="60">
                  <c:v>678</c:v>
                </c:pt>
                <c:pt idx="61">
                  <c:v>679</c:v>
                </c:pt>
                <c:pt idx="62">
                  <c:v>680</c:v>
                </c:pt>
                <c:pt idx="63">
                  <c:v>681</c:v>
                </c:pt>
                <c:pt idx="64">
                  <c:v>682</c:v>
                </c:pt>
                <c:pt idx="65">
                  <c:v>683</c:v>
                </c:pt>
                <c:pt idx="66">
                  <c:v>684</c:v>
                </c:pt>
                <c:pt idx="67">
                  <c:v>685</c:v>
                </c:pt>
                <c:pt idx="68">
                  <c:v>686</c:v>
                </c:pt>
                <c:pt idx="69">
                  <c:v>687</c:v>
                </c:pt>
                <c:pt idx="70">
                  <c:v>688</c:v>
                </c:pt>
                <c:pt idx="71">
                  <c:v>689</c:v>
                </c:pt>
                <c:pt idx="72">
                  <c:v>690</c:v>
                </c:pt>
                <c:pt idx="73">
                  <c:v>691</c:v>
                </c:pt>
                <c:pt idx="74">
                  <c:v>692</c:v>
                </c:pt>
                <c:pt idx="75">
                  <c:v>693</c:v>
                </c:pt>
                <c:pt idx="76">
                  <c:v>694</c:v>
                </c:pt>
                <c:pt idx="77">
                  <c:v>695</c:v>
                </c:pt>
                <c:pt idx="78">
                  <c:v>696</c:v>
                </c:pt>
                <c:pt idx="79">
                  <c:v>697</c:v>
                </c:pt>
                <c:pt idx="80">
                  <c:v>698</c:v>
                </c:pt>
                <c:pt idx="81">
                  <c:v>699</c:v>
                </c:pt>
                <c:pt idx="82">
                  <c:v>700</c:v>
                </c:pt>
                <c:pt idx="83">
                  <c:v>701</c:v>
                </c:pt>
                <c:pt idx="84">
                  <c:v>702</c:v>
                </c:pt>
                <c:pt idx="85">
                  <c:v>703</c:v>
                </c:pt>
                <c:pt idx="86">
                  <c:v>704</c:v>
                </c:pt>
                <c:pt idx="87">
                  <c:v>705</c:v>
                </c:pt>
                <c:pt idx="88">
                  <c:v>706</c:v>
                </c:pt>
                <c:pt idx="89">
                  <c:v>707</c:v>
                </c:pt>
                <c:pt idx="90">
                  <c:v>708</c:v>
                </c:pt>
                <c:pt idx="91">
                  <c:v>709</c:v>
                </c:pt>
                <c:pt idx="92">
                  <c:v>710</c:v>
                </c:pt>
                <c:pt idx="93">
                  <c:v>711</c:v>
                </c:pt>
                <c:pt idx="94">
                  <c:v>712</c:v>
                </c:pt>
                <c:pt idx="95">
                  <c:v>713</c:v>
                </c:pt>
                <c:pt idx="96">
                  <c:v>714</c:v>
                </c:pt>
                <c:pt idx="97">
                  <c:v>715</c:v>
                </c:pt>
                <c:pt idx="98">
                  <c:v>716</c:v>
                </c:pt>
                <c:pt idx="99">
                  <c:v>717</c:v>
                </c:pt>
                <c:pt idx="100">
                  <c:v>718</c:v>
                </c:pt>
                <c:pt idx="101">
                  <c:v>719</c:v>
                </c:pt>
                <c:pt idx="102">
                  <c:v>720</c:v>
                </c:pt>
                <c:pt idx="103">
                  <c:v>721</c:v>
                </c:pt>
                <c:pt idx="104">
                  <c:v>722</c:v>
                </c:pt>
                <c:pt idx="105">
                  <c:v>723</c:v>
                </c:pt>
                <c:pt idx="106">
                  <c:v>724</c:v>
                </c:pt>
                <c:pt idx="107">
                  <c:v>725</c:v>
                </c:pt>
                <c:pt idx="108">
                  <c:v>726</c:v>
                </c:pt>
                <c:pt idx="109">
                  <c:v>727</c:v>
                </c:pt>
                <c:pt idx="110">
                  <c:v>728</c:v>
                </c:pt>
                <c:pt idx="111">
                  <c:v>729</c:v>
                </c:pt>
                <c:pt idx="112">
                  <c:v>730</c:v>
                </c:pt>
                <c:pt idx="113">
                  <c:v>731</c:v>
                </c:pt>
                <c:pt idx="114">
                  <c:v>732</c:v>
                </c:pt>
                <c:pt idx="115">
                  <c:v>733</c:v>
                </c:pt>
                <c:pt idx="116">
                  <c:v>734</c:v>
                </c:pt>
                <c:pt idx="117">
                  <c:v>735</c:v>
                </c:pt>
                <c:pt idx="118">
                  <c:v>736</c:v>
                </c:pt>
                <c:pt idx="119">
                  <c:v>737</c:v>
                </c:pt>
                <c:pt idx="120">
                  <c:v>738</c:v>
                </c:pt>
                <c:pt idx="121">
                  <c:v>739</c:v>
                </c:pt>
                <c:pt idx="122">
                  <c:v>740</c:v>
                </c:pt>
                <c:pt idx="123">
                  <c:v>741</c:v>
                </c:pt>
                <c:pt idx="124">
                  <c:v>742</c:v>
                </c:pt>
                <c:pt idx="125">
                  <c:v>743</c:v>
                </c:pt>
                <c:pt idx="126">
                  <c:v>744</c:v>
                </c:pt>
                <c:pt idx="127">
                  <c:v>745</c:v>
                </c:pt>
                <c:pt idx="128">
                  <c:v>746</c:v>
                </c:pt>
                <c:pt idx="129">
                  <c:v>747</c:v>
                </c:pt>
                <c:pt idx="130">
                  <c:v>748</c:v>
                </c:pt>
                <c:pt idx="131">
                  <c:v>749</c:v>
                </c:pt>
                <c:pt idx="132">
                  <c:v>750</c:v>
                </c:pt>
                <c:pt idx="133">
                  <c:v>751</c:v>
                </c:pt>
                <c:pt idx="134">
                  <c:v>752</c:v>
                </c:pt>
                <c:pt idx="135">
                  <c:v>753</c:v>
                </c:pt>
                <c:pt idx="136">
                  <c:v>754</c:v>
                </c:pt>
                <c:pt idx="137">
                  <c:v>755</c:v>
                </c:pt>
                <c:pt idx="138">
                  <c:v>756</c:v>
                </c:pt>
                <c:pt idx="139">
                  <c:v>757</c:v>
                </c:pt>
                <c:pt idx="140">
                  <c:v>758</c:v>
                </c:pt>
                <c:pt idx="141">
                  <c:v>759</c:v>
                </c:pt>
                <c:pt idx="142">
                  <c:v>760</c:v>
                </c:pt>
                <c:pt idx="143">
                  <c:v>761</c:v>
                </c:pt>
                <c:pt idx="144">
                  <c:v>762</c:v>
                </c:pt>
                <c:pt idx="145">
                  <c:v>763</c:v>
                </c:pt>
                <c:pt idx="146">
                  <c:v>764</c:v>
                </c:pt>
                <c:pt idx="147">
                  <c:v>765</c:v>
                </c:pt>
                <c:pt idx="148">
                  <c:v>766</c:v>
                </c:pt>
                <c:pt idx="149">
                  <c:v>767</c:v>
                </c:pt>
                <c:pt idx="150">
                  <c:v>768</c:v>
                </c:pt>
                <c:pt idx="151">
                  <c:v>769</c:v>
                </c:pt>
                <c:pt idx="152">
                  <c:v>770</c:v>
                </c:pt>
                <c:pt idx="153">
                  <c:v>771</c:v>
                </c:pt>
                <c:pt idx="154">
                  <c:v>772</c:v>
                </c:pt>
                <c:pt idx="155">
                  <c:v>773</c:v>
                </c:pt>
                <c:pt idx="156">
                  <c:v>774</c:v>
                </c:pt>
                <c:pt idx="157">
                  <c:v>775</c:v>
                </c:pt>
                <c:pt idx="158">
                  <c:v>776</c:v>
                </c:pt>
                <c:pt idx="159">
                  <c:v>777</c:v>
                </c:pt>
                <c:pt idx="160">
                  <c:v>778</c:v>
                </c:pt>
                <c:pt idx="161">
                  <c:v>779</c:v>
                </c:pt>
                <c:pt idx="162">
                  <c:v>780</c:v>
                </c:pt>
                <c:pt idx="163">
                  <c:v>781</c:v>
                </c:pt>
                <c:pt idx="164">
                  <c:v>782</c:v>
                </c:pt>
                <c:pt idx="165">
                  <c:v>783</c:v>
                </c:pt>
                <c:pt idx="166">
                  <c:v>784</c:v>
                </c:pt>
                <c:pt idx="167">
                  <c:v>785</c:v>
                </c:pt>
                <c:pt idx="168">
                  <c:v>786</c:v>
                </c:pt>
                <c:pt idx="169">
                  <c:v>787</c:v>
                </c:pt>
                <c:pt idx="170">
                  <c:v>788</c:v>
                </c:pt>
                <c:pt idx="171">
                  <c:v>789</c:v>
                </c:pt>
                <c:pt idx="172">
                  <c:v>790</c:v>
                </c:pt>
                <c:pt idx="173">
                  <c:v>791</c:v>
                </c:pt>
                <c:pt idx="174">
                  <c:v>792</c:v>
                </c:pt>
                <c:pt idx="175">
                  <c:v>793</c:v>
                </c:pt>
                <c:pt idx="176">
                  <c:v>794</c:v>
                </c:pt>
                <c:pt idx="177">
                  <c:v>795</c:v>
                </c:pt>
                <c:pt idx="178">
                  <c:v>796</c:v>
                </c:pt>
                <c:pt idx="179">
                  <c:v>797</c:v>
                </c:pt>
                <c:pt idx="180">
                  <c:v>798</c:v>
                </c:pt>
                <c:pt idx="181">
                  <c:v>799</c:v>
                </c:pt>
                <c:pt idx="182">
                  <c:v>800</c:v>
                </c:pt>
                <c:pt idx="183">
                  <c:v>801</c:v>
                </c:pt>
                <c:pt idx="184">
                  <c:v>802</c:v>
                </c:pt>
                <c:pt idx="185">
                  <c:v>803</c:v>
                </c:pt>
                <c:pt idx="186">
                  <c:v>804</c:v>
                </c:pt>
                <c:pt idx="187">
                  <c:v>805</c:v>
                </c:pt>
                <c:pt idx="188">
                  <c:v>806</c:v>
                </c:pt>
                <c:pt idx="189">
                  <c:v>807</c:v>
                </c:pt>
                <c:pt idx="190">
                  <c:v>808</c:v>
                </c:pt>
                <c:pt idx="191">
                  <c:v>809</c:v>
                </c:pt>
                <c:pt idx="192">
                  <c:v>810</c:v>
                </c:pt>
                <c:pt idx="193">
                  <c:v>811</c:v>
                </c:pt>
                <c:pt idx="194">
                  <c:v>812</c:v>
                </c:pt>
                <c:pt idx="195">
                  <c:v>813</c:v>
                </c:pt>
                <c:pt idx="196">
                  <c:v>814</c:v>
                </c:pt>
                <c:pt idx="197">
                  <c:v>815</c:v>
                </c:pt>
                <c:pt idx="198">
                  <c:v>816</c:v>
                </c:pt>
                <c:pt idx="199">
                  <c:v>817</c:v>
                </c:pt>
                <c:pt idx="200">
                  <c:v>818</c:v>
                </c:pt>
                <c:pt idx="201">
                  <c:v>819</c:v>
                </c:pt>
                <c:pt idx="202">
                  <c:v>820</c:v>
                </c:pt>
                <c:pt idx="203">
                  <c:v>821</c:v>
                </c:pt>
                <c:pt idx="204">
                  <c:v>822</c:v>
                </c:pt>
                <c:pt idx="205">
                  <c:v>823</c:v>
                </c:pt>
                <c:pt idx="206">
                  <c:v>824</c:v>
                </c:pt>
                <c:pt idx="207">
                  <c:v>825</c:v>
                </c:pt>
                <c:pt idx="208">
                  <c:v>826</c:v>
                </c:pt>
                <c:pt idx="209">
                  <c:v>827</c:v>
                </c:pt>
                <c:pt idx="210">
                  <c:v>828</c:v>
                </c:pt>
                <c:pt idx="211">
                  <c:v>829</c:v>
                </c:pt>
                <c:pt idx="212">
                  <c:v>830</c:v>
                </c:pt>
                <c:pt idx="213">
                  <c:v>831</c:v>
                </c:pt>
                <c:pt idx="214">
                  <c:v>832</c:v>
                </c:pt>
              </c:numCache>
            </c:numRef>
          </c:cat>
          <c:val>
            <c:numRef>
              <c:f>'FICO Dist'!$C$147:$C$361</c:f>
              <c:numCache>
                <c:formatCode>General</c:formatCode>
                <c:ptCount val="215"/>
                <c:pt idx="0">
                  <c:v>35</c:v>
                </c:pt>
                <c:pt idx="1">
                  <c:v>38</c:v>
                </c:pt>
                <c:pt idx="2">
                  <c:v>151</c:v>
                </c:pt>
                <c:pt idx="3">
                  <c:v>144</c:v>
                </c:pt>
                <c:pt idx="4">
                  <c:v>135</c:v>
                </c:pt>
                <c:pt idx="5">
                  <c:v>131</c:v>
                </c:pt>
                <c:pt idx="6">
                  <c:v>125</c:v>
                </c:pt>
                <c:pt idx="7">
                  <c:v>141</c:v>
                </c:pt>
                <c:pt idx="8">
                  <c:v>188</c:v>
                </c:pt>
                <c:pt idx="9">
                  <c:v>170</c:v>
                </c:pt>
                <c:pt idx="10">
                  <c:v>182</c:v>
                </c:pt>
                <c:pt idx="11">
                  <c:v>174</c:v>
                </c:pt>
                <c:pt idx="12">
                  <c:v>159</c:v>
                </c:pt>
                <c:pt idx="13">
                  <c:v>177</c:v>
                </c:pt>
                <c:pt idx="14">
                  <c:v>207</c:v>
                </c:pt>
                <c:pt idx="15">
                  <c:v>180</c:v>
                </c:pt>
                <c:pt idx="16">
                  <c:v>176</c:v>
                </c:pt>
                <c:pt idx="17">
                  <c:v>205</c:v>
                </c:pt>
                <c:pt idx="18">
                  <c:v>187</c:v>
                </c:pt>
                <c:pt idx="19">
                  <c:v>190</c:v>
                </c:pt>
                <c:pt idx="20">
                  <c:v>229</c:v>
                </c:pt>
                <c:pt idx="21">
                  <c:v>212</c:v>
                </c:pt>
                <c:pt idx="22">
                  <c:v>251</c:v>
                </c:pt>
                <c:pt idx="23">
                  <c:v>228</c:v>
                </c:pt>
                <c:pt idx="24">
                  <c:v>277</c:v>
                </c:pt>
                <c:pt idx="25">
                  <c:v>253</c:v>
                </c:pt>
                <c:pt idx="26">
                  <c:v>265</c:v>
                </c:pt>
                <c:pt idx="27">
                  <c:v>243</c:v>
                </c:pt>
                <c:pt idx="28">
                  <c:v>305</c:v>
                </c:pt>
                <c:pt idx="29">
                  <c:v>344</c:v>
                </c:pt>
                <c:pt idx="30">
                  <c:v>258</c:v>
                </c:pt>
                <c:pt idx="31">
                  <c:v>318</c:v>
                </c:pt>
                <c:pt idx="32">
                  <c:v>292</c:v>
                </c:pt>
                <c:pt idx="33">
                  <c:v>340</c:v>
                </c:pt>
                <c:pt idx="34">
                  <c:v>306</c:v>
                </c:pt>
                <c:pt idx="35">
                  <c:v>326</c:v>
                </c:pt>
                <c:pt idx="36">
                  <c:v>328</c:v>
                </c:pt>
                <c:pt idx="37">
                  <c:v>314</c:v>
                </c:pt>
                <c:pt idx="38">
                  <c:v>322</c:v>
                </c:pt>
                <c:pt idx="39">
                  <c:v>317</c:v>
                </c:pt>
                <c:pt idx="40">
                  <c:v>315</c:v>
                </c:pt>
                <c:pt idx="41">
                  <c:v>341</c:v>
                </c:pt>
                <c:pt idx="42">
                  <c:v>418</c:v>
                </c:pt>
                <c:pt idx="43">
                  <c:v>432</c:v>
                </c:pt>
                <c:pt idx="44">
                  <c:v>423</c:v>
                </c:pt>
                <c:pt idx="45">
                  <c:v>430</c:v>
                </c:pt>
                <c:pt idx="46">
                  <c:v>449</c:v>
                </c:pt>
                <c:pt idx="47">
                  <c:v>394</c:v>
                </c:pt>
                <c:pt idx="48">
                  <c:v>409</c:v>
                </c:pt>
                <c:pt idx="49">
                  <c:v>418</c:v>
                </c:pt>
                <c:pt idx="50">
                  <c:v>445</c:v>
                </c:pt>
                <c:pt idx="51">
                  <c:v>455</c:v>
                </c:pt>
                <c:pt idx="52">
                  <c:v>464</c:v>
                </c:pt>
                <c:pt idx="53">
                  <c:v>450</c:v>
                </c:pt>
                <c:pt idx="54">
                  <c:v>488</c:v>
                </c:pt>
                <c:pt idx="55">
                  <c:v>496</c:v>
                </c:pt>
                <c:pt idx="56">
                  <c:v>482</c:v>
                </c:pt>
                <c:pt idx="57">
                  <c:v>525</c:v>
                </c:pt>
                <c:pt idx="58">
                  <c:v>530</c:v>
                </c:pt>
                <c:pt idx="59">
                  <c:v>511</c:v>
                </c:pt>
                <c:pt idx="60">
                  <c:v>521</c:v>
                </c:pt>
                <c:pt idx="61">
                  <c:v>493</c:v>
                </c:pt>
                <c:pt idx="62">
                  <c:v>638</c:v>
                </c:pt>
                <c:pt idx="63">
                  <c:v>594</c:v>
                </c:pt>
                <c:pt idx="64">
                  <c:v>668</c:v>
                </c:pt>
                <c:pt idx="65">
                  <c:v>645</c:v>
                </c:pt>
                <c:pt idx="66">
                  <c:v>682</c:v>
                </c:pt>
                <c:pt idx="67">
                  <c:v>663</c:v>
                </c:pt>
                <c:pt idx="68">
                  <c:v>651</c:v>
                </c:pt>
                <c:pt idx="69">
                  <c:v>626</c:v>
                </c:pt>
                <c:pt idx="70">
                  <c:v>692</c:v>
                </c:pt>
                <c:pt idx="71">
                  <c:v>653</c:v>
                </c:pt>
                <c:pt idx="72">
                  <c:v>666</c:v>
                </c:pt>
                <c:pt idx="73">
                  <c:v>655</c:v>
                </c:pt>
                <c:pt idx="74">
                  <c:v>716</c:v>
                </c:pt>
                <c:pt idx="75">
                  <c:v>731</c:v>
                </c:pt>
                <c:pt idx="76">
                  <c:v>688</c:v>
                </c:pt>
                <c:pt idx="77">
                  <c:v>712</c:v>
                </c:pt>
                <c:pt idx="78">
                  <c:v>673</c:v>
                </c:pt>
                <c:pt idx="79">
                  <c:v>731</c:v>
                </c:pt>
                <c:pt idx="80">
                  <c:v>719</c:v>
                </c:pt>
                <c:pt idx="81">
                  <c:v>698</c:v>
                </c:pt>
                <c:pt idx="82">
                  <c:v>865</c:v>
                </c:pt>
                <c:pt idx="83">
                  <c:v>838</c:v>
                </c:pt>
                <c:pt idx="84">
                  <c:v>890</c:v>
                </c:pt>
                <c:pt idx="85">
                  <c:v>990</c:v>
                </c:pt>
                <c:pt idx="86">
                  <c:v>830</c:v>
                </c:pt>
                <c:pt idx="87">
                  <c:v>918</c:v>
                </c:pt>
                <c:pt idx="88">
                  <c:v>860</c:v>
                </c:pt>
                <c:pt idx="89">
                  <c:v>851</c:v>
                </c:pt>
                <c:pt idx="90">
                  <c:v>865</c:v>
                </c:pt>
                <c:pt idx="91">
                  <c:v>894</c:v>
                </c:pt>
                <c:pt idx="92">
                  <c:v>763</c:v>
                </c:pt>
                <c:pt idx="93">
                  <c:v>886</c:v>
                </c:pt>
                <c:pt idx="94">
                  <c:v>894</c:v>
                </c:pt>
                <c:pt idx="95">
                  <c:v>844</c:v>
                </c:pt>
                <c:pt idx="96">
                  <c:v>899</c:v>
                </c:pt>
                <c:pt idx="97">
                  <c:v>830</c:v>
                </c:pt>
                <c:pt idx="98">
                  <c:v>982</c:v>
                </c:pt>
                <c:pt idx="99">
                  <c:v>812</c:v>
                </c:pt>
                <c:pt idx="100">
                  <c:v>760</c:v>
                </c:pt>
                <c:pt idx="101">
                  <c:v>847</c:v>
                </c:pt>
                <c:pt idx="102">
                  <c:v>988</c:v>
                </c:pt>
                <c:pt idx="103">
                  <c:v>1012</c:v>
                </c:pt>
                <c:pt idx="104">
                  <c:v>1075</c:v>
                </c:pt>
                <c:pt idx="105">
                  <c:v>952</c:v>
                </c:pt>
                <c:pt idx="106">
                  <c:v>1118</c:v>
                </c:pt>
                <c:pt idx="107">
                  <c:v>1141</c:v>
                </c:pt>
                <c:pt idx="108">
                  <c:v>1098</c:v>
                </c:pt>
                <c:pt idx="109">
                  <c:v>1181</c:v>
                </c:pt>
                <c:pt idx="110">
                  <c:v>924</c:v>
                </c:pt>
                <c:pt idx="111">
                  <c:v>1004</c:v>
                </c:pt>
                <c:pt idx="112">
                  <c:v>1023</c:v>
                </c:pt>
                <c:pt idx="113">
                  <c:v>991</c:v>
                </c:pt>
                <c:pt idx="114">
                  <c:v>1031</c:v>
                </c:pt>
                <c:pt idx="115">
                  <c:v>1025</c:v>
                </c:pt>
                <c:pt idx="116">
                  <c:v>1005</c:v>
                </c:pt>
                <c:pt idx="117">
                  <c:v>1014</c:v>
                </c:pt>
                <c:pt idx="118">
                  <c:v>999</c:v>
                </c:pt>
                <c:pt idx="119">
                  <c:v>1071</c:v>
                </c:pt>
                <c:pt idx="120">
                  <c:v>1148</c:v>
                </c:pt>
                <c:pt idx="121">
                  <c:v>1087</c:v>
                </c:pt>
                <c:pt idx="122">
                  <c:v>1081</c:v>
                </c:pt>
                <c:pt idx="123">
                  <c:v>1096</c:v>
                </c:pt>
                <c:pt idx="124">
                  <c:v>1206</c:v>
                </c:pt>
                <c:pt idx="125">
                  <c:v>1178</c:v>
                </c:pt>
                <c:pt idx="126">
                  <c:v>1161</c:v>
                </c:pt>
                <c:pt idx="127">
                  <c:v>1250</c:v>
                </c:pt>
                <c:pt idx="128">
                  <c:v>1296</c:v>
                </c:pt>
                <c:pt idx="129">
                  <c:v>1165</c:v>
                </c:pt>
                <c:pt idx="130">
                  <c:v>1040</c:v>
                </c:pt>
                <c:pt idx="131">
                  <c:v>1255</c:v>
                </c:pt>
                <c:pt idx="132">
                  <c:v>1298</c:v>
                </c:pt>
                <c:pt idx="133">
                  <c:v>1270</c:v>
                </c:pt>
                <c:pt idx="134">
                  <c:v>1311</c:v>
                </c:pt>
                <c:pt idx="135">
                  <c:v>1287</c:v>
                </c:pt>
                <c:pt idx="136">
                  <c:v>1327</c:v>
                </c:pt>
                <c:pt idx="137">
                  <c:v>1381</c:v>
                </c:pt>
                <c:pt idx="138">
                  <c:v>1526</c:v>
                </c:pt>
                <c:pt idx="139">
                  <c:v>1344</c:v>
                </c:pt>
                <c:pt idx="140">
                  <c:v>1359</c:v>
                </c:pt>
                <c:pt idx="141">
                  <c:v>1573</c:v>
                </c:pt>
                <c:pt idx="142">
                  <c:v>1457</c:v>
                </c:pt>
                <c:pt idx="143">
                  <c:v>1458</c:v>
                </c:pt>
                <c:pt idx="144">
                  <c:v>1573</c:v>
                </c:pt>
                <c:pt idx="145">
                  <c:v>1532</c:v>
                </c:pt>
                <c:pt idx="146">
                  <c:v>1472</c:v>
                </c:pt>
                <c:pt idx="147">
                  <c:v>1455</c:v>
                </c:pt>
                <c:pt idx="148">
                  <c:v>1657</c:v>
                </c:pt>
                <c:pt idx="149">
                  <c:v>1660</c:v>
                </c:pt>
                <c:pt idx="150">
                  <c:v>1463</c:v>
                </c:pt>
                <c:pt idx="151">
                  <c:v>1469</c:v>
                </c:pt>
                <c:pt idx="152">
                  <c:v>1859</c:v>
                </c:pt>
                <c:pt idx="153">
                  <c:v>1695</c:v>
                </c:pt>
                <c:pt idx="154">
                  <c:v>1575</c:v>
                </c:pt>
                <c:pt idx="155">
                  <c:v>1797</c:v>
                </c:pt>
                <c:pt idx="156">
                  <c:v>1764</c:v>
                </c:pt>
                <c:pt idx="157">
                  <c:v>1622</c:v>
                </c:pt>
                <c:pt idx="158">
                  <c:v>1823</c:v>
                </c:pt>
                <c:pt idx="159">
                  <c:v>1756</c:v>
                </c:pt>
                <c:pt idx="160">
                  <c:v>1942</c:v>
                </c:pt>
                <c:pt idx="161">
                  <c:v>1878</c:v>
                </c:pt>
                <c:pt idx="162">
                  <c:v>1881</c:v>
                </c:pt>
                <c:pt idx="163">
                  <c:v>1924</c:v>
                </c:pt>
                <c:pt idx="164">
                  <c:v>1845</c:v>
                </c:pt>
                <c:pt idx="165">
                  <c:v>1907</c:v>
                </c:pt>
                <c:pt idx="166">
                  <c:v>2111</c:v>
                </c:pt>
                <c:pt idx="167">
                  <c:v>1825</c:v>
                </c:pt>
                <c:pt idx="168">
                  <c:v>1909</c:v>
                </c:pt>
                <c:pt idx="169">
                  <c:v>2338</c:v>
                </c:pt>
                <c:pt idx="170">
                  <c:v>1882</c:v>
                </c:pt>
                <c:pt idx="171">
                  <c:v>1747</c:v>
                </c:pt>
                <c:pt idx="172">
                  <c:v>2264</c:v>
                </c:pt>
                <c:pt idx="173">
                  <c:v>2280</c:v>
                </c:pt>
                <c:pt idx="174">
                  <c:v>1936</c:v>
                </c:pt>
                <c:pt idx="175">
                  <c:v>2024</c:v>
                </c:pt>
                <c:pt idx="176">
                  <c:v>1974</c:v>
                </c:pt>
                <c:pt idx="177">
                  <c:v>1886</c:v>
                </c:pt>
                <c:pt idx="178">
                  <c:v>2148</c:v>
                </c:pt>
                <c:pt idx="179">
                  <c:v>2222</c:v>
                </c:pt>
                <c:pt idx="180">
                  <c:v>1973</c:v>
                </c:pt>
                <c:pt idx="181">
                  <c:v>1936</c:v>
                </c:pt>
                <c:pt idx="182">
                  <c:v>2147</c:v>
                </c:pt>
                <c:pt idx="183">
                  <c:v>2551</c:v>
                </c:pt>
                <c:pt idx="184">
                  <c:v>2170</c:v>
                </c:pt>
                <c:pt idx="185">
                  <c:v>1634</c:v>
                </c:pt>
                <c:pt idx="186">
                  <c:v>1822</c:v>
                </c:pt>
                <c:pt idx="187">
                  <c:v>1292</c:v>
                </c:pt>
                <c:pt idx="188">
                  <c:v>1520</c:v>
                </c:pt>
                <c:pt idx="189">
                  <c:v>1323</c:v>
                </c:pt>
                <c:pt idx="190">
                  <c:v>1913</c:v>
                </c:pt>
                <c:pt idx="191">
                  <c:v>2261</c:v>
                </c:pt>
                <c:pt idx="192">
                  <c:v>958</c:v>
                </c:pt>
                <c:pt idx="193">
                  <c:v>1173</c:v>
                </c:pt>
                <c:pt idx="194">
                  <c:v>1298</c:v>
                </c:pt>
                <c:pt idx="195">
                  <c:v>1227</c:v>
                </c:pt>
                <c:pt idx="196">
                  <c:v>836</c:v>
                </c:pt>
                <c:pt idx="197">
                  <c:v>578</c:v>
                </c:pt>
                <c:pt idx="198">
                  <c:v>954</c:v>
                </c:pt>
                <c:pt idx="199">
                  <c:v>567</c:v>
                </c:pt>
                <c:pt idx="200">
                  <c:v>222</c:v>
                </c:pt>
                <c:pt idx="201">
                  <c:v>462</c:v>
                </c:pt>
                <c:pt idx="202">
                  <c:v>478</c:v>
                </c:pt>
                <c:pt idx="203">
                  <c:v>71</c:v>
                </c:pt>
                <c:pt idx="204">
                  <c:v>72</c:v>
                </c:pt>
                <c:pt idx="205">
                  <c:v>295</c:v>
                </c:pt>
                <c:pt idx="206">
                  <c:v>33</c:v>
                </c:pt>
                <c:pt idx="207">
                  <c:v>46</c:v>
                </c:pt>
                <c:pt idx="208">
                  <c:v>18</c:v>
                </c:pt>
                <c:pt idx="209">
                  <c:v>6</c:v>
                </c:pt>
                <c:pt idx="210">
                  <c:v>8</c:v>
                </c:pt>
                <c:pt idx="211">
                  <c:v>24</c:v>
                </c:pt>
                <c:pt idx="212">
                  <c:v>1</c:v>
                </c:pt>
                <c:pt idx="213">
                  <c:v>2</c:v>
                </c:pt>
                <c:pt idx="214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6609152"/>
        <c:axId val="366611840"/>
      </c:barChart>
      <c:catAx>
        <c:axId val="366609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6611840"/>
        <c:crosses val="autoZero"/>
        <c:auto val="1"/>
        <c:lblAlgn val="ctr"/>
        <c:lblOffset val="100"/>
        <c:noMultiLvlLbl val="0"/>
      </c:catAx>
      <c:valAx>
        <c:axId val="366611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66091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'LLwithCondition (2)'!$C$3</c:f>
              <c:strCache>
                <c:ptCount val="1"/>
                <c:pt idx="0">
                  <c:v>Big Bank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'LLwithCondition (2)'!$B$4:$B$127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'LLwithCondition (2)'!$C$4:$C$127</c:f>
              <c:numCache>
                <c:formatCode>0.00</c:formatCode>
                <c:ptCount val="124"/>
                <c:pt idx="0">
                  <c:v>4.1408234642227697</c:v>
                </c:pt>
                <c:pt idx="1">
                  <c:v>4.0431225152819703</c:v>
                </c:pt>
                <c:pt idx="2">
                  <c:v>4.0260574264414801</c:v>
                </c:pt>
                <c:pt idx="3">
                  <c:v>4.2390909305190698</c:v>
                </c:pt>
                <c:pt idx="4">
                  <c:v>4.3437275644893196</c:v>
                </c:pt>
                <c:pt idx="5">
                  <c:v>4.3732810218535496</c:v>
                </c:pt>
                <c:pt idx="6">
                  <c:v>4.4641653778897901</c:v>
                </c:pt>
                <c:pt idx="7">
                  <c:v>4.4814794240538998</c:v>
                </c:pt>
                <c:pt idx="8">
                  <c:v>4.51286087196321</c:v>
                </c:pt>
                <c:pt idx="9">
                  <c:v>4.4999123420986704</c:v>
                </c:pt>
                <c:pt idx="10">
                  <c:v>4.54408919930147</c:v>
                </c:pt>
                <c:pt idx="11">
                  <c:v>4.6718624361766601</c:v>
                </c:pt>
                <c:pt idx="12">
                  <c:v>4.7228371754791203</c:v>
                </c:pt>
                <c:pt idx="13">
                  <c:v>4.6775163241410898</c:v>
                </c:pt>
                <c:pt idx="14">
                  <c:v>4.7554879132697003</c:v>
                </c:pt>
                <c:pt idx="15">
                  <c:v>4.7490540389099198</c:v>
                </c:pt>
                <c:pt idx="16">
                  <c:v>4.6501895097453403</c:v>
                </c:pt>
                <c:pt idx="17">
                  <c:v>4.6275574428116499</c:v>
                </c:pt>
                <c:pt idx="18">
                  <c:v>4.7265197018410499</c:v>
                </c:pt>
                <c:pt idx="19">
                  <c:v>4.6925822664461503</c:v>
                </c:pt>
                <c:pt idx="20">
                  <c:v>4.4938639061100698</c:v>
                </c:pt>
                <c:pt idx="21">
                  <c:v>4.1524292919247898</c:v>
                </c:pt>
                <c:pt idx="22">
                  <c:v>3.90091271220368</c:v>
                </c:pt>
                <c:pt idx="23">
                  <c:v>3.8339086235834099</c:v>
                </c:pt>
                <c:pt idx="24">
                  <c:v>3.85136938402874</c:v>
                </c:pt>
                <c:pt idx="25">
                  <c:v>3.8223989530828399</c:v>
                </c:pt>
                <c:pt idx="26">
                  <c:v>3.7869995847639601</c:v>
                </c:pt>
                <c:pt idx="27">
                  <c:v>3.7237481234484302</c:v>
                </c:pt>
                <c:pt idx="28">
                  <c:v>3.7171536774760101</c:v>
                </c:pt>
                <c:pt idx="29">
                  <c:v>3.7712943389174498</c:v>
                </c:pt>
                <c:pt idx="30">
                  <c:v>3.8438019152417602</c:v>
                </c:pt>
                <c:pt idx="31">
                  <c:v>3.9068577604733399</c:v>
                </c:pt>
                <c:pt idx="32">
                  <c:v>3.9046640497970602</c:v>
                </c:pt>
                <c:pt idx="33">
                  <c:v>4.0166492504542601</c:v>
                </c:pt>
                <c:pt idx="34">
                  <c:v>4.1134066376003604</c:v>
                </c:pt>
                <c:pt idx="35">
                  <c:v>4.2717858040441303</c:v>
                </c:pt>
                <c:pt idx="36">
                  <c:v>4.2741827274406496</c:v>
                </c:pt>
                <c:pt idx="37">
                  <c:v>4.20685755043512</c:v>
                </c:pt>
                <c:pt idx="38">
                  <c:v>4.2104495801617201</c:v>
                </c:pt>
                <c:pt idx="39">
                  <c:v>4.2929626779714498</c:v>
                </c:pt>
                <c:pt idx="40">
                  <c:v>4.3698797873502997</c:v>
                </c:pt>
                <c:pt idx="41">
                  <c:v>4.3745424452164796</c:v>
                </c:pt>
                <c:pt idx="42">
                  <c:v>4.3907712871102804</c:v>
                </c:pt>
                <c:pt idx="43">
                  <c:v>4.53391876545051</c:v>
                </c:pt>
                <c:pt idx="44">
                  <c:v>4.7813057768307203</c:v>
                </c:pt>
                <c:pt idx="45">
                  <c:v>4.8776134942487097</c:v>
                </c:pt>
                <c:pt idx="46">
                  <c:v>4.9526677145618603</c:v>
                </c:pt>
                <c:pt idx="47">
                  <c:v>5.1199094917600201</c:v>
                </c:pt>
                <c:pt idx="48">
                  <c:v>5.1498995538460202</c:v>
                </c:pt>
                <c:pt idx="49">
                  <c:v>5.08237216688544</c:v>
                </c:pt>
                <c:pt idx="50">
                  <c:v>4.8852068397221498</c:v>
                </c:pt>
                <c:pt idx="51">
                  <c:v>4.7267547163978296</c:v>
                </c:pt>
                <c:pt idx="52">
                  <c:v>4.5506005778449801</c:v>
                </c:pt>
                <c:pt idx="53">
                  <c:v>4.5046216147780003</c:v>
                </c:pt>
                <c:pt idx="54">
                  <c:v>4.5985063249435498</c:v>
                </c:pt>
                <c:pt idx="55">
                  <c:v>4.6682073864181399</c:v>
                </c:pt>
                <c:pt idx="56">
                  <c:v>4.7784968650707302</c:v>
                </c:pt>
                <c:pt idx="57">
                  <c:v>4.9328216324493797</c:v>
                </c:pt>
                <c:pt idx="58">
                  <c:v>5.1273415817818098</c:v>
                </c:pt>
                <c:pt idx="59">
                  <c:v>5.2323143272491004</c:v>
                </c:pt>
                <c:pt idx="60">
                  <c:v>5.2280426826660102</c:v>
                </c:pt>
                <c:pt idx="61">
                  <c:v>5.1672602121717199</c:v>
                </c:pt>
                <c:pt idx="62">
                  <c:v>5.1535795383054701</c:v>
                </c:pt>
                <c:pt idx="63">
                  <c:v>5.0668958419802399</c:v>
                </c:pt>
                <c:pt idx="64">
                  <c:v>5.0828654262246999</c:v>
                </c:pt>
                <c:pt idx="65">
                  <c:v>5.0979775043497098</c:v>
                </c:pt>
                <c:pt idx="66">
                  <c:v>5.1158273945518502</c:v>
                </c:pt>
                <c:pt idx="67">
                  <c:v>5.1294365811269502</c:v>
                </c:pt>
                <c:pt idx="68">
                  <c:v>5.07610629038001</c:v>
                </c:pt>
                <c:pt idx="69">
                  <c:v>4.9899010928015803</c:v>
                </c:pt>
                <c:pt idx="70">
                  <c:v>4.8850537351583103</c:v>
                </c:pt>
                <c:pt idx="71">
                  <c:v>4.8291476491880196</c:v>
                </c:pt>
                <c:pt idx="72">
                  <c:v>4.8616517448230203</c:v>
                </c:pt>
                <c:pt idx="73">
                  <c:v>4.9305946692028497</c:v>
                </c:pt>
                <c:pt idx="74">
                  <c:v>4.92093318410876</c:v>
                </c:pt>
                <c:pt idx="75">
                  <c:v>4.9793708509294596</c:v>
                </c:pt>
                <c:pt idx="76">
                  <c:v>5.3636123567810499</c:v>
                </c:pt>
                <c:pt idx="77">
                  <c:v>6.0946449463674996</c:v>
                </c:pt>
                <c:pt idx="78">
                  <c:v>6.0257912411256402</c:v>
                </c:pt>
                <c:pt idx="79">
                  <c:v>6.2456460090361503</c:v>
                </c:pt>
                <c:pt idx="80">
                  <c:v>6.5355178388102804</c:v>
                </c:pt>
                <c:pt idx="81">
                  <c:v>6.4314010904964398</c:v>
                </c:pt>
                <c:pt idx="82">
                  <c:v>6.1004102201736998</c:v>
                </c:pt>
                <c:pt idx="83">
                  <c:v>5.98891735283466</c:v>
                </c:pt>
                <c:pt idx="84">
                  <c:v>5.9214234409106501</c:v>
                </c:pt>
                <c:pt idx="85">
                  <c:v>5.8593603493655602</c:v>
                </c:pt>
                <c:pt idx="86">
                  <c:v>5.6774549356935502</c:v>
                </c:pt>
                <c:pt idx="87">
                  <c:v>5.96124626318593</c:v>
                </c:pt>
                <c:pt idx="88">
                  <c:v>6.1706702499858102</c:v>
                </c:pt>
                <c:pt idx="89">
                  <c:v>6.3807504989555497</c:v>
                </c:pt>
                <c:pt idx="90">
                  <c:v>6.4629494406595498</c:v>
                </c:pt>
                <c:pt idx="91">
                  <c:v>6.5855148290350298</c:v>
                </c:pt>
                <c:pt idx="92">
                  <c:v>6.6988807648541302</c:v>
                </c:pt>
                <c:pt idx="93">
                  <c:v>6.6904439765656996</c:v>
                </c:pt>
                <c:pt idx="94">
                  <c:v>6.4359670110133198</c:v>
                </c:pt>
                <c:pt idx="95">
                  <c:v>6.30297641601903</c:v>
                </c:pt>
                <c:pt idx="96">
                  <c:v>6.2375534711443903</c:v>
                </c:pt>
                <c:pt idx="97">
                  <c:v>6.24062133219907</c:v>
                </c:pt>
                <c:pt idx="98">
                  <c:v>6.3331205291355799</c:v>
                </c:pt>
                <c:pt idx="99">
                  <c:v>6.2032527957600498</c:v>
                </c:pt>
                <c:pt idx="100">
                  <c:v>6.1960025322102901</c:v>
                </c:pt>
                <c:pt idx="101">
                  <c:v>6.3501989598221602</c:v>
                </c:pt>
                <c:pt idx="102">
                  <c:v>6.4103828987463602</c:v>
                </c:pt>
                <c:pt idx="103">
                  <c:v>6.5457026899159203</c:v>
                </c:pt>
                <c:pt idx="104">
                  <c:v>6.7407898203938998</c:v>
                </c:pt>
                <c:pt idx="105">
                  <c:v>6.81084447131704</c:v>
                </c:pt>
                <c:pt idx="106">
                  <c:v>6.7286751315940201</c:v>
                </c:pt>
                <c:pt idx="107">
                  <c:v>6.6317112999052696</c:v>
                </c:pt>
                <c:pt idx="108">
                  <c:v>6.4424045461078103</c:v>
                </c:pt>
                <c:pt idx="109">
                  <c:v>6.33463422080737</c:v>
                </c:pt>
                <c:pt idx="110">
                  <c:v>6.2517764706958401</c:v>
                </c:pt>
                <c:pt idx="111">
                  <c:v>6.26072411805806</c:v>
                </c:pt>
                <c:pt idx="112">
                  <c:v>6.3457197858094201</c:v>
                </c:pt>
                <c:pt idx="113">
                  <c:v>6.1701049682385101</c:v>
                </c:pt>
                <c:pt idx="114">
                  <c:v>5.9335548859716498</c:v>
                </c:pt>
                <c:pt idx="115">
                  <c:v>5.8721684941883998</c:v>
                </c:pt>
                <c:pt idx="116">
                  <c:v>5.8167964902504403</c:v>
                </c:pt>
                <c:pt idx="117">
                  <c:v>5.6977160723951297</c:v>
                </c:pt>
                <c:pt idx="118">
                  <c:v>5.7299360729962299</c:v>
                </c:pt>
                <c:pt idx="119">
                  <c:v>5.9050738607028403</c:v>
                </c:pt>
                <c:pt idx="120">
                  <c:v>5.9603754873070498</c:v>
                </c:pt>
                <c:pt idx="121">
                  <c:v>5.7399072643357698</c:v>
                </c:pt>
                <c:pt idx="122">
                  <c:v>5.6981602718682396</c:v>
                </c:pt>
                <c:pt idx="123">
                  <c:v>5.76652782146496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'LLwithCondition (2)'!$D$3</c:f>
              <c:strCache>
                <c:ptCount val="1"/>
                <c:pt idx="0">
                  <c:v>Big Non-Bank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'LLwithCondition (2)'!$B$4:$B$127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'LLwithCondition (2)'!$D$4:$D$127</c:f>
              <c:numCache>
                <c:formatCode>General</c:formatCode>
                <c:ptCount val="124"/>
                <c:pt idx="0">
                  <c:v>4.1237868443410299</c:v>
                </c:pt>
                <c:pt idx="1">
                  <c:v>4.0724697555473997</c:v>
                </c:pt>
                <c:pt idx="2">
                  <c:v>4.0795742084377498</c:v>
                </c:pt>
                <c:pt idx="3">
                  <c:v>4.2191881107733797</c:v>
                </c:pt>
                <c:pt idx="4">
                  <c:v>4.34046482428821</c:v>
                </c:pt>
                <c:pt idx="5">
                  <c:v>4.3610787823523598</c:v>
                </c:pt>
                <c:pt idx="6">
                  <c:v>4.50163909584204</c:v>
                </c:pt>
                <c:pt idx="7">
                  <c:v>4.5143120295241497</c:v>
                </c:pt>
                <c:pt idx="8">
                  <c:v>4.5467902199024302</c:v>
                </c:pt>
                <c:pt idx="9">
                  <c:v>4.5408042219318796</c:v>
                </c:pt>
                <c:pt idx="10">
                  <c:v>4.5678757972151898</c:v>
                </c:pt>
                <c:pt idx="11">
                  <c:v>4.6707743455494199</c:v>
                </c:pt>
                <c:pt idx="12">
                  <c:v>4.7185250065644802</c:v>
                </c:pt>
                <c:pt idx="13">
                  <c:v>4.7326732559808899</c:v>
                </c:pt>
                <c:pt idx="14">
                  <c:v>4.7781018847115897</c:v>
                </c:pt>
                <c:pt idx="15">
                  <c:v>4.7779020618618597</c:v>
                </c:pt>
                <c:pt idx="16">
                  <c:v>4.6685721450730302</c:v>
                </c:pt>
                <c:pt idx="17">
                  <c:v>4.6117913154848802</c:v>
                </c:pt>
                <c:pt idx="18">
                  <c:v>4.7353231822939996</c:v>
                </c:pt>
                <c:pt idx="19">
                  <c:v>4.75601547548432</c:v>
                </c:pt>
                <c:pt idx="20">
                  <c:v>4.60992628250054</c:v>
                </c:pt>
                <c:pt idx="21">
                  <c:v>4.3204582107282503</c:v>
                </c:pt>
                <c:pt idx="22">
                  <c:v>3.9463716001364602</c:v>
                </c:pt>
                <c:pt idx="23">
                  <c:v>3.8079408823666498</c:v>
                </c:pt>
                <c:pt idx="24">
                  <c:v>3.8725047024987398</c:v>
                </c:pt>
                <c:pt idx="25">
                  <c:v>3.8456884245144201</c:v>
                </c:pt>
                <c:pt idx="26">
                  <c:v>3.7719228011650401</c:v>
                </c:pt>
                <c:pt idx="27">
                  <c:v>3.6462499425197001</c:v>
                </c:pt>
                <c:pt idx="28">
                  <c:v>3.65077505776275</c:v>
                </c:pt>
                <c:pt idx="29">
                  <c:v>3.7067427506511299</c:v>
                </c:pt>
                <c:pt idx="30">
                  <c:v>3.7766769136976399</c:v>
                </c:pt>
                <c:pt idx="31">
                  <c:v>3.8501000264524801</c:v>
                </c:pt>
                <c:pt idx="32">
                  <c:v>3.89321189457148</c:v>
                </c:pt>
                <c:pt idx="33">
                  <c:v>3.9283358679298299</c:v>
                </c:pt>
                <c:pt idx="34">
                  <c:v>4.0673812628740302</c:v>
                </c:pt>
                <c:pt idx="35">
                  <c:v>4.1742711025533499</c:v>
                </c:pt>
                <c:pt idx="36">
                  <c:v>4.1919402122088298</c:v>
                </c:pt>
                <c:pt idx="37">
                  <c:v>4.1755324481387701</c:v>
                </c:pt>
                <c:pt idx="38">
                  <c:v>4.1738846766960496</c:v>
                </c:pt>
                <c:pt idx="39">
                  <c:v>4.2395877951698502</c:v>
                </c:pt>
                <c:pt idx="40">
                  <c:v>4.35415319838045</c:v>
                </c:pt>
                <c:pt idx="41">
                  <c:v>4.3129432381052997</c:v>
                </c:pt>
                <c:pt idx="42">
                  <c:v>4.4128008395489404</c:v>
                </c:pt>
                <c:pt idx="43">
                  <c:v>4.5119397329930804</c:v>
                </c:pt>
                <c:pt idx="44">
                  <c:v>4.8091767391416802</c:v>
                </c:pt>
                <c:pt idx="45">
                  <c:v>4.8216356808009202</c:v>
                </c:pt>
                <c:pt idx="46">
                  <c:v>4.9025409869560699</c:v>
                </c:pt>
                <c:pt idx="47">
                  <c:v>5.1432481699690102</c:v>
                </c:pt>
                <c:pt idx="48">
                  <c:v>5.1698548003222404</c:v>
                </c:pt>
                <c:pt idx="49">
                  <c:v>5.1694034368247701</c:v>
                </c:pt>
                <c:pt idx="50">
                  <c:v>5.0209223847428399</c:v>
                </c:pt>
                <c:pt idx="51">
                  <c:v>4.88279657947872</c:v>
                </c:pt>
                <c:pt idx="52">
                  <c:v>4.5932169000684402</c:v>
                </c:pt>
                <c:pt idx="53">
                  <c:v>4.49979665349173</c:v>
                </c:pt>
                <c:pt idx="54">
                  <c:v>4.5669587406600298</c:v>
                </c:pt>
                <c:pt idx="55">
                  <c:v>4.6855844226563796</c:v>
                </c:pt>
                <c:pt idx="56">
                  <c:v>4.7254740127578598</c:v>
                </c:pt>
                <c:pt idx="57">
                  <c:v>4.9244902601974996</c:v>
                </c:pt>
                <c:pt idx="58">
                  <c:v>5.1503091070801101</c:v>
                </c:pt>
                <c:pt idx="59">
                  <c:v>5.2186106259467904</c:v>
                </c:pt>
                <c:pt idx="60">
                  <c:v>5.2515156491826298</c:v>
                </c:pt>
                <c:pt idx="61">
                  <c:v>5.2474457611100798</c:v>
                </c:pt>
                <c:pt idx="62">
                  <c:v>5.2669806276226199</c:v>
                </c:pt>
                <c:pt idx="63">
                  <c:v>5.1137918316427404</c:v>
                </c:pt>
                <c:pt idx="64">
                  <c:v>5.0409655690044302</c:v>
                </c:pt>
                <c:pt idx="65">
                  <c:v>5.0984261725870903</c:v>
                </c:pt>
                <c:pt idx="66">
                  <c:v>5.1660359038403501</c:v>
                </c:pt>
                <c:pt idx="67">
                  <c:v>5.2300438187300999</c:v>
                </c:pt>
                <c:pt idx="68">
                  <c:v>5.2072534743019201</c:v>
                </c:pt>
                <c:pt idx="69">
                  <c:v>5.2219881356408298</c:v>
                </c:pt>
                <c:pt idx="70">
                  <c:v>4.9723674098418398</c:v>
                </c:pt>
                <c:pt idx="71">
                  <c:v>4.8368962964166302</c:v>
                </c:pt>
                <c:pt idx="72">
                  <c:v>4.7411115537530604</c:v>
                </c:pt>
                <c:pt idx="73">
                  <c:v>5.0937521375365797</c:v>
                </c:pt>
                <c:pt idx="74">
                  <c:v>4.8931688620532601</c:v>
                </c:pt>
                <c:pt idx="75">
                  <c:v>4.9952975166393703</c:v>
                </c:pt>
                <c:pt idx="76">
                  <c:v>5.3354129193465303</c:v>
                </c:pt>
                <c:pt idx="77">
                  <c:v>6.5037957877536101</c:v>
                </c:pt>
                <c:pt idx="78">
                  <c:v>6.16672675634931</c:v>
                </c:pt>
                <c:pt idx="79">
                  <c:v>6.2984570013993402</c:v>
                </c:pt>
                <c:pt idx="80">
                  <c:v>6.7459476407728403</c:v>
                </c:pt>
                <c:pt idx="81">
                  <c:v>6.5921081026291599</c:v>
                </c:pt>
                <c:pt idx="82">
                  <c:v>6.5402375751912603</c:v>
                </c:pt>
                <c:pt idx="83">
                  <c:v>6.1998264338351703</c:v>
                </c:pt>
                <c:pt idx="84">
                  <c:v>6.0124717959694198</c:v>
                </c:pt>
                <c:pt idx="85">
                  <c:v>6.0511932182297903</c:v>
                </c:pt>
                <c:pt idx="86">
                  <c:v>5.8839054724804196</c:v>
                </c:pt>
                <c:pt idx="87">
                  <c:v>6.1525795590864298</c:v>
                </c:pt>
                <c:pt idx="88">
                  <c:v>6.3236240497238896</c:v>
                </c:pt>
                <c:pt idx="89">
                  <c:v>6.5419578960804401</c:v>
                </c:pt>
                <c:pt idx="90">
                  <c:v>6.5326813936650199</c:v>
                </c:pt>
                <c:pt idx="91">
                  <c:v>6.5922320771070098</c:v>
                </c:pt>
                <c:pt idx="92">
                  <c:v>6.8671682503521998</c:v>
                </c:pt>
                <c:pt idx="93">
                  <c:v>6.8104848375659897</c:v>
                </c:pt>
                <c:pt idx="94">
                  <c:v>6.4979813148674603</c:v>
                </c:pt>
                <c:pt idx="95">
                  <c:v>6.4143247060261501</c:v>
                </c:pt>
                <c:pt idx="96">
                  <c:v>6.22618743698931</c:v>
                </c:pt>
                <c:pt idx="97">
                  <c:v>6.4334231965352098</c:v>
                </c:pt>
                <c:pt idx="98">
                  <c:v>6.4439434928325099</c:v>
                </c:pt>
                <c:pt idx="99">
                  <c:v>6.3940170882414202</c:v>
                </c:pt>
                <c:pt idx="100">
                  <c:v>6.4370531580450798</c:v>
                </c:pt>
                <c:pt idx="101">
                  <c:v>6.6467822738161901</c:v>
                </c:pt>
                <c:pt idx="102">
                  <c:v>6.5840078627310197</c:v>
                </c:pt>
                <c:pt idx="103">
                  <c:v>6.7087147982617497</c:v>
                </c:pt>
                <c:pt idx="104">
                  <c:v>6.87626346587773</c:v>
                </c:pt>
                <c:pt idx="105">
                  <c:v>6.9880494808924203</c:v>
                </c:pt>
                <c:pt idx="106">
                  <c:v>6.8033105084861996</c:v>
                </c:pt>
                <c:pt idx="107">
                  <c:v>6.7871632950559997</c:v>
                </c:pt>
                <c:pt idx="108">
                  <c:v>6.7242127375529996</c:v>
                </c:pt>
                <c:pt idx="109">
                  <c:v>6.5950219310896498</c:v>
                </c:pt>
                <c:pt idx="110">
                  <c:v>6.5311291637044597</c:v>
                </c:pt>
                <c:pt idx="111">
                  <c:v>6.5243556051883598</c:v>
                </c:pt>
                <c:pt idx="112">
                  <c:v>6.6992419826455896</c:v>
                </c:pt>
                <c:pt idx="113">
                  <c:v>6.4398390662426701</c:v>
                </c:pt>
                <c:pt idx="114">
                  <c:v>6.0168050603756402</c:v>
                </c:pt>
                <c:pt idx="115">
                  <c:v>6.1644990759963996</c:v>
                </c:pt>
                <c:pt idx="116">
                  <c:v>6.0967228769349804</c:v>
                </c:pt>
                <c:pt idx="117">
                  <c:v>5.9893608987974698</c:v>
                </c:pt>
                <c:pt idx="118">
                  <c:v>5.9383249305757397</c:v>
                </c:pt>
                <c:pt idx="119">
                  <c:v>6.1010741121785399</c:v>
                </c:pt>
                <c:pt idx="120">
                  <c:v>6.1142759738099901</c:v>
                </c:pt>
                <c:pt idx="121">
                  <c:v>5.9901739928278399</c:v>
                </c:pt>
                <c:pt idx="122">
                  <c:v>5.93648297988483</c:v>
                </c:pt>
                <c:pt idx="123">
                  <c:v>5.9528557282850896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'LLwithCondition (2)'!$E$3</c:f>
              <c:strCache>
                <c:ptCount val="1"/>
                <c:pt idx="0">
                  <c:v>Small Lender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'LLwithCondition (2)'!$B$4:$B$127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'LLwithCondition (2)'!$E$4:$E$126</c:f>
              <c:numCache>
                <c:formatCode>General</c:formatCode>
                <c:ptCount val="123"/>
                <c:pt idx="0">
                  <c:v>4.0216658215070797</c:v>
                </c:pt>
                <c:pt idx="1">
                  <c:v>3.97261149543866</c:v>
                </c:pt>
                <c:pt idx="2">
                  <c:v>3.9586044216830398</c:v>
                </c:pt>
                <c:pt idx="3">
                  <c:v>4.1180180005584504</c:v>
                </c:pt>
                <c:pt idx="4">
                  <c:v>4.2582992465124399</c:v>
                </c:pt>
                <c:pt idx="5">
                  <c:v>4.29475686841013</c:v>
                </c:pt>
                <c:pt idx="6">
                  <c:v>4.4136730120691601</c:v>
                </c:pt>
                <c:pt idx="7">
                  <c:v>4.42590886999474</c:v>
                </c:pt>
                <c:pt idx="8">
                  <c:v>4.43815557294573</c:v>
                </c:pt>
                <c:pt idx="9">
                  <c:v>4.4495482152197896</c:v>
                </c:pt>
                <c:pt idx="10">
                  <c:v>4.4859244662927598</c:v>
                </c:pt>
                <c:pt idx="11">
                  <c:v>4.5949451576973903</c:v>
                </c:pt>
                <c:pt idx="12">
                  <c:v>4.6406343920420596</c:v>
                </c:pt>
                <c:pt idx="13">
                  <c:v>4.6202204658443096</c:v>
                </c:pt>
                <c:pt idx="14">
                  <c:v>4.66931609027775</c:v>
                </c:pt>
                <c:pt idx="15">
                  <c:v>4.69982779264621</c:v>
                </c:pt>
                <c:pt idx="16">
                  <c:v>4.5749000626968801</c:v>
                </c:pt>
                <c:pt idx="17">
                  <c:v>4.5137567761280604</c:v>
                </c:pt>
                <c:pt idx="18">
                  <c:v>4.6409963259209501</c:v>
                </c:pt>
                <c:pt idx="19">
                  <c:v>4.7418272243009802</c:v>
                </c:pt>
                <c:pt idx="20">
                  <c:v>4.5655049166508599</c:v>
                </c:pt>
                <c:pt idx="21">
                  <c:v>4.2599025030036897</c:v>
                </c:pt>
                <c:pt idx="22">
                  <c:v>3.8951440631579901</c:v>
                </c:pt>
                <c:pt idx="23">
                  <c:v>3.7510885438699</c:v>
                </c:pt>
                <c:pt idx="24">
                  <c:v>3.8099276969790301</c:v>
                </c:pt>
                <c:pt idx="25">
                  <c:v>3.7825415156393598</c:v>
                </c:pt>
                <c:pt idx="26">
                  <c:v>3.6934244230845201</c:v>
                </c:pt>
                <c:pt idx="27">
                  <c:v>3.6033548831439499</c:v>
                </c:pt>
                <c:pt idx="28">
                  <c:v>3.5915199716421098</c:v>
                </c:pt>
                <c:pt idx="29">
                  <c:v>3.6008819534771201</c:v>
                </c:pt>
                <c:pt idx="30">
                  <c:v>3.66600530010186</c:v>
                </c:pt>
                <c:pt idx="31">
                  <c:v>3.76941401476792</c:v>
                </c:pt>
                <c:pt idx="32">
                  <c:v>3.8080130355025599</c:v>
                </c:pt>
                <c:pt idx="33">
                  <c:v>3.8967368952954198</c:v>
                </c:pt>
                <c:pt idx="34">
                  <c:v>4.0212319104949703</c:v>
                </c:pt>
                <c:pt idx="35">
                  <c:v>4.1150808949727002</c:v>
                </c:pt>
                <c:pt idx="36">
                  <c:v>4.1369562999131499</c:v>
                </c:pt>
                <c:pt idx="37">
                  <c:v>4.0808588427727797</c:v>
                </c:pt>
                <c:pt idx="38">
                  <c:v>4.0802734374255003</c:v>
                </c:pt>
                <c:pt idx="39">
                  <c:v>4.1774807779790102</c:v>
                </c:pt>
                <c:pt idx="40">
                  <c:v>4.24263754084759</c:v>
                </c:pt>
                <c:pt idx="41">
                  <c:v>4.2407495593322801</c:v>
                </c:pt>
                <c:pt idx="42">
                  <c:v>4.29695421139927</c:v>
                </c:pt>
                <c:pt idx="43">
                  <c:v>4.4120909451936097</c:v>
                </c:pt>
                <c:pt idx="44">
                  <c:v>4.6637207374316496</c:v>
                </c:pt>
                <c:pt idx="45">
                  <c:v>4.8136284777767102</c:v>
                </c:pt>
                <c:pt idx="46">
                  <c:v>4.8851768254937804</c:v>
                </c:pt>
                <c:pt idx="47">
                  <c:v>5.0104042533752899</c:v>
                </c:pt>
                <c:pt idx="48">
                  <c:v>5.04070405569085</c:v>
                </c:pt>
                <c:pt idx="49">
                  <c:v>5.0454312571468103</c:v>
                </c:pt>
                <c:pt idx="50">
                  <c:v>4.8998185681194801</c:v>
                </c:pt>
                <c:pt idx="51">
                  <c:v>4.7254339496838798</c:v>
                </c:pt>
                <c:pt idx="52">
                  <c:v>4.5108626351101497</c:v>
                </c:pt>
                <c:pt idx="53">
                  <c:v>4.4278496850137898</c:v>
                </c:pt>
                <c:pt idx="54">
                  <c:v>4.4832161092434104</c:v>
                </c:pt>
                <c:pt idx="55">
                  <c:v>4.5471599377957004</c:v>
                </c:pt>
                <c:pt idx="56">
                  <c:v>4.6642806637900396</c:v>
                </c:pt>
                <c:pt idx="57">
                  <c:v>4.8223373259600999</c:v>
                </c:pt>
                <c:pt idx="58">
                  <c:v>5.0418640522823699</c:v>
                </c:pt>
                <c:pt idx="59">
                  <c:v>5.2024558900644298</c:v>
                </c:pt>
                <c:pt idx="60">
                  <c:v>5.1846067204583699</c:v>
                </c:pt>
                <c:pt idx="61">
                  <c:v>5.1418518864171796</c:v>
                </c:pt>
                <c:pt idx="62">
                  <c:v>5.1554862888020097</c:v>
                </c:pt>
                <c:pt idx="63">
                  <c:v>5.0459953534312696</c:v>
                </c:pt>
                <c:pt idx="64">
                  <c:v>5.0034668314839896</c:v>
                </c:pt>
                <c:pt idx="65">
                  <c:v>5.0745215884622699</c:v>
                </c:pt>
                <c:pt idx="66">
                  <c:v>5.1204921572082203</c:v>
                </c:pt>
                <c:pt idx="67">
                  <c:v>5.2747716750026701</c:v>
                </c:pt>
                <c:pt idx="68">
                  <c:v>5.2699170240727398</c:v>
                </c:pt>
                <c:pt idx="69">
                  <c:v>5.1722769856475503</c:v>
                </c:pt>
                <c:pt idx="70">
                  <c:v>4.9910886575345899</c:v>
                </c:pt>
                <c:pt idx="71">
                  <c:v>4.9027724846698</c:v>
                </c:pt>
                <c:pt idx="72">
                  <c:v>4.93204708302087</c:v>
                </c:pt>
                <c:pt idx="73">
                  <c:v>5.0012509211240799</c:v>
                </c:pt>
                <c:pt idx="74">
                  <c:v>4.9537316946706103</c:v>
                </c:pt>
                <c:pt idx="75">
                  <c:v>4.9533708486296302</c:v>
                </c:pt>
                <c:pt idx="76">
                  <c:v>5.4368423516025501</c:v>
                </c:pt>
                <c:pt idx="77">
                  <c:v>6.1386705003220401</c:v>
                </c:pt>
                <c:pt idx="78">
                  <c:v>5.9985760989344197</c:v>
                </c:pt>
                <c:pt idx="79">
                  <c:v>6.2885004859223201</c:v>
                </c:pt>
                <c:pt idx="80">
                  <c:v>6.5796695332617396</c:v>
                </c:pt>
                <c:pt idx="81">
                  <c:v>6.4049571964798897</c:v>
                </c:pt>
                <c:pt idx="82">
                  <c:v>6.1430418277638301</c:v>
                </c:pt>
                <c:pt idx="83">
                  <c:v>5.9986443845008903</c:v>
                </c:pt>
                <c:pt idx="84">
                  <c:v>5.8687923078410398</c:v>
                </c:pt>
                <c:pt idx="85">
                  <c:v>5.8305726079826998</c:v>
                </c:pt>
                <c:pt idx="86">
                  <c:v>5.6320521780893502</c:v>
                </c:pt>
                <c:pt idx="87">
                  <c:v>5.9631281330525399</c:v>
                </c:pt>
                <c:pt idx="88">
                  <c:v>6.2211216471743302</c:v>
                </c:pt>
                <c:pt idx="89">
                  <c:v>6.37529055979177</c:v>
                </c:pt>
                <c:pt idx="90">
                  <c:v>6.4713703597448102</c:v>
                </c:pt>
                <c:pt idx="91">
                  <c:v>6.5607079511412003</c:v>
                </c:pt>
                <c:pt idx="92">
                  <c:v>6.7563362828491798</c:v>
                </c:pt>
                <c:pt idx="93">
                  <c:v>6.73193917192825</c:v>
                </c:pt>
                <c:pt idx="94">
                  <c:v>6.4563831381258003</c:v>
                </c:pt>
                <c:pt idx="95">
                  <c:v>6.2726375714784197</c:v>
                </c:pt>
                <c:pt idx="96">
                  <c:v>6.2288502619522497</c:v>
                </c:pt>
                <c:pt idx="97">
                  <c:v>6.2939282501260703</c:v>
                </c:pt>
                <c:pt idx="98">
                  <c:v>6.3260237800472501</c:v>
                </c:pt>
                <c:pt idx="99">
                  <c:v>6.2365863480721897</c:v>
                </c:pt>
                <c:pt idx="100">
                  <c:v>6.2464346999429301</c:v>
                </c:pt>
                <c:pt idx="101">
                  <c:v>6.4361105389338302</c:v>
                </c:pt>
                <c:pt idx="102">
                  <c:v>6.4756272655495097</c:v>
                </c:pt>
                <c:pt idx="103">
                  <c:v>6.5604863372519802</c:v>
                </c:pt>
                <c:pt idx="104">
                  <c:v>6.7492942628745398</c:v>
                </c:pt>
                <c:pt idx="105">
                  <c:v>6.8092830566186198</c:v>
                </c:pt>
                <c:pt idx="106">
                  <c:v>6.7489460153022502</c:v>
                </c:pt>
                <c:pt idx="107">
                  <c:v>6.6436305483580496</c:v>
                </c:pt>
                <c:pt idx="108">
                  <c:v>6.4804317514348604</c:v>
                </c:pt>
                <c:pt idx="109">
                  <c:v>6.3743951557948098</c:v>
                </c:pt>
                <c:pt idx="110">
                  <c:v>6.33195188933444</c:v>
                </c:pt>
                <c:pt idx="111">
                  <c:v>6.3116811213810102</c:v>
                </c:pt>
                <c:pt idx="112">
                  <c:v>6.3628324641039598</c:v>
                </c:pt>
                <c:pt idx="113">
                  <c:v>6.1565698680312897</c:v>
                </c:pt>
                <c:pt idx="114">
                  <c:v>5.9572198059773998</c:v>
                </c:pt>
                <c:pt idx="115">
                  <c:v>5.9013831029193904</c:v>
                </c:pt>
                <c:pt idx="116">
                  <c:v>5.8503919933745401</c:v>
                </c:pt>
                <c:pt idx="117">
                  <c:v>5.7074410882309099</c:v>
                </c:pt>
                <c:pt idx="118">
                  <c:v>5.7548084648573399</c:v>
                </c:pt>
                <c:pt idx="119">
                  <c:v>5.8839004026215402</c:v>
                </c:pt>
                <c:pt idx="120">
                  <c:v>5.97749479090138</c:v>
                </c:pt>
                <c:pt idx="121">
                  <c:v>5.7249844475824103</c:v>
                </c:pt>
                <c:pt idx="122">
                  <c:v>5.7070362465222102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975936"/>
        <c:axId val="313977472"/>
      </c:lineChart>
      <c:dateAx>
        <c:axId val="313975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3977472"/>
        <c:crosses val="autoZero"/>
        <c:auto val="1"/>
        <c:lblOffset val="100"/>
        <c:baseTimeUnit val="months"/>
        <c:majorUnit val="6"/>
        <c:majorTimeUnit val="months"/>
      </c:dateAx>
      <c:valAx>
        <c:axId val="313977472"/>
        <c:scaling>
          <c:orientation val="minMax"/>
          <c:min val="3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139759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v>Bank vs Non-Bank</c:v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numRef>
              <c:f>'LLwithCondition (2)'!$B$4:$B$127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'LLwithCondition (2)'!$F$4:$F$127</c:f>
              <c:numCache>
                <c:formatCode>0.00</c:formatCode>
                <c:ptCount val="124"/>
                <c:pt idx="0">
                  <c:v>1.7036619881739767E-2</c:v>
                </c:pt>
                <c:pt idx="1">
                  <c:v>-2.9347240265429342E-2</c:v>
                </c:pt>
                <c:pt idx="2">
                  <c:v>-5.3516781996269636E-2</c:v>
                </c:pt>
                <c:pt idx="3">
                  <c:v>1.9902819745690081E-2</c:v>
                </c:pt>
                <c:pt idx="4">
                  <c:v>3.2627402011096152E-3</c:v>
                </c:pt>
                <c:pt idx="5">
                  <c:v>1.2202239501189815E-2</c:v>
                </c:pt>
                <c:pt idx="6">
                  <c:v>-3.7473717952249963E-2</c:v>
                </c:pt>
                <c:pt idx="7">
                  <c:v>-3.2832605470249909E-2</c:v>
                </c:pt>
                <c:pt idx="8">
                  <c:v>-3.39293479392202E-2</c:v>
                </c:pt>
                <c:pt idx="9">
                  <c:v>-4.0891879833209188E-2</c:v>
                </c:pt>
                <c:pt idx="10">
                  <c:v>-2.3786597913719731E-2</c:v>
                </c:pt>
                <c:pt idx="11">
                  <c:v>1.0880906272401347E-3</c:v>
                </c:pt>
                <c:pt idx="12">
                  <c:v>4.3121689146401465E-3</c:v>
                </c:pt>
                <c:pt idx="13">
                  <c:v>-5.5156931839800194E-2</c:v>
                </c:pt>
                <c:pt idx="14">
                  <c:v>-2.2613971441889369E-2</c:v>
                </c:pt>
                <c:pt idx="15">
                  <c:v>-2.8848022951939889E-2</c:v>
                </c:pt>
                <c:pt idx="16">
                  <c:v>-1.8382635327689911E-2</c:v>
                </c:pt>
                <c:pt idx="17">
                  <c:v>1.5766127326769741E-2</c:v>
                </c:pt>
                <c:pt idx="18">
                  <c:v>-8.8034804529497634E-3</c:v>
                </c:pt>
                <c:pt idx="19">
                  <c:v>-6.3433209038169736E-2</c:v>
                </c:pt>
                <c:pt idx="20">
                  <c:v>-0.11606237639047023</c:v>
                </c:pt>
                <c:pt idx="21">
                  <c:v>-0.16802891880346049</c:v>
                </c:pt>
                <c:pt idx="22">
                  <c:v>-4.545888793278019E-2</c:v>
                </c:pt>
                <c:pt idx="23">
                  <c:v>2.5967741216760043E-2</c:v>
                </c:pt>
                <c:pt idx="24">
                  <c:v>-2.1135318469999831E-2</c:v>
                </c:pt>
                <c:pt idx="25">
                  <c:v>-2.3289471431580111E-2</c:v>
                </c:pt>
                <c:pt idx="26">
                  <c:v>1.5076783598920063E-2</c:v>
                </c:pt>
                <c:pt idx="27">
                  <c:v>7.7498180928730065E-2</c:v>
                </c:pt>
                <c:pt idx="28">
                  <c:v>6.637861971326009E-2</c:v>
                </c:pt>
                <c:pt idx="29">
                  <c:v>6.4551588266319904E-2</c:v>
                </c:pt>
                <c:pt idx="30">
                  <c:v>6.7125001544120266E-2</c:v>
                </c:pt>
                <c:pt idx="31">
                  <c:v>5.6757734020859818E-2</c:v>
                </c:pt>
                <c:pt idx="32">
                  <c:v>1.1452155225580185E-2</c:v>
                </c:pt>
                <c:pt idx="33">
                  <c:v>8.8313382524430217E-2</c:v>
                </c:pt>
                <c:pt idx="34">
                  <c:v>4.602537472633017E-2</c:v>
                </c:pt>
                <c:pt idx="35">
                  <c:v>9.7514701490780453E-2</c:v>
                </c:pt>
                <c:pt idx="36">
                  <c:v>8.2242515231819802E-2</c:v>
                </c:pt>
                <c:pt idx="37">
                  <c:v>3.1325102296349883E-2</c:v>
                </c:pt>
                <c:pt idx="38">
                  <c:v>3.656490346567054E-2</c:v>
                </c:pt>
                <c:pt idx="39">
                  <c:v>5.3374882801599632E-2</c:v>
                </c:pt>
                <c:pt idx="40">
                  <c:v>1.5726588969849686E-2</c:v>
                </c:pt>
                <c:pt idx="41">
                  <c:v>6.1599207111179943E-2</c:v>
                </c:pt>
                <c:pt idx="42">
                  <c:v>-2.2029552438660005E-2</c:v>
                </c:pt>
                <c:pt idx="43">
                  <c:v>2.1979032457429604E-2</c:v>
                </c:pt>
                <c:pt idx="44">
                  <c:v>-2.7870962310959868E-2</c:v>
                </c:pt>
                <c:pt idx="45">
                  <c:v>5.5977813447789515E-2</c:v>
                </c:pt>
                <c:pt idx="46">
                  <c:v>5.01267276057904E-2</c:v>
                </c:pt>
                <c:pt idx="47">
                  <c:v>-2.333867820899016E-2</c:v>
                </c:pt>
                <c:pt idx="48">
                  <c:v>-1.9955246476220267E-2</c:v>
                </c:pt>
                <c:pt idx="49">
                  <c:v>-8.703126993933008E-2</c:v>
                </c:pt>
                <c:pt idx="50">
                  <c:v>-0.13571554502069016</c:v>
                </c:pt>
                <c:pt idx="51">
                  <c:v>-0.15604186308089041</c:v>
                </c:pt>
                <c:pt idx="52">
                  <c:v>-4.2616322223460124E-2</c:v>
                </c:pt>
                <c:pt idx="53">
                  <c:v>4.8249612862703017E-3</c:v>
                </c:pt>
                <c:pt idx="54">
                  <c:v>3.1547584283520003E-2</c:v>
                </c:pt>
                <c:pt idx="55">
                  <c:v>-1.7377036238239718E-2</c:v>
                </c:pt>
                <c:pt idx="56">
                  <c:v>5.3022852312870405E-2</c:v>
                </c:pt>
                <c:pt idx="57">
                  <c:v>8.3313722518800759E-3</c:v>
                </c:pt>
                <c:pt idx="58">
                  <c:v>-2.2967525298300373E-2</c:v>
                </c:pt>
                <c:pt idx="59">
                  <c:v>1.3703701302310023E-2</c:v>
                </c:pt>
                <c:pt idx="60">
                  <c:v>-2.3472966516619564E-2</c:v>
                </c:pt>
                <c:pt idx="61">
                  <c:v>-8.018554893835983E-2</c:v>
                </c:pt>
                <c:pt idx="62">
                  <c:v>-0.11340108931714976</c:v>
                </c:pt>
                <c:pt idx="63">
                  <c:v>-4.6895989662500526E-2</c:v>
                </c:pt>
                <c:pt idx="64">
                  <c:v>4.1899857220269787E-2</c:v>
                </c:pt>
                <c:pt idx="65">
                  <c:v>-4.4866823738054507E-4</c:v>
                </c:pt>
                <c:pt idx="66">
                  <c:v>-5.0208509288499847E-2</c:v>
                </c:pt>
                <c:pt idx="67">
                  <c:v>-0.10060723760314971</c:v>
                </c:pt>
                <c:pt idx="68">
                  <c:v>-0.13114718392191005</c:v>
                </c:pt>
                <c:pt idx="69">
                  <c:v>-0.23208704283924941</c:v>
                </c:pt>
                <c:pt idx="70">
                  <c:v>-8.7313674683529463E-2</c:v>
                </c:pt>
                <c:pt idx="71">
                  <c:v>-7.7486472286105723E-3</c:v>
                </c:pt>
                <c:pt idx="72">
                  <c:v>0.12054019106995995</c:v>
                </c:pt>
                <c:pt idx="73">
                  <c:v>-0.16315746833373002</c:v>
                </c:pt>
                <c:pt idx="74">
                  <c:v>2.7764322055499946E-2</c:v>
                </c:pt>
                <c:pt idx="75">
                  <c:v>-1.5926665709910637E-2</c:v>
                </c:pt>
                <c:pt idx="76">
                  <c:v>2.8199437434519581E-2</c:v>
                </c:pt>
                <c:pt idx="77">
                  <c:v>-0.40915084138611046</c:v>
                </c:pt>
                <c:pt idx="78">
                  <c:v>-0.14093551522366976</c:v>
                </c:pt>
                <c:pt idx="79">
                  <c:v>-5.2810992363189868E-2</c:v>
                </c:pt>
                <c:pt idx="80">
                  <c:v>-0.21042980196255989</c:v>
                </c:pt>
                <c:pt idx="81">
                  <c:v>-0.1607070121327201</c:v>
                </c:pt>
                <c:pt idx="82">
                  <c:v>-0.43982735501756043</c:v>
                </c:pt>
                <c:pt idx="83">
                  <c:v>-0.21090908100051031</c:v>
                </c:pt>
                <c:pt idx="84">
                  <c:v>-9.1048355058769737E-2</c:v>
                </c:pt>
                <c:pt idx="85">
                  <c:v>-0.19183286886423012</c:v>
                </c:pt>
                <c:pt idx="86">
                  <c:v>-0.20645053678686942</c:v>
                </c:pt>
                <c:pt idx="87">
                  <c:v>-0.19133329590049986</c:v>
                </c:pt>
                <c:pt idx="88">
                  <c:v>-0.15295379973807943</c:v>
                </c:pt>
                <c:pt idx="89">
                  <c:v>-0.16120739712489041</c:v>
                </c:pt>
                <c:pt idx="90">
                  <c:v>-6.9731953005470082E-2</c:v>
                </c:pt>
                <c:pt idx="91">
                  <c:v>-6.717248071979931E-3</c:v>
                </c:pt>
                <c:pt idx="92">
                  <c:v>-0.1682874854980696</c:v>
                </c:pt>
                <c:pt idx="93">
                  <c:v>-0.1200408610002901</c:v>
                </c:pt>
                <c:pt idx="94">
                  <c:v>-6.2014303854140529E-2</c:v>
                </c:pt>
                <c:pt idx="95">
                  <c:v>-0.1113482900071201</c:v>
                </c:pt>
                <c:pt idx="96">
                  <c:v>1.1366034155080307E-2</c:v>
                </c:pt>
                <c:pt idx="97">
                  <c:v>-0.19280186433613977</c:v>
                </c:pt>
                <c:pt idx="98">
                  <c:v>-0.11082296369693001</c:v>
                </c:pt>
                <c:pt idx="99">
                  <c:v>-0.19076429248137039</c:v>
                </c:pt>
                <c:pt idx="100">
                  <c:v>-0.24105062583478976</c:v>
                </c:pt>
                <c:pt idx="101">
                  <c:v>-0.29658331399402993</c:v>
                </c:pt>
                <c:pt idx="102">
                  <c:v>-0.17362496398465943</c:v>
                </c:pt>
                <c:pt idx="103">
                  <c:v>-0.16301210834582935</c:v>
                </c:pt>
                <c:pt idx="104">
                  <c:v>-0.13547364548383012</c:v>
                </c:pt>
                <c:pt idx="105">
                  <c:v>-0.17720500957538032</c:v>
                </c:pt>
                <c:pt idx="106">
                  <c:v>-7.4635376892179472E-2</c:v>
                </c:pt>
                <c:pt idx="107">
                  <c:v>-0.15545199515073005</c:v>
                </c:pt>
                <c:pt idx="108">
                  <c:v>-0.28180819144518932</c:v>
                </c:pt>
                <c:pt idx="109">
                  <c:v>-0.26038771028227981</c:v>
                </c:pt>
                <c:pt idx="110">
                  <c:v>-0.27935269300861965</c:v>
                </c:pt>
                <c:pt idx="111">
                  <c:v>-0.26363148713029982</c:v>
                </c:pt>
                <c:pt idx="112">
                  <c:v>-0.35352219683616948</c:v>
                </c:pt>
                <c:pt idx="113">
                  <c:v>-0.26973409800416004</c:v>
                </c:pt>
                <c:pt idx="114">
                  <c:v>-8.3250174403990407E-2</c:v>
                </c:pt>
                <c:pt idx="115">
                  <c:v>-0.29233058180799976</c:v>
                </c:pt>
                <c:pt idx="116">
                  <c:v>-0.27992638668454006</c:v>
                </c:pt>
                <c:pt idx="117">
                  <c:v>-0.29164482640234013</c:v>
                </c:pt>
                <c:pt idx="118">
                  <c:v>-0.20838885757950987</c:v>
                </c:pt>
                <c:pt idx="119">
                  <c:v>-0.19600025147569955</c:v>
                </c:pt>
                <c:pt idx="120">
                  <c:v>-0.1539004865029403</c:v>
                </c:pt>
                <c:pt idx="121">
                  <c:v>-0.2502667284920701</c:v>
                </c:pt>
                <c:pt idx="122">
                  <c:v>-0.23832270801659039</c:v>
                </c:pt>
                <c:pt idx="123">
                  <c:v>-0.18632790682012956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026240"/>
        <c:axId val="314028032"/>
      </c:barChart>
      <c:dateAx>
        <c:axId val="314026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314028032"/>
        <c:crosses val="autoZero"/>
        <c:auto val="1"/>
        <c:lblOffset val="100"/>
        <c:baseTimeUnit val="months"/>
        <c:majorUnit val="6"/>
        <c:majorTimeUnit val="months"/>
      </c:dateAx>
      <c:valAx>
        <c:axId val="3140280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140262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v>Bank vs Small</c:v>
          </c:tx>
          <c:spPr>
            <a:solidFill>
              <a:srgbClr val="74B629"/>
            </a:solidFill>
            <a:ln>
              <a:noFill/>
            </a:ln>
          </c:spPr>
          <c:invertIfNegative val="0"/>
          <c:cat>
            <c:numRef>
              <c:f>'LLwithCondition (2)'!$B$4:$B$127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'LLwithCondition (2)'!$G$4:$G$127</c:f>
              <c:numCache>
                <c:formatCode>0.00</c:formatCode>
                <c:ptCount val="124"/>
                <c:pt idx="0">
                  <c:v>0.11915764271568996</c:v>
                </c:pt>
                <c:pt idx="1">
                  <c:v>7.0511019843310319E-2</c:v>
                </c:pt>
                <c:pt idx="2">
                  <c:v>6.7453004758440294E-2</c:v>
                </c:pt>
                <c:pt idx="3">
                  <c:v>0.12107292996061947</c:v>
                </c:pt>
                <c:pt idx="4">
                  <c:v>8.5428317976879775E-2</c:v>
                </c:pt>
                <c:pt idx="5">
                  <c:v>7.8524153443419564E-2</c:v>
                </c:pt>
                <c:pt idx="6">
                  <c:v>5.0492365820629992E-2</c:v>
                </c:pt>
                <c:pt idx="7">
                  <c:v>5.5570554059159782E-2</c:v>
                </c:pt>
                <c:pt idx="8">
                  <c:v>7.4705299017479909E-2</c:v>
                </c:pt>
                <c:pt idx="9">
                  <c:v>5.0364126878880811E-2</c:v>
                </c:pt>
                <c:pt idx="10">
                  <c:v>5.8164733008710279E-2</c:v>
                </c:pt>
                <c:pt idx="11">
                  <c:v>7.6917278479269768E-2</c:v>
                </c:pt>
                <c:pt idx="12">
                  <c:v>8.2202783437060667E-2</c:v>
                </c:pt>
                <c:pt idx="13">
                  <c:v>5.7295858296780189E-2</c:v>
                </c:pt>
                <c:pt idx="14">
                  <c:v>8.6171822991950364E-2</c:v>
                </c:pt>
                <c:pt idx="15">
                  <c:v>4.9226246263709861E-2</c:v>
                </c:pt>
                <c:pt idx="16">
                  <c:v>7.528944704846019E-2</c:v>
                </c:pt>
                <c:pt idx="17">
                  <c:v>0.11380066668358957</c:v>
                </c:pt>
                <c:pt idx="18">
                  <c:v>8.5523375920099731E-2</c:v>
                </c:pt>
                <c:pt idx="19">
                  <c:v>-4.9244957854829963E-2</c:v>
                </c:pt>
                <c:pt idx="20">
                  <c:v>-7.1641010540790084E-2</c:v>
                </c:pt>
                <c:pt idx="21">
                  <c:v>-0.10747321107889984</c:v>
                </c:pt>
                <c:pt idx="22">
                  <c:v>5.7686490456898554E-3</c:v>
                </c:pt>
                <c:pt idx="23">
                  <c:v>8.2820079713509909E-2</c:v>
                </c:pt>
                <c:pt idx="24">
                  <c:v>4.1441687049709852E-2</c:v>
                </c:pt>
                <c:pt idx="25">
                  <c:v>3.9857437443480137E-2</c:v>
                </c:pt>
                <c:pt idx="26">
                  <c:v>9.3575161679440022E-2</c:v>
                </c:pt>
                <c:pt idx="27">
                  <c:v>0.12039324030448029</c:v>
                </c:pt>
                <c:pt idx="28">
                  <c:v>0.12563370583390032</c:v>
                </c:pt>
                <c:pt idx="29">
                  <c:v>0.17041238544032966</c:v>
                </c:pt>
                <c:pt idx="30">
                  <c:v>0.17779661513990019</c:v>
                </c:pt>
                <c:pt idx="31">
                  <c:v>0.13744374570541984</c:v>
                </c:pt>
                <c:pt idx="32">
                  <c:v>9.6651014294500293E-2</c:v>
                </c:pt>
                <c:pt idx="33">
                  <c:v>0.11991235515884036</c:v>
                </c:pt>
                <c:pt idx="34">
                  <c:v>9.2174727105390097E-2</c:v>
                </c:pt>
                <c:pt idx="35">
                  <c:v>0.15670490907143009</c:v>
                </c:pt>
                <c:pt idx="36">
                  <c:v>0.13722642752749969</c:v>
                </c:pt>
                <c:pt idx="37">
                  <c:v>0.12599870766234034</c:v>
                </c:pt>
                <c:pt idx="38">
                  <c:v>0.1301761427362198</c:v>
                </c:pt>
                <c:pt idx="39">
                  <c:v>0.11548189999243963</c:v>
                </c:pt>
                <c:pt idx="40">
                  <c:v>0.12724224650270965</c:v>
                </c:pt>
                <c:pt idx="41">
                  <c:v>0.13379288588419946</c:v>
                </c:pt>
                <c:pt idx="42">
                  <c:v>9.3817075711010389E-2</c:v>
                </c:pt>
                <c:pt idx="43">
                  <c:v>0.12182782025690031</c:v>
                </c:pt>
                <c:pt idx="44">
                  <c:v>0.11758503939907072</c:v>
                </c:pt>
                <c:pt idx="45">
                  <c:v>6.3985016471999501E-2</c:v>
                </c:pt>
                <c:pt idx="46">
                  <c:v>6.7490889068079873E-2</c:v>
                </c:pt>
                <c:pt idx="47">
                  <c:v>0.10950523838473014</c:v>
                </c:pt>
                <c:pt idx="48">
                  <c:v>0.10919549815517016</c:v>
                </c:pt>
                <c:pt idx="49">
                  <c:v>3.6940909738629735E-2</c:v>
                </c:pt>
                <c:pt idx="50">
                  <c:v>-1.4611728397330381E-2</c:v>
                </c:pt>
                <c:pt idx="51">
                  <c:v>1.3207667139498724E-3</c:v>
                </c:pt>
                <c:pt idx="52">
                  <c:v>3.9737942734830334E-2</c:v>
                </c:pt>
                <c:pt idx="53">
                  <c:v>7.6771929764210434E-2</c:v>
                </c:pt>
                <c:pt idx="54">
                  <c:v>0.11529021570013942</c:v>
                </c:pt>
                <c:pt idx="55">
                  <c:v>0.12104744862243955</c:v>
                </c:pt>
                <c:pt idx="56">
                  <c:v>0.11421620128069065</c:v>
                </c:pt>
                <c:pt idx="57">
                  <c:v>0.11048430648927976</c:v>
                </c:pt>
                <c:pt idx="58">
                  <c:v>8.5477529499439875E-2</c:v>
                </c:pt>
                <c:pt idx="59">
                  <c:v>2.9858437184670628E-2</c:v>
                </c:pt>
                <c:pt idx="60">
                  <c:v>4.3435962207640344E-2</c:v>
                </c:pt>
                <c:pt idx="61">
                  <c:v>2.5408325754540328E-2</c:v>
                </c:pt>
                <c:pt idx="62">
                  <c:v>-1.9067504965395443E-3</c:v>
                </c:pt>
                <c:pt idx="63">
                  <c:v>2.0900488548970308E-2</c:v>
                </c:pt>
                <c:pt idx="64">
                  <c:v>7.9398594740710315E-2</c:v>
                </c:pt>
                <c:pt idx="65">
                  <c:v>2.3455915887439893E-2</c:v>
                </c:pt>
                <c:pt idx="66">
                  <c:v>-4.6647626563700584E-3</c:v>
                </c:pt>
                <c:pt idx="67">
                  <c:v>-0.14533509387571986</c:v>
                </c:pt>
                <c:pt idx="68">
                  <c:v>-0.19381073369272972</c:v>
                </c:pt>
                <c:pt idx="69">
                  <c:v>-0.18237589284597</c:v>
                </c:pt>
                <c:pt idx="70">
                  <c:v>-0.10603492237627954</c:v>
                </c:pt>
                <c:pt idx="71">
                  <c:v>-7.3624835481780337E-2</c:v>
                </c:pt>
                <c:pt idx="72">
                  <c:v>-7.0395338197849711E-2</c:v>
                </c:pt>
                <c:pt idx="73">
                  <c:v>-7.0656251921230151E-2</c:v>
                </c:pt>
                <c:pt idx="74">
                  <c:v>-3.2798510561850236E-2</c:v>
                </c:pt>
                <c:pt idx="75">
                  <c:v>2.6000002299829461E-2</c:v>
                </c:pt>
                <c:pt idx="76">
                  <c:v>-7.3229994821500277E-2</c:v>
                </c:pt>
                <c:pt idx="77">
                  <c:v>-4.4025553954540442E-2</c:v>
                </c:pt>
                <c:pt idx="78">
                  <c:v>2.7215142191220565E-2</c:v>
                </c:pt>
                <c:pt idx="79">
                  <c:v>-4.2854476886169834E-2</c:v>
                </c:pt>
                <c:pt idx="80">
                  <c:v>-4.4151694451459278E-2</c:v>
                </c:pt>
                <c:pt idx="81">
                  <c:v>2.6443894016550118E-2</c:v>
                </c:pt>
                <c:pt idx="82">
                  <c:v>-4.2631607590130294E-2</c:v>
                </c:pt>
                <c:pt idx="83">
                  <c:v>-9.7270316662303458E-3</c:v>
                </c:pt>
                <c:pt idx="84">
                  <c:v>5.2631133069610314E-2</c:v>
                </c:pt>
                <c:pt idx="85">
                  <c:v>2.8787741382860332E-2</c:v>
                </c:pt>
                <c:pt idx="86">
                  <c:v>4.5402757604199984E-2</c:v>
                </c:pt>
                <c:pt idx="87">
                  <c:v>-1.8818698666098754E-3</c:v>
                </c:pt>
                <c:pt idx="88">
                  <c:v>-5.0451397188520097E-2</c:v>
                </c:pt>
                <c:pt idx="89">
                  <c:v>5.4599391637797368E-3</c:v>
                </c:pt>
                <c:pt idx="90">
                  <c:v>-8.4209190852604365E-3</c:v>
                </c:pt>
                <c:pt idx="91">
                  <c:v>2.4806877893829515E-2</c:v>
                </c:pt>
                <c:pt idx="92">
                  <c:v>-5.7455517995049554E-2</c:v>
                </c:pt>
                <c:pt idx="93">
                  <c:v>-4.1495195362550419E-2</c:v>
                </c:pt>
                <c:pt idx="94">
                  <c:v>-2.0416127112480531E-2</c:v>
                </c:pt>
                <c:pt idx="95">
                  <c:v>3.033884454061031E-2</c:v>
                </c:pt>
                <c:pt idx="96">
                  <c:v>8.7032091921406263E-3</c:v>
                </c:pt>
                <c:pt idx="97">
                  <c:v>-5.3306917927000264E-2</c:v>
                </c:pt>
                <c:pt idx="98">
                  <c:v>7.0967490883298012E-3</c:v>
                </c:pt>
                <c:pt idx="99">
                  <c:v>-3.3333552312139858E-2</c:v>
                </c:pt>
                <c:pt idx="100">
                  <c:v>-5.0432167732640032E-2</c:v>
                </c:pt>
                <c:pt idx="101">
                  <c:v>-8.5911579111670022E-2</c:v>
                </c:pt>
                <c:pt idx="102">
                  <c:v>-6.5244366803149489E-2</c:v>
                </c:pt>
                <c:pt idx="103">
                  <c:v>-1.4783647336059857E-2</c:v>
                </c:pt>
                <c:pt idx="104">
                  <c:v>-8.5044424806399732E-3</c:v>
                </c:pt>
                <c:pt idx="105">
                  <c:v>1.5614146984201938E-3</c:v>
                </c:pt>
                <c:pt idx="106">
                  <c:v>-2.0270883708230159E-2</c:v>
                </c:pt>
                <c:pt idx="107">
                  <c:v>-1.1919248452779918E-2</c:v>
                </c:pt>
                <c:pt idx="108">
                  <c:v>-3.8027205327050062E-2</c:v>
                </c:pt>
                <c:pt idx="109">
                  <c:v>-3.9760934987439711E-2</c:v>
                </c:pt>
                <c:pt idx="110">
                  <c:v>-8.0175418638599893E-2</c:v>
                </c:pt>
                <c:pt idx="111">
                  <c:v>-5.0957003322950278E-2</c:v>
                </c:pt>
                <c:pt idx="112">
                  <c:v>-1.7112678294539663E-2</c:v>
                </c:pt>
                <c:pt idx="113">
                  <c:v>1.3535100207220374E-2</c:v>
                </c:pt>
                <c:pt idx="114">
                  <c:v>-2.3664920005749934E-2</c:v>
                </c:pt>
                <c:pt idx="115">
                  <c:v>-2.9214608730990577E-2</c:v>
                </c:pt>
                <c:pt idx="116">
                  <c:v>-3.3595503124099757E-2</c:v>
                </c:pt>
                <c:pt idx="117">
                  <c:v>-9.7250158357802263E-3</c:v>
                </c:pt>
                <c:pt idx="118">
                  <c:v>-2.487239186111001E-2</c:v>
                </c:pt>
                <c:pt idx="119">
                  <c:v>2.1173458081300112E-2</c:v>
                </c:pt>
                <c:pt idx="120">
                  <c:v>-1.7119303594330226E-2</c:v>
                </c:pt>
                <c:pt idx="121">
                  <c:v>1.4922816753359491E-2</c:v>
                </c:pt>
                <c:pt idx="122">
                  <c:v>-8.8759746539706086E-3</c:v>
                </c:pt>
                <c:pt idx="123">
                  <c:v>-1.5608699914209545E-2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036224"/>
        <c:axId val="314037760"/>
      </c:barChart>
      <c:dateAx>
        <c:axId val="314036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314037760"/>
        <c:crosses val="autoZero"/>
        <c:auto val="1"/>
        <c:lblOffset val="100"/>
        <c:baseTimeUnit val="months"/>
        <c:majorUnit val="6"/>
        <c:majorTimeUnit val="months"/>
      </c:dateAx>
      <c:valAx>
        <c:axId val="3140377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14036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'720-740'!$C$3</c:f>
              <c:strCache>
                <c:ptCount val="1"/>
                <c:pt idx="0">
                  <c:v>Big Bank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'720-740'!$B$4:$B$127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'720-740'!$C$4:$C$126</c:f>
              <c:numCache>
                <c:formatCode>0.00</c:formatCode>
                <c:ptCount val="123"/>
                <c:pt idx="0">
                  <c:v>4.0689393591656504</c:v>
                </c:pt>
                <c:pt idx="1">
                  <c:v>3.9976524486584601</c:v>
                </c:pt>
                <c:pt idx="2">
                  <c:v>3.97046600040062</c:v>
                </c:pt>
                <c:pt idx="3">
                  <c:v>4.1857772515696601</c:v>
                </c:pt>
                <c:pt idx="4">
                  <c:v>4.2958063329140002</c:v>
                </c:pt>
                <c:pt idx="5">
                  <c:v>4.3368509144195402</c:v>
                </c:pt>
                <c:pt idx="6">
                  <c:v>4.4254316423178803</c:v>
                </c:pt>
                <c:pt idx="7">
                  <c:v>4.43335328399401</c:v>
                </c:pt>
                <c:pt idx="8">
                  <c:v>4.4820873699267203</c:v>
                </c:pt>
                <c:pt idx="9">
                  <c:v>4.4507518381226703</c:v>
                </c:pt>
                <c:pt idx="10">
                  <c:v>4.5076739593115596</c:v>
                </c:pt>
                <c:pt idx="11">
                  <c:v>4.6304775558386702</c:v>
                </c:pt>
                <c:pt idx="12">
                  <c:v>4.67145006934508</c:v>
                </c:pt>
                <c:pt idx="13">
                  <c:v>4.6416755834097003</c:v>
                </c:pt>
                <c:pt idx="14">
                  <c:v>4.7285457104419804</c:v>
                </c:pt>
                <c:pt idx="15">
                  <c:v>4.7102598455324296</c:v>
                </c:pt>
                <c:pt idx="16">
                  <c:v>4.6029708100676903</c:v>
                </c:pt>
                <c:pt idx="17">
                  <c:v>4.5855443469827897</c:v>
                </c:pt>
                <c:pt idx="18">
                  <c:v>4.6746403637074501</c:v>
                </c:pt>
                <c:pt idx="19">
                  <c:v>4.6416736209021296</c:v>
                </c:pt>
                <c:pt idx="20">
                  <c:v>4.4624334410396003</c:v>
                </c:pt>
                <c:pt idx="21">
                  <c:v>4.1189687376384398</c:v>
                </c:pt>
                <c:pt idx="22">
                  <c:v>3.8684499724059802</c:v>
                </c:pt>
                <c:pt idx="23">
                  <c:v>3.8001340988241998</c:v>
                </c:pt>
                <c:pt idx="24">
                  <c:v>3.8128568174961002</c:v>
                </c:pt>
                <c:pt idx="25">
                  <c:v>3.7962667328789701</c:v>
                </c:pt>
                <c:pt idx="26">
                  <c:v>3.75190639957412</c:v>
                </c:pt>
                <c:pt idx="27">
                  <c:v>3.6747127603708698</c:v>
                </c:pt>
                <c:pt idx="28">
                  <c:v>3.6739784771944199</c:v>
                </c:pt>
                <c:pt idx="29">
                  <c:v>3.7092114441848301</c:v>
                </c:pt>
                <c:pt idx="30">
                  <c:v>3.7816307250292001</c:v>
                </c:pt>
                <c:pt idx="31">
                  <c:v>3.85813493498723</c:v>
                </c:pt>
                <c:pt idx="32">
                  <c:v>3.8561537915181598</c:v>
                </c:pt>
                <c:pt idx="33">
                  <c:v>3.9615395172642001</c:v>
                </c:pt>
                <c:pt idx="34">
                  <c:v>4.0560861088501099</c:v>
                </c:pt>
                <c:pt idx="35">
                  <c:v>4.2229438029429502</c:v>
                </c:pt>
                <c:pt idx="36">
                  <c:v>4.2242301782795497</c:v>
                </c:pt>
                <c:pt idx="37">
                  <c:v>4.1620115578010397</c:v>
                </c:pt>
                <c:pt idx="38">
                  <c:v>4.1614549776736496</c:v>
                </c:pt>
                <c:pt idx="39">
                  <c:v>4.24191259357237</c:v>
                </c:pt>
                <c:pt idx="40">
                  <c:v>4.3220030191500598</c:v>
                </c:pt>
                <c:pt idx="41">
                  <c:v>4.3164000211197502</c:v>
                </c:pt>
                <c:pt idx="42">
                  <c:v>4.3517907750955702</c:v>
                </c:pt>
                <c:pt idx="43">
                  <c:v>4.4936991444587298</c:v>
                </c:pt>
                <c:pt idx="44">
                  <c:v>4.7513287199012098</c:v>
                </c:pt>
                <c:pt idx="45">
                  <c:v>4.8443902053957197</c:v>
                </c:pt>
                <c:pt idx="46">
                  <c:v>4.9274514094050899</c:v>
                </c:pt>
                <c:pt idx="47">
                  <c:v>5.0862044938779798</c:v>
                </c:pt>
                <c:pt idx="48">
                  <c:v>5.1135709914424803</c:v>
                </c:pt>
                <c:pt idx="49">
                  <c:v>5.0463244306028896</c:v>
                </c:pt>
                <c:pt idx="50">
                  <c:v>4.8590088635726802</c:v>
                </c:pt>
                <c:pt idx="51">
                  <c:v>4.6867208007411403</c:v>
                </c:pt>
                <c:pt idx="52">
                  <c:v>4.5060439423599803</c:v>
                </c:pt>
                <c:pt idx="53">
                  <c:v>4.4668878031957302</c:v>
                </c:pt>
                <c:pt idx="54">
                  <c:v>4.5632678855802196</c:v>
                </c:pt>
                <c:pt idx="55">
                  <c:v>4.62159046475906</c:v>
                </c:pt>
                <c:pt idx="56">
                  <c:v>4.7337347464183299</c:v>
                </c:pt>
                <c:pt idx="57">
                  <c:v>4.8841833025523602</c:v>
                </c:pt>
                <c:pt idx="58">
                  <c:v>5.0912604595516804</c:v>
                </c:pt>
                <c:pt idx="59">
                  <c:v>5.1929510813334598</c:v>
                </c:pt>
                <c:pt idx="60">
                  <c:v>5.1906864043967502</c:v>
                </c:pt>
                <c:pt idx="61">
                  <c:v>5.1334162100121601</c:v>
                </c:pt>
                <c:pt idx="62">
                  <c:v>5.1218708199179099</c:v>
                </c:pt>
                <c:pt idx="63">
                  <c:v>5.0451855856974497</c:v>
                </c:pt>
                <c:pt idx="64">
                  <c:v>5.0541375220457798</c:v>
                </c:pt>
                <c:pt idx="65">
                  <c:v>5.0606226136860402</c:v>
                </c:pt>
                <c:pt idx="66">
                  <c:v>5.0792960555141597</c:v>
                </c:pt>
                <c:pt idx="67">
                  <c:v>5.0794393502392197</c:v>
                </c:pt>
                <c:pt idx="68">
                  <c:v>5.0403811867557602</c:v>
                </c:pt>
                <c:pt idx="69">
                  <c:v>4.95289064212876</c:v>
                </c:pt>
                <c:pt idx="70">
                  <c:v>4.8531831313021501</c:v>
                </c:pt>
                <c:pt idx="71">
                  <c:v>4.8013301791594998</c:v>
                </c:pt>
                <c:pt idx="72">
                  <c:v>4.83085603281208</c:v>
                </c:pt>
                <c:pt idx="73">
                  <c:v>4.9015203325948198</c:v>
                </c:pt>
                <c:pt idx="74">
                  <c:v>4.8974683582280196</c:v>
                </c:pt>
                <c:pt idx="75">
                  <c:v>4.9541864872638604</c:v>
                </c:pt>
                <c:pt idx="76">
                  <c:v>5.2947982635891897</c:v>
                </c:pt>
                <c:pt idx="77">
                  <c:v>6.0649705930269899</c:v>
                </c:pt>
                <c:pt idx="78">
                  <c:v>5.9900204688987104</c:v>
                </c:pt>
                <c:pt idx="79">
                  <c:v>6.1484174192605998</c:v>
                </c:pt>
                <c:pt idx="80">
                  <c:v>6.4856183951072603</c:v>
                </c:pt>
                <c:pt idx="81">
                  <c:v>6.3591256852606399</c:v>
                </c:pt>
                <c:pt idx="82">
                  <c:v>6.0484189133711102</c:v>
                </c:pt>
                <c:pt idx="83">
                  <c:v>5.9490656753503997</c:v>
                </c:pt>
                <c:pt idx="84">
                  <c:v>5.8709125862445397</c:v>
                </c:pt>
                <c:pt idx="85">
                  <c:v>5.82697218078021</c:v>
                </c:pt>
                <c:pt idx="86">
                  <c:v>5.6725998227856396</c:v>
                </c:pt>
                <c:pt idx="87">
                  <c:v>5.9368201254584196</c:v>
                </c:pt>
                <c:pt idx="88">
                  <c:v>6.1621115539224602</c:v>
                </c:pt>
                <c:pt idx="89">
                  <c:v>6.3670015649257197</c:v>
                </c:pt>
                <c:pt idx="90">
                  <c:v>6.4626502175327998</c:v>
                </c:pt>
                <c:pt idx="91">
                  <c:v>6.5736722230756799</c:v>
                </c:pt>
                <c:pt idx="92">
                  <c:v>6.68794966830552</c:v>
                </c:pt>
                <c:pt idx="93">
                  <c:v>6.6878406795120302</c:v>
                </c:pt>
                <c:pt idx="94">
                  <c:v>6.44762831174772</c:v>
                </c:pt>
                <c:pt idx="95">
                  <c:v>6.2879742061793698</c:v>
                </c:pt>
                <c:pt idx="96">
                  <c:v>6.2124059144915798</c:v>
                </c:pt>
                <c:pt idx="97">
                  <c:v>6.23761516654523</c:v>
                </c:pt>
                <c:pt idx="98">
                  <c:v>6.3132558185377601</c:v>
                </c:pt>
                <c:pt idx="99">
                  <c:v>6.1846410401025196</c:v>
                </c:pt>
                <c:pt idx="100">
                  <c:v>6.1745789167584499</c:v>
                </c:pt>
                <c:pt idx="101">
                  <c:v>6.3086560461892303</c:v>
                </c:pt>
                <c:pt idx="102">
                  <c:v>6.3835165775400098</c:v>
                </c:pt>
                <c:pt idx="103">
                  <c:v>6.5397896504485598</c:v>
                </c:pt>
                <c:pt idx="104">
                  <c:v>6.7270773617175603</c:v>
                </c:pt>
                <c:pt idx="105">
                  <c:v>6.7861004506661304</c:v>
                </c:pt>
                <c:pt idx="106">
                  <c:v>6.7377690562517101</c:v>
                </c:pt>
                <c:pt idx="107">
                  <c:v>6.6115562688266802</c:v>
                </c:pt>
                <c:pt idx="108">
                  <c:v>6.4459277178819496</c:v>
                </c:pt>
                <c:pt idx="109">
                  <c:v>6.3128981059995501</c:v>
                </c:pt>
                <c:pt idx="110">
                  <c:v>6.2157144905538297</c:v>
                </c:pt>
                <c:pt idx="111">
                  <c:v>6.2357266069911601</c:v>
                </c:pt>
                <c:pt idx="112">
                  <c:v>6.3473811801315003</c:v>
                </c:pt>
                <c:pt idx="113">
                  <c:v>6.1673540956550603</c:v>
                </c:pt>
                <c:pt idx="114">
                  <c:v>5.9141874379719903</c:v>
                </c:pt>
                <c:pt idx="115">
                  <c:v>5.8543116543895799</c:v>
                </c:pt>
                <c:pt idx="116">
                  <c:v>5.82241982647023</c:v>
                </c:pt>
                <c:pt idx="117">
                  <c:v>5.6954046826918798</c:v>
                </c:pt>
                <c:pt idx="118">
                  <c:v>5.7168911097827904</c:v>
                </c:pt>
                <c:pt idx="119">
                  <c:v>5.9000072008811104</c:v>
                </c:pt>
                <c:pt idx="120">
                  <c:v>5.9681465165062102</c:v>
                </c:pt>
                <c:pt idx="121">
                  <c:v>5.7242981301406601</c:v>
                </c:pt>
                <c:pt idx="122">
                  <c:v>5.6966162120592401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'720-740'!$D$3</c:f>
              <c:strCache>
                <c:ptCount val="1"/>
                <c:pt idx="0">
                  <c:v>Big Non-Bank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'720-740'!$B$4:$B$127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'720-740'!$D$4:$D$126</c:f>
              <c:numCache>
                <c:formatCode>General</c:formatCode>
                <c:ptCount val="123"/>
                <c:pt idx="0">
                  <c:v>4.0719586588286099</c:v>
                </c:pt>
                <c:pt idx="1">
                  <c:v>4.0313600244512697</c:v>
                </c:pt>
                <c:pt idx="2">
                  <c:v>4.0348045515276798</c:v>
                </c:pt>
                <c:pt idx="3">
                  <c:v>4.1603901773313199</c:v>
                </c:pt>
                <c:pt idx="4">
                  <c:v>4.29626321133735</c:v>
                </c:pt>
                <c:pt idx="5">
                  <c:v>4.3096221072099699</c:v>
                </c:pt>
                <c:pt idx="6">
                  <c:v>4.4544775134761201</c:v>
                </c:pt>
                <c:pt idx="7">
                  <c:v>4.47837851549001</c:v>
                </c:pt>
                <c:pt idx="8">
                  <c:v>4.5098579289704901</c:v>
                </c:pt>
                <c:pt idx="9">
                  <c:v>4.4958143533653496</c:v>
                </c:pt>
                <c:pt idx="10">
                  <c:v>4.5322410201994696</c:v>
                </c:pt>
                <c:pt idx="11">
                  <c:v>4.6320107480218997</c:v>
                </c:pt>
                <c:pt idx="12">
                  <c:v>4.6738707472454397</c:v>
                </c:pt>
                <c:pt idx="13">
                  <c:v>4.6972976843399001</c:v>
                </c:pt>
                <c:pt idx="14">
                  <c:v>4.7474262999647099</c:v>
                </c:pt>
                <c:pt idx="15">
                  <c:v>4.7351571841974804</c:v>
                </c:pt>
                <c:pt idx="16">
                  <c:v>4.6177308088013103</c:v>
                </c:pt>
                <c:pt idx="17">
                  <c:v>4.5742505732750001</c:v>
                </c:pt>
                <c:pt idx="18">
                  <c:v>4.66396996329701</c:v>
                </c:pt>
                <c:pt idx="19">
                  <c:v>4.7062133797163801</c:v>
                </c:pt>
                <c:pt idx="20">
                  <c:v>4.5584944166345096</c:v>
                </c:pt>
                <c:pt idx="21">
                  <c:v>4.2848380957352301</c:v>
                </c:pt>
                <c:pt idx="22">
                  <c:v>3.9094243014008501</c:v>
                </c:pt>
                <c:pt idx="23">
                  <c:v>3.7620643916695902</c:v>
                </c:pt>
                <c:pt idx="24">
                  <c:v>3.8290037998644002</c:v>
                </c:pt>
                <c:pt idx="25">
                  <c:v>3.8052897825242402</c:v>
                </c:pt>
                <c:pt idx="26">
                  <c:v>3.7308096511395199</c:v>
                </c:pt>
                <c:pt idx="27">
                  <c:v>3.60014636592464</c:v>
                </c:pt>
                <c:pt idx="28">
                  <c:v>3.6156120301058601</c:v>
                </c:pt>
                <c:pt idx="29">
                  <c:v>3.65069482603315</c:v>
                </c:pt>
                <c:pt idx="30">
                  <c:v>3.7299985361179</c:v>
                </c:pt>
                <c:pt idx="31">
                  <c:v>3.8130126157432098</c:v>
                </c:pt>
                <c:pt idx="32">
                  <c:v>3.8413669662350398</c:v>
                </c:pt>
                <c:pt idx="33">
                  <c:v>3.8900717900123398</c:v>
                </c:pt>
                <c:pt idx="34">
                  <c:v>4.03634091987613</c:v>
                </c:pt>
                <c:pt idx="35">
                  <c:v>4.1271152608226904</c:v>
                </c:pt>
                <c:pt idx="36">
                  <c:v>4.1548872677278599</c:v>
                </c:pt>
                <c:pt idx="37">
                  <c:v>4.1441064432031398</c:v>
                </c:pt>
                <c:pt idx="38">
                  <c:v>4.1455110258129597</c:v>
                </c:pt>
                <c:pt idx="39">
                  <c:v>4.1966378860258597</c:v>
                </c:pt>
                <c:pt idx="40">
                  <c:v>4.3132290953588202</c:v>
                </c:pt>
                <c:pt idx="41">
                  <c:v>4.2494279574347003</c:v>
                </c:pt>
                <c:pt idx="42">
                  <c:v>4.3590115972600501</c:v>
                </c:pt>
                <c:pt idx="43">
                  <c:v>4.4692320389657896</c:v>
                </c:pt>
                <c:pt idx="44">
                  <c:v>4.7682766893492499</c:v>
                </c:pt>
                <c:pt idx="45">
                  <c:v>4.7478207371416996</c:v>
                </c:pt>
                <c:pt idx="46">
                  <c:v>4.8540062875858103</c:v>
                </c:pt>
                <c:pt idx="47">
                  <c:v>5.1320761173384204</c:v>
                </c:pt>
                <c:pt idx="48">
                  <c:v>5.1404464653703004</c:v>
                </c:pt>
                <c:pt idx="49">
                  <c:v>5.1431101979326899</c:v>
                </c:pt>
                <c:pt idx="50">
                  <c:v>4.9838555740272001</c:v>
                </c:pt>
                <c:pt idx="51">
                  <c:v>4.8381941388271796</c:v>
                </c:pt>
                <c:pt idx="52">
                  <c:v>4.5285699349956499</c:v>
                </c:pt>
                <c:pt idx="53">
                  <c:v>4.41486435815</c:v>
                </c:pt>
                <c:pt idx="54">
                  <c:v>4.5248692631361402</c:v>
                </c:pt>
                <c:pt idx="55">
                  <c:v>4.6459202205859498</c:v>
                </c:pt>
                <c:pt idx="56">
                  <c:v>4.6956358076668696</c:v>
                </c:pt>
                <c:pt idx="57">
                  <c:v>4.7923556922189396</c:v>
                </c:pt>
                <c:pt idx="58">
                  <c:v>5.15253596141266</c:v>
                </c:pt>
                <c:pt idx="59">
                  <c:v>5.2257018601174998</c:v>
                </c:pt>
                <c:pt idx="60">
                  <c:v>5.18999616870392</c:v>
                </c:pt>
                <c:pt idx="61">
                  <c:v>5.15649723080237</c:v>
                </c:pt>
                <c:pt idx="62">
                  <c:v>5.1392350295749196</c:v>
                </c:pt>
                <c:pt idx="63">
                  <c:v>5.0826725728041504</c:v>
                </c:pt>
                <c:pt idx="64">
                  <c:v>5.01553747306742</c:v>
                </c:pt>
                <c:pt idx="65">
                  <c:v>5.0692140548758804</c:v>
                </c:pt>
                <c:pt idx="66">
                  <c:v>5.1110662126140003</c:v>
                </c:pt>
                <c:pt idx="67">
                  <c:v>5.2066374282189702</c:v>
                </c:pt>
                <c:pt idx="68">
                  <c:v>5.2410154532508004</c:v>
                </c:pt>
                <c:pt idx="69">
                  <c:v>5.1608810161246303</c:v>
                </c:pt>
                <c:pt idx="70">
                  <c:v>4.9337656945362198</c:v>
                </c:pt>
                <c:pt idx="71">
                  <c:v>4.8296981876890097</c:v>
                </c:pt>
                <c:pt idx="72">
                  <c:v>4.7321125394413901</c:v>
                </c:pt>
                <c:pt idx="73">
                  <c:v>5.0453954113090296</c:v>
                </c:pt>
                <c:pt idx="74">
                  <c:v>4.8706495255193598</c:v>
                </c:pt>
                <c:pt idx="75">
                  <c:v>4.8809365572121903</c:v>
                </c:pt>
                <c:pt idx="76">
                  <c:v>5.1927871563640897</c:v>
                </c:pt>
                <c:pt idx="77">
                  <c:v>6.3089393939393901</c:v>
                </c:pt>
                <c:pt idx="78">
                  <c:v>6.2426661779757104</c:v>
                </c:pt>
                <c:pt idx="79">
                  <c:v>6.2653710219975798</c:v>
                </c:pt>
                <c:pt idx="80">
                  <c:v>6.77872078231833</c:v>
                </c:pt>
                <c:pt idx="81">
                  <c:v>6.4961146375177297</c:v>
                </c:pt>
                <c:pt idx="82">
                  <c:v>6.74425361570247</c:v>
                </c:pt>
                <c:pt idx="83">
                  <c:v>6.13041500949483</c:v>
                </c:pt>
                <c:pt idx="84">
                  <c:v>5.8818859715578196</c:v>
                </c:pt>
                <c:pt idx="85">
                  <c:v>6.0711712797387598</c:v>
                </c:pt>
                <c:pt idx="86">
                  <c:v>5.9094713572857396</c:v>
                </c:pt>
                <c:pt idx="87">
                  <c:v>6.2657227994725702</c:v>
                </c:pt>
                <c:pt idx="88">
                  <c:v>6.2047273506931599</c:v>
                </c:pt>
                <c:pt idx="89">
                  <c:v>6.4455360585926096</c:v>
                </c:pt>
                <c:pt idx="90">
                  <c:v>6.4460130074284097</c:v>
                </c:pt>
                <c:pt idx="91">
                  <c:v>6.4806838179321797</c:v>
                </c:pt>
                <c:pt idx="92">
                  <c:v>6.8480330658584396</c:v>
                </c:pt>
                <c:pt idx="93">
                  <c:v>6.7909830074830202</c:v>
                </c:pt>
                <c:pt idx="94">
                  <c:v>6.5061749935438096</c:v>
                </c:pt>
                <c:pt idx="95">
                  <c:v>6.4476167158406197</c:v>
                </c:pt>
                <c:pt idx="96">
                  <c:v>6.2562115571055896</c:v>
                </c:pt>
                <c:pt idx="97">
                  <c:v>6.41565533980582</c:v>
                </c:pt>
                <c:pt idx="98">
                  <c:v>6.3135727478877799</c:v>
                </c:pt>
                <c:pt idx="99">
                  <c:v>6.4864569252648101</c:v>
                </c:pt>
                <c:pt idx="100">
                  <c:v>6.4846732601905899</c:v>
                </c:pt>
                <c:pt idx="101">
                  <c:v>6.5206353197789397</c:v>
                </c:pt>
                <c:pt idx="102">
                  <c:v>6.5009247962203398</c:v>
                </c:pt>
                <c:pt idx="103">
                  <c:v>6.6004411481018899</c:v>
                </c:pt>
                <c:pt idx="104">
                  <c:v>6.8959293262598997</c:v>
                </c:pt>
                <c:pt idx="105">
                  <c:v>6.8734356454199004</c:v>
                </c:pt>
                <c:pt idx="106">
                  <c:v>6.7120036389501596</c:v>
                </c:pt>
                <c:pt idx="107">
                  <c:v>6.9856142948480597</c:v>
                </c:pt>
                <c:pt idx="108">
                  <c:v>6.72159167680043</c:v>
                </c:pt>
                <c:pt idx="109">
                  <c:v>6.5683962038516297</c:v>
                </c:pt>
                <c:pt idx="110">
                  <c:v>6.5794126536369104</c:v>
                </c:pt>
                <c:pt idx="111">
                  <c:v>6.5631565273953001</c:v>
                </c:pt>
                <c:pt idx="112">
                  <c:v>6.7027050764620704</c:v>
                </c:pt>
                <c:pt idx="113">
                  <c:v>6.4531733183431497</c:v>
                </c:pt>
                <c:pt idx="114">
                  <c:v>5.98055583239789</c:v>
                </c:pt>
                <c:pt idx="115">
                  <c:v>6.2062093798403097</c:v>
                </c:pt>
                <c:pt idx="116">
                  <c:v>6.0950914691990397</c:v>
                </c:pt>
                <c:pt idx="117">
                  <c:v>5.9763357879472299</c:v>
                </c:pt>
                <c:pt idx="118">
                  <c:v>6.0711545112906897</c:v>
                </c:pt>
                <c:pt idx="119">
                  <c:v>6.0188668235951202</c:v>
                </c:pt>
                <c:pt idx="120">
                  <c:v>6.0742266642546996</c:v>
                </c:pt>
                <c:pt idx="121">
                  <c:v>5.9648053804427503</c:v>
                </c:pt>
                <c:pt idx="122">
                  <c:v>5.9041327318682804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'720-740'!$E$3</c:f>
              <c:strCache>
                <c:ptCount val="1"/>
                <c:pt idx="0">
                  <c:v>Small Lender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'720-740'!$B$4:$B$127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'720-740'!$E$4:$E$125</c:f>
              <c:numCache>
                <c:formatCode>General</c:formatCode>
                <c:ptCount val="122"/>
                <c:pt idx="0">
                  <c:v>3.97713138735201</c:v>
                </c:pt>
                <c:pt idx="1">
                  <c:v>3.9219230985515399</c:v>
                </c:pt>
                <c:pt idx="2">
                  <c:v>3.9101116946891401</c:v>
                </c:pt>
                <c:pt idx="3">
                  <c:v>4.0616224510773202</c:v>
                </c:pt>
                <c:pt idx="4">
                  <c:v>4.2035925329350299</c:v>
                </c:pt>
                <c:pt idx="5">
                  <c:v>4.24547163341082</c:v>
                </c:pt>
                <c:pt idx="6">
                  <c:v>4.36266314046786</c:v>
                </c:pt>
                <c:pt idx="7">
                  <c:v>4.3810720759169799</c:v>
                </c:pt>
                <c:pt idx="8">
                  <c:v>4.3867961308868697</c:v>
                </c:pt>
                <c:pt idx="9">
                  <c:v>4.4035912196688596</c:v>
                </c:pt>
                <c:pt idx="10">
                  <c:v>4.4398829908248096</c:v>
                </c:pt>
                <c:pt idx="11">
                  <c:v>4.5615067756429903</c:v>
                </c:pt>
                <c:pt idx="12">
                  <c:v>4.5867072940713403</c:v>
                </c:pt>
                <c:pt idx="13">
                  <c:v>4.5800211736701897</c:v>
                </c:pt>
                <c:pt idx="14">
                  <c:v>4.6251769295862903</c:v>
                </c:pt>
                <c:pt idx="15">
                  <c:v>4.6666769229860003</c:v>
                </c:pt>
                <c:pt idx="16">
                  <c:v>4.5276861139919902</c:v>
                </c:pt>
                <c:pt idx="17">
                  <c:v>4.4553409894740197</c:v>
                </c:pt>
                <c:pt idx="18">
                  <c:v>4.5991024139660599</c:v>
                </c:pt>
                <c:pt idx="19">
                  <c:v>4.6925873103717803</c:v>
                </c:pt>
                <c:pt idx="20">
                  <c:v>4.5221097863415096</c:v>
                </c:pt>
                <c:pt idx="21">
                  <c:v>4.2132551040084101</c:v>
                </c:pt>
                <c:pt idx="22">
                  <c:v>3.85865337276537</c:v>
                </c:pt>
                <c:pt idx="23">
                  <c:v>3.7173696208711</c:v>
                </c:pt>
                <c:pt idx="24">
                  <c:v>3.7766944812508201</c:v>
                </c:pt>
                <c:pt idx="25">
                  <c:v>3.7362667087817099</c:v>
                </c:pt>
                <c:pt idx="26">
                  <c:v>3.6440738703311002</c:v>
                </c:pt>
                <c:pt idx="27">
                  <c:v>3.5685381071400699</c:v>
                </c:pt>
                <c:pt idx="28">
                  <c:v>3.5514853983081598</c:v>
                </c:pt>
                <c:pt idx="29">
                  <c:v>3.5589988988784702</c:v>
                </c:pt>
                <c:pt idx="30">
                  <c:v>3.6321561803875602</c:v>
                </c:pt>
                <c:pt idx="31">
                  <c:v>3.7302332995987002</c:v>
                </c:pt>
                <c:pt idx="32">
                  <c:v>3.7650546115730301</c:v>
                </c:pt>
                <c:pt idx="33">
                  <c:v>3.8586885517722802</c:v>
                </c:pt>
                <c:pt idx="34">
                  <c:v>3.9854005126601701</c:v>
                </c:pt>
                <c:pt idx="35">
                  <c:v>4.0790577022444499</c:v>
                </c:pt>
                <c:pt idx="36">
                  <c:v>4.1002426486852297</c:v>
                </c:pt>
                <c:pt idx="37">
                  <c:v>4.0409267494320904</c:v>
                </c:pt>
                <c:pt idx="38">
                  <c:v>4.0478975932306902</c:v>
                </c:pt>
                <c:pt idx="39">
                  <c:v>4.14067326449545</c:v>
                </c:pt>
                <c:pt idx="40">
                  <c:v>4.2029500818676899</c:v>
                </c:pt>
                <c:pt idx="41">
                  <c:v>4.1968989041731799</c:v>
                </c:pt>
                <c:pt idx="42">
                  <c:v>4.2568355281352401</c:v>
                </c:pt>
                <c:pt idx="43">
                  <c:v>4.3721467352298697</c:v>
                </c:pt>
                <c:pt idx="44">
                  <c:v>4.6169836264769701</c:v>
                </c:pt>
                <c:pt idx="45">
                  <c:v>4.7634430385864599</c:v>
                </c:pt>
                <c:pt idx="46">
                  <c:v>4.8578892695632803</c:v>
                </c:pt>
                <c:pt idx="47">
                  <c:v>4.9746655987343598</c:v>
                </c:pt>
                <c:pt idx="48">
                  <c:v>4.98657502357407</c:v>
                </c:pt>
                <c:pt idx="49">
                  <c:v>5.0076603184377104</c:v>
                </c:pt>
                <c:pt idx="50">
                  <c:v>4.8635280911523404</c:v>
                </c:pt>
                <c:pt idx="51">
                  <c:v>4.6860354061875897</c:v>
                </c:pt>
                <c:pt idx="52">
                  <c:v>4.4712870485772704</c:v>
                </c:pt>
                <c:pt idx="53">
                  <c:v>4.3905111947707098</c:v>
                </c:pt>
                <c:pt idx="54">
                  <c:v>4.4457385281480803</c:v>
                </c:pt>
                <c:pt idx="55">
                  <c:v>4.5067790047825698</c:v>
                </c:pt>
                <c:pt idx="56">
                  <c:v>4.6261150227303398</c:v>
                </c:pt>
                <c:pt idx="57">
                  <c:v>4.7830777715130903</c:v>
                </c:pt>
                <c:pt idx="58">
                  <c:v>5.0003167718385599</c:v>
                </c:pt>
                <c:pt idx="59">
                  <c:v>5.1788543495760999</c:v>
                </c:pt>
                <c:pt idx="60">
                  <c:v>5.1537176584331696</c:v>
                </c:pt>
                <c:pt idx="61">
                  <c:v>5.1034148368661603</c:v>
                </c:pt>
                <c:pt idx="62">
                  <c:v>5.1248070318258598</c:v>
                </c:pt>
                <c:pt idx="63">
                  <c:v>5.0159530210018897</c:v>
                </c:pt>
                <c:pt idx="64">
                  <c:v>4.9632501085597696</c:v>
                </c:pt>
                <c:pt idx="65">
                  <c:v>5.0386489726051797</c:v>
                </c:pt>
                <c:pt idx="66">
                  <c:v>5.0933463421058596</c:v>
                </c:pt>
                <c:pt idx="67">
                  <c:v>5.2601486428783</c:v>
                </c:pt>
                <c:pt idx="68">
                  <c:v>5.2443473252374604</c:v>
                </c:pt>
                <c:pt idx="69">
                  <c:v>5.1367781373208299</c:v>
                </c:pt>
                <c:pt idx="70">
                  <c:v>4.9548477572333702</c:v>
                </c:pt>
                <c:pt idx="71">
                  <c:v>4.8762927677469801</c:v>
                </c:pt>
                <c:pt idx="72">
                  <c:v>4.9061086591673604</c:v>
                </c:pt>
                <c:pt idx="73">
                  <c:v>4.9618112606563001</c:v>
                </c:pt>
                <c:pt idx="74">
                  <c:v>4.9168539619839802</c:v>
                </c:pt>
                <c:pt idx="75">
                  <c:v>4.9044960873686003</c:v>
                </c:pt>
                <c:pt idx="76">
                  <c:v>5.3851185930571397</c:v>
                </c:pt>
                <c:pt idx="77">
                  <c:v>6.0465042807308897</c:v>
                </c:pt>
                <c:pt idx="78">
                  <c:v>5.9455455189351198</c:v>
                </c:pt>
                <c:pt idx="79">
                  <c:v>6.2270523177524097</c:v>
                </c:pt>
                <c:pt idx="80">
                  <c:v>6.5487943440293304</c:v>
                </c:pt>
                <c:pt idx="81">
                  <c:v>6.3851911659739802</c:v>
                </c:pt>
                <c:pt idx="82">
                  <c:v>6.0817121054058001</c:v>
                </c:pt>
                <c:pt idx="83">
                  <c:v>5.9845543707167197</c:v>
                </c:pt>
                <c:pt idx="84">
                  <c:v>5.8416271554180703</c:v>
                </c:pt>
                <c:pt idx="85">
                  <c:v>5.8010687746476099</c:v>
                </c:pt>
                <c:pt idx="86">
                  <c:v>5.6177361925074498</c:v>
                </c:pt>
                <c:pt idx="87">
                  <c:v>5.9391958753027501</c:v>
                </c:pt>
                <c:pt idx="88">
                  <c:v>6.1928349065561896</c:v>
                </c:pt>
                <c:pt idx="89">
                  <c:v>6.3312913191860698</c:v>
                </c:pt>
                <c:pt idx="90">
                  <c:v>6.4565271556229398</c:v>
                </c:pt>
                <c:pt idx="91">
                  <c:v>6.5510210587520801</c:v>
                </c:pt>
                <c:pt idx="92">
                  <c:v>6.7363018632088698</c:v>
                </c:pt>
                <c:pt idx="93">
                  <c:v>6.7185306976194301</c:v>
                </c:pt>
                <c:pt idx="94">
                  <c:v>6.4285620997334796</c:v>
                </c:pt>
                <c:pt idx="95">
                  <c:v>6.2500473521100499</c:v>
                </c:pt>
                <c:pt idx="96">
                  <c:v>6.2010581096000097</c:v>
                </c:pt>
                <c:pt idx="97">
                  <c:v>6.2839219804860296</c:v>
                </c:pt>
                <c:pt idx="98">
                  <c:v>6.3010042806805204</c:v>
                </c:pt>
                <c:pt idx="99">
                  <c:v>6.22149034510291</c:v>
                </c:pt>
                <c:pt idx="100">
                  <c:v>6.2356316093067399</c:v>
                </c:pt>
                <c:pt idx="101">
                  <c:v>6.4160889543961099</c:v>
                </c:pt>
                <c:pt idx="102">
                  <c:v>6.4350899196240796</c:v>
                </c:pt>
                <c:pt idx="103">
                  <c:v>6.5688917410928198</c:v>
                </c:pt>
                <c:pt idx="104">
                  <c:v>6.7557135558889403</c:v>
                </c:pt>
                <c:pt idx="105">
                  <c:v>6.78851696647176</c:v>
                </c:pt>
                <c:pt idx="106">
                  <c:v>6.7323401461611097</c:v>
                </c:pt>
                <c:pt idx="107">
                  <c:v>6.5945754003893899</c:v>
                </c:pt>
                <c:pt idx="108">
                  <c:v>6.4837690505805501</c:v>
                </c:pt>
                <c:pt idx="109">
                  <c:v>6.3244241649132098</c:v>
                </c:pt>
                <c:pt idx="110">
                  <c:v>6.3133519870323198</c:v>
                </c:pt>
                <c:pt idx="111">
                  <c:v>6.3020381714755302</c:v>
                </c:pt>
                <c:pt idx="112">
                  <c:v>6.3688659512085097</c:v>
                </c:pt>
                <c:pt idx="113">
                  <c:v>6.1792715631400998</c:v>
                </c:pt>
                <c:pt idx="114">
                  <c:v>5.9235117354922897</c:v>
                </c:pt>
                <c:pt idx="115">
                  <c:v>5.8798681255656797</c:v>
                </c:pt>
                <c:pt idx="116">
                  <c:v>5.8263223297909201</c:v>
                </c:pt>
                <c:pt idx="117">
                  <c:v>5.6918948960706102</c:v>
                </c:pt>
                <c:pt idx="118">
                  <c:v>5.7186343846975598</c:v>
                </c:pt>
                <c:pt idx="119">
                  <c:v>5.8804977991941501</c:v>
                </c:pt>
                <c:pt idx="120">
                  <c:v>5.9686410005855501</c:v>
                </c:pt>
                <c:pt idx="121">
                  <c:v>5.74786663541341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377216"/>
        <c:axId val="364378752"/>
      </c:lineChart>
      <c:dateAx>
        <c:axId val="36437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4378752"/>
        <c:crosses val="autoZero"/>
        <c:auto val="1"/>
        <c:lblOffset val="100"/>
        <c:baseTimeUnit val="months"/>
        <c:majorUnit val="6"/>
        <c:majorTimeUnit val="months"/>
      </c:dateAx>
      <c:valAx>
        <c:axId val="364378752"/>
        <c:scaling>
          <c:orientation val="minMax"/>
          <c:min val="3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643772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v>Bank vs Non-Bank</c:v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numRef>
              <c:f>'720-740'!$B$4:$B$127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'720-740'!$F$4:$F$127</c:f>
              <c:numCache>
                <c:formatCode>0.00</c:formatCode>
                <c:ptCount val="124"/>
                <c:pt idx="0">
                  <c:v>-3.0192996629594404E-3</c:v>
                </c:pt>
                <c:pt idx="1">
                  <c:v>-3.3707575792809585E-2</c:v>
                </c:pt>
                <c:pt idx="2">
                  <c:v>-6.4338551127059773E-2</c:v>
                </c:pt>
                <c:pt idx="3">
                  <c:v>2.538707423834019E-2</c:v>
                </c:pt>
                <c:pt idx="4">
                  <c:v>-4.5687842334984907E-4</c:v>
                </c:pt>
                <c:pt idx="5">
                  <c:v>2.7228807209570327E-2</c:v>
                </c:pt>
                <c:pt idx="6">
                  <c:v>-2.9045871158239756E-2</c:v>
                </c:pt>
                <c:pt idx="7">
                  <c:v>-4.5025231496000018E-2</c:v>
                </c:pt>
                <c:pt idx="8">
                  <c:v>-2.7770559043769794E-2</c:v>
                </c:pt>
                <c:pt idx="9">
                  <c:v>-4.5062515242679346E-2</c:v>
                </c:pt>
                <c:pt idx="10">
                  <c:v>-2.4567060887910053E-2</c:v>
                </c:pt>
                <c:pt idx="11">
                  <c:v>-1.5331921832295592E-3</c:v>
                </c:pt>
                <c:pt idx="12">
                  <c:v>-2.4206779003597134E-3</c:v>
                </c:pt>
                <c:pt idx="13">
                  <c:v>-5.5622100930199814E-2</c:v>
                </c:pt>
                <c:pt idx="14">
                  <c:v>-1.888058952272953E-2</c:v>
                </c:pt>
                <c:pt idx="15">
                  <c:v>-2.4897338665050839E-2</c:v>
                </c:pt>
                <c:pt idx="16">
                  <c:v>-1.4759998733619994E-2</c:v>
                </c:pt>
                <c:pt idx="17">
                  <c:v>1.1293773707789612E-2</c:v>
                </c:pt>
                <c:pt idx="18">
                  <c:v>1.0670400410440095E-2</c:v>
                </c:pt>
                <c:pt idx="19">
                  <c:v>-6.4539758814250447E-2</c:v>
                </c:pt>
                <c:pt idx="20">
                  <c:v>-9.6060975594909337E-2</c:v>
                </c:pt>
                <c:pt idx="21">
                  <c:v>-0.16586935809679026</c:v>
                </c:pt>
                <c:pt idx="22">
                  <c:v>-4.0974328994869857E-2</c:v>
                </c:pt>
                <c:pt idx="23">
                  <c:v>3.8069707154609667E-2</c:v>
                </c:pt>
                <c:pt idx="24">
                  <c:v>-1.6146982368300034E-2</c:v>
                </c:pt>
                <c:pt idx="25">
                  <c:v>-9.0230496452701203E-3</c:v>
                </c:pt>
                <c:pt idx="26">
                  <c:v>2.1096748434600077E-2</c:v>
                </c:pt>
                <c:pt idx="27">
                  <c:v>7.4566394446229811E-2</c:v>
                </c:pt>
                <c:pt idx="28">
                  <c:v>5.836644708855987E-2</c:v>
                </c:pt>
                <c:pt idx="29">
                  <c:v>5.8516618151680078E-2</c:v>
                </c:pt>
                <c:pt idx="30">
                  <c:v>5.1632188911300059E-2</c:v>
                </c:pt>
                <c:pt idx="31">
                  <c:v>4.5122319244020215E-2</c:v>
                </c:pt>
                <c:pt idx="32">
                  <c:v>1.4786825283120031E-2</c:v>
                </c:pt>
                <c:pt idx="33">
                  <c:v>7.1467727251860236E-2</c:v>
                </c:pt>
                <c:pt idx="34">
                  <c:v>1.9745188973979921E-2</c:v>
                </c:pt>
                <c:pt idx="35">
                  <c:v>9.5828542120259819E-2</c:v>
                </c:pt>
                <c:pt idx="36">
                  <c:v>6.934291055168984E-2</c:v>
                </c:pt>
                <c:pt idx="37">
                  <c:v>1.7905114597899896E-2</c:v>
                </c:pt>
                <c:pt idx="38">
                  <c:v>1.5943951860689864E-2</c:v>
                </c:pt>
                <c:pt idx="39">
                  <c:v>4.5274707546510307E-2</c:v>
                </c:pt>
                <c:pt idx="40">
                  <c:v>8.7739237912396462E-3</c:v>
                </c:pt>
                <c:pt idx="41">
                  <c:v>6.6972063685049932E-2</c:v>
                </c:pt>
                <c:pt idx="42">
                  <c:v>-7.2208221644798343E-3</c:v>
                </c:pt>
                <c:pt idx="43">
                  <c:v>2.4467105492940178E-2</c:v>
                </c:pt>
                <c:pt idx="44">
                  <c:v>-1.6947969448040112E-2</c:v>
                </c:pt>
                <c:pt idx="45">
                  <c:v>9.656946825402013E-2</c:v>
                </c:pt>
                <c:pt idx="46">
                  <c:v>7.3445121819279535E-2</c:v>
                </c:pt>
                <c:pt idx="47">
                  <c:v>-4.5871623460440603E-2</c:v>
                </c:pt>
                <c:pt idx="48">
                  <c:v>-2.6875473927820082E-2</c:v>
                </c:pt>
                <c:pt idx="49">
                  <c:v>-9.6785767329800265E-2</c:v>
                </c:pt>
                <c:pt idx="50">
                  <c:v>-0.12484671045451989</c:v>
                </c:pt>
                <c:pt idx="51">
                  <c:v>-0.15147333808603936</c:v>
                </c:pt>
                <c:pt idx="52">
                  <c:v>-2.2525992635669567E-2</c:v>
                </c:pt>
                <c:pt idx="53">
                  <c:v>5.2023445045730199E-2</c:v>
                </c:pt>
                <c:pt idx="54">
                  <c:v>3.8398622444079322E-2</c:v>
                </c:pt>
                <c:pt idx="55">
                  <c:v>-2.4329755826889787E-2</c:v>
                </c:pt>
                <c:pt idx="56">
                  <c:v>3.809893875146031E-2</c:v>
                </c:pt>
                <c:pt idx="57">
                  <c:v>9.1827610333420573E-2</c:v>
                </c:pt>
                <c:pt idx="58">
                  <c:v>-6.1275501860979631E-2</c:v>
                </c:pt>
                <c:pt idx="59">
                  <c:v>-3.275077878403998E-2</c:v>
                </c:pt>
                <c:pt idx="60">
                  <c:v>6.9023569283022113E-4</c:v>
                </c:pt>
                <c:pt idx="61">
                  <c:v>-2.3081020790209905E-2</c:v>
                </c:pt>
                <c:pt idx="62">
                  <c:v>-1.7364209657009688E-2</c:v>
                </c:pt>
                <c:pt idx="63">
                  <c:v>-3.7486987106700731E-2</c:v>
                </c:pt>
                <c:pt idx="64">
                  <c:v>3.860004897835978E-2</c:v>
                </c:pt>
                <c:pt idx="65">
                  <c:v>-8.5914411898402321E-3</c:v>
                </c:pt>
                <c:pt idx="66">
                  <c:v>-3.1770157099840546E-2</c:v>
                </c:pt>
                <c:pt idx="67">
                  <c:v>-0.12719807797975058</c:v>
                </c:pt>
                <c:pt idx="68">
                  <c:v>-0.20063426649504024</c:v>
                </c:pt>
                <c:pt idx="69">
                  <c:v>-0.20799037399587039</c:v>
                </c:pt>
                <c:pt idx="70">
                  <c:v>-8.058256323406976E-2</c:v>
                </c:pt>
                <c:pt idx="71">
                  <c:v>-2.8368008529509936E-2</c:v>
                </c:pt>
                <c:pt idx="72">
                  <c:v>9.8743493370689883E-2</c:v>
                </c:pt>
                <c:pt idx="73">
                  <c:v>-0.14387507871420979</c:v>
                </c:pt>
                <c:pt idx="74">
                  <c:v>2.6818832708659812E-2</c:v>
                </c:pt>
                <c:pt idx="75">
                  <c:v>7.324993005167002E-2</c:v>
                </c:pt>
                <c:pt idx="76">
                  <c:v>0.10201110722509998</c:v>
                </c:pt>
                <c:pt idx="77">
                  <c:v>-0.24396880091240014</c:v>
                </c:pt>
                <c:pt idx="78">
                  <c:v>-0.25264570907700001</c:v>
                </c:pt>
                <c:pt idx="79">
                  <c:v>-0.11695360273697997</c:v>
                </c:pt>
                <c:pt idx="80">
                  <c:v>-0.29310238721106963</c:v>
                </c:pt>
                <c:pt idx="81">
                  <c:v>-0.13698895225708974</c:v>
                </c:pt>
                <c:pt idx="82">
                  <c:v>-0.6958347023313598</c:v>
                </c:pt>
                <c:pt idx="83">
                  <c:v>-0.18134933414443033</c:v>
                </c:pt>
                <c:pt idx="84">
                  <c:v>-1.0973385313279849E-2</c:v>
                </c:pt>
                <c:pt idx="85">
                  <c:v>-0.24419909895854985</c:v>
                </c:pt>
                <c:pt idx="86">
                  <c:v>-0.23687153450010001</c:v>
                </c:pt>
                <c:pt idx="87">
                  <c:v>-0.32890267401415052</c:v>
                </c:pt>
                <c:pt idx="88">
                  <c:v>-4.261579677069971E-2</c:v>
                </c:pt>
                <c:pt idx="89">
                  <c:v>-7.8534493666889915E-2</c:v>
                </c:pt>
                <c:pt idx="90">
                  <c:v>1.6637210104390121E-2</c:v>
                </c:pt>
                <c:pt idx="91">
                  <c:v>9.2988405143500152E-2</c:v>
                </c:pt>
                <c:pt idx="92">
                  <c:v>-0.16008339755291967</c:v>
                </c:pt>
                <c:pt idx="93">
                  <c:v>-0.10314232797098999</c:v>
                </c:pt>
                <c:pt idx="94">
                  <c:v>-5.8546681796089572E-2</c:v>
                </c:pt>
                <c:pt idx="95">
                  <c:v>-0.15964250966124993</c:v>
                </c:pt>
                <c:pt idx="96">
                  <c:v>-4.3805642614009876E-2</c:v>
                </c:pt>
                <c:pt idx="97">
                  <c:v>-0.17804017326059007</c:v>
                </c:pt>
                <c:pt idx="98">
                  <c:v>-3.1692935001981226E-4</c:v>
                </c:pt>
                <c:pt idx="99">
                  <c:v>-0.30181588516229052</c:v>
                </c:pt>
                <c:pt idx="100">
                  <c:v>-0.31009434343213993</c:v>
                </c:pt>
                <c:pt idx="101">
                  <c:v>-0.21197927358970947</c:v>
                </c:pt>
                <c:pt idx="102">
                  <c:v>-0.11740821868033002</c:v>
                </c:pt>
                <c:pt idx="103">
                  <c:v>-6.0651497653330111E-2</c:v>
                </c:pt>
                <c:pt idx="104">
                  <c:v>-0.16885196454233942</c:v>
                </c:pt>
                <c:pt idx="105">
                  <c:v>-8.733519475376994E-2</c:v>
                </c:pt>
                <c:pt idx="106">
                  <c:v>2.5765417301550464E-2</c:v>
                </c:pt>
                <c:pt idx="107">
                  <c:v>-0.3740580260213795</c:v>
                </c:pt>
                <c:pt idx="108">
                  <c:v>-0.27566395891848039</c:v>
                </c:pt>
                <c:pt idx="109">
                  <c:v>-0.25549809785207955</c:v>
                </c:pt>
                <c:pt idx="110">
                  <c:v>-0.36369816308308067</c:v>
                </c:pt>
                <c:pt idx="111">
                  <c:v>-0.32742992040413998</c:v>
                </c:pt>
                <c:pt idx="112">
                  <c:v>-0.35532389633057004</c:v>
                </c:pt>
                <c:pt idx="113">
                  <c:v>-0.28581922268808935</c:v>
                </c:pt>
                <c:pt idx="114">
                  <c:v>-6.6368394425899702E-2</c:v>
                </c:pt>
                <c:pt idx="115">
                  <c:v>-0.35189772545072984</c:v>
                </c:pt>
                <c:pt idx="116">
                  <c:v>-0.27267164272880962</c:v>
                </c:pt>
                <c:pt idx="117">
                  <c:v>-0.28093110525535003</c:v>
                </c:pt>
                <c:pt idx="118">
                  <c:v>-0.35426340150789937</c:v>
                </c:pt>
                <c:pt idx="119">
                  <c:v>-0.11885962271400974</c:v>
                </c:pt>
                <c:pt idx="120">
                  <c:v>-0.1060801477484894</c:v>
                </c:pt>
                <c:pt idx="121">
                  <c:v>-0.24050725030209019</c:v>
                </c:pt>
                <c:pt idx="122">
                  <c:v>-0.20751651980904029</c:v>
                </c:pt>
                <c:pt idx="123">
                  <c:v>-0.27987024526808923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4432000"/>
        <c:axId val="364433792"/>
      </c:barChart>
      <c:dateAx>
        <c:axId val="364432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364433792"/>
        <c:crosses val="autoZero"/>
        <c:auto val="1"/>
        <c:lblOffset val="100"/>
        <c:baseTimeUnit val="months"/>
        <c:majorUnit val="6"/>
        <c:majorTimeUnit val="months"/>
      </c:dateAx>
      <c:valAx>
        <c:axId val="3644337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64432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v>Bank vs Small</c:v>
          </c:tx>
          <c:spPr>
            <a:solidFill>
              <a:srgbClr val="74B629"/>
            </a:solidFill>
            <a:ln>
              <a:noFill/>
            </a:ln>
          </c:spPr>
          <c:invertIfNegative val="0"/>
          <c:cat>
            <c:numRef>
              <c:f>'720-740'!$B$4:$B$127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'720-740'!$G$4:$G$127</c:f>
              <c:numCache>
                <c:formatCode>0.00</c:formatCode>
                <c:ptCount val="124"/>
                <c:pt idx="0">
                  <c:v>9.1807971813640421E-2</c:v>
                </c:pt>
                <c:pt idx="1">
                  <c:v>7.5729350106920279E-2</c:v>
                </c:pt>
                <c:pt idx="2">
                  <c:v>6.0354305711479928E-2</c:v>
                </c:pt>
                <c:pt idx="3">
                  <c:v>0.12415480049233985</c:v>
                </c:pt>
                <c:pt idx="4">
                  <c:v>9.2213799978970279E-2</c:v>
                </c:pt>
                <c:pt idx="5">
                  <c:v>9.137928100872017E-2</c:v>
                </c:pt>
                <c:pt idx="6">
                  <c:v>6.2768501850020364E-2</c:v>
                </c:pt>
                <c:pt idx="7">
                  <c:v>5.2281208077030072E-2</c:v>
                </c:pt>
                <c:pt idx="8">
                  <c:v>9.5291239039850595E-2</c:v>
                </c:pt>
                <c:pt idx="9">
                  <c:v>4.7160618453810699E-2</c:v>
                </c:pt>
                <c:pt idx="10">
                  <c:v>6.7790968486749925E-2</c:v>
                </c:pt>
                <c:pt idx="11">
                  <c:v>6.8970780195679815E-2</c:v>
                </c:pt>
                <c:pt idx="12">
                  <c:v>8.4742775273739746E-2</c:v>
                </c:pt>
                <c:pt idx="13">
                  <c:v>6.1654409739510641E-2</c:v>
                </c:pt>
                <c:pt idx="14">
                  <c:v>0.10336878085569001</c:v>
                </c:pt>
                <c:pt idx="15">
                  <c:v>4.3582922546429259E-2</c:v>
                </c:pt>
                <c:pt idx="16">
                  <c:v>7.5284696075700097E-2</c:v>
                </c:pt>
                <c:pt idx="17">
                  <c:v>0.13020335750876999</c:v>
                </c:pt>
                <c:pt idx="18">
                  <c:v>7.5537949741390165E-2</c:v>
                </c:pt>
                <c:pt idx="19">
                  <c:v>-5.0913689469650691E-2</c:v>
                </c:pt>
                <c:pt idx="20">
                  <c:v>-5.967634530190935E-2</c:v>
                </c:pt>
                <c:pt idx="21">
                  <c:v>-9.4286366369970231E-2</c:v>
                </c:pt>
                <c:pt idx="22">
                  <c:v>9.7965996406101929E-3</c:v>
                </c:pt>
                <c:pt idx="23">
                  <c:v>8.2764477953099824E-2</c:v>
                </c:pt>
                <c:pt idx="24">
                  <c:v>3.6162336245280091E-2</c:v>
                </c:pt>
                <c:pt idx="25">
                  <c:v>6.0000024097260241E-2</c:v>
                </c:pt>
                <c:pt idx="26">
                  <c:v>0.10783252924301978</c:v>
                </c:pt>
                <c:pt idx="27">
                  <c:v>0.10617465323079989</c:v>
                </c:pt>
                <c:pt idx="28">
                  <c:v>0.12249307888626015</c:v>
                </c:pt>
                <c:pt idx="29">
                  <c:v>0.15021254530635986</c:v>
                </c:pt>
                <c:pt idx="30">
                  <c:v>0.14947454464163989</c:v>
                </c:pt>
                <c:pt idx="31">
                  <c:v>0.12790163538852983</c:v>
                </c:pt>
                <c:pt idx="32">
                  <c:v>9.1099179945129727E-2</c:v>
                </c:pt>
                <c:pt idx="33">
                  <c:v>0.10285096549191985</c:v>
                </c:pt>
                <c:pt idx="34">
                  <c:v>7.0685596189939748E-2</c:v>
                </c:pt>
                <c:pt idx="35">
                  <c:v>0.14388610069850039</c:v>
                </c:pt>
                <c:pt idx="36">
                  <c:v>0.12398752959432002</c:v>
                </c:pt>
                <c:pt idx="37">
                  <c:v>0.1210848083689493</c:v>
                </c:pt>
                <c:pt idx="38">
                  <c:v>0.11355738444295937</c:v>
                </c:pt>
                <c:pt idx="39">
                  <c:v>0.10123932907692001</c:v>
                </c:pt>
                <c:pt idx="40">
                  <c:v>0.11905293728236988</c:v>
                </c:pt>
                <c:pt idx="41">
                  <c:v>0.11950111694657028</c:v>
                </c:pt>
                <c:pt idx="42">
                  <c:v>9.4955246960330086E-2</c:v>
                </c:pt>
                <c:pt idx="43">
                  <c:v>0.12155240922886001</c:v>
                </c:pt>
                <c:pt idx="44">
                  <c:v>0.13434509342423961</c:v>
                </c:pt>
                <c:pt idx="45">
                  <c:v>8.0947166809259841E-2</c:v>
                </c:pt>
                <c:pt idx="46">
                  <c:v>6.9562139841809589E-2</c:v>
                </c:pt>
                <c:pt idx="47">
                  <c:v>0.11153889514362003</c:v>
                </c:pt>
                <c:pt idx="48">
                  <c:v>0.12699596786841028</c:v>
                </c:pt>
                <c:pt idx="49">
                  <c:v>3.8664112165179176E-2</c:v>
                </c:pt>
                <c:pt idx="50">
                  <c:v>-4.5192275796601677E-3</c:v>
                </c:pt>
                <c:pt idx="51">
                  <c:v>6.8539455355054457E-4</c:v>
                </c:pt>
                <c:pt idx="52">
                  <c:v>3.4756893782709852E-2</c:v>
                </c:pt>
                <c:pt idx="53">
                  <c:v>7.6376608425020365E-2</c:v>
                </c:pt>
                <c:pt idx="54">
                  <c:v>0.11752935743213921</c:v>
                </c:pt>
                <c:pt idx="55">
                  <c:v>0.11481145997649023</c:v>
                </c:pt>
                <c:pt idx="56">
                  <c:v>0.10761972368799011</c:v>
                </c:pt>
                <c:pt idx="57">
                  <c:v>0.10110553103926989</c:v>
                </c:pt>
                <c:pt idx="58">
                  <c:v>9.0943687713120447E-2</c:v>
                </c:pt>
                <c:pt idx="59">
                  <c:v>1.4096731757359926E-2</c:v>
                </c:pt>
                <c:pt idx="60">
                  <c:v>3.6968745963580574E-2</c:v>
                </c:pt>
                <c:pt idx="61">
                  <c:v>3.0001373145999821E-2</c:v>
                </c:pt>
                <c:pt idx="62">
                  <c:v>-2.9362119079499038E-3</c:v>
                </c:pt>
                <c:pt idx="63">
                  <c:v>2.9232564695560015E-2</c:v>
                </c:pt>
                <c:pt idx="64">
                  <c:v>9.088741348601026E-2</c:v>
                </c:pt>
                <c:pt idx="65">
                  <c:v>2.1973641080860418E-2</c:v>
                </c:pt>
                <c:pt idx="66">
                  <c:v>-1.4050286591699823E-2</c:v>
                </c:pt>
                <c:pt idx="67">
                  <c:v>-0.18070929263908031</c:v>
                </c:pt>
                <c:pt idx="68">
                  <c:v>-0.2039661384817002</c:v>
                </c:pt>
                <c:pt idx="69">
                  <c:v>-0.18388749519206993</c:v>
                </c:pt>
                <c:pt idx="70">
                  <c:v>-0.10166462593122017</c:v>
                </c:pt>
                <c:pt idx="71">
                  <c:v>-7.4962588587480283E-2</c:v>
                </c:pt>
                <c:pt idx="72">
                  <c:v>-7.5252626355280405E-2</c:v>
                </c:pt>
                <c:pt idx="73">
                  <c:v>-6.0290928061480287E-2</c:v>
                </c:pt>
                <c:pt idx="74">
                  <c:v>-1.9385603755960545E-2</c:v>
                </c:pt>
                <c:pt idx="75">
                  <c:v>4.9690399895260029E-2</c:v>
                </c:pt>
                <c:pt idx="76">
                  <c:v>-9.0320329467949989E-2</c:v>
                </c:pt>
                <c:pt idx="77">
                  <c:v>1.8466312296100185E-2</c:v>
                </c:pt>
                <c:pt idx="78">
                  <c:v>4.4474949963590582E-2</c:v>
                </c:pt>
                <c:pt idx="79">
                  <c:v>-7.8634898491809935E-2</c:v>
                </c:pt>
                <c:pt idx="80">
                  <c:v>-6.3175948922070013E-2</c:v>
                </c:pt>
                <c:pt idx="81">
                  <c:v>-2.606548071334025E-2</c:v>
                </c:pt>
                <c:pt idx="82">
                  <c:v>-3.3293192034689945E-2</c:v>
                </c:pt>
                <c:pt idx="83">
                  <c:v>-3.5488695366320044E-2</c:v>
                </c:pt>
                <c:pt idx="84">
                  <c:v>2.9285430826469394E-2</c:v>
                </c:pt>
                <c:pt idx="85">
                  <c:v>2.5903406132600004E-2</c:v>
                </c:pt>
                <c:pt idx="86">
                  <c:v>5.4863630278189746E-2</c:v>
                </c:pt>
                <c:pt idx="87">
                  <c:v>-2.3757498443304215E-3</c:v>
                </c:pt>
                <c:pt idx="88">
                  <c:v>-3.0723352633729384E-2</c:v>
                </c:pt>
                <c:pt idx="89">
                  <c:v>3.5710245739649871E-2</c:v>
                </c:pt>
                <c:pt idx="90">
                  <c:v>6.1230619098600059E-3</c:v>
                </c:pt>
                <c:pt idx="91">
                  <c:v>2.2651164323599815E-2</c:v>
                </c:pt>
                <c:pt idx="92">
                  <c:v>-4.8352194903349854E-2</c:v>
                </c:pt>
                <c:pt idx="93">
                  <c:v>-3.0690018107399908E-2</c:v>
                </c:pt>
                <c:pt idx="94">
                  <c:v>1.9066212014240413E-2</c:v>
                </c:pt>
                <c:pt idx="95">
                  <c:v>3.7926854069319837E-2</c:v>
                </c:pt>
                <c:pt idx="96">
                  <c:v>1.1347804891570057E-2</c:v>
                </c:pt>
                <c:pt idx="97">
                  <c:v>-4.6306813940799607E-2</c:v>
                </c:pt>
                <c:pt idx="98">
                  <c:v>1.2251537857239647E-2</c:v>
                </c:pt>
                <c:pt idx="99">
                  <c:v>-3.6849305000390409E-2</c:v>
                </c:pt>
                <c:pt idx="100">
                  <c:v>-6.1052692548289933E-2</c:v>
                </c:pt>
                <c:pt idx="101">
                  <c:v>-0.10743290820687967</c:v>
                </c:pt>
                <c:pt idx="102">
                  <c:v>-5.1573342084069829E-2</c:v>
                </c:pt>
                <c:pt idx="103">
                  <c:v>-2.9102090644260059E-2</c:v>
                </c:pt>
                <c:pt idx="104">
                  <c:v>-2.8636194171379969E-2</c:v>
                </c:pt>
                <c:pt idx="105">
                  <c:v>-2.4165158056295155E-3</c:v>
                </c:pt>
                <c:pt idx="106">
                  <c:v>5.4289100906004251E-3</c:v>
                </c:pt>
                <c:pt idx="107">
                  <c:v>1.6980868437290297E-2</c:v>
                </c:pt>
                <c:pt idx="108">
                  <c:v>-3.7841332698600461E-2</c:v>
                </c:pt>
                <c:pt idx="109">
                  <c:v>-1.1526058913659654E-2</c:v>
                </c:pt>
                <c:pt idx="110">
                  <c:v>-9.7637496478490071E-2</c:v>
                </c:pt>
                <c:pt idx="111">
                  <c:v>-6.6311564484370145E-2</c:v>
                </c:pt>
                <c:pt idx="112">
                  <c:v>-2.1484771077009412E-2</c:v>
                </c:pt>
                <c:pt idx="113">
                  <c:v>-1.1917467485039523E-2</c:v>
                </c:pt>
                <c:pt idx="114">
                  <c:v>-9.3242975202993961E-3</c:v>
                </c:pt>
                <c:pt idx="115">
                  <c:v>-2.5556471176099826E-2</c:v>
                </c:pt>
                <c:pt idx="116">
                  <c:v>-3.9025033206900872E-3</c:v>
                </c:pt>
                <c:pt idx="117">
                  <c:v>3.5097866212696616E-3</c:v>
                </c:pt>
                <c:pt idx="118">
                  <c:v>-1.7432749147694437E-3</c:v>
                </c:pt>
                <c:pt idx="119">
                  <c:v>1.9509401686960359E-2</c:v>
                </c:pt>
                <c:pt idx="120">
                  <c:v>-4.9448407933994076E-4</c:v>
                </c:pt>
                <c:pt idx="121">
                  <c:v>-2.3568505272749896E-2</c:v>
                </c:pt>
                <c:pt idx="122">
                  <c:v>1.8226054855150053E-2</c:v>
                </c:pt>
                <c:pt idx="123">
                  <c:v>-4.246206914799977E-2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4482944"/>
        <c:axId val="364484480"/>
      </c:barChart>
      <c:dateAx>
        <c:axId val="364482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364484480"/>
        <c:crosses val="autoZero"/>
        <c:auto val="1"/>
        <c:lblOffset val="100"/>
        <c:baseTimeUnit val="months"/>
        <c:majorUnit val="6"/>
        <c:majorTimeUnit val="months"/>
      </c:dateAx>
      <c:valAx>
        <c:axId val="3644844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644829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'740-760'!$C$3</c:f>
              <c:strCache>
                <c:ptCount val="1"/>
                <c:pt idx="0">
                  <c:v>Big Bank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'740-760'!$B$4:$B$127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'740-760'!$C$4:$C$126</c:f>
              <c:numCache>
                <c:formatCode>0.00</c:formatCode>
                <c:ptCount val="123"/>
                <c:pt idx="0">
                  <c:v>4.0389701807268397</c:v>
                </c:pt>
                <c:pt idx="1">
                  <c:v>3.9529488520276401</c:v>
                </c:pt>
                <c:pt idx="2">
                  <c:v>3.9133477617476302</c:v>
                </c:pt>
                <c:pt idx="3">
                  <c:v>4.0757997189570299</c:v>
                </c:pt>
                <c:pt idx="4">
                  <c:v>4.2087446168629103</c:v>
                </c:pt>
                <c:pt idx="5">
                  <c:v>4.2358872432205397</c:v>
                </c:pt>
                <c:pt idx="6">
                  <c:v>4.3584180110586503</c:v>
                </c:pt>
                <c:pt idx="7">
                  <c:v>4.3688185516843099</c:v>
                </c:pt>
                <c:pt idx="8">
                  <c:v>4.4193575735774902</c:v>
                </c:pt>
                <c:pt idx="9">
                  <c:v>4.3933236426926099</c:v>
                </c:pt>
                <c:pt idx="10">
                  <c:v>4.4364788064027598</c:v>
                </c:pt>
                <c:pt idx="11">
                  <c:v>4.5442690486337698</c:v>
                </c:pt>
                <c:pt idx="12">
                  <c:v>4.6166434266848304</c:v>
                </c:pt>
                <c:pt idx="13">
                  <c:v>4.5702537718570104</c:v>
                </c:pt>
                <c:pt idx="14">
                  <c:v>4.6617160165957303</c:v>
                </c:pt>
                <c:pt idx="15">
                  <c:v>4.6552600799882597</c:v>
                </c:pt>
                <c:pt idx="16">
                  <c:v>4.5208023439445597</c:v>
                </c:pt>
                <c:pt idx="17">
                  <c:v>4.5129721223595203</c:v>
                </c:pt>
                <c:pt idx="18">
                  <c:v>4.6047604894138301</c:v>
                </c:pt>
                <c:pt idx="19">
                  <c:v>4.59859946693516</c:v>
                </c:pt>
                <c:pt idx="20">
                  <c:v>4.4008961056395703</c:v>
                </c:pt>
                <c:pt idx="21">
                  <c:v>4.0679841638767202</c:v>
                </c:pt>
                <c:pt idx="22">
                  <c:v>3.8117992849476501</c:v>
                </c:pt>
                <c:pt idx="23">
                  <c:v>3.7233706877330102</c:v>
                </c:pt>
                <c:pt idx="24">
                  <c:v>3.7545323297244799</c:v>
                </c:pt>
                <c:pt idx="25">
                  <c:v>3.7467193217018999</c:v>
                </c:pt>
                <c:pt idx="26">
                  <c:v>3.6881023168963898</c:v>
                </c:pt>
                <c:pt idx="27">
                  <c:v>3.6035562301760602</c:v>
                </c:pt>
                <c:pt idx="28">
                  <c:v>3.5733764734017099</c:v>
                </c:pt>
                <c:pt idx="29">
                  <c:v>3.6044830038585598</c:v>
                </c:pt>
                <c:pt idx="30">
                  <c:v>3.6935359413315698</c:v>
                </c:pt>
                <c:pt idx="31">
                  <c:v>3.7611611496553099</c:v>
                </c:pt>
                <c:pt idx="32">
                  <c:v>3.7738271529069598</c:v>
                </c:pt>
                <c:pt idx="33">
                  <c:v>3.8746184525632401</c:v>
                </c:pt>
                <c:pt idx="34">
                  <c:v>3.9834189178636401</c:v>
                </c:pt>
                <c:pt idx="35">
                  <c:v>4.15138626457908</c:v>
                </c:pt>
                <c:pt idx="36">
                  <c:v>4.1463382319982598</c:v>
                </c:pt>
                <c:pt idx="37">
                  <c:v>4.0828258146043703</c:v>
                </c:pt>
                <c:pt idx="38">
                  <c:v>4.1009025356104001</c:v>
                </c:pt>
                <c:pt idx="39">
                  <c:v>4.1608361958050999</c:v>
                </c:pt>
                <c:pt idx="40">
                  <c:v>4.24840657042426</c:v>
                </c:pt>
                <c:pt idx="41">
                  <c:v>4.2469723709487504</c:v>
                </c:pt>
                <c:pt idx="42">
                  <c:v>4.2843055743881404</c:v>
                </c:pt>
                <c:pt idx="43">
                  <c:v>4.4325245951034802</c:v>
                </c:pt>
                <c:pt idx="44">
                  <c:v>4.6978024341326696</c:v>
                </c:pt>
                <c:pt idx="45">
                  <c:v>4.8016168276184601</c:v>
                </c:pt>
                <c:pt idx="46">
                  <c:v>4.8809627853672701</c:v>
                </c:pt>
                <c:pt idx="47">
                  <c:v>5.0487429634058403</c:v>
                </c:pt>
                <c:pt idx="48">
                  <c:v>5.0402760348375004</c:v>
                </c:pt>
                <c:pt idx="49">
                  <c:v>4.9827742936194603</c:v>
                </c:pt>
                <c:pt idx="50">
                  <c:v>4.8002540945531003</c:v>
                </c:pt>
                <c:pt idx="51">
                  <c:v>4.6421279843837198</c:v>
                </c:pt>
                <c:pt idx="52">
                  <c:v>4.45851567209038</c:v>
                </c:pt>
                <c:pt idx="53">
                  <c:v>4.42022066974266</c:v>
                </c:pt>
                <c:pt idx="54">
                  <c:v>4.5197701552763103</c:v>
                </c:pt>
                <c:pt idx="55">
                  <c:v>4.5886066498534701</c:v>
                </c:pt>
                <c:pt idx="56">
                  <c:v>4.68354304603566</c:v>
                </c:pt>
                <c:pt idx="57">
                  <c:v>4.8386217201218198</c:v>
                </c:pt>
                <c:pt idx="58">
                  <c:v>5.05181739371658</c:v>
                </c:pt>
                <c:pt idx="59">
                  <c:v>5.1581734402116899</c:v>
                </c:pt>
                <c:pt idx="60">
                  <c:v>5.1278598679396001</c:v>
                </c:pt>
                <c:pt idx="61">
                  <c:v>5.1074341080650001</c:v>
                </c:pt>
                <c:pt idx="62">
                  <c:v>5.0836717865179297</c:v>
                </c:pt>
                <c:pt idx="63">
                  <c:v>4.9953416242823003</c:v>
                </c:pt>
                <c:pt idx="64">
                  <c:v>4.99071871808124</c:v>
                </c:pt>
                <c:pt idx="65">
                  <c:v>5.0013372037500199</c:v>
                </c:pt>
                <c:pt idx="66">
                  <c:v>5.0311261015909201</c:v>
                </c:pt>
                <c:pt idx="67">
                  <c:v>5.0436178149823503</c:v>
                </c:pt>
                <c:pt idx="68">
                  <c:v>4.9868624344550199</c:v>
                </c:pt>
                <c:pt idx="69">
                  <c:v>4.9061037724645598</c:v>
                </c:pt>
                <c:pt idx="70">
                  <c:v>4.8053737714303999</c:v>
                </c:pt>
                <c:pt idx="71">
                  <c:v>4.7619285846162196</c:v>
                </c:pt>
                <c:pt idx="72">
                  <c:v>4.7961163428229296</c:v>
                </c:pt>
                <c:pt idx="73">
                  <c:v>4.8696000664867398</c:v>
                </c:pt>
                <c:pt idx="74">
                  <c:v>4.8441070302779696</c:v>
                </c:pt>
                <c:pt idx="75">
                  <c:v>4.9042448130201697</c:v>
                </c:pt>
                <c:pt idx="76">
                  <c:v>5.2445822526980796</c:v>
                </c:pt>
                <c:pt idx="77">
                  <c:v>5.99185053219224</c:v>
                </c:pt>
                <c:pt idx="78">
                  <c:v>5.8983999478450002</c:v>
                </c:pt>
                <c:pt idx="79">
                  <c:v>6.09724031899965</c:v>
                </c:pt>
                <c:pt idx="80">
                  <c:v>6.4588318111905103</c:v>
                </c:pt>
                <c:pt idx="81">
                  <c:v>6.3532229942064102</c:v>
                </c:pt>
                <c:pt idx="82">
                  <c:v>6.0190186787329401</c:v>
                </c:pt>
                <c:pt idx="83">
                  <c:v>5.92368974469652</c:v>
                </c:pt>
                <c:pt idx="84">
                  <c:v>5.8376848557907701</c:v>
                </c:pt>
                <c:pt idx="85">
                  <c:v>5.7396452360317003</c:v>
                </c:pt>
                <c:pt idx="86">
                  <c:v>5.6336805529260898</c:v>
                </c:pt>
                <c:pt idx="87">
                  <c:v>5.87585220055636</c:v>
                </c:pt>
                <c:pt idx="88">
                  <c:v>6.1165814553613398</c:v>
                </c:pt>
                <c:pt idx="89">
                  <c:v>6.3268186147952896</c:v>
                </c:pt>
                <c:pt idx="90">
                  <c:v>6.4408029921806396</c:v>
                </c:pt>
                <c:pt idx="91">
                  <c:v>6.5362743987691001</c:v>
                </c:pt>
                <c:pt idx="92">
                  <c:v>6.69827420015248</c:v>
                </c:pt>
                <c:pt idx="93">
                  <c:v>6.6810124242860303</c:v>
                </c:pt>
                <c:pt idx="94">
                  <c:v>6.40517235521712</c:v>
                </c:pt>
                <c:pt idx="95">
                  <c:v>6.2615120018782502</c:v>
                </c:pt>
                <c:pt idx="96">
                  <c:v>6.2013239854572202</c:v>
                </c:pt>
                <c:pt idx="97">
                  <c:v>6.1913073373213701</c:v>
                </c:pt>
                <c:pt idx="98">
                  <c:v>6.2648617658193597</c:v>
                </c:pt>
                <c:pt idx="99">
                  <c:v>6.1490208844413301</c:v>
                </c:pt>
                <c:pt idx="100">
                  <c:v>6.1476889164794102</c:v>
                </c:pt>
                <c:pt idx="101">
                  <c:v>6.3185271669426601</c:v>
                </c:pt>
                <c:pt idx="102">
                  <c:v>6.37179329890653</c:v>
                </c:pt>
                <c:pt idx="103">
                  <c:v>6.5206412328144499</c:v>
                </c:pt>
                <c:pt idx="104">
                  <c:v>6.6652477019332599</c:v>
                </c:pt>
                <c:pt idx="105">
                  <c:v>6.8566278139022101</c:v>
                </c:pt>
                <c:pt idx="106">
                  <c:v>6.7104067233692497</c:v>
                </c:pt>
                <c:pt idx="107">
                  <c:v>6.5964224274845096</c:v>
                </c:pt>
                <c:pt idx="108">
                  <c:v>6.3457209094028304</c:v>
                </c:pt>
                <c:pt idx="109">
                  <c:v>6.2899056519502299</c:v>
                </c:pt>
                <c:pt idx="110">
                  <c:v>6.2306983278324504</c:v>
                </c:pt>
                <c:pt idx="111">
                  <c:v>6.2535568519582601</c:v>
                </c:pt>
                <c:pt idx="112">
                  <c:v>6.28303012477999</c:v>
                </c:pt>
                <c:pt idx="113">
                  <c:v>6.1063902059728896</c:v>
                </c:pt>
                <c:pt idx="114">
                  <c:v>5.8979561217456196</c:v>
                </c:pt>
                <c:pt idx="115">
                  <c:v>5.8079048490463903</c:v>
                </c:pt>
                <c:pt idx="116">
                  <c:v>5.7869769003654197</c:v>
                </c:pt>
                <c:pt idx="117">
                  <c:v>5.6699399029077098</c:v>
                </c:pt>
                <c:pt idx="118">
                  <c:v>5.7176161522664799</c:v>
                </c:pt>
                <c:pt idx="119">
                  <c:v>5.8555708231239301</c:v>
                </c:pt>
                <c:pt idx="120">
                  <c:v>5.8973972470079801</c:v>
                </c:pt>
                <c:pt idx="121">
                  <c:v>5.6827041627289701</c:v>
                </c:pt>
                <c:pt idx="122">
                  <c:v>5.6384416609246397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'740-760'!$D$3</c:f>
              <c:strCache>
                <c:ptCount val="1"/>
                <c:pt idx="0">
                  <c:v>Big Non-Bank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'740-760'!$B$4:$B$127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'740-760'!$D$4:$D$126</c:f>
              <c:numCache>
                <c:formatCode>General</c:formatCode>
                <c:ptCount val="123"/>
                <c:pt idx="0">
                  <c:v>4.0133931160896701</c:v>
                </c:pt>
                <c:pt idx="1">
                  <c:v>3.9543466434841501</c:v>
                </c:pt>
                <c:pt idx="2">
                  <c:v>3.9650394595727301</c:v>
                </c:pt>
                <c:pt idx="3">
                  <c:v>4.0903772084999499</c:v>
                </c:pt>
                <c:pt idx="4">
                  <c:v>4.2122474411024697</c:v>
                </c:pt>
                <c:pt idx="5">
                  <c:v>4.2500803100472604</c:v>
                </c:pt>
                <c:pt idx="6">
                  <c:v>4.3872449656277599</c:v>
                </c:pt>
                <c:pt idx="7">
                  <c:v>4.4168454925279397</c:v>
                </c:pt>
                <c:pt idx="8">
                  <c:v>4.4418601374700701</c:v>
                </c:pt>
                <c:pt idx="9">
                  <c:v>4.4167944585249401</c:v>
                </c:pt>
                <c:pt idx="10">
                  <c:v>4.4790192582815402</c:v>
                </c:pt>
                <c:pt idx="11">
                  <c:v>4.5734233819681904</c:v>
                </c:pt>
                <c:pt idx="12">
                  <c:v>4.6277948681685102</c:v>
                </c:pt>
                <c:pt idx="13">
                  <c:v>4.6201501948839301</c:v>
                </c:pt>
                <c:pt idx="14">
                  <c:v>4.6760925741180301</c:v>
                </c:pt>
                <c:pt idx="15">
                  <c:v>4.6925297659192502</c:v>
                </c:pt>
                <c:pt idx="16">
                  <c:v>4.5456264643018098</c:v>
                </c:pt>
                <c:pt idx="17">
                  <c:v>4.4772710289825302</c:v>
                </c:pt>
                <c:pt idx="18">
                  <c:v>4.6396223559663801</c:v>
                </c:pt>
                <c:pt idx="19">
                  <c:v>4.6330779566253302</c:v>
                </c:pt>
                <c:pt idx="20">
                  <c:v>4.4901178046788397</c:v>
                </c:pt>
                <c:pt idx="21">
                  <c:v>4.2176563081750098</c:v>
                </c:pt>
                <c:pt idx="22">
                  <c:v>3.82298262842325</c:v>
                </c:pt>
                <c:pt idx="23">
                  <c:v>3.70282061562405</c:v>
                </c:pt>
                <c:pt idx="24">
                  <c:v>3.77087644481901</c:v>
                </c:pt>
                <c:pt idx="25">
                  <c:v>3.7480826459979202</c:v>
                </c:pt>
                <c:pt idx="26">
                  <c:v>3.6617558962022998</c:v>
                </c:pt>
                <c:pt idx="27">
                  <c:v>3.5690133072085901</c:v>
                </c:pt>
                <c:pt idx="28">
                  <c:v>3.54482440254914</c:v>
                </c:pt>
                <c:pt idx="29">
                  <c:v>3.5843226114100202</c:v>
                </c:pt>
                <c:pt idx="30">
                  <c:v>3.6403611339163402</c:v>
                </c:pt>
                <c:pt idx="31">
                  <c:v>3.7496033904993502</c:v>
                </c:pt>
                <c:pt idx="32">
                  <c:v>3.7908221950428298</c:v>
                </c:pt>
                <c:pt idx="33">
                  <c:v>3.8617592736567401</c:v>
                </c:pt>
                <c:pt idx="34">
                  <c:v>3.9548623553539102</c:v>
                </c:pt>
                <c:pt idx="35">
                  <c:v>4.0810646741116496</c:v>
                </c:pt>
                <c:pt idx="36">
                  <c:v>4.1241708031528201</c:v>
                </c:pt>
                <c:pt idx="37">
                  <c:v>4.0665681946305501</c:v>
                </c:pt>
                <c:pt idx="38">
                  <c:v>4.06209319647279</c:v>
                </c:pt>
                <c:pt idx="39">
                  <c:v>4.1396114849480297</c:v>
                </c:pt>
                <c:pt idx="40">
                  <c:v>4.2012137504846301</c:v>
                </c:pt>
                <c:pt idx="41">
                  <c:v>4.2114749669038201</c:v>
                </c:pt>
                <c:pt idx="42">
                  <c:v>4.2486287574211303</c:v>
                </c:pt>
                <c:pt idx="43">
                  <c:v>4.38390550211827</c:v>
                </c:pt>
                <c:pt idx="44">
                  <c:v>4.6405868991922201</c:v>
                </c:pt>
                <c:pt idx="45">
                  <c:v>4.7776944448788798</c:v>
                </c:pt>
                <c:pt idx="46">
                  <c:v>4.7791064566027597</c:v>
                </c:pt>
                <c:pt idx="47">
                  <c:v>4.9160414343485899</c:v>
                </c:pt>
                <c:pt idx="48">
                  <c:v>5.0849597575315197</c:v>
                </c:pt>
                <c:pt idx="49">
                  <c:v>5.0958832178939497</c:v>
                </c:pt>
                <c:pt idx="50">
                  <c:v>4.9598671126574398</c:v>
                </c:pt>
                <c:pt idx="51">
                  <c:v>4.7834590237662802</c:v>
                </c:pt>
                <c:pt idx="52">
                  <c:v>4.4565189449984102</c:v>
                </c:pt>
                <c:pt idx="53">
                  <c:v>4.3656538580706501</c:v>
                </c:pt>
                <c:pt idx="54">
                  <c:v>4.49177254560795</c:v>
                </c:pt>
                <c:pt idx="55">
                  <c:v>4.5928928236252302</c:v>
                </c:pt>
                <c:pt idx="56">
                  <c:v>4.5947808802653904</c:v>
                </c:pt>
                <c:pt idx="57">
                  <c:v>4.7649167605006797</c:v>
                </c:pt>
                <c:pt idx="58">
                  <c:v>4.9507711901015696</c:v>
                </c:pt>
                <c:pt idx="59">
                  <c:v>5.1584204043098003</c:v>
                </c:pt>
                <c:pt idx="60">
                  <c:v>5.1066842481774799</c:v>
                </c:pt>
                <c:pt idx="61">
                  <c:v>5.11432777177186</c:v>
                </c:pt>
                <c:pt idx="62">
                  <c:v>5.1459693452380897</c:v>
                </c:pt>
                <c:pt idx="63">
                  <c:v>5.1989277807990399</c:v>
                </c:pt>
                <c:pt idx="64">
                  <c:v>5.06137145902981</c:v>
                </c:pt>
                <c:pt idx="65">
                  <c:v>5.0262060078724398</c:v>
                </c:pt>
                <c:pt idx="66">
                  <c:v>5.0582220979378096</c:v>
                </c:pt>
                <c:pt idx="67">
                  <c:v>5.1015935917007198</c:v>
                </c:pt>
                <c:pt idx="68">
                  <c:v>5.1581385606499204</c:v>
                </c:pt>
                <c:pt idx="69">
                  <c:v>5.1857998123026601</c:v>
                </c:pt>
                <c:pt idx="70">
                  <c:v>4.9012415486643404</c:v>
                </c:pt>
                <c:pt idx="71">
                  <c:v>4.7874920034500201</c:v>
                </c:pt>
                <c:pt idx="72">
                  <c:v>4.6240306730955396</c:v>
                </c:pt>
                <c:pt idx="73">
                  <c:v>4.9876424651751696</c:v>
                </c:pt>
                <c:pt idx="74">
                  <c:v>4.9794788206266203</c:v>
                </c:pt>
                <c:pt idx="75">
                  <c:v>4.9303153170200398</c:v>
                </c:pt>
                <c:pt idx="76">
                  <c:v>5.1860652142125998</c:v>
                </c:pt>
                <c:pt idx="77">
                  <c:v>6.3025611620795097</c:v>
                </c:pt>
                <c:pt idx="78">
                  <c:v>6.1473414620566702</c:v>
                </c:pt>
                <c:pt idx="79">
                  <c:v>6.2529107891423097</c:v>
                </c:pt>
                <c:pt idx="80">
                  <c:v>6.5946668148387602</c:v>
                </c:pt>
                <c:pt idx="81">
                  <c:v>6.5555960893224103</c:v>
                </c:pt>
                <c:pt idx="82">
                  <c:v>6.00403713103114</c:v>
                </c:pt>
                <c:pt idx="83">
                  <c:v>6.0011266084765502</c:v>
                </c:pt>
                <c:pt idx="84">
                  <c:v>5.8650026487653601</c:v>
                </c:pt>
                <c:pt idx="85">
                  <c:v>5.8492007990867396</c:v>
                </c:pt>
                <c:pt idx="86">
                  <c:v>5.70447612816612</c:v>
                </c:pt>
                <c:pt idx="87">
                  <c:v>6.0621295012267398</c:v>
                </c:pt>
                <c:pt idx="88">
                  <c:v>6.2708495110830702</c:v>
                </c:pt>
                <c:pt idx="89">
                  <c:v>6.3436931666026197</c:v>
                </c:pt>
                <c:pt idx="90">
                  <c:v>6.49904028755721</c:v>
                </c:pt>
                <c:pt idx="91">
                  <c:v>6.4972617384786098</c:v>
                </c:pt>
                <c:pt idx="92">
                  <c:v>6.7428816059196999</c:v>
                </c:pt>
                <c:pt idx="93">
                  <c:v>6.7175791435521397</c:v>
                </c:pt>
                <c:pt idx="94">
                  <c:v>6.4713115457933297</c:v>
                </c:pt>
                <c:pt idx="95">
                  <c:v>6.4137552430661904</c:v>
                </c:pt>
                <c:pt idx="96">
                  <c:v>6.2312413978014103</c:v>
                </c:pt>
                <c:pt idx="97">
                  <c:v>6.3519512964376998</c:v>
                </c:pt>
                <c:pt idx="98">
                  <c:v>6.4370886646844596</c:v>
                </c:pt>
                <c:pt idx="99">
                  <c:v>6.2090206016182004</c:v>
                </c:pt>
                <c:pt idx="100">
                  <c:v>6.3752268008986697</c:v>
                </c:pt>
                <c:pt idx="101">
                  <c:v>6.5761507011440603</c:v>
                </c:pt>
                <c:pt idx="102">
                  <c:v>6.4526239296578298</c:v>
                </c:pt>
                <c:pt idx="103">
                  <c:v>6.6302952146533096</c:v>
                </c:pt>
                <c:pt idx="104">
                  <c:v>6.7177127941046697</c:v>
                </c:pt>
                <c:pt idx="105">
                  <c:v>6.9732323121597197</c:v>
                </c:pt>
                <c:pt idx="106">
                  <c:v>6.7576804343197701</c:v>
                </c:pt>
                <c:pt idx="107">
                  <c:v>6.68764035321432</c:v>
                </c:pt>
                <c:pt idx="108">
                  <c:v>6.6795636130763603</c:v>
                </c:pt>
                <c:pt idx="109">
                  <c:v>6.5898630958013902</c:v>
                </c:pt>
                <c:pt idx="110">
                  <c:v>6.4827549774605497</c:v>
                </c:pt>
                <c:pt idx="111">
                  <c:v>6.5876561700884002</c:v>
                </c:pt>
                <c:pt idx="112">
                  <c:v>6.5757575757575699</c:v>
                </c:pt>
                <c:pt idx="113">
                  <c:v>6.2386084431538897</c:v>
                </c:pt>
                <c:pt idx="114">
                  <c:v>6.1880700683077396</c:v>
                </c:pt>
                <c:pt idx="115">
                  <c:v>6.0832619129242298</c:v>
                </c:pt>
                <c:pt idx="116">
                  <c:v>5.8811309782544798</c:v>
                </c:pt>
                <c:pt idx="117">
                  <c:v>5.6688577278731804</c:v>
                </c:pt>
                <c:pt idx="118">
                  <c:v>5.8840050735773897</c:v>
                </c:pt>
                <c:pt idx="119">
                  <c:v>5.9287970381742801</c:v>
                </c:pt>
                <c:pt idx="120">
                  <c:v>6.1228268920744098</c:v>
                </c:pt>
                <c:pt idx="121">
                  <c:v>5.9283627884143302</c:v>
                </c:pt>
                <c:pt idx="122">
                  <c:v>5.8427505625437997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'740-760'!$E$3</c:f>
              <c:strCache>
                <c:ptCount val="1"/>
                <c:pt idx="0">
                  <c:v>Small Lender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'740-760'!$B$4:$B$127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'740-760'!$E$4:$E$125</c:f>
              <c:numCache>
                <c:formatCode>General</c:formatCode>
                <c:ptCount val="122"/>
                <c:pt idx="0">
                  <c:v>3.8994521088802201</c:v>
                </c:pt>
                <c:pt idx="1">
                  <c:v>3.8607993915562102</c:v>
                </c:pt>
                <c:pt idx="2">
                  <c:v>3.8455885906271701</c:v>
                </c:pt>
                <c:pt idx="3">
                  <c:v>3.9963118748361501</c:v>
                </c:pt>
                <c:pt idx="4">
                  <c:v>4.1211887507528298</c:v>
                </c:pt>
                <c:pt idx="5">
                  <c:v>4.16174226066562</c:v>
                </c:pt>
                <c:pt idx="6">
                  <c:v>4.2989627347947099</c:v>
                </c:pt>
                <c:pt idx="7">
                  <c:v>4.3294364321435799</c:v>
                </c:pt>
                <c:pt idx="8">
                  <c:v>4.3290158983638003</c:v>
                </c:pt>
                <c:pt idx="9">
                  <c:v>4.33720658020491</c:v>
                </c:pt>
                <c:pt idx="10">
                  <c:v>4.35939013120979</c:v>
                </c:pt>
                <c:pt idx="11">
                  <c:v>4.4614514777582404</c:v>
                </c:pt>
                <c:pt idx="12">
                  <c:v>4.5391417926211597</c:v>
                </c:pt>
                <c:pt idx="13">
                  <c:v>4.5122098670136701</c:v>
                </c:pt>
                <c:pt idx="14">
                  <c:v>4.5713854108416703</c:v>
                </c:pt>
                <c:pt idx="15">
                  <c:v>4.5919244007796296</c:v>
                </c:pt>
                <c:pt idx="16">
                  <c:v>4.4637236019984696</c:v>
                </c:pt>
                <c:pt idx="17">
                  <c:v>4.4329444821471098</c:v>
                </c:pt>
                <c:pt idx="18">
                  <c:v>4.5521047780324499</c:v>
                </c:pt>
                <c:pt idx="19">
                  <c:v>4.63845819471927</c:v>
                </c:pt>
                <c:pt idx="20">
                  <c:v>4.4754993530274296</c:v>
                </c:pt>
                <c:pt idx="21">
                  <c:v>4.13325997427531</c:v>
                </c:pt>
                <c:pt idx="22">
                  <c:v>3.7787679579248401</c:v>
                </c:pt>
                <c:pt idx="23">
                  <c:v>3.6615831610014502</c:v>
                </c:pt>
                <c:pt idx="24">
                  <c:v>3.7122425231974798</c:v>
                </c:pt>
                <c:pt idx="25">
                  <c:v>3.6780272622436798</c:v>
                </c:pt>
                <c:pt idx="26">
                  <c:v>3.58917796002165</c:v>
                </c:pt>
                <c:pt idx="27">
                  <c:v>3.51007405520336</c:v>
                </c:pt>
                <c:pt idx="28">
                  <c:v>3.5016168625171602</c:v>
                </c:pt>
                <c:pt idx="29">
                  <c:v>3.49839505492338</c:v>
                </c:pt>
                <c:pt idx="30">
                  <c:v>3.56909632744122</c:v>
                </c:pt>
                <c:pt idx="31">
                  <c:v>3.6776906109934702</c:v>
                </c:pt>
                <c:pt idx="32">
                  <c:v>3.70668895519945</c:v>
                </c:pt>
                <c:pt idx="33">
                  <c:v>3.79172973299264</c:v>
                </c:pt>
                <c:pt idx="34">
                  <c:v>3.9045130384671101</c:v>
                </c:pt>
                <c:pt idx="35">
                  <c:v>4.02111104438755</c:v>
                </c:pt>
                <c:pt idx="36">
                  <c:v>4.0342092011044501</c:v>
                </c:pt>
                <c:pt idx="37">
                  <c:v>3.98405031413209</c:v>
                </c:pt>
                <c:pt idx="38">
                  <c:v>3.9872389028197399</c:v>
                </c:pt>
                <c:pt idx="39">
                  <c:v>4.0725952472030098</c:v>
                </c:pt>
                <c:pt idx="40">
                  <c:v>4.1477670382628098</c:v>
                </c:pt>
                <c:pt idx="41">
                  <c:v>4.1473652037933304</c:v>
                </c:pt>
                <c:pt idx="42">
                  <c:v>4.1974828578205301</c:v>
                </c:pt>
                <c:pt idx="43">
                  <c:v>4.3302771767465504</c:v>
                </c:pt>
                <c:pt idx="44">
                  <c:v>4.5630485575549304</c:v>
                </c:pt>
                <c:pt idx="45">
                  <c:v>4.7137297748433102</c:v>
                </c:pt>
                <c:pt idx="46">
                  <c:v>4.8050695471571503</c:v>
                </c:pt>
                <c:pt idx="47">
                  <c:v>4.9409673416119197</c:v>
                </c:pt>
                <c:pt idx="48">
                  <c:v>4.9810169759466199</c:v>
                </c:pt>
                <c:pt idx="49">
                  <c:v>4.9277890077721498</c:v>
                </c:pt>
                <c:pt idx="50">
                  <c:v>4.7899791508914298</c:v>
                </c:pt>
                <c:pt idx="51">
                  <c:v>4.6003433827280897</c:v>
                </c:pt>
                <c:pt idx="52">
                  <c:v>4.4243307253035002</c:v>
                </c:pt>
                <c:pt idx="53">
                  <c:v>4.35114730592068</c:v>
                </c:pt>
                <c:pt idx="54">
                  <c:v>4.4150642613183901</c:v>
                </c:pt>
                <c:pt idx="55">
                  <c:v>4.4787710701160304</c:v>
                </c:pt>
                <c:pt idx="56">
                  <c:v>4.5814661979048497</c:v>
                </c:pt>
                <c:pt idx="57">
                  <c:v>4.7388760072376197</c:v>
                </c:pt>
                <c:pt idx="58">
                  <c:v>4.9452851418842201</c:v>
                </c:pt>
                <c:pt idx="59">
                  <c:v>5.1259067450346798</c:v>
                </c:pt>
                <c:pt idx="60">
                  <c:v>5.0989756730627596</c:v>
                </c:pt>
                <c:pt idx="61">
                  <c:v>5.0586440060350197</c:v>
                </c:pt>
                <c:pt idx="62">
                  <c:v>5.08439498773933</c:v>
                </c:pt>
                <c:pt idx="63">
                  <c:v>4.9656789247411197</c:v>
                </c:pt>
                <c:pt idx="64">
                  <c:v>4.9332459145459104</c:v>
                </c:pt>
                <c:pt idx="65">
                  <c:v>5.0095683641855198</c:v>
                </c:pt>
                <c:pt idx="66">
                  <c:v>5.0379094088698002</c:v>
                </c:pt>
                <c:pt idx="67">
                  <c:v>5.1877336821115803</c:v>
                </c:pt>
                <c:pt idx="68">
                  <c:v>5.2007145993143</c:v>
                </c:pt>
                <c:pt idx="69">
                  <c:v>5.0794383972456396</c:v>
                </c:pt>
                <c:pt idx="70">
                  <c:v>4.9189540894389197</c:v>
                </c:pt>
                <c:pt idx="71">
                  <c:v>4.8304248627411903</c:v>
                </c:pt>
                <c:pt idx="72">
                  <c:v>4.8594085381954102</c:v>
                </c:pt>
                <c:pt idx="73">
                  <c:v>4.9368882430617402</c:v>
                </c:pt>
                <c:pt idx="74">
                  <c:v>4.8798957604802702</c:v>
                </c:pt>
                <c:pt idx="75">
                  <c:v>4.8748252490716704</c:v>
                </c:pt>
                <c:pt idx="76">
                  <c:v>5.3078400434085804</c:v>
                </c:pt>
                <c:pt idx="77">
                  <c:v>6.0323533179084698</c:v>
                </c:pt>
                <c:pt idx="78">
                  <c:v>5.9552874488591403</c:v>
                </c:pt>
                <c:pt idx="79">
                  <c:v>6.1569219575125302</c:v>
                </c:pt>
                <c:pt idx="80">
                  <c:v>6.4722220667055002</c:v>
                </c:pt>
                <c:pt idx="81">
                  <c:v>6.3076810210872596</c:v>
                </c:pt>
                <c:pt idx="82">
                  <c:v>6.0168608485017598</c:v>
                </c:pt>
                <c:pt idx="83">
                  <c:v>5.91824819674392</c:v>
                </c:pt>
                <c:pt idx="84">
                  <c:v>5.8326362553576603</c:v>
                </c:pt>
                <c:pt idx="85">
                  <c:v>5.8090872279606902</c:v>
                </c:pt>
                <c:pt idx="86">
                  <c:v>5.6023072043665696</c:v>
                </c:pt>
                <c:pt idx="87">
                  <c:v>5.8823520481730602</c:v>
                </c:pt>
                <c:pt idx="88">
                  <c:v>6.1278385422533903</c:v>
                </c:pt>
                <c:pt idx="89">
                  <c:v>6.3549234899691802</c:v>
                </c:pt>
                <c:pt idx="90">
                  <c:v>6.4331794199965504</c:v>
                </c:pt>
                <c:pt idx="91">
                  <c:v>6.5413772123022698</c:v>
                </c:pt>
                <c:pt idx="92">
                  <c:v>6.7359114125502</c:v>
                </c:pt>
                <c:pt idx="93">
                  <c:v>6.7123587951181003</c:v>
                </c:pt>
                <c:pt idx="94">
                  <c:v>6.4093141226000396</c:v>
                </c:pt>
                <c:pt idx="95">
                  <c:v>6.2132519758012599</c:v>
                </c:pt>
                <c:pt idx="96">
                  <c:v>6.1868378077686499</c:v>
                </c:pt>
                <c:pt idx="97">
                  <c:v>6.2612768553718796</c:v>
                </c:pt>
                <c:pt idx="98">
                  <c:v>6.2816900995963598</c:v>
                </c:pt>
                <c:pt idx="99">
                  <c:v>6.17489686932237</c:v>
                </c:pt>
                <c:pt idx="100">
                  <c:v>6.2181524387639904</c:v>
                </c:pt>
                <c:pt idx="101">
                  <c:v>6.36559920062352</c:v>
                </c:pt>
                <c:pt idx="102">
                  <c:v>6.4120403403772999</c:v>
                </c:pt>
                <c:pt idx="103">
                  <c:v>6.5442122780523002</c:v>
                </c:pt>
                <c:pt idx="104">
                  <c:v>6.7148292523056901</c:v>
                </c:pt>
                <c:pt idx="105">
                  <c:v>6.7478257394353696</c:v>
                </c:pt>
                <c:pt idx="106">
                  <c:v>6.7634651877758998</c:v>
                </c:pt>
                <c:pt idx="107">
                  <c:v>6.5543332519954296</c:v>
                </c:pt>
                <c:pt idx="108">
                  <c:v>6.4300905191484103</c:v>
                </c:pt>
                <c:pt idx="109">
                  <c:v>6.2988100777126697</c:v>
                </c:pt>
                <c:pt idx="110">
                  <c:v>6.2503713868695101</c:v>
                </c:pt>
                <c:pt idx="111">
                  <c:v>6.2829679200218003</c:v>
                </c:pt>
                <c:pt idx="112">
                  <c:v>6.3196351903149104</c:v>
                </c:pt>
                <c:pt idx="113">
                  <c:v>6.0995405716495599</c:v>
                </c:pt>
                <c:pt idx="114">
                  <c:v>5.9272986201058604</c:v>
                </c:pt>
                <c:pt idx="115">
                  <c:v>5.8817045837631499</c:v>
                </c:pt>
                <c:pt idx="116">
                  <c:v>5.7638355817487898</c:v>
                </c:pt>
                <c:pt idx="117">
                  <c:v>5.6612047140402799</c:v>
                </c:pt>
                <c:pt idx="118">
                  <c:v>5.7294573964246203</c:v>
                </c:pt>
                <c:pt idx="119">
                  <c:v>5.8379138470045602</c:v>
                </c:pt>
                <c:pt idx="120">
                  <c:v>5.8633392230970696</c:v>
                </c:pt>
                <c:pt idx="121">
                  <c:v>5.6609740986552497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294464"/>
        <c:axId val="443296000"/>
      </c:lineChart>
      <c:dateAx>
        <c:axId val="443294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43296000"/>
        <c:crosses val="autoZero"/>
        <c:auto val="1"/>
        <c:lblOffset val="100"/>
        <c:baseTimeUnit val="months"/>
        <c:majorUnit val="6"/>
        <c:majorTimeUnit val="months"/>
      </c:dateAx>
      <c:valAx>
        <c:axId val="443296000"/>
        <c:scaling>
          <c:orientation val="minMax"/>
          <c:min val="3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432944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v>Bank vs Non-Bank</c:v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numRef>
              <c:f>'740-760'!$B$4:$B$127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'740-760'!$F$4:$F$127</c:f>
              <c:numCache>
                <c:formatCode>0.00</c:formatCode>
                <c:ptCount val="124"/>
                <c:pt idx="0">
                  <c:v>2.5577064637169578E-2</c:v>
                </c:pt>
                <c:pt idx="1">
                  <c:v>-1.397791456509978E-3</c:v>
                </c:pt>
                <c:pt idx="2">
                  <c:v>-5.1691697825099858E-2</c:v>
                </c:pt>
                <c:pt idx="3">
                  <c:v>-1.4577489542920041E-2</c:v>
                </c:pt>
                <c:pt idx="4">
                  <c:v>-3.5028242395593878E-3</c:v>
                </c:pt>
                <c:pt idx="5">
                  <c:v>-1.4193066826720724E-2</c:v>
                </c:pt>
                <c:pt idx="6">
                  <c:v>-2.8826954569109553E-2</c:v>
                </c:pt>
                <c:pt idx="7">
                  <c:v>-4.8026940843629795E-2</c:v>
                </c:pt>
                <c:pt idx="8">
                  <c:v>-2.2502563892579985E-2</c:v>
                </c:pt>
                <c:pt idx="9">
                  <c:v>-2.3470815832330238E-2</c:v>
                </c:pt>
                <c:pt idx="10">
                  <c:v>-4.2540451878780416E-2</c:v>
                </c:pt>
                <c:pt idx="11">
                  <c:v>-2.9154333334420635E-2</c:v>
                </c:pt>
                <c:pt idx="12">
                  <c:v>-1.1151441483679747E-2</c:v>
                </c:pt>
                <c:pt idx="13">
                  <c:v>-4.9896423026919656E-2</c:v>
                </c:pt>
                <c:pt idx="14">
                  <c:v>-1.4376557522299827E-2</c:v>
                </c:pt>
                <c:pt idx="15">
                  <c:v>-3.7269685930990448E-2</c:v>
                </c:pt>
                <c:pt idx="16">
                  <c:v>-2.4824120357250123E-2</c:v>
                </c:pt>
                <c:pt idx="17">
                  <c:v>3.5701093376990123E-2</c:v>
                </c:pt>
                <c:pt idx="18">
                  <c:v>-3.4861866552549969E-2</c:v>
                </c:pt>
                <c:pt idx="19">
                  <c:v>-3.44784896901702E-2</c:v>
                </c:pt>
                <c:pt idx="20">
                  <c:v>-8.9221699039269353E-2</c:v>
                </c:pt>
                <c:pt idx="21">
                  <c:v>-0.14967214429828957</c:v>
                </c:pt>
                <c:pt idx="22">
                  <c:v>-1.1183343475599905E-2</c:v>
                </c:pt>
                <c:pt idx="23">
                  <c:v>2.0550072108960205E-2</c:v>
                </c:pt>
                <c:pt idx="24">
                  <c:v>-1.6344115094530043E-2</c:v>
                </c:pt>
                <c:pt idx="25">
                  <c:v>-1.3633242960202629E-3</c:v>
                </c:pt>
                <c:pt idx="26">
                  <c:v>2.6346420694089989E-2</c:v>
                </c:pt>
                <c:pt idx="27">
                  <c:v>3.454292296747008E-2</c:v>
                </c:pt>
                <c:pt idx="28">
                  <c:v>2.8552070852569944E-2</c:v>
                </c:pt>
                <c:pt idx="29">
                  <c:v>2.0160392448539621E-2</c:v>
                </c:pt>
                <c:pt idx="30">
                  <c:v>5.3174807415229619E-2</c:v>
                </c:pt>
                <c:pt idx="31">
                  <c:v>1.155775915595969E-2</c:v>
                </c:pt>
                <c:pt idx="32">
                  <c:v>-1.6995042135869998E-2</c:v>
                </c:pt>
                <c:pt idx="33">
                  <c:v>1.2859178906500013E-2</c:v>
                </c:pt>
                <c:pt idx="34">
                  <c:v>2.8556562509729932E-2</c:v>
                </c:pt>
                <c:pt idx="35">
                  <c:v>7.0321590467430362E-2</c:v>
                </c:pt>
                <c:pt idx="36">
                  <c:v>2.2167428845439652E-2</c:v>
                </c:pt>
                <c:pt idx="37">
                  <c:v>1.6257619973820248E-2</c:v>
                </c:pt>
                <c:pt idx="38">
                  <c:v>3.8809339137610088E-2</c:v>
                </c:pt>
                <c:pt idx="39">
                  <c:v>2.1224710857070228E-2</c:v>
                </c:pt>
                <c:pt idx="40">
                  <c:v>4.7192819939629871E-2</c:v>
                </c:pt>
                <c:pt idx="41">
                  <c:v>3.5497404044930292E-2</c:v>
                </c:pt>
                <c:pt idx="42">
                  <c:v>3.5676816967010083E-2</c:v>
                </c:pt>
                <c:pt idx="43">
                  <c:v>4.8619092985210166E-2</c:v>
                </c:pt>
                <c:pt idx="44">
                  <c:v>5.7215534940449508E-2</c:v>
                </c:pt>
                <c:pt idx="45">
                  <c:v>2.392238273958025E-2</c:v>
                </c:pt>
                <c:pt idx="46">
                  <c:v>0.10185632876451045</c:v>
                </c:pt>
                <c:pt idx="47">
                  <c:v>0.13270152905725041</c:v>
                </c:pt>
                <c:pt idx="48">
                  <c:v>-4.4683722694019323E-2</c:v>
                </c:pt>
                <c:pt idx="49">
                  <c:v>-0.11310892427448938</c:v>
                </c:pt>
                <c:pt idx="50">
                  <c:v>-0.15961301810433959</c:v>
                </c:pt>
                <c:pt idx="51">
                  <c:v>-0.14133103938256042</c:v>
                </c:pt>
                <c:pt idx="52">
                  <c:v>1.9967270919698521E-3</c:v>
                </c:pt>
                <c:pt idx="53">
                  <c:v>5.4566811672009941E-2</c:v>
                </c:pt>
                <c:pt idx="54">
                  <c:v>2.799760966836029E-2</c:v>
                </c:pt>
                <c:pt idx="55">
                  <c:v>-4.2861737717601045E-3</c:v>
                </c:pt>
                <c:pt idx="56">
                  <c:v>8.8762165770269519E-2</c:v>
                </c:pt>
                <c:pt idx="57">
                  <c:v>7.3704959621140098E-2</c:v>
                </c:pt>
                <c:pt idx="58">
                  <c:v>0.10104620361501038</c:v>
                </c:pt>
                <c:pt idx="59">
                  <c:v>-2.4696409811042486E-4</c:v>
                </c:pt>
                <c:pt idx="60">
                  <c:v>2.1175619762120235E-2</c:v>
                </c:pt>
                <c:pt idx="61">
                  <c:v>-6.8936637068599538E-3</c:v>
                </c:pt>
                <c:pt idx="62">
                  <c:v>-6.2297558720159962E-2</c:v>
                </c:pt>
                <c:pt idx="63">
                  <c:v>-0.20358615651673961</c:v>
                </c:pt>
                <c:pt idx="64">
                  <c:v>-7.0652740948569992E-2</c:v>
                </c:pt>
                <c:pt idx="65">
                  <c:v>-2.4868804122419874E-2</c:v>
                </c:pt>
                <c:pt idx="66">
                  <c:v>-2.7095996346889528E-2</c:v>
                </c:pt>
                <c:pt idx="67">
                  <c:v>-5.7975776718369509E-2</c:v>
                </c:pt>
                <c:pt idx="68">
                  <c:v>-0.17127612619490051</c:v>
                </c:pt>
                <c:pt idx="69">
                  <c:v>-0.27969603983810032</c:v>
                </c:pt>
                <c:pt idx="70">
                  <c:v>-9.5867777233940465E-2</c:v>
                </c:pt>
                <c:pt idx="71">
                  <c:v>-2.5563418833800533E-2</c:v>
                </c:pt>
                <c:pt idx="72">
                  <c:v>0.17208566972739003</c:v>
                </c:pt>
                <c:pt idx="73">
                  <c:v>-0.11804239868842981</c:v>
                </c:pt>
                <c:pt idx="74">
                  <c:v>-0.13537179034865066</c:v>
                </c:pt>
                <c:pt idx="75">
                  <c:v>-2.6070503999870098E-2</c:v>
                </c:pt>
                <c:pt idx="76">
                  <c:v>5.8517038485479844E-2</c:v>
                </c:pt>
                <c:pt idx="77">
                  <c:v>-0.31071062988726972</c:v>
                </c:pt>
                <c:pt idx="78">
                  <c:v>-0.24894151421166999</c:v>
                </c:pt>
                <c:pt idx="79">
                  <c:v>-0.15567047014265967</c:v>
                </c:pt>
                <c:pt idx="80">
                  <c:v>-0.13583500364824985</c:v>
                </c:pt>
                <c:pt idx="81">
                  <c:v>-0.2023730951160001</c:v>
                </c:pt>
                <c:pt idx="82">
                  <c:v>1.4981547701800046E-2</c:v>
                </c:pt>
                <c:pt idx="83">
                  <c:v>-7.743686378003023E-2</c:v>
                </c:pt>
                <c:pt idx="84">
                  <c:v>-2.7317792974590027E-2</c:v>
                </c:pt>
                <c:pt idx="85">
                  <c:v>-0.10955556305503933</c:v>
                </c:pt>
                <c:pt idx="86">
                  <c:v>-7.0795575240030217E-2</c:v>
                </c:pt>
                <c:pt idx="87">
                  <c:v>-0.18627730067037973</c:v>
                </c:pt>
                <c:pt idx="88">
                  <c:v>-0.15426805572173041</c:v>
                </c:pt>
                <c:pt idx="89">
                  <c:v>-1.6874551807330107E-2</c:v>
                </c:pt>
                <c:pt idx="90">
                  <c:v>-5.8237295376570408E-2</c:v>
                </c:pt>
                <c:pt idx="91">
                  <c:v>3.9012660290490331E-2</c:v>
                </c:pt>
                <c:pt idx="92">
                  <c:v>-4.4607405767219888E-2</c:v>
                </c:pt>
                <c:pt idx="93">
                  <c:v>-3.6566719266109438E-2</c:v>
                </c:pt>
                <c:pt idx="94">
                  <c:v>-6.613919057620965E-2</c:v>
                </c:pt>
                <c:pt idx="95">
                  <c:v>-0.15224324118794019</c:v>
                </c:pt>
                <c:pt idx="96">
                  <c:v>-2.9917412344190097E-2</c:v>
                </c:pt>
                <c:pt idx="97">
                  <c:v>-0.16064395911632978</c:v>
                </c:pt>
                <c:pt idx="98">
                  <c:v>-0.1722268988650999</c:v>
                </c:pt>
                <c:pt idx="99">
                  <c:v>-5.9999717176870249E-2</c:v>
                </c:pt>
                <c:pt idx="100">
                  <c:v>-0.22753788441925948</c:v>
                </c:pt>
                <c:pt idx="101">
                  <c:v>-0.25762353420140016</c:v>
                </c:pt>
                <c:pt idx="102">
                  <c:v>-8.0830630751299815E-2</c:v>
                </c:pt>
                <c:pt idx="103">
                  <c:v>-0.10965398183885977</c:v>
                </c:pt>
                <c:pt idx="104">
                  <c:v>-5.2465092171409822E-2</c:v>
                </c:pt>
                <c:pt idx="105">
                  <c:v>-0.11660449825750963</c:v>
                </c:pt>
                <c:pt idx="106">
                  <c:v>-4.7273710950520353E-2</c:v>
                </c:pt>
                <c:pt idx="107">
                  <c:v>-9.1217925729810467E-2</c:v>
                </c:pt>
                <c:pt idx="108">
                  <c:v>-0.33384270367352986</c:v>
                </c:pt>
                <c:pt idx="109">
                  <c:v>-0.2999574438511603</c:v>
                </c:pt>
                <c:pt idx="110">
                  <c:v>-0.25205664962809937</c:v>
                </c:pt>
                <c:pt idx="111">
                  <c:v>-0.33409931813014015</c:v>
                </c:pt>
                <c:pt idx="112">
                  <c:v>-0.29272745097757991</c:v>
                </c:pt>
                <c:pt idx="113">
                  <c:v>-0.13221823718100012</c:v>
                </c:pt>
                <c:pt idx="114">
                  <c:v>-0.29011394656212008</c:v>
                </c:pt>
                <c:pt idx="115">
                  <c:v>-0.27535706387783954</c:v>
                </c:pt>
                <c:pt idx="116">
                  <c:v>-9.4154077889060162E-2</c:v>
                </c:pt>
                <c:pt idx="117">
                  <c:v>1.0821750345293424E-3</c:v>
                </c:pt>
                <c:pt idx="118">
                  <c:v>-0.16638892131090977</c:v>
                </c:pt>
                <c:pt idx="119">
                  <c:v>-7.3226215050349985E-2</c:v>
                </c:pt>
                <c:pt idx="120">
                  <c:v>-0.22542964506642971</c:v>
                </c:pt>
                <c:pt idx="121">
                  <c:v>-0.24565862568536012</c:v>
                </c:pt>
                <c:pt idx="122">
                  <c:v>-0.20430890161915993</c:v>
                </c:pt>
                <c:pt idx="123">
                  <c:v>-0.13162740038177034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152640"/>
        <c:axId val="443322368"/>
      </c:barChart>
      <c:dateAx>
        <c:axId val="443152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443322368"/>
        <c:crosses val="autoZero"/>
        <c:auto val="1"/>
        <c:lblOffset val="100"/>
        <c:baseTimeUnit val="months"/>
        <c:majorUnit val="6"/>
        <c:majorTimeUnit val="months"/>
      </c:dateAx>
      <c:valAx>
        <c:axId val="4433223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43152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v>Bank vs Small</c:v>
          </c:tx>
          <c:spPr>
            <a:solidFill>
              <a:srgbClr val="74B629"/>
            </a:solidFill>
            <a:ln>
              <a:noFill/>
            </a:ln>
          </c:spPr>
          <c:invertIfNegative val="0"/>
          <c:cat>
            <c:numRef>
              <c:f>'740-760'!$B$4:$B$127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'740-760'!$G$4:$G$127</c:f>
              <c:numCache>
                <c:formatCode>0.00</c:formatCode>
                <c:ptCount val="124"/>
                <c:pt idx="0">
                  <c:v>0.13951807184661957</c:v>
                </c:pt>
                <c:pt idx="1">
                  <c:v>9.2149460471429911E-2</c:v>
                </c:pt>
                <c:pt idx="2">
                  <c:v>6.7759171120460149E-2</c:v>
                </c:pt>
                <c:pt idx="3">
                  <c:v>7.9487844120879725E-2</c:v>
                </c:pt>
                <c:pt idx="4">
                  <c:v>8.7555866110080594E-2</c:v>
                </c:pt>
                <c:pt idx="5">
                  <c:v>7.4144982554919636E-2</c:v>
                </c:pt>
                <c:pt idx="6">
                  <c:v>5.9455276263940426E-2</c:v>
                </c:pt>
                <c:pt idx="7">
                  <c:v>3.938211954073001E-2</c:v>
                </c:pt>
                <c:pt idx="8">
                  <c:v>9.0341675213689854E-2</c:v>
                </c:pt>
                <c:pt idx="9">
                  <c:v>5.6117062487699876E-2</c:v>
                </c:pt>
                <c:pt idx="10">
                  <c:v>7.7088675192969802E-2</c:v>
                </c:pt>
                <c:pt idx="11">
                  <c:v>8.2817570875529434E-2</c:v>
                </c:pt>
                <c:pt idx="12">
                  <c:v>7.7501634063670721E-2</c:v>
                </c:pt>
                <c:pt idx="13">
                  <c:v>5.8043904843340322E-2</c:v>
                </c:pt>
                <c:pt idx="14">
                  <c:v>9.0330605754060045E-2</c:v>
                </c:pt>
                <c:pt idx="15">
                  <c:v>6.3335679208630147E-2</c:v>
                </c:pt>
                <c:pt idx="16">
                  <c:v>5.7078741946090084E-2</c:v>
                </c:pt>
                <c:pt idx="17">
                  <c:v>8.0027640212410489E-2</c:v>
                </c:pt>
                <c:pt idx="18">
                  <c:v>5.2655711381380144E-2</c:v>
                </c:pt>
                <c:pt idx="19">
                  <c:v>-3.9858727784110037E-2</c:v>
                </c:pt>
                <c:pt idx="20">
                  <c:v>-7.4603247387859284E-2</c:v>
                </c:pt>
                <c:pt idx="21">
                  <c:v>-6.5275810398589762E-2</c:v>
                </c:pt>
                <c:pt idx="22">
                  <c:v>3.3031327022809975E-2</c:v>
                </c:pt>
                <c:pt idx="23">
                  <c:v>6.1787526731559961E-2</c:v>
                </c:pt>
                <c:pt idx="24">
                  <c:v>4.2289806527000096E-2</c:v>
                </c:pt>
                <c:pt idx="25">
                  <c:v>6.8692059458220101E-2</c:v>
                </c:pt>
                <c:pt idx="26">
                  <c:v>9.8924356874739772E-2</c:v>
                </c:pt>
                <c:pt idx="27">
                  <c:v>9.3482174972700172E-2</c:v>
                </c:pt>
                <c:pt idx="28">
                  <c:v>7.175961088454974E-2</c:v>
                </c:pt>
                <c:pt idx="29">
                  <c:v>0.10608794893517981</c:v>
                </c:pt>
                <c:pt idx="30">
                  <c:v>0.12443961389034985</c:v>
                </c:pt>
                <c:pt idx="31">
                  <c:v>8.3470538661839733E-2</c:v>
                </c:pt>
                <c:pt idx="32">
                  <c:v>6.7138197707509839E-2</c:v>
                </c:pt>
                <c:pt idx="33">
                  <c:v>8.2888719570600067E-2</c:v>
                </c:pt>
                <c:pt idx="34">
                  <c:v>7.8905879396530043E-2</c:v>
                </c:pt>
                <c:pt idx="35">
                  <c:v>0.13027522019153004</c:v>
                </c:pt>
                <c:pt idx="36">
                  <c:v>0.11212903089380966</c:v>
                </c:pt>
                <c:pt idx="37">
                  <c:v>9.8775500472280342E-2</c:v>
                </c:pt>
                <c:pt idx="38">
                  <c:v>0.11366363279066016</c:v>
                </c:pt>
                <c:pt idx="39">
                  <c:v>8.8240948602090086E-2</c:v>
                </c:pt>
                <c:pt idx="40">
                  <c:v>0.10063953216145016</c:v>
                </c:pt>
                <c:pt idx="41">
                  <c:v>9.9607167155419951E-2</c:v>
                </c:pt>
                <c:pt idx="42">
                  <c:v>8.6822716567610314E-2</c:v>
                </c:pt>
                <c:pt idx="43">
                  <c:v>0.10224741835692974</c:v>
                </c:pt>
                <c:pt idx="44">
                  <c:v>0.13475387657773918</c:v>
                </c:pt>
                <c:pt idx="45">
                  <c:v>8.7887052775149854E-2</c:v>
                </c:pt>
                <c:pt idx="46">
                  <c:v>7.589323821011984E-2</c:v>
                </c:pt>
                <c:pt idx="47">
                  <c:v>0.10777562179392053</c:v>
                </c:pt>
                <c:pt idx="48">
                  <c:v>5.9259058890880567E-2</c:v>
                </c:pt>
                <c:pt idx="49">
                  <c:v>5.498528584731055E-2</c:v>
                </c:pt>
                <c:pt idx="50">
                  <c:v>1.0274943661670477E-2</c:v>
                </c:pt>
                <c:pt idx="51">
                  <c:v>4.1784601655630027E-2</c:v>
                </c:pt>
                <c:pt idx="52">
                  <c:v>3.4184946786879777E-2</c:v>
                </c:pt>
                <c:pt idx="53">
                  <c:v>6.9073363821980038E-2</c:v>
                </c:pt>
                <c:pt idx="54">
                  <c:v>0.10470589395792018</c:v>
                </c:pt>
                <c:pt idx="55">
                  <c:v>0.10983557973743974</c:v>
                </c:pt>
                <c:pt idx="56">
                  <c:v>0.1020768481308103</c:v>
                </c:pt>
                <c:pt idx="57">
                  <c:v>9.9745712884200088E-2</c:v>
                </c:pt>
                <c:pt idx="58">
                  <c:v>0.10653225183235993</c:v>
                </c:pt>
                <c:pt idx="59">
                  <c:v>3.2266695177010085E-2</c:v>
                </c:pt>
                <c:pt idx="60">
                  <c:v>2.8884194876840574E-2</c:v>
                </c:pt>
                <c:pt idx="61">
                  <c:v>4.8790102029980353E-2</c:v>
                </c:pt>
                <c:pt idx="62">
                  <c:v>-7.2320122140023813E-4</c:v>
                </c:pt>
                <c:pt idx="63">
                  <c:v>2.9662699541180615E-2</c:v>
                </c:pt>
                <c:pt idx="64">
                  <c:v>5.7472803535329575E-2</c:v>
                </c:pt>
                <c:pt idx="65">
                  <c:v>-8.2311604354998735E-3</c:v>
                </c:pt>
                <c:pt idx="66">
                  <c:v>-6.7833072788801019E-3</c:v>
                </c:pt>
                <c:pt idx="67">
                  <c:v>-0.14411586712922997</c:v>
                </c:pt>
                <c:pt idx="68">
                  <c:v>-0.21385216485928016</c:v>
                </c:pt>
                <c:pt idx="69">
                  <c:v>-0.17333462478107986</c:v>
                </c:pt>
                <c:pt idx="70">
                  <c:v>-0.11358031800851975</c:v>
                </c:pt>
                <c:pt idx="71">
                  <c:v>-6.8496278124970722E-2</c:v>
                </c:pt>
                <c:pt idx="72">
                  <c:v>-6.3292195372480542E-2</c:v>
                </c:pt>
                <c:pt idx="73">
                  <c:v>-6.7288176575000413E-2</c:v>
                </c:pt>
                <c:pt idx="74">
                  <c:v>-3.5788730202300556E-2</c:v>
                </c:pt>
                <c:pt idx="75">
                  <c:v>2.9419563948499317E-2</c:v>
                </c:pt>
                <c:pt idx="76">
                  <c:v>-6.325779071050075E-2</c:v>
                </c:pt>
                <c:pt idx="77">
                  <c:v>-4.0502785716229894E-2</c:v>
                </c:pt>
                <c:pt idx="78">
                  <c:v>-5.6887501014140085E-2</c:v>
                </c:pt>
                <c:pt idx="79">
                  <c:v>-5.968163851288022E-2</c:v>
                </c:pt>
                <c:pt idx="80">
                  <c:v>-1.3390255514989846E-2</c:v>
                </c:pt>
                <c:pt idx="81">
                  <c:v>4.5541973119150647E-2</c:v>
                </c:pt>
                <c:pt idx="82">
                  <c:v>2.1578302311802133E-3</c:v>
                </c:pt>
                <c:pt idx="83">
                  <c:v>5.4415479525999899E-3</c:v>
                </c:pt>
                <c:pt idx="84">
                  <c:v>5.04860043310984E-3</c:v>
                </c:pt>
                <c:pt idx="85">
                  <c:v>-6.9441991928989921E-2</c:v>
                </c:pt>
                <c:pt idx="86">
                  <c:v>3.1373348559520231E-2</c:v>
                </c:pt>
                <c:pt idx="87">
                  <c:v>-6.499847616700194E-3</c:v>
                </c:pt>
                <c:pt idx="88">
                  <c:v>-1.1257086892050516E-2</c:v>
                </c:pt>
                <c:pt idx="89">
                  <c:v>-2.8104875173890598E-2</c:v>
                </c:pt>
                <c:pt idx="90">
                  <c:v>7.6235721840891557E-3</c:v>
                </c:pt>
                <c:pt idx="91">
                  <c:v>-5.1028135331696589E-3</c:v>
                </c:pt>
                <c:pt idx="92">
                  <c:v>-3.7637212397719999E-2</c:v>
                </c:pt>
                <c:pt idx="93">
                  <c:v>-3.1346370832070036E-2</c:v>
                </c:pt>
                <c:pt idx="94">
                  <c:v>-4.1417673829196033E-3</c:v>
                </c:pt>
                <c:pt idx="95">
                  <c:v>4.8260026076990314E-2</c:v>
                </c:pt>
                <c:pt idx="96">
                  <c:v>1.4486177688570301E-2</c:v>
                </c:pt>
                <c:pt idx="97">
                  <c:v>-6.9969518050509549E-2</c:v>
                </c:pt>
                <c:pt idx="98">
                  <c:v>-1.6828333777000104E-2</c:v>
                </c:pt>
                <c:pt idx="99">
                  <c:v>-2.5875984881039926E-2</c:v>
                </c:pt>
                <c:pt idx="100">
                  <c:v>-7.0463522284580193E-2</c:v>
                </c:pt>
                <c:pt idx="101">
                  <c:v>-4.7072033680859882E-2</c:v>
                </c:pt>
                <c:pt idx="102">
                  <c:v>-4.0247041470769851E-2</c:v>
                </c:pt>
                <c:pt idx="103">
                  <c:v>-2.3571045237850363E-2</c:v>
                </c:pt>
                <c:pt idx="104">
                  <c:v>-4.9581550372430172E-2</c:v>
                </c:pt>
                <c:pt idx="105">
                  <c:v>0.10880207446684054</c:v>
                </c:pt>
                <c:pt idx="106">
                  <c:v>-5.3058464406650074E-2</c:v>
                </c:pt>
                <c:pt idx="107">
                  <c:v>4.2089175489079977E-2</c:v>
                </c:pt>
                <c:pt idx="108">
                  <c:v>-8.4369609745579943E-2</c:v>
                </c:pt>
                <c:pt idx="109">
                  <c:v>-8.9044257624397716E-3</c:v>
                </c:pt>
                <c:pt idx="110">
                  <c:v>-1.9673059037059737E-2</c:v>
                </c:pt>
                <c:pt idx="111">
                  <c:v>-2.9411068063540213E-2</c:v>
                </c:pt>
                <c:pt idx="112">
                  <c:v>-3.6605065534920378E-2</c:v>
                </c:pt>
                <c:pt idx="113">
                  <c:v>6.8496343233297452E-3</c:v>
                </c:pt>
                <c:pt idx="114">
                  <c:v>-2.9342498360240832E-2</c:v>
                </c:pt>
                <c:pt idx="115">
                  <c:v>-7.3799734716759602E-2</c:v>
                </c:pt>
                <c:pt idx="116">
                  <c:v>2.3141318616629825E-2</c:v>
                </c:pt>
                <c:pt idx="117">
                  <c:v>8.735188867429855E-3</c:v>
                </c:pt>
                <c:pt idx="118">
                  <c:v>-1.1841244158140363E-2</c:v>
                </c:pt>
                <c:pt idx="119">
                  <c:v>1.7656976119369894E-2</c:v>
                </c:pt>
                <c:pt idx="120">
                  <c:v>3.4058023910910507E-2</c:v>
                </c:pt>
                <c:pt idx="121">
                  <c:v>2.1730064073720357E-2</c:v>
                </c:pt>
                <c:pt idx="122">
                  <c:v>-2.9595420710379905E-2</c:v>
                </c:pt>
                <c:pt idx="123">
                  <c:v>-4.7697619104569711E-2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486208"/>
        <c:axId val="443487744"/>
      </c:barChart>
      <c:dateAx>
        <c:axId val="443486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443487744"/>
        <c:crosses val="autoZero"/>
        <c:auto val="1"/>
        <c:lblOffset val="100"/>
        <c:baseTimeUnit val="months"/>
        <c:majorUnit val="6"/>
        <c:majorTimeUnit val="months"/>
      </c:dateAx>
      <c:valAx>
        <c:axId val="44348774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434862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'760-780'!$C$3</c:f>
              <c:strCache>
                <c:ptCount val="1"/>
                <c:pt idx="0">
                  <c:v>Big Bank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'760-780'!$B$4:$B$127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'760-780'!$C$4:$C$126</c:f>
              <c:numCache>
                <c:formatCode>0.00</c:formatCode>
                <c:ptCount val="123"/>
                <c:pt idx="0">
                  <c:v>3.9988477293593601</c:v>
                </c:pt>
                <c:pt idx="1">
                  <c:v>3.9120077286358401</c:v>
                </c:pt>
                <c:pt idx="2">
                  <c:v>3.89079588552082</c:v>
                </c:pt>
                <c:pt idx="3">
                  <c:v>4.0705550921080302</c:v>
                </c:pt>
                <c:pt idx="4">
                  <c:v>4.2056166798130796</c:v>
                </c:pt>
                <c:pt idx="5">
                  <c:v>4.17954372848489</c:v>
                </c:pt>
                <c:pt idx="6">
                  <c:v>4.3507810913202603</c:v>
                </c:pt>
                <c:pt idx="7">
                  <c:v>4.3658803014577199</c:v>
                </c:pt>
                <c:pt idx="8">
                  <c:v>4.4049111052620802</c:v>
                </c:pt>
                <c:pt idx="9">
                  <c:v>4.3877534547936996</c:v>
                </c:pt>
                <c:pt idx="10">
                  <c:v>4.41735027290059</c:v>
                </c:pt>
                <c:pt idx="11">
                  <c:v>4.5466514290573201</c:v>
                </c:pt>
                <c:pt idx="12">
                  <c:v>4.6037872201175301</c:v>
                </c:pt>
                <c:pt idx="13">
                  <c:v>4.5742148042663899</c:v>
                </c:pt>
                <c:pt idx="14">
                  <c:v>4.6431274491244796</c:v>
                </c:pt>
                <c:pt idx="15">
                  <c:v>4.6558881394695799</c:v>
                </c:pt>
                <c:pt idx="16">
                  <c:v>4.5409899926133397</c:v>
                </c:pt>
                <c:pt idx="17">
                  <c:v>4.4803688539129096</c:v>
                </c:pt>
                <c:pt idx="18">
                  <c:v>4.60664640936014</c:v>
                </c:pt>
                <c:pt idx="19">
                  <c:v>4.5856403061316904</c:v>
                </c:pt>
                <c:pt idx="20">
                  <c:v>4.3809948251733903</c:v>
                </c:pt>
                <c:pt idx="21">
                  <c:v>4.0334437121802802</c:v>
                </c:pt>
                <c:pt idx="22">
                  <c:v>3.7897986606484002</c:v>
                </c:pt>
                <c:pt idx="23">
                  <c:v>3.7083493964005001</c:v>
                </c:pt>
                <c:pt idx="24">
                  <c:v>3.7475370310595699</c:v>
                </c:pt>
                <c:pt idx="25">
                  <c:v>3.7159007838695901</c:v>
                </c:pt>
                <c:pt idx="26">
                  <c:v>3.66542108747295</c:v>
                </c:pt>
                <c:pt idx="27">
                  <c:v>3.5651094295422001</c:v>
                </c:pt>
                <c:pt idx="28">
                  <c:v>3.5471418925548202</c:v>
                </c:pt>
                <c:pt idx="29">
                  <c:v>3.5566548894206398</c:v>
                </c:pt>
                <c:pt idx="30">
                  <c:v>3.6465963301767501</c:v>
                </c:pt>
                <c:pt idx="31">
                  <c:v>3.7207184283035799</c:v>
                </c:pt>
                <c:pt idx="32">
                  <c:v>3.7449296018481899</c:v>
                </c:pt>
                <c:pt idx="33">
                  <c:v>3.8303928758033701</c:v>
                </c:pt>
                <c:pt idx="34">
                  <c:v>3.9551642557445699</c:v>
                </c:pt>
                <c:pt idx="35">
                  <c:v>4.1119502433422701</c:v>
                </c:pt>
                <c:pt idx="36">
                  <c:v>4.1210943766330104</c:v>
                </c:pt>
                <c:pt idx="37">
                  <c:v>4.0638115545201101</c:v>
                </c:pt>
                <c:pt idx="38">
                  <c:v>4.0580524580104997</c:v>
                </c:pt>
                <c:pt idx="39">
                  <c:v>4.1281045175496898</c:v>
                </c:pt>
                <c:pt idx="40">
                  <c:v>4.2204672079655996</c:v>
                </c:pt>
                <c:pt idx="41">
                  <c:v>4.2195944218469403</c:v>
                </c:pt>
                <c:pt idx="42">
                  <c:v>4.2602226653448501</c:v>
                </c:pt>
                <c:pt idx="43">
                  <c:v>4.4145291095092603</c:v>
                </c:pt>
                <c:pt idx="44">
                  <c:v>4.6580195820918497</c:v>
                </c:pt>
                <c:pt idx="45">
                  <c:v>4.7696225032613304</c:v>
                </c:pt>
                <c:pt idx="46">
                  <c:v>4.85847455256358</c:v>
                </c:pt>
                <c:pt idx="47">
                  <c:v>5.0260899490669901</c:v>
                </c:pt>
                <c:pt idx="48">
                  <c:v>5.0665489230691998</c:v>
                </c:pt>
                <c:pt idx="49">
                  <c:v>4.9682258006660902</c:v>
                </c:pt>
                <c:pt idx="50">
                  <c:v>4.7898500857206097</c:v>
                </c:pt>
                <c:pt idx="51">
                  <c:v>4.6101668267854201</c:v>
                </c:pt>
                <c:pt idx="52">
                  <c:v>4.4394506312504696</c:v>
                </c:pt>
                <c:pt idx="53">
                  <c:v>4.3941822780714404</c:v>
                </c:pt>
                <c:pt idx="54">
                  <c:v>4.4863820002727</c:v>
                </c:pt>
                <c:pt idx="55">
                  <c:v>4.5503765586660601</c:v>
                </c:pt>
                <c:pt idx="56">
                  <c:v>4.6748877229983501</c:v>
                </c:pt>
                <c:pt idx="57">
                  <c:v>4.8204122702152601</c:v>
                </c:pt>
                <c:pt idx="58">
                  <c:v>5.0171109521898201</c:v>
                </c:pt>
                <c:pt idx="59">
                  <c:v>5.1380396857494102</c:v>
                </c:pt>
                <c:pt idx="60">
                  <c:v>5.11009274027864</c:v>
                </c:pt>
                <c:pt idx="61">
                  <c:v>5.09123686905063</c:v>
                </c:pt>
                <c:pt idx="62">
                  <c:v>5.0543228575984998</c:v>
                </c:pt>
                <c:pt idx="63">
                  <c:v>4.9774019442176396</c:v>
                </c:pt>
                <c:pt idx="64">
                  <c:v>4.9701386240353296</c:v>
                </c:pt>
                <c:pt idx="65">
                  <c:v>4.99333452881101</c:v>
                </c:pt>
                <c:pt idx="66">
                  <c:v>4.9993734161874599</c:v>
                </c:pt>
                <c:pt idx="67">
                  <c:v>5.0222045158643596</c:v>
                </c:pt>
                <c:pt idx="68">
                  <c:v>4.9734131818363103</c:v>
                </c:pt>
                <c:pt idx="69">
                  <c:v>4.87533872181156</c:v>
                </c:pt>
                <c:pt idx="70">
                  <c:v>4.7931879427430202</c:v>
                </c:pt>
                <c:pt idx="71">
                  <c:v>4.74954296822962</c:v>
                </c:pt>
                <c:pt idx="72">
                  <c:v>4.7673905806620498</c:v>
                </c:pt>
                <c:pt idx="73">
                  <c:v>4.8493156883507504</c:v>
                </c:pt>
                <c:pt idx="74">
                  <c:v>4.8288602942897496</c:v>
                </c:pt>
                <c:pt idx="75">
                  <c:v>4.87396568932341</c:v>
                </c:pt>
                <c:pt idx="76">
                  <c:v>5.1983110834377202</c:v>
                </c:pt>
                <c:pt idx="77">
                  <c:v>5.9619963430663496</c:v>
                </c:pt>
                <c:pt idx="78">
                  <c:v>5.8933863825905997</c:v>
                </c:pt>
                <c:pt idx="79">
                  <c:v>6.0822656928193899</c:v>
                </c:pt>
                <c:pt idx="80">
                  <c:v>6.4204483470980698</c:v>
                </c:pt>
                <c:pt idx="81">
                  <c:v>6.3240655492943301</c:v>
                </c:pt>
                <c:pt idx="82">
                  <c:v>6.0029308486846</c:v>
                </c:pt>
                <c:pt idx="83">
                  <c:v>5.9213250806722399</c:v>
                </c:pt>
                <c:pt idx="84">
                  <c:v>5.8169697589589697</c:v>
                </c:pt>
                <c:pt idx="85">
                  <c:v>5.7553322883539098</c:v>
                </c:pt>
                <c:pt idx="86">
                  <c:v>5.59974686247417</c:v>
                </c:pt>
                <c:pt idx="87">
                  <c:v>5.8675506804778799</c:v>
                </c:pt>
                <c:pt idx="88">
                  <c:v>6.1110091593399796</c:v>
                </c:pt>
                <c:pt idx="89">
                  <c:v>6.3124919391191403</c:v>
                </c:pt>
                <c:pt idx="90">
                  <c:v>6.4527250274341501</c:v>
                </c:pt>
                <c:pt idx="91">
                  <c:v>6.5348683303144899</c:v>
                </c:pt>
                <c:pt idx="92">
                  <c:v>6.6678007935860597</c:v>
                </c:pt>
                <c:pt idx="93">
                  <c:v>6.6773063710148302</c:v>
                </c:pt>
                <c:pt idx="94">
                  <c:v>6.3707306393361796</c:v>
                </c:pt>
                <c:pt idx="95">
                  <c:v>6.2678029406831302</c:v>
                </c:pt>
                <c:pt idx="96">
                  <c:v>6.1757184931430604</c:v>
                </c:pt>
                <c:pt idx="97">
                  <c:v>6.1704295704535399</c:v>
                </c:pt>
                <c:pt idx="98">
                  <c:v>6.2734794151098203</c:v>
                </c:pt>
                <c:pt idx="99">
                  <c:v>6.1123327196803396</c:v>
                </c:pt>
                <c:pt idx="100">
                  <c:v>6.1368199171769202</c:v>
                </c:pt>
                <c:pt idx="101">
                  <c:v>6.2819651938195404</c:v>
                </c:pt>
                <c:pt idx="102">
                  <c:v>6.3353850615272398</c:v>
                </c:pt>
                <c:pt idx="103">
                  <c:v>6.5067158097515199</c:v>
                </c:pt>
                <c:pt idx="104">
                  <c:v>6.67055913178298</c:v>
                </c:pt>
                <c:pt idx="105">
                  <c:v>6.8119379081735802</c:v>
                </c:pt>
                <c:pt idx="106">
                  <c:v>6.6366539689627402</c:v>
                </c:pt>
                <c:pt idx="107">
                  <c:v>6.5635318845604997</c:v>
                </c:pt>
                <c:pt idx="108">
                  <c:v>6.4372992201954196</c:v>
                </c:pt>
                <c:pt idx="109">
                  <c:v>6.2321303315143703</c:v>
                </c:pt>
                <c:pt idx="110">
                  <c:v>6.1263105164854998</c:v>
                </c:pt>
                <c:pt idx="111">
                  <c:v>6.13933753944284</c:v>
                </c:pt>
                <c:pt idx="112">
                  <c:v>6.2208817905574403</c:v>
                </c:pt>
                <c:pt idx="113">
                  <c:v>6.0583441103025697</c:v>
                </c:pt>
                <c:pt idx="114">
                  <c:v>5.8415440831293202</c:v>
                </c:pt>
                <c:pt idx="115">
                  <c:v>5.7866769560738298</c:v>
                </c:pt>
                <c:pt idx="116">
                  <c:v>5.7856933647298696</c:v>
                </c:pt>
                <c:pt idx="117">
                  <c:v>5.6548333247895401</c:v>
                </c:pt>
                <c:pt idx="118">
                  <c:v>5.6930161095548799</c:v>
                </c:pt>
                <c:pt idx="119">
                  <c:v>5.8388230199565196</c:v>
                </c:pt>
                <c:pt idx="120">
                  <c:v>5.9082662298694704</c:v>
                </c:pt>
                <c:pt idx="121">
                  <c:v>5.6835079040144603</c:v>
                </c:pt>
                <c:pt idx="122">
                  <c:v>5.6253979070136602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'760-780'!$D$3</c:f>
              <c:strCache>
                <c:ptCount val="1"/>
                <c:pt idx="0">
                  <c:v>Big Non-Bank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'760-780'!$B$4:$B$127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'760-780'!$D$4:$D$126</c:f>
              <c:numCache>
                <c:formatCode>0.00</c:formatCode>
                <c:ptCount val="123"/>
                <c:pt idx="0">
                  <c:v>3.9647872876775598</c:v>
                </c:pt>
                <c:pt idx="1">
                  <c:v>3.9308805736364998</c:v>
                </c:pt>
                <c:pt idx="2">
                  <c:v>3.9315463917649902</c:v>
                </c:pt>
                <c:pt idx="3">
                  <c:v>4.0734067078240797</c:v>
                </c:pt>
                <c:pt idx="4">
                  <c:v>4.2073909074850402</c:v>
                </c:pt>
                <c:pt idx="5">
                  <c:v>4.2148576463730096</c:v>
                </c:pt>
                <c:pt idx="6">
                  <c:v>4.3905793648985698</c:v>
                </c:pt>
                <c:pt idx="7">
                  <c:v>4.3934433874477801</c:v>
                </c:pt>
                <c:pt idx="8">
                  <c:v>4.4309052004051397</c:v>
                </c:pt>
                <c:pt idx="9">
                  <c:v>4.3899942408996804</c:v>
                </c:pt>
                <c:pt idx="10">
                  <c:v>4.45817074144865</c:v>
                </c:pt>
                <c:pt idx="11">
                  <c:v>4.5536222811850298</c:v>
                </c:pt>
                <c:pt idx="12">
                  <c:v>4.6173658552143602</c:v>
                </c:pt>
                <c:pt idx="13">
                  <c:v>4.5685571115905699</c:v>
                </c:pt>
                <c:pt idx="14">
                  <c:v>4.6279014041330004</c:v>
                </c:pt>
                <c:pt idx="15">
                  <c:v>4.6796136851377899</c:v>
                </c:pt>
                <c:pt idx="16">
                  <c:v>4.5334011998603501</c:v>
                </c:pt>
                <c:pt idx="17">
                  <c:v>4.4619520967461197</c:v>
                </c:pt>
                <c:pt idx="18">
                  <c:v>4.5922804834520203</c:v>
                </c:pt>
                <c:pt idx="19">
                  <c:v>4.6016311948725299</c:v>
                </c:pt>
                <c:pt idx="20">
                  <c:v>4.4552943473404003</c:v>
                </c:pt>
                <c:pt idx="21">
                  <c:v>4.1608061748677496</c:v>
                </c:pt>
                <c:pt idx="22">
                  <c:v>3.8090797954468001</c:v>
                </c:pt>
                <c:pt idx="23">
                  <c:v>3.6899981864764602</c:v>
                </c:pt>
                <c:pt idx="24">
                  <c:v>3.7346258215685899</c:v>
                </c:pt>
                <c:pt idx="25">
                  <c:v>3.7207630263445499</c:v>
                </c:pt>
                <c:pt idx="26">
                  <c:v>3.6336289301730802</c:v>
                </c:pt>
                <c:pt idx="27">
                  <c:v>3.5305652798099398</c:v>
                </c:pt>
                <c:pt idx="28">
                  <c:v>3.53567386141677</c:v>
                </c:pt>
                <c:pt idx="29">
                  <c:v>3.5599321990530401</c:v>
                </c:pt>
                <c:pt idx="30">
                  <c:v>3.62511659708486</c:v>
                </c:pt>
                <c:pt idx="31">
                  <c:v>3.73491467171384</c:v>
                </c:pt>
                <c:pt idx="32">
                  <c:v>3.7599690270473798</c:v>
                </c:pt>
                <c:pt idx="33">
                  <c:v>3.8173751839488399</c:v>
                </c:pt>
                <c:pt idx="34">
                  <c:v>3.9169104867537601</c:v>
                </c:pt>
                <c:pt idx="35">
                  <c:v>4.0291610650154004</c:v>
                </c:pt>
                <c:pt idx="36">
                  <c:v>4.0884115861838497</c:v>
                </c:pt>
                <c:pt idx="37">
                  <c:v>4.0434365635653098</c:v>
                </c:pt>
                <c:pt idx="38">
                  <c:v>4.0554087567918904</c:v>
                </c:pt>
                <c:pt idx="39">
                  <c:v>4.0880277900203303</c:v>
                </c:pt>
                <c:pt idx="40">
                  <c:v>4.1571822675333099</c:v>
                </c:pt>
                <c:pt idx="41">
                  <c:v>4.1634464949843801</c:v>
                </c:pt>
                <c:pt idx="42">
                  <c:v>4.2034567692180804</c:v>
                </c:pt>
                <c:pt idx="43">
                  <c:v>4.3109516782640203</c:v>
                </c:pt>
                <c:pt idx="44">
                  <c:v>4.6876430833502898</c:v>
                </c:pt>
                <c:pt idx="45">
                  <c:v>4.6947218186488699</c:v>
                </c:pt>
                <c:pt idx="46">
                  <c:v>4.8229856045758996</c:v>
                </c:pt>
                <c:pt idx="47">
                  <c:v>4.9949864976510598</c:v>
                </c:pt>
                <c:pt idx="48">
                  <c:v>5.1349391360750296</c:v>
                </c:pt>
                <c:pt idx="49">
                  <c:v>5.0438830894543702</c:v>
                </c:pt>
                <c:pt idx="50">
                  <c:v>4.8784505993763601</c:v>
                </c:pt>
                <c:pt idx="51">
                  <c:v>4.77825406533033</c:v>
                </c:pt>
                <c:pt idx="52">
                  <c:v>4.4620515883564202</c:v>
                </c:pt>
                <c:pt idx="53">
                  <c:v>4.2827138265687701</c:v>
                </c:pt>
                <c:pt idx="54">
                  <c:v>4.4330866225285499</c:v>
                </c:pt>
                <c:pt idx="55">
                  <c:v>4.5075818876402298</c:v>
                </c:pt>
                <c:pt idx="56">
                  <c:v>4.6271889599454603</c:v>
                </c:pt>
                <c:pt idx="57">
                  <c:v>4.7513173143053598</c:v>
                </c:pt>
                <c:pt idx="58">
                  <c:v>4.9184598919129803</c:v>
                </c:pt>
                <c:pt idx="59">
                  <c:v>5.1211093900538902</c:v>
                </c:pt>
                <c:pt idx="60">
                  <c:v>5.1030579644707501</c:v>
                </c:pt>
                <c:pt idx="61">
                  <c:v>5.0930792057824501</c:v>
                </c:pt>
                <c:pt idx="62">
                  <c:v>5.0033032384244498</c:v>
                </c:pt>
                <c:pt idx="63">
                  <c:v>5.0162579983151696</c:v>
                </c:pt>
                <c:pt idx="64">
                  <c:v>4.9353516120407699</c:v>
                </c:pt>
                <c:pt idx="65">
                  <c:v>5.0398486385929298</c:v>
                </c:pt>
                <c:pt idx="66">
                  <c:v>4.9411824885396296</c:v>
                </c:pt>
                <c:pt idx="67">
                  <c:v>5.1824411405274597</c:v>
                </c:pt>
                <c:pt idx="68">
                  <c:v>5.2377286478678</c:v>
                </c:pt>
                <c:pt idx="69">
                  <c:v>5.1308400568723904</c:v>
                </c:pt>
                <c:pt idx="70">
                  <c:v>4.8778681047695001</c:v>
                </c:pt>
                <c:pt idx="71">
                  <c:v>4.6974013095210196</c:v>
                </c:pt>
                <c:pt idx="72">
                  <c:v>4.5600800310524603</c:v>
                </c:pt>
                <c:pt idx="73">
                  <c:v>4.9874446544947997</c:v>
                </c:pt>
                <c:pt idx="74">
                  <c:v>4.8899800558284197</c:v>
                </c:pt>
                <c:pt idx="75">
                  <c:v>4.9100783921274198</c:v>
                </c:pt>
                <c:pt idx="76">
                  <c:v>5.1059277261200302</c:v>
                </c:pt>
                <c:pt idx="77">
                  <c:v>5.875</c:v>
                </c:pt>
                <c:pt idx="78">
                  <c:v>5.9640574480148301</c:v>
                </c:pt>
                <c:pt idx="79">
                  <c:v>6.2369303849845998</c:v>
                </c:pt>
                <c:pt idx="80">
                  <c:v>6.4144272844272798</c:v>
                </c:pt>
                <c:pt idx="81">
                  <c:v>6.5646607231399603</c:v>
                </c:pt>
                <c:pt idx="82">
                  <c:v>6.1355113407054596</c:v>
                </c:pt>
                <c:pt idx="83">
                  <c:v>6.0392686203711401</c:v>
                </c:pt>
                <c:pt idx="84">
                  <c:v>5.7946481701635397</c:v>
                </c:pt>
                <c:pt idx="85">
                  <c:v>5.9386735306513696</c:v>
                </c:pt>
                <c:pt idx="86">
                  <c:v>5.6626788191798996</c:v>
                </c:pt>
                <c:pt idx="87">
                  <c:v>5.9382550548379402</c:v>
                </c:pt>
                <c:pt idx="88">
                  <c:v>6.3337756925243598</c:v>
                </c:pt>
                <c:pt idx="89">
                  <c:v>6.4721562089634199</c:v>
                </c:pt>
                <c:pt idx="90">
                  <c:v>6.4640508086970296</c:v>
                </c:pt>
                <c:pt idx="91">
                  <c:v>6.4826944663867199</c:v>
                </c:pt>
                <c:pt idx="92">
                  <c:v>6.6361594609769696</c:v>
                </c:pt>
                <c:pt idx="93">
                  <c:v>6.75706755593803</c:v>
                </c:pt>
                <c:pt idx="94">
                  <c:v>6.5128185694447103</c:v>
                </c:pt>
                <c:pt idx="95">
                  <c:v>6.3355453341663699</c:v>
                </c:pt>
                <c:pt idx="96">
                  <c:v>6.3683854405878799</c:v>
                </c:pt>
                <c:pt idx="97">
                  <c:v>6.1436940835436102</c:v>
                </c:pt>
                <c:pt idx="98">
                  <c:v>6.4917604311467798</c:v>
                </c:pt>
                <c:pt idx="99">
                  <c:v>6.2247855552195297</c:v>
                </c:pt>
                <c:pt idx="100">
                  <c:v>6.5165441798144101</c:v>
                </c:pt>
                <c:pt idx="101">
                  <c:v>6.5958002067310204</c:v>
                </c:pt>
                <c:pt idx="102">
                  <c:v>6.6562349777040097</c:v>
                </c:pt>
                <c:pt idx="103">
                  <c:v>6.7348932639698598</c:v>
                </c:pt>
                <c:pt idx="104">
                  <c:v>6.9650586019254899</c:v>
                </c:pt>
                <c:pt idx="105">
                  <c:v>6.8968305594185901</c:v>
                </c:pt>
                <c:pt idx="106">
                  <c:v>6.98660431198478</c:v>
                </c:pt>
                <c:pt idx="107">
                  <c:v>6.7190791523839204</c:v>
                </c:pt>
                <c:pt idx="108">
                  <c:v>6.5135909536651102</c:v>
                </c:pt>
                <c:pt idx="109">
                  <c:v>6.64362864077669</c:v>
                </c:pt>
                <c:pt idx="110">
                  <c:v>6.4776459533097004</c:v>
                </c:pt>
                <c:pt idx="111">
                  <c:v>6.6900631510088999</c:v>
                </c:pt>
                <c:pt idx="112">
                  <c:v>6.4126256872554297</c:v>
                </c:pt>
                <c:pt idx="113">
                  <c:v>6.4031326034063198</c:v>
                </c:pt>
                <c:pt idx="114">
                  <c:v>5.8455866197956698</c:v>
                </c:pt>
                <c:pt idx="115">
                  <c:v>5.9591111776646297</c:v>
                </c:pt>
                <c:pt idx="116">
                  <c:v>5.8884467208973303</c:v>
                </c:pt>
                <c:pt idx="117">
                  <c:v>5.6567594424460399</c:v>
                </c:pt>
                <c:pt idx="118">
                  <c:v>5.8201260525941301</c:v>
                </c:pt>
                <c:pt idx="119">
                  <c:v>6.2684407663580304</c:v>
                </c:pt>
                <c:pt idx="120">
                  <c:v>6.0147863908107704</c:v>
                </c:pt>
                <c:pt idx="121">
                  <c:v>5.9611671497637904</c:v>
                </c:pt>
                <c:pt idx="122">
                  <c:v>5.7445769250037504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'760-780'!$E$3</c:f>
              <c:strCache>
                <c:ptCount val="1"/>
                <c:pt idx="0">
                  <c:v>Small Lender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'760-780'!$B$4:$B$127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'760-780'!$E$4:$E$125</c:f>
              <c:numCache>
                <c:formatCode>0.00</c:formatCode>
                <c:ptCount val="122"/>
                <c:pt idx="0">
                  <c:v>3.8782178130639098</c:v>
                </c:pt>
                <c:pt idx="1">
                  <c:v>3.8319800033062199</c:v>
                </c:pt>
                <c:pt idx="2">
                  <c:v>3.8138413668047102</c:v>
                </c:pt>
                <c:pt idx="3">
                  <c:v>3.94727572539015</c:v>
                </c:pt>
                <c:pt idx="4">
                  <c:v>4.1008843144134097</c:v>
                </c:pt>
                <c:pt idx="5">
                  <c:v>4.13139829332194</c:v>
                </c:pt>
                <c:pt idx="6">
                  <c:v>4.2683505012812404</c:v>
                </c:pt>
                <c:pt idx="7">
                  <c:v>4.3101970063312001</c:v>
                </c:pt>
                <c:pt idx="8">
                  <c:v>4.3178313732494598</c:v>
                </c:pt>
                <c:pt idx="9">
                  <c:v>4.3085176554459501</c:v>
                </c:pt>
                <c:pt idx="10">
                  <c:v>4.3482447615353301</c:v>
                </c:pt>
                <c:pt idx="11">
                  <c:v>4.4579895491326997</c:v>
                </c:pt>
                <c:pt idx="12">
                  <c:v>4.5012617210399899</c:v>
                </c:pt>
                <c:pt idx="13">
                  <c:v>4.5014287636166204</c:v>
                </c:pt>
                <c:pt idx="14">
                  <c:v>4.5479784207842098</c:v>
                </c:pt>
                <c:pt idx="15">
                  <c:v>4.5839948830699901</c:v>
                </c:pt>
                <c:pt idx="16">
                  <c:v>4.4431073587180503</c:v>
                </c:pt>
                <c:pt idx="17">
                  <c:v>4.4068790974691598</c:v>
                </c:pt>
                <c:pt idx="18">
                  <c:v>4.5428754568186296</c:v>
                </c:pt>
                <c:pt idx="19">
                  <c:v>4.6169217113404102</c:v>
                </c:pt>
                <c:pt idx="20">
                  <c:v>4.4566747944017999</c:v>
                </c:pt>
                <c:pt idx="21">
                  <c:v>4.1224340180553103</c:v>
                </c:pt>
                <c:pt idx="22">
                  <c:v>3.74293674602175</c:v>
                </c:pt>
                <c:pt idx="23">
                  <c:v>3.6470250575748002</c:v>
                </c:pt>
                <c:pt idx="24">
                  <c:v>3.6883274307925999</c:v>
                </c:pt>
                <c:pt idx="25">
                  <c:v>3.66755109992451</c:v>
                </c:pt>
                <c:pt idx="26">
                  <c:v>3.5635432301412</c:v>
                </c:pt>
                <c:pt idx="27">
                  <c:v>3.4804503200575998</c:v>
                </c:pt>
                <c:pt idx="28">
                  <c:v>3.48315456004361</c:v>
                </c:pt>
                <c:pt idx="29">
                  <c:v>3.48911849559377</c:v>
                </c:pt>
                <c:pt idx="30">
                  <c:v>3.5514647614513399</c:v>
                </c:pt>
                <c:pt idx="31">
                  <c:v>3.65707977620387</c:v>
                </c:pt>
                <c:pt idx="32">
                  <c:v>3.6880503208118398</c:v>
                </c:pt>
                <c:pt idx="33">
                  <c:v>3.7803988484297002</c:v>
                </c:pt>
                <c:pt idx="34">
                  <c:v>3.8869674248049799</c:v>
                </c:pt>
                <c:pt idx="35">
                  <c:v>4.0072850818423396</c:v>
                </c:pt>
                <c:pt idx="36">
                  <c:v>4.0237979272396602</c:v>
                </c:pt>
                <c:pt idx="37">
                  <c:v>3.9610702730041698</c:v>
                </c:pt>
                <c:pt idx="38">
                  <c:v>3.9693919772562398</c:v>
                </c:pt>
                <c:pt idx="39">
                  <c:v>4.0486123306079396</c:v>
                </c:pt>
                <c:pt idx="40">
                  <c:v>4.1259013998423599</c:v>
                </c:pt>
                <c:pt idx="41">
                  <c:v>4.1188958302335603</c:v>
                </c:pt>
                <c:pt idx="42">
                  <c:v>4.1698816799644298</c:v>
                </c:pt>
                <c:pt idx="43">
                  <c:v>4.2946674282793396</c:v>
                </c:pt>
                <c:pt idx="44">
                  <c:v>4.5556647248416402</c:v>
                </c:pt>
                <c:pt idx="45">
                  <c:v>4.6980877011206399</c:v>
                </c:pt>
                <c:pt idx="46">
                  <c:v>4.8036687128784097</c:v>
                </c:pt>
                <c:pt idx="47">
                  <c:v>4.9315152881865396</c:v>
                </c:pt>
                <c:pt idx="48">
                  <c:v>4.9563635506744701</c:v>
                </c:pt>
                <c:pt idx="49">
                  <c:v>4.9419898556147297</c:v>
                </c:pt>
                <c:pt idx="50">
                  <c:v>4.7711543966721797</c:v>
                </c:pt>
                <c:pt idx="51">
                  <c:v>4.5958034391096003</c:v>
                </c:pt>
                <c:pt idx="52">
                  <c:v>4.3885698982433397</c:v>
                </c:pt>
                <c:pt idx="53">
                  <c:v>4.3334052729172301</c:v>
                </c:pt>
                <c:pt idx="54">
                  <c:v>4.3957463381326098</c:v>
                </c:pt>
                <c:pt idx="55">
                  <c:v>4.4556445005338503</c:v>
                </c:pt>
                <c:pt idx="56">
                  <c:v>4.56449726960716</c:v>
                </c:pt>
                <c:pt idx="57">
                  <c:v>4.7138452068571199</c:v>
                </c:pt>
                <c:pt idx="58">
                  <c:v>4.9225915958696502</c:v>
                </c:pt>
                <c:pt idx="59">
                  <c:v>5.1109190069278698</c:v>
                </c:pt>
                <c:pt idx="60">
                  <c:v>5.0750138173057202</c:v>
                </c:pt>
                <c:pt idx="61">
                  <c:v>5.04898174597266</c:v>
                </c:pt>
                <c:pt idx="62">
                  <c:v>5.0549950271886699</c:v>
                </c:pt>
                <c:pt idx="63">
                  <c:v>4.9510595416154004</c:v>
                </c:pt>
                <c:pt idx="64">
                  <c:v>4.9300469920806202</c:v>
                </c:pt>
                <c:pt idx="65">
                  <c:v>4.9694754699872901</c:v>
                </c:pt>
                <c:pt idx="66">
                  <c:v>5.0132530847905503</c:v>
                </c:pt>
                <c:pt idx="67">
                  <c:v>5.1543480484206396</c:v>
                </c:pt>
                <c:pt idx="68">
                  <c:v>5.1739142642388698</c:v>
                </c:pt>
                <c:pt idx="69">
                  <c:v>5.0485034040849497</c:v>
                </c:pt>
                <c:pt idx="70">
                  <c:v>4.8928508896680096</c:v>
                </c:pt>
                <c:pt idx="71">
                  <c:v>4.8263012369527996</c:v>
                </c:pt>
                <c:pt idx="72">
                  <c:v>4.8410301901347896</c:v>
                </c:pt>
                <c:pt idx="73">
                  <c:v>4.9222355302905099</c:v>
                </c:pt>
                <c:pt idx="74">
                  <c:v>4.8596990352408902</c:v>
                </c:pt>
                <c:pt idx="75">
                  <c:v>4.85838995279091</c:v>
                </c:pt>
                <c:pt idx="76">
                  <c:v>5.2053438143347597</c:v>
                </c:pt>
                <c:pt idx="77">
                  <c:v>5.9953763294180202</c:v>
                </c:pt>
                <c:pt idx="78">
                  <c:v>5.9182345866314101</c:v>
                </c:pt>
                <c:pt idx="79">
                  <c:v>6.08967900653579</c:v>
                </c:pt>
                <c:pt idx="80">
                  <c:v>6.4337984005909199</c:v>
                </c:pt>
                <c:pt idx="81">
                  <c:v>6.3000244935377703</c:v>
                </c:pt>
                <c:pt idx="82">
                  <c:v>6.0397158687936097</c:v>
                </c:pt>
                <c:pt idx="83">
                  <c:v>5.8436612002083104</c:v>
                </c:pt>
                <c:pt idx="84">
                  <c:v>5.7871827480997604</c:v>
                </c:pt>
                <c:pt idx="85">
                  <c:v>5.7611836170899098</c:v>
                </c:pt>
                <c:pt idx="86">
                  <c:v>5.5831625513869199</c:v>
                </c:pt>
                <c:pt idx="87">
                  <c:v>5.8565984089235998</c:v>
                </c:pt>
                <c:pt idx="88">
                  <c:v>6.1644542409341199</c:v>
                </c:pt>
                <c:pt idx="89">
                  <c:v>6.3334680893234596</c:v>
                </c:pt>
                <c:pt idx="90">
                  <c:v>6.3856406924408997</c:v>
                </c:pt>
                <c:pt idx="91">
                  <c:v>6.5197712529279901</c:v>
                </c:pt>
                <c:pt idx="92">
                  <c:v>6.6714015129844402</c:v>
                </c:pt>
                <c:pt idx="93">
                  <c:v>6.7430887071841799</c:v>
                </c:pt>
                <c:pt idx="94">
                  <c:v>6.3608083404395197</c:v>
                </c:pt>
                <c:pt idx="95">
                  <c:v>6.1716869489849504</c:v>
                </c:pt>
                <c:pt idx="96">
                  <c:v>6.1235548857975202</c:v>
                </c:pt>
                <c:pt idx="97">
                  <c:v>6.2021846357639596</c:v>
                </c:pt>
                <c:pt idx="98">
                  <c:v>6.2234425216837099</c:v>
                </c:pt>
                <c:pt idx="99">
                  <c:v>6.1797282938581297</c:v>
                </c:pt>
                <c:pt idx="100">
                  <c:v>6.1697818177973396</c:v>
                </c:pt>
                <c:pt idx="101">
                  <c:v>6.3642203203070196</c:v>
                </c:pt>
                <c:pt idx="102">
                  <c:v>6.4408885469046799</c:v>
                </c:pt>
                <c:pt idx="103">
                  <c:v>6.4858387142310603</c:v>
                </c:pt>
                <c:pt idx="104">
                  <c:v>6.7389124751744998</c:v>
                </c:pt>
                <c:pt idx="105">
                  <c:v>6.7150962626014197</c:v>
                </c:pt>
                <c:pt idx="106">
                  <c:v>6.7226870967189596</c:v>
                </c:pt>
                <c:pt idx="107">
                  <c:v>6.5509433453643302</c:v>
                </c:pt>
                <c:pt idx="108">
                  <c:v>6.4289519530610999</c:v>
                </c:pt>
                <c:pt idx="109">
                  <c:v>6.3050788170775798</c:v>
                </c:pt>
                <c:pt idx="110">
                  <c:v>6.1967593138514996</c:v>
                </c:pt>
                <c:pt idx="111">
                  <c:v>6.2414171820969697</c:v>
                </c:pt>
                <c:pt idx="112">
                  <c:v>6.3129080428514399</c:v>
                </c:pt>
                <c:pt idx="113">
                  <c:v>6.0299715540644403</c:v>
                </c:pt>
                <c:pt idx="114">
                  <c:v>5.8814607536836601</c:v>
                </c:pt>
                <c:pt idx="115">
                  <c:v>5.8300555283568203</c:v>
                </c:pt>
                <c:pt idx="116">
                  <c:v>5.7810129347446599</c:v>
                </c:pt>
                <c:pt idx="117">
                  <c:v>5.6346392397349101</c:v>
                </c:pt>
                <c:pt idx="118">
                  <c:v>5.6969807373237904</c:v>
                </c:pt>
                <c:pt idx="119">
                  <c:v>5.8114222441047998</c:v>
                </c:pt>
                <c:pt idx="120">
                  <c:v>5.8587221278035599</c:v>
                </c:pt>
                <c:pt idx="121">
                  <c:v>5.5944230699715503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573760"/>
        <c:axId val="443575296"/>
      </c:lineChart>
      <c:dateAx>
        <c:axId val="443573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43575296"/>
        <c:crosses val="autoZero"/>
        <c:auto val="1"/>
        <c:lblOffset val="100"/>
        <c:baseTimeUnit val="months"/>
        <c:majorUnit val="6"/>
        <c:majorTimeUnit val="months"/>
      </c:dateAx>
      <c:valAx>
        <c:axId val="443575296"/>
        <c:scaling>
          <c:orientation val="minMax"/>
          <c:min val="3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435737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v>Bank vs Non-Bank</c:v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numRef>
              <c:f>'760-780'!$B$4:$B$127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'760-780'!$F$4:$F$127</c:f>
              <c:numCache>
                <c:formatCode>0.00</c:formatCode>
                <c:ptCount val="124"/>
                <c:pt idx="0">
                  <c:v>3.4060441681800224E-2</c:v>
                </c:pt>
                <c:pt idx="1">
                  <c:v>-1.8872845000659666E-2</c:v>
                </c:pt>
                <c:pt idx="2">
                  <c:v>-4.0750506244170204E-2</c:v>
                </c:pt>
                <c:pt idx="3">
                  <c:v>-2.851615716049416E-3</c:v>
                </c:pt>
                <c:pt idx="4">
                  <c:v>-1.7742276719605599E-3</c:v>
                </c:pt>
                <c:pt idx="5">
                  <c:v>-3.5313917888119661E-2</c:v>
                </c:pt>
                <c:pt idx="6">
                  <c:v>-3.9798273578309562E-2</c:v>
                </c:pt>
                <c:pt idx="7">
                  <c:v>-2.7563085990060188E-2</c:v>
                </c:pt>
                <c:pt idx="8">
                  <c:v>-2.5994095143059504E-2</c:v>
                </c:pt>
                <c:pt idx="9">
                  <c:v>-2.2407861059807743E-3</c:v>
                </c:pt>
                <c:pt idx="10">
                  <c:v>-4.0820468548059985E-2</c:v>
                </c:pt>
                <c:pt idx="11">
                  <c:v>-6.970852127709648E-3</c:v>
                </c:pt>
                <c:pt idx="12">
                  <c:v>-1.3578635096830105E-2</c:v>
                </c:pt>
                <c:pt idx="13">
                  <c:v>5.6576926758200585E-3</c:v>
                </c:pt>
                <c:pt idx="14">
                  <c:v>1.5226044991479171E-2</c:v>
                </c:pt>
                <c:pt idx="15">
                  <c:v>-2.3725545668209946E-2</c:v>
                </c:pt>
                <c:pt idx="16">
                  <c:v>7.588792752989626E-3</c:v>
                </c:pt>
                <c:pt idx="17">
                  <c:v>1.8416757166789921E-2</c:v>
                </c:pt>
                <c:pt idx="18">
                  <c:v>1.4365925908119692E-2</c:v>
                </c:pt>
                <c:pt idx="19">
                  <c:v>-1.5990888740839537E-2</c:v>
                </c:pt>
                <c:pt idx="20">
                  <c:v>-7.4299522167009968E-2</c:v>
                </c:pt>
                <c:pt idx="21">
                  <c:v>-0.12736246268746942</c:v>
                </c:pt>
                <c:pt idx="22">
                  <c:v>-1.9281134798399879E-2</c:v>
                </c:pt>
                <c:pt idx="23">
                  <c:v>1.8351209924039935E-2</c:v>
                </c:pt>
                <c:pt idx="24">
                  <c:v>1.2911209490980013E-2</c:v>
                </c:pt>
                <c:pt idx="25">
                  <c:v>-4.8622424749598103E-3</c:v>
                </c:pt>
                <c:pt idx="26">
                  <c:v>3.1792157299869839E-2</c:v>
                </c:pt>
                <c:pt idx="27">
                  <c:v>3.4544149732260276E-2</c:v>
                </c:pt>
                <c:pt idx="28">
                  <c:v>1.1468031138050172E-2</c:v>
                </c:pt>
                <c:pt idx="29">
                  <c:v>-3.2773096324003603E-3</c:v>
                </c:pt>
                <c:pt idx="30">
                  <c:v>2.1479733091890107E-2</c:v>
                </c:pt>
                <c:pt idx="31">
                  <c:v>-1.4196243410260045E-2</c:v>
                </c:pt>
                <c:pt idx="32">
                  <c:v>-1.5039425199189882E-2</c:v>
                </c:pt>
                <c:pt idx="33">
                  <c:v>1.3017691854530167E-2</c:v>
                </c:pt>
                <c:pt idx="34">
                  <c:v>3.8253768990809789E-2</c:v>
                </c:pt>
                <c:pt idx="35">
                  <c:v>8.2789178326869717E-2</c:v>
                </c:pt>
                <c:pt idx="36">
                  <c:v>3.268279044916067E-2</c:v>
                </c:pt>
                <c:pt idx="37">
                  <c:v>2.0374990954800332E-2</c:v>
                </c:pt>
                <c:pt idx="38">
                  <c:v>2.6437012186093511E-3</c:v>
                </c:pt>
                <c:pt idx="39">
                  <c:v>4.0076727529359424E-2</c:v>
                </c:pt>
                <c:pt idx="40">
                  <c:v>6.3284940432289716E-2</c:v>
                </c:pt>
                <c:pt idx="41">
                  <c:v>5.6147926862560205E-2</c:v>
                </c:pt>
                <c:pt idx="42">
                  <c:v>5.6765896126769633E-2</c:v>
                </c:pt>
                <c:pt idx="43">
                  <c:v>0.10357743124523999</c:v>
                </c:pt>
                <c:pt idx="44">
                  <c:v>-2.9623501258440044E-2</c:v>
                </c:pt>
                <c:pt idx="45">
                  <c:v>7.4900684612460466E-2</c:v>
                </c:pt>
                <c:pt idx="46">
                  <c:v>3.5488947987680319E-2</c:v>
                </c:pt>
                <c:pt idx="47">
                  <c:v>3.1103451415930294E-2</c:v>
                </c:pt>
                <c:pt idx="48">
                  <c:v>-6.8390213005829814E-2</c:v>
                </c:pt>
                <c:pt idx="49">
                  <c:v>-7.5657288788280042E-2</c:v>
                </c:pt>
                <c:pt idx="50">
                  <c:v>-8.860051365575039E-2</c:v>
                </c:pt>
                <c:pt idx="51">
                  <c:v>-0.16808723854490992</c:v>
                </c:pt>
                <c:pt idx="52">
                  <c:v>-2.260095710595067E-2</c:v>
                </c:pt>
                <c:pt idx="53">
                  <c:v>0.11146845150267026</c:v>
                </c:pt>
                <c:pt idx="54">
                  <c:v>5.3295377744150052E-2</c:v>
                </c:pt>
                <c:pt idx="55">
                  <c:v>4.2794671025830233E-2</c:v>
                </c:pt>
                <c:pt idx="56">
                  <c:v>4.7698763052889781E-2</c:v>
                </c:pt>
                <c:pt idx="57">
                  <c:v>6.9094955909900335E-2</c:v>
                </c:pt>
                <c:pt idx="58">
                  <c:v>9.8651060276839786E-2</c:v>
                </c:pt>
                <c:pt idx="59">
                  <c:v>1.6930295695519959E-2</c:v>
                </c:pt>
                <c:pt idx="60">
                  <c:v>7.0347758078899147E-3</c:v>
                </c:pt>
                <c:pt idx="61">
                  <c:v>-1.8423367318201045E-3</c:v>
                </c:pt>
                <c:pt idx="62">
                  <c:v>5.1019619174049957E-2</c:v>
                </c:pt>
                <c:pt idx="63">
                  <c:v>-3.8856054097530013E-2</c:v>
                </c:pt>
                <c:pt idx="64">
                  <c:v>3.4787011994559691E-2</c:v>
                </c:pt>
                <c:pt idx="65">
                  <c:v>-4.6514109781919721E-2</c:v>
                </c:pt>
                <c:pt idx="66">
                  <c:v>5.8190927647830293E-2</c:v>
                </c:pt>
                <c:pt idx="67">
                  <c:v>-0.16023662466310018</c:v>
                </c:pt>
                <c:pt idx="68">
                  <c:v>-0.2643154660314897</c:v>
                </c:pt>
                <c:pt idx="69">
                  <c:v>-0.25550133506083039</c:v>
                </c:pt>
                <c:pt idx="70">
                  <c:v>-8.4680162026479877E-2</c:v>
                </c:pt>
                <c:pt idx="71">
                  <c:v>5.2141658708600325E-2</c:v>
                </c:pt>
                <c:pt idx="72">
                  <c:v>0.2073105496095895</c:v>
                </c:pt>
                <c:pt idx="73">
                  <c:v>-0.13812896614404924</c:v>
                </c:pt>
                <c:pt idx="74">
                  <c:v>-6.1119761538670048E-2</c:v>
                </c:pt>
                <c:pt idx="75">
                  <c:v>-3.61127028040098E-2</c:v>
                </c:pt>
                <c:pt idx="76">
                  <c:v>9.2383357317689985E-2</c:v>
                </c:pt>
                <c:pt idx="77">
                  <c:v>8.6996343066349624E-2</c:v>
                </c:pt>
                <c:pt idx="78">
                  <c:v>-7.0671065424230406E-2</c:v>
                </c:pt>
                <c:pt idx="79">
                  <c:v>-0.15466469216520995</c:v>
                </c:pt>
                <c:pt idx="80">
                  <c:v>6.0210626707899451E-3</c:v>
                </c:pt>
                <c:pt idx="81">
                  <c:v>-0.24059517384563023</c:v>
                </c:pt>
                <c:pt idx="82">
                  <c:v>-0.13258049202085953</c:v>
                </c:pt>
                <c:pt idx="83">
                  <c:v>-0.11794353969890015</c:v>
                </c:pt>
                <c:pt idx="84">
                  <c:v>2.2321588795430003E-2</c:v>
                </c:pt>
                <c:pt idx="85">
                  <c:v>-0.18334124229745985</c:v>
                </c:pt>
                <c:pt idx="86">
                  <c:v>-6.2931956705729597E-2</c:v>
                </c:pt>
                <c:pt idx="87">
                  <c:v>-7.0704374360060385E-2</c:v>
                </c:pt>
                <c:pt idx="88">
                  <c:v>-0.22276653318438022</c:v>
                </c:pt>
                <c:pt idx="89">
                  <c:v>-0.15966426984427962</c:v>
                </c:pt>
                <c:pt idx="90">
                  <c:v>-1.1325781262879531E-2</c:v>
                </c:pt>
                <c:pt idx="91">
                  <c:v>5.2173863927770014E-2</c:v>
                </c:pt>
                <c:pt idx="92">
                  <c:v>3.1641332609090078E-2</c:v>
                </c:pt>
                <c:pt idx="93">
                  <c:v>-7.9761184923199835E-2</c:v>
                </c:pt>
                <c:pt idx="94">
                  <c:v>-0.14208793010853071</c:v>
                </c:pt>
                <c:pt idx="95">
                  <c:v>-6.7742393483239738E-2</c:v>
                </c:pt>
                <c:pt idx="96">
                  <c:v>-0.19266694744481949</c:v>
                </c:pt>
                <c:pt idx="97">
                  <c:v>2.6735486909929662E-2</c:v>
                </c:pt>
                <c:pt idx="98">
                  <c:v>-0.21828101603695949</c:v>
                </c:pt>
                <c:pt idx="99">
                  <c:v>-0.11245283553919005</c:v>
                </c:pt>
                <c:pt idx="100">
                  <c:v>-0.37972426263748993</c:v>
                </c:pt>
                <c:pt idx="101">
                  <c:v>-0.31383501291147997</c:v>
                </c:pt>
                <c:pt idx="102">
                  <c:v>-0.32084991617676994</c:v>
                </c:pt>
                <c:pt idx="103">
                  <c:v>-0.2281774542183399</c:v>
                </c:pt>
                <c:pt idx="104">
                  <c:v>-0.29449947014250988</c:v>
                </c:pt>
                <c:pt idx="105">
                  <c:v>-8.4892651245009887E-2</c:v>
                </c:pt>
                <c:pt idx="106">
                  <c:v>-0.34995034302203987</c:v>
                </c:pt>
                <c:pt idx="107">
                  <c:v>-0.15554726782342065</c:v>
                </c:pt>
                <c:pt idx="108">
                  <c:v>-7.6291733469690648E-2</c:v>
                </c:pt>
                <c:pt idx="109">
                  <c:v>-0.41149830926231967</c:v>
                </c:pt>
                <c:pt idx="110">
                  <c:v>-0.35133543682420054</c:v>
                </c:pt>
                <c:pt idx="111">
                  <c:v>-0.55072561156605992</c:v>
                </c:pt>
                <c:pt idx="112">
                  <c:v>-0.19174389669798941</c:v>
                </c:pt>
                <c:pt idx="113">
                  <c:v>-0.34478849310375015</c:v>
                </c:pt>
                <c:pt idx="114">
                  <c:v>-4.0425366663496831E-3</c:v>
                </c:pt>
                <c:pt idx="115">
                  <c:v>-0.17243422159079991</c:v>
                </c:pt>
                <c:pt idx="116">
                  <c:v>-0.10275335616746073</c:v>
                </c:pt>
                <c:pt idx="117">
                  <c:v>-1.9261176564997484E-3</c:v>
                </c:pt>
                <c:pt idx="118">
                  <c:v>-0.12710994303925016</c:v>
                </c:pt>
                <c:pt idx="119">
                  <c:v>-0.42961774640151074</c:v>
                </c:pt>
                <c:pt idx="120">
                  <c:v>-0.10652016094130001</c:v>
                </c:pt>
                <c:pt idx="121">
                  <c:v>-0.2776592457493301</c:v>
                </c:pt>
                <c:pt idx="122">
                  <c:v>-0.11917901799009023</c:v>
                </c:pt>
                <c:pt idx="123">
                  <c:v>-1.5562231503440493E-2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620352"/>
        <c:axId val="443622144"/>
      </c:barChart>
      <c:dateAx>
        <c:axId val="443620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443622144"/>
        <c:crosses val="autoZero"/>
        <c:auto val="1"/>
        <c:lblOffset val="100"/>
        <c:baseTimeUnit val="months"/>
        <c:majorUnit val="6"/>
        <c:majorTimeUnit val="months"/>
      </c:dateAx>
      <c:valAx>
        <c:axId val="44362214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43620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v>Bank vs Small</c:v>
          </c:tx>
          <c:spPr>
            <a:solidFill>
              <a:srgbClr val="74B629"/>
            </a:solidFill>
            <a:ln>
              <a:noFill/>
            </a:ln>
          </c:spPr>
          <c:invertIfNegative val="0"/>
          <c:cat>
            <c:numRef>
              <c:f>'760-780'!$B$4:$B$127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'760-780'!$G$4:$G$127</c:f>
              <c:numCache>
                <c:formatCode>0.00</c:formatCode>
                <c:ptCount val="124"/>
                <c:pt idx="0">
                  <c:v>0.12062991629545028</c:v>
                </c:pt>
                <c:pt idx="1">
                  <c:v>8.0027725329620214E-2</c:v>
                </c:pt>
                <c:pt idx="2">
                  <c:v>7.695451871610981E-2</c:v>
                </c:pt>
                <c:pt idx="3">
                  <c:v>0.1232793667178802</c:v>
                </c:pt>
                <c:pt idx="4">
                  <c:v>0.1047323653996699</c:v>
                </c:pt>
                <c:pt idx="5">
                  <c:v>4.8145435162950001E-2</c:v>
                </c:pt>
                <c:pt idx="6">
                  <c:v>8.2430590039019869E-2</c:v>
                </c:pt>
                <c:pt idx="7">
                  <c:v>5.5683295126519816E-2</c:v>
                </c:pt>
                <c:pt idx="8">
                  <c:v>8.7079732012620426E-2</c:v>
                </c:pt>
                <c:pt idx="9">
                  <c:v>7.9235799347749492E-2</c:v>
                </c:pt>
                <c:pt idx="10">
                  <c:v>6.9105511365259886E-2</c:v>
                </c:pt>
                <c:pt idx="11">
                  <c:v>8.8661879924620379E-2</c:v>
                </c:pt>
                <c:pt idx="12">
                  <c:v>0.10252549907754016</c:v>
                </c:pt>
                <c:pt idx="13">
                  <c:v>7.2786040649769568E-2</c:v>
                </c:pt>
                <c:pt idx="14">
                  <c:v>9.5149028340269837E-2</c:v>
                </c:pt>
                <c:pt idx="15">
                  <c:v>7.1893256399589767E-2</c:v>
                </c:pt>
                <c:pt idx="16">
                  <c:v>9.7882633895289395E-2</c:v>
                </c:pt>
                <c:pt idx="17">
                  <c:v>7.3489756443749776E-2</c:v>
                </c:pt>
                <c:pt idx="18">
                  <c:v>6.3770952541510439E-2</c:v>
                </c:pt>
                <c:pt idx="19">
                  <c:v>-3.1281405208719804E-2</c:v>
                </c:pt>
                <c:pt idx="20">
                  <c:v>-7.5679969228409583E-2</c:v>
                </c:pt>
                <c:pt idx="21">
                  <c:v>-8.8990305875030096E-2</c:v>
                </c:pt>
                <c:pt idx="22">
                  <c:v>4.6861914626650236E-2</c:v>
                </c:pt>
                <c:pt idx="23">
                  <c:v>6.1324338825699876E-2</c:v>
                </c:pt>
                <c:pt idx="24">
                  <c:v>5.9209600266969975E-2</c:v>
                </c:pt>
                <c:pt idx="25">
                  <c:v>4.8349683945080102E-2</c:v>
                </c:pt>
                <c:pt idx="26">
                  <c:v>0.10187785733175003</c:v>
                </c:pt>
                <c:pt idx="27">
                  <c:v>8.4659109484600314E-2</c:v>
                </c:pt>
                <c:pt idx="28">
                  <c:v>6.3987332511210138E-2</c:v>
                </c:pt>
                <c:pt idx="29">
                  <c:v>6.7536393826869823E-2</c:v>
                </c:pt>
                <c:pt idx="30">
                  <c:v>9.5131568725410176E-2</c:v>
                </c:pt>
                <c:pt idx="31">
                  <c:v>6.3638652099709869E-2</c:v>
                </c:pt>
                <c:pt idx="32">
                  <c:v>5.6879281036350093E-2</c:v>
                </c:pt>
                <c:pt idx="33">
                  <c:v>4.9994027373669869E-2</c:v>
                </c:pt>
                <c:pt idx="34">
                  <c:v>6.8196830939589947E-2</c:v>
                </c:pt>
                <c:pt idx="35">
                  <c:v>0.10466516149993055</c:v>
                </c:pt>
                <c:pt idx="36">
                  <c:v>9.7296449393350137E-2</c:v>
                </c:pt>
                <c:pt idx="37">
                  <c:v>0.10274128151594031</c:v>
                </c:pt>
                <c:pt idx="38">
                  <c:v>8.8660480754259918E-2</c:v>
                </c:pt>
                <c:pt idx="39">
                  <c:v>7.9492186941750198E-2</c:v>
                </c:pt>
                <c:pt idx="40">
                  <c:v>9.456580812323967E-2</c:v>
                </c:pt>
                <c:pt idx="41">
                  <c:v>0.10069859161338002</c:v>
                </c:pt>
                <c:pt idx="42">
                  <c:v>9.0340985380420236E-2</c:v>
                </c:pt>
                <c:pt idx="43">
                  <c:v>0.11986168122992069</c:v>
                </c:pt>
                <c:pt idx="44">
                  <c:v>0.10235485725020954</c:v>
                </c:pt>
                <c:pt idx="45">
                  <c:v>7.1534802140690523E-2</c:v>
                </c:pt>
                <c:pt idx="46">
                  <c:v>5.4805839685170277E-2</c:v>
                </c:pt>
                <c:pt idx="47">
                  <c:v>9.4574660880450523E-2</c:v>
                </c:pt>
                <c:pt idx="48">
                  <c:v>0.1101853723947297</c:v>
                </c:pt>
                <c:pt idx="49">
                  <c:v>2.623594505136051E-2</c:v>
                </c:pt>
                <c:pt idx="50">
                  <c:v>1.8695689048429998E-2</c:v>
                </c:pt>
                <c:pt idx="51">
                  <c:v>1.4363387675819794E-2</c:v>
                </c:pt>
                <c:pt idx="52">
                  <c:v>5.0880733007129919E-2</c:v>
                </c:pt>
                <c:pt idx="53">
                  <c:v>6.0777005154210251E-2</c:v>
                </c:pt>
                <c:pt idx="54">
                  <c:v>9.0635662140090112E-2</c:v>
                </c:pt>
                <c:pt idx="55">
                  <c:v>9.4732058132209751E-2</c:v>
                </c:pt>
                <c:pt idx="56">
                  <c:v>0.11039045339119014</c:v>
                </c:pt>
                <c:pt idx="57">
                  <c:v>0.10656706335814015</c:v>
                </c:pt>
                <c:pt idx="58">
                  <c:v>9.4519356320169834E-2</c:v>
                </c:pt>
                <c:pt idx="59">
                  <c:v>2.7120678821540345E-2</c:v>
                </c:pt>
                <c:pt idx="60">
                  <c:v>3.5078922972919813E-2</c:v>
                </c:pt>
                <c:pt idx="61">
                  <c:v>4.2255123077969969E-2</c:v>
                </c:pt>
                <c:pt idx="62">
                  <c:v>-6.7216959017013522E-4</c:v>
                </c:pt>
                <c:pt idx="63">
                  <c:v>2.634240260223919E-2</c:v>
                </c:pt>
                <c:pt idx="64">
                  <c:v>4.0091631954709328E-2</c:v>
                </c:pt>
                <c:pt idx="65">
                  <c:v>2.385905882371997E-2</c:v>
                </c:pt>
                <c:pt idx="66">
                  <c:v>-1.3879668603090423E-2</c:v>
                </c:pt>
                <c:pt idx="67">
                  <c:v>-0.13214353255628009</c:v>
                </c:pt>
                <c:pt idx="68">
                  <c:v>-0.20050108240255948</c:v>
                </c:pt>
                <c:pt idx="69">
                  <c:v>-0.17316468227338966</c:v>
                </c:pt>
                <c:pt idx="70">
                  <c:v>-9.9662946924989448E-2</c:v>
                </c:pt>
                <c:pt idx="71">
                  <c:v>-7.675826872317959E-2</c:v>
                </c:pt>
                <c:pt idx="72">
                  <c:v>-7.3639609472739842E-2</c:v>
                </c:pt>
                <c:pt idx="73">
                  <c:v>-7.2919841939759422E-2</c:v>
                </c:pt>
                <c:pt idx="74">
                  <c:v>-3.0838740951140586E-2</c:v>
                </c:pt>
                <c:pt idx="75">
                  <c:v>1.5575736532499995E-2</c:v>
                </c:pt>
                <c:pt idx="76">
                  <c:v>-7.0327308970394853E-3</c:v>
                </c:pt>
                <c:pt idx="77">
                  <c:v>-3.337998635167061E-2</c:v>
                </c:pt>
                <c:pt idx="78">
                  <c:v>-2.4848204040810451E-2</c:v>
                </c:pt>
                <c:pt idx="79">
                  <c:v>-7.4133137164000829E-3</c:v>
                </c:pt>
                <c:pt idx="80">
                  <c:v>-1.3350053492850122E-2</c:v>
                </c:pt>
                <c:pt idx="81">
                  <c:v>2.4041055756559793E-2</c:v>
                </c:pt>
                <c:pt idx="82">
                  <c:v>-3.6785020109009636E-2</c:v>
                </c:pt>
                <c:pt idx="83">
                  <c:v>7.766388046392958E-2</c:v>
                </c:pt>
                <c:pt idx="84">
                  <c:v>2.9787010859209317E-2</c:v>
                </c:pt>
                <c:pt idx="85">
                  <c:v>-5.8513287360000277E-3</c:v>
                </c:pt>
                <c:pt idx="86">
                  <c:v>1.6584311087250114E-2</c:v>
                </c:pt>
                <c:pt idx="87">
                  <c:v>1.0952271554280024E-2</c:v>
                </c:pt>
                <c:pt idx="88">
                  <c:v>-5.3445081594140298E-2</c:v>
                </c:pt>
                <c:pt idx="89">
                  <c:v>-2.097615020431931E-2</c:v>
                </c:pt>
                <c:pt idx="90">
                  <c:v>6.7084334993250394E-2</c:v>
                </c:pt>
                <c:pt idx="91">
                  <c:v>1.5097077386499791E-2</c:v>
                </c:pt>
                <c:pt idx="92">
                  <c:v>-3.6007193983804697E-3</c:v>
                </c:pt>
                <c:pt idx="93">
                  <c:v>-6.5782336169349698E-2</c:v>
                </c:pt>
                <c:pt idx="94">
                  <c:v>9.9222988966598535E-3</c:v>
                </c:pt>
                <c:pt idx="95">
                  <c:v>9.6115991698179748E-2</c:v>
                </c:pt>
                <c:pt idx="96">
                  <c:v>5.2163607345540264E-2</c:v>
                </c:pt>
                <c:pt idx="97">
                  <c:v>-3.1755065310419717E-2</c:v>
                </c:pt>
                <c:pt idx="98">
                  <c:v>5.0036893426110396E-2</c:v>
                </c:pt>
                <c:pt idx="99">
                  <c:v>-6.7395574177790074E-2</c:v>
                </c:pt>
                <c:pt idx="100">
                  <c:v>-3.2961900620419371E-2</c:v>
                </c:pt>
                <c:pt idx="101">
                  <c:v>-8.2255126487479124E-2</c:v>
                </c:pt>
                <c:pt idx="102">
                  <c:v>-0.10550348537744014</c:v>
                </c:pt>
                <c:pt idx="103">
                  <c:v>2.0877095520459577E-2</c:v>
                </c:pt>
                <c:pt idx="104">
                  <c:v>-6.8353343391519772E-2</c:v>
                </c:pt>
                <c:pt idx="105">
                  <c:v>9.6841645572160573E-2</c:v>
                </c:pt>
                <c:pt idx="106">
                  <c:v>-8.6033127756219407E-2</c:v>
                </c:pt>
                <c:pt idx="107">
                  <c:v>1.2588539196169535E-2</c:v>
                </c:pt>
                <c:pt idx="108">
                  <c:v>8.3472671343196581E-3</c:v>
                </c:pt>
                <c:pt idx="109">
                  <c:v>-7.2948485563209431E-2</c:v>
                </c:pt>
                <c:pt idx="110">
                  <c:v>-7.0448797365999738E-2</c:v>
                </c:pt>
                <c:pt idx="111">
                  <c:v>-0.10207964265412972</c:v>
                </c:pt>
                <c:pt idx="112">
                  <c:v>-9.2026252293999633E-2</c:v>
                </c:pt>
                <c:pt idx="113">
                  <c:v>2.8372556238129398E-2</c:v>
                </c:pt>
                <c:pt idx="114">
                  <c:v>-3.9916670554339895E-2</c:v>
                </c:pt>
                <c:pt idx="115">
                  <c:v>-4.3378572282990469E-2</c:v>
                </c:pt>
                <c:pt idx="116">
                  <c:v>4.6804299852096776E-3</c:v>
                </c:pt>
                <c:pt idx="117">
                  <c:v>2.0194085054630051E-2</c:v>
                </c:pt>
                <c:pt idx="118">
                  <c:v>-3.9646277689104892E-3</c:v>
                </c:pt>
                <c:pt idx="119">
                  <c:v>2.740077585171985E-2</c:v>
                </c:pt>
                <c:pt idx="120">
                  <c:v>4.9544102065910423E-2</c:v>
                </c:pt>
                <c:pt idx="121">
                  <c:v>8.9084834042910011E-2</c:v>
                </c:pt>
                <c:pt idx="122">
                  <c:v>9.8482262695398504E-3</c:v>
                </c:pt>
                <c:pt idx="123">
                  <c:v>-3.3950128377750133E-2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659008"/>
        <c:axId val="443660544"/>
      </c:barChart>
      <c:dateAx>
        <c:axId val="443659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443660544"/>
        <c:crosses val="autoZero"/>
        <c:auto val="1"/>
        <c:lblOffset val="100"/>
        <c:baseTimeUnit val="months"/>
        <c:majorUnit val="6"/>
        <c:majorTimeUnit val="months"/>
      </c:dateAx>
      <c:valAx>
        <c:axId val="44366054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436590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'&gt;780'!$C$3</c:f>
              <c:strCache>
                <c:ptCount val="1"/>
                <c:pt idx="0">
                  <c:v>Big Bank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'&gt;780'!$B$4:$B$127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'&gt;780'!$C$4:$C$126</c:f>
              <c:numCache>
                <c:formatCode>0.00</c:formatCode>
                <c:ptCount val="123"/>
                <c:pt idx="0">
                  <c:v>4.0188236404326796</c:v>
                </c:pt>
                <c:pt idx="1">
                  <c:v>3.9064303765328501</c:v>
                </c:pt>
                <c:pt idx="2">
                  <c:v>3.8776793403525902</c:v>
                </c:pt>
                <c:pt idx="3">
                  <c:v>4.0407399262607004</c:v>
                </c:pt>
                <c:pt idx="4">
                  <c:v>4.1894571015034696</c:v>
                </c:pt>
                <c:pt idx="5">
                  <c:v>4.2003065647893596</c:v>
                </c:pt>
                <c:pt idx="6">
                  <c:v>4.3274368083559898</c:v>
                </c:pt>
                <c:pt idx="7">
                  <c:v>4.3421491903041902</c:v>
                </c:pt>
                <c:pt idx="8">
                  <c:v>4.3963441655133799</c:v>
                </c:pt>
                <c:pt idx="9">
                  <c:v>4.3820098505348097</c:v>
                </c:pt>
                <c:pt idx="10">
                  <c:v>4.4153258241703801</c:v>
                </c:pt>
                <c:pt idx="11">
                  <c:v>4.5541265787680896</c:v>
                </c:pt>
                <c:pt idx="12">
                  <c:v>4.5965060311896702</c:v>
                </c:pt>
                <c:pt idx="13">
                  <c:v>4.5935903100514599</c:v>
                </c:pt>
                <c:pt idx="14">
                  <c:v>4.6501683568840999</c:v>
                </c:pt>
                <c:pt idx="15">
                  <c:v>4.6380265864111703</c:v>
                </c:pt>
                <c:pt idx="16">
                  <c:v>4.5004666143839502</c:v>
                </c:pt>
                <c:pt idx="17">
                  <c:v>4.4778932371259703</c:v>
                </c:pt>
                <c:pt idx="18">
                  <c:v>4.5773067623018404</c:v>
                </c:pt>
                <c:pt idx="19">
                  <c:v>4.6039869758526004</c:v>
                </c:pt>
                <c:pt idx="20">
                  <c:v>4.3850895181552199</c:v>
                </c:pt>
                <c:pt idx="21">
                  <c:v>4.03909840471424</c:v>
                </c:pt>
                <c:pt idx="22">
                  <c:v>3.7713494858115801</c:v>
                </c:pt>
                <c:pt idx="23">
                  <c:v>3.6945095577584599</c:v>
                </c:pt>
                <c:pt idx="24">
                  <c:v>3.7432845529066698</c:v>
                </c:pt>
                <c:pt idx="25">
                  <c:v>3.7187619806635501</c:v>
                </c:pt>
                <c:pt idx="26">
                  <c:v>3.6595182524472198</c:v>
                </c:pt>
                <c:pt idx="27">
                  <c:v>3.5441222077004899</c:v>
                </c:pt>
                <c:pt idx="28">
                  <c:v>3.5302460904744799</c:v>
                </c:pt>
                <c:pt idx="29">
                  <c:v>3.5448481609765601</c:v>
                </c:pt>
                <c:pt idx="30">
                  <c:v>3.6344322946131902</c:v>
                </c:pt>
                <c:pt idx="31">
                  <c:v>3.71543170485227</c:v>
                </c:pt>
                <c:pt idx="32">
                  <c:v>3.7306644168779002</c:v>
                </c:pt>
                <c:pt idx="33">
                  <c:v>3.8156131856244802</c:v>
                </c:pt>
                <c:pt idx="34">
                  <c:v>3.9343711178312302</c:v>
                </c:pt>
                <c:pt idx="35">
                  <c:v>4.0807261532797501</c:v>
                </c:pt>
                <c:pt idx="36">
                  <c:v>4.1003008964526</c:v>
                </c:pt>
                <c:pt idx="37">
                  <c:v>4.0464330554060801</c:v>
                </c:pt>
                <c:pt idx="38">
                  <c:v>4.0440818109932399</c:v>
                </c:pt>
                <c:pt idx="39">
                  <c:v>4.0975330094603102</c:v>
                </c:pt>
                <c:pt idx="40">
                  <c:v>4.1926827180030903</c:v>
                </c:pt>
                <c:pt idx="41">
                  <c:v>4.1929924996765697</c:v>
                </c:pt>
                <c:pt idx="42">
                  <c:v>4.2262522361651698</c:v>
                </c:pt>
                <c:pt idx="43">
                  <c:v>4.40363565968432</c:v>
                </c:pt>
                <c:pt idx="44">
                  <c:v>4.6408405109614002</c:v>
                </c:pt>
                <c:pt idx="45">
                  <c:v>4.7621723516673704</c:v>
                </c:pt>
                <c:pt idx="46">
                  <c:v>4.8394284759145902</c:v>
                </c:pt>
                <c:pt idx="47">
                  <c:v>5.0203191734284101</c:v>
                </c:pt>
                <c:pt idx="48">
                  <c:v>5.0529203570004304</c:v>
                </c:pt>
                <c:pt idx="49">
                  <c:v>5.0000383710524501</c:v>
                </c:pt>
                <c:pt idx="50">
                  <c:v>4.7892160002137096</c:v>
                </c:pt>
                <c:pt idx="51">
                  <c:v>4.6046351461284898</c:v>
                </c:pt>
                <c:pt idx="52">
                  <c:v>4.4139082685069901</c:v>
                </c:pt>
                <c:pt idx="53">
                  <c:v>4.3793216070730701</c:v>
                </c:pt>
                <c:pt idx="54">
                  <c:v>4.4667650360015303</c:v>
                </c:pt>
                <c:pt idx="55">
                  <c:v>4.5328837842016103</c:v>
                </c:pt>
                <c:pt idx="56">
                  <c:v>4.6416834691442803</c:v>
                </c:pt>
                <c:pt idx="57">
                  <c:v>4.7870742057965803</c:v>
                </c:pt>
                <c:pt idx="58">
                  <c:v>4.9860579030232204</c:v>
                </c:pt>
                <c:pt idx="59">
                  <c:v>5.1267410288289996</c:v>
                </c:pt>
                <c:pt idx="60">
                  <c:v>5.110955513106</c:v>
                </c:pt>
                <c:pt idx="61">
                  <c:v>5.0794873645458702</c:v>
                </c:pt>
                <c:pt idx="62">
                  <c:v>5.0467876198818198</c:v>
                </c:pt>
                <c:pt idx="63">
                  <c:v>4.97085457524304</c:v>
                </c:pt>
                <c:pt idx="64">
                  <c:v>4.9590133882120799</c:v>
                </c:pt>
                <c:pt idx="65">
                  <c:v>4.9864746009384602</c:v>
                </c:pt>
                <c:pt idx="66">
                  <c:v>4.9932457210327996</c:v>
                </c:pt>
                <c:pt idx="67">
                  <c:v>4.9999316551020403</c:v>
                </c:pt>
                <c:pt idx="68">
                  <c:v>4.9522263086005696</c:v>
                </c:pt>
                <c:pt idx="69">
                  <c:v>4.8530032926974203</c:v>
                </c:pt>
                <c:pt idx="70">
                  <c:v>4.7669609802361697</c:v>
                </c:pt>
                <c:pt idx="71">
                  <c:v>4.7292709341566299</c:v>
                </c:pt>
                <c:pt idx="72">
                  <c:v>4.7499506127649198</c:v>
                </c:pt>
                <c:pt idx="73">
                  <c:v>4.8315394832643701</c:v>
                </c:pt>
                <c:pt idx="74">
                  <c:v>4.8173274807665996</c:v>
                </c:pt>
                <c:pt idx="75">
                  <c:v>4.8555584954398201</c:v>
                </c:pt>
                <c:pt idx="76">
                  <c:v>5.1407447111417097</c:v>
                </c:pt>
                <c:pt idx="77">
                  <c:v>5.9041344069299697</c:v>
                </c:pt>
                <c:pt idx="78">
                  <c:v>5.8827535577872601</c:v>
                </c:pt>
                <c:pt idx="79">
                  <c:v>5.99310601590446</c:v>
                </c:pt>
                <c:pt idx="80">
                  <c:v>6.4367730073810296</c:v>
                </c:pt>
                <c:pt idx="81">
                  <c:v>6.3426262925826604</c:v>
                </c:pt>
                <c:pt idx="82">
                  <c:v>6.0068887791298797</c:v>
                </c:pt>
                <c:pt idx="83">
                  <c:v>5.8969654268515104</c:v>
                </c:pt>
                <c:pt idx="84">
                  <c:v>5.7975342918871098</c:v>
                </c:pt>
                <c:pt idx="85">
                  <c:v>5.7378863235849504</c:v>
                </c:pt>
                <c:pt idx="86">
                  <c:v>5.6024766853605401</c:v>
                </c:pt>
                <c:pt idx="87">
                  <c:v>5.8252670455318301</c:v>
                </c:pt>
                <c:pt idx="88">
                  <c:v>6.1264448517610903</c:v>
                </c:pt>
                <c:pt idx="89">
                  <c:v>6.3072946764313098</c:v>
                </c:pt>
                <c:pt idx="90">
                  <c:v>6.4591768967114103</c:v>
                </c:pt>
                <c:pt idx="91">
                  <c:v>6.5627678534181797</c:v>
                </c:pt>
                <c:pt idx="92">
                  <c:v>6.7007015289679801</c:v>
                </c:pt>
                <c:pt idx="93">
                  <c:v>6.6835591772507099</c:v>
                </c:pt>
                <c:pt idx="94">
                  <c:v>6.3861310653960297</c:v>
                </c:pt>
                <c:pt idx="95">
                  <c:v>6.2386197022797099</c:v>
                </c:pt>
                <c:pt idx="96">
                  <c:v>6.1860299213782302</c:v>
                </c:pt>
                <c:pt idx="97">
                  <c:v>6.15451126784534</c:v>
                </c:pt>
                <c:pt idx="98">
                  <c:v>6.2660704188391199</c:v>
                </c:pt>
                <c:pt idx="99">
                  <c:v>6.1058404849777999</c:v>
                </c:pt>
                <c:pt idx="100">
                  <c:v>6.0957281116950197</c:v>
                </c:pt>
                <c:pt idx="101">
                  <c:v>6.2472623485637797</c:v>
                </c:pt>
                <c:pt idx="102">
                  <c:v>6.4103836113964796</c:v>
                </c:pt>
                <c:pt idx="103">
                  <c:v>6.5002837945700103</c:v>
                </c:pt>
                <c:pt idx="104">
                  <c:v>6.6398453084460396</c:v>
                </c:pt>
                <c:pt idx="105">
                  <c:v>6.77289661709914</c:v>
                </c:pt>
                <c:pt idx="106">
                  <c:v>6.6793158880929901</c:v>
                </c:pt>
                <c:pt idx="107">
                  <c:v>6.5091227212512104</c:v>
                </c:pt>
                <c:pt idx="108">
                  <c:v>6.3845685191338699</c:v>
                </c:pt>
                <c:pt idx="109">
                  <c:v>6.2701715709641404</c:v>
                </c:pt>
                <c:pt idx="110">
                  <c:v>6.1562255774608596</c:v>
                </c:pt>
                <c:pt idx="111">
                  <c:v>6.1821195731949796</c:v>
                </c:pt>
                <c:pt idx="112">
                  <c:v>6.2665702575542301</c:v>
                </c:pt>
                <c:pt idx="113">
                  <c:v>6.0907000116542003</c:v>
                </c:pt>
                <c:pt idx="114">
                  <c:v>5.8273239926241098</c:v>
                </c:pt>
                <c:pt idx="115">
                  <c:v>5.8076139073631303</c:v>
                </c:pt>
                <c:pt idx="116">
                  <c:v>5.7533483519084001</c:v>
                </c:pt>
                <c:pt idx="117">
                  <c:v>5.6172034955747998</c:v>
                </c:pt>
                <c:pt idx="118">
                  <c:v>5.6698280760302104</c:v>
                </c:pt>
                <c:pt idx="119">
                  <c:v>5.8309431139401902</c:v>
                </c:pt>
                <c:pt idx="120">
                  <c:v>5.8742305098793404</c:v>
                </c:pt>
                <c:pt idx="121">
                  <c:v>5.6990247904808999</c:v>
                </c:pt>
                <c:pt idx="122">
                  <c:v>5.6562446576607304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'&gt;780'!$D$3</c:f>
              <c:strCache>
                <c:ptCount val="1"/>
                <c:pt idx="0">
                  <c:v>Big Non-Bank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'&gt;780'!$B$4:$B$127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'&gt;780'!$D$4:$D$126</c:f>
              <c:numCache>
                <c:formatCode>General</c:formatCode>
                <c:ptCount val="123"/>
                <c:pt idx="0">
                  <c:v>3.9619923265289598</c:v>
                </c:pt>
                <c:pt idx="1">
                  <c:v>3.9222080246684601</c:v>
                </c:pt>
                <c:pt idx="2">
                  <c:v>3.9143514852474599</c:v>
                </c:pt>
                <c:pt idx="3">
                  <c:v>4.03008257469663</c:v>
                </c:pt>
                <c:pt idx="4">
                  <c:v>4.1959626826517296</c:v>
                </c:pt>
                <c:pt idx="5">
                  <c:v>4.2058962848490298</c:v>
                </c:pt>
                <c:pt idx="6">
                  <c:v>4.3793927505783996</c:v>
                </c:pt>
                <c:pt idx="7">
                  <c:v>4.3838606546644101</c:v>
                </c:pt>
                <c:pt idx="8">
                  <c:v>4.4045618085049698</c:v>
                </c:pt>
                <c:pt idx="9">
                  <c:v>4.4009047694785997</c:v>
                </c:pt>
                <c:pt idx="10">
                  <c:v>4.4029859001785399</c:v>
                </c:pt>
                <c:pt idx="11">
                  <c:v>4.5346683493221498</c:v>
                </c:pt>
                <c:pt idx="12">
                  <c:v>4.6021674654647304</c:v>
                </c:pt>
                <c:pt idx="13">
                  <c:v>4.5845237426797301</c:v>
                </c:pt>
                <c:pt idx="14">
                  <c:v>4.6301367353531404</c:v>
                </c:pt>
                <c:pt idx="15">
                  <c:v>4.6969163914643497</c:v>
                </c:pt>
                <c:pt idx="16">
                  <c:v>4.5185053359464096</c:v>
                </c:pt>
                <c:pt idx="17">
                  <c:v>4.46507599143162</c:v>
                </c:pt>
                <c:pt idx="18">
                  <c:v>4.6207537146120901</c:v>
                </c:pt>
                <c:pt idx="19">
                  <c:v>4.6193741299796498</c:v>
                </c:pt>
                <c:pt idx="20">
                  <c:v>4.4634246669411404</c:v>
                </c:pt>
                <c:pt idx="21">
                  <c:v>4.1665876046588997</c:v>
                </c:pt>
                <c:pt idx="22">
                  <c:v>3.7989846965123202</c:v>
                </c:pt>
                <c:pt idx="23">
                  <c:v>3.6802654404695399</c:v>
                </c:pt>
                <c:pt idx="24">
                  <c:v>3.7292648139340598</c:v>
                </c:pt>
                <c:pt idx="25">
                  <c:v>3.7073167808423402</c:v>
                </c:pt>
                <c:pt idx="26">
                  <c:v>3.6069163351139899</c:v>
                </c:pt>
                <c:pt idx="27">
                  <c:v>3.52669362654584</c:v>
                </c:pt>
                <c:pt idx="28">
                  <c:v>3.50719928278733</c:v>
                </c:pt>
                <c:pt idx="29">
                  <c:v>3.5421345700565099</c:v>
                </c:pt>
                <c:pt idx="30">
                  <c:v>3.6112001136266101</c:v>
                </c:pt>
                <c:pt idx="31">
                  <c:v>3.6943353710364</c:v>
                </c:pt>
                <c:pt idx="32">
                  <c:v>3.7240757830785598</c:v>
                </c:pt>
                <c:pt idx="33">
                  <c:v>3.7873909297830801</c:v>
                </c:pt>
                <c:pt idx="34">
                  <c:v>3.8732918215302301</c:v>
                </c:pt>
                <c:pt idx="35">
                  <c:v>4.0131221353162303</c:v>
                </c:pt>
                <c:pt idx="36">
                  <c:v>4.0312222038095804</c:v>
                </c:pt>
                <c:pt idx="37">
                  <c:v>3.98913374268643</c:v>
                </c:pt>
                <c:pt idx="38">
                  <c:v>4.0169016107810904</c:v>
                </c:pt>
                <c:pt idx="39">
                  <c:v>4.0653363232654396</c:v>
                </c:pt>
                <c:pt idx="40">
                  <c:v>4.1263835215617997</c:v>
                </c:pt>
                <c:pt idx="41">
                  <c:v>4.1501280929391298</c:v>
                </c:pt>
                <c:pt idx="42">
                  <c:v>4.1578979589012102</c:v>
                </c:pt>
                <c:pt idx="43">
                  <c:v>4.2965342536245101</c:v>
                </c:pt>
                <c:pt idx="44">
                  <c:v>4.5895405427248397</c:v>
                </c:pt>
                <c:pt idx="45">
                  <c:v>4.7171616428415897</c:v>
                </c:pt>
                <c:pt idx="46">
                  <c:v>4.7804618659226801</c:v>
                </c:pt>
                <c:pt idx="47">
                  <c:v>4.9691043965768698</c:v>
                </c:pt>
                <c:pt idx="48">
                  <c:v>5.0323481445223601</c:v>
                </c:pt>
                <c:pt idx="49">
                  <c:v>5.0528870054575803</c:v>
                </c:pt>
                <c:pt idx="50">
                  <c:v>4.96562004198785</c:v>
                </c:pt>
                <c:pt idx="51">
                  <c:v>4.74216238943721</c:v>
                </c:pt>
                <c:pt idx="52">
                  <c:v>4.4324126048369896</c:v>
                </c:pt>
                <c:pt idx="53">
                  <c:v>4.2752938789089399</c:v>
                </c:pt>
                <c:pt idx="54">
                  <c:v>4.4190151030863802</c:v>
                </c:pt>
                <c:pt idx="55">
                  <c:v>4.515528435507</c:v>
                </c:pt>
                <c:pt idx="56">
                  <c:v>4.6182423965088102</c:v>
                </c:pt>
                <c:pt idx="57">
                  <c:v>4.7956442143931097</c:v>
                </c:pt>
                <c:pt idx="58">
                  <c:v>5.0062789630099802</c:v>
                </c:pt>
                <c:pt idx="59">
                  <c:v>5.1402696624108302</c:v>
                </c:pt>
                <c:pt idx="60">
                  <c:v>5.24143814249698</c:v>
                </c:pt>
                <c:pt idx="61">
                  <c:v>4.9852953372121602</c:v>
                </c:pt>
                <c:pt idx="62">
                  <c:v>5.1781553852159599</c:v>
                </c:pt>
                <c:pt idx="63">
                  <c:v>5.0073343820267802</c:v>
                </c:pt>
                <c:pt idx="64">
                  <c:v>4.9249834087383499</c:v>
                </c:pt>
                <c:pt idx="65">
                  <c:v>5.0045373649981499</c:v>
                </c:pt>
                <c:pt idx="66">
                  <c:v>4.9721326460847504</c:v>
                </c:pt>
                <c:pt idx="67">
                  <c:v>5.1052651113562799</c:v>
                </c:pt>
                <c:pt idx="68">
                  <c:v>5.1517724733710804</c:v>
                </c:pt>
                <c:pt idx="69">
                  <c:v>5.0938781643964504</c:v>
                </c:pt>
                <c:pt idx="70">
                  <c:v>4.8146010839942699</c:v>
                </c:pt>
                <c:pt idx="71">
                  <c:v>4.6755116562757202</c:v>
                </c:pt>
                <c:pt idx="72">
                  <c:v>4.6154274124628998</c:v>
                </c:pt>
                <c:pt idx="73">
                  <c:v>4.9080920457079804</c:v>
                </c:pt>
                <c:pt idx="74">
                  <c:v>4.7672707953448397</c:v>
                </c:pt>
                <c:pt idx="75">
                  <c:v>4.8814261934781804</c:v>
                </c:pt>
                <c:pt idx="76">
                  <c:v>4.9711223535113698</c:v>
                </c:pt>
                <c:pt idx="77">
                  <c:v>6.0442672998643099</c:v>
                </c:pt>
                <c:pt idx="78">
                  <c:v>5.9969842996074902</c:v>
                </c:pt>
                <c:pt idx="79">
                  <c:v>6.3234271273852496</c:v>
                </c:pt>
                <c:pt idx="80">
                  <c:v>6.75774277043912</c:v>
                </c:pt>
                <c:pt idx="81">
                  <c:v>6.36573914948106</c:v>
                </c:pt>
                <c:pt idx="82">
                  <c:v>6.38295306923892</c:v>
                </c:pt>
                <c:pt idx="83">
                  <c:v>5.9209310175524701</c:v>
                </c:pt>
                <c:pt idx="84">
                  <c:v>5.7759017567704003</c:v>
                </c:pt>
                <c:pt idx="85">
                  <c:v>5.9673093945254303</c:v>
                </c:pt>
                <c:pt idx="86">
                  <c:v>5.6462209045211296</c:v>
                </c:pt>
                <c:pt idx="87">
                  <c:v>5.8391431909882598</c:v>
                </c:pt>
                <c:pt idx="88">
                  <c:v>6.3737113738640501</c:v>
                </c:pt>
                <c:pt idx="89">
                  <c:v>6.3725788701393897</c:v>
                </c:pt>
                <c:pt idx="90">
                  <c:v>6.48404030112893</c:v>
                </c:pt>
                <c:pt idx="91">
                  <c:v>6.6393808736961599</c:v>
                </c:pt>
                <c:pt idx="92">
                  <c:v>6.7385501022143499</c:v>
                </c:pt>
                <c:pt idx="93">
                  <c:v>6.8040457102778698</c:v>
                </c:pt>
                <c:pt idx="94">
                  <c:v>6.7479612416652204</c:v>
                </c:pt>
                <c:pt idx="95">
                  <c:v>6.2779297272655503</c:v>
                </c:pt>
                <c:pt idx="96">
                  <c:v>6.1665206136265898</c:v>
                </c:pt>
                <c:pt idx="97">
                  <c:v>6.1173214541290903</c:v>
                </c:pt>
                <c:pt idx="98">
                  <c:v>6.6946489241223102</c:v>
                </c:pt>
                <c:pt idx="99">
                  <c:v>6.2963296745619104</c:v>
                </c:pt>
                <c:pt idx="100">
                  <c:v>6.16276393601186</c:v>
                </c:pt>
                <c:pt idx="101">
                  <c:v>6.4253726139696603</c:v>
                </c:pt>
                <c:pt idx="102">
                  <c:v>6.5933016627078302</c:v>
                </c:pt>
                <c:pt idx="103">
                  <c:v>6.5315024891863196</c:v>
                </c:pt>
                <c:pt idx="104">
                  <c:v>6.9733514821536602</c:v>
                </c:pt>
                <c:pt idx="105">
                  <c:v>6.87024945338898</c:v>
                </c:pt>
                <c:pt idx="106">
                  <c:v>6.6020815088202101</c:v>
                </c:pt>
                <c:pt idx="107">
                  <c:v>6.6900182931203496</c:v>
                </c:pt>
                <c:pt idx="108">
                  <c:v>6.4959122496252801</c:v>
                </c:pt>
                <c:pt idx="109">
                  <c:v>6.5635768435561603</c:v>
                </c:pt>
                <c:pt idx="110">
                  <c:v>6.5291803072273904</c:v>
                </c:pt>
                <c:pt idx="111">
                  <c:v>6.2834499974910898</c:v>
                </c:pt>
                <c:pt idx="112">
                  <c:v>6.3802775605942097</c:v>
                </c:pt>
                <c:pt idx="113">
                  <c:v>6.1888872225554801</c:v>
                </c:pt>
                <c:pt idx="114">
                  <c:v>5.69948735189893</c:v>
                </c:pt>
                <c:pt idx="115">
                  <c:v>5.8646134429833401</c:v>
                </c:pt>
                <c:pt idx="116">
                  <c:v>5.8726856749894196</c:v>
                </c:pt>
                <c:pt idx="117">
                  <c:v>5.8015007989043497</c:v>
                </c:pt>
                <c:pt idx="118">
                  <c:v>5.6551811072236999</c:v>
                </c:pt>
                <c:pt idx="119">
                  <c:v>6.2641429947038896</c:v>
                </c:pt>
                <c:pt idx="120">
                  <c:v>6.1982568069928599</c:v>
                </c:pt>
                <c:pt idx="121">
                  <c:v>6.1572307862925504</c:v>
                </c:pt>
                <c:pt idx="122">
                  <c:v>5.7778080382136396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'&gt;780'!$E$3</c:f>
              <c:strCache>
                <c:ptCount val="1"/>
                <c:pt idx="0">
                  <c:v>Small Lender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'&gt;780'!$B$4:$B$127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'&gt;780'!$E$4:$E$125</c:f>
              <c:numCache>
                <c:formatCode>General</c:formatCode>
                <c:ptCount val="122"/>
                <c:pt idx="0">
                  <c:v>3.8740788140751201</c:v>
                </c:pt>
                <c:pt idx="1">
                  <c:v>3.8145267797199902</c:v>
                </c:pt>
                <c:pt idx="2">
                  <c:v>3.7892119589480302</c:v>
                </c:pt>
                <c:pt idx="3">
                  <c:v>3.9311990792555598</c:v>
                </c:pt>
                <c:pt idx="4">
                  <c:v>4.0771089131905498</c:v>
                </c:pt>
                <c:pt idx="5">
                  <c:v>4.1109757237293403</c:v>
                </c:pt>
                <c:pt idx="6">
                  <c:v>4.2594292316697704</c:v>
                </c:pt>
                <c:pt idx="7">
                  <c:v>4.2880597528310602</c:v>
                </c:pt>
                <c:pt idx="8">
                  <c:v>4.2956025735138601</c:v>
                </c:pt>
                <c:pt idx="9">
                  <c:v>4.2778189402661901</c:v>
                </c:pt>
                <c:pt idx="10">
                  <c:v>4.3266598959485503</c:v>
                </c:pt>
                <c:pt idx="11">
                  <c:v>4.44213747657985</c:v>
                </c:pt>
                <c:pt idx="12">
                  <c:v>4.5021224767829704</c:v>
                </c:pt>
                <c:pt idx="13">
                  <c:v>4.4636492393632503</c:v>
                </c:pt>
                <c:pt idx="14">
                  <c:v>4.5136461979142402</c:v>
                </c:pt>
                <c:pt idx="15">
                  <c:v>4.5638514448369696</c:v>
                </c:pt>
                <c:pt idx="16">
                  <c:v>4.4240419102644299</c:v>
                </c:pt>
                <c:pt idx="17">
                  <c:v>4.3824344798206303</c:v>
                </c:pt>
                <c:pt idx="18">
                  <c:v>4.5297470307234198</c:v>
                </c:pt>
                <c:pt idx="19">
                  <c:v>4.6259607989288698</c:v>
                </c:pt>
                <c:pt idx="20">
                  <c:v>4.4408998235735204</c:v>
                </c:pt>
                <c:pt idx="21">
                  <c:v>4.0888446481768002</c:v>
                </c:pt>
                <c:pt idx="22">
                  <c:v>3.7427274077863499</c:v>
                </c:pt>
                <c:pt idx="23">
                  <c:v>3.6266843452280999</c:v>
                </c:pt>
                <c:pt idx="24">
                  <c:v>3.6863670795783201</c:v>
                </c:pt>
                <c:pt idx="25">
                  <c:v>3.6526556085319801</c:v>
                </c:pt>
                <c:pt idx="26">
                  <c:v>3.5501833676699799</c:v>
                </c:pt>
                <c:pt idx="27">
                  <c:v>3.4706536904649501</c:v>
                </c:pt>
                <c:pt idx="28">
                  <c:v>3.4617594851175499</c:v>
                </c:pt>
                <c:pt idx="29">
                  <c:v>3.4706136113091999</c:v>
                </c:pt>
                <c:pt idx="30">
                  <c:v>3.53429478094561</c:v>
                </c:pt>
                <c:pt idx="31">
                  <c:v>3.6402821920008201</c:v>
                </c:pt>
                <c:pt idx="32">
                  <c:v>3.66981635008894</c:v>
                </c:pt>
                <c:pt idx="33">
                  <c:v>3.76562782023941</c:v>
                </c:pt>
                <c:pt idx="34">
                  <c:v>3.87250223322016</c:v>
                </c:pt>
                <c:pt idx="35">
                  <c:v>3.9955164445293199</c:v>
                </c:pt>
                <c:pt idx="36">
                  <c:v>4.0016950687683703</c:v>
                </c:pt>
                <c:pt idx="37">
                  <c:v>3.9417369029783802</c:v>
                </c:pt>
                <c:pt idx="38">
                  <c:v>3.9523276428813401</c:v>
                </c:pt>
                <c:pt idx="39">
                  <c:v>4.0288902628654997</c:v>
                </c:pt>
                <c:pt idx="40">
                  <c:v>4.1047144188130602</c:v>
                </c:pt>
                <c:pt idx="41">
                  <c:v>4.0935535212387304</c:v>
                </c:pt>
                <c:pt idx="42">
                  <c:v>4.1410263188936396</c:v>
                </c:pt>
                <c:pt idx="43">
                  <c:v>4.2492348498689596</c:v>
                </c:pt>
                <c:pt idx="44">
                  <c:v>4.5142366110604799</c:v>
                </c:pt>
                <c:pt idx="45">
                  <c:v>4.6920023126203096</c:v>
                </c:pt>
                <c:pt idx="46">
                  <c:v>4.76403948215646</c:v>
                </c:pt>
                <c:pt idx="47">
                  <c:v>4.9263596355891996</c:v>
                </c:pt>
                <c:pt idx="48">
                  <c:v>4.9687213025544903</c:v>
                </c:pt>
                <c:pt idx="49">
                  <c:v>4.9487438922149396</c:v>
                </c:pt>
                <c:pt idx="50">
                  <c:v>4.7597244189202996</c:v>
                </c:pt>
                <c:pt idx="51">
                  <c:v>4.5564746336264301</c:v>
                </c:pt>
                <c:pt idx="52">
                  <c:v>4.3667577714882899</c:v>
                </c:pt>
                <c:pt idx="53">
                  <c:v>4.3142420052901302</c:v>
                </c:pt>
                <c:pt idx="54">
                  <c:v>4.3787749368912996</c:v>
                </c:pt>
                <c:pt idx="55">
                  <c:v>4.4457012041651298</c:v>
                </c:pt>
                <c:pt idx="56">
                  <c:v>4.5466457075667899</c:v>
                </c:pt>
                <c:pt idx="57">
                  <c:v>4.6969698472769403</c:v>
                </c:pt>
                <c:pt idx="58">
                  <c:v>4.9006417532334599</c:v>
                </c:pt>
                <c:pt idx="59">
                  <c:v>5.0989236837966798</c:v>
                </c:pt>
                <c:pt idx="60">
                  <c:v>5.0531429960801297</c:v>
                </c:pt>
                <c:pt idx="61">
                  <c:v>5.0357435632926704</c:v>
                </c:pt>
                <c:pt idx="62">
                  <c:v>5.0388800375512997</c:v>
                </c:pt>
                <c:pt idx="63">
                  <c:v>4.9134045369920596</c:v>
                </c:pt>
                <c:pt idx="64">
                  <c:v>4.9013329986585097</c:v>
                </c:pt>
                <c:pt idx="65">
                  <c:v>4.9614437248132504</c:v>
                </c:pt>
                <c:pt idx="66">
                  <c:v>4.9978252085003101</c:v>
                </c:pt>
                <c:pt idx="67">
                  <c:v>5.1542748070174804</c:v>
                </c:pt>
                <c:pt idx="68">
                  <c:v>5.1683926139962901</c:v>
                </c:pt>
                <c:pt idx="69">
                  <c:v>5.028066636998</c:v>
                </c:pt>
                <c:pt idx="70">
                  <c:v>4.8718786893841299</c:v>
                </c:pt>
                <c:pt idx="71">
                  <c:v>4.8090274057737998</c:v>
                </c:pt>
                <c:pt idx="72">
                  <c:v>4.8231001891828198</c:v>
                </c:pt>
                <c:pt idx="73">
                  <c:v>4.8954383354857498</c:v>
                </c:pt>
                <c:pt idx="74">
                  <c:v>4.8457468385071101</c:v>
                </c:pt>
                <c:pt idx="75">
                  <c:v>4.8438918129105302</c:v>
                </c:pt>
                <c:pt idx="76">
                  <c:v>5.1981956085173797</c:v>
                </c:pt>
                <c:pt idx="77">
                  <c:v>5.9370371357603497</c:v>
                </c:pt>
                <c:pt idx="78">
                  <c:v>5.9188842067943801</c:v>
                </c:pt>
                <c:pt idx="79">
                  <c:v>6.1294439953612203</c:v>
                </c:pt>
                <c:pt idx="80">
                  <c:v>6.4240577086180597</c:v>
                </c:pt>
                <c:pt idx="81">
                  <c:v>6.2493425392203497</c:v>
                </c:pt>
                <c:pt idx="82">
                  <c:v>6.0186638264139196</c:v>
                </c:pt>
                <c:pt idx="83">
                  <c:v>5.82664476824496</c:v>
                </c:pt>
                <c:pt idx="84">
                  <c:v>5.7810297474735099</c:v>
                </c:pt>
                <c:pt idx="85">
                  <c:v>5.7076507971124402</c:v>
                </c:pt>
                <c:pt idx="86">
                  <c:v>5.5540177979666296</c:v>
                </c:pt>
                <c:pt idx="87">
                  <c:v>5.8158506064086497</c:v>
                </c:pt>
                <c:pt idx="88">
                  <c:v>6.06995288273278</c:v>
                </c:pt>
                <c:pt idx="89">
                  <c:v>6.2789031876112302</c:v>
                </c:pt>
                <c:pt idx="90">
                  <c:v>6.3419742960147403</c:v>
                </c:pt>
                <c:pt idx="91">
                  <c:v>6.5202976976056597</c:v>
                </c:pt>
                <c:pt idx="92">
                  <c:v>6.6688127987940904</c:v>
                </c:pt>
                <c:pt idx="93">
                  <c:v>6.6112238183657599</c:v>
                </c:pt>
                <c:pt idx="94">
                  <c:v>6.3220021023790203</c:v>
                </c:pt>
                <c:pt idx="95">
                  <c:v>6.1595838894125201</c:v>
                </c:pt>
                <c:pt idx="96">
                  <c:v>6.1546106336905098</c:v>
                </c:pt>
                <c:pt idx="97">
                  <c:v>6.2037563479335001</c:v>
                </c:pt>
                <c:pt idx="98">
                  <c:v>6.2589701104176099</c:v>
                </c:pt>
                <c:pt idx="99">
                  <c:v>6.1102454181069596</c:v>
                </c:pt>
                <c:pt idx="100">
                  <c:v>6.1339623479646797</c:v>
                </c:pt>
                <c:pt idx="101">
                  <c:v>6.30399405232746</c:v>
                </c:pt>
                <c:pt idx="102">
                  <c:v>6.3061866277135801</c:v>
                </c:pt>
                <c:pt idx="103">
                  <c:v>6.4637933230210196</c:v>
                </c:pt>
                <c:pt idx="104">
                  <c:v>6.6707530599462803</c:v>
                </c:pt>
                <c:pt idx="105">
                  <c:v>6.69628751417501</c:v>
                </c:pt>
                <c:pt idx="106">
                  <c:v>6.6477891551454604</c:v>
                </c:pt>
                <c:pt idx="107">
                  <c:v>6.5670372641851804</c:v>
                </c:pt>
                <c:pt idx="108">
                  <c:v>6.4282695531649203</c:v>
                </c:pt>
                <c:pt idx="109">
                  <c:v>6.2804828172397302</c:v>
                </c:pt>
                <c:pt idx="110">
                  <c:v>6.1639786119456002</c:v>
                </c:pt>
                <c:pt idx="111">
                  <c:v>6.2205305017740304</c:v>
                </c:pt>
                <c:pt idx="112">
                  <c:v>6.2649725344651497</c:v>
                </c:pt>
                <c:pt idx="113">
                  <c:v>6.1083737193735796</c:v>
                </c:pt>
                <c:pt idx="114">
                  <c:v>5.8126898627570496</c:v>
                </c:pt>
                <c:pt idx="115">
                  <c:v>5.8077767272038701</c:v>
                </c:pt>
                <c:pt idx="116">
                  <c:v>5.7439702367531504</c:v>
                </c:pt>
                <c:pt idx="117">
                  <c:v>5.5866277792308496</c:v>
                </c:pt>
                <c:pt idx="118">
                  <c:v>5.6827645622067102</c:v>
                </c:pt>
                <c:pt idx="119">
                  <c:v>5.8453802972007498</c:v>
                </c:pt>
                <c:pt idx="120">
                  <c:v>5.8789768959676501</c:v>
                </c:pt>
                <c:pt idx="121">
                  <c:v>5.5846766033930804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897536"/>
        <c:axId val="440899072"/>
      </c:lineChart>
      <c:dateAx>
        <c:axId val="440897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40899072"/>
        <c:crosses val="autoZero"/>
        <c:auto val="1"/>
        <c:lblOffset val="100"/>
        <c:baseTimeUnit val="months"/>
        <c:majorUnit val="6"/>
        <c:majorTimeUnit val="months"/>
      </c:dateAx>
      <c:valAx>
        <c:axId val="440899072"/>
        <c:scaling>
          <c:orientation val="minMax"/>
          <c:min val="3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40897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v>Bank vs Non-Bank</c:v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numRef>
              <c:f>'&gt;780'!$B$4:$B$127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'&gt;780'!$F$4:$F$127</c:f>
              <c:numCache>
                <c:formatCode>0.00</c:formatCode>
                <c:ptCount val="124"/>
                <c:pt idx="0">
                  <c:v>5.683131390371976E-2</c:v>
                </c:pt>
                <c:pt idx="1">
                  <c:v>-1.5777648135610001E-2</c:v>
                </c:pt>
                <c:pt idx="2">
                  <c:v>-3.6672144894869696E-2</c:v>
                </c:pt>
                <c:pt idx="3">
                  <c:v>1.0657351564070439E-2</c:v>
                </c:pt>
                <c:pt idx="4">
                  <c:v>-6.5055811482599424E-3</c:v>
                </c:pt>
                <c:pt idx="5">
                  <c:v>-5.5897200596701779E-3</c:v>
                </c:pt>
                <c:pt idx="6">
                  <c:v>-5.1955942222409845E-2</c:v>
                </c:pt>
                <c:pt idx="7">
                  <c:v>-4.1711464360219885E-2</c:v>
                </c:pt>
                <c:pt idx="8">
                  <c:v>-8.2176429915898908E-3</c:v>
                </c:pt>
                <c:pt idx="9">
                  <c:v>-1.8894918943789918E-2</c:v>
                </c:pt>
                <c:pt idx="10">
                  <c:v>1.2339923991840251E-2</c:v>
                </c:pt>
                <c:pt idx="11">
                  <c:v>1.9458229445939779E-2</c:v>
                </c:pt>
                <c:pt idx="12">
                  <c:v>-5.6614342750602731E-3</c:v>
                </c:pt>
                <c:pt idx="13">
                  <c:v>9.066567371729839E-3</c:v>
                </c:pt>
                <c:pt idx="14">
                  <c:v>2.0031621530959498E-2</c:v>
                </c:pt>
                <c:pt idx="15">
                  <c:v>-5.8889805053179423E-2</c:v>
                </c:pt>
                <c:pt idx="16">
                  <c:v>-1.8038721562459337E-2</c:v>
                </c:pt>
                <c:pt idx="17">
                  <c:v>1.2817245694350277E-2</c:v>
                </c:pt>
                <c:pt idx="18">
                  <c:v>-4.3446952310249642E-2</c:v>
                </c:pt>
                <c:pt idx="19">
                  <c:v>-1.5387154127049385E-2</c:v>
                </c:pt>
                <c:pt idx="20">
                  <c:v>-7.8335148785920516E-2</c:v>
                </c:pt>
                <c:pt idx="21">
                  <c:v>-0.12748919994465968</c:v>
                </c:pt>
                <c:pt idx="22">
                  <c:v>-2.7635210700740043E-2</c:v>
                </c:pt>
                <c:pt idx="23">
                  <c:v>1.4244117288920055E-2</c:v>
                </c:pt>
                <c:pt idx="24">
                  <c:v>1.4019738972609996E-2</c:v>
                </c:pt>
                <c:pt idx="25">
                  <c:v>1.144519982120995E-2</c:v>
                </c:pt>
                <c:pt idx="26">
                  <c:v>5.2601917333229942E-2</c:v>
                </c:pt>
                <c:pt idx="27">
                  <c:v>1.7428581154649958E-2</c:v>
                </c:pt>
                <c:pt idx="28">
                  <c:v>2.3046807687149951E-2</c:v>
                </c:pt>
                <c:pt idx="29">
                  <c:v>2.7135909200501906E-3</c:v>
                </c:pt>
                <c:pt idx="30">
                  <c:v>2.3232180986580087E-2</c:v>
                </c:pt>
                <c:pt idx="31">
                  <c:v>2.1096333815870061E-2</c:v>
                </c:pt>
                <c:pt idx="32">
                  <c:v>6.5886337993403821E-3</c:v>
                </c:pt>
                <c:pt idx="33">
                  <c:v>2.8222255841400035E-2</c:v>
                </c:pt>
                <c:pt idx="34">
                  <c:v>6.1079296301000063E-2</c:v>
                </c:pt>
                <c:pt idx="35">
                  <c:v>6.760401796351978E-2</c:v>
                </c:pt>
                <c:pt idx="36">
                  <c:v>6.9078692643019579E-2</c:v>
                </c:pt>
                <c:pt idx="37">
                  <c:v>5.7299312719650164E-2</c:v>
                </c:pt>
                <c:pt idx="38">
                  <c:v>2.7180200212149508E-2</c:v>
                </c:pt>
                <c:pt idx="39">
                  <c:v>3.2196686194870594E-2</c:v>
                </c:pt>
                <c:pt idx="40">
                  <c:v>6.6299196441290675E-2</c:v>
                </c:pt>
                <c:pt idx="41">
                  <c:v>4.2864406737439964E-2</c:v>
                </c:pt>
                <c:pt idx="42">
                  <c:v>6.8354277263959595E-2</c:v>
                </c:pt>
                <c:pt idx="43">
                  <c:v>0.10710140605980989</c:v>
                </c:pt>
                <c:pt idx="44">
                  <c:v>5.1299968236560467E-2</c:v>
                </c:pt>
                <c:pt idx="45">
                  <c:v>4.5010708825780732E-2</c:v>
                </c:pt>
                <c:pt idx="46">
                  <c:v>5.8966609991910168E-2</c:v>
                </c:pt>
                <c:pt idx="47">
                  <c:v>5.12147768515403E-2</c:v>
                </c:pt>
                <c:pt idx="48">
                  <c:v>2.0572212478070284E-2</c:v>
                </c:pt>
                <c:pt idx="49">
                  <c:v>-5.2848634405130213E-2</c:v>
                </c:pt>
                <c:pt idx="50">
                  <c:v>-0.17640404177414037</c:v>
                </c:pt>
                <c:pt idx="51">
                  <c:v>-0.13752724330872024</c:v>
                </c:pt>
                <c:pt idx="52">
                  <c:v>-1.8504336329999482E-2</c:v>
                </c:pt>
                <c:pt idx="53">
                  <c:v>0.1040277281641302</c:v>
                </c:pt>
                <c:pt idx="54">
                  <c:v>4.7749932915150062E-2</c:v>
                </c:pt>
                <c:pt idx="55">
                  <c:v>1.7355348694610306E-2</c:v>
                </c:pt>
                <c:pt idx="56">
                  <c:v>2.3441072635470128E-2</c:v>
                </c:pt>
                <c:pt idx="57">
                  <c:v>-8.5700085965294548E-3</c:v>
                </c:pt>
                <c:pt idx="58">
                  <c:v>-2.0221059986759826E-2</c:v>
                </c:pt>
                <c:pt idx="59">
                  <c:v>-1.352863358183054E-2</c:v>
                </c:pt>
                <c:pt idx="60">
                  <c:v>-0.13048262939097999</c:v>
                </c:pt>
                <c:pt idx="61">
                  <c:v>9.4192027333710016E-2</c:v>
                </c:pt>
                <c:pt idx="62">
                  <c:v>-0.13136776533414007</c:v>
                </c:pt>
                <c:pt idx="63">
                  <c:v>-3.6479806783740187E-2</c:v>
                </c:pt>
                <c:pt idx="64">
                  <c:v>3.4029979473729988E-2</c:v>
                </c:pt>
                <c:pt idx="65">
                  <c:v>-1.8062764059689762E-2</c:v>
                </c:pt>
                <c:pt idx="66">
                  <c:v>2.111307494804926E-2</c:v>
                </c:pt>
                <c:pt idx="67">
                  <c:v>-0.10533345625423962</c:v>
                </c:pt>
                <c:pt idx="68">
                  <c:v>-0.19954616477051079</c:v>
                </c:pt>
                <c:pt idx="69">
                  <c:v>-0.2408748716990301</c:v>
                </c:pt>
                <c:pt idx="70">
                  <c:v>-4.7640103758100238E-2</c:v>
                </c:pt>
                <c:pt idx="71">
                  <c:v>5.3759277880909728E-2</c:v>
                </c:pt>
                <c:pt idx="72">
                  <c:v>0.13452320030202003</c:v>
                </c:pt>
                <c:pt idx="73">
                  <c:v>-7.6552562443610306E-2</c:v>
                </c:pt>
                <c:pt idx="74">
                  <c:v>5.0056685421759894E-2</c:v>
                </c:pt>
                <c:pt idx="75">
                  <c:v>-2.5867698038360309E-2</c:v>
                </c:pt>
                <c:pt idx="76">
                  <c:v>0.16962235763033995</c:v>
                </c:pt>
                <c:pt idx="77">
                  <c:v>-0.14013289293434017</c:v>
                </c:pt>
                <c:pt idx="78">
                  <c:v>-0.11423074182023019</c:v>
                </c:pt>
                <c:pt idx="79">
                  <c:v>-0.33032111148078958</c:v>
                </c:pt>
                <c:pt idx="80">
                  <c:v>-0.32096976305809033</c:v>
                </c:pt>
                <c:pt idx="81">
                  <c:v>-2.3112856898399592E-2</c:v>
                </c:pt>
                <c:pt idx="82">
                  <c:v>-0.3760642901090403</c:v>
                </c:pt>
                <c:pt idx="83">
                  <c:v>-2.3965590700959716E-2</c:v>
                </c:pt>
                <c:pt idx="84">
                  <c:v>2.1632535116709484E-2</c:v>
                </c:pt>
                <c:pt idx="85">
                  <c:v>-0.22942307094047987</c:v>
                </c:pt>
                <c:pt idx="86">
                  <c:v>-4.3744219160589459E-2</c:v>
                </c:pt>
                <c:pt idx="87">
                  <c:v>-1.3876145456429789E-2</c:v>
                </c:pt>
                <c:pt idx="88">
                  <c:v>-0.24726652210295974</c:v>
                </c:pt>
                <c:pt idx="89">
                  <c:v>-6.5284193708079918E-2</c:v>
                </c:pt>
                <c:pt idx="90">
                  <c:v>-2.4863404417519774E-2</c:v>
                </c:pt>
                <c:pt idx="91">
                  <c:v>-7.6613020277980226E-2</c:v>
                </c:pt>
                <c:pt idx="92">
                  <c:v>-3.784857324636981E-2</c:v>
                </c:pt>
                <c:pt idx="93">
                  <c:v>-0.12048653302715984</c:v>
                </c:pt>
                <c:pt idx="94">
                  <c:v>-0.36183017626919067</c:v>
                </c:pt>
                <c:pt idx="95">
                  <c:v>-3.9310024985840464E-2</c:v>
                </c:pt>
                <c:pt idx="96">
                  <c:v>1.9509307751640392E-2</c:v>
                </c:pt>
                <c:pt idx="97">
                  <c:v>3.7189813716249631E-2</c:v>
                </c:pt>
                <c:pt idx="98">
                  <c:v>-0.4285785052831903</c:v>
                </c:pt>
                <c:pt idx="99">
                  <c:v>-0.19048918958411054</c:v>
                </c:pt>
                <c:pt idx="100">
                  <c:v>-6.7035824316840298E-2</c:v>
                </c:pt>
                <c:pt idx="101">
                  <c:v>-0.1781102654058806</c:v>
                </c:pt>
                <c:pt idx="102">
                  <c:v>-0.18291805131135064</c:v>
                </c:pt>
                <c:pt idx="103">
                  <c:v>-3.1218694616309328E-2</c:v>
                </c:pt>
                <c:pt idx="104">
                  <c:v>-0.33350617370762059</c:v>
                </c:pt>
                <c:pt idx="105">
                  <c:v>-9.7352836289839928E-2</c:v>
                </c:pt>
                <c:pt idx="106">
                  <c:v>7.7234379272780096E-2</c:v>
                </c:pt>
                <c:pt idx="107">
                  <c:v>-0.18089557186913918</c:v>
                </c:pt>
                <c:pt idx="108">
                  <c:v>-0.11134373049141022</c:v>
                </c:pt>
                <c:pt idx="109">
                  <c:v>-0.29340527259201998</c:v>
                </c:pt>
                <c:pt idx="110">
                  <c:v>-0.37295472976653077</c:v>
                </c:pt>
                <c:pt idx="111">
                  <c:v>-0.10133042429611017</c:v>
                </c:pt>
                <c:pt idx="112">
                  <c:v>-0.11370730303997956</c:v>
                </c:pt>
                <c:pt idx="113">
                  <c:v>-9.8187210901279798E-2</c:v>
                </c:pt>
                <c:pt idx="114">
                  <c:v>0.12783664072517986</c:v>
                </c:pt>
                <c:pt idx="115">
                  <c:v>-5.6999535620209762E-2</c:v>
                </c:pt>
                <c:pt idx="116">
                  <c:v>-0.11933732308101952</c:v>
                </c:pt>
                <c:pt idx="117">
                  <c:v>-0.18429730332954986</c:v>
                </c:pt>
                <c:pt idx="118">
                  <c:v>1.4646968806510507E-2</c:v>
                </c:pt>
                <c:pt idx="119">
                  <c:v>-0.43319988076369942</c:v>
                </c:pt>
                <c:pt idx="120">
                  <c:v>-0.32402629711351949</c:v>
                </c:pt>
                <c:pt idx="121">
                  <c:v>-0.45820599581165045</c:v>
                </c:pt>
                <c:pt idx="122">
                  <c:v>-0.12156338055290927</c:v>
                </c:pt>
                <c:pt idx="123">
                  <c:v>-0.10715462790673946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1234944"/>
        <c:axId val="441236480"/>
      </c:barChart>
      <c:dateAx>
        <c:axId val="441234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441236480"/>
        <c:crosses val="autoZero"/>
        <c:auto val="1"/>
        <c:lblOffset val="100"/>
        <c:baseTimeUnit val="months"/>
        <c:majorUnit val="6"/>
        <c:majorTimeUnit val="months"/>
      </c:dateAx>
      <c:valAx>
        <c:axId val="4412364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412349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v>Bank vs Small</c:v>
          </c:tx>
          <c:spPr>
            <a:solidFill>
              <a:srgbClr val="74B629"/>
            </a:solidFill>
            <a:ln>
              <a:noFill/>
            </a:ln>
          </c:spPr>
          <c:invertIfNegative val="0"/>
          <c:cat>
            <c:numRef>
              <c:f>'&gt;780'!$B$4:$B$127</c:f>
              <c:numCache>
                <c:formatCode>m/d/yyyy</c:formatCode>
                <c:ptCount val="124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  <c:pt idx="120">
                  <c:v>38473</c:v>
                </c:pt>
                <c:pt idx="121">
                  <c:v>38443</c:v>
                </c:pt>
                <c:pt idx="122">
                  <c:v>38412</c:v>
                </c:pt>
                <c:pt idx="123">
                  <c:v>38384</c:v>
                </c:pt>
              </c:numCache>
            </c:numRef>
          </c:cat>
          <c:val>
            <c:numRef>
              <c:f>'&gt;780'!$G$4:$G$127</c:f>
              <c:numCache>
                <c:formatCode>0.00</c:formatCode>
                <c:ptCount val="124"/>
                <c:pt idx="0">
                  <c:v>0.14474482635755948</c:v>
                </c:pt>
                <c:pt idx="1">
                  <c:v>9.1903596812859867E-2</c:v>
                </c:pt>
                <c:pt idx="2">
                  <c:v>8.8467381404560008E-2</c:v>
                </c:pt>
                <c:pt idx="3">
                  <c:v>0.10954084700514066</c:v>
                </c:pt>
                <c:pt idx="4">
                  <c:v>0.11234818831291982</c:v>
                </c:pt>
                <c:pt idx="5">
                  <c:v>8.9330841060019317E-2</c:v>
                </c:pt>
                <c:pt idx="6">
                  <c:v>6.8007576686219373E-2</c:v>
                </c:pt>
                <c:pt idx="7">
                  <c:v>5.4089437473129998E-2</c:v>
                </c:pt>
                <c:pt idx="8">
                  <c:v>0.10074159199951982</c:v>
                </c:pt>
                <c:pt idx="9">
                  <c:v>0.1041909102686196</c:v>
                </c:pt>
                <c:pt idx="10">
                  <c:v>8.8665928221829837E-2</c:v>
                </c:pt>
                <c:pt idx="11">
                  <c:v>0.11198910218823954</c:v>
                </c:pt>
                <c:pt idx="12">
                  <c:v>9.4383554406699766E-2</c:v>
                </c:pt>
                <c:pt idx="13">
                  <c:v>0.12994107068820959</c:v>
                </c:pt>
                <c:pt idx="14">
                  <c:v>0.13652215896985975</c:v>
                </c:pt>
                <c:pt idx="15">
                  <c:v>7.4175141574200687E-2</c:v>
                </c:pt>
                <c:pt idx="16">
                  <c:v>7.6424704119520293E-2</c:v>
                </c:pt>
                <c:pt idx="17">
                  <c:v>9.5458757305340036E-2</c:v>
                </c:pt>
                <c:pt idx="18">
                  <c:v>4.7559731578420639E-2</c:v>
                </c:pt>
                <c:pt idx="19">
                  <c:v>-2.1973823076269383E-2</c:v>
                </c:pt>
                <c:pt idx="20">
                  <c:v>-5.5810305418300565E-2</c:v>
                </c:pt>
                <c:pt idx="21">
                  <c:v>-4.974624346256018E-2</c:v>
                </c:pt>
                <c:pt idx="22">
                  <c:v>2.8622078025230202E-2</c:v>
                </c:pt>
                <c:pt idx="23">
                  <c:v>6.7825212530360002E-2</c:v>
                </c:pt>
                <c:pt idx="24">
                  <c:v>5.6917473328349732E-2</c:v>
                </c:pt>
                <c:pt idx="25">
                  <c:v>6.6106372131570001E-2</c:v>
                </c:pt>
                <c:pt idx="26">
                  <c:v>0.10933488477723996</c:v>
                </c:pt>
                <c:pt idx="27">
                  <c:v>7.3468517235539821E-2</c:v>
                </c:pt>
                <c:pt idx="28">
                  <c:v>6.8486605356929964E-2</c:v>
                </c:pt>
                <c:pt idx="29">
                  <c:v>7.4234549667360206E-2</c:v>
                </c:pt>
                <c:pt idx="30">
                  <c:v>0.10013751366758017</c:v>
                </c:pt>
                <c:pt idx="31">
                  <c:v>7.5149512851449884E-2</c:v>
                </c:pt>
                <c:pt idx="32">
                  <c:v>6.0848066788960153E-2</c:v>
                </c:pt>
                <c:pt idx="33">
                  <c:v>4.9985365385070146E-2</c:v>
                </c:pt>
                <c:pt idx="34">
                  <c:v>6.1868884611070207E-2</c:v>
                </c:pt>
                <c:pt idx="35">
                  <c:v>8.5209708750430213E-2</c:v>
                </c:pt>
                <c:pt idx="36">
                  <c:v>9.8605827684229652E-2</c:v>
                </c:pt>
                <c:pt idx="37">
                  <c:v>0.10469615242769992</c:v>
                </c:pt>
                <c:pt idx="38">
                  <c:v>9.1754168111899848E-2</c:v>
                </c:pt>
                <c:pt idx="39">
                  <c:v>6.8642746594810511E-2</c:v>
                </c:pt>
                <c:pt idx="40">
                  <c:v>8.796829919003013E-2</c:v>
                </c:pt>
                <c:pt idx="41">
                  <c:v>9.9438978437839332E-2</c:v>
                </c:pt>
                <c:pt idx="42">
                  <c:v>8.5225917271530172E-2</c:v>
                </c:pt>
                <c:pt idx="43">
                  <c:v>0.15440080981536042</c:v>
                </c:pt>
                <c:pt idx="44">
                  <c:v>0.12660389990092025</c:v>
                </c:pt>
                <c:pt idx="45">
                  <c:v>7.0170039047060762E-2</c:v>
                </c:pt>
                <c:pt idx="46">
                  <c:v>7.5388993758130241E-2</c:v>
                </c:pt>
                <c:pt idx="47">
                  <c:v>9.3959537839210405E-2</c:v>
                </c:pt>
                <c:pt idx="48">
                  <c:v>8.4199054445940114E-2</c:v>
                </c:pt>
                <c:pt idx="49">
                  <c:v>5.1294478837510482E-2</c:v>
                </c:pt>
                <c:pt idx="50">
                  <c:v>2.9491581293410007E-2</c:v>
                </c:pt>
                <c:pt idx="51">
                  <c:v>4.816051250205966E-2</c:v>
                </c:pt>
                <c:pt idx="52">
                  <c:v>4.7150497018700221E-2</c:v>
                </c:pt>
                <c:pt idx="53">
                  <c:v>6.5079601782939811E-2</c:v>
                </c:pt>
                <c:pt idx="54">
                  <c:v>8.7990099110230702E-2</c:v>
                </c:pt>
                <c:pt idx="55">
                  <c:v>8.7182580036480495E-2</c:v>
                </c:pt>
                <c:pt idx="56">
                  <c:v>9.5037761577490443E-2</c:v>
                </c:pt>
                <c:pt idx="57">
                  <c:v>9.0104358519639938E-2</c:v>
                </c:pt>
                <c:pt idx="58">
                  <c:v>8.5416149789760532E-2</c:v>
                </c:pt>
                <c:pt idx="59">
                  <c:v>2.7817345032319807E-2</c:v>
                </c:pt>
                <c:pt idx="60">
                  <c:v>5.7812517025870314E-2</c:v>
                </c:pt>
                <c:pt idx="61">
                  <c:v>4.3743801253199877E-2</c:v>
                </c:pt>
                <c:pt idx="62">
                  <c:v>7.9075823305201354E-3</c:v>
                </c:pt>
                <c:pt idx="63">
                  <c:v>5.7450038250980384E-2</c:v>
                </c:pt>
                <c:pt idx="64">
                  <c:v>5.7680389553570244E-2</c:v>
                </c:pt>
                <c:pt idx="65">
                  <c:v>2.5030876125209822E-2</c:v>
                </c:pt>
                <c:pt idx="66">
                  <c:v>-4.579487467510468E-3</c:v>
                </c:pt>
                <c:pt idx="67">
                  <c:v>-0.15434315191544012</c:v>
                </c:pt>
                <c:pt idx="68">
                  <c:v>-0.21616630539572057</c:v>
                </c:pt>
                <c:pt idx="69">
                  <c:v>-0.17506334430057979</c:v>
                </c:pt>
                <c:pt idx="70">
                  <c:v>-0.10491770914796028</c:v>
                </c:pt>
                <c:pt idx="71">
                  <c:v>-7.9756471617169922E-2</c:v>
                </c:pt>
                <c:pt idx="72">
                  <c:v>-7.3149576417899986E-2</c:v>
                </c:pt>
                <c:pt idx="73">
                  <c:v>-6.3898852221379698E-2</c:v>
                </c:pt>
                <c:pt idx="74">
                  <c:v>-2.841935774051052E-2</c:v>
                </c:pt>
                <c:pt idx="75">
                  <c:v>1.1666682529289929E-2</c:v>
                </c:pt>
                <c:pt idx="76">
                  <c:v>-5.7450897375669996E-2</c:v>
                </c:pt>
                <c:pt idx="77">
                  <c:v>-3.2902728830380035E-2</c:v>
                </c:pt>
                <c:pt idx="78">
                  <c:v>-3.6130649007120041E-2</c:v>
                </c:pt>
                <c:pt idx="79">
                  <c:v>-0.13633797945676029</c:v>
                </c:pt>
                <c:pt idx="80">
                  <c:v>1.2715298762969951E-2</c:v>
                </c:pt>
                <c:pt idx="81">
                  <c:v>9.3283753362310762E-2</c:v>
                </c:pt>
                <c:pt idx="82">
                  <c:v>-1.1775047284039886E-2</c:v>
                </c:pt>
                <c:pt idx="83">
                  <c:v>7.0320658606550346E-2</c:v>
                </c:pt>
                <c:pt idx="84">
                  <c:v>1.6504544413599831E-2</c:v>
                </c:pt>
                <c:pt idx="85">
                  <c:v>3.0235526472510266E-2</c:v>
                </c:pt>
                <c:pt idx="86">
                  <c:v>4.8458887393910466E-2</c:v>
                </c:pt>
                <c:pt idx="87">
                  <c:v>9.4164391231803535E-3</c:v>
                </c:pt>
                <c:pt idx="88">
                  <c:v>5.6491969028310329E-2</c:v>
                </c:pt>
                <c:pt idx="89">
                  <c:v>2.839148882007958E-2</c:v>
                </c:pt>
                <c:pt idx="90">
                  <c:v>0.11720260069666999</c:v>
                </c:pt>
                <c:pt idx="91">
                  <c:v>4.2470155812520005E-2</c:v>
                </c:pt>
                <c:pt idx="92">
                  <c:v>3.1888730173889712E-2</c:v>
                </c:pt>
                <c:pt idx="93">
                  <c:v>7.2335358884950018E-2</c:v>
                </c:pt>
                <c:pt idx="94">
                  <c:v>6.4128963017009433E-2</c:v>
                </c:pt>
                <c:pt idx="95">
                  <c:v>7.9035812867189748E-2</c:v>
                </c:pt>
                <c:pt idx="96">
                  <c:v>3.1419287687720399E-2</c:v>
                </c:pt>
                <c:pt idx="97">
                  <c:v>-4.9245080088160087E-2</c:v>
                </c:pt>
                <c:pt idx="98">
                  <c:v>7.1003084215099932E-3</c:v>
                </c:pt>
                <c:pt idx="99">
                  <c:v>-4.4049331291597937E-3</c:v>
                </c:pt>
                <c:pt idx="100">
                  <c:v>-3.8234236269659938E-2</c:v>
                </c:pt>
                <c:pt idx="101">
                  <c:v>-5.6731703763680308E-2</c:v>
                </c:pt>
                <c:pt idx="102">
                  <c:v>0.10419698368289954</c:v>
                </c:pt>
                <c:pt idx="103">
                  <c:v>3.6490471548990655E-2</c:v>
                </c:pt>
                <c:pt idx="104">
                  <c:v>-3.0907751500240721E-2</c:v>
                </c:pt>
                <c:pt idx="105">
                  <c:v>7.6609102924130035E-2</c:v>
                </c:pt>
                <c:pt idx="106">
                  <c:v>3.1526732947529723E-2</c:v>
                </c:pt>
                <c:pt idx="107">
                  <c:v>-5.7914542933970026E-2</c:v>
                </c:pt>
                <c:pt idx="108">
                  <c:v>-4.3701034031050412E-2</c:v>
                </c:pt>
                <c:pt idx="109">
                  <c:v>-1.031124627558988E-2</c:v>
                </c:pt>
                <c:pt idx="110">
                  <c:v>-7.7530344847405175E-3</c:v>
                </c:pt>
                <c:pt idx="111">
                  <c:v>-3.8410928579050818E-2</c:v>
                </c:pt>
                <c:pt idx="112">
                  <c:v>1.5977230890804606E-3</c:v>
                </c:pt>
                <c:pt idx="113">
                  <c:v>-1.7673707719379372E-2</c:v>
                </c:pt>
                <c:pt idx="114">
                  <c:v>1.4634129867060253E-2</c:v>
                </c:pt>
                <c:pt idx="115">
                  <c:v>-1.6281984073973632E-4</c:v>
                </c:pt>
                <c:pt idx="116">
                  <c:v>9.3781151552496667E-3</c:v>
                </c:pt>
                <c:pt idx="117">
                  <c:v>3.0575716343950177E-2</c:v>
                </c:pt>
                <c:pt idx="118">
                  <c:v>-1.2936486176499784E-2</c:v>
                </c:pt>
                <c:pt idx="119">
                  <c:v>-1.443718326055965E-2</c:v>
                </c:pt>
                <c:pt idx="120">
                  <c:v>-4.7463860883096842E-3</c:v>
                </c:pt>
                <c:pt idx="121">
                  <c:v>0.11434818708781957</c:v>
                </c:pt>
                <c:pt idx="122">
                  <c:v>4.061021295334033E-2</c:v>
                </c:pt>
                <c:pt idx="123">
                  <c:v>-1.0469155907180117E-2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685312"/>
        <c:axId val="448017152"/>
      </c:barChart>
      <c:dateAx>
        <c:axId val="444685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448017152"/>
        <c:crosses val="autoZero"/>
        <c:auto val="1"/>
        <c:lblOffset val="100"/>
        <c:baseTimeUnit val="months"/>
        <c:majorUnit val="6"/>
        <c:majorTimeUnit val="months"/>
      </c:dateAx>
      <c:valAx>
        <c:axId val="4480171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446853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MarketShare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276226</xdr:colOff>
      <xdr:row>3</xdr:row>
      <xdr:rowOff>180976</xdr:rowOff>
    </xdr:from>
    <xdr:to>
      <xdr:col>23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358775</xdr:colOff>
      <xdr:row>11</xdr:row>
      <xdr:rowOff>85725</xdr:rowOff>
    </xdr:from>
    <xdr:to>
      <xdr:col>15</xdr:col>
      <xdr:colOff>895350</xdr:colOff>
      <xdr:row>37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333375</xdr:colOff>
      <xdr:row>37</xdr:row>
      <xdr:rowOff>114300</xdr:rowOff>
    </xdr:from>
    <xdr:to>
      <xdr:col>16</xdr:col>
      <xdr:colOff>196849</xdr:colOff>
      <xdr:row>57</xdr:row>
      <xdr:rowOff>84137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609600</xdr:colOff>
      <xdr:row>34</xdr:row>
      <xdr:rowOff>9524</xdr:rowOff>
    </xdr:from>
    <xdr:to>
      <xdr:col>16</xdr:col>
      <xdr:colOff>9525</xdr:colOff>
      <xdr:row>35</xdr:row>
      <xdr:rowOff>66675</xdr:rowOff>
    </xdr:to>
    <xdr:sp macro="" textlink="">
      <xdr:nvSpPr>
        <xdr:cNvPr id="4" name="TextBox 3"/>
        <xdr:cNvSpPr txBox="1"/>
      </xdr:nvSpPr>
      <xdr:spPr>
        <a:xfrm>
          <a:off x="12630150" y="5514974"/>
          <a:ext cx="2019300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Sources:Fannie</a:t>
          </a:r>
          <a:r>
            <a:rPr lang="en-US" sz="900" baseline="0"/>
            <a:t> Mae; Cello Database</a:t>
          </a:r>
          <a:endParaRPr lang="en-US" sz="900"/>
        </a:p>
      </xdr:txBody>
    </xdr:sp>
    <xdr:clientData/>
  </xdr:twoCellAnchor>
  <xdr:twoCellAnchor>
    <xdr:from>
      <xdr:col>3</xdr:col>
      <xdr:colOff>800100</xdr:colOff>
      <xdr:row>58</xdr:row>
      <xdr:rowOff>9524</xdr:rowOff>
    </xdr:from>
    <xdr:to>
      <xdr:col>5</xdr:col>
      <xdr:colOff>1038225</xdr:colOff>
      <xdr:row>59</xdr:row>
      <xdr:rowOff>47625</xdr:rowOff>
    </xdr:to>
    <xdr:sp macro="" textlink="">
      <xdr:nvSpPr>
        <xdr:cNvPr id="7" name="TextBox 6"/>
        <xdr:cNvSpPr txBox="1"/>
      </xdr:nvSpPr>
      <xdr:spPr>
        <a:xfrm>
          <a:off x="3067050" y="9429749"/>
          <a:ext cx="2333625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New data</a:t>
          </a:r>
          <a:r>
            <a:rPr lang="en-US" sz="900" baseline="0"/>
            <a:t> will be updated on the 4th business day</a:t>
          </a:r>
          <a:endParaRPr lang="en-US" sz="900"/>
        </a:p>
      </xdr:txBody>
    </xdr:sp>
    <xdr:clientData/>
  </xdr:twoCellAnchor>
  <xdr:twoCellAnchor>
    <xdr:from>
      <xdr:col>2</xdr:col>
      <xdr:colOff>438150</xdr:colOff>
      <xdr:row>36</xdr:row>
      <xdr:rowOff>161924</xdr:rowOff>
    </xdr:from>
    <xdr:to>
      <xdr:col>8</xdr:col>
      <xdr:colOff>952500</xdr:colOff>
      <xdr:row>38</xdr:row>
      <xdr:rowOff>47625</xdr:rowOff>
    </xdr:to>
    <xdr:sp macro="" textlink="">
      <xdr:nvSpPr>
        <xdr:cNvPr id="9" name="TextBox 8"/>
        <xdr:cNvSpPr txBox="1"/>
      </xdr:nvSpPr>
      <xdr:spPr>
        <a:xfrm>
          <a:off x="1657350" y="5991224"/>
          <a:ext cx="6800850" cy="209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/>
            <a:t>Note: </a:t>
          </a:r>
          <a:r>
            <a:rPr lang="en-US" sz="900"/>
            <a:t>Exclude Bank Lenders: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Wells Fargo, Bank of America, Citi, Chase ,</a:t>
          </a:r>
          <a:r>
            <a:rPr lang="en-US" sz="9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CWB, SunTrust, PNC, Wachovia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28</xdr:col>
      <xdr:colOff>38100</xdr:colOff>
      <xdr:row>23</xdr:row>
      <xdr:rowOff>119063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600075</xdr:colOff>
      <xdr:row>26</xdr:row>
      <xdr:rowOff>4762</xdr:rowOff>
    </xdr:from>
    <xdr:to>
      <xdr:col>26</xdr:col>
      <xdr:colOff>485775</xdr:colOff>
      <xdr:row>40</xdr:row>
      <xdr:rowOff>80962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328611</xdr:colOff>
      <xdr:row>19</xdr:row>
      <xdr:rowOff>100012</xdr:rowOff>
    </xdr:from>
    <xdr:to>
      <xdr:col>27</xdr:col>
      <xdr:colOff>409574</xdr:colOff>
      <xdr:row>33</xdr:row>
      <xdr:rowOff>176212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404811</xdr:colOff>
      <xdr:row>38</xdr:row>
      <xdr:rowOff>185737</xdr:rowOff>
    </xdr:from>
    <xdr:to>
      <xdr:col>27</xdr:col>
      <xdr:colOff>523874</xdr:colOff>
      <xdr:row>53</xdr:row>
      <xdr:rowOff>71437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295275</xdr:colOff>
      <xdr:row>0</xdr:row>
      <xdr:rowOff>161925</xdr:rowOff>
    </xdr:from>
    <xdr:to>
      <xdr:col>30</xdr:col>
      <xdr:colOff>352425</xdr:colOff>
      <xdr:row>18</xdr:row>
      <xdr:rowOff>171450</xdr:rowOff>
    </xdr:to>
    <xdr:sp macro="" textlink="">
      <xdr:nvSpPr>
        <xdr:cNvPr id="2" name="TextBox 1"/>
        <xdr:cNvSpPr txBox="1"/>
      </xdr:nvSpPr>
      <xdr:spPr>
        <a:xfrm>
          <a:off x="11982450" y="161925"/>
          <a:ext cx="9201150" cy="3438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 poolIssueDate,  </a:t>
          </a:r>
        </a:p>
        <a:p>
          <a:r>
            <a:rPr lang="en-US" sz="1100"/>
            <a:t>       sum(origNoteRate * originalLoanAmount)/sum(originalLoanAmount) WANoteRate</a:t>
          </a:r>
        </a:p>
        <a:p>
          <a:r>
            <a:rPr lang="en-US" sz="1100"/>
            <a:t>from fnm.cello_loan </a:t>
          </a:r>
        </a:p>
        <a:p>
          <a:r>
            <a:rPr lang="en-US" sz="1100"/>
            <a:t>where originalServicerName not in ('N/A' ,'REMAINING','WELLS FARGO','CITI','CHASE','BANK OF AMERICA','CWB','SUNTRUST','PNC','WACHOVIA','QUICKEN','GREEN TREE SERVICING, LLC','FLAGSTAR','PINGORA LOAN SERVICING, INC.','FRANKLIN AMERICAN MORTGAGE COMPANY','FREEDOM','NATIONSTAR','GUILD','HOMESTREET BANK','ROUNDPOINT MORTGAGE SERVICING CORPORATIO')</a:t>
          </a:r>
        </a:p>
        <a:p>
          <a:r>
            <a:rPr lang="en-US" sz="1100"/>
            <a:t>and marketTicker in ('FNCL')</a:t>
          </a:r>
        </a:p>
        <a:p>
          <a:r>
            <a:rPr lang="en-US" sz="1100"/>
            <a:t>and origNoteRate &gt; 0</a:t>
          </a:r>
        </a:p>
        <a:p>
          <a:r>
            <a:rPr lang="en-US" sz="1100"/>
            <a:t>and originalLoanAmount &gt; 0</a:t>
          </a:r>
        </a:p>
        <a:p>
          <a:r>
            <a:rPr lang="en-US" sz="1100"/>
            <a:t>and cs &gt;= 720</a:t>
          </a:r>
        </a:p>
        <a:p>
          <a:r>
            <a:rPr lang="en-US" sz="1100"/>
            <a:t>and cs &lt;= 740</a:t>
          </a:r>
        </a:p>
        <a:p>
          <a:r>
            <a:rPr lang="en-US" sz="1100"/>
            <a:t>and origLTV &gt;= 70</a:t>
          </a:r>
        </a:p>
        <a:p>
          <a:r>
            <a:rPr lang="en-US" sz="1100"/>
            <a:t>and origLTV &lt;= 80</a:t>
          </a:r>
        </a:p>
        <a:p>
          <a:r>
            <a:rPr lang="en-US" sz="1100"/>
            <a:t>and loanPurposeType = 'RE-FI'</a:t>
          </a:r>
        </a:p>
        <a:p>
          <a:r>
            <a:rPr lang="en-US" sz="1100"/>
            <a:t>and occType = 'OWNER'</a:t>
          </a:r>
        </a:p>
        <a:p>
          <a:r>
            <a:rPr lang="en-US" sz="1100"/>
            <a:t>and propertyType = 'SF'</a:t>
          </a:r>
        </a:p>
        <a:p>
          <a:r>
            <a:rPr lang="en-US" sz="1100"/>
            <a:t>and poolIssueDate &gt;= '20050101'</a:t>
          </a:r>
        </a:p>
        <a:p>
          <a:r>
            <a:rPr lang="en-US" sz="1100"/>
            <a:t>group by poolIssueDate</a:t>
          </a:r>
        </a:p>
        <a:p>
          <a:r>
            <a:rPr lang="en-US" sz="1100"/>
            <a:t>order by poolIssueDate desc</a:t>
          </a:r>
        </a:p>
      </xdr:txBody>
    </xdr:sp>
    <xdr:clientData/>
  </xdr:twoCellAnchor>
  <xdr:twoCellAnchor>
    <xdr:from>
      <xdr:col>15</xdr:col>
      <xdr:colOff>233361</xdr:colOff>
      <xdr:row>20</xdr:row>
      <xdr:rowOff>61912</xdr:rowOff>
    </xdr:from>
    <xdr:to>
      <xdr:col>30</xdr:col>
      <xdr:colOff>390524</xdr:colOff>
      <xdr:row>34</xdr:row>
      <xdr:rowOff>138112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233361</xdr:colOff>
      <xdr:row>37</xdr:row>
      <xdr:rowOff>138112</xdr:rowOff>
    </xdr:from>
    <xdr:to>
      <xdr:col>30</xdr:col>
      <xdr:colOff>342900</xdr:colOff>
      <xdr:row>52</xdr:row>
      <xdr:rowOff>23812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55</xdr:row>
      <xdr:rowOff>0</xdr:rowOff>
    </xdr:from>
    <xdr:to>
      <xdr:col>30</xdr:col>
      <xdr:colOff>109539</xdr:colOff>
      <xdr:row>69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16</xdr:col>
      <xdr:colOff>323850</xdr:colOff>
      <xdr:row>16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295275</xdr:colOff>
      <xdr:row>0</xdr:row>
      <xdr:rowOff>161924</xdr:rowOff>
    </xdr:from>
    <xdr:to>
      <xdr:col>33</xdr:col>
      <xdr:colOff>352425</xdr:colOff>
      <xdr:row>19</xdr:row>
      <xdr:rowOff>76199</xdr:rowOff>
    </xdr:to>
    <xdr:sp macro="" textlink="">
      <xdr:nvSpPr>
        <xdr:cNvPr id="2" name="TextBox 1"/>
        <xdr:cNvSpPr txBox="1"/>
      </xdr:nvSpPr>
      <xdr:spPr>
        <a:xfrm>
          <a:off x="14925675" y="161924"/>
          <a:ext cx="9201150" cy="3533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---------------------------------Mortgage Rate for Small Lenders---------------------------</a:t>
          </a:r>
        </a:p>
        <a:p>
          <a:r>
            <a:rPr lang="en-US" sz="1100"/>
            <a:t>select calcOrigMonth_LL,  </a:t>
          </a:r>
        </a:p>
        <a:p>
          <a:r>
            <a:rPr lang="en-US" sz="1100"/>
            <a:t>       sum(origNoteRate * originalLoanAmount)/sum(originalLoanAmount) WANoteRate</a:t>
          </a:r>
        </a:p>
        <a:p>
          <a:r>
            <a:rPr lang="en-US" sz="1100"/>
            <a:t>from fnm.cello_loan</a:t>
          </a:r>
        </a:p>
        <a:p>
          <a:r>
            <a:rPr lang="en-US" sz="1100"/>
            <a:t>where originalServicerName not in ('N/A' ,'REMAINING','WELLS FARGO','CITI','CHASE','BANK OF AMERICA','CWB','SUNTRUST','PNC','WACHOVIA','QUICKEN','GREEN TREE SERVICING, LLC','FLAGSTAR','PINGORA LOAN SERVICING, INC.','FRANKLIN AMERICAN MORTGAGE COMPANY','FREEDOM','NATIONSTAR','GUILD','HOMESTREET BANK','ROUNDPOINT MORTGAGE SERVICING CORPORATIO')</a:t>
          </a:r>
        </a:p>
        <a:p>
          <a:r>
            <a:rPr lang="en-US" sz="1100"/>
            <a:t>and marketTicker in ('FNCL')</a:t>
          </a:r>
        </a:p>
        <a:p>
          <a:r>
            <a:rPr lang="en-US" sz="1100"/>
            <a:t>and origNoteRate &gt; 0</a:t>
          </a:r>
        </a:p>
        <a:p>
          <a:r>
            <a:rPr lang="en-US" sz="1100"/>
            <a:t>and originalLoanAmount &gt; 0</a:t>
          </a:r>
        </a:p>
        <a:p>
          <a:r>
            <a:rPr lang="en-US" sz="1100"/>
            <a:t>and cs &gt;= 700</a:t>
          </a:r>
        </a:p>
        <a:p>
          <a:r>
            <a:rPr lang="en-US" sz="1100"/>
            <a:t>and cs &lt;= 740</a:t>
          </a:r>
        </a:p>
        <a:p>
          <a:r>
            <a:rPr lang="en-US" sz="1100"/>
            <a:t>and origLTV &gt;= 70</a:t>
          </a:r>
        </a:p>
        <a:p>
          <a:r>
            <a:rPr lang="en-US" sz="1100"/>
            <a:t>and origLTV &lt;= 80</a:t>
          </a:r>
        </a:p>
        <a:p>
          <a:r>
            <a:rPr lang="en-US" sz="1100"/>
            <a:t>and loanPurposeType = 'RE-FI'</a:t>
          </a:r>
        </a:p>
        <a:p>
          <a:r>
            <a:rPr lang="en-US" sz="1100"/>
            <a:t>and occType = 'OWNER'</a:t>
          </a:r>
        </a:p>
        <a:p>
          <a:r>
            <a:rPr lang="en-US" sz="1100"/>
            <a:t>and propertyType = 'SF'</a:t>
          </a:r>
        </a:p>
        <a:p>
          <a:r>
            <a:rPr lang="en-US" sz="1100"/>
            <a:t>and calcOrigMonth_LL &gt;= 200501</a:t>
          </a:r>
        </a:p>
        <a:p>
          <a:r>
            <a:rPr lang="en-US" sz="1100"/>
            <a:t>group by calcOrigMonth_LL</a:t>
          </a:r>
        </a:p>
        <a:p>
          <a:r>
            <a:rPr lang="en-US" sz="1100"/>
            <a:t>order by calcOrigMonth_LL desc</a:t>
          </a:r>
        </a:p>
      </xdr:txBody>
    </xdr:sp>
    <xdr:clientData/>
  </xdr:twoCellAnchor>
  <xdr:twoCellAnchor>
    <xdr:from>
      <xdr:col>18</xdr:col>
      <xdr:colOff>195261</xdr:colOff>
      <xdr:row>19</xdr:row>
      <xdr:rowOff>185737</xdr:rowOff>
    </xdr:from>
    <xdr:to>
      <xdr:col>33</xdr:col>
      <xdr:colOff>352424</xdr:colOff>
      <xdr:row>34</xdr:row>
      <xdr:rowOff>71437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233361</xdr:colOff>
      <xdr:row>35</xdr:row>
      <xdr:rowOff>138112</xdr:rowOff>
    </xdr:from>
    <xdr:to>
      <xdr:col>33</xdr:col>
      <xdr:colOff>342900</xdr:colOff>
      <xdr:row>50</xdr:row>
      <xdr:rowOff>23812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95250</xdr:colOff>
      <xdr:row>53</xdr:row>
      <xdr:rowOff>0</xdr:rowOff>
    </xdr:from>
    <xdr:to>
      <xdr:col>33</xdr:col>
      <xdr:colOff>204789</xdr:colOff>
      <xdr:row>67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295275</xdr:colOff>
      <xdr:row>0</xdr:row>
      <xdr:rowOff>161924</xdr:rowOff>
    </xdr:from>
    <xdr:to>
      <xdr:col>33</xdr:col>
      <xdr:colOff>352425</xdr:colOff>
      <xdr:row>19</xdr:row>
      <xdr:rowOff>76199</xdr:rowOff>
    </xdr:to>
    <xdr:sp macro="" textlink="">
      <xdr:nvSpPr>
        <xdr:cNvPr id="2" name="TextBox 1"/>
        <xdr:cNvSpPr txBox="1"/>
      </xdr:nvSpPr>
      <xdr:spPr>
        <a:xfrm>
          <a:off x="14925675" y="161924"/>
          <a:ext cx="9201150" cy="3533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---------------------------------Mortgage Rate for Small Lenders---------------------------</a:t>
          </a:r>
        </a:p>
        <a:p>
          <a:r>
            <a:rPr lang="en-US" sz="1100"/>
            <a:t>select </a:t>
          </a:r>
          <a:r>
            <a:rPr lang="en-US" sz="1100" b="1"/>
            <a:t>calcOrigMonth_LL,  </a:t>
          </a:r>
        </a:p>
        <a:p>
          <a:r>
            <a:rPr lang="en-US" sz="1100"/>
            <a:t>       sum(origNoteRate * originalLoanAmount)/sum(originalLoanAmount) WANoteRate</a:t>
          </a:r>
        </a:p>
        <a:p>
          <a:r>
            <a:rPr lang="en-US" sz="1100"/>
            <a:t>from fnm.cello_loan</a:t>
          </a:r>
        </a:p>
        <a:p>
          <a:r>
            <a:rPr lang="en-US" sz="1100"/>
            <a:t>where originalServicerName not in ('N/A' ,'REMAINING','WELLS FARGO','CITI','CHASE','BANK OF AMERICA','CWB','SUNTRUST','PNC','WACHOVIA','QUICKEN','GREEN TREE SERVICING, LLC','FLAGSTAR','PINGORA LOAN SERVICING, INC.','FRANKLIN AMERICAN MORTGAGE COMPANY','FREEDOM','NATIONSTAR','GUILD','HOMESTREET BANK','ROUNDPOINT MORTGAGE SERVICING CORPORATIO')</a:t>
          </a:r>
        </a:p>
        <a:p>
          <a:r>
            <a:rPr lang="en-US" sz="1100"/>
            <a:t>and marketTicker in ('FNCL')</a:t>
          </a:r>
        </a:p>
        <a:p>
          <a:r>
            <a:rPr lang="en-US" sz="1100"/>
            <a:t>and origNoteRate &gt; 0</a:t>
          </a:r>
        </a:p>
        <a:p>
          <a:r>
            <a:rPr lang="en-US" sz="1100"/>
            <a:t>and originalLoanAmount &gt; 0</a:t>
          </a:r>
        </a:p>
        <a:p>
          <a:r>
            <a:rPr lang="en-US" sz="1100" b="1"/>
            <a:t>and cs &gt;= 720</a:t>
          </a:r>
        </a:p>
        <a:p>
          <a:r>
            <a:rPr lang="en-US" sz="1100" b="1"/>
            <a:t>and cs &lt;= 740</a:t>
          </a:r>
        </a:p>
        <a:p>
          <a:r>
            <a:rPr lang="en-US" sz="1100"/>
            <a:t>and origLTV &gt;= 70</a:t>
          </a:r>
        </a:p>
        <a:p>
          <a:r>
            <a:rPr lang="en-US" sz="1100"/>
            <a:t>and origLTV &lt;= 80</a:t>
          </a:r>
        </a:p>
        <a:p>
          <a:r>
            <a:rPr lang="en-US" sz="1100"/>
            <a:t>and loanPurposeType = 'RE-FI'</a:t>
          </a:r>
        </a:p>
        <a:p>
          <a:r>
            <a:rPr lang="en-US" sz="1100"/>
            <a:t>and occType = 'OWNER'</a:t>
          </a:r>
        </a:p>
        <a:p>
          <a:r>
            <a:rPr lang="en-US" sz="1100"/>
            <a:t>and propertyType = 'SF'</a:t>
          </a:r>
        </a:p>
        <a:p>
          <a:r>
            <a:rPr lang="en-US" sz="1100"/>
            <a:t>and calcOrigMonth_LL &gt;= 200501</a:t>
          </a:r>
        </a:p>
        <a:p>
          <a:r>
            <a:rPr lang="en-US" sz="1100"/>
            <a:t>group by calcOrigMonth_LL</a:t>
          </a:r>
        </a:p>
        <a:p>
          <a:r>
            <a:rPr lang="en-US" sz="1100"/>
            <a:t>order by calcOrigMonth_LL desc</a:t>
          </a:r>
        </a:p>
      </xdr:txBody>
    </xdr:sp>
    <xdr:clientData/>
  </xdr:twoCellAnchor>
  <xdr:twoCellAnchor>
    <xdr:from>
      <xdr:col>18</xdr:col>
      <xdr:colOff>195261</xdr:colOff>
      <xdr:row>19</xdr:row>
      <xdr:rowOff>185737</xdr:rowOff>
    </xdr:from>
    <xdr:to>
      <xdr:col>33</xdr:col>
      <xdr:colOff>352424</xdr:colOff>
      <xdr:row>34</xdr:row>
      <xdr:rowOff>71437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233361</xdr:colOff>
      <xdr:row>35</xdr:row>
      <xdr:rowOff>138112</xdr:rowOff>
    </xdr:from>
    <xdr:to>
      <xdr:col>33</xdr:col>
      <xdr:colOff>342900</xdr:colOff>
      <xdr:row>50</xdr:row>
      <xdr:rowOff>23812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95250</xdr:colOff>
      <xdr:row>53</xdr:row>
      <xdr:rowOff>0</xdr:rowOff>
    </xdr:from>
    <xdr:to>
      <xdr:col>33</xdr:col>
      <xdr:colOff>204789</xdr:colOff>
      <xdr:row>67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195261</xdr:colOff>
      <xdr:row>19</xdr:row>
      <xdr:rowOff>185737</xdr:rowOff>
    </xdr:from>
    <xdr:to>
      <xdr:col>33</xdr:col>
      <xdr:colOff>352424</xdr:colOff>
      <xdr:row>34</xdr:row>
      <xdr:rowOff>71437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233361</xdr:colOff>
      <xdr:row>35</xdr:row>
      <xdr:rowOff>138112</xdr:rowOff>
    </xdr:from>
    <xdr:to>
      <xdr:col>33</xdr:col>
      <xdr:colOff>342900</xdr:colOff>
      <xdr:row>50</xdr:row>
      <xdr:rowOff>23812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95250</xdr:colOff>
      <xdr:row>53</xdr:row>
      <xdr:rowOff>0</xdr:rowOff>
    </xdr:from>
    <xdr:to>
      <xdr:col>33</xdr:col>
      <xdr:colOff>204789</xdr:colOff>
      <xdr:row>67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195261</xdr:colOff>
      <xdr:row>19</xdr:row>
      <xdr:rowOff>185737</xdr:rowOff>
    </xdr:from>
    <xdr:to>
      <xdr:col>33</xdr:col>
      <xdr:colOff>352424</xdr:colOff>
      <xdr:row>34</xdr:row>
      <xdr:rowOff>71437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233361</xdr:colOff>
      <xdr:row>35</xdr:row>
      <xdr:rowOff>138112</xdr:rowOff>
    </xdr:from>
    <xdr:to>
      <xdr:col>33</xdr:col>
      <xdr:colOff>342900</xdr:colOff>
      <xdr:row>50</xdr:row>
      <xdr:rowOff>23812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95250</xdr:colOff>
      <xdr:row>53</xdr:row>
      <xdr:rowOff>0</xdr:rowOff>
    </xdr:from>
    <xdr:to>
      <xdr:col>33</xdr:col>
      <xdr:colOff>204789</xdr:colOff>
      <xdr:row>67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195261</xdr:colOff>
      <xdr:row>19</xdr:row>
      <xdr:rowOff>185737</xdr:rowOff>
    </xdr:from>
    <xdr:to>
      <xdr:col>33</xdr:col>
      <xdr:colOff>352424</xdr:colOff>
      <xdr:row>34</xdr:row>
      <xdr:rowOff>71437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233361</xdr:colOff>
      <xdr:row>35</xdr:row>
      <xdr:rowOff>138112</xdr:rowOff>
    </xdr:from>
    <xdr:to>
      <xdr:col>33</xdr:col>
      <xdr:colOff>342900</xdr:colOff>
      <xdr:row>50</xdr:row>
      <xdr:rowOff>23812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95250</xdr:colOff>
      <xdr:row>53</xdr:row>
      <xdr:rowOff>0</xdr:rowOff>
    </xdr:from>
    <xdr:to>
      <xdr:col>33</xdr:col>
      <xdr:colOff>204789</xdr:colOff>
      <xdr:row>67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Lien%20Workspace\12.Primary%20Market%20Package\1.Daily%20Originator%20Mortgage%20Rate\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definedNames>
      <definedName name="CreatePDFReport"/>
    </definedNames>
    <sheetDataSet>
      <sheetData sheetId="0">
        <row r="2">
          <cell r="V2">
            <v>42083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69" unboundColumnsRight="5">
    <queryTableFields count="7">
      <queryTableField id="57" name="asOf" tableColumnId="2"/>
      <queryTableField id="62" name="Wac" tableColumnId="1"/>
      <queryTableField id="63" dataBound="0" tableColumnId="3"/>
      <queryTableField id="64" dataBound="0" tableColumnId="4"/>
      <queryTableField id="65" dataBound="0" tableColumnId="5"/>
      <queryTableField id="66" dataBound="0" tableColumnId="6"/>
      <queryTableField id="67" dataBound="0" tableColumnId="7"/>
    </queryTableFields>
  </queryTableRefresh>
</queryTable>
</file>

<file path=xl/queryTables/queryTable2.xml><?xml version="1.0" encoding="utf-8"?>
<queryTable xmlns="http://schemas.openxmlformats.org/spreadsheetml/2006/main" name="Query from Agency_9" backgroundRefresh="0" adjustColumnWidth="0" connectionId="2" autoFormatId="16" applyNumberFormats="0" applyBorderFormats="0" applyFontFormats="0" applyPatternFormats="0" applyAlignmentFormats="0" applyWidthHeightFormats="0">
  <queryTableRefresh nextId="63">
    <queryTableFields count="2">
      <queryTableField id="57" name="asOf" tableColumnId="2"/>
      <queryTableField id="62" name="Wac" tableColumnId="1"/>
    </queryTableFields>
  </queryTableRefresh>
</queryTable>
</file>

<file path=xl/queryTables/queryTable3.xml><?xml version="1.0" encoding="utf-8"?>
<queryTable xmlns="http://schemas.openxmlformats.org/spreadsheetml/2006/main" name="Query from Agency_10" backgroundRefresh="0" adjustColumnWidth="0" connectionId="8" autoFormatId="16" applyNumberFormats="0" applyBorderFormats="0" applyFontFormats="0" applyPatternFormats="0" applyAlignmentFormats="0" applyWidthHeightFormats="0">
  <queryTableRefresh nextId="63">
    <queryTableFields count="2">
      <queryTableField id="57" name="asOf" tableColumnId="2"/>
      <queryTableField id="62" name="Wac" tableColumnId="1"/>
    </queryTableFields>
  </queryTableRefresh>
</queryTable>
</file>

<file path=xl/queryTables/queryTable4.xml><?xml version="1.0" encoding="utf-8"?>
<queryTable xmlns="http://schemas.openxmlformats.org/spreadsheetml/2006/main" name="temp_4" connectionId="1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_3" connectionId="1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emp_2" connectionId="1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emp_1" connectionId="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emp_1" connectionId="2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emp" connectionId="1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emp_2" connectionId="2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temp" connectionId="3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temp_3" connectionId="3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temp" connectionId="1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temp_1" connectionId="2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temp_2" connectionId="2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temp_2" connectionId="3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temp_1" connectionId="2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temp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temp_3" connectionId="3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temp_3" connectionId="3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temp" connectionId="1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temp_1" connectionId="2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temp_2" connectionId="3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temp_2" connectionId="3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temp_1" connectionId="2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temp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temp_3" connectionId="3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temp_3" connectionId="3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temp" connectionId="2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temp_1" connectionId="2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temp_2" connectionId="33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CurrentMtgRatesDataTable82" displayName="CurrentMtgRatesDataTable82" ref="B3:H123" tableType="queryTable" totalsRowShown="0" headerRowDxfId="16" dataDxfId="15">
  <tableColumns count="7">
    <tableColumn id="2" uniqueName="2" name="asOf" queryTableFieldId="57" dataDxfId="14"/>
    <tableColumn id="1" uniqueName="1" name="Wac" queryTableFieldId="62" dataDxfId="13"/>
    <tableColumn id="3" uniqueName="3" name="Big Non-Bank Lender" queryTableFieldId="63" dataDxfId="12">
      <calculatedColumnFormula>VLOOKUP(CurrentMtgRatesDataTable82[[#This Row],[asOf]],CurrentMtgRatesDataTable823[],2,0)</calculatedColumnFormula>
    </tableColumn>
    <tableColumn id="4" uniqueName="4" name="Small Lender" queryTableFieldId="64" dataDxfId="11">
      <calculatedColumnFormula>VLOOKUP(CurrentMtgRatesDataTable82[[#This Row],[asOf]],CurrentMtgRatesDataTable8234[],2,0)</calculatedColumnFormula>
    </tableColumn>
    <tableColumn id="5" uniqueName="5" name="1-2" queryTableFieldId="65" dataDxfId="10">
      <calculatedColumnFormula>CurrentMtgRatesDataTable82[[#This Row],[Wac]]-CurrentMtgRatesDataTable82[[#This Row],[Big Non-Bank Lender]]</calculatedColumnFormula>
    </tableColumn>
    <tableColumn id="6" uniqueName="6" name="1-3" queryTableFieldId="66" dataDxfId="9">
      <calculatedColumnFormula>CurrentMtgRatesDataTable82[[#This Row],[Wac]]-CurrentMtgRatesDataTable82[[#This Row],[Small Lender]]</calculatedColumnFormula>
    </tableColumn>
    <tableColumn id="7" uniqueName="7" name="2-3" queryTableFieldId="67" dataDxfId="8">
      <calculatedColumnFormula>CurrentMtgRatesDataTable82[[#This Row],[Big Non-Bank Lender]]-CurrentMtgRatesDataTable82[[#This Row],[Small Lender]]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CurrentMtgRatesDataTable823" displayName="CurrentMtgRatesDataTable823" ref="K3:L113" tableType="queryTable" totalsRowShown="0" headerRowDxfId="7" dataDxfId="6">
  <tableColumns count="2">
    <tableColumn id="2" uniqueName="2" name="asOf" queryTableFieldId="57" dataDxfId="5"/>
    <tableColumn id="1" uniqueName="1" name="Wac" queryTableFieldId="62" dataDxfId="4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CurrentMtgRatesDataTable8234" displayName="CurrentMtgRatesDataTable8234" ref="N3:O123" tableType="queryTable" totalsRowShown="0" headerRowDxfId="3" dataDxfId="2">
  <tableColumns count="2">
    <tableColumn id="2" uniqueName="2" name="asOf" queryTableFieldId="57" dataDxfId="1"/>
    <tableColumn id="1" uniqueName="1" name="Wac" queryTableFieldId="62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queryTable" Target="../queryTables/queryTable4.xml"/><Relationship Id="rId1" Type="http://schemas.openxmlformats.org/officeDocument/2006/relationships/drawing" Target="../drawings/drawing3.xml"/><Relationship Id="rId5" Type="http://schemas.openxmlformats.org/officeDocument/2006/relationships/queryTable" Target="../queryTables/queryTable7.xml"/><Relationship Id="rId4" Type="http://schemas.openxmlformats.org/officeDocument/2006/relationships/queryTable" Target="../queryTables/query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queryTable" Target="../queryTables/queryTable8.xml"/><Relationship Id="rId1" Type="http://schemas.openxmlformats.org/officeDocument/2006/relationships/drawing" Target="../drawings/drawing4.xml"/><Relationship Id="rId4" Type="http://schemas.openxmlformats.org/officeDocument/2006/relationships/queryTable" Target="../queryTables/queryTable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drawing" Target="../drawings/drawing6.xml"/><Relationship Id="rId5" Type="http://schemas.openxmlformats.org/officeDocument/2006/relationships/queryTable" Target="../queryTables/queryTable15.xml"/><Relationship Id="rId4" Type="http://schemas.openxmlformats.org/officeDocument/2006/relationships/queryTable" Target="../queryTables/queryTable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drawing" Target="../drawings/drawing7.xml"/><Relationship Id="rId5" Type="http://schemas.openxmlformats.org/officeDocument/2006/relationships/queryTable" Target="../queryTables/queryTable19.xml"/><Relationship Id="rId4" Type="http://schemas.openxmlformats.org/officeDocument/2006/relationships/queryTable" Target="../queryTables/queryTable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drawing" Target="../drawings/drawing8.xml"/><Relationship Id="rId5" Type="http://schemas.openxmlformats.org/officeDocument/2006/relationships/queryTable" Target="../queryTables/queryTable23.xml"/><Relationship Id="rId4" Type="http://schemas.openxmlformats.org/officeDocument/2006/relationships/queryTable" Target="../queryTables/queryTable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drawing" Target="../drawings/drawing9.xml"/><Relationship Id="rId5" Type="http://schemas.openxmlformats.org/officeDocument/2006/relationships/queryTable" Target="../queryTables/queryTable27.xml"/><Relationship Id="rId4" Type="http://schemas.openxmlformats.org/officeDocument/2006/relationships/queryTable" Target="../queryTables/queryTable2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drawing" Target="../drawings/drawing10.xml"/><Relationship Id="rId5" Type="http://schemas.openxmlformats.org/officeDocument/2006/relationships/queryTable" Target="../queryTables/queryTable31.xml"/><Relationship Id="rId4" Type="http://schemas.openxmlformats.org/officeDocument/2006/relationships/queryTable" Target="../queryTables/queryTable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87"/>
  <sheetViews>
    <sheetView showGridLines="0" zoomScaleNormal="100" workbookViewId="0">
      <selection activeCell="B45" sqref="B45"/>
    </sheetView>
  </sheetViews>
  <sheetFormatPr defaultRowHeight="12.75"/>
  <cols>
    <col min="1" max="1" width="9.140625" style="9" customWidth="1"/>
    <col min="2" max="2" width="9.140625" style="9"/>
    <col min="3" max="11" width="15.7109375" style="9" customWidth="1"/>
    <col min="12" max="14" width="10.28515625" style="9" customWidth="1"/>
    <col min="15" max="15" width="13.140625" style="9" customWidth="1"/>
    <col min="16" max="16" width="15.85546875" style="9" bestFit="1" customWidth="1"/>
    <col min="17" max="17" width="7.5703125" style="9" customWidth="1"/>
    <col min="18" max="18" width="10.28515625" style="9" customWidth="1"/>
    <col min="19" max="19" width="9.140625" style="9"/>
    <col min="20" max="20" width="14.140625" style="9" customWidth="1"/>
    <col min="21" max="21" width="40.85546875" style="9" bestFit="1" customWidth="1"/>
    <col min="22" max="22" width="14.85546875" style="9" bestFit="1" customWidth="1"/>
    <col min="23" max="16384" width="9.140625" style="9"/>
  </cols>
  <sheetData>
    <row r="1" spans="3:23">
      <c r="T1" s="4" t="s">
        <v>2</v>
      </c>
      <c r="U1" s="5" t="s">
        <v>3</v>
      </c>
      <c r="V1" s="9" t="s">
        <v>4</v>
      </c>
      <c r="W1" s="5" t="s">
        <v>5</v>
      </c>
    </row>
    <row r="2" spans="3:23">
      <c r="T2" s="4" t="s">
        <v>6</v>
      </c>
      <c r="U2" s="6">
        <v>42132</v>
      </c>
    </row>
    <row r="3" spans="3:23">
      <c r="T3" s="4" t="s">
        <v>27</v>
      </c>
      <c r="U3" s="28" t="s">
        <v>30</v>
      </c>
    </row>
    <row r="4" spans="3:23">
      <c r="T4" s="4" t="s">
        <v>7</v>
      </c>
      <c r="U4" s="5" t="str">
        <f>PDFReportDir&amp;"Market Concentration - NonBank Lenders " &amp; TEXT(CurrentCloseDate, "yyyy-mm-dd") &amp; ".pdf"</f>
        <v>S:\IT\Production\Daily Reports\Primary Market\tmp\Market Concentration - NonBank Lenders 2015-05-08.pdf</v>
      </c>
    </row>
    <row r="5" spans="3:23">
      <c r="T5" s="14"/>
    </row>
    <row r="6" spans="3:23">
      <c r="T6" s="14"/>
    </row>
    <row r="9" spans="3:23" s="15" customFormat="1">
      <c r="C9" s="9"/>
      <c r="D9" s="9"/>
      <c r="E9" s="9"/>
      <c r="F9" s="9"/>
      <c r="G9" s="9"/>
      <c r="H9" s="9"/>
      <c r="I9" s="9"/>
      <c r="J9" s="9"/>
      <c r="K9" s="9"/>
      <c r="L9" s="9"/>
      <c r="M9" s="9"/>
      <c r="Q9" s="9"/>
      <c r="R9" s="9"/>
      <c r="T9" s="15" t="s">
        <v>22</v>
      </c>
      <c r="U9" s="21">
        <f>IF(DAY(CurrentCloseDate)&lt;7,(CurrentCloseDate-DAY(CurrentCloseDate))-DAY((CurrentCloseDate-DAY(CurrentCloseDate)))+1,CurrentCloseDate-DAY(CurrentCloseDate)+1)</f>
        <v>42125</v>
      </c>
    </row>
    <row r="10" spans="3:23" s="16" customFormat="1"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Q10" s="9"/>
      <c r="R10" s="9"/>
      <c r="T10" s="16" t="s">
        <v>23</v>
      </c>
      <c r="U10" s="22">
        <f>(U9-1)-DAY((U9-1))+1</f>
        <v>42095</v>
      </c>
    </row>
    <row r="11" spans="3:23" s="16" customFormat="1"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Q11" s="9"/>
      <c r="R11" s="9"/>
    </row>
    <row r="12" spans="3:23" s="16" customFormat="1"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Q12" s="9"/>
      <c r="R12" s="9"/>
      <c r="T12" s="16" t="s">
        <v>28</v>
      </c>
      <c r="U12" s="22">
        <v>37773</v>
      </c>
    </row>
    <row r="13" spans="3:23" s="16" customFormat="1"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Q13" s="9"/>
      <c r="R13" s="9"/>
    </row>
    <row r="14" spans="3:23" s="16" customFormat="1"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Q14" s="9"/>
      <c r="R14" s="9"/>
    </row>
    <row r="15" spans="3:23" s="16" customFormat="1"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Q15" s="9"/>
      <c r="R15" s="9"/>
    </row>
    <row r="16" spans="3:23" s="16" customFormat="1"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Q16" s="9"/>
      <c r="R16" s="9"/>
    </row>
    <row r="17" spans="3:18" s="16" customFormat="1"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Q17" s="9"/>
      <c r="R17" s="9"/>
    </row>
    <row r="18" spans="3:18" s="16" customFormat="1"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Q18" s="9"/>
      <c r="R18" s="9"/>
    </row>
    <row r="19" spans="3:18" s="16" customFormat="1"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Q19" s="9"/>
      <c r="R19" s="9"/>
    </row>
    <row r="20" spans="3:18" s="16" customFormat="1"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Q20" s="9"/>
      <c r="R20" s="9"/>
    </row>
    <row r="21" spans="3:18" s="16" customFormat="1"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Q21" s="9"/>
      <c r="R21" s="9"/>
    </row>
    <row r="39" spans="3:11" ht="15">
      <c r="H39" s="36" t="s">
        <v>31</v>
      </c>
      <c r="I39" s="37">
        <f>U2</f>
        <v>42132</v>
      </c>
    </row>
    <row r="40" spans="3:11">
      <c r="D40" s="10"/>
      <c r="E40" s="11" t="s">
        <v>16</v>
      </c>
      <c r="F40" s="12" t="s">
        <v>17</v>
      </c>
      <c r="G40" s="12" t="s">
        <v>18</v>
      </c>
      <c r="H40" s="12" t="s">
        <v>19</v>
      </c>
      <c r="I40" s="12" t="s">
        <v>20</v>
      </c>
    </row>
    <row r="41" spans="3:11">
      <c r="D41" s="13" t="s">
        <v>13</v>
      </c>
      <c r="E41" s="23" t="e">
        <f>#REF!</f>
        <v>#REF!</v>
      </c>
      <c r="F41" s="17" t="e">
        <f>#REF!-#REF!</f>
        <v>#REF!</v>
      </c>
      <c r="G41" s="17" t="e">
        <f>#REF!-#REF!</f>
        <v>#REF!</v>
      </c>
      <c r="H41" s="17" t="e">
        <f>#REF!-#REF!</f>
        <v>#REF!</v>
      </c>
      <c r="I41" s="17" t="e">
        <f>#REF!-#REF!</f>
        <v>#REF!</v>
      </c>
    </row>
    <row r="42" spans="3:11">
      <c r="D42" s="13" t="s">
        <v>14</v>
      </c>
      <c r="E42" s="23" t="e">
        <f>#REF!</f>
        <v>#REF!</v>
      </c>
      <c r="F42" s="17" t="e">
        <f>#REF!-#REF!</f>
        <v>#REF!</v>
      </c>
      <c r="G42" s="17" t="e">
        <f>#REF!-#REF!</f>
        <v>#REF!</v>
      </c>
      <c r="H42" s="17" t="e">
        <f>#REF!-#REF!</f>
        <v>#REF!</v>
      </c>
      <c r="I42" s="17" t="e">
        <f>#REF!-#REF!</f>
        <v>#REF!</v>
      </c>
    </row>
    <row r="43" spans="3:11">
      <c r="D43" s="13" t="s">
        <v>15</v>
      </c>
      <c r="E43" s="23" t="e">
        <f>#REF!</f>
        <v>#REF!</v>
      </c>
      <c r="F43" s="17" t="e">
        <f>#REF!-#REF!</f>
        <v>#REF!</v>
      </c>
      <c r="G43" s="17" t="e">
        <f>#REF!-#REF!</f>
        <v>#REF!</v>
      </c>
      <c r="H43" s="17" t="e">
        <f>#REF!-#REF!</f>
        <v>#REF!</v>
      </c>
      <c r="I43" s="17" t="e">
        <f>#REF!-#REF!</f>
        <v>#REF!</v>
      </c>
      <c r="J43" s="26"/>
    </row>
    <row r="44" spans="3:11">
      <c r="D44" s="24"/>
      <c r="E44" s="25"/>
      <c r="F44" s="25"/>
      <c r="G44" s="26"/>
      <c r="H44" s="26"/>
      <c r="I44" s="26"/>
      <c r="J44" s="26"/>
    </row>
    <row r="47" spans="3:11" ht="15">
      <c r="C47" s="7" t="s">
        <v>25</v>
      </c>
      <c r="E47" s="36" t="s">
        <v>31</v>
      </c>
      <c r="F47" s="37">
        <f>U9</f>
        <v>42125</v>
      </c>
      <c r="H47" s="7" t="s">
        <v>26</v>
      </c>
      <c r="J47" s="36" t="s">
        <v>31</v>
      </c>
      <c r="K47" s="37">
        <f>U10</f>
        <v>42095</v>
      </c>
    </row>
    <row r="48" spans="3:11">
      <c r="C48" s="29" t="s">
        <v>1</v>
      </c>
      <c r="D48" s="30" t="s">
        <v>24</v>
      </c>
      <c r="E48" s="30" t="s">
        <v>21</v>
      </c>
      <c r="F48" s="31" t="s">
        <v>29</v>
      </c>
      <c r="H48" s="29" t="s">
        <v>1</v>
      </c>
      <c r="I48" s="30" t="s">
        <v>24</v>
      </c>
      <c r="J48" s="30" t="s">
        <v>21</v>
      </c>
      <c r="K48" s="31" t="s">
        <v>29</v>
      </c>
    </row>
    <row r="49" spans="3:11">
      <c r="C49" s="29">
        <v>1</v>
      </c>
      <c r="D49" s="32" t="e">
        <f t="array" ref="D49">VLOOKUP(C49&amp;$U$9,IF({1,0},#REF!&amp;CurrentMtgRatesDataTable82[asOf],#REF!),2,0)</f>
        <v>#N/A</v>
      </c>
      <c r="E49" s="33" t="e">
        <f t="array" ref="E49">VLOOKUP(C49&amp;$U$9,IF({1,0},#REF!&amp;CurrentMtgRatesDataTable82[asOf],#REF!),2,0)/VLOOKUP($U$9,#REF!,2,0)</f>
        <v>#N/A</v>
      </c>
      <c r="F49" s="34" t="e">
        <f t="array" ref="F49">VLOOKUP(C49&amp;$U$9,IF({1,0},#REF!&amp;CurrentMtgRatesDataTable82[asOf],#REF!),2,0)/1000000</f>
        <v>#N/A</v>
      </c>
      <c r="H49" s="29">
        <v>1</v>
      </c>
      <c r="I49" s="32" t="e">
        <f t="array" ref="I49">VLOOKUP(C49&amp;$U$10,IF({1,0},#REF!&amp;CurrentMtgRatesDataTable82[asOf],#REF!),2,0)</f>
        <v>#N/A</v>
      </c>
      <c r="J49" s="33" t="e">
        <f t="array" ref="J49">VLOOKUP(C49&amp;$U$10,IF({1,0},#REF!&amp;CurrentMtgRatesDataTable82[asOf],#REF!),2,0)/VLOOKUP($U$10,#REF!,2,0)</f>
        <v>#N/A</v>
      </c>
      <c r="K49" s="35" t="e">
        <f t="array" ref="K49">VLOOKUP(C49&amp;$U$10,IF({1,0},#REF!&amp;CurrentMtgRatesDataTable82[asOf],#REF!),2,0)/1000000</f>
        <v>#N/A</v>
      </c>
    </row>
    <row r="50" spans="3:11">
      <c r="C50" s="29">
        <v>2</v>
      </c>
      <c r="D50" s="32" t="e">
        <f t="array" ref="D50">VLOOKUP(C50&amp;$U$9,IF({1,0},#REF!&amp;CurrentMtgRatesDataTable82[asOf],#REF!),2,0)</f>
        <v>#N/A</v>
      </c>
      <c r="E50" s="33" t="e">
        <f t="array" ref="E50">VLOOKUP(C50&amp;$U$9,IF({1,0},#REF!&amp;CurrentMtgRatesDataTable82[asOf],#REF!),2,0)/VLOOKUP($U$9,#REF!,2,0)</f>
        <v>#N/A</v>
      </c>
      <c r="F50" s="34" t="e">
        <f t="array" ref="F50">VLOOKUP(C50&amp;$U$9,IF({1,0},#REF!&amp;CurrentMtgRatesDataTable82[asOf],#REF!),2,0)/1000000</f>
        <v>#N/A</v>
      </c>
      <c r="H50" s="29">
        <v>2</v>
      </c>
      <c r="I50" s="32" t="e">
        <f t="array" ref="I50">VLOOKUP(C50&amp;$U$10,IF({1,0},#REF!&amp;CurrentMtgRatesDataTable82[asOf],#REF!),2,0)</f>
        <v>#N/A</v>
      </c>
      <c r="J50" s="33" t="e">
        <f t="array" ref="J50">VLOOKUP(C50&amp;$U$10,IF({1,0},#REF!&amp;CurrentMtgRatesDataTable82[asOf],#REF!),2,0)/VLOOKUP($U$10,#REF!,2,0)</f>
        <v>#N/A</v>
      </c>
      <c r="K50" s="35" t="e">
        <f t="array" ref="K50">VLOOKUP(C50&amp;$U$10,IF({1,0},#REF!&amp;CurrentMtgRatesDataTable82[asOf],#REF!),2,0)/1000000</f>
        <v>#N/A</v>
      </c>
    </row>
    <row r="51" spans="3:11">
      <c r="C51" s="29">
        <v>3</v>
      </c>
      <c r="D51" s="32" t="e">
        <f t="array" ref="D51">VLOOKUP(C51&amp;$U$9,IF({1,0},#REF!&amp;CurrentMtgRatesDataTable82[asOf],#REF!),2,0)</f>
        <v>#N/A</v>
      </c>
      <c r="E51" s="33" t="e">
        <f t="array" ref="E51">VLOOKUP(C51&amp;$U$9,IF({1,0},#REF!&amp;CurrentMtgRatesDataTable82[asOf],#REF!),2,0)/VLOOKUP($U$9,#REF!,2,0)</f>
        <v>#N/A</v>
      </c>
      <c r="F51" s="34" t="e">
        <f t="array" ref="F51">VLOOKUP(C51&amp;$U$9,IF({1,0},#REF!&amp;CurrentMtgRatesDataTable82[asOf],#REF!),2,0)/1000000</f>
        <v>#N/A</v>
      </c>
      <c r="H51" s="29">
        <v>3</v>
      </c>
      <c r="I51" s="32" t="e">
        <f t="array" ref="I51">VLOOKUP(C51&amp;$U$10,IF({1,0},#REF!&amp;CurrentMtgRatesDataTable82[asOf],#REF!),2,0)</f>
        <v>#N/A</v>
      </c>
      <c r="J51" s="33" t="e">
        <f t="array" ref="J51">VLOOKUP(C51&amp;$U$10,IF({1,0},#REF!&amp;CurrentMtgRatesDataTable82[asOf],#REF!),2,0)/VLOOKUP($U$10,#REF!,2,0)</f>
        <v>#N/A</v>
      </c>
      <c r="K51" s="35" t="e">
        <f t="array" ref="K51">VLOOKUP(C51&amp;$U$10,IF({1,0},#REF!&amp;CurrentMtgRatesDataTable82[asOf],#REF!),2,0)/1000000</f>
        <v>#N/A</v>
      </c>
    </row>
    <row r="52" spans="3:11">
      <c r="C52" s="29">
        <v>4</v>
      </c>
      <c r="D52" s="32" t="e">
        <f t="array" ref="D52">VLOOKUP(C52&amp;$U$9,IF({1,0},#REF!&amp;CurrentMtgRatesDataTable82[asOf],#REF!),2,0)</f>
        <v>#N/A</v>
      </c>
      <c r="E52" s="33" t="e">
        <f t="array" ref="E52">VLOOKUP(C52&amp;$U$9,IF({1,0},#REF!&amp;CurrentMtgRatesDataTable82[asOf],#REF!),2,0)/VLOOKUP($U$9,#REF!,2,0)</f>
        <v>#N/A</v>
      </c>
      <c r="F52" s="34" t="e">
        <f t="array" ref="F52">VLOOKUP(C52&amp;$U$9,IF({1,0},#REF!&amp;CurrentMtgRatesDataTable82[asOf],#REF!),2,0)/1000000</f>
        <v>#N/A</v>
      </c>
      <c r="H52" s="29">
        <v>4</v>
      </c>
      <c r="I52" s="32" t="e">
        <f t="array" ref="I52">VLOOKUP(C52&amp;$U$10,IF({1,0},#REF!&amp;CurrentMtgRatesDataTable82[asOf],#REF!),2,0)</f>
        <v>#N/A</v>
      </c>
      <c r="J52" s="33" t="e">
        <f t="array" ref="J52">VLOOKUP(C52&amp;$U$10,IF({1,0},#REF!&amp;CurrentMtgRatesDataTable82[asOf],#REF!),2,0)/VLOOKUP($U$10,#REF!,2,0)</f>
        <v>#N/A</v>
      </c>
      <c r="K52" s="35" t="e">
        <f t="array" ref="K52">VLOOKUP(C52&amp;$U$10,IF({1,0},#REF!&amp;CurrentMtgRatesDataTable82[asOf],#REF!),2,0)/1000000</f>
        <v>#N/A</v>
      </c>
    </row>
    <row r="53" spans="3:11">
      <c r="C53" s="29">
        <v>5</v>
      </c>
      <c r="D53" s="32" t="e">
        <f t="array" ref="D53">VLOOKUP(C53&amp;$U$9,IF({1,0},#REF!&amp;CurrentMtgRatesDataTable82[asOf],#REF!),2,0)</f>
        <v>#N/A</v>
      </c>
      <c r="E53" s="33" t="e">
        <f t="array" ref="E53">VLOOKUP(C53&amp;$U$9,IF({1,0},#REF!&amp;CurrentMtgRatesDataTable82[asOf],#REF!),2,0)/VLOOKUP($U$9,#REF!,2,0)</f>
        <v>#N/A</v>
      </c>
      <c r="F53" s="34" t="e">
        <f t="array" ref="F53">VLOOKUP(C53&amp;$U$9,IF({1,0},#REF!&amp;CurrentMtgRatesDataTable82[asOf],#REF!),2,0)/1000000</f>
        <v>#N/A</v>
      </c>
      <c r="H53" s="29">
        <v>5</v>
      </c>
      <c r="I53" s="32" t="e">
        <f t="array" ref="I53">VLOOKUP(C53&amp;$U$10,IF({1,0},#REF!&amp;CurrentMtgRatesDataTable82[asOf],#REF!),2,0)</f>
        <v>#N/A</v>
      </c>
      <c r="J53" s="33" t="e">
        <f t="array" ref="J53">VLOOKUP(C53&amp;$U$10,IF({1,0},#REF!&amp;CurrentMtgRatesDataTable82[asOf],#REF!),2,0)/VLOOKUP($U$10,#REF!,2,0)</f>
        <v>#N/A</v>
      </c>
      <c r="K53" s="35" t="e">
        <f t="array" ref="K53">VLOOKUP(C53&amp;$U$10,IF({1,0},#REF!&amp;CurrentMtgRatesDataTable82[asOf],#REF!),2,0)/1000000</f>
        <v>#N/A</v>
      </c>
    </row>
    <row r="54" spans="3:11">
      <c r="C54" s="29">
        <v>6</v>
      </c>
      <c r="D54" s="32" t="e">
        <f t="array" ref="D54">VLOOKUP(C54&amp;$U$9,IF({1,0},#REF!&amp;CurrentMtgRatesDataTable82[asOf],#REF!),2,0)</f>
        <v>#N/A</v>
      </c>
      <c r="E54" s="33" t="e">
        <f t="array" ref="E54">VLOOKUP(C54&amp;$U$9,IF({1,0},#REF!&amp;CurrentMtgRatesDataTable82[asOf],#REF!),2,0)/VLOOKUP($U$9,#REF!,2,0)</f>
        <v>#N/A</v>
      </c>
      <c r="F54" s="34" t="e">
        <f t="array" ref="F54">VLOOKUP(C54&amp;$U$9,IF({1,0},#REF!&amp;CurrentMtgRatesDataTable82[asOf],#REF!),2,0)/1000000</f>
        <v>#N/A</v>
      </c>
      <c r="H54" s="29">
        <v>6</v>
      </c>
      <c r="I54" s="32" t="e">
        <f t="array" ref="I54">VLOOKUP(C54&amp;$U$10,IF({1,0},#REF!&amp;CurrentMtgRatesDataTable82[asOf],#REF!),2,0)</f>
        <v>#N/A</v>
      </c>
      <c r="J54" s="33" t="e">
        <f t="array" ref="J54">VLOOKUP(C54&amp;$U$10,IF({1,0},#REF!&amp;CurrentMtgRatesDataTable82[asOf],#REF!),2,0)/VLOOKUP($U$10,#REF!,2,0)</f>
        <v>#N/A</v>
      </c>
      <c r="K54" s="35" t="e">
        <f t="array" ref="K54">VLOOKUP(C54&amp;$U$10,IF({1,0},#REF!&amp;CurrentMtgRatesDataTable82[asOf],#REF!),2,0)/1000000</f>
        <v>#N/A</v>
      </c>
    </row>
    <row r="55" spans="3:11">
      <c r="C55" s="29">
        <v>7</v>
      </c>
      <c r="D55" s="32" t="e">
        <f t="array" ref="D55">VLOOKUP(C55&amp;$U$9,IF({1,0},#REF!&amp;CurrentMtgRatesDataTable82[asOf],#REF!),2,0)</f>
        <v>#N/A</v>
      </c>
      <c r="E55" s="33" t="e">
        <f t="array" ref="E55">VLOOKUP(C55&amp;$U$9,IF({1,0},#REF!&amp;CurrentMtgRatesDataTable82[asOf],#REF!),2,0)/VLOOKUP($U$9,#REF!,2,0)</f>
        <v>#N/A</v>
      </c>
      <c r="F55" s="34" t="e">
        <f t="array" ref="F55">VLOOKUP(C55&amp;$U$9,IF({1,0},#REF!&amp;CurrentMtgRatesDataTable82[asOf],#REF!),2,0)/1000000</f>
        <v>#N/A</v>
      </c>
      <c r="H55" s="29">
        <v>7</v>
      </c>
      <c r="I55" s="32" t="e">
        <f t="array" ref="I55">VLOOKUP(C55&amp;$U$10,IF({1,0},#REF!&amp;CurrentMtgRatesDataTable82[asOf],#REF!),2,0)</f>
        <v>#N/A</v>
      </c>
      <c r="J55" s="33" t="e">
        <f t="array" ref="J55">VLOOKUP(C55&amp;$U$10,IF({1,0},#REF!&amp;CurrentMtgRatesDataTable82[asOf],#REF!),2,0)/VLOOKUP($U$10,#REF!,2,0)</f>
        <v>#N/A</v>
      </c>
      <c r="K55" s="35" t="e">
        <f t="array" ref="K55">VLOOKUP(C55&amp;$U$10,IF({1,0},#REF!&amp;CurrentMtgRatesDataTable82[asOf],#REF!),2,0)/1000000</f>
        <v>#N/A</v>
      </c>
    </row>
    <row r="56" spans="3:11">
      <c r="C56" s="29">
        <v>8</v>
      </c>
      <c r="D56" s="32" t="e">
        <f t="array" ref="D56">VLOOKUP(C56&amp;$U$9,IF({1,0},#REF!&amp;CurrentMtgRatesDataTable82[asOf],#REF!),2,0)</f>
        <v>#N/A</v>
      </c>
      <c r="E56" s="33" t="e">
        <f t="array" ref="E56">VLOOKUP(C56&amp;$U$9,IF({1,0},#REF!&amp;CurrentMtgRatesDataTable82[asOf],#REF!),2,0)/VLOOKUP($U$9,#REF!,2,0)</f>
        <v>#N/A</v>
      </c>
      <c r="F56" s="34" t="e">
        <f t="array" ref="F56">VLOOKUP(C56&amp;$U$9,IF({1,0},#REF!&amp;CurrentMtgRatesDataTable82[asOf],#REF!),2,0)/1000000</f>
        <v>#N/A</v>
      </c>
      <c r="H56" s="29">
        <v>8</v>
      </c>
      <c r="I56" s="32" t="e">
        <f t="array" ref="I56">VLOOKUP(C56&amp;$U$10,IF({1,0},#REF!&amp;CurrentMtgRatesDataTable82[asOf],#REF!),2,0)</f>
        <v>#N/A</v>
      </c>
      <c r="J56" s="33" t="e">
        <f t="array" ref="J56">VLOOKUP(C56&amp;$U$10,IF({1,0},#REF!&amp;CurrentMtgRatesDataTable82[asOf],#REF!),2,0)/VLOOKUP($U$10,#REF!,2,0)</f>
        <v>#N/A</v>
      </c>
      <c r="K56" s="35" t="e">
        <f t="array" ref="K56">VLOOKUP(C56&amp;$U$10,IF({1,0},#REF!&amp;CurrentMtgRatesDataTable82[asOf],#REF!),2,0)/1000000</f>
        <v>#N/A</v>
      </c>
    </row>
    <row r="57" spans="3:11">
      <c r="C57" s="29">
        <v>9</v>
      </c>
      <c r="D57" s="32" t="e">
        <f t="array" ref="D57">VLOOKUP(C57&amp;$U$9,IF({1,0},#REF!&amp;CurrentMtgRatesDataTable82[asOf],#REF!),2,0)</f>
        <v>#N/A</v>
      </c>
      <c r="E57" s="33" t="e">
        <f t="array" ref="E57">VLOOKUP(C57&amp;$U$9,IF({1,0},#REF!&amp;CurrentMtgRatesDataTable82[asOf],#REF!),2,0)/VLOOKUP($U$9,#REF!,2,0)</f>
        <v>#N/A</v>
      </c>
      <c r="F57" s="34" t="e">
        <f t="array" ref="F57">VLOOKUP(C57&amp;$U$9,IF({1,0},#REF!&amp;CurrentMtgRatesDataTable82[asOf],#REF!),2,0)/1000000</f>
        <v>#N/A</v>
      </c>
      <c r="H57" s="29">
        <v>9</v>
      </c>
      <c r="I57" s="32" t="e">
        <f t="array" ref="I57">VLOOKUP(C57&amp;$U$10,IF({1,0},#REF!&amp;CurrentMtgRatesDataTable82[asOf],#REF!),2,0)</f>
        <v>#N/A</v>
      </c>
      <c r="J57" s="33" t="e">
        <f t="array" ref="J57">VLOOKUP(C57&amp;$U$10,IF({1,0},#REF!&amp;CurrentMtgRatesDataTable82[asOf],#REF!),2,0)/VLOOKUP($U$10,#REF!,2,0)</f>
        <v>#N/A</v>
      </c>
      <c r="K57" s="35" t="e">
        <f t="array" ref="K57">VLOOKUP(C57&amp;$U$10,IF({1,0},#REF!&amp;CurrentMtgRatesDataTable82[asOf],#REF!),2,0)/1000000</f>
        <v>#N/A</v>
      </c>
    </row>
    <row r="58" spans="3:11">
      <c r="C58" s="29">
        <v>10</v>
      </c>
      <c r="D58" s="32" t="e">
        <f t="array" ref="D58">VLOOKUP(C58&amp;$U$9,IF({1,0},#REF!&amp;CurrentMtgRatesDataTable82[asOf],#REF!),2,0)</f>
        <v>#N/A</v>
      </c>
      <c r="E58" s="33" t="e">
        <f t="array" ref="E58">VLOOKUP(C58&amp;$U$9,IF({1,0},#REF!&amp;CurrentMtgRatesDataTable82[asOf],#REF!),2,0)/VLOOKUP($U$9,#REF!,2,0)</f>
        <v>#N/A</v>
      </c>
      <c r="F58" s="34" t="e">
        <f t="array" ref="F58">VLOOKUP(C58&amp;$U$9,IF({1,0},#REF!&amp;CurrentMtgRatesDataTable82[asOf],#REF!),2,0)/1000000</f>
        <v>#N/A</v>
      </c>
      <c r="H58" s="29">
        <v>10</v>
      </c>
      <c r="I58" s="32" t="e">
        <f t="array" ref="I58">VLOOKUP(C58&amp;$U$10,IF({1,0},#REF!&amp;CurrentMtgRatesDataTable82[asOf],#REF!),2,0)</f>
        <v>#N/A</v>
      </c>
      <c r="J58" s="33" t="e">
        <f t="array" ref="J58">VLOOKUP(C58&amp;$U$10,IF({1,0},#REF!&amp;CurrentMtgRatesDataTable82[asOf],#REF!),2,0)/VLOOKUP($U$10,#REF!,2,0)</f>
        <v>#N/A</v>
      </c>
      <c r="K58" s="35" t="e">
        <f t="array" ref="K58">VLOOKUP(C58&amp;$U$10,IF({1,0},#REF!&amp;CurrentMtgRatesDataTable82[asOf],#REF!),2,0)/1000000</f>
        <v>#N/A</v>
      </c>
    </row>
    <row r="84" spans="16:17">
      <c r="P84" s="18" t="s">
        <v>12</v>
      </c>
      <c r="Q84" s="19" t="s">
        <v>8</v>
      </c>
    </row>
    <row r="85" spans="16:17">
      <c r="Q85" s="19" t="s">
        <v>9</v>
      </c>
    </row>
    <row r="86" spans="16:17">
      <c r="Q86" s="19" t="s">
        <v>10</v>
      </c>
    </row>
    <row r="87" spans="16:17">
      <c r="Q87" s="20" t="s">
        <v>11</v>
      </c>
    </row>
  </sheetData>
  <dataValidations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84" r:id="rId1" location="closeModal"/>
    <hyperlink ref="Q85" r:id="rId2"/>
    <hyperlink ref="Q87" r:id="rId3"/>
    <hyperlink ref="Q86" r:id="rId4" location="key-benefits"/>
  </hyperlinks>
  <pageMargins left="0.25" right="0.25" top="0.255" bottom="0.25" header="0.1" footer="0.1"/>
  <pageSetup scale="62" orientation="landscape" horizontalDpi="1200" verticalDpi="1200" r:id="rId5"/>
  <headerFooter scaleWithDoc="0">
    <oddHeader>&amp;L&amp;G&amp;C&amp;"-,Bold"&amp;10&amp;K2E398A
&amp;15Origination Market Concentration: Non-Bank Lenders&amp;R&amp;"-,Bold"&amp;10&amp;K2E398A
As of 05/08/2015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2:R123"/>
  <sheetViews>
    <sheetView showGridLines="0" workbookViewId="0">
      <selection activeCell="T53" sqref="T53"/>
    </sheetView>
  </sheetViews>
  <sheetFormatPr defaultRowHeight="15"/>
  <cols>
    <col min="13" max="13" width="12.28515625" customWidth="1"/>
  </cols>
  <sheetData>
    <row r="2" spans="2:15">
      <c r="B2" t="s">
        <v>33</v>
      </c>
      <c r="C2">
        <v>1</v>
      </c>
      <c r="D2">
        <v>2</v>
      </c>
      <c r="E2">
        <v>3</v>
      </c>
      <c r="K2" t="s">
        <v>34</v>
      </c>
      <c r="N2" t="s">
        <v>35</v>
      </c>
    </row>
    <row r="3" spans="2:15">
      <c r="B3" s="8" t="s">
        <v>0</v>
      </c>
      <c r="C3" s="8" t="s">
        <v>32</v>
      </c>
      <c r="D3" s="9" t="s">
        <v>36</v>
      </c>
      <c r="E3" s="9" t="s">
        <v>35</v>
      </c>
      <c r="F3" s="42" t="s">
        <v>37</v>
      </c>
      <c r="G3" s="43" t="s">
        <v>38</v>
      </c>
      <c r="H3" s="43" t="s">
        <v>39</v>
      </c>
      <c r="I3" s="43"/>
      <c r="K3" s="8" t="s">
        <v>0</v>
      </c>
      <c r="L3" s="8" t="s">
        <v>32</v>
      </c>
      <c r="N3" s="8" t="s">
        <v>0</v>
      </c>
      <c r="O3" s="8" t="s">
        <v>32</v>
      </c>
    </row>
    <row r="4" spans="2:15">
      <c r="B4" s="27">
        <v>42125</v>
      </c>
      <c r="C4" s="40">
        <v>3.9912955465587046</v>
      </c>
      <c r="D4" s="41">
        <f>VLOOKUP(CurrentMtgRatesDataTable82[[#This Row],[asOf]],CurrentMtgRatesDataTable823[],2,0)</f>
        <v>4.1031823745410039</v>
      </c>
      <c r="E4" s="41">
        <f>VLOOKUP(CurrentMtgRatesDataTable82[[#This Row],[asOf]],CurrentMtgRatesDataTable8234[],2,0)</f>
        <v>4.0292713077423556</v>
      </c>
      <c r="F4" s="41">
        <f>CurrentMtgRatesDataTable82[[#This Row],[Wac]]-CurrentMtgRatesDataTable82[[#This Row],[Big Non-Bank Lender]]</f>
        <v>-0.11188682798229932</v>
      </c>
      <c r="G4" s="41">
        <f>CurrentMtgRatesDataTable82[[#This Row],[Wac]]-CurrentMtgRatesDataTable82[[#This Row],[Small Lender]]</f>
        <v>-3.7975761183651091E-2</v>
      </c>
      <c r="H4" s="41">
        <f>CurrentMtgRatesDataTable82[[#This Row],[Big Non-Bank Lender]]-CurrentMtgRatesDataTable82[[#This Row],[Small Lender]]</f>
        <v>7.3911066798648228E-2</v>
      </c>
      <c r="I4" s="41"/>
      <c r="K4" s="27">
        <v>42125</v>
      </c>
      <c r="L4" s="40">
        <v>4.1031823745410039</v>
      </c>
      <c r="N4" s="27">
        <v>42125</v>
      </c>
      <c r="O4" s="40">
        <v>4.0292713077423556</v>
      </c>
    </row>
    <row r="5" spans="2:15">
      <c r="B5" s="27">
        <v>42095</v>
      </c>
      <c r="C5" s="40">
        <v>3.9979175704989154</v>
      </c>
      <c r="D5" s="41">
        <f>VLOOKUP(CurrentMtgRatesDataTable82[[#This Row],[asOf]],CurrentMtgRatesDataTable823[],2,0)</f>
        <v>4.1035747126436783</v>
      </c>
      <c r="E5" s="41">
        <f>VLOOKUP(CurrentMtgRatesDataTable82[[#This Row],[asOf]],CurrentMtgRatesDataTable8234[],2,0)</f>
        <v>4.0326439351593066</v>
      </c>
      <c r="F5" s="41">
        <f>CurrentMtgRatesDataTable82[[#This Row],[Wac]]-CurrentMtgRatesDataTable82[[#This Row],[Big Non-Bank Lender]]</f>
        <v>-0.10565714214476296</v>
      </c>
      <c r="G5" s="41">
        <f>CurrentMtgRatesDataTable82[[#This Row],[Wac]]-CurrentMtgRatesDataTable82[[#This Row],[Small Lender]]</f>
        <v>-3.4726364660391251E-2</v>
      </c>
      <c r="H5" s="41">
        <f>CurrentMtgRatesDataTable82[[#This Row],[Big Non-Bank Lender]]-CurrentMtgRatesDataTable82[[#This Row],[Small Lender]]</f>
        <v>7.093077748437171E-2</v>
      </c>
      <c r="I5" s="41"/>
      <c r="K5" s="27">
        <v>42095</v>
      </c>
      <c r="L5" s="40">
        <v>4.1035747126436783</v>
      </c>
      <c r="N5" s="27">
        <v>42095</v>
      </c>
      <c r="O5" s="40">
        <v>4.0326439351593066</v>
      </c>
    </row>
    <row r="6" spans="2:15">
      <c r="B6" s="27">
        <v>42064</v>
      </c>
      <c r="C6" s="40">
        <v>4.1609779951100245</v>
      </c>
      <c r="D6" s="41">
        <f>VLOOKUP(CurrentMtgRatesDataTable82[[#This Row],[asOf]],CurrentMtgRatesDataTable823[],2,0)</f>
        <v>4.0939948783610758</v>
      </c>
      <c r="E6" s="41">
        <f>VLOOKUP(CurrentMtgRatesDataTable82[[#This Row],[asOf]],CurrentMtgRatesDataTable8234[],2,0)</f>
        <v>4.0136091661362192</v>
      </c>
      <c r="F6" s="41">
        <f>CurrentMtgRatesDataTable82[[#This Row],[Wac]]-CurrentMtgRatesDataTable82[[#This Row],[Big Non-Bank Lender]]</f>
        <v>6.6983116748948746E-2</v>
      </c>
      <c r="G6" s="41">
        <f>CurrentMtgRatesDataTable82[[#This Row],[Wac]]-CurrentMtgRatesDataTable82[[#This Row],[Small Lender]]</f>
        <v>0.14736882897380532</v>
      </c>
      <c r="H6" s="41">
        <f>CurrentMtgRatesDataTable82[[#This Row],[Big Non-Bank Lender]]-CurrentMtgRatesDataTable82[[#This Row],[Small Lender]]</f>
        <v>8.0385712224856576E-2</v>
      </c>
      <c r="I6" s="41"/>
      <c r="K6" s="27">
        <v>42064</v>
      </c>
      <c r="L6" s="40">
        <v>4.0939948783610758</v>
      </c>
      <c r="N6" s="27">
        <v>42064</v>
      </c>
      <c r="O6" s="40">
        <v>4.0136091661362192</v>
      </c>
    </row>
    <row r="7" spans="2:15">
      <c r="B7" s="27">
        <v>42036</v>
      </c>
      <c r="C7" s="40">
        <v>4.24542600896861</v>
      </c>
      <c r="D7" s="41">
        <f>VLOOKUP(CurrentMtgRatesDataTable82[[#This Row],[asOf]],CurrentMtgRatesDataTable823[],2,0)</f>
        <v>4.2022985468956406</v>
      </c>
      <c r="E7" s="41">
        <f>VLOOKUP(CurrentMtgRatesDataTable82[[#This Row],[asOf]],CurrentMtgRatesDataTable8234[],2,0)</f>
        <v>4.2049160510409669</v>
      </c>
      <c r="F7" s="41">
        <f>CurrentMtgRatesDataTable82[[#This Row],[Wac]]-CurrentMtgRatesDataTable82[[#This Row],[Big Non-Bank Lender]]</f>
        <v>4.3127462072969358E-2</v>
      </c>
      <c r="G7" s="41">
        <f>CurrentMtgRatesDataTable82[[#This Row],[Wac]]-CurrentMtgRatesDataTable82[[#This Row],[Small Lender]]</f>
        <v>4.0509957927643114E-2</v>
      </c>
      <c r="H7" s="41">
        <f>CurrentMtgRatesDataTable82[[#This Row],[Big Non-Bank Lender]]-CurrentMtgRatesDataTable82[[#This Row],[Small Lender]]</f>
        <v>-2.6175041453262438E-3</v>
      </c>
      <c r="I7" s="41"/>
      <c r="K7" s="27">
        <v>42036</v>
      </c>
      <c r="L7" s="40">
        <v>4.2022985468956406</v>
      </c>
      <c r="N7" s="27">
        <v>42036</v>
      </c>
      <c r="O7" s="40">
        <v>4.2049160510409669</v>
      </c>
    </row>
    <row r="8" spans="2:15">
      <c r="B8" s="27">
        <v>42005</v>
      </c>
      <c r="C8" s="40">
        <v>4.2274654377880188</v>
      </c>
      <c r="D8" s="41">
        <f>VLOOKUP(CurrentMtgRatesDataTable82[[#This Row],[asOf]],CurrentMtgRatesDataTable823[],2,0)</f>
        <v>4.2962853107344632</v>
      </c>
      <c r="E8" s="41">
        <f>VLOOKUP(CurrentMtgRatesDataTable82[[#This Row],[asOf]],CurrentMtgRatesDataTable8234[],2,0)</f>
        <v>4.2893762311227839</v>
      </c>
      <c r="F8" s="41">
        <f>CurrentMtgRatesDataTable82[[#This Row],[Wac]]-CurrentMtgRatesDataTable82[[#This Row],[Big Non-Bank Lender]]</f>
        <v>-6.8819872946444427E-2</v>
      </c>
      <c r="G8" s="41">
        <f>CurrentMtgRatesDataTable82[[#This Row],[Wac]]-CurrentMtgRatesDataTable82[[#This Row],[Small Lender]]</f>
        <v>-6.1910793334765124E-2</v>
      </c>
      <c r="H8" s="41">
        <f>CurrentMtgRatesDataTable82[[#This Row],[Big Non-Bank Lender]]-CurrentMtgRatesDataTable82[[#This Row],[Small Lender]]</f>
        <v>6.909079611679303E-3</v>
      </c>
      <c r="I8" s="41"/>
      <c r="K8" s="27">
        <v>42005</v>
      </c>
      <c r="L8" s="40">
        <v>4.2962853107344632</v>
      </c>
      <c r="N8" s="27">
        <v>42005</v>
      </c>
      <c r="O8" s="40">
        <v>4.2893762311227839</v>
      </c>
    </row>
    <row r="9" spans="2:15">
      <c r="B9" s="27">
        <v>41974</v>
      </c>
      <c r="C9" s="40">
        <v>4.1999220272904481</v>
      </c>
      <c r="D9" s="41">
        <f>VLOOKUP(CurrentMtgRatesDataTable82[[#This Row],[asOf]],CurrentMtgRatesDataTable823[],2,0)</f>
        <v>4.3708053691275168</v>
      </c>
      <c r="E9" s="41">
        <f>VLOOKUP(CurrentMtgRatesDataTable82[[#This Row],[asOf]],CurrentMtgRatesDataTable8234[],2,0)</f>
        <v>4.2744139004149382</v>
      </c>
      <c r="F9" s="41">
        <f>CurrentMtgRatesDataTable82[[#This Row],[Wac]]-CurrentMtgRatesDataTable82[[#This Row],[Big Non-Bank Lender]]</f>
        <v>-0.17088334183706877</v>
      </c>
      <c r="G9" s="41">
        <f>CurrentMtgRatesDataTable82[[#This Row],[Wac]]-CurrentMtgRatesDataTable82[[#This Row],[Small Lender]]</f>
        <v>-7.4491873124490127E-2</v>
      </c>
      <c r="H9" s="41">
        <f>CurrentMtgRatesDataTable82[[#This Row],[Big Non-Bank Lender]]-CurrentMtgRatesDataTable82[[#This Row],[Small Lender]]</f>
        <v>9.6391468712578643E-2</v>
      </c>
      <c r="I9" s="41"/>
      <c r="K9" s="27">
        <v>41974</v>
      </c>
      <c r="L9" s="40">
        <v>4.3708053691275168</v>
      </c>
      <c r="N9" s="27">
        <v>41974</v>
      </c>
      <c r="O9" s="40">
        <v>4.2744139004149382</v>
      </c>
    </row>
    <row r="10" spans="2:15">
      <c r="B10" s="27">
        <v>41944</v>
      </c>
      <c r="C10" s="40">
        <v>4.2928996282527878</v>
      </c>
      <c r="D10" s="41">
        <f>VLOOKUP(CurrentMtgRatesDataTable82[[#This Row],[asOf]],CurrentMtgRatesDataTable823[],2,0)</f>
        <v>4.4032330827067669</v>
      </c>
      <c r="E10" s="41">
        <f>VLOOKUP(CurrentMtgRatesDataTable82[[#This Row],[asOf]],CurrentMtgRatesDataTable8234[],2,0)</f>
        <v>4.4161538461538461</v>
      </c>
      <c r="F10" s="41">
        <f>CurrentMtgRatesDataTable82[[#This Row],[Wac]]-CurrentMtgRatesDataTable82[[#This Row],[Big Non-Bank Lender]]</f>
        <v>-0.11033345445397913</v>
      </c>
      <c r="G10" s="41">
        <f>CurrentMtgRatesDataTable82[[#This Row],[Wac]]-CurrentMtgRatesDataTable82[[#This Row],[Small Lender]]</f>
        <v>-0.12325421790105828</v>
      </c>
      <c r="H10" s="41">
        <f>CurrentMtgRatesDataTable82[[#This Row],[Big Non-Bank Lender]]-CurrentMtgRatesDataTable82[[#This Row],[Small Lender]]</f>
        <v>-1.2920763447079153E-2</v>
      </c>
      <c r="I10" s="41"/>
      <c r="K10" s="27">
        <v>41944</v>
      </c>
      <c r="L10" s="40">
        <v>4.4032330827067669</v>
      </c>
      <c r="N10" s="27">
        <v>41944</v>
      </c>
      <c r="O10" s="40">
        <v>4.4161538461538461</v>
      </c>
    </row>
    <row r="11" spans="2:15">
      <c r="B11" s="27">
        <v>41913</v>
      </c>
      <c r="C11" s="40">
        <v>4.5364476021314388</v>
      </c>
      <c r="D11" s="41">
        <f>VLOOKUP(CurrentMtgRatesDataTable82[[#This Row],[asOf]],CurrentMtgRatesDataTable823[],2,0)</f>
        <v>4.6441150442477879</v>
      </c>
      <c r="E11" s="41">
        <f>VLOOKUP(CurrentMtgRatesDataTable82[[#This Row],[asOf]],CurrentMtgRatesDataTable8234[],2,0)</f>
        <v>4.6339791356184801</v>
      </c>
      <c r="F11" s="41">
        <f>CurrentMtgRatesDataTable82[[#This Row],[Wac]]-CurrentMtgRatesDataTable82[[#This Row],[Big Non-Bank Lender]]</f>
        <v>-0.10766744211634904</v>
      </c>
      <c r="G11" s="41">
        <f>CurrentMtgRatesDataTable82[[#This Row],[Wac]]-CurrentMtgRatesDataTable82[[#This Row],[Small Lender]]</f>
        <v>-9.7531533487041244E-2</v>
      </c>
      <c r="H11" s="41">
        <f>CurrentMtgRatesDataTable82[[#This Row],[Big Non-Bank Lender]]-CurrentMtgRatesDataTable82[[#This Row],[Small Lender]]</f>
        <v>1.0135908629307799E-2</v>
      </c>
      <c r="I11" s="41"/>
      <c r="K11" s="27">
        <v>41913</v>
      </c>
      <c r="L11" s="40">
        <v>4.6441150442477879</v>
      </c>
      <c r="N11" s="27">
        <v>41913</v>
      </c>
      <c r="O11" s="40">
        <v>4.6339791356184801</v>
      </c>
    </row>
    <row r="12" spans="2:15">
      <c r="B12" s="27">
        <v>41883</v>
      </c>
      <c r="C12" s="40">
        <v>4.3340740740740742</v>
      </c>
      <c r="D12" s="41">
        <f>VLOOKUP(CurrentMtgRatesDataTable82[[#This Row],[asOf]],CurrentMtgRatesDataTable823[],2,0)</f>
        <v>4.3866253443526171</v>
      </c>
      <c r="E12" s="41">
        <f>VLOOKUP(CurrentMtgRatesDataTable82[[#This Row],[asOf]],CurrentMtgRatesDataTable8234[],2,0)</f>
        <v>4.3585949943117175</v>
      </c>
      <c r="F12" s="41">
        <f>CurrentMtgRatesDataTable82[[#This Row],[Wac]]-CurrentMtgRatesDataTable82[[#This Row],[Big Non-Bank Lender]]</f>
        <v>-5.2551270278542894E-2</v>
      </c>
      <c r="G12" s="41">
        <f>CurrentMtgRatesDataTable82[[#This Row],[Wac]]-CurrentMtgRatesDataTable82[[#This Row],[Small Lender]]</f>
        <v>-2.4520920237643296E-2</v>
      </c>
      <c r="H12" s="41">
        <f>CurrentMtgRatesDataTable82[[#This Row],[Big Non-Bank Lender]]-CurrentMtgRatesDataTable82[[#This Row],[Small Lender]]</f>
        <v>2.8030350040899599E-2</v>
      </c>
      <c r="I12" s="41"/>
      <c r="K12" s="27">
        <v>41883</v>
      </c>
      <c r="L12" s="40">
        <v>4.3866253443526171</v>
      </c>
      <c r="N12" s="27">
        <v>41883</v>
      </c>
      <c r="O12" s="40">
        <v>4.3585949943117175</v>
      </c>
    </row>
    <row r="13" spans="2:15">
      <c r="B13" s="27">
        <v>41852</v>
      </c>
      <c r="C13" s="40">
        <v>4.2793501048218028</v>
      </c>
      <c r="D13" s="41">
        <f>VLOOKUP(CurrentMtgRatesDataTable82[[#This Row],[asOf]],CurrentMtgRatesDataTable823[],2,0)</f>
        <v>4.4176777939042093</v>
      </c>
      <c r="E13" s="41">
        <f>VLOOKUP(CurrentMtgRatesDataTable82[[#This Row],[asOf]],CurrentMtgRatesDataTable8234[],2,0)</f>
        <v>4.3804644495412841</v>
      </c>
      <c r="F13" s="41">
        <f>CurrentMtgRatesDataTable82[[#This Row],[Wac]]-CurrentMtgRatesDataTable82[[#This Row],[Big Non-Bank Lender]]</f>
        <v>-0.13832768908240656</v>
      </c>
      <c r="G13" s="41">
        <f>CurrentMtgRatesDataTable82[[#This Row],[Wac]]-CurrentMtgRatesDataTable82[[#This Row],[Small Lender]]</f>
        <v>-0.10111434471948133</v>
      </c>
      <c r="H13" s="41">
        <f>CurrentMtgRatesDataTable82[[#This Row],[Big Non-Bank Lender]]-CurrentMtgRatesDataTable82[[#This Row],[Small Lender]]</f>
        <v>3.7213344362925227E-2</v>
      </c>
      <c r="I13" s="41"/>
      <c r="K13" s="27">
        <v>41852</v>
      </c>
      <c r="L13" s="40">
        <v>4.4176777939042093</v>
      </c>
      <c r="N13" s="27">
        <v>41852</v>
      </c>
      <c r="O13" s="40">
        <v>4.3804644495412841</v>
      </c>
    </row>
    <row r="14" spans="2:15">
      <c r="B14" s="27">
        <v>41821</v>
      </c>
      <c r="C14" s="40">
        <v>4.4661368653421629</v>
      </c>
      <c r="D14" s="41">
        <f>VLOOKUP(CurrentMtgRatesDataTable82[[#This Row],[asOf]],CurrentMtgRatesDataTable823[],2,0)</f>
        <v>4.5105019305019303</v>
      </c>
      <c r="E14" s="41">
        <f>VLOOKUP(CurrentMtgRatesDataTable82[[#This Row],[asOf]],CurrentMtgRatesDataTable8234[],2,0)</f>
        <v>4.4667106710671067</v>
      </c>
      <c r="F14" s="41">
        <f>CurrentMtgRatesDataTable82[[#This Row],[Wac]]-CurrentMtgRatesDataTable82[[#This Row],[Big Non-Bank Lender]]</f>
        <v>-4.4365065159767347E-2</v>
      </c>
      <c r="G14" s="41">
        <f>CurrentMtgRatesDataTable82[[#This Row],[Wac]]-CurrentMtgRatesDataTable82[[#This Row],[Small Lender]]</f>
        <v>-5.7380572494380999E-4</v>
      </c>
      <c r="H14" s="41">
        <f>CurrentMtgRatesDataTable82[[#This Row],[Big Non-Bank Lender]]-CurrentMtgRatesDataTable82[[#This Row],[Small Lender]]</f>
        <v>4.3791259434823537E-2</v>
      </c>
      <c r="I14" s="41"/>
      <c r="K14" s="27">
        <v>41821</v>
      </c>
      <c r="L14" s="40">
        <v>4.5105019305019303</v>
      </c>
      <c r="N14" s="27">
        <v>41821</v>
      </c>
      <c r="O14" s="40">
        <v>4.4667106710671067</v>
      </c>
    </row>
    <row r="15" spans="2:15">
      <c r="B15" s="27">
        <v>41791</v>
      </c>
      <c r="C15" s="40">
        <v>4.3982524271844659</v>
      </c>
      <c r="D15" s="41">
        <f>VLOOKUP(CurrentMtgRatesDataTable82[[#This Row],[asOf]],CurrentMtgRatesDataTable823[],2,0)</f>
        <v>4.5577452415812587</v>
      </c>
      <c r="E15" s="41">
        <f>VLOOKUP(CurrentMtgRatesDataTable82[[#This Row],[asOf]],CurrentMtgRatesDataTable8234[],2,0)</f>
        <v>4.5122021210230816</v>
      </c>
      <c r="F15" s="41">
        <f>CurrentMtgRatesDataTable82[[#This Row],[Wac]]-CurrentMtgRatesDataTable82[[#This Row],[Big Non-Bank Lender]]</f>
        <v>-0.15949281439679286</v>
      </c>
      <c r="G15" s="41">
        <f>CurrentMtgRatesDataTable82[[#This Row],[Wac]]-CurrentMtgRatesDataTable82[[#This Row],[Small Lender]]</f>
        <v>-0.11394969383861575</v>
      </c>
      <c r="H15" s="41">
        <f>CurrentMtgRatesDataTable82[[#This Row],[Big Non-Bank Lender]]-CurrentMtgRatesDataTable82[[#This Row],[Small Lender]]</f>
        <v>4.5543120558177108E-2</v>
      </c>
      <c r="I15" s="41"/>
      <c r="K15" s="27">
        <v>41791</v>
      </c>
      <c r="L15" s="40">
        <v>4.5577452415812587</v>
      </c>
      <c r="N15" s="27">
        <v>41791</v>
      </c>
      <c r="O15" s="40">
        <v>4.5122021210230816</v>
      </c>
    </row>
    <row r="16" spans="2:15">
      <c r="B16" s="27">
        <v>41760</v>
      </c>
      <c r="C16" s="40">
        <v>4.444987593052109</v>
      </c>
      <c r="D16" s="41">
        <f>VLOOKUP(CurrentMtgRatesDataTable82[[#This Row],[asOf]],CurrentMtgRatesDataTable823[],2,0)</f>
        <v>4.5295286195286195</v>
      </c>
      <c r="E16" s="41">
        <f>VLOOKUP(CurrentMtgRatesDataTable82[[#This Row],[asOf]],CurrentMtgRatesDataTable8234[],2,0)</f>
        <v>4.5604559650218617</v>
      </c>
      <c r="F16" s="41">
        <f>CurrentMtgRatesDataTable82[[#This Row],[Wac]]-CurrentMtgRatesDataTable82[[#This Row],[Big Non-Bank Lender]]</f>
        <v>-8.4541026476510517E-2</v>
      </c>
      <c r="G16" s="41">
        <f>CurrentMtgRatesDataTable82[[#This Row],[Wac]]-CurrentMtgRatesDataTable82[[#This Row],[Small Lender]]</f>
        <v>-0.11546837196975268</v>
      </c>
      <c r="H16" s="41">
        <f>CurrentMtgRatesDataTable82[[#This Row],[Big Non-Bank Lender]]-CurrentMtgRatesDataTable82[[#This Row],[Small Lender]]</f>
        <v>-3.0927345493242164E-2</v>
      </c>
      <c r="I16" s="41"/>
      <c r="K16" s="27">
        <v>41760</v>
      </c>
      <c r="L16" s="40">
        <v>4.5295286195286195</v>
      </c>
      <c r="N16" s="27">
        <v>41760</v>
      </c>
      <c r="O16" s="40">
        <v>4.5604559650218617</v>
      </c>
    </row>
    <row r="17" spans="2:18">
      <c r="B17" s="27">
        <v>41730</v>
      </c>
      <c r="C17" s="40">
        <v>4.5344392523364485</v>
      </c>
      <c r="D17" s="41">
        <f>VLOOKUP(CurrentMtgRatesDataTable82[[#This Row],[asOf]],CurrentMtgRatesDataTable823[],2,0)</f>
        <v>4.5175726495726494</v>
      </c>
      <c r="E17" s="41">
        <f>VLOOKUP(CurrentMtgRatesDataTable82[[#This Row],[asOf]],CurrentMtgRatesDataTable8234[],2,0)</f>
        <v>4.5419607843137255</v>
      </c>
      <c r="F17" s="41">
        <f>CurrentMtgRatesDataTable82[[#This Row],[Wac]]-CurrentMtgRatesDataTable82[[#This Row],[Big Non-Bank Lender]]</f>
        <v>1.6866602763799143E-2</v>
      </c>
      <c r="G17" s="41">
        <f>CurrentMtgRatesDataTable82[[#This Row],[Wac]]-CurrentMtgRatesDataTable82[[#This Row],[Small Lender]]</f>
        <v>-7.5215319772770073E-3</v>
      </c>
      <c r="H17" s="41">
        <f>CurrentMtgRatesDataTable82[[#This Row],[Big Non-Bank Lender]]-CurrentMtgRatesDataTable82[[#This Row],[Small Lender]]</f>
        <v>-2.4388134741076151E-2</v>
      </c>
      <c r="I17" s="41"/>
      <c r="K17" s="27">
        <v>41730</v>
      </c>
      <c r="L17" s="40">
        <v>4.5175726495726494</v>
      </c>
      <c r="N17" s="27">
        <v>41730</v>
      </c>
      <c r="O17" s="40">
        <v>4.5419607843137255</v>
      </c>
    </row>
    <row r="18" spans="2:18">
      <c r="B18" s="27">
        <v>41699</v>
      </c>
      <c r="C18" s="40">
        <v>4.5166512702078521</v>
      </c>
      <c r="D18" s="41">
        <f>VLOOKUP(CurrentMtgRatesDataTable82[[#This Row],[asOf]],CurrentMtgRatesDataTable823[],2,0)</f>
        <v>4.5882324840764328</v>
      </c>
      <c r="E18" s="41">
        <f>VLOOKUP(CurrentMtgRatesDataTable82[[#This Row],[asOf]],CurrentMtgRatesDataTable8234[],2,0)</f>
        <v>4.4715871979098631</v>
      </c>
      <c r="F18" s="41">
        <f>CurrentMtgRatesDataTable82[[#This Row],[Wac]]-CurrentMtgRatesDataTable82[[#This Row],[Big Non-Bank Lender]]</f>
        <v>-7.158121386858074E-2</v>
      </c>
      <c r="G18" s="41">
        <f>CurrentMtgRatesDataTable82[[#This Row],[Wac]]-CurrentMtgRatesDataTable82[[#This Row],[Small Lender]]</f>
        <v>4.5064072297988922E-2</v>
      </c>
      <c r="H18" s="41">
        <f>CurrentMtgRatesDataTable82[[#This Row],[Big Non-Bank Lender]]-CurrentMtgRatesDataTable82[[#This Row],[Small Lender]]</f>
        <v>0.11664528616656966</v>
      </c>
      <c r="I18" s="41"/>
      <c r="K18" s="27">
        <v>41699</v>
      </c>
      <c r="L18" s="40">
        <v>4.5882324840764328</v>
      </c>
      <c r="N18" s="27">
        <v>41699</v>
      </c>
      <c r="O18" s="40">
        <v>4.4715871979098631</v>
      </c>
    </row>
    <row r="19" spans="2:18">
      <c r="B19" s="27">
        <v>41671</v>
      </c>
      <c r="C19" s="40">
        <v>4.454457593688363</v>
      </c>
      <c r="D19" s="41">
        <f>VLOOKUP(CurrentMtgRatesDataTable82[[#This Row],[asOf]],CurrentMtgRatesDataTable823[],2,0)</f>
        <v>4.5510142630744852</v>
      </c>
      <c r="E19" s="41">
        <f>VLOOKUP(CurrentMtgRatesDataTable82[[#This Row],[asOf]],CurrentMtgRatesDataTable8234[],2,0)</f>
        <v>4.5283301946013808</v>
      </c>
      <c r="F19" s="41">
        <f>CurrentMtgRatesDataTable82[[#This Row],[Wac]]-CurrentMtgRatesDataTable82[[#This Row],[Big Non-Bank Lender]]</f>
        <v>-9.6556669386122174E-2</v>
      </c>
      <c r="G19" s="41">
        <f>CurrentMtgRatesDataTable82[[#This Row],[Wac]]-CurrentMtgRatesDataTable82[[#This Row],[Small Lender]]</f>
        <v>-7.3872600913017727E-2</v>
      </c>
      <c r="H19" s="41">
        <f>CurrentMtgRatesDataTable82[[#This Row],[Big Non-Bank Lender]]-CurrentMtgRatesDataTable82[[#This Row],[Small Lender]]</f>
        <v>2.2684068473104446E-2</v>
      </c>
      <c r="I19" s="41"/>
      <c r="K19" s="27">
        <v>41671</v>
      </c>
      <c r="L19" s="40">
        <v>4.5510142630744852</v>
      </c>
      <c r="N19" s="27">
        <v>41671</v>
      </c>
      <c r="O19" s="40">
        <v>4.5283301946013808</v>
      </c>
    </row>
    <row r="20" spans="2:18">
      <c r="B20" s="27">
        <v>41640</v>
      </c>
      <c r="C20" s="40">
        <v>4.5210021321961618</v>
      </c>
      <c r="D20" s="41">
        <f>VLOOKUP(CurrentMtgRatesDataTable82[[#This Row],[asOf]],CurrentMtgRatesDataTable823[],2,0)</f>
        <v>4.5085251798561155</v>
      </c>
      <c r="E20" s="41">
        <f>VLOOKUP(CurrentMtgRatesDataTable82[[#This Row],[asOf]],CurrentMtgRatesDataTable8234[],2,0)</f>
        <v>4.5644876543209874</v>
      </c>
      <c r="F20" s="41">
        <f>CurrentMtgRatesDataTable82[[#This Row],[Wac]]-CurrentMtgRatesDataTable82[[#This Row],[Big Non-Bank Lender]]</f>
        <v>1.247695234004631E-2</v>
      </c>
      <c r="G20" s="41">
        <f>CurrentMtgRatesDataTable82[[#This Row],[Wac]]-CurrentMtgRatesDataTable82[[#This Row],[Small Lender]]</f>
        <v>-4.3485522124825593E-2</v>
      </c>
      <c r="H20" s="41">
        <f>CurrentMtgRatesDataTable82[[#This Row],[Big Non-Bank Lender]]-CurrentMtgRatesDataTable82[[#This Row],[Small Lender]]</f>
        <v>-5.5962474464871903E-2</v>
      </c>
      <c r="I20" s="41"/>
      <c r="K20" s="27">
        <v>41640</v>
      </c>
      <c r="L20" s="40">
        <v>4.5085251798561155</v>
      </c>
      <c r="N20" s="27">
        <v>41640</v>
      </c>
      <c r="O20" s="40">
        <v>4.5644876543209874</v>
      </c>
    </row>
    <row r="21" spans="2:18">
      <c r="B21" s="27">
        <v>41609</v>
      </c>
      <c r="C21" s="40">
        <v>4.5146623794212219</v>
      </c>
      <c r="D21" s="41">
        <f>VLOOKUP(CurrentMtgRatesDataTable82[[#This Row],[asOf]],CurrentMtgRatesDataTable823[],2,0)</f>
        <v>4.4742771982116247</v>
      </c>
      <c r="E21" s="41">
        <f>VLOOKUP(CurrentMtgRatesDataTable82[[#This Row],[asOf]],CurrentMtgRatesDataTable8234[],2,0)</f>
        <v>4.478249063670412</v>
      </c>
      <c r="F21" s="41">
        <f>CurrentMtgRatesDataTable82[[#This Row],[Wac]]-CurrentMtgRatesDataTable82[[#This Row],[Big Non-Bank Lender]]</f>
        <v>4.0385181209597221E-2</v>
      </c>
      <c r="G21" s="41">
        <f>CurrentMtgRatesDataTable82[[#This Row],[Wac]]-CurrentMtgRatesDataTable82[[#This Row],[Small Lender]]</f>
        <v>3.6413315750809971E-2</v>
      </c>
      <c r="H21" s="41">
        <f>CurrentMtgRatesDataTable82[[#This Row],[Big Non-Bank Lender]]-CurrentMtgRatesDataTable82[[#This Row],[Small Lender]]</f>
        <v>-3.9718654587872493E-3</v>
      </c>
      <c r="I21" s="41"/>
      <c r="K21" s="27">
        <v>41609</v>
      </c>
      <c r="L21" s="40">
        <v>4.4742771982116247</v>
      </c>
      <c r="N21" s="27">
        <v>41609</v>
      </c>
      <c r="O21" s="40">
        <v>4.478249063670412</v>
      </c>
    </row>
    <row r="22" spans="2:18">
      <c r="B22" s="27">
        <v>41579</v>
      </c>
      <c r="C22" s="40">
        <v>4.4361654135338346</v>
      </c>
      <c r="D22" s="41">
        <f>VLOOKUP(CurrentMtgRatesDataTable82[[#This Row],[asOf]],CurrentMtgRatesDataTable823[],2,0)</f>
        <v>4.5233111480865222</v>
      </c>
      <c r="E22" s="41">
        <f>VLOOKUP(CurrentMtgRatesDataTable82[[#This Row],[asOf]],CurrentMtgRatesDataTable8234[],2,0)</f>
        <v>4.5137945492662475</v>
      </c>
      <c r="F22" s="41">
        <f>CurrentMtgRatesDataTable82[[#This Row],[Wac]]-CurrentMtgRatesDataTable82[[#This Row],[Big Non-Bank Lender]]</f>
        <v>-8.7145734552687593E-2</v>
      </c>
      <c r="G22" s="41">
        <f>CurrentMtgRatesDataTable82[[#This Row],[Wac]]-CurrentMtgRatesDataTable82[[#This Row],[Small Lender]]</f>
        <v>-7.7629135732412813E-2</v>
      </c>
      <c r="H22" s="41">
        <f>CurrentMtgRatesDataTable82[[#This Row],[Big Non-Bank Lender]]-CurrentMtgRatesDataTable82[[#This Row],[Small Lender]]</f>
        <v>9.5165988202747798E-3</v>
      </c>
      <c r="I22" s="41"/>
      <c r="K22" s="27">
        <v>41579</v>
      </c>
      <c r="L22" s="40">
        <v>4.5233111480865222</v>
      </c>
      <c r="N22" s="27">
        <v>41579</v>
      </c>
      <c r="O22" s="40">
        <v>4.5137945492662475</v>
      </c>
    </row>
    <row r="23" spans="2:18">
      <c r="B23" s="27">
        <v>41548</v>
      </c>
      <c r="C23" s="40">
        <v>4.3628930817610065</v>
      </c>
      <c r="D23" s="41">
        <f>VLOOKUP(CurrentMtgRatesDataTable82[[#This Row],[asOf]],CurrentMtgRatesDataTable823[],2,0)</f>
        <v>4.4468817204301079</v>
      </c>
      <c r="E23" s="41">
        <f>VLOOKUP(CurrentMtgRatesDataTable82[[#This Row],[asOf]],CurrentMtgRatesDataTable8234[],2,0)</f>
        <v>4.5148250000000001</v>
      </c>
      <c r="F23" s="41">
        <f>CurrentMtgRatesDataTable82[[#This Row],[Wac]]-CurrentMtgRatesDataTable82[[#This Row],[Big Non-Bank Lender]]</f>
        <v>-8.3988638669101334E-2</v>
      </c>
      <c r="G23" s="41">
        <f>CurrentMtgRatesDataTable82[[#This Row],[Wac]]-CurrentMtgRatesDataTable82[[#This Row],[Small Lender]]</f>
        <v>-0.15193191823899355</v>
      </c>
      <c r="H23" s="41">
        <f>CurrentMtgRatesDataTable82[[#This Row],[Big Non-Bank Lender]]-CurrentMtgRatesDataTable82[[#This Row],[Small Lender]]</f>
        <v>-6.7943279569892212E-2</v>
      </c>
      <c r="I23" s="41"/>
      <c r="K23" s="27">
        <v>41548</v>
      </c>
      <c r="L23" s="40">
        <v>4.4468817204301079</v>
      </c>
      <c r="N23" s="27">
        <v>41548</v>
      </c>
      <c r="O23" s="40">
        <v>4.5148250000000001</v>
      </c>
    </row>
    <row r="24" spans="2:18">
      <c r="B24" s="27">
        <v>41518</v>
      </c>
      <c r="C24" s="40">
        <v>4.219472972972973</v>
      </c>
      <c r="D24" s="41">
        <f>VLOOKUP(CurrentMtgRatesDataTable82[[#This Row],[asOf]],CurrentMtgRatesDataTable823[],2,0)</f>
        <v>4.3189413447782545</v>
      </c>
      <c r="E24" s="41">
        <f>VLOOKUP(CurrentMtgRatesDataTable82[[#This Row],[asOf]],CurrentMtgRatesDataTable8234[],2,0)</f>
        <v>4.3738364167478094</v>
      </c>
      <c r="F24" s="41">
        <f>CurrentMtgRatesDataTable82[[#This Row],[Wac]]-CurrentMtgRatesDataTable82[[#This Row],[Big Non-Bank Lender]]</f>
        <v>-9.9468371805281564E-2</v>
      </c>
      <c r="G24" s="41">
        <f>CurrentMtgRatesDataTable82[[#This Row],[Wac]]-CurrentMtgRatesDataTable82[[#This Row],[Small Lender]]</f>
        <v>-0.15436344377483646</v>
      </c>
      <c r="H24" s="41">
        <f>CurrentMtgRatesDataTable82[[#This Row],[Big Non-Bank Lender]]-CurrentMtgRatesDataTable82[[#This Row],[Small Lender]]</f>
        <v>-5.4895071969554898E-2</v>
      </c>
      <c r="I24" s="41"/>
      <c r="K24" s="27">
        <v>41518</v>
      </c>
      <c r="L24" s="40">
        <v>4.3189413447782545</v>
      </c>
      <c r="N24" s="27">
        <v>41518</v>
      </c>
      <c r="O24" s="40">
        <v>4.3738364167478094</v>
      </c>
    </row>
    <row r="25" spans="2:18">
      <c r="B25" s="27">
        <v>41487</v>
      </c>
      <c r="C25" s="40">
        <v>3.9966482758620692</v>
      </c>
      <c r="D25" s="41">
        <f>VLOOKUP(CurrentMtgRatesDataTable82[[#This Row],[asOf]],CurrentMtgRatesDataTable823[],2,0)</f>
        <v>4.0715979381443299</v>
      </c>
      <c r="E25" s="41">
        <f>VLOOKUP(CurrentMtgRatesDataTable82[[#This Row],[asOf]],CurrentMtgRatesDataTable8234[],2,0)</f>
        <v>4.1280199430199431</v>
      </c>
      <c r="F25" s="41">
        <f>CurrentMtgRatesDataTable82[[#This Row],[Wac]]-CurrentMtgRatesDataTable82[[#This Row],[Big Non-Bank Lender]]</f>
        <v>-7.4949662282260743E-2</v>
      </c>
      <c r="G25" s="41">
        <f>CurrentMtgRatesDataTable82[[#This Row],[Wac]]-CurrentMtgRatesDataTable82[[#This Row],[Small Lender]]</f>
        <v>-0.13137166715787396</v>
      </c>
      <c r="H25" s="41">
        <f>CurrentMtgRatesDataTable82[[#This Row],[Big Non-Bank Lender]]-CurrentMtgRatesDataTable82[[#This Row],[Small Lender]]</f>
        <v>-5.6422004875613219E-2</v>
      </c>
      <c r="I25" s="41"/>
      <c r="K25" s="27">
        <v>41487</v>
      </c>
      <c r="L25" s="40">
        <v>4.0715979381443299</v>
      </c>
      <c r="N25" s="27">
        <v>41487</v>
      </c>
      <c r="O25" s="40">
        <v>4.1280199430199431</v>
      </c>
    </row>
    <row r="26" spans="2:18">
      <c r="B26" s="27">
        <v>41456</v>
      </c>
      <c r="C26" s="40">
        <v>3.7630917874396137</v>
      </c>
      <c r="D26" s="41">
        <f>VLOOKUP(CurrentMtgRatesDataTable82[[#This Row],[asOf]],CurrentMtgRatesDataTable823[],2,0)</f>
        <v>3.8559116022099449</v>
      </c>
      <c r="E26" s="41">
        <f>VLOOKUP(CurrentMtgRatesDataTable82[[#This Row],[asOf]],CurrentMtgRatesDataTable8234[],2,0)</f>
        <v>3.9304855588112182</v>
      </c>
      <c r="F26" s="41">
        <f>CurrentMtgRatesDataTable82[[#This Row],[Wac]]-CurrentMtgRatesDataTable82[[#This Row],[Big Non-Bank Lender]]</f>
        <v>-9.2819814770331188E-2</v>
      </c>
      <c r="G26" s="41">
        <f>CurrentMtgRatesDataTable82[[#This Row],[Wac]]-CurrentMtgRatesDataTable82[[#This Row],[Small Lender]]</f>
        <v>-0.16739377137160449</v>
      </c>
      <c r="H26" s="41">
        <f>CurrentMtgRatesDataTable82[[#This Row],[Big Non-Bank Lender]]-CurrentMtgRatesDataTable82[[#This Row],[Small Lender]]</f>
        <v>-7.4573956601273306E-2</v>
      </c>
      <c r="I26" s="41"/>
      <c r="K26" s="27">
        <v>41456</v>
      </c>
      <c r="L26" s="40">
        <v>3.8559116022099449</v>
      </c>
      <c r="N26" s="27">
        <v>41456</v>
      </c>
      <c r="O26" s="40">
        <v>3.9304855588112182</v>
      </c>
    </row>
    <row r="27" spans="2:18">
      <c r="B27" s="27">
        <v>41426</v>
      </c>
      <c r="C27" s="40">
        <v>3.8248064918851434</v>
      </c>
      <c r="D27" s="41">
        <f>VLOOKUP(CurrentMtgRatesDataTable82[[#This Row],[asOf]],CurrentMtgRatesDataTable823[],2,0)</f>
        <v>3.7887275693311584</v>
      </c>
      <c r="E27" s="41">
        <f>VLOOKUP(CurrentMtgRatesDataTable82[[#This Row],[asOf]],CurrentMtgRatesDataTable8234[],2,0)</f>
        <v>3.7581178947368423</v>
      </c>
      <c r="F27" s="41">
        <f>CurrentMtgRatesDataTable82[[#This Row],[Wac]]-CurrentMtgRatesDataTable82[[#This Row],[Big Non-Bank Lender]]</f>
        <v>3.6078922553985038E-2</v>
      </c>
      <c r="G27" s="41">
        <f>CurrentMtgRatesDataTable82[[#This Row],[Wac]]-CurrentMtgRatesDataTable82[[#This Row],[Small Lender]]</f>
        <v>6.668859714830111E-2</v>
      </c>
      <c r="H27" s="41">
        <f>CurrentMtgRatesDataTable82[[#This Row],[Big Non-Bank Lender]]-CurrentMtgRatesDataTable82[[#This Row],[Small Lender]]</f>
        <v>3.0609674594316072E-2</v>
      </c>
      <c r="I27" s="41"/>
      <c r="K27" s="27">
        <v>41426</v>
      </c>
      <c r="L27" s="40">
        <v>3.7887275693311584</v>
      </c>
      <c r="N27" s="27">
        <v>41426</v>
      </c>
      <c r="O27" s="40">
        <v>3.7581178947368423</v>
      </c>
    </row>
    <row r="28" spans="2:18">
      <c r="B28" s="27">
        <v>41395</v>
      </c>
      <c r="C28" s="40">
        <v>3.8760879120879119</v>
      </c>
      <c r="D28" s="41">
        <f>VLOOKUP(CurrentMtgRatesDataTable82[[#This Row],[asOf]],CurrentMtgRatesDataTable823[],2,0)</f>
        <v>3.8455106382978723</v>
      </c>
      <c r="E28" s="41">
        <f>VLOOKUP(CurrentMtgRatesDataTable82[[#This Row],[asOf]],CurrentMtgRatesDataTable8234[],2,0)</f>
        <v>3.7433420365535248</v>
      </c>
      <c r="F28" s="41">
        <f>CurrentMtgRatesDataTable82[[#This Row],[Wac]]-CurrentMtgRatesDataTable82[[#This Row],[Big Non-Bank Lender]]</f>
        <v>3.0577273790039605E-2</v>
      </c>
      <c r="G28" s="41">
        <f>CurrentMtgRatesDataTable82[[#This Row],[Wac]]-CurrentMtgRatesDataTable82[[#This Row],[Small Lender]]</f>
        <v>0.1327458755343871</v>
      </c>
      <c r="H28" s="41">
        <f>CurrentMtgRatesDataTable82[[#This Row],[Big Non-Bank Lender]]-CurrentMtgRatesDataTable82[[#This Row],[Small Lender]]</f>
        <v>0.1021686017443475</v>
      </c>
      <c r="I28" s="41"/>
      <c r="K28" s="27">
        <v>41395</v>
      </c>
      <c r="L28" s="40">
        <v>3.8455106382978723</v>
      </c>
      <c r="N28" s="27">
        <v>41395</v>
      </c>
      <c r="O28" s="40">
        <v>3.7433420365535248</v>
      </c>
      <c r="R28" s="45"/>
    </row>
    <row r="29" spans="2:18">
      <c r="B29" s="27">
        <v>41365</v>
      </c>
      <c r="C29" s="40">
        <v>3.8113201970443349</v>
      </c>
      <c r="D29" s="41">
        <f>VLOOKUP(CurrentMtgRatesDataTable82[[#This Row],[asOf]],CurrentMtgRatesDataTable823[],2,0)</f>
        <v>3.852469135802469</v>
      </c>
      <c r="E29" s="41">
        <f>VLOOKUP(CurrentMtgRatesDataTable82[[#This Row],[asOf]],CurrentMtgRatesDataTable8234[],2,0)</f>
        <v>3.7339111747851002</v>
      </c>
      <c r="F29" s="41">
        <f>CurrentMtgRatesDataTable82[[#This Row],[Wac]]-CurrentMtgRatesDataTable82[[#This Row],[Big Non-Bank Lender]]</f>
        <v>-4.1148938758134079E-2</v>
      </c>
      <c r="G29" s="41">
        <f>CurrentMtgRatesDataTable82[[#This Row],[Wac]]-CurrentMtgRatesDataTable82[[#This Row],[Small Lender]]</f>
        <v>7.7409022259234739E-2</v>
      </c>
      <c r="H29" s="41">
        <f>CurrentMtgRatesDataTable82[[#This Row],[Big Non-Bank Lender]]-CurrentMtgRatesDataTable82[[#This Row],[Small Lender]]</f>
        <v>0.11855796101736882</v>
      </c>
      <c r="I29" s="41"/>
      <c r="K29" s="27">
        <v>41365</v>
      </c>
      <c r="L29" s="40">
        <v>3.852469135802469</v>
      </c>
      <c r="N29" s="27">
        <v>41365</v>
      </c>
      <c r="O29" s="40">
        <v>3.7339111747851002</v>
      </c>
    </row>
    <row r="30" spans="2:18">
      <c r="B30" s="27">
        <v>41334</v>
      </c>
      <c r="C30" s="40">
        <v>3.7122934782608694</v>
      </c>
      <c r="D30" s="41">
        <f>VLOOKUP(CurrentMtgRatesDataTable82[[#This Row],[asOf]],CurrentMtgRatesDataTable823[],2,0)</f>
        <v>3.7388683602771362</v>
      </c>
      <c r="E30" s="41">
        <f>VLOOKUP(CurrentMtgRatesDataTable82[[#This Row],[asOf]],CurrentMtgRatesDataTable8234[],2,0)</f>
        <v>3.7099337504600665</v>
      </c>
      <c r="F30" s="41">
        <f>CurrentMtgRatesDataTable82[[#This Row],[Wac]]-CurrentMtgRatesDataTable82[[#This Row],[Big Non-Bank Lender]]</f>
        <v>-2.6574882016266788E-2</v>
      </c>
      <c r="G30" s="41">
        <f>CurrentMtgRatesDataTable82[[#This Row],[Wac]]-CurrentMtgRatesDataTable82[[#This Row],[Small Lender]]</f>
        <v>2.3597278008029576E-3</v>
      </c>
      <c r="H30" s="41">
        <f>CurrentMtgRatesDataTable82[[#This Row],[Big Non-Bank Lender]]-CurrentMtgRatesDataTable82[[#This Row],[Small Lender]]</f>
        <v>2.8934609817069745E-2</v>
      </c>
      <c r="I30" s="41"/>
      <c r="K30" s="27">
        <v>41334</v>
      </c>
      <c r="L30" s="40">
        <v>3.7388683602771362</v>
      </c>
      <c r="N30" s="27">
        <v>41334</v>
      </c>
      <c r="O30" s="40">
        <v>3.7099337504600665</v>
      </c>
    </row>
    <row r="31" spans="2:18">
      <c r="B31" s="27">
        <v>41306</v>
      </c>
      <c r="C31" s="40">
        <v>3.7481714285714287</v>
      </c>
      <c r="D31" s="41">
        <f>VLOOKUP(CurrentMtgRatesDataTable82[[#This Row],[asOf]],CurrentMtgRatesDataTable823[],2,0)</f>
        <v>3.6278368121442126</v>
      </c>
      <c r="E31" s="41">
        <f>VLOOKUP(CurrentMtgRatesDataTable82[[#This Row],[asOf]],CurrentMtgRatesDataTable8234[],2,0)</f>
        <v>3.5958880936890045</v>
      </c>
      <c r="F31" s="41">
        <f>CurrentMtgRatesDataTable82[[#This Row],[Wac]]-CurrentMtgRatesDataTable82[[#This Row],[Big Non-Bank Lender]]</f>
        <v>0.1203346164272161</v>
      </c>
      <c r="G31" s="41">
        <f>CurrentMtgRatesDataTable82[[#This Row],[Wac]]-CurrentMtgRatesDataTable82[[#This Row],[Small Lender]]</f>
        <v>0.15228333488242418</v>
      </c>
      <c r="H31" s="41">
        <f>CurrentMtgRatesDataTable82[[#This Row],[Big Non-Bank Lender]]-CurrentMtgRatesDataTable82[[#This Row],[Small Lender]]</f>
        <v>3.1948718455208081E-2</v>
      </c>
      <c r="I31" s="41"/>
      <c r="K31" s="27">
        <v>41306</v>
      </c>
      <c r="L31" s="40">
        <v>3.6278368121442126</v>
      </c>
      <c r="N31" s="27">
        <v>41306</v>
      </c>
      <c r="O31" s="40">
        <v>3.5958880936890045</v>
      </c>
    </row>
    <row r="32" spans="2:18">
      <c r="B32" s="27">
        <v>41275</v>
      </c>
      <c r="C32" s="40">
        <v>3.7645962113659022</v>
      </c>
      <c r="D32" s="41">
        <f>VLOOKUP(CurrentMtgRatesDataTable82[[#This Row],[asOf]],CurrentMtgRatesDataTable823[],2,0)</f>
        <v>3.6697932330827068</v>
      </c>
      <c r="E32" s="41">
        <f>VLOOKUP(CurrentMtgRatesDataTable82[[#This Row],[asOf]],CurrentMtgRatesDataTable8234[],2,0)</f>
        <v>3.631695067264574</v>
      </c>
      <c r="F32" s="41">
        <f>CurrentMtgRatesDataTable82[[#This Row],[Wac]]-CurrentMtgRatesDataTable82[[#This Row],[Big Non-Bank Lender]]</f>
        <v>9.4802978283195394E-2</v>
      </c>
      <c r="G32" s="41">
        <f>CurrentMtgRatesDataTable82[[#This Row],[Wac]]-CurrentMtgRatesDataTable82[[#This Row],[Small Lender]]</f>
        <v>0.13290114410132814</v>
      </c>
      <c r="H32" s="41">
        <f>CurrentMtgRatesDataTable82[[#This Row],[Big Non-Bank Lender]]-CurrentMtgRatesDataTable82[[#This Row],[Small Lender]]</f>
        <v>3.8098165818132745E-2</v>
      </c>
      <c r="I32" s="41"/>
      <c r="K32" s="27">
        <v>41275</v>
      </c>
      <c r="L32" s="40">
        <v>3.6697932330827068</v>
      </c>
      <c r="N32" s="27">
        <v>41275</v>
      </c>
      <c r="O32" s="40">
        <v>3.631695067264574</v>
      </c>
    </row>
    <row r="33" spans="2:15">
      <c r="B33" s="27">
        <v>41244</v>
      </c>
      <c r="C33" s="40">
        <v>3.7716748166259171</v>
      </c>
      <c r="D33" s="41">
        <f>VLOOKUP(CurrentMtgRatesDataTable82[[#This Row],[asOf]],CurrentMtgRatesDataTable823[],2,0)</f>
        <v>3.7777342047930285</v>
      </c>
      <c r="E33" s="41">
        <f>VLOOKUP(CurrentMtgRatesDataTable82[[#This Row],[asOf]],CurrentMtgRatesDataTable8234[],2,0)</f>
        <v>3.6432513123359582</v>
      </c>
      <c r="F33" s="41">
        <f>CurrentMtgRatesDataTable82[[#This Row],[Wac]]-CurrentMtgRatesDataTable82[[#This Row],[Big Non-Bank Lender]]</f>
        <v>-6.0593881671113792E-3</v>
      </c>
      <c r="G33" s="41">
        <f>CurrentMtgRatesDataTable82[[#This Row],[Wac]]-CurrentMtgRatesDataTable82[[#This Row],[Small Lender]]</f>
        <v>0.12842350428995886</v>
      </c>
      <c r="H33" s="41">
        <f>CurrentMtgRatesDataTable82[[#This Row],[Big Non-Bank Lender]]-CurrentMtgRatesDataTable82[[#This Row],[Small Lender]]</f>
        <v>0.13448289245707024</v>
      </c>
      <c r="I33" s="41"/>
      <c r="K33" s="27">
        <v>41244</v>
      </c>
      <c r="L33" s="40">
        <v>3.7777342047930285</v>
      </c>
      <c r="N33" s="27">
        <v>41244</v>
      </c>
      <c r="O33" s="40">
        <v>3.6432513123359582</v>
      </c>
    </row>
    <row r="34" spans="2:15">
      <c r="B34" s="27">
        <v>41214</v>
      </c>
      <c r="C34" s="40">
        <v>3.835059523809524</v>
      </c>
      <c r="D34" s="41">
        <f>VLOOKUP(CurrentMtgRatesDataTable82[[#This Row],[asOf]],CurrentMtgRatesDataTable823[],2,0)</f>
        <v>3.8298930481283424</v>
      </c>
      <c r="E34" s="41">
        <f>VLOOKUP(CurrentMtgRatesDataTable82[[#This Row],[asOf]],CurrentMtgRatesDataTable8234[],2,0)</f>
        <v>3.677646296696178</v>
      </c>
      <c r="F34" s="41">
        <f>CurrentMtgRatesDataTable82[[#This Row],[Wac]]-CurrentMtgRatesDataTable82[[#This Row],[Big Non-Bank Lender]]</f>
        <v>5.1664756811815593E-3</v>
      </c>
      <c r="G34" s="41">
        <f>CurrentMtgRatesDataTable82[[#This Row],[Wac]]-CurrentMtgRatesDataTable82[[#This Row],[Small Lender]]</f>
        <v>0.15741322711334593</v>
      </c>
      <c r="H34" s="41">
        <f>CurrentMtgRatesDataTable82[[#This Row],[Big Non-Bank Lender]]-CurrentMtgRatesDataTable82[[#This Row],[Small Lender]]</f>
        <v>0.15224675143216437</v>
      </c>
      <c r="I34" s="41"/>
      <c r="K34" s="27">
        <v>41214</v>
      </c>
      <c r="L34" s="40">
        <v>3.8298930481283424</v>
      </c>
      <c r="N34" s="27">
        <v>41214</v>
      </c>
      <c r="O34" s="40">
        <v>3.677646296696178</v>
      </c>
    </row>
    <row r="35" spans="2:15">
      <c r="B35" s="27">
        <v>41183</v>
      </c>
      <c r="C35" s="40">
        <v>3.8882166301969368</v>
      </c>
      <c r="D35" s="41">
        <f>VLOOKUP(CurrentMtgRatesDataTable82[[#This Row],[asOf]],CurrentMtgRatesDataTable823[],2,0)</f>
        <v>3.8924703557312252</v>
      </c>
      <c r="E35" s="41">
        <f>VLOOKUP(CurrentMtgRatesDataTable82[[#This Row],[asOf]],CurrentMtgRatesDataTable8234[],2,0)</f>
        <v>3.752032640949555</v>
      </c>
      <c r="F35" s="41">
        <f>CurrentMtgRatesDataTable82[[#This Row],[Wac]]-CurrentMtgRatesDataTable82[[#This Row],[Big Non-Bank Lender]]</f>
        <v>-4.2537255342884883E-3</v>
      </c>
      <c r="G35" s="41">
        <f>CurrentMtgRatesDataTable82[[#This Row],[Wac]]-CurrentMtgRatesDataTable82[[#This Row],[Small Lender]]</f>
        <v>0.13618398924738173</v>
      </c>
      <c r="H35" s="41">
        <f>CurrentMtgRatesDataTable82[[#This Row],[Big Non-Bank Lender]]-CurrentMtgRatesDataTable82[[#This Row],[Small Lender]]</f>
        <v>0.14043771478167022</v>
      </c>
      <c r="I35" s="41"/>
      <c r="K35" s="27">
        <v>41183</v>
      </c>
      <c r="L35" s="40">
        <v>3.8924703557312252</v>
      </c>
      <c r="N35" s="27">
        <v>41183</v>
      </c>
      <c r="O35" s="40">
        <v>3.752032640949555</v>
      </c>
    </row>
    <row r="36" spans="2:15">
      <c r="B36" s="27">
        <v>41153</v>
      </c>
      <c r="C36" s="40">
        <v>4.1436777178103315</v>
      </c>
      <c r="D36" s="41">
        <f>VLOOKUP(CurrentMtgRatesDataTable82[[#This Row],[asOf]],CurrentMtgRatesDataTable823[],2,0)</f>
        <v>3.9875981161695448</v>
      </c>
      <c r="E36" s="41">
        <f>VLOOKUP(CurrentMtgRatesDataTable82[[#This Row],[asOf]],CurrentMtgRatesDataTable8234[],2,0)</f>
        <v>4.0732542746828457</v>
      </c>
      <c r="F36" s="41">
        <f>CurrentMtgRatesDataTable82[[#This Row],[Wac]]-CurrentMtgRatesDataTable82[[#This Row],[Big Non-Bank Lender]]</f>
        <v>0.1560796016407866</v>
      </c>
      <c r="G36" s="41">
        <f>CurrentMtgRatesDataTable82[[#This Row],[Wac]]-CurrentMtgRatesDataTable82[[#This Row],[Small Lender]]</f>
        <v>7.0423443127485719E-2</v>
      </c>
      <c r="H36" s="41">
        <f>CurrentMtgRatesDataTable82[[#This Row],[Big Non-Bank Lender]]-CurrentMtgRatesDataTable82[[#This Row],[Small Lender]]</f>
        <v>-8.5656158513300884E-2</v>
      </c>
      <c r="I36" s="41"/>
      <c r="K36" s="27">
        <v>41153</v>
      </c>
      <c r="L36" s="40">
        <v>3.9875981161695448</v>
      </c>
      <c r="N36" s="27">
        <v>41153</v>
      </c>
      <c r="O36" s="40">
        <v>4.0732542746828457</v>
      </c>
    </row>
    <row r="37" spans="2:15">
      <c r="B37" s="27">
        <v>41122</v>
      </c>
      <c r="C37" s="40">
        <v>4.0408633093525177</v>
      </c>
      <c r="D37" s="41">
        <f>VLOOKUP(CurrentMtgRatesDataTable82[[#This Row],[asOf]],CurrentMtgRatesDataTable823[],2,0)</f>
        <v>3.9936727879799667</v>
      </c>
      <c r="E37" s="41">
        <f>VLOOKUP(CurrentMtgRatesDataTable82[[#This Row],[asOf]],CurrentMtgRatesDataTable8234[],2,0)</f>
        <v>3.8683670760039828</v>
      </c>
      <c r="F37" s="41">
        <f>CurrentMtgRatesDataTable82[[#This Row],[Wac]]-CurrentMtgRatesDataTable82[[#This Row],[Big Non-Bank Lender]]</f>
        <v>4.7190521372550975E-2</v>
      </c>
      <c r="G37" s="41">
        <f>CurrentMtgRatesDataTable82[[#This Row],[Wac]]-CurrentMtgRatesDataTable82[[#This Row],[Small Lender]]</f>
        <v>0.17249623334853492</v>
      </c>
      <c r="H37" s="41">
        <f>CurrentMtgRatesDataTable82[[#This Row],[Big Non-Bank Lender]]-CurrentMtgRatesDataTable82[[#This Row],[Small Lender]]</f>
        <v>0.12530571197598395</v>
      </c>
      <c r="I37" s="41"/>
      <c r="K37" s="27">
        <v>41122</v>
      </c>
      <c r="L37" s="40">
        <v>3.9936727879799667</v>
      </c>
      <c r="N37" s="27">
        <v>41122</v>
      </c>
      <c r="O37" s="40">
        <v>3.8683670760039828</v>
      </c>
    </row>
    <row r="38" spans="2:15">
      <c r="B38" s="27">
        <v>41091</v>
      </c>
      <c r="C38" s="40">
        <v>4.2002081268582758</v>
      </c>
      <c r="D38" s="41">
        <f>VLOOKUP(CurrentMtgRatesDataTable82[[#This Row],[asOf]],CurrentMtgRatesDataTable823[],2,0)</f>
        <v>4.1069872958257712</v>
      </c>
      <c r="E38" s="41">
        <f>VLOOKUP(CurrentMtgRatesDataTable82[[#This Row],[asOf]],CurrentMtgRatesDataTable8234[],2,0)</f>
        <v>3.9891616314199396</v>
      </c>
      <c r="F38" s="41">
        <f>CurrentMtgRatesDataTable82[[#This Row],[Wac]]-CurrentMtgRatesDataTable82[[#This Row],[Big Non-Bank Lender]]</f>
        <v>9.322083103250467E-2</v>
      </c>
      <c r="G38" s="41">
        <f>CurrentMtgRatesDataTable82[[#This Row],[Wac]]-CurrentMtgRatesDataTable82[[#This Row],[Small Lender]]</f>
        <v>0.2110464954383362</v>
      </c>
      <c r="H38" s="41">
        <f>CurrentMtgRatesDataTable82[[#This Row],[Big Non-Bank Lender]]-CurrentMtgRatesDataTable82[[#This Row],[Small Lender]]</f>
        <v>0.11782566440583153</v>
      </c>
      <c r="I38" s="41"/>
      <c r="K38" s="27">
        <v>41091</v>
      </c>
      <c r="L38" s="40">
        <v>4.1069872958257712</v>
      </c>
      <c r="N38" s="27">
        <v>41091</v>
      </c>
      <c r="O38" s="40">
        <v>3.9891616314199396</v>
      </c>
    </row>
    <row r="39" spans="2:15">
      <c r="B39" s="27">
        <v>41061</v>
      </c>
      <c r="C39" s="40">
        <v>4.2402633814783348</v>
      </c>
      <c r="D39" s="41">
        <f>VLOOKUP(CurrentMtgRatesDataTable82[[#This Row],[asOf]],CurrentMtgRatesDataTable823[],2,0)</f>
        <v>4.1715500945179587</v>
      </c>
      <c r="E39" s="41">
        <f>VLOOKUP(CurrentMtgRatesDataTable82[[#This Row],[asOf]],CurrentMtgRatesDataTable8234[],2,0)</f>
        <v>4.0717039321511184</v>
      </c>
      <c r="F39" s="41">
        <f>CurrentMtgRatesDataTable82[[#This Row],[Wac]]-CurrentMtgRatesDataTable82[[#This Row],[Big Non-Bank Lender]]</f>
        <v>6.8713286960376152E-2</v>
      </c>
      <c r="G39" s="41">
        <f>CurrentMtgRatesDataTable82[[#This Row],[Wac]]-CurrentMtgRatesDataTable82[[#This Row],[Small Lender]]</f>
        <v>0.16855944932721645</v>
      </c>
      <c r="H39" s="41">
        <f>CurrentMtgRatesDataTable82[[#This Row],[Big Non-Bank Lender]]-CurrentMtgRatesDataTable82[[#This Row],[Small Lender]]</f>
        <v>9.9846162366840296E-2</v>
      </c>
      <c r="I39" s="41"/>
      <c r="K39" s="27">
        <v>41061</v>
      </c>
      <c r="L39" s="40">
        <v>4.1715500945179587</v>
      </c>
      <c r="N39" s="27">
        <v>41061</v>
      </c>
      <c r="O39" s="40">
        <v>4.0717039321511184</v>
      </c>
    </row>
    <row r="40" spans="2:15">
      <c r="B40" s="27">
        <v>41030</v>
      </c>
      <c r="C40" s="40">
        <v>4.3046093064091311</v>
      </c>
      <c r="D40" s="41">
        <f>VLOOKUP(CurrentMtgRatesDataTable82[[#This Row],[asOf]],CurrentMtgRatesDataTable823[],2,0)</f>
        <v>4.2490111642743225</v>
      </c>
      <c r="E40" s="41">
        <f>VLOOKUP(CurrentMtgRatesDataTable82[[#This Row],[asOf]],CurrentMtgRatesDataTable8234[],2,0)</f>
        <v>4.3062351980400164</v>
      </c>
      <c r="F40" s="41">
        <f>CurrentMtgRatesDataTable82[[#This Row],[Wac]]-CurrentMtgRatesDataTable82[[#This Row],[Big Non-Bank Lender]]</f>
        <v>5.5598142134808626E-2</v>
      </c>
      <c r="G40" s="41">
        <f>CurrentMtgRatesDataTable82[[#This Row],[Wac]]-CurrentMtgRatesDataTable82[[#This Row],[Small Lender]]</f>
        <v>-1.6258916308853344E-3</v>
      </c>
      <c r="H40" s="41">
        <f>CurrentMtgRatesDataTable82[[#This Row],[Big Non-Bank Lender]]-CurrentMtgRatesDataTable82[[#This Row],[Small Lender]]</f>
        <v>-5.722403376569396E-2</v>
      </c>
      <c r="I40" s="41"/>
      <c r="K40" s="27">
        <v>41030</v>
      </c>
      <c r="L40" s="40">
        <v>4.2490111642743225</v>
      </c>
      <c r="N40" s="27">
        <v>41030</v>
      </c>
      <c r="O40" s="40">
        <v>4.3062351980400164</v>
      </c>
    </row>
    <row r="41" spans="2:15">
      <c r="B41" s="27">
        <v>41000</v>
      </c>
      <c r="C41" s="40">
        <v>4.1793540051679585</v>
      </c>
      <c r="D41" s="41">
        <f>VLOOKUP(CurrentMtgRatesDataTable82[[#This Row],[asOf]],CurrentMtgRatesDataTable823[],2,0)</f>
        <v>4.1477854671280276</v>
      </c>
      <c r="E41" s="41">
        <f>VLOOKUP(CurrentMtgRatesDataTable82[[#This Row],[asOf]],CurrentMtgRatesDataTable8234[],2,0)</f>
        <v>4.1242911877394635</v>
      </c>
      <c r="F41" s="41">
        <f>CurrentMtgRatesDataTable82[[#This Row],[Wac]]-CurrentMtgRatesDataTable82[[#This Row],[Big Non-Bank Lender]]</f>
        <v>3.1568538039930871E-2</v>
      </c>
      <c r="G41" s="41">
        <f>CurrentMtgRatesDataTable82[[#This Row],[Wac]]-CurrentMtgRatesDataTable82[[#This Row],[Small Lender]]</f>
        <v>5.5062817428495059E-2</v>
      </c>
      <c r="H41" s="41">
        <f>CurrentMtgRatesDataTable82[[#This Row],[Big Non-Bank Lender]]-CurrentMtgRatesDataTable82[[#This Row],[Small Lender]]</f>
        <v>2.3494279388564188E-2</v>
      </c>
      <c r="I41" s="41"/>
      <c r="K41" s="27">
        <v>41000</v>
      </c>
      <c r="L41" s="40">
        <v>4.1477854671280276</v>
      </c>
      <c r="N41" s="27">
        <v>41000</v>
      </c>
      <c r="O41" s="40">
        <v>4.1242911877394635</v>
      </c>
    </row>
    <row r="42" spans="2:15">
      <c r="B42" s="27">
        <v>40969</v>
      </c>
      <c r="C42" s="40">
        <v>4.2623658694246931</v>
      </c>
      <c r="D42" s="41">
        <f>VLOOKUP(CurrentMtgRatesDataTable82[[#This Row],[asOf]],CurrentMtgRatesDataTable823[],2,0)</f>
        <v>4.1229347826086959</v>
      </c>
      <c r="E42" s="41">
        <f>VLOOKUP(CurrentMtgRatesDataTable82[[#This Row],[asOf]],CurrentMtgRatesDataTable8234[],2,0)</f>
        <v>4.2107571801566577</v>
      </c>
      <c r="F42" s="41">
        <f>CurrentMtgRatesDataTable82[[#This Row],[Wac]]-CurrentMtgRatesDataTable82[[#This Row],[Big Non-Bank Lender]]</f>
        <v>0.13943108681599714</v>
      </c>
      <c r="G42" s="41">
        <f>CurrentMtgRatesDataTable82[[#This Row],[Wac]]-CurrentMtgRatesDataTable82[[#This Row],[Small Lender]]</f>
        <v>5.1608689268035413E-2</v>
      </c>
      <c r="H42" s="41">
        <f>CurrentMtgRatesDataTable82[[#This Row],[Big Non-Bank Lender]]-CurrentMtgRatesDataTable82[[#This Row],[Small Lender]]</f>
        <v>-8.7822397547961728E-2</v>
      </c>
      <c r="I42" s="41"/>
      <c r="K42" s="27">
        <v>40969</v>
      </c>
      <c r="L42" s="40">
        <v>4.1229347826086959</v>
      </c>
      <c r="N42" s="27">
        <v>40969</v>
      </c>
      <c r="O42" s="40">
        <v>4.2107571801566577</v>
      </c>
    </row>
    <row r="43" spans="2:15">
      <c r="B43" s="27">
        <v>40940</v>
      </c>
      <c r="C43" s="40">
        <v>4.3718718718718721</v>
      </c>
      <c r="D43" s="41">
        <f>VLOOKUP(CurrentMtgRatesDataTable82[[#This Row],[asOf]],CurrentMtgRatesDataTable823[],2,0)</f>
        <v>4.2531494252873561</v>
      </c>
      <c r="E43" s="41">
        <f>VLOOKUP(CurrentMtgRatesDataTable82[[#This Row],[asOf]],CurrentMtgRatesDataTable8234[],2,0)</f>
        <v>4.3205293276108723</v>
      </c>
      <c r="F43" s="41">
        <f>CurrentMtgRatesDataTable82[[#This Row],[Wac]]-CurrentMtgRatesDataTable82[[#This Row],[Big Non-Bank Lender]]</f>
        <v>0.11872244658451603</v>
      </c>
      <c r="G43" s="41">
        <f>CurrentMtgRatesDataTable82[[#This Row],[Wac]]-CurrentMtgRatesDataTable82[[#This Row],[Small Lender]]</f>
        <v>5.1342544260999823E-2</v>
      </c>
      <c r="H43" s="41">
        <f>CurrentMtgRatesDataTable82[[#This Row],[Big Non-Bank Lender]]-CurrentMtgRatesDataTable82[[#This Row],[Small Lender]]</f>
        <v>-6.7379902323516205E-2</v>
      </c>
      <c r="I43" s="41"/>
      <c r="K43" s="27">
        <v>40940</v>
      </c>
      <c r="L43" s="40">
        <v>4.2531494252873561</v>
      </c>
      <c r="N43" s="27">
        <v>40940</v>
      </c>
      <c r="O43" s="40">
        <v>4.3205293276108723</v>
      </c>
    </row>
    <row r="44" spans="2:15">
      <c r="B44" s="27">
        <v>40909</v>
      </c>
      <c r="C44" s="40">
        <v>4.4309605122732121</v>
      </c>
      <c r="D44" s="41">
        <f>VLOOKUP(CurrentMtgRatesDataTable82[[#This Row],[asOf]],CurrentMtgRatesDataTable823[],2,0)</f>
        <v>4.285530085959885</v>
      </c>
      <c r="E44" s="41">
        <f>VLOOKUP(CurrentMtgRatesDataTable82[[#This Row],[asOf]],CurrentMtgRatesDataTable8234[],2,0)</f>
        <v>4.3408612204724406</v>
      </c>
      <c r="F44" s="41">
        <f>CurrentMtgRatesDataTable82[[#This Row],[Wac]]-CurrentMtgRatesDataTable82[[#This Row],[Big Non-Bank Lender]]</f>
        <v>0.14543042631332703</v>
      </c>
      <c r="G44" s="41">
        <f>CurrentMtgRatesDataTable82[[#This Row],[Wac]]-CurrentMtgRatesDataTable82[[#This Row],[Small Lender]]</f>
        <v>9.0099291800771475E-2</v>
      </c>
      <c r="H44" s="41">
        <f>CurrentMtgRatesDataTable82[[#This Row],[Big Non-Bank Lender]]-CurrentMtgRatesDataTable82[[#This Row],[Small Lender]]</f>
        <v>-5.5331134512555558E-2</v>
      </c>
      <c r="I44" s="41"/>
      <c r="K44" s="27">
        <v>40909</v>
      </c>
      <c r="L44" s="40">
        <v>4.285530085959885</v>
      </c>
      <c r="N44" s="27">
        <v>40909</v>
      </c>
      <c r="O44" s="40">
        <v>4.3408612204724406</v>
      </c>
    </row>
    <row r="45" spans="2:15">
      <c r="B45" s="27">
        <v>40878</v>
      </c>
      <c r="C45" s="40">
        <v>4.631294326241135</v>
      </c>
      <c r="D45" s="41">
        <f>VLOOKUP(CurrentMtgRatesDataTable82[[#This Row],[asOf]],CurrentMtgRatesDataTable823[],2,0)</f>
        <v>4.4425287356321839</v>
      </c>
      <c r="E45" s="41">
        <f>VLOOKUP(CurrentMtgRatesDataTable82[[#This Row],[asOf]],CurrentMtgRatesDataTable8234[],2,0)</f>
        <v>4.6022926617455493</v>
      </c>
      <c r="F45" s="41">
        <f>CurrentMtgRatesDataTable82[[#This Row],[Wac]]-CurrentMtgRatesDataTable82[[#This Row],[Big Non-Bank Lender]]</f>
        <v>0.18876559060895115</v>
      </c>
      <c r="G45" s="41">
        <f>CurrentMtgRatesDataTable82[[#This Row],[Wac]]-CurrentMtgRatesDataTable82[[#This Row],[Small Lender]]</f>
        <v>2.9001664495585722E-2</v>
      </c>
      <c r="H45" s="41">
        <f>CurrentMtgRatesDataTable82[[#This Row],[Big Non-Bank Lender]]-CurrentMtgRatesDataTable82[[#This Row],[Small Lender]]</f>
        <v>-0.15976392611336543</v>
      </c>
      <c r="I45" s="41"/>
      <c r="K45" s="27">
        <v>40878</v>
      </c>
      <c r="L45" s="40">
        <v>4.4425287356321839</v>
      </c>
      <c r="N45" s="27">
        <v>40878</v>
      </c>
      <c r="O45" s="40">
        <v>4.6022926617455493</v>
      </c>
    </row>
    <row r="46" spans="2:15">
      <c r="B46" s="27">
        <v>40848</v>
      </c>
      <c r="C46" s="40">
        <v>4.5057812500000001</v>
      </c>
      <c r="D46" s="41">
        <f>VLOOKUP(CurrentMtgRatesDataTable82[[#This Row],[asOf]],CurrentMtgRatesDataTable823[],2,0)</f>
        <v>4.3438461538461537</v>
      </c>
      <c r="E46" s="41">
        <f>VLOOKUP(CurrentMtgRatesDataTable82[[#This Row],[asOf]],CurrentMtgRatesDataTable8234[],2,0)</f>
        <v>4.395429945880938</v>
      </c>
      <c r="F46" s="41">
        <f>CurrentMtgRatesDataTable82[[#This Row],[Wac]]-CurrentMtgRatesDataTable82[[#This Row],[Big Non-Bank Lender]]</f>
        <v>0.16193509615384638</v>
      </c>
      <c r="G46" s="41">
        <f>CurrentMtgRatesDataTable82[[#This Row],[Wac]]-CurrentMtgRatesDataTable82[[#This Row],[Small Lender]]</f>
        <v>0.11035130411906202</v>
      </c>
      <c r="H46" s="41">
        <f>CurrentMtgRatesDataTable82[[#This Row],[Big Non-Bank Lender]]-CurrentMtgRatesDataTable82[[#This Row],[Small Lender]]</f>
        <v>-5.1583792034784359E-2</v>
      </c>
      <c r="I46" s="41"/>
      <c r="K46" s="27">
        <v>40848</v>
      </c>
      <c r="L46" s="40">
        <v>4.3438461538461537</v>
      </c>
      <c r="N46" s="27">
        <v>40848</v>
      </c>
      <c r="O46" s="40">
        <v>4.395429945880938</v>
      </c>
    </row>
    <row r="47" spans="2:15">
      <c r="B47" s="27">
        <v>40817</v>
      </c>
      <c r="C47" s="40">
        <v>4.6595498783454987</v>
      </c>
      <c r="D47" s="41">
        <f>VLOOKUP(CurrentMtgRatesDataTable82[[#This Row],[asOf]],CurrentMtgRatesDataTable823[],2,0)</f>
        <v>4.4594894894894894</v>
      </c>
      <c r="E47" s="41">
        <f>VLOOKUP(CurrentMtgRatesDataTable82[[#This Row],[asOf]],CurrentMtgRatesDataTable8234[],2,0)</f>
        <v>4.5478952879581156</v>
      </c>
      <c r="F47" s="41">
        <f>CurrentMtgRatesDataTable82[[#This Row],[Wac]]-CurrentMtgRatesDataTable82[[#This Row],[Big Non-Bank Lender]]</f>
        <v>0.2000603888560093</v>
      </c>
      <c r="G47" s="41">
        <f>CurrentMtgRatesDataTable82[[#This Row],[Wac]]-CurrentMtgRatesDataTable82[[#This Row],[Small Lender]]</f>
        <v>0.11165459038738312</v>
      </c>
      <c r="H47" s="41">
        <f>CurrentMtgRatesDataTable82[[#This Row],[Big Non-Bank Lender]]-CurrentMtgRatesDataTable82[[#This Row],[Small Lender]]</f>
        <v>-8.8405798468626173E-2</v>
      </c>
      <c r="I47" s="41"/>
      <c r="K47" s="27">
        <v>40817</v>
      </c>
      <c r="L47" s="40">
        <v>4.4594894894894894</v>
      </c>
      <c r="N47" s="27">
        <v>40817</v>
      </c>
      <c r="O47" s="40">
        <v>4.5478952879581156</v>
      </c>
    </row>
    <row r="48" spans="2:15">
      <c r="B48" s="27">
        <v>40787</v>
      </c>
      <c r="C48" s="40">
        <v>4.7836633663366337</v>
      </c>
      <c r="D48" s="41">
        <f>VLOOKUP(CurrentMtgRatesDataTable82[[#This Row],[asOf]],CurrentMtgRatesDataTable823[],2,0)</f>
        <v>4.669598662207358</v>
      </c>
      <c r="E48" s="41">
        <f>VLOOKUP(CurrentMtgRatesDataTable82[[#This Row],[asOf]],CurrentMtgRatesDataTable8234[],2,0)</f>
        <v>4.6959080188679243</v>
      </c>
      <c r="F48" s="41">
        <f>CurrentMtgRatesDataTable82[[#This Row],[Wac]]-CurrentMtgRatesDataTable82[[#This Row],[Big Non-Bank Lender]]</f>
        <v>0.11406470412927572</v>
      </c>
      <c r="G48" s="41">
        <f>CurrentMtgRatesDataTable82[[#This Row],[Wac]]-CurrentMtgRatesDataTable82[[#This Row],[Small Lender]]</f>
        <v>8.7755347468709388E-2</v>
      </c>
      <c r="H48" s="41">
        <f>CurrentMtgRatesDataTable82[[#This Row],[Big Non-Bank Lender]]-CurrentMtgRatesDataTable82[[#This Row],[Small Lender]]</f>
        <v>-2.630935666056633E-2</v>
      </c>
      <c r="I48" s="41"/>
      <c r="K48" s="27">
        <v>40787</v>
      </c>
      <c r="L48" s="40">
        <v>4.669598662207358</v>
      </c>
      <c r="N48" s="27">
        <v>40787</v>
      </c>
      <c r="O48" s="40">
        <v>4.6959080188679243</v>
      </c>
    </row>
    <row r="49" spans="2:15">
      <c r="B49" s="27">
        <v>40756</v>
      </c>
      <c r="C49" s="40">
        <v>4.8711698113207547</v>
      </c>
      <c r="D49" s="41">
        <f>VLOOKUP(CurrentMtgRatesDataTable82[[#This Row],[asOf]],CurrentMtgRatesDataTable823[],2,0)</f>
        <v>4.7421739130434784</v>
      </c>
      <c r="E49" s="41">
        <f>VLOOKUP(CurrentMtgRatesDataTable82[[#This Row],[asOf]],CurrentMtgRatesDataTable8234[],2,0)</f>
        <v>4.823563766388558</v>
      </c>
      <c r="F49" s="41">
        <f>CurrentMtgRatesDataTable82[[#This Row],[Wac]]-CurrentMtgRatesDataTable82[[#This Row],[Big Non-Bank Lender]]</f>
        <v>0.12899589827727631</v>
      </c>
      <c r="G49" s="41">
        <f>CurrentMtgRatesDataTable82[[#This Row],[Wac]]-CurrentMtgRatesDataTable82[[#This Row],[Small Lender]]</f>
        <v>4.7606044932196667E-2</v>
      </c>
      <c r="H49" s="41">
        <f>CurrentMtgRatesDataTable82[[#This Row],[Big Non-Bank Lender]]-CurrentMtgRatesDataTable82[[#This Row],[Small Lender]]</f>
        <v>-8.1389853345079644E-2</v>
      </c>
      <c r="I49" s="41"/>
      <c r="K49" s="27">
        <v>40756</v>
      </c>
      <c r="L49" s="40">
        <v>4.7421739130434784</v>
      </c>
      <c r="N49" s="27">
        <v>40756</v>
      </c>
      <c r="O49" s="40">
        <v>4.823563766388558</v>
      </c>
    </row>
    <row r="50" spans="2:15">
      <c r="B50" s="27">
        <v>40725</v>
      </c>
      <c r="C50" s="40">
        <v>4.9163437500000002</v>
      </c>
      <c r="D50" s="41">
        <f>VLOOKUP(CurrentMtgRatesDataTable82[[#This Row],[asOf]],CurrentMtgRatesDataTable823[],2,0)</f>
        <v>4.8989361702127656</v>
      </c>
      <c r="E50" s="41">
        <f>VLOOKUP(CurrentMtgRatesDataTable82[[#This Row],[asOf]],CurrentMtgRatesDataTable8234[],2,0)</f>
        <v>4.8169811320754716</v>
      </c>
      <c r="F50" s="41">
        <f>CurrentMtgRatesDataTable82[[#This Row],[Wac]]-CurrentMtgRatesDataTable82[[#This Row],[Big Non-Bank Lender]]</f>
        <v>1.7407579787234617E-2</v>
      </c>
      <c r="G50" s="41">
        <f>CurrentMtgRatesDataTable82[[#This Row],[Wac]]-CurrentMtgRatesDataTable82[[#This Row],[Small Lender]]</f>
        <v>9.9362617924528607E-2</v>
      </c>
      <c r="H50" s="41">
        <f>CurrentMtgRatesDataTable82[[#This Row],[Big Non-Bank Lender]]-CurrentMtgRatesDataTable82[[#This Row],[Small Lender]]</f>
        <v>8.195503813729399E-2</v>
      </c>
      <c r="I50" s="41"/>
      <c r="K50" s="27">
        <v>40725</v>
      </c>
      <c r="L50" s="40">
        <v>4.8989361702127656</v>
      </c>
      <c r="N50" s="27">
        <v>40725</v>
      </c>
      <c r="O50" s="40">
        <v>4.8169811320754716</v>
      </c>
    </row>
    <row r="51" spans="2:15">
      <c r="B51" s="27">
        <v>40695</v>
      </c>
      <c r="C51" s="40">
        <v>4.966902286902287</v>
      </c>
      <c r="D51" s="41">
        <f>VLOOKUP(CurrentMtgRatesDataTable82[[#This Row],[asOf]],CurrentMtgRatesDataTable823[],2,0)</f>
        <v>5.0018666666666665</v>
      </c>
      <c r="E51" s="41">
        <f>VLOOKUP(CurrentMtgRatesDataTable82[[#This Row],[asOf]],CurrentMtgRatesDataTable8234[],2,0)</f>
        <v>4.9943731431966727</v>
      </c>
      <c r="F51" s="41">
        <f>CurrentMtgRatesDataTable82[[#This Row],[Wac]]-CurrentMtgRatesDataTable82[[#This Row],[Big Non-Bank Lender]]</f>
        <v>-3.4964379764379494E-2</v>
      </c>
      <c r="G51" s="41">
        <f>CurrentMtgRatesDataTable82[[#This Row],[Wac]]-CurrentMtgRatesDataTable82[[#This Row],[Small Lender]]</f>
        <v>-2.7470856294385726E-2</v>
      </c>
      <c r="H51" s="41">
        <f>CurrentMtgRatesDataTable82[[#This Row],[Big Non-Bank Lender]]-CurrentMtgRatesDataTable82[[#This Row],[Small Lender]]</f>
        <v>7.4935234699937681E-3</v>
      </c>
      <c r="I51" s="41"/>
      <c r="K51" s="27">
        <v>40695</v>
      </c>
      <c r="L51" s="40">
        <v>5.0018666666666665</v>
      </c>
      <c r="N51" s="27">
        <v>40695</v>
      </c>
      <c r="O51" s="40">
        <v>4.9943731431966727</v>
      </c>
    </row>
    <row r="52" spans="2:15">
      <c r="B52" s="27">
        <v>40664</v>
      </c>
      <c r="C52" s="40">
        <v>4.9275345167652862</v>
      </c>
      <c r="D52" s="41">
        <f>VLOOKUP(CurrentMtgRatesDataTable82[[#This Row],[asOf]],CurrentMtgRatesDataTable823[],2,0)</f>
        <v>5.0273376623376622</v>
      </c>
      <c r="E52" s="41">
        <f>VLOOKUP(CurrentMtgRatesDataTable82[[#This Row],[asOf]],CurrentMtgRatesDataTable8234[],2,0)</f>
        <v>5.0189510901591046</v>
      </c>
      <c r="F52" s="41">
        <f>CurrentMtgRatesDataTable82[[#This Row],[Wac]]-CurrentMtgRatesDataTable82[[#This Row],[Big Non-Bank Lender]]</f>
        <v>-9.9803145572376017E-2</v>
      </c>
      <c r="G52" s="41">
        <f>CurrentMtgRatesDataTable82[[#This Row],[Wac]]-CurrentMtgRatesDataTable82[[#This Row],[Small Lender]]</f>
        <v>-9.1416573393818368E-2</v>
      </c>
      <c r="H52" s="41">
        <f>CurrentMtgRatesDataTable82[[#This Row],[Big Non-Bank Lender]]-CurrentMtgRatesDataTable82[[#This Row],[Small Lender]]</f>
        <v>8.3865721785576497E-3</v>
      </c>
      <c r="I52" s="41"/>
      <c r="K52" s="27">
        <v>40664</v>
      </c>
      <c r="L52" s="40">
        <v>5.0273376623376622</v>
      </c>
      <c r="N52" s="27">
        <v>40664</v>
      </c>
      <c r="O52" s="40">
        <v>5.0189510901591046</v>
      </c>
    </row>
    <row r="53" spans="2:15">
      <c r="B53" s="27">
        <v>40634</v>
      </c>
      <c r="C53" s="40">
        <v>4.8821004184100421</v>
      </c>
      <c r="D53" s="41">
        <f>VLOOKUP(CurrentMtgRatesDataTable82[[#This Row],[asOf]],CurrentMtgRatesDataTable823[],2,0)</f>
        <v>5.0941304347826089</v>
      </c>
      <c r="E53" s="41">
        <f>VLOOKUP(CurrentMtgRatesDataTable82[[#This Row],[asOf]],CurrentMtgRatesDataTable8234[],2,0)</f>
        <v>4.941537530266344</v>
      </c>
      <c r="F53" s="41">
        <f>CurrentMtgRatesDataTable82[[#This Row],[Wac]]-CurrentMtgRatesDataTable82[[#This Row],[Big Non-Bank Lender]]</f>
        <v>-0.2120300163725668</v>
      </c>
      <c r="G53" s="41">
        <f>CurrentMtgRatesDataTable82[[#This Row],[Wac]]-CurrentMtgRatesDataTable82[[#This Row],[Small Lender]]</f>
        <v>-5.9437111856301961E-2</v>
      </c>
      <c r="H53" s="41">
        <f>CurrentMtgRatesDataTable82[[#This Row],[Big Non-Bank Lender]]-CurrentMtgRatesDataTable82[[#This Row],[Small Lender]]</f>
        <v>0.15259290451626484</v>
      </c>
      <c r="I53" s="41"/>
      <c r="K53" s="27">
        <v>40634</v>
      </c>
      <c r="L53" s="40">
        <v>5.0941304347826089</v>
      </c>
      <c r="N53" s="27">
        <v>40634</v>
      </c>
      <c r="O53" s="40">
        <v>4.941537530266344</v>
      </c>
    </row>
    <row r="54" spans="2:15">
      <c r="B54" s="27">
        <v>40603</v>
      </c>
      <c r="C54" s="40">
        <v>4.9729197572488202</v>
      </c>
      <c r="D54" s="41">
        <f>VLOOKUP(CurrentMtgRatesDataTable82[[#This Row],[asOf]],CurrentMtgRatesDataTable823[],2,0)</f>
        <v>5.1860080645161286</v>
      </c>
      <c r="E54" s="41">
        <f>VLOOKUP(CurrentMtgRatesDataTable82[[#This Row],[asOf]],CurrentMtgRatesDataTable8234[],2,0)</f>
        <v>5.151738473167045</v>
      </c>
      <c r="F54" s="41">
        <f>CurrentMtgRatesDataTable82[[#This Row],[Wac]]-CurrentMtgRatesDataTable82[[#This Row],[Big Non-Bank Lender]]</f>
        <v>-0.21308830726730843</v>
      </c>
      <c r="G54" s="41">
        <f>CurrentMtgRatesDataTable82[[#This Row],[Wac]]-CurrentMtgRatesDataTable82[[#This Row],[Small Lender]]</f>
        <v>-0.17881871591822485</v>
      </c>
      <c r="H54" s="41">
        <f>CurrentMtgRatesDataTable82[[#This Row],[Big Non-Bank Lender]]-CurrentMtgRatesDataTable82[[#This Row],[Small Lender]]</f>
        <v>3.4269591349083584E-2</v>
      </c>
      <c r="I54" s="41"/>
      <c r="K54" s="27">
        <v>40603</v>
      </c>
      <c r="L54" s="40">
        <v>5.1860080645161286</v>
      </c>
      <c r="N54" s="27">
        <v>40603</v>
      </c>
      <c r="O54" s="40">
        <v>5.151738473167045</v>
      </c>
    </row>
    <row r="55" spans="2:15">
      <c r="B55" s="27">
        <v>40575</v>
      </c>
      <c r="C55" s="40">
        <v>4.6669620253164554</v>
      </c>
      <c r="D55" s="41">
        <f>VLOOKUP(CurrentMtgRatesDataTable82[[#This Row],[asOf]],CurrentMtgRatesDataTable823[],2,0)</f>
        <v>4.6892090395480226</v>
      </c>
      <c r="E55" s="41">
        <f>VLOOKUP(CurrentMtgRatesDataTable82[[#This Row],[asOf]],CurrentMtgRatesDataTable8234[],2,0)</f>
        <v>4.8664612114771524</v>
      </c>
      <c r="F55" s="41">
        <f>CurrentMtgRatesDataTable82[[#This Row],[Wac]]-CurrentMtgRatesDataTable82[[#This Row],[Big Non-Bank Lender]]</f>
        <v>-2.2247014231567164E-2</v>
      </c>
      <c r="G55" s="41">
        <f>CurrentMtgRatesDataTable82[[#This Row],[Wac]]-CurrentMtgRatesDataTable82[[#This Row],[Small Lender]]</f>
        <v>-0.19949918616069695</v>
      </c>
      <c r="H55" s="41">
        <f>CurrentMtgRatesDataTable82[[#This Row],[Big Non-Bank Lender]]-CurrentMtgRatesDataTable82[[#This Row],[Small Lender]]</f>
        <v>-0.17725217192912979</v>
      </c>
      <c r="I55" s="41"/>
      <c r="K55" s="27">
        <v>40575</v>
      </c>
      <c r="L55" s="40">
        <v>4.6892090395480226</v>
      </c>
      <c r="N55" s="27">
        <v>40575</v>
      </c>
      <c r="O55" s="40">
        <v>4.8664612114771524</v>
      </c>
    </row>
    <row r="56" spans="2:15">
      <c r="B56" s="27">
        <v>40544</v>
      </c>
      <c r="C56" s="40">
        <v>4.5938719832109127</v>
      </c>
      <c r="D56" s="41">
        <f>VLOOKUP(CurrentMtgRatesDataTable82[[#This Row],[asOf]],CurrentMtgRatesDataTable823[],2,0)</f>
        <v>4.5987777777777774</v>
      </c>
      <c r="E56" s="41">
        <f>VLOOKUP(CurrentMtgRatesDataTable82[[#This Row],[asOf]],CurrentMtgRatesDataTable8234[],2,0)</f>
        <v>4.7065556182947486</v>
      </c>
      <c r="F56" s="41">
        <f>CurrentMtgRatesDataTable82[[#This Row],[Wac]]-CurrentMtgRatesDataTable82[[#This Row],[Big Non-Bank Lender]]</f>
        <v>-4.9057945668646852E-3</v>
      </c>
      <c r="G56" s="41">
        <f>CurrentMtgRatesDataTable82[[#This Row],[Wac]]-CurrentMtgRatesDataTable82[[#This Row],[Small Lender]]</f>
        <v>-0.11268363508383583</v>
      </c>
      <c r="H56" s="41">
        <f>CurrentMtgRatesDataTable82[[#This Row],[Big Non-Bank Lender]]-CurrentMtgRatesDataTable82[[#This Row],[Small Lender]]</f>
        <v>-0.10777784051697115</v>
      </c>
      <c r="I56" s="41"/>
      <c r="K56" s="27">
        <v>40544</v>
      </c>
      <c r="L56" s="40">
        <v>4.5987777777777774</v>
      </c>
      <c r="N56" s="27">
        <v>40544</v>
      </c>
      <c r="O56" s="40">
        <v>4.7065556182947486</v>
      </c>
    </row>
    <row r="57" spans="2:15">
      <c r="B57" s="27">
        <v>40513</v>
      </c>
      <c r="C57" s="40">
        <v>4.5925727773406768</v>
      </c>
      <c r="D57" s="41">
        <f>VLOOKUP(CurrentMtgRatesDataTable82[[#This Row],[asOf]],CurrentMtgRatesDataTable823[],2,0)</f>
        <v>4.5257679180887376</v>
      </c>
      <c r="E57" s="41">
        <f>VLOOKUP(CurrentMtgRatesDataTable82[[#This Row],[asOf]],CurrentMtgRatesDataTable8234[],2,0)</f>
        <v>4.6478582677165354</v>
      </c>
      <c r="F57" s="41">
        <f>CurrentMtgRatesDataTable82[[#This Row],[Wac]]-CurrentMtgRatesDataTable82[[#This Row],[Big Non-Bank Lender]]</f>
        <v>6.6804859251939241E-2</v>
      </c>
      <c r="G57" s="41">
        <f>CurrentMtgRatesDataTable82[[#This Row],[Wac]]-CurrentMtgRatesDataTable82[[#This Row],[Small Lender]]</f>
        <v>-5.5285490375858615E-2</v>
      </c>
      <c r="H57" s="41">
        <f>CurrentMtgRatesDataTable82[[#This Row],[Big Non-Bank Lender]]-CurrentMtgRatesDataTable82[[#This Row],[Small Lender]]</f>
        <v>-0.12209034962779786</v>
      </c>
      <c r="I57" s="41"/>
      <c r="K57" s="27">
        <v>40513</v>
      </c>
      <c r="L57" s="40">
        <v>4.5257679180887376</v>
      </c>
      <c r="N57" s="27">
        <v>40513</v>
      </c>
      <c r="O57" s="40">
        <v>4.6478582677165354</v>
      </c>
    </row>
    <row r="58" spans="2:15">
      <c r="B58" s="27">
        <v>40483</v>
      </c>
      <c r="C58" s="40">
        <v>4.6825050916496949</v>
      </c>
      <c r="D58" s="41">
        <f>VLOOKUP(CurrentMtgRatesDataTable82[[#This Row],[asOf]],CurrentMtgRatesDataTable823[],2,0)</f>
        <v>4.5908296943231441</v>
      </c>
      <c r="E58" s="41">
        <f>VLOOKUP(CurrentMtgRatesDataTable82[[#This Row],[asOf]],CurrentMtgRatesDataTable8234[],2,0)</f>
        <v>4.6539765510503175</v>
      </c>
      <c r="F58" s="41">
        <f>CurrentMtgRatesDataTable82[[#This Row],[Wac]]-CurrentMtgRatesDataTable82[[#This Row],[Big Non-Bank Lender]]</f>
        <v>9.1675397326550723E-2</v>
      </c>
      <c r="G58" s="41">
        <f>CurrentMtgRatesDataTable82[[#This Row],[Wac]]-CurrentMtgRatesDataTable82[[#This Row],[Small Lender]]</f>
        <v>2.8528540599377372E-2</v>
      </c>
      <c r="H58" s="41">
        <f>CurrentMtgRatesDataTable82[[#This Row],[Big Non-Bank Lender]]-CurrentMtgRatesDataTable82[[#This Row],[Small Lender]]</f>
        <v>-6.3146856727173351E-2</v>
      </c>
      <c r="I58" s="41"/>
      <c r="K58" s="27">
        <v>40483</v>
      </c>
      <c r="L58" s="40">
        <v>4.5908296943231441</v>
      </c>
      <c r="N58" s="27">
        <v>40483</v>
      </c>
      <c r="O58" s="40">
        <v>4.6539765510503175</v>
      </c>
    </row>
    <row r="59" spans="2:15">
      <c r="B59" s="27">
        <v>40452</v>
      </c>
      <c r="C59" s="40">
        <v>4.7646637744034708</v>
      </c>
      <c r="D59" s="41">
        <f>VLOOKUP(CurrentMtgRatesDataTable82[[#This Row],[asOf]],CurrentMtgRatesDataTable823[],2,0)</f>
        <v>4.6623129251700677</v>
      </c>
      <c r="E59" s="41">
        <f>VLOOKUP(CurrentMtgRatesDataTable82[[#This Row],[asOf]],CurrentMtgRatesDataTable8234[],2,0)</f>
        <v>4.6638649592549477</v>
      </c>
      <c r="F59" s="41">
        <f>CurrentMtgRatesDataTable82[[#This Row],[Wac]]-CurrentMtgRatesDataTable82[[#This Row],[Big Non-Bank Lender]]</f>
        <v>0.1023508492334031</v>
      </c>
      <c r="G59" s="41">
        <f>CurrentMtgRatesDataTable82[[#This Row],[Wac]]-CurrentMtgRatesDataTable82[[#This Row],[Small Lender]]</f>
        <v>0.10079881514852307</v>
      </c>
      <c r="H59" s="41">
        <f>CurrentMtgRatesDataTable82[[#This Row],[Big Non-Bank Lender]]-CurrentMtgRatesDataTable82[[#This Row],[Small Lender]]</f>
        <v>-1.5520340848800274E-3</v>
      </c>
      <c r="I59" s="41"/>
      <c r="K59" s="27">
        <v>40452</v>
      </c>
      <c r="L59" s="40">
        <v>4.6623129251700677</v>
      </c>
      <c r="N59" s="27">
        <v>40452</v>
      </c>
      <c r="O59" s="40">
        <v>4.6638649592549477</v>
      </c>
    </row>
    <row r="60" spans="2:15">
      <c r="B60" s="27">
        <v>40422</v>
      </c>
      <c r="C60" s="40">
        <v>4.8957653631284916</v>
      </c>
      <c r="D60" s="41">
        <f>VLOOKUP(CurrentMtgRatesDataTable82[[#This Row],[asOf]],CurrentMtgRatesDataTable823[],2,0)</f>
        <v>4.7988177339901474</v>
      </c>
      <c r="E60" s="41">
        <f>VLOOKUP(CurrentMtgRatesDataTable82[[#This Row],[asOf]],CurrentMtgRatesDataTable8234[],2,0)</f>
        <v>4.7756931012250163</v>
      </c>
      <c r="F60" s="41">
        <f>CurrentMtgRatesDataTable82[[#This Row],[Wac]]-CurrentMtgRatesDataTable82[[#This Row],[Big Non-Bank Lender]]</f>
        <v>9.6947629138344205E-2</v>
      </c>
      <c r="G60" s="41">
        <f>CurrentMtgRatesDataTable82[[#This Row],[Wac]]-CurrentMtgRatesDataTable82[[#This Row],[Small Lender]]</f>
        <v>0.12007226190347531</v>
      </c>
      <c r="H60" s="41">
        <f>CurrentMtgRatesDataTable82[[#This Row],[Big Non-Bank Lender]]-CurrentMtgRatesDataTable82[[#This Row],[Small Lender]]</f>
        <v>2.3124632765131103E-2</v>
      </c>
      <c r="I60" s="41"/>
      <c r="K60" s="27">
        <v>40422</v>
      </c>
      <c r="L60" s="40">
        <v>4.7988177339901474</v>
      </c>
      <c r="N60" s="27">
        <v>40422</v>
      </c>
      <c r="O60" s="40">
        <v>4.7756931012250163</v>
      </c>
    </row>
    <row r="61" spans="2:15">
      <c r="B61" s="27">
        <v>40391</v>
      </c>
      <c r="C61" s="40">
        <v>4.9864661654135336</v>
      </c>
      <c r="D61" s="41">
        <f>VLOOKUP(CurrentMtgRatesDataTable82[[#This Row],[asOf]],CurrentMtgRatesDataTable823[],2,0)</f>
        <v>4.9659154929577465</v>
      </c>
      <c r="E61" s="41">
        <f>VLOOKUP(CurrentMtgRatesDataTable82[[#This Row],[asOf]],CurrentMtgRatesDataTable8234[],2,0)</f>
        <v>5.0002510760401719</v>
      </c>
      <c r="F61" s="41">
        <f>CurrentMtgRatesDataTable82[[#This Row],[Wac]]-CurrentMtgRatesDataTable82[[#This Row],[Big Non-Bank Lender]]</f>
        <v>2.0550672455787122E-2</v>
      </c>
      <c r="G61" s="41">
        <f>CurrentMtgRatesDataTable82[[#This Row],[Wac]]-CurrentMtgRatesDataTable82[[#This Row],[Small Lender]]</f>
        <v>-1.3784910626638336E-2</v>
      </c>
      <c r="H61" s="41">
        <f>CurrentMtgRatesDataTable82[[#This Row],[Big Non-Bank Lender]]-CurrentMtgRatesDataTable82[[#This Row],[Small Lender]]</f>
        <v>-3.4335583082425458E-2</v>
      </c>
      <c r="I61" s="41"/>
      <c r="K61" s="27">
        <v>40391</v>
      </c>
      <c r="L61" s="40">
        <v>4.9659154929577465</v>
      </c>
      <c r="N61" s="27">
        <v>40391</v>
      </c>
      <c r="O61" s="40">
        <v>5.0002510760401719</v>
      </c>
    </row>
    <row r="62" spans="2:15">
      <c r="B62" s="27">
        <v>40360</v>
      </c>
      <c r="C62" s="40">
        <v>5.075707620528771</v>
      </c>
      <c r="D62" s="41">
        <f>VLOOKUP(CurrentMtgRatesDataTable82[[#This Row],[asOf]],CurrentMtgRatesDataTable823[],2,0)</f>
        <v>5.2304761904761907</v>
      </c>
      <c r="E62" s="41">
        <f>VLOOKUP(CurrentMtgRatesDataTable82[[#This Row],[asOf]],CurrentMtgRatesDataTable8234[],2,0)</f>
        <v>5.1613145539906107</v>
      </c>
      <c r="F62" s="41">
        <f>CurrentMtgRatesDataTable82[[#This Row],[Wac]]-CurrentMtgRatesDataTable82[[#This Row],[Big Non-Bank Lender]]</f>
        <v>-0.15476856994741972</v>
      </c>
      <c r="G62" s="41">
        <f>CurrentMtgRatesDataTable82[[#This Row],[Wac]]-CurrentMtgRatesDataTable82[[#This Row],[Small Lender]]</f>
        <v>-8.5606933461839674E-2</v>
      </c>
      <c r="H62" s="41">
        <f>CurrentMtgRatesDataTable82[[#This Row],[Big Non-Bank Lender]]-CurrentMtgRatesDataTable82[[#This Row],[Small Lender]]</f>
        <v>6.9161636485580047E-2</v>
      </c>
      <c r="I62" s="41"/>
      <c r="K62" s="27">
        <v>40360</v>
      </c>
      <c r="L62" s="40">
        <v>5.2304761904761907</v>
      </c>
      <c r="N62" s="27">
        <v>40360</v>
      </c>
      <c r="O62" s="40">
        <v>5.1613145539906107</v>
      </c>
    </row>
    <row r="63" spans="2:15">
      <c r="B63" s="27">
        <v>40330</v>
      </c>
      <c r="C63" s="40">
        <v>5.2701765447667084</v>
      </c>
      <c r="D63" s="41">
        <f>VLOOKUP(CurrentMtgRatesDataTable82[[#This Row],[asOf]],CurrentMtgRatesDataTable823[],2,0)</f>
        <v>5.3774380165289255</v>
      </c>
      <c r="E63" s="41">
        <f>VLOOKUP(CurrentMtgRatesDataTable82[[#This Row],[asOf]],CurrentMtgRatesDataTable8234[],2,0)</f>
        <v>5.2962028127313099</v>
      </c>
      <c r="F63" s="41">
        <f>CurrentMtgRatesDataTable82[[#This Row],[Wac]]-CurrentMtgRatesDataTable82[[#This Row],[Big Non-Bank Lender]]</f>
        <v>-0.10726147176221712</v>
      </c>
      <c r="G63" s="41">
        <f>CurrentMtgRatesDataTable82[[#This Row],[Wac]]-CurrentMtgRatesDataTable82[[#This Row],[Small Lender]]</f>
        <v>-2.6026267964601502E-2</v>
      </c>
      <c r="H63" s="41">
        <f>CurrentMtgRatesDataTable82[[#This Row],[Big Non-Bank Lender]]-CurrentMtgRatesDataTable82[[#This Row],[Small Lender]]</f>
        <v>8.1235203797615618E-2</v>
      </c>
      <c r="I63" s="41"/>
      <c r="K63" s="27">
        <v>40330</v>
      </c>
      <c r="L63" s="40">
        <v>5.3774380165289255</v>
      </c>
      <c r="N63" s="27">
        <v>40330</v>
      </c>
      <c r="O63" s="40">
        <v>5.2962028127313099</v>
      </c>
    </row>
    <row r="64" spans="2:15">
      <c r="B64" s="27">
        <v>40299</v>
      </c>
      <c r="C64" s="40">
        <v>5.1354871794871793</v>
      </c>
      <c r="D64" s="41">
        <f>VLOOKUP(CurrentMtgRatesDataTable82[[#This Row],[asOf]],CurrentMtgRatesDataTable823[],2,0)</f>
        <v>5.2816853932584271</v>
      </c>
      <c r="E64" s="41">
        <f>VLOOKUP(CurrentMtgRatesDataTable82[[#This Row],[asOf]],CurrentMtgRatesDataTable8234[],2,0)</f>
        <v>5.1788924731182799</v>
      </c>
      <c r="F64" s="41">
        <f>CurrentMtgRatesDataTable82[[#This Row],[Wac]]-CurrentMtgRatesDataTable82[[#This Row],[Big Non-Bank Lender]]</f>
        <v>-0.14619821377124786</v>
      </c>
      <c r="G64" s="41">
        <f>CurrentMtgRatesDataTable82[[#This Row],[Wac]]-CurrentMtgRatesDataTable82[[#This Row],[Small Lender]]</f>
        <v>-4.3405293631100683E-2</v>
      </c>
      <c r="H64" s="41">
        <f>CurrentMtgRatesDataTable82[[#This Row],[Big Non-Bank Lender]]-CurrentMtgRatesDataTable82[[#This Row],[Small Lender]]</f>
        <v>0.10279292014014718</v>
      </c>
      <c r="I64" s="41"/>
      <c r="K64" s="27">
        <v>40299</v>
      </c>
      <c r="L64" s="40">
        <v>5.2816853932584271</v>
      </c>
      <c r="N64" s="27">
        <v>40299</v>
      </c>
      <c r="O64" s="40">
        <v>5.1788924731182799</v>
      </c>
    </row>
    <row r="65" spans="2:15">
      <c r="B65" s="27">
        <v>40269</v>
      </c>
      <c r="C65" s="40">
        <v>5.1234027777777778</v>
      </c>
      <c r="D65" s="41">
        <f>VLOOKUP(CurrentMtgRatesDataTable82[[#This Row],[asOf]],CurrentMtgRatesDataTable823[],2,0)</f>
        <v>5.2726562499999998</v>
      </c>
      <c r="E65" s="41">
        <f>VLOOKUP(CurrentMtgRatesDataTable82[[#This Row],[asOf]],CurrentMtgRatesDataTable8234[],2,0)</f>
        <v>5.2731155778894472</v>
      </c>
      <c r="F65" s="41">
        <f>CurrentMtgRatesDataTable82[[#This Row],[Wac]]-CurrentMtgRatesDataTable82[[#This Row],[Big Non-Bank Lender]]</f>
        <v>-0.14925347222222207</v>
      </c>
      <c r="G65" s="41">
        <f>CurrentMtgRatesDataTable82[[#This Row],[Wac]]-CurrentMtgRatesDataTable82[[#This Row],[Small Lender]]</f>
        <v>-0.14971280011166943</v>
      </c>
      <c r="H65" s="41">
        <f>CurrentMtgRatesDataTable82[[#This Row],[Big Non-Bank Lender]]-CurrentMtgRatesDataTable82[[#This Row],[Small Lender]]</f>
        <v>-4.5932788944735847E-4</v>
      </c>
      <c r="I65" s="41"/>
      <c r="K65" s="27">
        <v>40269</v>
      </c>
      <c r="L65" s="40">
        <v>5.2726562499999998</v>
      </c>
      <c r="N65" s="27">
        <v>40269</v>
      </c>
      <c r="O65" s="40">
        <v>5.2731155778894472</v>
      </c>
    </row>
    <row r="66" spans="2:15">
      <c r="B66" s="27">
        <v>40238</v>
      </c>
      <c r="C66" s="40">
        <v>5.1650490196078431</v>
      </c>
      <c r="D66" s="41">
        <f>VLOOKUP(CurrentMtgRatesDataTable82[[#This Row],[asOf]],CurrentMtgRatesDataTable823[],2,0)</f>
        <v>5.226</v>
      </c>
      <c r="E66" s="41">
        <f>VLOOKUP(CurrentMtgRatesDataTable82[[#This Row],[asOf]],CurrentMtgRatesDataTable8234[],2,0)</f>
        <v>5.2865248226950357</v>
      </c>
      <c r="F66" s="41">
        <f>CurrentMtgRatesDataTable82[[#This Row],[Wac]]-CurrentMtgRatesDataTable82[[#This Row],[Big Non-Bank Lender]]</f>
        <v>-6.095098039215685E-2</v>
      </c>
      <c r="G66" s="41">
        <f>CurrentMtgRatesDataTable82[[#This Row],[Wac]]-CurrentMtgRatesDataTable82[[#This Row],[Small Lender]]</f>
        <v>-0.12147580308719252</v>
      </c>
      <c r="H66" s="41">
        <f>CurrentMtgRatesDataTable82[[#This Row],[Big Non-Bank Lender]]-CurrentMtgRatesDataTable82[[#This Row],[Small Lender]]</f>
        <v>-6.0524822695035674E-2</v>
      </c>
      <c r="I66" s="41"/>
      <c r="K66" s="27">
        <v>40238</v>
      </c>
      <c r="L66" s="40">
        <v>5.226</v>
      </c>
      <c r="N66" s="27">
        <v>40238</v>
      </c>
      <c r="O66" s="40">
        <v>5.2865248226950357</v>
      </c>
    </row>
    <row r="67" spans="2:15">
      <c r="B67" s="27">
        <v>40210</v>
      </c>
      <c r="C67" s="40">
        <v>5.1120547945205477</v>
      </c>
      <c r="D67" s="41">
        <f>VLOOKUP(CurrentMtgRatesDataTable82[[#This Row],[asOf]],CurrentMtgRatesDataTable823[],2,0)</f>
        <v>5.0967543859649123</v>
      </c>
      <c r="E67" s="41">
        <f>VLOOKUP(CurrentMtgRatesDataTable82[[#This Row],[asOf]],CurrentMtgRatesDataTable8234[],2,0)</f>
        <v>5.2236041189931353</v>
      </c>
      <c r="F67" s="41">
        <f>CurrentMtgRatesDataTable82[[#This Row],[Wac]]-CurrentMtgRatesDataTable82[[#This Row],[Big Non-Bank Lender]]</f>
        <v>1.5300408555635414E-2</v>
      </c>
      <c r="G67" s="41">
        <f>CurrentMtgRatesDataTable82[[#This Row],[Wac]]-CurrentMtgRatesDataTable82[[#This Row],[Small Lender]]</f>
        <v>-0.11154932447258759</v>
      </c>
      <c r="H67" s="41">
        <f>CurrentMtgRatesDataTable82[[#This Row],[Big Non-Bank Lender]]-CurrentMtgRatesDataTable82[[#This Row],[Small Lender]]</f>
        <v>-0.126849733028223</v>
      </c>
      <c r="I67" s="41"/>
      <c r="K67" s="27">
        <v>40210</v>
      </c>
      <c r="L67" s="40">
        <v>5.0967543859649123</v>
      </c>
      <c r="N67" s="27">
        <v>40210</v>
      </c>
      <c r="O67" s="40">
        <v>5.2236041189931353</v>
      </c>
    </row>
    <row r="68" spans="2:15">
      <c r="B68" s="27">
        <v>40179</v>
      </c>
      <c r="C68" s="40">
        <v>5.1348584905660379</v>
      </c>
      <c r="D68" s="41">
        <f>VLOOKUP(CurrentMtgRatesDataTable82[[#This Row],[asOf]],CurrentMtgRatesDataTable823[],2,0)</f>
        <v>5.0649655172413794</v>
      </c>
      <c r="E68" s="41">
        <f>VLOOKUP(CurrentMtgRatesDataTable82[[#This Row],[asOf]],CurrentMtgRatesDataTable8234[],2,0)</f>
        <v>5.2146581691772882</v>
      </c>
      <c r="F68" s="41">
        <f>CurrentMtgRatesDataTable82[[#This Row],[Wac]]-CurrentMtgRatesDataTable82[[#This Row],[Big Non-Bank Lender]]</f>
        <v>6.9892973324658492E-2</v>
      </c>
      <c r="G68" s="41">
        <f>CurrentMtgRatesDataTable82[[#This Row],[Wac]]-CurrentMtgRatesDataTable82[[#This Row],[Small Lender]]</f>
        <v>-7.9799678611250258E-2</v>
      </c>
      <c r="H68" s="41">
        <f>CurrentMtgRatesDataTable82[[#This Row],[Big Non-Bank Lender]]-CurrentMtgRatesDataTable82[[#This Row],[Small Lender]]</f>
        <v>-0.14969265193590875</v>
      </c>
      <c r="I68" s="41"/>
      <c r="K68" s="27">
        <v>40179</v>
      </c>
      <c r="L68" s="40">
        <v>5.0649655172413794</v>
      </c>
      <c r="N68" s="27">
        <v>40179</v>
      </c>
      <c r="O68" s="40">
        <v>5.2146581691772882</v>
      </c>
    </row>
    <row r="69" spans="2:15">
      <c r="B69" s="27">
        <v>40148</v>
      </c>
      <c r="C69" s="40">
        <v>5.1564142538975499</v>
      </c>
      <c r="D69" s="41">
        <f>VLOOKUP(CurrentMtgRatesDataTable82[[#This Row],[asOf]],CurrentMtgRatesDataTable823[],2,0)</f>
        <v>5.1366176470588236</v>
      </c>
      <c r="E69" s="41">
        <f>VLOOKUP(CurrentMtgRatesDataTable82[[#This Row],[asOf]],CurrentMtgRatesDataTable8234[],2,0)</f>
        <v>5.254167400881057</v>
      </c>
      <c r="F69" s="41">
        <f>CurrentMtgRatesDataTable82[[#This Row],[Wac]]-CurrentMtgRatesDataTable82[[#This Row],[Big Non-Bank Lender]]</f>
        <v>1.9796606838726305E-2</v>
      </c>
      <c r="G69" s="41">
        <f>CurrentMtgRatesDataTable82[[#This Row],[Wac]]-CurrentMtgRatesDataTable82[[#This Row],[Small Lender]]</f>
        <v>-9.7753146983507122E-2</v>
      </c>
      <c r="H69" s="41">
        <f>CurrentMtgRatesDataTable82[[#This Row],[Big Non-Bank Lender]]-CurrentMtgRatesDataTable82[[#This Row],[Small Lender]]</f>
        <v>-0.11754975382223343</v>
      </c>
      <c r="I69" s="41"/>
      <c r="K69" s="27">
        <v>40148</v>
      </c>
      <c r="L69" s="40">
        <v>5.1366176470588236</v>
      </c>
      <c r="N69" s="27">
        <v>40148</v>
      </c>
      <c r="O69" s="40">
        <v>5.254167400881057</v>
      </c>
    </row>
    <row r="70" spans="2:15">
      <c r="B70" s="27">
        <v>40118</v>
      </c>
      <c r="C70" s="40">
        <v>5.2733474576271187</v>
      </c>
      <c r="D70" s="41">
        <f>VLOOKUP(CurrentMtgRatesDataTable82[[#This Row],[asOf]],CurrentMtgRatesDataTable823[],2,0)</f>
        <v>5.2318045112781952</v>
      </c>
      <c r="E70" s="41">
        <f>VLOOKUP(CurrentMtgRatesDataTable82[[#This Row],[asOf]],CurrentMtgRatesDataTable8234[],2,0)</f>
        <v>5.2768128654970763</v>
      </c>
      <c r="F70" s="41">
        <f>CurrentMtgRatesDataTable82[[#This Row],[Wac]]-CurrentMtgRatesDataTable82[[#This Row],[Big Non-Bank Lender]]</f>
        <v>4.1542946348923415E-2</v>
      </c>
      <c r="G70" s="41">
        <f>CurrentMtgRatesDataTable82[[#This Row],[Wac]]-CurrentMtgRatesDataTable82[[#This Row],[Small Lender]]</f>
        <v>-3.4654078699576374E-3</v>
      </c>
      <c r="H70" s="41">
        <f>CurrentMtgRatesDataTable82[[#This Row],[Big Non-Bank Lender]]-CurrentMtgRatesDataTable82[[#This Row],[Small Lender]]</f>
        <v>-4.5008354218881053E-2</v>
      </c>
      <c r="I70" s="41"/>
      <c r="K70" s="27">
        <v>40118</v>
      </c>
      <c r="L70" s="40">
        <v>5.2318045112781952</v>
      </c>
      <c r="N70" s="27">
        <v>40118</v>
      </c>
      <c r="O70" s="40">
        <v>5.2768128654970763</v>
      </c>
    </row>
    <row r="71" spans="2:15">
      <c r="B71" s="27">
        <v>40087</v>
      </c>
      <c r="C71" s="40">
        <v>5.2421489361702127</v>
      </c>
      <c r="D71" s="41">
        <f>VLOOKUP(CurrentMtgRatesDataTable82[[#This Row],[asOf]],CurrentMtgRatesDataTable823[],2,0)</f>
        <v>5.3814728682170543</v>
      </c>
      <c r="E71" s="41">
        <f>VLOOKUP(CurrentMtgRatesDataTable82[[#This Row],[asOf]],CurrentMtgRatesDataTable8234[],2,0)</f>
        <v>5.3857841328413283</v>
      </c>
      <c r="F71" s="41">
        <f>CurrentMtgRatesDataTable82[[#This Row],[Wac]]-CurrentMtgRatesDataTable82[[#This Row],[Big Non-Bank Lender]]</f>
        <v>-0.13932393204684157</v>
      </c>
      <c r="G71" s="41">
        <f>CurrentMtgRatesDataTable82[[#This Row],[Wac]]-CurrentMtgRatesDataTable82[[#This Row],[Small Lender]]</f>
        <v>-0.14363519667111557</v>
      </c>
      <c r="H71" s="41">
        <f>CurrentMtgRatesDataTable82[[#This Row],[Big Non-Bank Lender]]-CurrentMtgRatesDataTable82[[#This Row],[Small Lender]]</f>
        <v>-4.3112646242740027E-3</v>
      </c>
      <c r="I71" s="41"/>
      <c r="K71" s="27">
        <v>40087</v>
      </c>
      <c r="L71" s="40">
        <v>5.3814728682170543</v>
      </c>
      <c r="N71" s="27">
        <v>40087</v>
      </c>
      <c r="O71" s="40">
        <v>5.3857841328413283</v>
      </c>
    </row>
    <row r="72" spans="2:15">
      <c r="B72" s="27">
        <v>40057</v>
      </c>
      <c r="C72" s="40">
        <v>5.5872941176470592</v>
      </c>
      <c r="D72" s="41">
        <f>VLOOKUP(CurrentMtgRatesDataTable82[[#This Row],[asOf]],CurrentMtgRatesDataTable823[],2,0)</f>
        <v>5.5050340136054423</v>
      </c>
      <c r="E72" s="41">
        <f>VLOOKUP(CurrentMtgRatesDataTable82[[#This Row],[asOf]],CurrentMtgRatesDataTable8234[],2,0)</f>
        <v>5.5528234398782343</v>
      </c>
      <c r="F72" s="41">
        <f>CurrentMtgRatesDataTable82[[#This Row],[Wac]]-CurrentMtgRatesDataTable82[[#This Row],[Big Non-Bank Lender]]</f>
        <v>8.2260104041616877E-2</v>
      </c>
      <c r="G72" s="41">
        <f>CurrentMtgRatesDataTable82[[#This Row],[Wac]]-CurrentMtgRatesDataTable82[[#This Row],[Small Lender]]</f>
        <v>3.4470677768824842E-2</v>
      </c>
      <c r="H72" s="41">
        <f>CurrentMtgRatesDataTable82[[#This Row],[Big Non-Bank Lender]]-CurrentMtgRatesDataTable82[[#This Row],[Small Lender]]</f>
        <v>-4.7789426272792035E-2</v>
      </c>
      <c r="I72" s="41"/>
      <c r="K72" s="27">
        <v>40057</v>
      </c>
      <c r="L72" s="40">
        <v>5.5050340136054423</v>
      </c>
      <c r="N72" s="27">
        <v>40057</v>
      </c>
      <c r="O72" s="40">
        <v>5.5528234398782343</v>
      </c>
    </row>
    <row r="73" spans="2:15">
      <c r="B73" s="27">
        <v>40026</v>
      </c>
      <c r="C73" s="40">
        <v>5.2512607944732297</v>
      </c>
      <c r="D73" s="41">
        <f>VLOOKUP(CurrentMtgRatesDataTable82[[#This Row],[asOf]],CurrentMtgRatesDataTable823[],2,0)</f>
        <v>5.3330379746835446</v>
      </c>
      <c r="E73" s="41">
        <f>VLOOKUP(CurrentMtgRatesDataTable82[[#This Row],[asOf]],CurrentMtgRatesDataTable8234[],2,0)</f>
        <v>5.3978220140515223</v>
      </c>
      <c r="F73" s="41">
        <f>CurrentMtgRatesDataTable82[[#This Row],[Wac]]-CurrentMtgRatesDataTable82[[#This Row],[Big Non-Bank Lender]]</f>
        <v>-8.1777180210314881E-2</v>
      </c>
      <c r="G73" s="41">
        <f>CurrentMtgRatesDataTable82[[#This Row],[Wac]]-CurrentMtgRatesDataTable82[[#This Row],[Small Lender]]</f>
        <v>-0.1465612195782926</v>
      </c>
      <c r="H73" s="41">
        <f>CurrentMtgRatesDataTable82[[#This Row],[Big Non-Bank Lender]]-CurrentMtgRatesDataTable82[[#This Row],[Small Lender]]</f>
        <v>-6.4784039367977719E-2</v>
      </c>
      <c r="I73" s="41"/>
      <c r="K73" s="27">
        <v>40026</v>
      </c>
      <c r="L73" s="40">
        <v>5.3330379746835446</v>
      </c>
      <c r="N73" s="27">
        <v>40026</v>
      </c>
      <c r="O73" s="40">
        <v>5.3978220140515223</v>
      </c>
    </row>
    <row r="74" spans="2:15">
      <c r="B74" s="27">
        <v>39995</v>
      </c>
      <c r="C74" s="40">
        <v>5.1873538461538464</v>
      </c>
      <c r="D74" s="41">
        <f>VLOOKUP(CurrentMtgRatesDataTable82[[#This Row],[asOf]],CurrentMtgRatesDataTable823[],2,0)</f>
        <v>5.2791366906474817</v>
      </c>
      <c r="E74" s="41">
        <f>VLOOKUP(CurrentMtgRatesDataTable82[[#This Row],[asOf]],CurrentMtgRatesDataTable8234[],2,0)</f>
        <v>5.3322008862629247</v>
      </c>
      <c r="F74" s="41">
        <f>CurrentMtgRatesDataTable82[[#This Row],[Wac]]-CurrentMtgRatesDataTable82[[#This Row],[Big Non-Bank Lender]]</f>
        <v>-9.1782844493635274E-2</v>
      </c>
      <c r="G74" s="41">
        <f>CurrentMtgRatesDataTable82[[#This Row],[Wac]]-CurrentMtgRatesDataTable82[[#This Row],[Small Lender]]</f>
        <v>-0.14484704010907823</v>
      </c>
      <c r="H74" s="41">
        <f>CurrentMtgRatesDataTable82[[#This Row],[Big Non-Bank Lender]]-CurrentMtgRatesDataTable82[[#This Row],[Small Lender]]</f>
        <v>-5.3064195615442955E-2</v>
      </c>
      <c r="I74" s="41"/>
      <c r="K74" s="27">
        <v>39995</v>
      </c>
      <c r="L74" s="40">
        <v>5.2791366906474817</v>
      </c>
      <c r="N74" s="27">
        <v>39995</v>
      </c>
      <c r="O74" s="40">
        <v>5.3322008862629247</v>
      </c>
    </row>
    <row r="75" spans="2:15">
      <c r="B75" s="27">
        <v>39965</v>
      </c>
      <c r="C75" s="40">
        <v>5.6413742690058477</v>
      </c>
      <c r="D75" s="41">
        <f>VLOOKUP(CurrentMtgRatesDataTable82[[#This Row],[asOf]],CurrentMtgRatesDataTable823[],2,0)</f>
        <v>5.7425600000000001</v>
      </c>
      <c r="E75" s="41">
        <f>VLOOKUP(CurrentMtgRatesDataTable82[[#This Row],[asOf]],CurrentMtgRatesDataTable8234[],2,0)</f>
        <v>5.518167855183763</v>
      </c>
      <c r="F75" s="41">
        <f>CurrentMtgRatesDataTable82[[#This Row],[Wac]]-CurrentMtgRatesDataTable82[[#This Row],[Big Non-Bank Lender]]</f>
        <v>-0.1011857309941524</v>
      </c>
      <c r="G75" s="41">
        <f>CurrentMtgRatesDataTable82[[#This Row],[Wac]]-CurrentMtgRatesDataTable82[[#This Row],[Small Lender]]</f>
        <v>0.12320641382208475</v>
      </c>
      <c r="H75" s="41">
        <f>CurrentMtgRatesDataTable82[[#This Row],[Big Non-Bank Lender]]-CurrentMtgRatesDataTable82[[#This Row],[Small Lender]]</f>
        <v>0.22439214481623715</v>
      </c>
      <c r="I75" s="41"/>
      <c r="K75" s="27">
        <v>39965</v>
      </c>
      <c r="L75" s="40">
        <v>5.7425600000000001</v>
      </c>
      <c r="N75" s="27">
        <v>39965</v>
      </c>
      <c r="O75" s="40">
        <v>5.518167855183763</v>
      </c>
    </row>
    <row r="76" spans="2:15">
      <c r="B76" s="27">
        <v>39934</v>
      </c>
      <c r="C76" s="40">
        <v>5.4856545454545458</v>
      </c>
      <c r="D76" s="41">
        <f>VLOOKUP(CurrentMtgRatesDataTable82[[#This Row],[asOf]],CurrentMtgRatesDataTable823[],2,0)</f>
        <v>5.3722826086956523</v>
      </c>
      <c r="E76" s="41">
        <f>VLOOKUP(CurrentMtgRatesDataTable82[[#This Row],[asOf]],CurrentMtgRatesDataTable8234[],2,0)</f>
        <v>5.5367820990942995</v>
      </c>
      <c r="F76" s="41">
        <f>CurrentMtgRatesDataTable82[[#This Row],[Wac]]-CurrentMtgRatesDataTable82[[#This Row],[Big Non-Bank Lender]]</f>
        <v>0.11337193675889345</v>
      </c>
      <c r="G76" s="41">
        <f>CurrentMtgRatesDataTable82[[#This Row],[Wac]]-CurrentMtgRatesDataTable82[[#This Row],[Small Lender]]</f>
        <v>-5.1127553639753742E-2</v>
      </c>
      <c r="H76" s="41">
        <f>CurrentMtgRatesDataTable82[[#This Row],[Big Non-Bank Lender]]-CurrentMtgRatesDataTable82[[#This Row],[Small Lender]]</f>
        <v>-0.1644994903986472</v>
      </c>
      <c r="I76" s="41"/>
      <c r="K76" s="27">
        <v>39934</v>
      </c>
      <c r="L76" s="40">
        <v>5.3722826086956523</v>
      </c>
      <c r="N76" s="27">
        <v>39934</v>
      </c>
      <c r="O76" s="40">
        <v>5.5367820990942995</v>
      </c>
    </row>
    <row r="77" spans="2:15">
      <c r="B77" s="27">
        <v>39904</v>
      </c>
      <c r="C77" s="40">
        <v>5.1703921568627447</v>
      </c>
      <c r="D77" s="41">
        <f>VLOOKUP(CurrentMtgRatesDataTable82[[#This Row],[asOf]],CurrentMtgRatesDataTable823[],2,0)</f>
        <v>5.5121276595744684</v>
      </c>
      <c r="E77" s="41">
        <f>VLOOKUP(CurrentMtgRatesDataTable82[[#This Row],[asOf]],CurrentMtgRatesDataTable8234[],2,0)</f>
        <v>5.3880502599653379</v>
      </c>
      <c r="F77" s="41">
        <f>CurrentMtgRatesDataTable82[[#This Row],[Wac]]-CurrentMtgRatesDataTable82[[#This Row],[Big Non-Bank Lender]]</f>
        <v>-0.3417355027117237</v>
      </c>
      <c r="G77" s="41">
        <f>CurrentMtgRatesDataTable82[[#This Row],[Wac]]-CurrentMtgRatesDataTable82[[#This Row],[Small Lender]]</f>
        <v>-0.21765810310259326</v>
      </c>
      <c r="H77" s="41">
        <f>CurrentMtgRatesDataTable82[[#This Row],[Big Non-Bank Lender]]-CurrentMtgRatesDataTable82[[#This Row],[Small Lender]]</f>
        <v>0.12407739960913045</v>
      </c>
      <c r="I77" s="41"/>
      <c r="K77" s="27">
        <v>39904</v>
      </c>
      <c r="L77" s="40">
        <v>5.5121276595744684</v>
      </c>
      <c r="N77" s="27">
        <v>39904</v>
      </c>
      <c r="O77" s="40">
        <v>5.3880502599653379</v>
      </c>
    </row>
    <row r="78" spans="2:15">
      <c r="B78" s="27">
        <v>39873</v>
      </c>
      <c r="C78" s="40">
        <v>5.4608626974483601</v>
      </c>
      <c r="D78" s="41">
        <f>VLOOKUP(CurrentMtgRatesDataTable82[[#This Row],[asOf]],CurrentMtgRatesDataTable823[],2,0)</f>
        <v>5.5514285714285716</v>
      </c>
      <c r="E78" s="41">
        <f>VLOOKUP(CurrentMtgRatesDataTable82[[#This Row],[asOf]],CurrentMtgRatesDataTable8234[],2,0)</f>
        <v>5.5721674876847294</v>
      </c>
      <c r="F78" s="41">
        <f>CurrentMtgRatesDataTable82[[#This Row],[Wac]]-CurrentMtgRatesDataTable82[[#This Row],[Big Non-Bank Lender]]</f>
        <v>-9.0565873980211542E-2</v>
      </c>
      <c r="G78" s="41">
        <f>CurrentMtgRatesDataTable82[[#This Row],[Wac]]-CurrentMtgRatesDataTable82[[#This Row],[Small Lender]]</f>
        <v>-0.1113047902363693</v>
      </c>
      <c r="H78" s="41">
        <f>CurrentMtgRatesDataTable82[[#This Row],[Big Non-Bank Lender]]-CurrentMtgRatesDataTable82[[#This Row],[Small Lender]]</f>
        <v>-2.0738916256157758E-2</v>
      </c>
      <c r="I78" s="41"/>
      <c r="K78" s="27">
        <v>39873</v>
      </c>
      <c r="L78" s="40">
        <v>5.5514285714285716</v>
      </c>
      <c r="N78" s="27">
        <v>39873</v>
      </c>
      <c r="O78" s="40">
        <v>5.5721674876847294</v>
      </c>
    </row>
    <row r="79" spans="2:15">
      <c r="B79" s="27">
        <v>39845</v>
      </c>
      <c r="C79" s="40">
        <v>5.6196038034865294</v>
      </c>
      <c r="D79" s="41">
        <f>VLOOKUP(CurrentMtgRatesDataTable82[[#This Row],[asOf]],CurrentMtgRatesDataTable823[],2,0)</f>
        <v>5.4381034482758617</v>
      </c>
      <c r="E79" s="41">
        <f>VLOOKUP(CurrentMtgRatesDataTable82[[#This Row],[asOf]],CurrentMtgRatesDataTable8234[],2,0)</f>
        <v>5.69468</v>
      </c>
      <c r="F79" s="41">
        <f>CurrentMtgRatesDataTable82[[#This Row],[Wac]]-CurrentMtgRatesDataTable82[[#This Row],[Big Non-Bank Lender]]</f>
        <v>0.18150035521066776</v>
      </c>
      <c r="G79" s="41">
        <f>CurrentMtgRatesDataTable82[[#This Row],[Wac]]-CurrentMtgRatesDataTable82[[#This Row],[Small Lender]]</f>
        <v>-7.5076196513470528E-2</v>
      </c>
      <c r="H79" s="41">
        <f>CurrentMtgRatesDataTable82[[#This Row],[Big Non-Bank Lender]]-CurrentMtgRatesDataTable82[[#This Row],[Small Lender]]</f>
        <v>-0.25657655172413829</v>
      </c>
      <c r="I79" s="41"/>
      <c r="K79" s="27">
        <v>39845</v>
      </c>
      <c r="L79" s="40">
        <v>5.4381034482758617</v>
      </c>
      <c r="N79" s="27">
        <v>39845</v>
      </c>
      <c r="O79" s="40">
        <v>5.69468</v>
      </c>
    </row>
    <row r="80" spans="2:15">
      <c r="B80" s="27">
        <v>39814</v>
      </c>
      <c r="C80" s="40">
        <v>5.9806085526315789</v>
      </c>
      <c r="D80" s="41">
        <f>VLOOKUP(CurrentMtgRatesDataTable82[[#This Row],[asOf]],CurrentMtgRatesDataTable823[],2,0)</f>
        <v>6.1330882352941174</v>
      </c>
      <c r="E80" s="41">
        <f>VLOOKUP(CurrentMtgRatesDataTable82[[#This Row],[asOf]],CurrentMtgRatesDataTable8234[],2,0)</f>
        <v>6.30480231436837</v>
      </c>
      <c r="F80" s="41">
        <f>CurrentMtgRatesDataTable82[[#This Row],[Wac]]-CurrentMtgRatesDataTable82[[#This Row],[Big Non-Bank Lender]]</f>
        <v>-0.15247968266253853</v>
      </c>
      <c r="G80" s="41">
        <f>CurrentMtgRatesDataTable82[[#This Row],[Wac]]-CurrentMtgRatesDataTable82[[#This Row],[Small Lender]]</f>
        <v>-0.32419376173679115</v>
      </c>
      <c r="H80" s="41">
        <f>CurrentMtgRatesDataTable82[[#This Row],[Big Non-Bank Lender]]-CurrentMtgRatesDataTable82[[#This Row],[Small Lender]]</f>
        <v>-0.17171407907425262</v>
      </c>
      <c r="I80" s="41"/>
      <c r="K80" s="27">
        <v>39814</v>
      </c>
      <c r="L80" s="40">
        <v>6.1330882352941174</v>
      </c>
      <c r="N80" s="27">
        <v>39814</v>
      </c>
      <c r="O80" s="40">
        <v>6.30480231436837</v>
      </c>
    </row>
    <row r="81" spans="2:15">
      <c r="B81" s="27">
        <v>39783</v>
      </c>
      <c r="C81" s="40">
        <v>6.2480476626947752</v>
      </c>
      <c r="D81" s="41">
        <f>VLOOKUP(CurrentMtgRatesDataTable82[[#This Row],[asOf]],CurrentMtgRatesDataTable823[],2,0)</f>
        <v>6.4772727272727275</v>
      </c>
      <c r="E81" s="41">
        <f>VLOOKUP(CurrentMtgRatesDataTable82[[#This Row],[asOf]],CurrentMtgRatesDataTable8234[],2,0)</f>
        <v>6.3725907752698721</v>
      </c>
      <c r="F81" s="41">
        <f>CurrentMtgRatesDataTable82[[#This Row],[Wac]]-CurrentMtgRatesDataTable82[[#This Row],[Big Non-Bank Lender]]</f>
        <v>-0.22922506457795233</v>
      </c>
      <c r="G81" s="41">
        <f>CurrentMtgRatesDataTable82[[#This Row],[Wac]]-CurrentMtgRatesDataTable82[[#This Row],[Small Lender]]</f>
        <v>-0.12454311257509687</v>
      </c>
      <c r="H81" s="41">
        <f>CurrentMtgRatesDataTable82[[#This Row],[Big Non-Bank Lender]]-CurrentMtgRatesDataTable82[[#This Row],[Small Lender]]</f>
        <v>0.10468195200285546</v>
      </c>
      <c r="I81" s="41"/>
      <c r="K81" s="27">
        <v>39783</v>
      </c>
      <c r="L81" s="40">
        <v>6.4772727272727275</v>
      </c>
      <c r="N81" s="27">
        <v>39783</v>
      </c>
      <c r="O81" s="40">
        <v>6.3725907752698721</v>
      </c>
    </row>
    <row r="82" spans="2:15">
      <c r="B82" s="27">
        <v>39753</v>
      </c>
      <c r="C82" s="40">
        <v>6.280556390977444</v>
      </c>
      <c r="D82" s="41">
        <f>VLOOKUP(CurrentMtgRatesDataTable82[[#This Row],[asOf]],CurrentMtgRatesDataTable823[],2,0)</f>
        <v>6.3393220338983047</v>
      </c>
      <c r="E82" s="41">
        <f>VLOOKUP(CurrentMtgRatesDataTable82[[#This Row],[asOf]],CurrentMtgRatesDataTable8234[],2,0)</f>
        <v>6.2272332015810274</v>
      </c>
      <c r="F82" s="41">
        <f>CurrentMtgRatesDataTable82[[#This Row],[Wac]]-CurrentMtgRatesDataTable82[[#This Row],[Big Non-Bank Lender]]</f>
        <v>-5.8765642920860728E-2</v>
      </c>
      <c r="G82" s="41">
        <f>CurrentMtgRatesDataTable82[[#This Row],[Wac]]-CurrentMtgRatesDataTable82[[#This Row],[Small Lender]]</f>
        <v>5.3323189396416559E-2</v>
      </c>
      <c r="H82" s="41">
        <f>CurrentMtgRatesDataTable82[[#This Row],[Big Non-Bank Lender]]-CurrentMtgRatesDataTable82[[#This Row],[Small Lender]]</f>
        <v>0.11208883231727729</v>
      </c>
      <c r="I82" s="41"/>
      <c r="K82" s="27">
        <v>39753</v>
      </c>
      <c r="L82" s="40">
        <v>6.3393220338983047</v>
      </c>
      <c r="N82" s="27">
        <v>39753</v>
      </c>
      <c r="O82" s="40">
        <v>6.2272332015810274</v>
      </c>
    </row>
    <row r="83" spans="2:15">
      <c r="B83" s="27">
        <v>39722</v>
      </c>
      <c r="C83" s="40">
        <v>6.3899496855345914</v>
      </c>
      <c r="D83" s="41">
        <f>VLOOKUP(CurrentMtgRatesDataTable82[[#This Row],[asOf]],CurrentMtgRatesDataTable823[],2,0)</f>
        <v>6.5872602739726025</v>
      </c>
      <c r="E83" s="41">
        <f>VLOOKUP(CurrentMtgRatesDataTable82[[#This Row],[asOf]],CurrentMtgRatesDataTable8234[],2,0)</f>
        <v>6.3768311688311687</v>
      </c>
      <c r="F83" s="41">
        <f>CurrentMtgRatesDataTable82[[#This Row],[Wac]]-CurrentMtgRatesDataTable82[[#This Row],[Big Non-Bank Lender]]</f>
        <v>-0.19731058843801108</v>
      </c>
      <c r="G83" s="41">
        <f>CurrentMtgRatesDataTable82[[#This Row],[Wac]]-CurrentMtgRatesDataTable82[[#This Row],[Small Lender]]</f>
        <v>1.3118516703422678E-2</v>
      </c>
      <c r="H83" s="41">
        <f>CurrentMtgRatesDataTable82[[#This Row],[Big Non-Bank Lender]]-CurrentMtgRatesDataTable82[[#This Row],[Small Lender]]</f>
        <v>0.21042910514143376</v>
      </c>
      <c r="I83" s="41"/>
      <c r="K83" s="27">
        <v>39722</v>
      </c>
      <c r="L83" s="40">
        <v>6.5872602739726025</v>
      </c>
      <c r="N83" s="27">
        <v>39722</v>
      </c>
      <c r="O83" s="40">
        <v>6.3768311688311687</v>
      </c>
    </row>
    <row r="84" spans="2:15">
      <c r="B84" s="27">
        <v>39692</v>
      </c>
      <c r="C84" s="40">
        <v>6.4493476531424028</v>
      </c>
      <c r="D84" s="41">
        <f>VLOOKUP(CurrentMtgRatesDataTable82[[#This Row],[asOf]],CurrentMtgRatesDataTable823[],2,0)</f>
        <v>6.7409774436090224</v>
      </c>
      <c r="E84" s="41">
        <f>VLOOKUP(CurrentMtgRatesDataTable82[[#This Row],[asOf]],CurrentMtgRatesDataTable8234[],2,0)</f>
        <v>6.4475167785234904</v>
      </c>
      <c r="F84" s="41">
        <f>CurrentMtgRatesDataTable82[[#This Row],[Wac]]-CurrentMtgRatesDataTable82[[#This Row],[Big Non-Bank Lender]]</f>
        <v>-0.29162979046661963</v>
      </c>
      <c r="G84" s="41">
        <f>CurrentMtgRatesDataTable82[[#This Row],[Wac]]-CurrentMtgRatesDataTable82[[#This Row],[Small Lender]]</f>
        <v>1.8308746189124037E-3</v>
      </c>
      <c r="H84" s="41">
        <f>CurrentMtgRatesDataTable82[[#This Row],[Big Non-Bank Lender]]-CurrentMtgRatesDataTable82[[#This Row],[Small Lender]]</f>
        <v>0.29346066508553204</v>
      </c>
      <c r="I84" s="41"/>
      <c r="K84" s="27">
        <v>39692</v>
      </c>
      <c r="L84" s="40">
        <v>6.7409774436090224</v>
      </c>
      <c r="N84" s="27">
        <v>39692</v>
      </c>
      <c r="O84" s="40">
        <v>6.4475167785234904</v>
      </c>
    </row>
    <row r="85" spans="2:15">
      <c r="B85" s="27">
        <v>39661</v>
      </c>
      <c r="C85" s="40">
        <v>6.342199832073887</v>
      </c>
      <c r="D85" s="41">
        <f>VLOOKUP(CurrentMtgRatesDataTable82[[#This Row],[asOf]],CurrentMtgRatesDataTable823[],2,0)</f>
        <v>6.7704545454545455</v>
      </c>
      <c r="E85" s="41">
        <f>VLOOKUP(CurrentMtgRatesDataTable82[[#This Row],[asOf]],CurrentMtgRatesDataTable8234[],2,0)</f>
        <v>6.3473432835820898</v>
      </c>
      <c r="F85" s="41">
        <f>CurrentMtgRatesDataTable82[[#This Row],[Wac]]-CurrentMtgRatesDataTable82[[#This Row],[Big Non-Bank Lender]]</f>
        <v>-0.42825471338065846</v>
      </c>
      <c r="G85" s="41">
        <f>CurrentMtgRatesDataTable82[[#This Row],[Wac]]-CurrentMtgRatesDataTable82[[#This Row],[Small Lender]]</f>
        <v>-5.1434515082027232E-3</v>
      </c>
      <c r="H85" s="41">
        <f>CurrentMtgRatesDataTable82[[#This Row],[Big Non-Bank Lender]]-CurrentMtgRatesDataTable82[[#This Row],[Small Lender]]</f>
        <v>0.42311126187245574</v>
      </c>
      <c r="I85" s="41"/>
      <c r="K85" s="27">
        <v>39661</v>
      </c>
      <c r="L85" s="40">
        <v>6.7704545454545455</v>
      </c>
      <c r="N85" s="27">
        <v>39661</v>
      </c>
      <c r="O85" s="40">
        <v>6.3473432835820898</v>
      </c>
    </row>
    <row r="86" spans="2:15">
      <c r="B86" s="27">
        <v>39630</v>
      </c>
      <c r="C86" s="40">
        <v>6.2690345937248591</v>
      </c>
      <c r="D86" s="41">
        <f>VLOOKUP(CurrentMtgRatesDataTable82[[#This Row],[asOf]],CurrentMtgRatesDataTable823[],2,0)</f>
        <v>6.6987301587301591</v>
      </c>
      <c r="E86" s="41">
        <f>VLOOKUP(CurrentMtgRatesDataTable82[[#This Row],[asOf]],CurrentMtgRatesDataTable8234[],2,0)</f>
        <v>6.2026535947712418</v>
      </c>
      <c r="F86" s="41">
        <f>CurrentMtgRatesDataTable82[[#This Row],[Wac]]-CurrentMtgRatesDataTable82[[#This Row],[Big Non-Bank Lender]]</f>
        <v>-0.42969556500530004</v>
      </c>
      <c r="G86" s="41">
        <f>CurrentMtgRatesDataTable82[[#This Row],[Wac]]-CurrentMtgRatesDataTable82[[#This Row],[Small Lender]]</f>
        <v>6.6380998953617265E-2</v>
      </c>
      <c r="H86" s="41">
        <f>CurrentMtgRatesDataTable82[[#This Row],[Big Non-Bank Lender]]-CurrentMtgRatesDataTable82[[#This Row],[Small Lender]]</f>
        <v>0.4960765639589173</v>
      </c>
      <c r="I86" s="41"/>
      <c r="K86" s="27">
        <v>39630</v>
      </c>
      <c r="L86" s="40">
        <v>6.6987301587301591</v>
      </c>
      <c r="N86" s="27">
        <v>39630</v>
      </c>
      <c r="O86" s="40">
        <v>6.2026535947712418</v>
      </c>
    </row>
    <row r="87" spans="2:15">
      <c r="B87" s="27">
        <v>39600</v>
      </c>
      <c r="C87" s="40">
        <v>6.1458327847267942</v>
      </c>
      <c r="D87" s="41">
        <f>VLOOKUP(CurrentMtgRatesDataTable82[[#This Row],[asOf]],CurrentMtgRatesDataTable823[],2,0)</f>
        <v>6.6612799999999996</v>
      </c>
      <c r="E87" s="41">
        <f>VLOOKUP(CurrentMtgRatesDataTable82[[#This Row],[asOf]],CurrentMtgRatesDataTable8234[],2,0)</f>
        <v>6.1763245033112586</v>
      </c>
      <c r="F87" s="41">
        <f>CurrentMtgRatesDataTable82[[#This Row],[Wac]]-CurrentMtgRatesDataTable82[[#This Row],[Big Non-Bank Lender]]</f>
        <v>-0.51544721527320547</v>
      </c>
      <c r="G87" s="41">
        <f>CurrentMtgRatesDataTable82[[#This Row],[Wac]]-CurrentMtgRatesDataTable82[[#This Row],[Small Lender]]</f>
        <v>-3.0491718584464422E-2</v>
      </c>
      <c r="H87" s="41">
        <f>CurrentMtgRatesDataTable82[[#This Row],[Big Non-Bank Lender]]-CurrentMtgRatesDataTable82[[#This Row],[Small Lender]]</f>
        <v>0.48495549668874105</v>
      </c>
      <c r="I87" s="41"/>
      <c r="K87" s="27">
        <v>39600</v>
      </c>
      <c r="L87" s="40">
        <v>6.6612799999999996</v>
      </c>
      <c r="N87" s="27">
        <v>39600</v>
      </c>
      <c r="O87" s="40">
        <v>6.1763245033112586</v>
      </c>
    </row>
    <row r="88" spans="2:15">
      <c r="B88" s="27">
        <v>39569</v>
      </c>
      <c r="C88" s="40">
        <v>6.2167653429602892</v>
      </c>
      <c r="D88" s="41">
        <f>VLOOKUP(CurrentMtgRatesDataTable82[[#This Row],[asOf]],CurrentMtgRatesDataTable823[],2,0)</f>
        <v>6.4648502994011974</v>
      </c>
      <c r="E88" s="41">
        <f>VLOOKUP(CurrentMtgRatesDataTable82[[#This Row],[asOf]],CurrentMtgRatesDataTable8234[],2,0)</f>
        <v>6.1907136150234745</v>
      </c>
      <c r="F88" s="41">
        <f>CurrentMtgRatesDataTable82[[#This Row],[Wac]]-CurrentMtgRatesDataTable82[[#This Row],[Big Non-Bank Lender]]</f>
        <v>-0.24808495644090822</v>
      </c>
      <c r="G88" s="41">
        <f>CurrentMtgRatesDataTable82[[#This Row],[Wac]]-CurrentMtgRatesDataTable82[[#This Row],[Small Lender]]</f>
        <v>2.605172793681465E-2</v>
      </c>
      <c r="H88" s="41">
        <f>CurrentMtgRatesDataTable82[[#This Row],[Big Non-Bank Lender]]-CurrentMtgRatesDataTable82[[#This Row],[Small Lender]]</f>
        <v>0.27413668437772287</v>
      </c>
      <c r="I88" s="41"/>
      <c r="K88" s="27">
        <v>39569</v>
      </c>
      <c r="L88" s="40">
        <v>6.4648502994011974</v>
      </c>
      <c r="N88" s="27">
        <v>39569</v>
      </c>
      <c r="O88" s="40">
        <v>6.1907136150234745</v>
      </c>
    </row>
    <row r="89" spans="2:15">
      <c r="B89" s="27">
        <v>39539</v>
      </c>
      <c r="C89" s="40">
        <v>6.1492801251956184</v>
      </c>
      <c r="D89" s="41">
        <f>VLOOKUP(CurrentMtgRatesDataTable82[[#This Row],[asOf]],CurrentMtgRatesDataTable823[],2,0)</f>
        <v>6.4444808743169402</v>
      </c>
      <c r="E89" s="41">
        <f>VLOOKUP(CurrentMtgRatesDataTable82[[#This Row],[asOf]],CurrentMtgRatesDataTable8234[],2,0)</f>
        <v>6.1068078175895764</v>
      </c>
      <c r="F89" s="41">
        <f>CurrentMtgRatesDataTable82[[#This Row],[Wac]]-CurrentMtgRatesDataTable82[[#This Row],[Big Non-Bank Lender]]</f>
        <v>-0.29520074912132177</v>
      </c>
      <c r="G89" s="41">
        <f>CurrentMtgRatesDataTable82[[#This Row],[Wac]]-CurrentMtgRatesDataTable82[[#This Row],[Small Lender]]</f>
        <v>4.2472307606042037E-2</v>
      </c>
      <c r="H89" s="41">
        <f>CurrentMtgRatesDataTable82[[#This Row],[Big Non-Bank Lender]]-CurrentMtgRatesDataTable82[[#This Row],[Small Lender]]</f>
        <v>0.33767305672736381</v>
      </c>
      <c r="I89" s="41"/>
      <c r="K89" s="27">
        <v>39539</v>
      </c>
      <c r="L89" s="40">
        <v>6.4444808743169402</v>
      </c>
      <c r="N89" s="27">
        <v>39539</v>
      </c>
      <c r="O89" s="40">
        <v>6.1068078175895764</v>
      </c>
    </row>
    <row r="90" spans="2:15">
      <c r="B90" s="27">
        <v>39508</v>
      </c>
      <c r="C90" s="40">
        <v>6.1076459330143544</v>
      </c>
      <c r="D90" s="41">
        <f>VLOOKUP(CurrentMtgRatesDataTable82[[#This Row],[asOf]],CurrentMtgRatesDataTable823[],2,0)</f>
        <v>6.3173493975903616</v>
      </c>
      <c r="E90" s="41">
        <f>VLOOKUP(CurrentMtgRatesDataTable82[[#This Row],[asOf]],CurrentMtgRatesDataTable8234[],2,0)</f>
        <v>6.2039655172413797</v>
      </c>
      <c r="F90" s="41">
        <f>CurrentMtgRatesDataTable82[[#This Row],[Wac]]-CurrentMtgRatesDataTable82[[#This Row],[Big Non-Bank Lender]]</f>
        <v>-0.20970346457600719</v>
      </c>
      <c r="G90" s="41">
        <f>CurrentMtgRatesDataTable82[[#This Row],[Wac]]-CurrentMtgRatesDataTable82[[#This Row],[Small Lender]]</f>
        <v>-9.6319584227025246E-2</v>
      </c>
      <c r="H90" s="41">
        <f>CurrentMtgRatesDataTable82[[#This Row],[Big Non-Bank Lender]]-CurrentMtgRatesDataTable82[[#This Row],[Small Lender]]</f>
        <v>0.11338388034898195</v>
      </c>
      <c r="I90" s="41"/>
      <c r="K90" s="27">
        <v>39508</v>
      </c>
      <c r="L90" s="40">
        <v>6.3173493975903616</v>
      </c>
      <c r="N90" s="27">
        <v>39508</v>
      </c>
      <c r="O90" s="40">
        <v>6.2039655172413797</v>
      </c>
    </row>
    <row r="91" spans="2:15">
      <c r="B91" s="27">
        <v>39479</v>
      </c>
      <c r="C91" s="40">
        <v>6.3138388625592414</v>
      </c>
      <c r="D91" s="41">
        <f>VLOOKUP(CurrentMtgRatesDataTable82[[#This Row],[asOf]],CurrentMtgRatesDataTable823[],2,0)</f>
        <v>6.6717050691244237</v>
      </c>
      <c r="E91" s="41">
        <f>VLOOKUP(CurrentMtgRatesDataTable82[[#This Row],[asOf]],CurrentMtgRatesDataTable8234[],2,0)</f>
        <v>6.4203461918892186</v>
      </c>
      <c r="F91" s="41">
        <f>CurrentMtgRatesDataTable82[[#This Row],[Wac]]-CurrentMtgRatesDataTable82[[#This Row],[Big Non-Bank Lender]]</f>
        <v>-0.35786620656518231</v>
      </c>
      <c r="G91" s="41">
        <f>CurrentMtgRatesDataTable82[[#This Row],[Wac]]-CurrentMtgRatesDataTable82[[#This Row],[Small Lender]]</f>
        <v>-0.1065073293299772</v>
      </c>
      <c r="H91" s="41">
        <f>CurrentMtgRatesDataTable82[[#This Row],[Big Non-Bank Lender]]-CurrentMtgRatesDataTable82[[#This Row],[Small Lender]]</f>
        <v>0.25135887723520511</v>
      </c>
      <c r="I91" s="41"/>
      <c r="K91" s="27">
        <v>39479</v>
      </c>
      <c r="L91" s="40">
        <v>6.6717050691244237</v>
      </c>
      <c r="N91" s="27">
        <v>39479</v>
      </c>
      <c r="O91" s="40">
        <v>6.4203461918892186</v>
      </c>
    </row>
    <row r="92" spans="2:15">
      <c r="B92" s="27">
        <v>39448</v>
      </c>
      <c r="C92" s="40">
        <v>6.4733263598326358</v>
      </c>
      <c r="D92" s="41">
        <f>VLOOKUP(CurrentMtgRatesDataTable82[[#This Row],[asOf]],CurrentMtgRatesDataTable823[],2,0)</f>
        <v>6.8150248756218907</v>
      </c>
      <c r="E92" s="41">
        <f>VLOOKUP(CurrentMtgRatesDataTable82[[#This Row],[asOf]],CurrentMtgRatesDataTable8234[],2,0)</f>
        <v>6.5952353616532724</v>
      </c>
      <c r="F92" s="41">
        <f>CurrentMtgRatesDataTable82[[#This Row],[Wac]]-CurrentMtgRatesDataTable82[[#This Row],[Big Non-Bank Lender]]</f>
        <v>-0.34169851578925492</v>
      </c>
      <c r="G92" s="41">
        <f>CurrentMtgRatesDataTable82[[#This Row],[Wac]]-CurrentMtgRatesDataTable82[[#This Row],[Small Lender]]</f>
        <v>-0.12190900182063658</v>
      </c>
      <c r="H92" s="41">
        <f>CurrentMtgRatesDataTable82[[#This Row],[Big Non-Bank Lender]]-CurrentMtgRatesDataTable82[[#This Row],[Small Lender]]</f>
        <v>0.21978951396861834</v>
      </c>
      <c r="I92" s="41"/>
      <c r="K92" s="27">
        <v>39448</v>
      </c>
      <c r="L92" s="40">
        <v>6.8150248756218907</v>
      </c>
      <c r="N92" s="27">
        <v>39448</v>
      </c>
      <c r="O92" s="40">
        <v>6.5952353616532724</v>
      </c>
    </row>
    <row r="93" spans="2:15">
      <c r="B93" s="27">
        <v>39417</v>
      </c>
      <c r="C93" s="40">
        <v>6.5789473684210522</v>
      </c>
      <c r="D93" s="41">
        <f>VLOOKUP(CurrentMtgRatesDataTable82[[#This Row],[asOf]],CurrentMtgRatesDataTable823[],2,0)</f>
        <v>6.9997969543147205</v>
      </c>
      <c r="E93" s="41">
        <f>VLOOKUP(CurrentMtgRatesDataTable82[[#This Row],[asOf]],CurrentMtgRatesDataTable8234[],2,0)</f>
        <v>6.7157816091954023</v>
      </c>
      <c r="F93" s="41">
        <f>CurrentMtgRatesDataTable82[[#This Row],[Wac]]-CurrentMtgRatesDataTable82[[#This Row],[Big Non-Bank Lender]]</f>
        <v>-0.42084958589366828</v>
      </c>
      <c r="G93" s="41">
        <f>CurrentMtgRatesDataTable82[[#This Row],[Wac]]-CurrentMtgRatesDataTable82[[#This Row],[Small Lender]]</f>
        <v>-0.13683424077435014</v>
      </c>
      <c r="H93" s="41">
        <f>CurrentMtgRatesDataTable82[[#This Row],[Big Non-Bank Lender]]-CurrentMtgRatesDataTable82[[#This Row],[Small Lender]]</f>
        <v>0.28401534511931814</v>
      </c>
      <c r="I93" s="41"/>
      <c r="K93" s="27">
        <v>39417</v>
      </c>
      <c r="L93" s="40">
        <v>6.9997969543147205</v>
      </c>
      <c r="N93" s="27">
        <v>39417</v>
      </c>
      <c r="O93" s="40">
        <v>6.7157816091954023</v>
      </c>
    </row>
    <row r="94" spans="2:15">
      <c r="B94" s="27">
        <v>39387</v>
      </c>
      <c r="C94" s="40">
        <v>6.6916723549488051</v>
      </c>
      <c r="D94" s="41">
        <f>VLOOKUP(CurrentMtgRatesDataTable82[[#This Row],[asOf]],CurrentMtgRatesDataTable823[],2,0)</f>
        <v>7.0223529411764707</v>
      </c>
      <c r="E94" s="41">
        <f>VLOOKUP(CurrentMtgRatesDataTable82[[#This Row],[asOf]],CurrentMtgRatesDataTable8234[],2,0)</f>
        <v>6.7457671381936892</v>
      </c>
      <c r="F94" s="41">
        <f>CurrentMtgRatesDataTable82[[#This Row],[Wac]]-CurrentMtgRatesDataTable82[[#This Row],[Big Non-Bank Lender]]</f>
        <v>-0.33068058622766561</v>
      </c>
      <c r="G94" s="41">
        <f>CurrentMtgRatesDataTable82[[#This Row],[Wac]]-CurrentMtgRatesDataTable82[[#This Row],[Small Lender]]</f>
        <v>-5.4094783244884148E-2</v>
      </c>
      <c r="H94" s="41">
        <f>CurrentMtgRatesDataTable82[[#This Row],[Big Non-Bank Lender]]-CurrentMtgRatesDataTable82[[#This Row],[Small Lender]]</f>
        <v>0.27658580298278146</v>
      </c>
      <c r="I94" s="41"/>
      <c r="K94" s="27">
        <v>39387</v>
      </c>
      <c r="L94" s="40">
        <v>7.0223529411764707</v>
      </c>
      <c r="N94" s="27">
        <v>39387</v>
      </c>
      <c r="O94" s="40">
        <v>6.7457671381936892</v>
      </c>
    </row>
    <row r="95" spans="2:15">
      <c r="B95" s="27">
        <v>39356</v>
      </c>
      <c r="C95" s="40">
        <v>6.7042653673163422</v>
      </c>
      <c r="D95" s="41">
        <f>VLOOKUP(CurrentMtgRatesDataTable82[[#This Row],[asOf]],CurrentMtgRatesDataTable823[],2,0)</f>
        <v>7.0123444976076552</v>
      </c>
      <c r="E95" s="41">
        <f>VLOOKUP(CurrentMtgRatesDataTable82[[#This Row],[asOf]],CurrentMtgRatesDataTable8234[],2,0)</f>
        <v>6.932586206896552</v>
      </c>
      <c r="F95" s="41">
        <f>CurrentMtgRatesDataTable82[[#This Row],[Wac]]-CurrentMtgRatesDataTable82[[#This Row],[Big Non-Bank Lender]]</f>
        <v>-0.30807913029131306</v>
      </c>
      <c r="G95" s="41">
        <f>CurrentMtgRatesDataTable82[[#This Row],[Wac]]-CurrentMtgRatesDataTable82[[#This Row],[Small Lender]]</f>
        <v>-0.22832083958020988</v>
      </c>
      <c r="H95" s="41">
        <f>CurrentMtgRatesDataTable82[[#This Row],[Big Non-Bank Lender]]-CurrentMtgRatesDataTable82[[#This Row],[Small Lender]]</f>
        <v>7.9758290711103186E-2</v>
      </c>
      <c r="I95" s="41"/>
      <c r="K95" s="27">
        <v>39356</v>
      </c>
      <c r="L95" s="40">
        <v>7.0123444976076552</v>
      </c>
      <c r="N95" s="27">
        <v>39356</v>
      </c>
      <c r="O95" s="40">
        <v>6.932586206896552</v>
      </c>
    </row>
    <row r="96" spans="2:15">
      <c r="B96" s="27">
        <v>39326</v>
      </c>
      <c r="C96" s="40">
        <v>6.6666204506065858</v>
      </c>
      <c r="D96" s="41">
        <f>VLOOKUP(CurrentMtgRatesDataTable82[[#This Row],[asOf]],CurrentMtgRatesDataTable823[],2,0)</f>
        <v>7.0294786729857819</v>
      </c>
      <c r="E96" s="41">
        <f>VLOOKUP(CurrentMtgRatesDataTable82[[#This Row],[asOf]],CurrentMtgRatesDataTable8234[],2,0)</f>
        <v>6.8497566137566137</v>
      </c>
      <c r="F96" s="41">
        <f>CurrentMtgRatesDataTable82[[#This Row],[Wac]]-CurrentMtgRatesDataTable82[[#This Row],[Big Non-Bank Lender]]</f>
        <v>-0.36285822237919607</v>
      </c>
      <c r="G96" s="41">
        <f>CurrentMtgRatesDataTable82[[#This Row],[Wac]]-CurrentMtgRatesDataTable82[[#This Row],[Small Lender]]</f>
        <v>-0.1831361631500279</v>
      </c>
      <c r="H96" s="41">
        <f>CurrentMtgRatesDataTable82[[#This Row],[Big Non-Bank Lender]]-CurrentMtgRatesDataTable82[[#This Row],[Small Lender]]</f>
        <v>0.17972205922916817</v>
      </c>
      <c r="I96" s="41"/>
      <c r="K96" s="27">
        <v>39326</v>
      </c>
      <c r="L96" s="40">
        <v>7.0294786729857819</v>
      </c>
      <c r="N96" s="27">
        <v>39326</v>
      </c>
      <c r="O96" s="40">
        <v>6.8497566137566137</v>
      </c>
    </row>
    <row r="97" spans="2:15">
      <c r="B97" s="27">
        <v>39295</v>
      </c>
      <c r="C97" s="40">
        <v>6.5981589403973508</v>
      </c>
      <c r="D97" s="41">
        <f>VLOOKUP(CurrentMtgRatesDataTable82[[#This Row],[asOf]],CurrentMtgRatesDataTable823[],2,0)</f>
        <v>6.9441346153846153</v>
      </c>
      <c r="E97" s="41">
        <f>VLOOKUP(CurrentMtgRatesDataTable82[[#This Row],[asOf]],CurrentMtgRatesDataTable8234[],2,0)</f>
        <v>6.6953164556962026</v>
      </c>
      <c r="F97" s="41">
        <f>CurrentMtgRatesDataTable82[[#This Row],[Wac]]-CurrentMtgRatesDataTable82[[#This Row],[Big Non-Bank Lender]]</f>
        <v>-0.34597567498726445</v>
      </c>
      <c r="G97" s="41">
        <f>CurrentMtgRatesDataTable82[[#This Row],[Wac]]-CurrentMtgRatesDataTable82[[#This Row],[Small Lender]]</f>
        <v>-9.7157515298851749E-2</v>
      </c>
      <c r="H97" s="41">
        <f>CurrentMtgRatesDataTable82[[#This Row],[Big Non-Bank Lender]]-CurrentMtgRatesDataTable82[[#This Row],[Small Lender]]</f>
        <v>0.2488181596884127</v>
      </c>
      <c r="I97" s="41"/>
      <c r="K97" s="27">
        <v>39295</v>
      </c>
      <c r="L97" s="40">
        <v>6.9441346153846153</v>
      </c>
      <c r="N97" s="27">
        <v>39295</v>
      </c>
      <c r="O97" s="40">
        <v>6.6953164556962026</v>
      </c>
    </row>
    <row r="98" spans="2:15">
      <c r="B98" s="27">
        <v>39264</v>
      </c>
      <c r="C98" s="40">
        <v>6.7673333333333332</v>
      </c>
      <c r="D98" s="41">
        <f>VLOOKUP(CurrentMtgRatesDataTable82[[#This Row],[asOf]],CurrentMtgRatesDataTable823[],2,0)</f>
        <v>7.1961538461538463</v>
      </c>
      <c r="E98" s="41">
        <f>VLOOKUP(CurrentMtgRatesDataTable82[[#This Row],[asOf]],CurrentMtgRatesDataTable8234[],2,0)</f>
        <v>6.5186842105263159</v>
      </c>
      <c r="F98" s="41">
        <f>CurrentMtgRatesDataTable82[[#This Row],[Wac]]-CurrentMtgRatesDataTable82[[#This Row],[Big Non-Bank Lender]]</f>
        <v>-0.42882051282051314</v>
      </c>
      <c r="G98" s="41">
        <f>CurrentMtgRatesDataTable82[[#This Row],[Wac]]-CurrentMtgRatesDataTable82[[#This Row],[Small Lender]]</f>
        <v>0.24864912280701734</v>
      </c>
      <c r="H98" s="41">
        <f>CurrentMtgRatesDataTable82[[#This Row],[Big Non-Bank Lender]]-CurrentMtgRatesDataTable82[[#This Row],[Small Lender]]</f>
        <v>0.67746963562753049</v>
      </c>
      <c r="I98" s="41"/>
      <c r="K98" s="27">
        <v>39264</v>
      </c>
      <c r="L98" s="40">
        <v>7.1961538461538463</v>
      </c>
      <c r="N98" s="27">
        <v>39264</v>
      </c>
      <c r="O98" s="40">
        <v>6.5186842105263159</v>
      </c>
    </row>
    <row r="99" spans="2:15">
      <c r="B99" s="27">
        <v>39234</v>
      </c>
      <c r="C99" s="40">
        <v>6.1670833333333333</v>
      </c>
      <c r="D99" s="41">
        <f>VLOOKUP(CurrentMtgRatesDataTable82[[#This Row],[asOf]],CurrentMtgRatesDataTable823[],2,0)</f>
        <v>6.85</v>
      </c>
      <c r="E99" s="41">
        <f>VLOOKUP(CurrentMtgRatesDataTable82[[#This Row],[asOf]],CurrentMtgRatesDataTable8234[],2,0)</f>
        <v>6.1310937499999998</v>
      </c>
      <c r="F99" s="41">
        <f>CurrentMtgRatesDataTable82[[#This Row],[Wac]]-CurrentMtgRatesDataTable82[[#This Row],[Big Non-Bank Lender]]</f>
        <v>-0.68291666666666639</v>
      </c>
      <c r="G99" s="41">
        <f>CurrentMtgRatesDataTable82[[#This Row],[Wac]]-CurrentMtgRatesDataTable82[[#This Row],[Small Lender]]</f>
        <v>3.5989583333333464E-2</v>
      </c>
      <c r="H99" s="41">
        <f>CurrentMtgRatesDataTable82[[#This Row],[Big Non-Bank Lender]]-CurrentMtgRatesDataTable82[[#This Row],[Small Lender]]</f>
        <v>0.71890624999999986</v>
      </c>
      <c r="I99" s="41"/>
      <c r="K99" s="27">
        <v>39234</v>
      </c>
      <c r="L99" s="40">
        <v>6.85</v>
      </c>
      <c r="N99" s="27">
        <v>39234</v>
      </c>
      <c r="O99" s="40">
        <v>6.1310937499999998</v>
      </c>
    </row>
    <row r="100" spans="2:15">
      <c r="B100" s="27">
        <v>39203</v>
      </c>
      <c r="C100" s="40">
        <v>6.4480447330447328</v>
      </c>
      <c r="D100" s="41">
        <f>VLOOKUP(CurrentMtgRatesDataTable82[[#This Row],[asOf]],CurrentMtgRatesDataTable823[],2,0)</f>
        <v>6.5947345132743367</v>
      </c>
      <c r="E100" s="41">
        <f>VLOOKUP(CurrentMtgRatesDataTable82[[#This Row],[asOf]],CurrentMtgRatesDataTable8234[],2,0)</f>
        <v>6.4248387096774193</v>
      </c>
      <c r="F100" s="41">
        <f>CurrentMtgRatesDataTable82[[#This Row],[Wac]]-CurrentMtgRatesDataTable82[[#This Row],[Big Non-Bank Lender]]</f>
        <v>-0.14668978022960388</v>
      </c>
      <c r="G100" s="41">
        <f>CurrentMtgRatesDataTable82[[#This Row],[Wac]]-CurrentMtgRatesDataTable82[[#This Row],[Small Lender]]</f>
        <v>2.3206023367313477E-2</v>
      </c>
      <c r="H100" s="41">
        <f>CurrentMtgRatesDataTable82[[#This Row],[Big Non-Bank Lender]]-CurrentMtgRatesDataTable82[[#This Row],[Small Lender]]</f>
        <v>0.16989580359691736</v>
      </c>
      <c r="I100" s="41"/>
      <c r="K100" s="27">
        <v>39203</v>
      </c>
      <c r="L100" s="40">
        <v>6.5947345132743367</v>
      </c>
      <c r="N100" s="27">
        <v>39203</v>
      </c>
      <c r="O100" s="40">
        <v>6.4248387096774193</v>
      </c>
    </row>
    <row r="101" spans="2:15">
      <c r="B101" s="27">
        <v>39173</v>
      </c>
      <c r="C101" s="40">
        <v>6.4221865671641787</v>
      </c>
      <c r="D101" s="41">
        <f>VLOOKUP(CurrentMtgRatesDataTable82[[#This Row],[asOf]],CurrentMtgRatesDataTable823[],2,0)</f>
        <v>6.6341379310344823</v>
      </c>
      <c r="E101" s="41">
        <f>VLOOKUP(CurrentMtgRatesDataTable82[[#This Row],[asOf]],CurrentMtgRatesDataTable8234[],2,0)</f>
        <v>6.5108291203235593</v>
      </c>
      <c r="F101" s="41">
        <f>CurrentMtgRatesDataTable82[[#This Row],[Wac]]-CurrentMtgRatesDataTable82[[#This Row],[Big Non-Bank Lender]]</f>
        <v>-0.21195136387030367</v>
      </c>
      <c r="G101" s="41">
        <f>CurrentMtgRatesDataTable82[[#This Row],[Wac]]-CurrentMtgRatesDataTable82[[#This Row],[Small Lender]]</f>
        <v>-8.8642553159380633E-2</v>
      </c>
      <c r="H101" s="41">
        <f>CurrentMtgRatesDataTable82[[#This Row],[Big Non-Bank Lender]]-CurrentMtgRatesDataTable82[[#This Row],[Small Lender]]</f>
        <v>0.12330881071092303</v>
      </c>
      <c r="I101" s="41"/>
      <c r="K101" s="27">
        <v>39173</v>
      </c>
      <c r="L101" s="40">
        <v>6.6341379310344823</v>
      </c>
      <c r="N101" s="27">
        <v>39173</v>
      </c>
      <c r="O101" s="40">
        <v>6.5108291203235593</v>
      </c>
    </row>
    <row r="102" spans="2:15">
      <c r="B102" s="27">
        <v>39142</v>
      </c>
      <c r="C102" s="40">
        <v>6.42830303030303</v>
      </c>
      <c r="D102" s="41">
        <f>VLOOKUP(CurrentMtgRatesDataTable82[[#This Row],[asOf]],CurrentMtgRatesDataTable823[],2,0)</f>
        <v>6.6061594202898553</v>
      </c>
      <c r="E102" s="41">
        <f>VLOOKUP(CurrentMtgRatesDataTable82[[#This Row],[asOf]],CurrentMtgRatesDataTable8234[],2,0)</f>
        <v>6.3810185185185189</v>
      </c>
      <c r="F102" s="41">
        <f>CurrentMtgRatesDataTable82[[#This Row],[Wac]]-CurrentMtgRatesDataTable82[[#This Row],[Big Non-Bank Lender]]</f>
        <v>-0.17785638998682529</v>
      </c>
      <c r="G102" s="41">
        <f>CurrentMtgRatesDataTable82[[#This Row],[Wac]]-CurrentMtgRatesDataTable82[[#This Row],[Small Lender]]</f>
        <v>4.7284511784511096E-2</v>
      </c>
      <c r="H102" s="41">
        <f>CurrentMtgRatesDataTable82[[#This Row],[Big Non-Bank Lender]]-CurrentMtgRatesDataTable82[[#This Row],[Small Lender]]</f>
        <v>0.22514090177133639</v>
      </c>
      <c r="I102" s="41"/>
      <c r="K102" s="27">
        <v>39142</v>
      </c>
      <c r="L102" s="40">
        <v>6.6061594202898553</v>
      </c>
      <c r="N102" s="27">
        <v>39142</v>
      </c>
      <c r="O102" s="40">
        <v>6.3810185185185189</v>
      </c>
    </row>
    <row r="103" spans="2:15">
      <c r="B103" s="27">
        <v>39114</v>
      </c>
      <c r="C103" s="40">
        <v>6.4058564814814813</v>
      </c>
      <c r="D103" s="41">
        <f>VLOOKUP(CurrentMtgRatesDataTable82[[#This Row],[asOf]],CurrentMtgRatesDataTable823[],2,0)</f>
        <v>6.4742105263157894</v>
      </c>
      <c r="E103" s="41">
        <f>VLOOKUP(CurrentMtgRatesDataTable82[[#This Row],[asOf]],CurrentMtgRatesDataTable8234[],2,0)</f>
        <v>6.3686563307493538</v>
      </c>
      <c r="F103" s="41">
        <f>CurrentMtgRatesDataTable82[[#This Row],[Wac]]-CurrentMtgRatesDataTable82[[#This Row],[Big Non-Bank Lender]]</f>
        <v>-6.835404483430807E-2</v>
      </c>
      <c r="G103" s="41">
        <f>CurrentMtgRatesDataTable82[[#This Row],[Wac]]-CurrentMtgRatesDataTable82[[#This Row],[Small Lender]]</f>
        <v>3.7200150732127568E-2</v>
      </c>
      <c r="H103" s="41">
        <f>CurrentMtgRatesDataTable82[[#This Row],[Big Non-Bank Lender]]-CurrentMtgRatesDataTable82[[#This Row],[Small Lender]]</f>
        <v>0.10555419556643564</v>
      </c>
      <c r="I103" s="41"/>
      <c r="K103" s="27">
        <v>39114</v>
      </c>
      <c r="L103" s="40">
        <v>6.4742105263157894</v>
      </c>
      <c r="N103" s="27">
        <v>39114</v>
      </c>
      <c r="O103" s="40">
        <v>6.3686563307493538</v>
      </c>
    </row>
    <row r="104" spans="2:15">
      <c r="B104" s="27">
        <v>39083</v>
      </c>
      <c r="C104" s="40">
        <v>6.4159050683829442</v>
      </c>
      <c r="D104" s="41">
        <f>VLOOKUP(CurrentMtgRatesDataTable82[[#This Row],[asOf]],CurrentMtgRatesDataTable823[],2,0)</f>
        <v>6.632421052631579</v>
      </c>
      <c r="E104" s="41">
        <f>VLOOKUP(CurrentMtgRatesDataTable82[[#This Row],[asOf]],CurrentMtgRatesDataTable8234[],2,0)</f>
        <v>6.4637398373983741</v>
      </c>
      <c r="F104" s="41">
        <f>CurrentMtgRatesDataTable82[[#This Row],[Wac]]-CurrentMtgRatesDataTable82[[#This Row],[Big Non-Bank Lender]]</f>
        <v>-0.21651598424863483</v>
      </c>
      <c r="G104" s="41">
        <f>CurrentMtgRatesDataTable82[[#This Row],[Wac]]-CurrentMtgRatesDataTable82[[#This Row],[Small Lender]]</f>
        <v>-4.7834769015429934E-2</v>
      </c>
      <c r="H104" s="41">
        <f>CurrentMtgRatesDataTable82[[#This Row],[Big Non-Bank Lender]]-CurrentMtgRatesDataTable82[[#This Row],[Small Lender]]</f>
        <v>0.1686812152332049</v>
      </c>
      <c r="I104" s="41"/>
      <c r="K104" s="27">
        <v>39083</v>
      </c>
      <c r="L104" s="40">
        <v>6.632421052631579</v>
      </c>
      <c r="N104" s="27">
        <v>39083</v>
      </c>
      <c r="O104" s="40">
        <v>6.4637398373983741</v>
      </c>
    </row>
    <row r="105" spans="2:15">
      <c r="B105" s="27">
        <v>39052</v>
      </c>
      <c r="C105" s="41">
        <v>6.5381555733761028</v>
      </c>
      <c r="D105" s="41">
        <f>VLOOKUP(CurrentMtgRatesDataTable82[[#This Row],[asOf]],CurrentMtgRatesDataTable823[],2,0)</f>
        <v>6.6694392523364483</v>
      </c>
      <c r="E105" s="41">
        <f>VLOOKUP(CurrentMtgRatesDataTable82[[#This Row],[asOf]],CurrentMtgRatesDataTable8234[],2,0)</f>
        <v>6.483436385255648</v>
      </c>
      <c r="F105" s="41">
        <f>CurrentMtgRatesDataTable82[[#This Row],[Wac]]-CurrentMtgRatesDataTable82[[#This Row],[Big Non-Bank Lender]]</f>
        <v>-0.13128367896034554</v>
      </c>
      <c r="G105" s="41">
        <f>CurrentMtgRatesDataTable82[[#This Row],[Wac]]-CurrentMtgRatesDataTable82[[#This Row],[Small Lender]]</f>
        <v>5.4719188120454731E-2</v>
      </c>
      <c r="H105" s="41">
        <f>CurrentMtgRatesDataTable82[[#This Row],[Big Non-Bank Lender]]-CurrentMtgRatesDataTable82[[#This Row],[Small Lender]]</f>
        <v>0.18600286708080027</v>
      </c>
      <c r="I105" s="41"/>
      <c r="K105" s="27">
        <v>39052</v>
      </c>
      <c r="L105" s="41">
        <v>6.6694392523364483</v>
      </c>
      <c r="N105" s="27">
        <v>39052</v>
      </c>
      <c r="O105" s="41">
        <v>6.483436385255648</v>
      </c>
    </row>
    <row r="106" spans="2:15">
      <c r="B106" s="27">
        <v>39022</v>
      </c>
      <c r="C106" s="41">
        <v>6.5851003344481605</v>
      </c>
      <c r="D106" s="41">
        <f>VLOOKUP(CurrentMtgRatesDataTable82[[#This Row],[asOf]],CurrentMtgRatesDataTable823[],2,0)</f>
        <v>6.8106206896551722</v>
      </c>
      <c r="E106" s="41">
        <f>VLOOKUP(CurrentMtgRatesDataTable82[[#This Row],[asOf]],CurrentMtgRatesDataTable8234[],2,0)</f>
        <v>6.5479828850855748</v>
      </c>
      <c r="F106" s="41">
        <f>CurrentMtgRatesDataTable82[[#This Row],[Wac]]-CurrentMtgRatesDataTable82[[#This Row],[Big Non-Bank Lender]]</f>
        <v>-0.22552035520701175</v>
      </c>
      <c r="G106" s="41">
        <f>CurrentMtgRatesDataTable82[[#This Row],[Wac]]-CurrentMtgRatesDataTable82[[#This Row],[Small Lender]]</f>
        <v>3.7117449362585653E-2</v>
      </c>
      <c r="H106" s="41">
        <f>CurrentMtgRatesDataTable82[[#This Row],[Big Non-Bank Lender]]-CurrentMtgRatesDataTable82[[#This Row],[Small Lender]]</f>
        <v>0.2626378045695974</v>
      </c>
      <c r="I106" s="41"/>
      <c r="K106" s="27">
        <v>39022</v>
      </c>
      <c r="L106" s="41">
        <v>6.8106206896551722</v>
      </c>
      <c r="N106" s="27">
        <v>39022</v>
      </c>
      <c r="O106" s="41">
        <v>6.5479828850855748</v>
      </c>
    </row>
    <row r="107" spans="2:15">
      <c r="B107" s="27">
        <v>38991</v>
      </c>
      <c r="C107" s="41">
        <v>6.5427777777777774</v>
      </c>
      <c r="D107" s="41">
        <f>VLOOKUP(CurrentMtgRatesDataTable82[[#This Row],[asOf]],CurrentMtgRatesDataTable823[],2,0)</f>
        <v>7.86</v>
      </c>
      <c r="E107" s="41">
        <f>VLOOKUP(CurrentMtgRatesDataTable82[[#This Row],[asOf]],CurrentMtgRatesDataTable8234[],2,0)</f>
        <v>6.4406060606060604</v>
      </c>
      <c r="F107" s="41">
        <f>CurrentMtgRatesDataTable82[[#This Row],[Wac]]-CurrentMtgRatesDataTable82[[#This Row],[Big Non-Bank Lender]]</f>
        <v>-1.317222222222223</v>
      </c>
      <c r="G107" s="41">
        <f>CurrentMtgRatesDataTable82[[#This Row],[Wac]]-CurrentMtgRatesDataTable82[[#This Row],[Small Lender]]</f>
        <v>0.10217171717171691</v>
      </c>
      <c r="H107" s="41">
        <f>CurrentMtgRatesDataTable82[[#This Row],[Big Non-Bank Lender]]-CurrentMtgRatesDataTable82[[#This Row],[Small Lender]]</f>
        <v>1.4193939393939399</v>
      </c>
      <c r="I107" s="41"/>
      <c r="K107" s="27">
        <v>38991</v>
      </c>
      <c r="L107" s="41">
        <v>7.86</v>
      </c>
      <c r="N107" s="27">
        <v>38991</v>
      </c>
      <c r="O107" s="41">
        <v>6.4406060606060604</v>
      </c>
    </row>
    <row r="108" spans="2:15">
      <c r="B108" s="27">
        <v>38961</v>
      </c>
      <c r="C108" s="41">
        <v>6.256379310344828</v>
      </c>
      <c r="D108" s="41" t="e">
        <f>VLOOKUP(CurrentMtgRatesDataTable82[[#This Row],[asOf]],CurrentMtgRatesDataTable823[],2,0)</f>
        <v>#N/A</v>
      </c>
      <c r="E108" s="41">
        <f>VLOOKUP(CurrentMtgRatesDataTable82[[#This Row],[asOf]],CurrentMtgRatesDataTable8234[],2,0)</f>
        <v>6.2308823529411761</v>
      </c>
      <c r="F108" s="41" t="e">
        <f>CurrentMtgRatesDataTable82[[#This Row],[Wac]]-CurrentMtgRatesDataTable82[[#This Row],[Big Non-Bank Lender]]</f>
        <v>#N/A</v>
      </c>
      <c r="G108" s="41">
        <f>CurrentMtgRatesDataTable82[[#This Row],[Wac]]-CurrentMtgRatesDataTable82[[#This Row],[Small Lender]]</f>
        <v>2.5496957403651876E-2</v>
      </c>
      <c r="H108" s="41" t="e">
        <f>CurrentMtgRatesDataTable82[[#This Row],[Big Non-Bank Lender]]-CurrentMtgRatesDataTable82[[#This Row],[Small Lender]]</f>
        <v>#N/A</v>
      </c>
      <c r="I108" s="41"/>
      <c r="K108" s="27">
        <v>38930</v>
      </c>
      <c r="L108" s="41">
        <v>6.48</v>
      </c>
      <c r="N108" s="27">
        <v>38961</v>
      </c>
      <c r="O108" s="41">
        <v>6.2308823529411761</v>
      </c>
    </row>
    <row r="109" spans="2:15">
      <c r="B109" s="27">
        <v>38930</v>
      </c>
      <c r="C109" s="41">
        <v>6.4051999999999998</v>
      </c>
      <c r="D109" s="41">
        <f>VLOOKUP(CurrentMtgRatesDataTable82[[#This Row],[asOf]],CurrentMtgRatesDataTable823[],2,0)</f>
        <v>6.48</v>
      </c>
      <c r="E109" s="41">
        <f>VLOOKUP(CurrentMtgRatesDataTable82[[#This Row],[asOf]],CurrentMtgRatesDataTable8234[],2,0)</f>
        <v>6.2974285714285712</v>
      </c>
      <c r="F109" s="41">
        <f>CurrentMtgRatesDataTable82[[#This Row],[Wac]]-CurrentMtgRatesDataTable82[[#This Row],[Big Non-Bank Lender]]</f>
        <v>-7.4800000000000644E-2</v>
      </c>
      <c r="G109" s="41">
        <f>CurrentMtgRatesDataTable82[[#This Row],[Wac]]-CurrentMtgRatesDataTable82[[#This Row],[Small Lender]]</f>
        <v>0.10777142857142863</v>
      </c>
      <c r="H109" s="41">
        <f>CurrentMtgRatesDataTable82[[#This Row],[Big Non-Bank Lender]]-CurrentMtgRatesDataTable82[[#This Row],[Small Lender]]</f>
        <v>0.18257142857142927</v>
      </c>
      <c r="I109" s="41"/>
      <c r="K109" s="27">
        <v>38838</v>
      </c>
      <c r="L109" s="41">
        <v>6.37</v>
      </c>
      <c r="N109" s="27">
        <v>38930</v>
      </c>
      <c r="O109" s="41">
        <v>6.2974285714285712</v>
      </c>
    </row>
    <row r="110" spans="2:15">
      <c r="B110" s="27">
        <v>38899</v>
      </c>
      <c r="C110" s="41">
        <v>6.0122222222222224</v>
      </c>
      <c r="D110" s="41" t="e">
        <f>VLOOKUP(CurrentMtgRatesDataTable82[[#This Row],[asOf]],CurrentMtgRatesDataTable823[],2,0)</f>
        <v>#N/A</v>
      </c>
      <c r="E110" s="41">
        <f>VLOOKUP(CurrentMtgRatesDataTable82[[#This Row],[asOf]],CurrentMtgRatesDataTable8234[],2,0)</f>
        <v>6.264842105263158</v>
      </c>
      <c r="F110" s="41" t="e">
        <f>CurrentMtgRatesDataTable82[[#This Row],[Wac]]-CurrentMtgRatesDataTable82[[#This Row],[Big Non-Bank Lender]]</f>
        <v>#N/A</v>
      </c>
      <c r="G110" s="41">
        <f>CurrentMtgRatesDataTable82[[#This Row],[Wac]]-CurrentMtgRatesDataTable82[[#This Row],[Small Lender]]</f>
        <v>-0.25261988304093563</v>
      </c>
      <c r="H110" s="41" t="e">
        <f>CurrentMtgRatesDataTable82[[#This Row],[Big Non-Bank Lender]]-CurrentMtgRatesDataTable82[[#This Row],[Small Lender]]</f>
        <v>#N/A</v>
      </c>
      <c r="I110" s="41"/>
      <c r="K110" s="27">
        <v>38687</v>
      </c>
      <c r="L110" s="41">
        <v>6.77</v>
      </c>
      <c r="N110" s="27">
        <v>38899</v>
      </c>
      <c r="O110" s="41">
        <v>6.264842105263158</v>
      </c>
    </row>
    <row r="111" spans="2:15">
      <c r="B111" s="27">
        <v>38869</v>
      </c>
      <c r="C111" s="41">
        <v>5.762777777777778</v>
      </c>
      <c r="D111" s="41" t="e">
        <f>VLOOKUP(CurrentMtgRatesDataTable82[[#This Row],[asOf]],CurrentMtgRatesDataTable823[],2,0)</f>
        <v>#N/A</v>
      </c>
      <c r="E111" s="41">
        <f>VLOOKUP(CurrentMtgRatesDataTable82[[#This Row],[asOf]],CurrentMtgRatesDataTable8234[],2,0)</f>
        <v>6.1193069306930692</v>
      </c>
      <c r="F111" s="41" t="e">
        <f>CurrentMtgRatesDataTable82[[#This Row],[Wac]]-CurrentMtgRatesDataTable82[[#This Row],[Big Non-Bank Lender]]</f>
        <v>#N/A</v>
      </c>
      <c r="G111" s="41">
        <f>CurrentMtgRatesDataTable82[[#This Row],[Wac]]-CurrentMtgRatesDataTable82[[#This Row],[Small Lender]]</f>
        <v>-0.35652915291529119</v>
      </c>
      <c r="H111" s="41" t="e">
        <f>CurrentMtgRatesDataTable82[[#This Row],[Big Non-Bank Lender]]-CurrentMtgRatesDataTable82[[#This Row],[Small Lender]]</f>
        <v>#N/A</v>
      </c>
      <c r="I111" s="41"/>
      <c r="K111" s="27">
        <v>38657</v>
      </c>
      <c r="L111" s="41">
        <v>5.89</v>
      </c>
      <c r="N111" s="27">
        <v>38869</v>
      </c>
      <c r="O111" s="41">
        <v>6.1193069306930692</v>
      </c>
    </row>
    <row r="112" spans="2:15">
      <c r="B112" s="27">
        <v>38838</v>
      </c>
      <c r="C112" s="41">
        <v>6.4379999999999997</v>
      </c>
      <c r="D112" s="41">
        <f>VLOOKUP(CurrentMtgRatesDataTable82[[#This Row],[asOf]],CurrentMtgRatesDataTable823[],2,0)</f>
        <v>6.37</v>
      </c>
      <c r="E112" s="41">
        <f>VLOOKUP(CurrentMtgRatesDataTable82[[#This Row],[asOf]],CurrentMtgRatesDataTable8234[],2,0)</f>
        <v>6.2129411764705882</v>
      </c>
      <c r="F112" s="41">
        <f>CurrentMtgRatesDataTable82[[#This Row],[Wac]]-CurrentMtgRatesDataTable82[[#This Row],[Big Non-Bank Lender]]</f>
        <v>6.7999999999999616E-2</v>
      </c>
      <c r="G112" s="41">
        <f>CurrentMtgRatesDataTable82[[#This Row],[Wac]]-CurrentMtgRatesDataTable82[[#This Row],[Small Lender]]</f>
        <v>0.22505882352941153</v>
      </c>
      <c r="H112" s="41">
        <f>CurrentMtgRatesDataTable82[[#This Row],[Big Non-Bank Lender]]-CurrentMtgRatesDataTable82[[#This Row],[Small Lender]]</f>
        <v>0.15705882352941192</v>
      </c>
      <c r="I112" s="41"/>
      <c r="K112" s="27">
        <v>38596</v>
      </c>
      <c r="L112" s="41">
        <v>5.5</v>
      </c>
      <c r="N112" s="27">
        <v>38838</v>
      </c>
      <c r="O112" s="41">
        <v>6.2129411764705882</v>
      </c>
    </row>
    <row r="113" spans="2:15">
      <c r="B113" s="27">
        <v>38808</v>
      </c>
      <c r="C113" s="41">
        <v>6.1957142857142857</v>
      </c>
      <c r="D113" s="41" t="e">
        <f>VLOOKUP(CurrentMtgRatesDataTable82[[#This Row],[asOf]],CurrentMtgRatesDataTable823[],2,0)</f>
        <v>#N/A</v>
      </c>
      <c r="E113" s="41">
        <f>VLOOKUP(CurrentMtgRatesDataTable82[[#This Row],[asOf]],CurrentMtgRatesDataTable8234[],2,0)</f>
        <v>6.1925714285714282</v>
      </c>
      <c r="F113" s="41" t="e">
        <f>CurrentMtgRatesDataTable82[[#This Row],[Wac]]-CurrentMtgRatesDataTable82[[#This Row],[Big Non-Bank Lender]]</f>
        <v>#N/A</v>
      </c>
      <c r="G113" s="41">
        <f>CurrentMtgRatesDataTable82[[#This Row],[Wac]]-CurrentMtgRatesDataTable82[[#This Row],[Small Lender]]</f>
        <v>3.142857142857558E-3</v>
      </c>
      <c r="H113" s="41" t="e">
        <f>CurrentMtgRatesDataTable82[[#This Row],[Big Non-Bank Lender]]-CurrentMtgRatesDataTable82[[#This Row],[Small Lender]]</f>
        <v>#N/A</v>
      </c>
      <c r="I113" s="41"/>
      <c r="K113" s="27">
        <v>38504</v>
      </c>
      <c r="L113" s="41">
        <v>5.9349999999999996</v>
      </c>
      <c r="N113" s="27">
        <v>38808</v>
      </c>
      <c r="O113" s="41">
        <v>6.1925714285714282</v>
      </c>
    </row>
    <row r="114" spans="2:15">
      <c r="B114" s="27">
        <v>38777</v>
      </c>
      <c r="C114" s="41">
        <v>5.8312499999999998</v>
      </c>
      <c r="D114" s="41" t="e">
        <f>VLOOKUP(CurrentMtgRatesDataTable82[[#This Row],[asOf]],CurrentMtgRatesDataTable823[],2,0)</f>
        <v>#N/A</v>
      </c>
      <c r="E114" s="41">
        <f>VLOOKUP(CurrentMtgRatesDataTable82[[#This Row],[asOf]],CurrentMtgRatesDataTable8234[],2,0)</f>
        <v>6.3875000000000002</v>
      </c>
      <c r="F114" s="41" t="e">
        <f>CurrentMtgRatesDataTable82[[#This Row],[Wac]]-CurrentMtgRatesDataTable82[[#This Row],[Big Non-Bank Lender]]</f>
        <v>#N/A</v>
      </c>
      <c r="G114" s="41">
        <f>CurrentMtgRatesDataTable82[[#This Row],[Wac]]-CurrentMtgRatesDataTable82[[#This Row],[Small Lender]]</f>
        <v>-0.55625000000000036</v>
      </c>
      <c r="H114" s="41" t="e">
        <f>CurrentMtgRatesDataTable82[[#This Row],[Big Non-Bank Lender]]-CurrentMtgRatesDataTable82[[#This Row],[Small Lender]]</f>
        <v>#N/A</v>
      </c>
      <c r="I114" s="41"/>
      <c r="N114" s="27">
        <v>38777</v>
      </c>
      <c r="O114" s="41">
        <v>6.3875000000000002</v>
      </c>
    </row>
    <row r="115" spans="2:15">
      <c r="B115" s="27">
        <v>38749</v>
      </c>
      <c r="C115" s="41">
        <v>5.9120689655172418</v>
      </c>
      <c r="D115" s="41" t="e">
        <f>VLOOKUP(CurrentMtgRatesDataTable82[[#This Row],[asOf]],CurrentMtgRatesDataTable823[],2,0)</f>
        <v>#N/A</v>
      </c>
      <c r="E115" s="41">
        <f>VLOOKUP(CurrentMtgRatesDataTable82[[#This Row],[asOf]],CurrentMtgRatesDataTable8234[],2,0)</f>
        <v>6.12</v>
      </c>
      <c r="F115" s="41" t="e">
        <f>CurrentMtgRatesDataTable82[[#This Row],[Wac]]-CurrentMtgRatesDataTable82[[#This Row],[Big Non-Bank Lender]]</f>
        <v>#N/A</v>
      </c>
      <c r="G115" s="41">
        <f>CurrentMtgRatesDataTable82[[#This Row],[Wac]]-CurrentMtgRatesDataTable82[[#This Row],[Small Lender]]</f>
        <v>-0.20793103448275829</v>
      </c>
      <c r="H115" s="41" t="e">
        <f>CurrentMtgRatesDataTable82[[#This Row],[Big Non-Bank Lender]]-CurrentMtgRatesDataTable82[[#This Row],[Small Lender]]</f>
        <v>#N/A</v>
      </c>
      <c r="I115" s="41"/>
      <c r="N115" s="27">
        <v>38749</v>
      </c>
      <c r="O115" s="41">
        <v>6.12</v>
      </c>
    </row>
    <row r="116" spans="2:15">
      <c r="B116" s="27">
        <v>38718</v>
      </c>
      <c r="C116" s="41">
        <v>5.5707142857142857</v>
      </c>
      <c r="D116" s="41" t="e">
        <f>VLOOKUP(CurrentMtgRatesDataTable82[[#This Row],[asOf]],CurrentMtgRatesDataTable823[],2,0)</f>
        <v>#N/A</v>
      </c>
      <c r="E116" s="41">
        <f>VLOOKUP(CurrentMtgRatesDataTable82[[#This Row],[asOf]],CurrentMtgRatesDataTable8234[],2,0)</f>
        <v>6.3566666666666665</v>
      </c>
      <c r="F116" s="41" t="e">
        <f>CurrentMtgRatesDataTable82[[#This Row],[Wac]]-CurrentMtgRatesDataTable82[[#This Row],[Big Non-Bank Lender]]</f>
        <v>#N/A</v>
      </c>
      <c r="G116" s="41">
        <f>CurrentMtgRatesDataTable82[[#This Row],[Wac]]-CurrentMtgRatesDataTable82[[#This Row],[Small Lender]]</f>
        <v>-0.78595238095238074</v>
      </c>
      <c r="H116" s="41" t="e">
        <f>CurrentMtgRatesDataTable82[[#This Row],[Big Non-Bank Lender]]-CurrentMtgRatesDataTable82[[#This Row],[Small Lender]]</f>
        <v>#N/A</v>
      </c>
      <c r="I116" s="41"/>
      <c r="N116" s="27">
        <v>38718</v>
      </c>
      <c r="O116" s="41">
        <v>6.3566666666666665</v>
      </c>
    </row>
    <row r="117" spans="2:15">
      <c r="B117" s="27">
        <v>38687</v>
      </c>
      <c r="C117" s="41">
        <v>6.1768181818181818</v>
      </c>
      <c r="D117" s="41">
        <f>VLOOKUP(CurrentMtgRatesDataTable82[[#This Row],[asOf]],CurrentMtgRatesDataTable823[],2,0)</f>
        <v>6.77</v>
      </c>
      <c r="E117" s="41">
        <f>VLOOKUP(CurrentMtgRatesDataTable82[[#This Row],[asOf]],CurrentMtgRatesDataTable8234[],2,0)</f>
        <v>6.3449999999999998</v>
      </c>
      <c r="F117" s="41">
        <f>CurrentMtgRatesDataTable82[[#This Row],[Wac]]-CurrentMtgRatesDataTable82[[#This Row],[Big Non-Bank Lender]]</f>
        <v>-0.59318181818181781</v>
      </c>
      <c r="G117" s="41">
        <f>CurrentMtgRatesDataTable82[[#This Row],[Wac]]-CurrentMtgRatesDataTable82[[#This Row],[Small Lender]]</f>
        <v>-0.16818181818181799</v>
      </c>
      <c r="H117" s="41">
        <f>CurrentMtgRatesDataTable82[[#This Row],[Big Non-Bank Lender]]-CurrentMtgRatesDataTable82[[#This Row],[Small Lender]]</f>
        <v>0.42499999999999982</v>
      </c>
      <c r="I117" s="41"/>
      <c r="N117" s="27">
        <v>38687</v>
      </c>
      <c r="O117" s="41">
        <v>6.3449999999999998</v>
      </c>
    </row>
    <row r="118" spans="2:15">
      <c r="B118" s="27">
        <v>38657</v>
      </c>
      <c r="C118" s="41">
        <v>5.8255555555555558</v>
      </c>
      <c r="D118" s="41">
        <f>VLOOKUP(CurrentMtgRatesDataTable82[[#This Row],[asOf]],CurrentMtgRatesDataTable823[],2,0)</f>
        <v>5.89</v>
      </c>
      <c r="E118" s="41">
        <f>VLOOKUP(CurrentMtgRatesDataTable82[[#This Row],[asOf]],CurrentMtgRatesDataTable8234[],2,0)</f>
        <v>6.9285714285714288</v>
      </c>
      <c r="F118" s="41">
        <f>CurrentMtgRatesDataTable82[[#This Row],[Wac]]-CurrentMtgRatesDataTable82[[#This Row],[Big Non-Bank Lender]]</f>
        <v>-6.444444444444386E-2</v>
      </c>
      <c r="G118" s="41">
        <f>CurrentMtgRatesDataTable82[[#This Row],[Wac]]-CurrentMtgRatesDataTable82[[#This Row],[Small Lender]]</f>
        <v>-1.103015873015873</v>
      </c>
      <c r="H118" s="41">
        <f>CurrentMtgRatesDataTable82[[#This Row],[Big Non-Bank Lender]]-CurrentMtgRatesDataTable82[[#This Row],[Small Lender]]</f>
        <v>-1.0385714285714291</v>
      </c>
      <c r="I118" s="41"/>
      <c r="N118" s="27">
        <v>38657</v>
      </c>
      <c r="O118" s="41">
        <v>6.9285714285714288</v>
      </c>
    </row>
    <row r="119" spans="2:15">
      <c r="B119" s="27">
        <v>38626</v>
      </c>
      <c r="C119" s="41">
        <v>5.763684210526316</v>
      </c>
      <c r="D119" s="41" t="e">
        <f>VLOOKUP(CurrentMtgRatesDataTable82[[#This Row],[asOf]],CurrentMtgRatesDataTable823[],2,0)</f>
        <v>#N/A</v>
      </c>
      <c r="E119" s="41">
        <f>VLOOKUP(CurrentMtgRatesDataTable82[[#This Row],[asOf]],CurrentMtgRatesDataTable8234[],2,0)</f>
        <v>6.34</v>
      </c>
      <c r="F119" s="41" t="e">
        <f>CurrentMtgRatesDataTable82[[#This Row],[Wac]]-CurrentMtgRatesDataTable82[[#This Row],[Big Non-Bank Lender]]</f>
        <v>#N/A</v>
      </c>
      <c r="G119" s="41">
        <f>CurrentMtgRatesDataTable82[[#This Row],[Wac]]-CurrentMtgRatesDataTable82[[#This Row],[Small Lender]]</f>
        <v>-0.57631578947368389</v>
      </c>
      <c r="H119" s="41" t="e">
        <f>CurrentMtgRatesDataTable82[[#This Row],[Big Non-Bank Lender]]-CurrentMtgRatesDataTable82[[#This Row],[Small Lender]]</f>
        <v>#N/A</v>
      </c>
      <c r="I119" s="41"/>
      <c r="N119" s="27">
        <v>38626</v>
      </c>
      <c r="O119" s="41">
        <v>6.34</v>
      </c>
    </row>
    <row r="120" spans="2:15">
      <c r="B120" s="27">
        <v>38596</v>
      </c>
      <c r="C120" s="41">
        <v>6.3849999999999998</v>
      </c>
      <c r="D120" s="41">
        <f>VLOOKUP(CurrentMtgRatesDataTable82[[#This Row],[asOf]],CurrentMtgRatesDataTable823[],2,0)</f>
        <v>5.5</v>
      </c>
      <c r="E120" s="41">
        <f>VLOOKUP(CurrentMtgRatesDataTable82[[#This Row],[asOf]],CurrentMtgRatesDataTable8234[],2,0)</f>
        <v>6.23</v>
      </c>
      <c r="F120" s="41">
        <f>CurrentMtgRatesDataTable82[[#This Row],[Wac]]-CurrentMtgRatesDataTable82[[#This Row],[Big Non-Bank Lender]]</f>
        <v>0.88499999999999979</v>
      </c>
      <c r="G120" s="41">
        <f>CurrentMtgRatesDataTable82[[#This Row],[Wac]]-CurrentMtgRatesDataTable82[[#This Row],[Small Lender]]</f>
        <v>0.15499999999999936</v>
      </c>
      <c r="H120" s="41">
        <f>CurrentMtgRatesDataTable82[[#This Row],[Big Non-Bank Lender]]-CurrentMtgRatesDataTable82[[#This Row],[Small Lender]]</f>
        <v>-0.73000000000000043</v>
      </c>
      <c r="I120" s="41"/>
      <c r="N120" s="27">
        <v>38596</v>
      </c>
      <c r="O120" s="41">
        <v>6.23</v>
      </c>
    </row>
    <row r="121" spans="2:15">
      <c r="B121" s="27">
        <v>38565</v>
      </c>
      <c r="C121" s="41">
        <v>6.3880769230769232</v>
      </c>
      <c r="D121" s="41" t="e">
        <f>VLOOKUP(CurrentMtgRatesDataTable82[[#This Row],[asOf]],CurrentMtgRatesDataTable823[],2,0)</f>
        <v>#N/A</v>
      </c>
      <c r="E121" s="41">
        <f>VLOOKUP(CurrentMtgRatesDataTable82[[#This Row],[asOf]],CurrentMtgRatesDataTable8234[],2,0)</f>
        <v>5.7712500000000002</v>
      </c>
      <c r="F121" s="41" t="e">
        <f>CurrentMtgRatesDataTable82[[#This Row],[Wac]]-CurrentMtgRatesDataTable82[[#This Row],[Big Non-Bank Lender]]</f>
        <v>#N/A</v>
      </c>
      <c r="G121" s="41">
        <f>CurrentMtgRatesDataTable82[[#This Row],[Wac]]-CurrentMtgRatesDataTable82[[#This Row],[Small Lender]]</f>
        <v>0.61682692307692299</v>
      </c>
      <c r="H121" s="41" t="e">
        <f>CurrentMtgRatesDataTable82[[#This Row],[Big Non-Bank Lender]]-CurrentMtgRatesDataTable82[[#This Row],[Small Lender]]</f>
        <v>#N/A</v>
      </c>
      <c r="I121" s="41"/>
      <c r="N121" s="27">
        <v>38565</v>
      </c>
      <c r="O121" s="41">
        <v>5.7712500000000002</v>
      </c>
    </row>
    <row r="122" spans="2:15">
      <c r="B122" s="27">
        <v>38534</v>
      </c>
      <c r="C122" s="41">
        <v>6.2105555555555556</v>
      </c>
      <c r="D122" s="41" t="e">
        <f>VLOOKUP(CurrentMtgRatesDataTable82[[#This Row],[asOf]],CurrentMtgRatesDataTable823[],2,0)</f>
        <v>#N/A</v>
      </c>
      <c r="E122" s="41">
        <f>VLOOKUP(CurrentMtgRatesDataTable82[[#This Row],[asOf]],CurrentMtgRatesDataTable8234[],2,0)</f>
        <v>6.03125</v>
      </c>
      <c r="F122" s="41" t="e">
        <f>CurrentMtgRatesDataTable82[[#This Row],[Wac]]-CurrentMtgRatesDataTable82[[#This Row],[Big Non-Bank Lender]]</f>
        <v>#N/A</v>
      </c>
      <c r="G122" s="41">
        <f>CurrentMtgRatesDataTable82[[#This Row],[Wac]]-CurrentMtgRatesDataTable82[[#This Row],[Small Lender]]</f>
        <v>0.17930555555555561</v>
      </c>
      <c r="H122" s="41" t="e">
        <f>CurrentMtgRatesDataTable82[[#This Row],[Big Non-Bank Lender]]-CurrentMtgRatesDataTable82[[#This Row],[Small Lender]]</f>
        <v>#N/A</v>
      </c>
      <c r="I122" s="41"/>
      <c r="N122" s="27">
        <v>38534</v>
      </c>
      <c r="O122" s="41">
        <v>6.03125</v>
      </c>
    </row>
    <row r="123" spans="2:15">
      <c r="B123" s="27">
        <v>38504</v>
      </c>
      <c r="C123" s="41">
        <v>6.8342857142857145</v>
      </c>
      <c r="D123" s="41">
        <f>VLOOKUP(CurrentMtgRatesDataTable82[[#This Row],[asOf]],CurrentMtgRatesDataTable823[],2,0)</f>
        <v>5.9349999999999996</v>
      </c>
      <c r="E123" s="41">
        <f>VLOOKUP(CurrentMtgRatesDataTable82[[#This Row],[asOf]],CurrentMtgRatesDataTable8234[],2,0)</f>
        <v>6.4154545454545451</v>
      </c>
      <c r="F123" s="41">
        <f>CurrentMtgRatesDataTable82[[#This Row],[Wac]]-CurrentMtgRatesDataTable82[[#This Row],[Big Non-Bank Lender]]</f>
        <v>0.89928571428571491</v>
      </c>
      <c r="G123" s="41">
        <f>CurrentMtgRatesDataTable82[[#This Row],[Wac]]-CurrentMtgRatesDataTable82[[#This Row],[Small Lender]]</f>
        <v>0.41883116883116944</v>
      </c>
      <c r="H123" s="41">
        <f>CurrentMtgRatesDataTable82[[#This Row],[Big Non-Bank Lender]]-CurrentMtgRatesDataTable82[[#This Row],[Small Lender]]</f>
        <v>-0.48045454545454547</v>
      </c>
      <c r="I123" s="41"/>
      <c r="N123" s="27">
        <v>38504</v>
      </c>
      <c r="O123" s="41">
        <v>6.4154545454545451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O129"/>
  <sheetViews>
    <sheetView topLeftCell="B1" workbookViewId="0">
      <selection activeCell="B1" sqref="B1:N2"/>
    </sheetView>
  </sheetViews>
  <sheetFormatPr defaultRowHeight="15"/>
  <cols>
    <col min="2" max="2" width="13.85546875" bestFit="1" customWidth="1"/>
    <col min="3" max="3" width="12" bestFit="1" customWidth="1"/>
    <col min="4" max="6" width="12.5703125" bestFit="1" customWidth="1"/>
    <col min="8" max="8" width="13.85546875" bestFit="1" customWidth="1"/>
    <col min="9" max="9" width="12.5703125" bestFit="1" customWidth="1"/>
    <col min="11" max="11" width="13.85546875" bestFit="1" customWidth="1"/>
    <col min="12" max="12" width="12.5703125" bestFit="1" customWidth="1"/>
    <col min="14" max="14" width="13.85546875" bestFit="1" customWidth="1"/>
    <col min="15" max="15" width="12.5703125" bestFit="1" customWidth="1"/>
  </cols>
  <sheetData>
    <row r="1" spans="2:15">
      <c r="B1" t="s">
        <v>33</v>
      </c>
      <c r="K1" t="s">
        <v>34</v>
      </c>
      <c r="N1" t="s">
        <v>35</v>
      </c>
    </row>
    <row r="2" spans="2:15">
      <c r="C2" t="s">
        <v>42</v>
      </c>
      <c r="H2" t="s">
        <v>43</v>
      </c>
    </row>
    <row r="3" spans="2:15">
      <c r="B3" t="s">
        <v>40</v>
      </c>
      <c r="C3" t="s">
        <v>41</v>
      </c>
      <c r="D3" t="s">
        <v>33</v>
      </c>
      <c r="E3" t="s">
        <v>34</v>
      </c>
      <c r="F3" t="s">
        <v>35</v>
      </c>
      <c r="H3" t="s">
        <v>40</v>
      </c>
      <c r="I3" t="s">
        <v>44</v>
      </c>
      <c r="K3" t="s">
        <v>40</v>
      </c>
      <c r="L3" t="s">
        <v>34</v>
      </c>
      <c r="N3" t="s">
        <v>40</v>
      </c>
      <c r="O3" t="s">
        <v>35</v>
      </c>
    </row>
    <row r="4" spans="2:15">
      <c r="B4" s="1">
        <v>42156</v>
      </c>
      <c r="C4">
        <v>4.0494685039369998</v>
      </c>
      <c r="D4">
        <f>VLOOKUP(B4,H4:I129,2,0)</f>
        <v>4.03346663290084</v>
      </c>
      <c r="E4">
        <v>4.2191101493671104</v>
      </c>
      <c r="F4">
        <v>4.1037910444357104</v>
      </c>
      <c r="H4" s="1">
        <v>42156</v>
      </c>
      <c r="I4">
        <v>4.03346663290084</v>
      </c>
      <c r="K4" s="1">
        <v>42156</v>
      </c>
      <c r="L4">
        <v>4.2191101493671104</v>
      </c>
      <c r="N4" s="1">
        <v>42156</v>
      </c>
      <c r="O4">
        <v>4.1037910444357104</v>
      </c>
    </row>
    <row r="5" spans="2:15">
      <c r="B5" s="1">
        <v>42125</v>
      </c>
      <c r="C5">
        <v>4.1309791852410598</v>
      </c>
      <c r="D5">
        <f t="shared" ref="D5:D68" si="0">VLOOKUP(B5,H5:I130,2,0)</f>
        <v>4.08684711807037</v>
      </c>
      <c r="E5">
        <v>4.1047356387805598</v>
      </c>
      <c r="F5">
        <v>4.0203835309051703</v>
      </c>
      <c r="H5" s="1">
        <v>42125</v>
      </c>
      <c r="I5">
        <v>4.08684711807037</v>
      </c>
      <c r="K5" s="1">
        <v>42125</v>
      </c>
      <c r="L5">
        <v>4.1047356387805598</v>
      </c>
      <c r="N5" s="1">
        <v>42125</v>
      </c>
      <c r="O5">
        <v>4.0203835309051703</v>
      </c>
    </row>
    <row r="6" spans="2:15">
      <c r="B6" s="1">
        <v>42095</v>
      </c>
      <c r="C6">
        <v>4.0349233696411098</v>
      </c>
      <c r="D6">
        <f t="shared" si="0"/>
        <v>3.9789730538138399</v>
      </c>
      <c r="E6">
        <v>4.0802746460940602</v>
      </c>
      <c r="F6">
        <v>3.98825896732659</v>
      </c>
      <c r="H6" s="1">
        <v>42095</v>
      </c>
      <c r="I6">
        <v>3.9789730538138399</v>
      </c>
      <c r="K6" s="1">
        <v>42095</v>
      </c>
      <c r="L6">
        <v>4.0802746460940602</v>
      </c>
      <c r="N6" s="1">
        <v>42095</v>
      </c>
      <c r="O6">
        <v>3.98825896732659</v>
      </c>
    </row>
    <row r="7" spans="2:15">
      <c r="B7" s="1">
        <v>42064</v>
      </c>
      <c r="C7">
        <v>4.1462932609113601</v>
      </c>
      <c r="D7">
        <f t="shared" si="0"/>
        <v>4.1129573705501699</v>
      </c>
      <c r="E7">
        <v>4.0827757855292202</v>
      </c>
      <c r="F7">
        <v>3.9888208078896099</v>
      </c>
      <c r="H7" s="1">
        <v>42064</v>
      </c>
      <c r="I7">
        <v>4.1129573705501699</v>
      </c>
      <c r="K7" s="1">
        <v>42064</v>
      </c>
      <c r="L7">
        <v>4.0827757855292202</v>
      </c>
      <c r="N7" s="1">
        <v>42064</v>
      </c>
      <c r="O7">
        <v>3.9888208078896099</v>
      </c>
    </row>
    <row r="8" spans="2:15">
      <c r="B8" s="1">
        <v>42036</v>
      </c>
      <c r="C8">
        <v>4.2898292327319103</v>
      </c>
      <c r="D8">
        <f t="shared" si="0"/>
        <v>4.2423242846558296</v>
      </c>
      <c r="E8">
        <v>4.2463276905126701</v>
      </c>
      <c r="F8">
        <v>4.1789887425929004</v>
      </c>
      <c r="H8" s="1">
        <v>42036</v>
      </c>
      <c r="I8">
        <v>4.2423242846558296</v>
      </c>
      <c r="K8" s="1">
        <v>42036</v>
      </c>
      <c r="L8">
        <v>4.2463276905126701</v>
      </c>
      <c r="N8" s="1">
        <v>42036</v>
      </c>
      <c r="O8">
        <v>4.1789887425929004</v>
      </c>
    </row>
    <row r="9" spans="2:15">
      <c r="B9" s="1">
        <v>42005</v>
      </c>
      <c r="C9">
        <v>4.3502841724089398</v>
      </c>
      <c r="D9">
        <f t="shared" si="0"/>
        <v>4.3085359218445003</v>
      </c>
      <c r="E9">
        <v>4.3502702860523303</v>
      </c>
      <c r="F9">
        <v>4.2746673686713397</v>
      </c>
      <c r="H9" s="1">
        <v>42005</v>
      </c>
      <c r="I9">
        <v>4.3085359218445003</v>
      </c>
      <c r="K9" s="1">
        <v>42005</v>
      </c>
      <c r="L9">
        <v>4.3502702860523303</v>
      </c>
      <c r="N9" s="1">
        <v>42005</v>
      </c>
      <c r="O9">
        <v>4.2746673686713397</v>
      </c>
    </row>
    <row r="10" spans="2:15">
      <c r="B10" s="1">
        <v>41974</v>
      </c>
      <c r="C10">
        <v>4.4014198445020298</v>
      </c>
      <c r="D10">
        <f t="shared" si="0"/>
        <v>4.3658755157534399</v>
      </c>
      <c r="E10">
        <v>4.4027082326907596</v>
      </c>
      <c r="F10">
        <v>4.3513149361685004</v>
      </c>
      <c r="H10" s="1">
        <v>41974</v>
      </c>
      <c r="I10">
        <v>4.3658755157534399</v>
      </c>
      <c r="K10" s="1">
        <v>41974</v>
      </c>
      <c r="L10">
        <v>4.4027082326907596</v>
      </c>
      <c r="N10" s="1">
        <v>41974</v>
      </c>
      <c r="O10">
        <v>4.3513149361685004</v>
      </c>
    </row>
    <row r="11" spans="2:15">
      <c r="B11" s="1">
        <v>41944</v>
      </c>
      <c r="C11">
        <v>4.6343512256881496</v>
      </c>
      <c r="D11">
        <f t="shared" si="0"/>
        <v>4.5500005085103901</v>
      </c>
      <c r="E11">
        <v>4.5181402111511098</v>
      </c>
      <c r="F11">
        <v>4.3984842689422798</v>
      </c>
      <c r="H11" s="1">
        <v>41944</v>
      </c>
      <c r="I11">
        <v>4.5500005085103901</v>
      </c>
      <c r="K11" s="1">
        <v>41944</v>
      </c>
      <c r="L11">
        <v>4.5181402111511098</v>
      </c>
      <c r="N11" s="1">
        <v>41944</v>
      </c>
      <c r="O11">
        <v>4.3984842689422798</v>
      </c>
    </row>
    <row r="12" spans="2:15">
      <c r="B12" s="1">
        <v>41913</v>
      </c>
      <c r="C12">
        <v>4.49423910948342</v>
      </c>
      <c r="D12">
        <f t="shared" si="0"/>
        <v>4.43647545579464</v>
      </c>
      <c r="E12">
        <v>4.5460665183556301</v>
      </c>
      <c r="F12">
        <v>4.4750057291068597</v>
      </c>
      <c r="H12" s="1">
        <v>41913</v>
      </c>
      <c r="I12">
        <v>4.43647545579464</v>
      </c>
      <c r="K12" s="1">
        <v>41913</v>
      </c>
      <c r="L12">
        <v>4.5460665183556301</v>
      </c>
      <c r="N12" s="1">
        <v>41913</v>
      </c>
      <c r="O12">
        <v>4.4750057291068597</v>
      </c>
    </row>
    <row r="13" spans="2:15">
      <c r="B13" s="1">
        <v>41883</v>
      </c>
      <c r="C13">
        <v>4.4184286528179504</v>
      </c>
      <c r="D13">
        <f t="shared" si="0"/>
        <v>4.3928606963213097</v>
      </c>
      <c r="E13">
        <v>4.5256544357841504</v>
      </c>
      <c r="F13">
        <v>4.4303742565342699</v>
      </c>
      <c r="H13" s="1">
        <v>41883</v>
      </c>
      <c r="I13">
        <v>4.3928606963213097</v>
      </c>
      <c r="K13" s="1">
        <v>41883</v>
      </c>
      <c r="L13">
        <v>4.5256544357841504</v>
      </c>
      <c r="N13" s="1">
        <v>41883</v>
      </c>
      <c r="O13">
        <v>4.4303742565342699</v>
      </c>
    </row>
    <row r="14" spans="2:15">
      <c r="B14" s="1">
        <v>41852</v>
      </c>
      <c r="C14">
        <v>4.4864489218660299</v>
      </c>
      <c r="D14">
        <f t="shared" si="0"/>
        <v>4.46240399555957</v>
      </c>
      <c r="E14">
        <v>4.5470041872076301</v>
      </c>
      <c r="F14">
        <v>4.4426965691305504</v>
      </c>
      <c r="H14" s="1">
        <v>41852</v>
      </c>
      <c r="I14">
        <v>4.46240399555957</v>
      </c>
      <c r="K14" s="1">
        <v>41852</v>
      </c>
      <c r="L14">
        <v>4.5470041872076301</v>
      </c>
      <c r="N14" s="1">
        <v>41852</v>
      </c>
      <c r="O14">
        <v>4.4426965691305504</v>
      </c>
    </row>
    <row r="15" spans="2:15">
      <c r="B15" s="1">
        <v>41821</v>
      </c>
      <c r="C15">
        <v>4.5996196449530498</v>
      </c>
      <c r="D15">
        <f t="shared" si="0"/>
        <v>4.5464654686383899</v>
      </c>
      <c r="E15">
        <v>4.5864628238594998</v>
      </c>
      <c r="F15">
        <v>4.4870171590413204</v>
      </c>
      <c r="H15" s="1">
        <v>41821</v>
      </c>
      <c r="I15">
        <v>4.5464654686383899</v>
      </c>
      <c r="K15" s="1">
        <v>41821</v>
      </c>
      <c r="L15">
        <v>4.5864628238594998</v>
      </c>
      <c r="N15" s="1">
        <v>41821</v>
      </c>
      <c r="O15">
        <v>4.4870171590413204</v>
      </c>
    </row>
    <row r="16" spans="2:15">
      <c r="B16" s="1">
        <v>41791</v>
      </c>
      <c r="C16">
        <v>4.6253476993545704</v>
      </c>
      <c r="D16">
        <f t="shared" si="0"/>
        <v>4.5955921919831102</v>
      </c>
      <c r="E16">
        <v>4.6769359298809503</v>
      </c>
      <c r="F16">
        <v>4.5739784541027797</v>
      </c>
      <c r="H16" s="1">
        <v>41791</v>
      </c>
      <c r="I16">
        <v>4.5955921919831102</v>
      </c>
      <c r="K16" s="1">
        <v>41791</v>
      </c>
      <c r="L16">
        <v>4.6769359298809503</v>
      </c>
      <c r="N16" s="1">
        <v>41791</v>
      </c>
      <c r="O16">
        <v>4.5739784541027797</v>
      </c>
    </row>
    <row r="17" spans="2:15">
      <c r="B17" s="1">
        <v>41760</v>
      </c>
      <c r="C17">
        <v>4.6431967001804502</v>
      </c>
      <c r="D17">
        <f t="shared" si="0"/>
        <v>4.6169256515675503</v>
      </c>
      <c r="E17">
        <v>4.71889414579132</v>
      </c>
      <c r="F17">
        <v>4.6282846745247301</v>
      </c>
      <c r="H17" s="1">
        <v>41760</v>
      </c>
      <c r="I17">
        <v>4.6169256515675503</v>
      </c>
      <c r="K17" s="1">
        <v>41760</v>
      </c>
      <c r="L17">
        <v>4.71889414579132</v>
      </c>
      <c r="N17" s="1">
        <v>41760</v>
      </c>
      <c r="O17">
        <v>4.6282846745247301</v>
      </c>
    </row>
    <row r="18" spans="2:15">
      <c r="B18" s="1">
        <v>41730</v>
      </c>
      <c r="C18">
        <v>4.6526377313799401</v>
      </c>
      <c r="D18">
        <f t="shared" si="0"/>
        <v>4.6073322411551896</v>
      </c>
      <c r="E18">
        <v>4.7040503515759404</v>
      </c>
      <c r="F18">
        <v>4.6303668541590701</v>
      </c>
      <c r="H18" s="1">
        <v>41730</v>
      </c>
      <c r="I18">
        <v>4.6073322411551896</v>
      </c>
      <c r="K18" s="1">
        <v>41730</v>
      </c>
      <c r="L18">
        <v>4.7040503515759404</v>
      </c>
      <c r="N18" s="1">
        <v>41730</v>
      </c>
      <c r="O18">
        <v>4.6303668541590701</v>
      </c>
    </row>
    <row r="19" spans="2:15">
      <c r="B19" s="1">
        <v>41699</v>
      </c>
      <c r="C19">
        <v>4.7278443383717796</v>
      </c>
      <c r="D19">
        <f t="shared" si="0"/>
        <v>4.6999271259678803</v>
      </c>
      <c r="E19">
        <v>4.7860051914523396</v>
      </c>
      <c r="F19">
        <v>4.6594694926662301</v>
      </c>
      <c r="H19" s="1">
        <v>41699</v>
      </c>
      <c r="I19">
        <v>4.6999271259678803</v>
      </c>
      <c r="K19" s="1">
        <v>41699</v>
      </c>
      <c r="L19">
        <v>4.7860051914523396</v>
      </c>
      <c r="N19" s="1">
        <v>41699</v>
      </c>
      <c r="O19">
        <v>4.6594694926662301</v>
      </c>
    </row>
    <row r="20" spans="2:15">
      <c r="B20" s="1">
        <v>41671</v>
      </c>
      <c r="C20">
        <v>4.6701243630873703</v>
      </c>
      <c r="D20">
        <f t="shared" si="0"/>
        <v>4.6303142727846298</v>
      </c>
      <c r="E20">
        <v>4.7712676043257503</v>
      </c>
      <c r="F20">
        <v>4.6706348873408796</v>
      </c>
      <c r="H20" s="1">
        <v>41671</v>
      </c>
      <c r="I20">
        <v>4.6303142727846298</v>
      </c>
      <c r="K20" s="1">
        <v>41671</v>
      </c>
      <c r="L20">
        <v>4.7712676043257503</v>
      </c>
      <c r="N20" s="1">
        <v>41671</v>
      </c>
      <c r="O20">
        <v>4.6706348873408796</v>
      </c>
    </row>
    <row r="21" spans="2:15">
      <c r="B21" s="1">
        <v>41640</v>
      </c>
      <c r="C21">
        <v>4.6178736440337396</v>
      </c>
      <c r="D21">
        <f t="shared" si="0"/>
        <v>4.5774117342330101</v>
      </c>
      <c r="E21">
        <v>4.6755959267023801</v>
      </c>
      <c r="F21">
        <v>4.6007318764534197</v>
      </c>
      <c r="H21" s="1">
        <v>41640</v>
      </c>
      <c r="I21">
        <v>4.5774117342330101</v>
      </c>
      <c r="K21" s="1">
        <v>41640</v>
      </c>
      <c r="L21">
        <v>4.6755959267023801</v>
      </c>
      <c r="N21" s="1">
        <v>41640</v>
      </c>
      <c r="O21">
        <v>4.6007318764534197</v>
      </c>
    </row>
    <row r="22" spans="2:15">
      <c r="B22" s="1">
        <v>41609</v>
      </c>
      <c r="C22">
        <v>4.6588449980117002</v>
      </c>
      <c r="D22">
        <f t="shared" si="0"/>
        <v>4.6159903325616201</v>
      </c>
      <c r="E22">
        <v>4.6383795419379501</v>
      </c>
      <c r="F22">
        <v>4.5463808970805299</v>
      </c>
      <c r="H22" s="1">
        <v>41609</v>
      </c>
      <c r="I22">
        <v>4.6159903325616201</v>
      </c>
      <c r="K22" s="1">
        <v>41609</v>
      </c>
      <c r="L22">
        <v>4.6383795419379501</v>
      </c>
      <c r="N22" s="1">
        <v>41609</v>
      </c>
      <c r="O22">
        <v>4.5463808970805299</v>
      </c>
    </row>
    <row r="23" spans="2:15">
      <c r="B23" s="1">
        <v>41579</v>
      </c>
      <c r="C23">
        <v>4.6846957837447203</v>
      </c>
      <c r="D23">
        <f t="shared" si="0"/>
        <v>4.6570270646319702</v>
      </c>
      <c r="E23">
        <v>4.6982473002863196</v>
      </c>
      <c r="F23">
        <v>4.65282595275439</v>
      </c>
      <c r="H23" s="1">
        <v>41579</v>
      </c>
      <c r="I23">
        <v>4.6570270646319702</v>
      </c>
      <c r="K23" s="1">
        <v>41579</v>
      </c>
      <c r="L23">
        <v>4.6982473002863196</v>
      </c>
      <c r="N23" s="1">
        <v>41579</v>
      </c>
      <c r="O23">
        <v>4.65282595275439</v>
      </c>
    </row>
    <row r="24" spans="2:15">
      <c r="B24" s="1">
        <v>41548</v>
      </c>
      <c r="C24">
        <v>4.6106840992703102</v>
      </c>
      <c r="D24">
        <f t="shared" si="0"/>
        <v>4.5747903820444398</v>
      </c>
      <c r="E24">
        <v>4.7155703464598</v>
      </c>
      <c r="F24">
        <v>4.7064056244570196</v>
      </c>
      <c r="H24" s="1">
        <v>41548</v>
      </c>
      <c r="I24">
        <v>4.5747903820444398</v>
      </c>
      <c r="K24" s="1">
        <v>41548</v>
      </c>
      <c r="L24">
        <v>4.7155703464598</v>
      </c>
      <c r="N24" s="1">
        <v>41548</v>
      </c>
      <c r="O24">
        <v>4.7064056244570196</v>
      </c>
    </row>
    <row r="25" spans="2:15">
      <c r="B25" s="1">
        <v>41518</v>
      </c>
      <c r="C25">
        <v>4.3523140316297502</v>
      </c>
      <c r="D25">
        <f t="shared" si="0"/>
        <v>4.3167056292724499</v>
      </c>
      <c r="E25">
        <v>4.6095205967144004</v>
      </c>
      <c r="F25">
        <v>4.5602518039139603</v>
      </c>
      <c r="H25" s="1">
        <v>41518</v>
      </c>
      <c r="I25">
        <v>4.3167056292724499</v>
      </c>
      <c r="K25" s="1">
        <v>41518</v>
      </c>
      <c r="L25">
        <v>4.6095205967144004</v>
      </c>
      <c r="N25" s="1">
        <v>41518</v>
      </c>
      <c r="O25">
        <v>4.5602518039139603</v>
      </c>
    </row>
    <row r="26" spans="2:15">
      <c r="B26" s="1">
        <v>41487</v>
      </c>
      <c r="C26">
        <v>4.0043737390958398</v>
      </c>
      <c r="D26">
        <f t="shared" si="0"/>
        <v>3.9673811689170999</v>
      </c>
      <c r="E26">
        <v>4.2641516129896599</v>
      </c>
      <c r="F26">
        <v>4.2883487507731797</v>
      </c>
      <c r="H26" s="1">
        <v>41487</v>
      </c>
      <c r="I26">
        <v>3.9673811689170999</v>
      </c>
      <c r="K26" s="1">
        <v>41487</v>
      </c>
      <c r="L26">
        <v>4.2641516129896599</v>
      </c>
      <c r="N26" s="1">
        <v>41487</v>
      </c>
      <c r="O26">
        <v>4.2883487507731797</v>
      </c>
    </row>
    <row r="27" spans="2:15">
      <c r="B27" s="1">
        <v>41456</v>
      </c>
      <c r="C27">
        <v>3.8003082962475898</v>
      </c>
      <c r="D27">
        <f t="shared" si="0"/>
        <v>3.7672915360521699</v>
      </c>
      <c r="E27">
        <v>3.9334710099402699</v>
      </c>
      <c r="F27">
        <v>3.90268651541925</v>
      </c>
      <c r="H27" s="1">
        <v>41456</v>
      </c>
      <c r="I27">
        <v>3.7672915360521699</v>
      </c>
      <c r="K27" s="1">
        <v>41456</v>
      </c>
      <c r="L27">
        <v>3.9334710099402699</v>
      </c>
      <c r="N27" s="1">
        <v>41456</v>
      </c>
      <c r="O27">
        <v>3.90268651541925</v>
      </c>
    </row>
    <row r="28" spans="2:15">
      <c r="B28" s="1">
        <v>41426</v>
      </c>
      <c r="C28">
        <v>3.8278388710041402</v>
      </c>
      <c r="D28">
        <f t="shared" si="0"/>
        <v>3.7865299918932398</v>
      </c>
      <c r="E28">
        <v>3.82186500173616</v>
      </c>
      <c r="F28">
        <v>3.7767466082449599</v>
      </c>
      <c r="H28" s="1">
        <v>41426</v>
      </c>
      <c r="I28">
        <v>3.7865299918932398</v>
      </c>
      <c r="K28" s="1">
        <v>41426</v>
      </c>
      <c r="L28">
        <v>3.82186500173616</v>
      </c>
      <c r="N28" s="1">
        <v>41426</v>
      </c>
      <c r="O28">
        <v>3.7767466082449599</v>
      </c>
    </row>
    <row r="29" spans="2:15">
      <c r="B29" s="1">
        <v>41395</v>
      </c>
      <c r="C29">
        <v>3.8791931919463001</v>
      </c>
      <c r="D29">
        <f t="shared" si="0"/>
        <v>3.8287257176732998</v>
      </c>
      <c r="E29">
        <v>3.81978239147305</v>
      </c>
      <c r="F29">
        <v>3.7779372184327999</v>
      </c>
      <c r="H29" s="1">
        <v>41395</v>
      </c>
      <c r="I29">
        <v>3.8287257176732998</v>
      </c>
      <c r="K29" s="1">
        <v>41395</v>
      </c>
      <c r="L29">
        <v>3.81978239147305</v>
      </c>
      <c r="N29" s="1">
        <v>41395</v>
      </c>
      <c r="O29">
        <v>3.7779372184327999</v>
      </c>
    </row>
    <row r="30" spans="2:15">
      <c r="B30" s="1">
        <v>41365</v>
      </c>
      <c r="C30">
        <v>3.8494599652044501</v>
      </c>
      <c r="D30">
        <f t="shared" si="0"/>
        <v>3.80898297570084</v>
      </c>
      <c r="E30">
        <v>3.8429710233131402</v>
      </c>
      <c r="F30">
        <v>3.7591948230671299</v>
      </c>
      <c r="H30" s="1">
        <v>41365</v>
      </c>
      <c r="I30">
        <v>3.80898297570084</v>
      </c>
      <c r="K30" s="1">
        <v>41365</v>
      </c>
      <c r="L30">
        <v>3.8429710233131402</v>
      </c>
      <c r="N30" s="1">
        <v>41365</v>
      </c>
      <c r="O30">
        <v>3.7591948230671299</v>
      </c>
    </row>
    <row r="31" spans="2:15">
      <c r="B31" s="1">
        <v>41334</v>
      </c>
      <c r="C31">
        <v>3.7542080107757601</v>
      </c>
      <c r="D31">
        <f t="shared" si="0"/>
        <v>3.6985225172464</v>
      </c>
      <c r="E31">
        <v>3.7389995759385299</v>
      </c>
      <c r="F31">
        <v>3.6801573391545799</v>
      </c>
      <c r="H31" s="1">
        <v>41334</v>
      </c>
      <c r="I31">
        <v>3.6985225172464</v>
      </c>
      <c r="K31" s="1">
        <v>41334</v>
      </c>
      <c r="L31">
        <v>3.7389995759385299</v>
      </c>
      <c r="N31" s="1">
        <v>41334</v>
      </c>
      <c r="O31">
        <v>3.6801573391545799</v>
      </c>
    </row>
    <row r="32" spans="2:15">
      <c r="B32" s="1">
        <v>41306</v>
      </c>
      <c r="C32">
        <v>3.6861640503009698</v>
      </c>
      <c r="D32">
        <f t="shared" si="0"/>
        <v>3.6186085375755299</v>
      </c>
      <c r="E32">
        <v>3.6293389825453901</v>
      </c>
      <c r="F32">
        <v>3.5852881060673698</v>
      </c>
      <c r="H32" s="1">
        <v>41306</v>
      </c>
      <c r="I32">
        <v>3.6186085375755299</v>
      </c>
      <c r="K32" s="1">
        <v>41306</v>
      </c>
      <c r="L32">
        <v>3.6293389825453901</v>
      </c>
      <c r="N32" s="1">
        <v>41306</v>
      </c>
      <c r="O32">
        <v>3.5852881060673698</v>
      </c>
    </row>
    <row r="33" spans="2:15">
      <c r="B33" s="1">
        <v>41275</v>
      </c>
      <c r="C33">
        <v>3.7513119292196699</v>
      </c>
      <c r="D33">
        <f t="shared" si="0"/>
        <v>3.6797173850783902</v>
      </c>
      <c r="E33">
        <v>3.60652868740865</v>
      </c>
      <c r="F33">
        <v>3.5687441139760199</v>
      </c>
      <c r="H33" s="1">
        <v>41275</v>
      </c>
      <c r="I33">
        <v>3.6797173850783902</v>
      </c>
      <c r="K33" s="1">
        <v>41275</v>
      </c>
      <c r="L33">
        <v>3.60652868740865</v>
      </c>
      <c r="N33" s="1">
        <v>41275</v>
      </c>
      <c r="O33">
        <v>3.5687441139760199</v>
      </c>
    </row>
    <row r="34" spans="2:15">
      <c r="B34" s="1">
        <v>41244</v>
      </c>
      <c r="C34">
        <v>3.80444295888379</v>
      </c>
      <c r="D34">
        <f t="shared" si="0"/>
        <v>3.7385934204500302</v>
      </c>
      <c r="E34">
        <v>3.6768684830954399</v>
      </c>
      <c r="F34">
        <v>3.5837812180153299</v>
      </c>
      <c r="H34" s="1">
        <v>41244</v>
      </c>
      <c r="I34">
        <v>3.7385934204500302</v>
      </c>
      <c r="K34" s="1">
        <v>41244</v>
      </c>
      <c r="L34">
        <v>3.6768684830954399</v>
      </c>
      <c r="N34" s="1">
        <v>41244</v>
      </c>
      <c r="O34">
        <v>3.5837812180153299</v>
      </c>
    </row>
    <row r="35" spans="2:15">
      <c r="B35" s="1">
        <v>41214</v>
      </c>
      <c r="C35">
        <v>3.8501827719942798</v>
      </c>
      <c r="D35">
        <f t="shared" si="0"/>
        <v>3.7950682875441202</v>
      </c>
      <c r="E35">
        <v>3.71432751533747</v>
      </c>
      <c r="F35">
        <v>3.6505486748299498</v>
      </c>
      <c r="H35" s="1">
        <v>41214</v>
      </c>
      <c r="I35">
        <v>3.7950682875441202</v>
      </c>
      <c r="K35" s="1">
        <v>41214</v>
      </c>
      <c r="L35">
        <v>3.71432751533747</v>
      </c>
      <c r="N35" s="1">
        <v>41214</v>
      </c>
      <c r="O35">
        <v>3.6505486748299498</v>
      </c>
    </row>
    <row r="36" spans="2:15">
      <c r="B36" s="1">
        <v>41183</v>
      </c>
      <c r="C36">
        <v>3.8851657961328798</v>
      </c>
      <c r="D36">
        <f t="shared" si="0"/>
        <v>3.8403205772992299</v>
      </c>
      <c r="E36">
        <v>3.7872982356612201</v>
      </c>
      <c r="F36">
        <v>3.7494706301335499</v>
      </c>
      <c r="H36" s="1">
        <v>41183</v>
      </c>
      <c r="I36">
        <v>3.8403205772992299</v>
      </c>
      <c r="K36" s="1">
        <v>41183</v>
      </c>
      <c r="L36">
        <v>3.7872982356612201</v>
      </c>
      <c r="N36" s="1">
        <v>41183</v>
      </c>
      <c r="O36">
        <v>3.7494706301335499</v>
      </c>
    </row>
    <row r="37" spans="2:15">
      <c r="B37" s="1">
        <v>41153</v>
      </c>
      <c r="C37">
        <v>3.9330528569231999</v>
      </c>
      <c r="D37">
        <f t="shared" si="0"/>
        <v>3.8665690402128798</v>
      </c>
      <c r="E37">
        <v>3.8128262922832201</v>
      </c>
      <c r="F37">
        <v>3.8760821477017999</v>
      </c>
      <c r="H37" s="1">
        <v>41153</v>
      </c>
      <c r="I37">
        <v>3.8665690402128798</v>
      </c>
      <c r="K37" s="1">
        <v>41153</v>
      </c>
      <c r="L37">
        <v>3.8128262922832201</v>
      </c>
      <c r="N37" s="1">
        <v>41153</v>
      </c>
      <c r="O37">
        <v>3.8760821477017999</v>
      </c>
    </row>
    <row r="38" spans="2:15">
      <c r="B38" s="1">
        <v>41122</v>
      </c>
      <c r="C38">
        <v>4.0639813086545002</v>
      </c>
      <c r="D38">
        <f t="shared" si="0"/>
        <v>3.9919398022390098</v>
      </c>
      <c r="E38">
        <v>3.88795466671889</v>
      </c>
      <c r="F38">
        <v>3.85472764792148</v>
      </c>
      <c r="H38" s="1">
        <v>41122</v>
      </c>
      <c r="I38">
        <v>3.9919398022390098</v>
      </c>
      <c r="K38" s="1">
        <v>41122</v>
      </c>
      <c r="L38">
        <v>3.88795466671889</v>
      </c>
      <c r="N38" s="1">
        <v>41122</v>
      </c>
      <c r="O38">
        <v>3.85472764792148</v>
      </c>
    </row>
    <row r="39" spans="2:15">
      <c r="B39" s="1">
        <v>41091</v>
      </c>
      <c r="C39">
        <v>4.1536279665880196</v>
      </c>
      <c r="D39">
        <f t="shared" si="0"/>
        <v>4.1014170454803196</v>
      </c>
      <c r="E39">
        <v>3.9706097113700798</v>
      </c>
      <c r="F39">
        <v>3.98362585842998</v>
      </c>
      <c r="H39" s="1">
        <v>41091</v>
      </c>
      <c r="I39">
        <v>4.1014170454803196</v>
      </c>
      <c r="K39" s="1">
        <v>41091</v>
      </c>
      <c r="L39">
        <v>3.9706097113700798</v>
      </c>
      <c r="N39" s="1">
        <v>41091</v>
      </c>
      <c r="O39">
        <v>3.98362585842998</v>
      </c>
    </row>
    <row r="40" spans="2:15">
      <c r="B40" s="1">
        <v>41061</v>
      </c>
      <c r="C40">
        <v>4.3387699009056302</v>
      </c>
      <c r="D40">
        <f t="shared" si="0"/>
        <v>4.2829572413878898</v>
      </c>
      <c r="E40">
        <v>4.10031311664281</v>
      </c>
      <c r="F40">
        <v>4.0947481203161002</v>
      </c>
      <c r="H40" s="1">
        <v>41061</v>
      </c>
      <c r="I40">
        <v>4.2829572413878898</v>
      </c>
      <c r="K40" s="1">
        <v>41061</v>
      </c>
      <c r="L40">
        <v>4.10031311664281</v>
      </c>
      <c r="N40" s="1">
        <v>41061</v>
      </c>
      <c r="O40">
        <v>4.0947481203161002</v>
      </c>
    </row>
    <row r="41" spans="2:15">
      <c r="B41" s="1">
        <v>41030</v>
      </c>
      <c r="C41">
        <v>4.2229502227827602</v>
      </c>
      <c r="D41">
        <f t="shared" si="0"/>
        <v>4.15505478401335</v>
      </c>
      <c r="E41">
        <v>4.2025156700185899</v>
      </c>
      <c r="F41">
        <v>4.2796143873128401</v>
      </c>
      <c r="H41" s="1">
        <v>41030</v>
      </c>
      <c r="I41">
        <v>4.15505478401335</v>
      </c>
      <c r="K41" s="1">
        <v>41030</v>
      </c>
      <c r="L41">
        <v>4.2025156700185899</v>
      </c>
      <c r="N41" s="1">
        <v>41030</v>
      </c>
      <c r="O41">
        <v>4.2796143873128401</v>
      </c>
    </row>
    <row r="42" spans="2:15">
      <c r="B42" s="1">
        <v>41000</v>
      </c>
      <c r="C42">
        <v>4.2271606127902999</v>
      </c>
      <c r="D42">
        <f t="shared" si="0"/>
        <v>4.1678805048693901</v>
      </c>
      <c r="E42">
        <v>4.0709572620455798</v>
      </c>
      <c r="F42">
        <v>4.0682102269739699</v>
      </c>
      <c r="H42" s="1">
        <v>41000</v>
      </c>
      <c r="I42">
        <v>4.1678805048693901</v>
      </c>
      <c r="K42" s="1">
        <v>41000</v>
      </c>
      <c r="L42">
        <v>4.0709572620455798</v>
      </c>
      <c r="N42" s="1">
        <v>41000</v>
      </c>
      <c r="O42">
        <v>4.0682102269739699</v>
      </c>
    </row>
    <row r="43" spans="2:15">
      <c r="B43" s="1">
        <v>40969</v>
      </c>
      <c r="C43">
        <v>4.2259777566405896</v>
      </c>
      <c r="D43">
        <f t="shared" si="0"/>
        <v>4.1742321630217001</v>
      </c>
      <c r="E43">
        <v>4.1277531381253496</v>
      </c>
      <c r="F43">
        <v>4.07214636966249</v>
      </c>
      <c r="H43" s="1">
        <v>40969</v>
      </c>
      <c r="I43">
        <v>4.1742321630217001</v>
      </c>
      <c r="K43" s="1">
        <v>40969</v>
      </c>
      <c r="L43">
        <v>4.1277531381253496</v>
      </c>
      <c r="N43" s="1">
        <v>40969</v>
      </c>
      <c r="O43">
        <v>4.07214636966249</v>
      </c>
    </row>
    <row r="44" spans="2:15">
      <c r="B44" s="1">
        <v>40940</v>
      </c>
      <c r="C44">
        <v>4.3133330547542599</v>
      </c>
      <c r="D44">
        <f t="shared" si="0"/>
        <v>4.2527360003204597</v>
      </c>
      <c r="E44">
        <v>4.1946394872099999</v>
      </c>
      <c r="F44">
        <v>4.1455149413064101</v>
      </c>
      <c r="H44" s="1">
        <v>40940</v>
      </c>
      <c r="I44">
        <v>4.2527360003204597</v>
      </c>
      <c r="K44" s="1">
        <v>40940</v>
      </c>
      <c r="L44">
        <v>4.1946394872099999</v>
      </c>
      <c r="N44" s="1">
        <v>40940</v>
      </c>
      <c r="O44">
        <v>4.1455149413064101</v>
      </c>
    </row>
    <row r="45" spans="2:15">
      <c r="B45" s="1">
        <v>40909</v>
      </c>
      <c r="C45">
        <v>4.3769175709635002</v>
      </c>
      <c r="D45">
        <f t="shared" si="0"/>
        <v>4.3182452806410199</v>
      </c>
      <c r="E45">
        <v>4.2740728228456701</v>
      </c>
      <c r="F45">
        <v>4.2075990245705999</v>
      </c>
      <c r="H45" s="1">
        <v>40909</v>
      </c>
      <c r="I45">
        <v>4.3182452806410199</v>
      </c>
      <c r="K45" s="1">
        <v>40909</v>
      </c>
      <c r="L45">
        <v>4.2740728228456701</v>
      </c>
      <c r="N45" s="1">
        <v>40909</v>
      </c>
      <c r="O45">
        <v>4.2075990245705999</v>
      </c>
    </row>
    <row r="46" spans="2:15">
      <c r="B46" s="1">
        <v>40878</v>
      </c>
      <c r="C46">
        <v>4.3733129301055103</v>
      </c>
      <c r="D46">
        <f t="shared" si="0"/>
        <v>4.2980884319401298</v>
      </c>
      <c r="E46">
        <v>4.2951635317798003</v>
      </c>
      <c r="F46">
        <v>4.3401437482857403</v>
      </c>
      <c r="H46" s="1">
        <v>40878</v>
      </c>
      <c r="I46">
        <v>4.2980884319401298</v>
      </c>
      <c r="K46" s="1">
        <v>40878</v>
      </c>
      <c r="L46">
        <v>4.2951635317798003</v>
      </c>
      <c r="N46" s="1">
        <v>40878</v>
      </c>
      <c r="O46">
        <v>4.3401437482857403</v>
      </c>
    </row>
    <row r="47" spans="2:15">
      <c r="B47" s="1">
        <v>40848</v>
      </c>
      <c r="C47">
        <v>4.49863074972835</v>
      </c>
      <c r="D47">
        <f t="shared" si="0"/>
        <v>4.4535438389345403</v>
      </c>
      <c r="E47">
        <v>4.3412260741863502</v>
      </c>
      <c r="F47">
        <v>4.2783291143147499</v>
      </c>
      <c r="H47" s="1">
        <v>40848</v>
      </c>
      <c r="I47">
        <v>4.4535438389345403</v>
      </c>
      <c r="K47" s="1">
        <v>40848</v>
      </c>
      <c r="L47">
        <v>4.3412260741863502</v>
      </c>
      <c r="N47" s="1">
        <v>40848</v>
      </c>
      <c r="O47">
        <v>4.2783291143147499</v>
      </c>
    </row>
    <row r="48" spans="2:15">
      <c r="B48" s="1">
        <v>40817</v>
      </c>
      <c r="C48">
        <v>4.6482474059449297</v>
      </c>
      <c r="D48">
        <f t="shared" si="0"/>
        <v>4.5998178294144099</v>
      </c>
      <c r="E48">
        <v>4.4920919567592597</v>
      </c>
      <c r="F48">
        <v>4.3968751943773503</v>
      </c>
      <c r="H48" s="1">
        <v>40817</v>
      </c>
      <c r="I48">
        <v>4.5998178294144099</v>
      </c>
      <c r="K48" s="1">
        <v>40817</v>
      </c>
      <c r="L48">
        <v>4.4920919567592597</v>
      </c>
      <c r="N48" s="1">
        <v>40817</v>
      </c>
      <c r="O48">
        <v>4.3968751943773503</v>
      </c>
    </row>
    <row r="49" spans="2:15">
      <c r="B49" s="1">
        <v>40787</v>
      </c>
      <c r="C49">
        <v>4.8457829696568897</v>
      </c>
      <c r="D49">
        <f t="shared" si="0"/>
        <v>4.80805911750367</v>
      </c>
      <c r="E49">
        <v>4.7662452241961404</v>
      </c>
      <c r="F49">
        <v>4.6257390566703904</v>
      </c>
      <c r="H49" s="1">
        <v>40787</v>
      </c>
      <c r="I49">
        <v>4.80805911750367</v>
      </c>
      <c r="K49" s="1">
        <v>40787</v>
      </c>
      <c r="L49">
        <v>4.7662452241961404</v>
      </c>
      <c r="N49" s="1">
        <v>40787</v>
      </c>
      <c r="O49">
        <v>4.6257390566703904</v>
      </c>
    </row>
    <row r="50" spans="2:15">
      <c r="B50" s="1">
        <v>40756</v>
      </c>
      <c r="C50">
        <v>4.9628793120647998</v>
      </c>
      <c r="D50">
        <f t="shared" si="0"/>
        <v>4.9339438820339403</v>
      </c>
      <c r="E50">
        <v>4.8589903815148503</v>
      </c>
      <c r="F50">
        <v>4.7814255284886604</v>
      </c>
      <c r="H50" s="1">
        <v>40756</v>
      </c>
      <c r="I50">
        <v>4.9339438820339403</v>
      </c>
      <c r="K50" s="1">
        <v>40756</v>
      </c>
      <c r="L50">
        <v>4.8589903815148503</v>
      </c>
      <c r="N50" s="1">
        <v>40756</v>
      </c>
      <c r="O50">
        <v>4.7814255284886604</v>
      </c>
    </row>
    <row r="51" spans="2:15">
      <c r="B51" s="1">
        <v>40725</v>
      </c>
      <c r="C51">
        <v>4.9978427568114103</v>
      </c>
      <c r="D51">
        <f t="shared" si="0"/>
        <v>4.9715531535799</v>
      </c>
      <c r="E51">
        <v>5.0325095152394699</v>
      </c>
      <c r="F51">
        <v>4.8597580147180901</v>
      </c>
      <c r="H51" s="1">
        <v>40725</v>
      </c>
      <c r="I51">
        <v>4.9715531535799</v>
      </c>
      <c r="K51" s="1">
        <v>40725</v>
      </c>
      <c r="L51">
        <v>5.0325095152394699</v>
      </c>
      <c r="N51" s="1">
        <v>40725</v>
      </c>
      <c r="O51">
        <v>4.8597580147180901</v>
      </c>
    </row>
    <row r="52" spans="2:15">
      <c r="B52" s="1">
        <v>40695</v>
      </c>
      <c r="C52">
        <v>5.1442998979530499</v>
      </c>
      <c r="D52">
        <f t="shared" si="0"/>
        <v>5.1138951251471401</v>
      </c>
      <c r="E52">
        <v>5.22435639158632</v>
      </c>
      <c r="F52">
        <v>5.0026352109087302</v>
      </c>
      <c r="H52" s="1">
        <v>40695</v>
      </c>
      <c r="I52">
        <v>5.1138951251471401</v>
      </c>
      <c r="K52" s="1">
        <v>40695</v>
      </c>
      <c r="L52">
        <v>5.22435639158632</v>
      </c>
      <c r="N52" s="1">
        <v>40695</v>
      </c>
      <c r="O52">
        <v>5.0026352109087302</v>
      </c>
    </row>
    <row r="53" spans="2:15">
      <c r="B53" s="1">
        <v>40664</v>
      </c>
      <c r="C53">
        <v>5.1382030398690501</v>
      </c>
      <c r="D53">
        <f t="shared" si="0"/>
        <v>5.1055466232812101</v>
      </c>
      <c r="E53">
        <v>5.2102638630155802</v>
      </c>
      <c r="F53">
        <v>5.0406873569878901</v>
      </c>
      <c r="H53" s="1">
        <v>40664</v>
      </c>
      <c r="I53">
        <v>5.1055466232812101</v>
      </c>
      <c r="K53" s="1">
        <v>40664</v>
      </c>
      <c r="L53">
        <v>5.2102638630155802</v>
      </c>
      <c r="N53" s="1">
        <v>40664</v>
      </c>
      <c r="O53">
        <v>5.0406873569878901</v>
      </c>
    </row>
    <row r="54" spans="2:15">
      <c r="B54" s="1">
        <v>40634</v>
      </c>
      <c r="C54">
        <v>5.0728286303908297</v>
      </c>
      <c r="D54">
        <f t="shared" si="0"/>
        <v>5.03076127105673</v>
      </c>
      <c r="E54">
        <v>5.2247431483995603</v>
      </c>
      <c r="F54">
        <v>4.9801234731501598</v>
      </c>
      <c r="H54" s="1">
        <v>40634</v>
      </c>
      <c r="I54">
        <v>5.03076127105673</v>
      </c>
      <c r="K54" s="1">
        <v>40634</v>
      </c>
      <c r="L54">
        <v>5.2247431483995603</v>
      </c>
      <c r="N54" s="1">
        <v>40634</v>
      </c>
      <c r="O54">
        <v>4.9801234731501598</v>
      </c>
    </row>
    <row r="55" spans="2:15">
      <c r="B55" s="1">
        <v>40603</v>
      </c>
      <c r="C55">
        <v>4.88955403929429</v>
      </c>
      <c r="D55">
        <f t="shared" si="0"/>
        <v>4.8427155622755702</v>
      </c>
      <c r="E55">
        <v>5.1723055613769597</v>
      </c>
      <c r="F55">
        <v>4.9567526335930001</v>
      </c>
      <c r="H55" s="1">
        <v>40603</v>
      </c>
      <c r="I55">
        <v>4.8427155622755702</v>
      </c>
      <c r="K55" s="1">
        <v>40603</v>
      </c>
      <c r="L55">
        <v>5.1723055613769597</v>
      </c>
      <c r="N55" s="1">
        <v>40603</v>
      </c>
      <c r="O55">
        <v>4.9567526335930001</v>
      </c>
    </row>
    <row r="56" spans="2:15">
      <c r="B56" s="1">
        <v>40575</v>
      </c>
      <c r="C56">
        <v>4.6452323968705498</v>
      </c>
      <c r="D56">
        <f t="shared" si="0"/>
        <v>4.6082110829618896</v>
      </c>
      <c r="E56">
        <v>4.8696775108855297</v>
      </c>
      <c r="F56">
        <v>4.65535676940216</v>
      </c>
      <c r="H56" s="1">
        <v>40575</v>
      </c>
      <c r="I56">
        <v>4.6082110829618896</v>
      </c>
      <c r="K56" s="1">
        <v>40575</v>
      </c>
      <c r="L56">
        <v>4.8696775108855297</v>
      </c>
      <c r="N56" s="1">
        <v>40575</v>
      </c>
      <c r="O56">
        <v>4.65535676940216</v>
      </c>
    </row>
    <row r="57" spans="2:15">
      <c r="B57" s="1">
        <v>40544</v>
      </c>
      <c r="C57">
        <v>4.5071047101001298</v>
      </c>
      <c r="D57">
        <f t="shared" si="0"/>
        <v>4.4772434565145902</v>
      </c>
      <c r="E57">
        <v>4.6708414040887103</v>
      </c>
      <c r="F57">
        <v>4.4859551835159204</v>
      </c>
      <c r="H57" s="1">
        <v>40544</v>
      </c>
      <c r="I57">
        <v>4.4772434565145902</v>
      </c>
      <c r="K57" s="1">
        <v>40544</v>
      </c>
      <c r="L57">
        <v>4.6708414040887103</v>
      </c>
      <c r="N57" s="1">
        <v>40544</v>
      </c>
      <c r="O57">
        <v>4.4859551835159204</v>
      </c>
    </row>
    <row r="58" spans="2:15">
      <c r="B58" s="1">
        <v>40513</v>
      </c>
      <c r="C58">
        <v>4.5270813638841298</v>
      </c>
      <c r="D58">
        <f t="shared" si="0"/>
        <v>4.4836818182952696</v>
      </c>
      <c r="E58">
        <v>4.5042392639268902</v>
      </c>
      <c r="F58">
        <v>4.4340825724026098</v>
      </c>
      <c r="H58" s="1">
        <v>40513</v>
      </c>
      <c r="I58">
        <v>4.4836818182952696</v>
      </c>
      <c r="K58" s="1">
        <v>40513</v>
      </c>
      <c r="L58">
        <v>4.5042392639268902</v>
      </c>
      <c r="N58" s="1">
        <v>40513</v>
      </c>
      <c r="O58">
        <v>4.4340825724026098</v>
      </c>
    </row>
    <row r="59" spans="2:15">
      <c r="B59" s="1">
        <v>40483</v>
      </c>
      <c r="C59">
        <v>4.6529607514989202</v>
      </c>
      <c r="D59">
        <f t="shared" si="0"/>
        <v>4.6105618860953896</v>
      </c>
      <c r="E59">
        <v>4.5558395663825104</v>
      </c>
      <c r="F59">
        <v>4.4798495771048303</v>
      </c>
      <c r="H59" s="1">
        <v>40483</v>
      </c>
      <c r="I59">
        <v>4.6105618860953896</v>
      </c>
      <c r="K59" s="1">
        <v>40483</v>
      </c>
      <c r="L59">
        <v>4.5558395663825104</v>
      </c>
      <c r="N59" s="1">
        <v>40483</v>
      </c>
      <c r="O59">
        <v>4.4798495771048303</v>
      </c>
    </row>
    <row r="60" spans="2:15">
      <c r="B60" s="1">
        <v>40452</v>
      </c>
      <c r="C60">
        <v>4.7149745189416699</v>
      </c>
      <c r="D60">
        <f t="shared" si="0"/>
        <v>4.6831524545941798</v>
      </c>
      <c r="E60">
        <v>4.6160106139684798</v>
      </c>
      <c r="F60">
        <v>4.5474435543433396</v>
      </c>
      <c r="H60" s="1">
        <v>40452</v>
      </c>
      <c r="I60">
        <v>4.6831524545941798</v>
      </c>
      <c r="K60" s="1">
        <v>40452</v>
      </c>
      <c r="L60">
        <v>4.6160106139684798</v>
      </c>
      <c r="N60" s="1">
        <v>40452</v>
      </c>
      <c r="O60">
        <v>4.5474435543433396</v>
      </c>
    </row>
    <row r="61" spans="2:15">
      <c r="B61" s="1">
        <v>40422</v>
      </c>
      <c r="C61">
        <v>4.84186038524712</v>
      </c>
      <c r="D61">
        <f t="shared" si="0"/>
        <v>4.8019133710060302</v>
      </c>
      <c r="E61">
        <v>4.7535573276105101</v>
      </c>
      <c r="F61">
        <v>4.6572464339789796</v>
      </c>
      <c r="H61" s="1">
        <v>40422</v>
      </c>
      <c r="I61">
        <v>4.8019133710060302</v>
      </c>
      <c r="K61" s="1">
        <v>40422</v>
      </c>
      <c r="L61">
        <v>4.7535573276105101</v>
      </c>
      <c r="N61" s="1">
        <v>40422</v>
      </c>
      <c r="O61">
        <v>4.6572464339789796</v>
      </c>
    </row>
    <row r="62" spans="2:15">
      <c r="B62" s="1">
        <v>40391</v>
      </c>
      <c r="C62">
        <v>5.0047223685494</v>
      </c>
      <c r="D62">
        <f t="shared" si="0"/>
        <v>4.9602286395489399</v>
      </c>
      <c r="E62">
        <v>4.9660772036167202</v>
      </c>
      <c r="F62">
        <v>4.8270181400290904</v>
      </c>
      <c r="H62" s="1">
        <v>40391</v>
      </c>
      <c r="I62">
        <v>4.9602286395489399</v>
      </c>
      <c r="K62" s="1">
        <v>40391</v>
      </c>
      <c r="L62">
        <v>4.9660772036167202</v>
      </c>
      <c r="N62" s="1">
        <v>40391</v>
      </c>
      <c r="O62">
        <v>4.8270181400290904</v>
      </c>
    </row>
    <row r="63" spans="2:15">
      <c r="B63" s="1">
        <v>40360</v>
      </c>
      <c r="C63">
        <v>5.1519638197333997</v>
      </c>
      <c r="D63">
        <f t="shared" si="0"/>
        <v>5.1103941231036103</v>
      </c>
      <c r="E63">
        <v>5.2389251135228498</v>
      </c>
      <c r="F63">
        <v>5.0538033345178297</v>
      </c>
      <c r="H63" s="1">
        <v>40360</v>
      </c>
      <c r="I63">
        <v>5.1103941231036103</v>
      </c>
      <c r="K63" s="1">
        <v>40360</v>
      </c>
      <c r="L63">
        <v>5.2389251135228498</v>
      </c>
      <c r="N63" s="1">
        <v>40360</v>
      </c>
      <c r="O63">
        <v>5.0538033345178297</v>
      </c>
    </row>
    <row r="64" spans="2:15">
      <c r="B64" s="1">
        <v>40330</v>
      </c>
      <c r="C64">
        <v>5.2225869542716303</v>
      </c>
      <c r="D64">
        <f t="shared" si="0"/>
        <v>5.1917802782592597</v>
      </c>
      <c r="E64">
        <v>5.3579171524626998</v>
      </c>
      <c r="F64">
        <v>5.2267715901211096</v>
      </c>
      <c r="H64" s="1">
        <v>40330</v>
      </c>
      <c r="I64">
        <v>5.1917802782592597</v>
      </c>
      <c r="K64" s="1">
        <v>40330</v>
      </c>
      <c r="L64">
        <v>5.3579171524626998</v>
      </c>
      <c r="N64" s="1">
        <v>40330</v>
      </c>
      <c r="O64">
        <v>5.2267715901211096</v>
      </c>
    </row>
    <row r="65" spans="2:15">
      <c r="B65" s="1">
        <v>40299</v>
      </c>
      <c r="C65">
        <v>5.2006432603080404</v>
      </c>
      <c r="D65">
        <f t="shared" si="0"/>
        <v>5.1746622463618497</v>
      </c>
      <c r="E65">
        <v>5.3653739858383602</v>
      </c>
      <c r="F65">
        <v>5.15850767587429</v>
      </c>
      <c r="H65" s="1">
        <v>40299</v>
      </c>
      <c r="I65">
        <v>5.1746622463618497</v>
      </c>
      <c r="K65" s="1">
        <v>40299</v>
      </c>
      <c r="L65">
        <v>5.3653739858383602</v>
      </c>
      <c r="N65" s="1">
        <v>40299</v>
      </c>
      <c r="O65">
        <v>5.15850767587429</v>
      </c>
    </row>
    <row r="66" spans="2:15">
      <c r="B66" s="1">
        <v>40269</v>
      </c>
      <c r="C66">
        <v>5.1613985261298101</v>
      </c>
      <c r="D66">
        <f t="shared" si="0"/>
        <v>5.1372119652002199</v>
      </c>
      <c r="E66">
        <v>5.31932796058324</v>
      </c>
      <c r="F66">
        <v>5.13746875669095</v>
      </c>
      <c r="H66" s="1">
        <v>40269</v>
      </c>
      <c r="I66">
        <v>5.1372119652002199</v>
      </c>
      <c r="K66" s="1">
        <v>40269</v>
      </c>
      <c r="L66">
        <v>5.31932796058324</v>
      </c>
      <c r="N66" s="1">
        <v>40269</v>
      </c>
      <c r="O66">
        <v>5.13746875669095</v>
      </c>
    </row>
    <row r="67" spans="2:15">
      <c r="B67" s="1">
        <v>40238</v>
      </c>
      <c r="C67">
        <v>5.1557443046582696</v>
      </c>
      <c r="D67">
        <f t="shared" si="0"/>
        <v>5.1289000010956096</v>
      </c>
      <c r="E67">
        <v>5.3031779431844699</v>
      </c>
      <c r="F67">
        <v>5.1142810293946397</v>
      </c>
      <c r="H67" s="1">
        <v>40238</v>
      </c>
      <c r="I67">
        <v>5.1289000010956096</v>
      </c>
      <c r="K67" s="1">
        <v>40238</v>
      </c>
      <c r="L67">
        <v>5.3031779431844699</v>
      </c>
      <c r="N67" s="1">
        <v>40238</v>
      </c>
      <c r="O67">
        <v>5.1142810293946397</v>
      </c>
    </row>
    <row r="68" spans="2:15">
      <c r="B68" s="1">
        <v>40210</v>
      </c>
      <c r="C68">
        <v>5.0964886494886397</v>
      </c>
      <c r="D68">
        <f t="shared" si="0"/>
        <v>5.0633686726209399</v>
      </c>
      <c r="E68">
        <v>5.23361177748433</v>
      </c>
      <c r="F68">
        <v>5.0493664962935796</v>
      </c>
      <c r="H68" s="1">
        <v>40210</v>
      </c>
      <c r="I68">
        <v>5.0633686726209399</v>
      </c>
      <c r="K68" s="1">
        <v>40210</v>
      </c>
      <c r="L68">
        <v>5.23361177748433</v>
      </c>
      <c r="N68" s="1">
        <v>40210</v>
      </c>
      <c r="O68">
        <v>5.0493664962935796</v>
      </c>
    </row>
    <row r="69" spans="2:15">
      <c r="B69" s="1">
        <v>40179</v>
      </c>
      <c r="C69">
        <v>5.1208530798412299</v>
      </c>
      <c r="D69">
        <f t="shared" ref="D69:D129" si="1">VLOOKUP(B69,H69:I194,2,0)</f>
        <v>5.0785246723953197</v>
      </c>
      <c r="E69">
        <v>5.2044903926043498</v>
      </c>
      <c r="F69">
        <v>5.0405626466946698</v>
      </c>
      <c r="H69" s="1">
        <v>40179</v>
      </c>
      <c r="I69">
        <v>5.0785246723953197</v>
      </c>
      <c r="K69" s="1">
        <v>40179</v>
      </c>
      <c r="L69">
        <v>5.2044903926043498</v>
      </c>
      <c r="N69" s="1">
        <v>40179</v>
      </c>
      <c r="O69">
        <v>5.0405626466946698</v>
      </c>
    </row>
    <row r="70" spans="2:15">
      <c r="B70" s="1">
        <v>40148</v>
      </c>
      <c r="C70">
        <v>5.12567337011121</v>
      </c>
      <c r="D70">
        <f t="shared" si="1"/>
        <v>5.0878942542684102</v>
      </c>
      <c r="E70">
        <v>5.2144125223937596</v>
      </c>
      <c r="F70">
        <v>5.0610229197224301</v>
      </c>
      <c r="H70" s="1">
        <v>40148</v>
      </c>
      <c r="I70">
        <v>5.0878942542684102</v>
      </c>
      <c r="K70" s="1">
        <v>40148</v>
      </c>
      <c r="L70">
        <v>5.2144125223937596</v>
      </c>
      <c r="N70" s="1">
        <v>40148</v>
      </c>
      <c r="O70">
        <v>5.0610229197224301</v>
      </c>
    </row>
    <row r="71" spans="2:15">
      <c r="B71" s="1">
        <v>40118</v>
      </c>
      <c r="C71">
        <v>5.1775412746884601</v>
      </c>
      <c r="D71">
        <f t="shared" si="1"/>
        <v>5.1391147583544399</v>
      </c>
      <c r="E71">
        <v>5.21949356054796</v>
      </c>
      <c r="F71">
        <v>5.1151153297150502</v>
      </c>
      <c r="H71" s="1">
        <v>40118</v>
      </c>
      <c r="I71">
        <v>5.1391147583544399</v>
      </c>
      <c r="K71" s="1">
        <v>40118</v>
      </c>
      <c r="L71">
        <v>5.21949356054796</v>
      </c>
      <c r="N71" s="1">
        <v>40118</v>
      </c>
      <c r="O71">
        <v>5.1151153297150502</v>
      </c>
    </row>
    <row r="72" spans="2:15">
      <c r="B72" s="1">
        <v>40087</v>
      </c>
      <c r="C72">
        <v>5.1364082034284504</v>
      </c>
      <c r="D72">
        <f t="shared" si="1"/>
        <v>5.0916689913954896</v>
      </c>
      <c r="E72">
        <v>5.3314211759409798</v>
      </c>
      <c r="F72">
        <v>5.2190653494945396</v>
      </c>
      <c r="H72" s="1">
        <v>40087</v>
      </c>
      <c r="I72">
        <v>5.0916689913954896</v>
      </c>
      <c r="K72" s="1">
        <v>40087</v>
      </c>
      <c r="L72">
        <v>5.3314211759409798</v>
      </c>
      <c r="N72" s="1">
        <v>40087</v>
      </c>
      <c r="O72">
        <v>5.2190653494945396</v>
      </c>
    </row>
    <row r="73" spans="2:15">
      <c r="B73" s="1">
        <v>40057</v>
      </c>
      <c r="C73">
        <v>5.1442481007163003</v>
      </c>
      <c r="D73">
        <f t="shared" si="1"/>
        <v>5.0887343744868803</v>
      </c>
      <c r="E73">
        <v>5.4997579357257997</v>
      </c>
      <c r="F73">
        <v>5.50591977260809</v>
      </c>
      <c r="H73" s="1">
        <v>40057</v>
      </c>
      <c r="I73">
        <v>5.0887343744868803</v>
      </c>
      <c r="K73" s="1">
        <v>40057</v>
      </c>
      <c r="L73">
        <v>5.4997579357257997</v>
      </c>
      <c r="N73" s="1">
        <v>40057</v>
      </c>
      <c r="O73">
        <v>5.50591977260809</v>
      </c>
    </row>
    <row r="74" spans="2:15">
      <c r="B74" s="1">
        <v>40026</v>
      </c>
      <c r="C74">
        <v>4.9592367490233302</v>
      </c>
      <c r="D74">
        <f t="shared" si="1"/>
        <v>4.9225020689237597</v>
      </c>
      <c r="E74">
        <v>5.2238117446493302</v>
      </c>
      <c r="F74">
        <v>5.09525266825566</v>
      </c>
      <c r="H74" s="1">
        <v>40026</v>
      </c>
      <c r="I74">
        <v>4.9225020689237597</v>
      </c>
      <c r="K74" s="1">
        <v>40026</v>
      </c>
      <c r="L74">
        <v>5.2238117446493302</v>
      </c>
      <c r="N74" s="1">
        <v>40026</v>
      </c>
      <c r="O74">
        <v>5.09525266825566</v>
      </c>
    </row>
    <row r="75" spans="2:15">
      <c r="B75" s="1">
        <v>39995</v>
      </c>
      <c r="C75">
        <v>4.8647062738518798</v>
      </c>
      <c r="D75">
        <f t="shared" si="1"/>
        <v>4.8204519336987097</v>
      </c>
      <c r="E75">
        <v>4.93640089631241</v>
      </c>
      <c r="F75">
        <v>4.9163088922802398</v>
      </c>
      <c r="H75" s="1">
        <v>39995</v>
      </c>
      <c r="I75">
        <v>4.8204519336987097</v>
      </c>
      <c r="K75" s="1">
        <v>39995</v>
      </c>
      <c r="L75">
        <v>4.93640089631241</v>
      </c>
      <c r="N75" s="1">
        <v>39995</v>
      </c>
      <c r="O75">
        <v>4.9163088922802398</v>
      </c>
    </row>
    <row r="76" spans="2:15">
      <c r="B76" s="1">
        <v>39965</v>
      </c>
      <c r="C76">
        <v>4.9923121425297401</v>
      </c>
      <c r="D76">
        <f t="shared" si="1"/>
        <v>4.8553059069655502</v>
      </c>
      <c r="E76">
        <v>5.9905883653509502</v>
      </c>
      <c r="F76">
        <v>5.3769205857496196</v>
      </c>
      <c r="H76" s="1">
        <v>39965</v>
      </c>
      <c r="I76">
        <v>4.8553059069655502</v>
      </c>
      <c r="K76" s="1">
        <v>39965</v>
      </c>
      <c r="L76">
        <v>5.9905883653509502</v>
      </c>
      <c r="N76" s="1">
        <v>39965</v>
      </c>
      <c r="O76">
        <v>5.3769205857496196</v>
      </c>
    </row>
    <row r="77" spans="2:15">
      <c r="B77" s="1">
        <v>39934</v>
      </c>
      <c r="C77">
        <v>5.3999815094408197</v>
      </c>
      <c r="D77">
        <f t="shared" si="1"/>
        <v>5.2006638389425603</v>
      </c>
      <c r="E77">
        <v>5.69945981421046</v>
      </c>
      <c r="F77">
        <v>5.6297782840431099</v>
      </c>
      <c r="H77" s="1">
        <v>39934</v>
      </c>
      <c r="I77">
        <v>5.2006638389425603</v>
      </c>
      <c r="K77" s="1">
        <v>39934</v>
      </c>
      <c r="L77">
        <v>5.69945981421046</v>
      </c>
      <c r="N77" s="1">
        <v>39934</v>
      </c>
      <c r="O77">
        <v>5.6297782840431099</v>
      </c>
    </row>
    <row r="78" spans="2:15">
      <c r="B78" s="1">
        <v>39904</v>
      </c>
      <c r="C78">
        <v>4.9179899682853803</v>
      </c>
      <c r="D78">
        <f t="shared" si="1"/>
        <v>4.8792897051584099</v>
      </c>
      <c r="E78">
        <v>5.0469071863016701</v>
      </c>
      <c r="F78">
        <v>4.9422362827836901</v>
      </c>
      <c r="H78" s="1">
        <v>39904</v>
      </c>
      <c r="I78">
        <v>4.8792897051584099</v>
      </c>
      <c r="K78" s="1">
        <v>39904</v>
      </c>
      <c r="L78">
        <v>5.0469071863016701</v>
      </c>
      <c r="N78" s="1">
        <v>39904</v>
      </c>
      <c r="O78">
        <v>4.9422362827836901</v>
      </c>
    </row>
    <row r="79" spans="2:15">
      <c r="B79" s="1">
        <v>39873</v>
      </c>
      <c r="C79">
        <v>4.9724475365289704</v>
      </c>
      <c r="D79">
        <f t="shared" si="1"/>
        <v>4.9239077338743904</v>
      </c>
      <c r="E79">
        <v>5.11774810734501</v>
      </c>
      <c r="F79">
        <v>4.9804912783535302</v>
      </c>
      <c r="H79" s="1">
        <v>39873</v>
      </c>
      <c r="I79">
        <v>4.9239077338743904</v>
      </c>
      <c r="K79" s="1">
        <v>39873</v>
      </c>
      <c r="L79">
        <v>5.11774810734501</v>
      </c>
      <c r="N79" s="1">
        <v>39873</v>
      </c>
      <c r="O79">
        <v>4.9804912783535302</v>
      </c>
    </row>
    <row r="80" spans="2:15">
      <c r="B80" s="1">
        <v>39845</v>
      </c>
      <c r="C80">
        <v>5.0509101839159198</v>
      </c>
      <c r="D80">
        <f t="shared" si="1"/>
        <v>4.9902218271859997</v>
      </c>
      <c r="E80">
        <v>5.1668371185003199</v>
      </c>
      <c r="F80">
        <v>5.0346050973979297</v>
      </c>
      <c r="H80" s="1">
        <v>39845</v>
      </c>
      <c r="I80">
        <v>4.9902218271859997</v>
      </c>
      <c r="K80" s="1">
        <v>39845</v>
      </c>
      <c r="L80">
        <v>5.1668371185003199</v>
      </c>
      <c r="N80" s="1">
        <v>39845</v>
      </c>
      <c r="O80">
        <v>5.0346050973979297</v>
      </c>
    </row>
    <row r="81" spans="2:15">
      <c r="B81" s="1">
        <v>39814</v>
      </c>
      <c r="C81">
        <v>5.71385681848537</v>
      </c>
      <c r="D81">
        <f t="shared" si="1"/>
        <v>5.5937568393914097</v>
      </c>
      <c r="E81">
        <v>6.0709809747291601</v>
      </c>
      <c r="F81">
        <v>5.77095443748125</v>
      </c>
      <c r="H81" s="1">
        <v>39814</v>
      </c>
      <c r="I81">
        <v>5.5937568393914097</v>
      </c>
      <c r="K81" s="1">
        <v>39814</v>
      </c>
      <c r="L81">
        <v>6.0709809747291601</v>
      </c>
      <c r="N81" s="1">
        <v>39814</v>
      </c>
      <c r="O81">
        <v>5.77095443748125</v>
      </c>
    </row>
    <row r="82" spans="2:15">
      <c r="B82" s="1">
        <v>39783</v>
      </c>
      <c r="C82">
        <v>6.10647975360519</v>
      </c>
      <c r="D82">
        <f t="shared" si="1"/>
        <v>6.0007704366013099</v>
      </c>
      <c r="E82">
        <v>6.4776948659917899</v>
      </c>
      <c r="F82">
        <v>5.93780071977198</v>
      </c>
      <c r="H82" s="1">
        <v>39783</v>
      </c>
      <c r="I82">
        <v>6.0007704366013099</v>
      </c>
      <c r="K82" s="1">
        <v>39783</v>
      </c>
      <c r="L82">
        <v>6.4776948659917899</v>
      </c>
      <c r="N82" s="1">
        <v>39783</v>
      </c>
      <c r="O82">
        <v>5.93780071977198</v>
      </c>
    </row>
    <row r="83" spans="2:15">
      <c r="B83" s="1">
        <v>39753</v>
      </c>
      <c r="C83">
        <v>6.3182248017395697</v>
      </c>
      <c r="D83">
        <f t="shared" si="1"/>
        <v>6.20832550585299</v>
      </c>
      <c r="E83">
        <v>6.3927780880237499</v>
      </c>
      <c r="F83">
        <v>6.20309736353415</v>
      </c>
      <c r="H83" s="1">
        <v>39753</v>
      </c>
      <c r="I83">
        <v>6.20832550585299</v>
      </c>
      <c r="K83" s="1">
        <v>39753</v>
      </c>
      <c r="L83">
        <v>6.3927780880237499</v>
      </c>
      <c r="N83" s="1">
        <v>39753</v>
      </c>
      <c r="O83">
        <v>6.20309736353415</v>
      </c>
    </row>
    <row r="84" spans="2:15">
      <c r="B84" s="1">
        <v>39722</v>
      </c>
      <c r="C84">
        <v>6.4218816378371804</v>
      </c>
      <c r="D84">
        <f t="shared" si="1"/>
        <v>6.3263395423173003</v>
      </c>
      <c r="E84">
        <v>6.5740844278307602</v>
      </c>
      <c r="F84">
        <v>6.4308845785883104</v>
      </c>
      <c r="H84" s="1">
        <v>39722</v>
      </c>
      <c r="I84">
        <v>6.3263395423173003</v>
      </c>
      <c r="K84" s="1">
        <v>39722</v>
      </c>
      <c r="L84">
        <v>6.5740844278307602</v>
      </c>
      <c r="N84" s="1">
        <v>39722</v>
      </c>
      <c r="O84">
        <v>6.4308845785883104</v>
      </c>
    </row>
    <row r="85" spans="2:15">
      <c r="B85" s="1">
        <v>39692</v>
      </c>
      <c r="C85">
        <v>6.4909743488399601</v>
      </c>
      <c r="D85">
        <f t="shared" si="1"/>
        <v>6.4330301689607596</v>
      </c>
      <c r="E85">
        <v>6.6559602699741198</v>
      </c>
      <c r="F85">
        <v>6.5259476106836196</v>
      </c>
      <c r="H85" s="1">
        <v>39692</v>
      </c>
      <c r="I85">
        <v>6.4330301689607596</v>
      </c>
      <c r="K85" s="1">
        <v>39692</v>
      </c>
      <c r="L85">
        <v>6.6559602699741198</v>
      </c>
      <c r="N85" s="1">
        <v>39692</v>
      </c>
      <c r="O85">
        <v>6.5259476106836196</v>
      </c>
    </row>
    <row r="86" spans="2:15">
      <c r="B86" s="1">
        <v>39661</v>
      </c>
      <c r="C86">
        <v>6.4412567091028601</v>
      </c>
      <c r="D86">
        <f t="shared" si="1"/>
        <v>6.3487899437489999</v>
      </c>
      <c r="E86">
        <v>6.6587285480346203</v>
      </c>
      <c r="F86">
        <v>6.3616328458173799</v>
      </c>
      <c r="H86" s="1">
        <v>39661</v>
      </c>
      <c r="I86">
        <v>6.3487899437489999</v>
      </c>
      <c r="K86" s="1">
        <v>39661</v>
      </c>
      <c r="L86">
        <v>6.6587285480346203</v>
      </c>
      <c r="N86" s="1">
        <v>39661</v>
      </c>
      <c r="O86">
        <v>6.3616328458173799</v>
      </c>
    </row>
    <row r="87" spans="2:15">
      <c r="B87" s="1">
        <v>39630</v>
      </c>
      <c r="C87">
        <v>6.2014520372738904</v>
      </c>
      <c r="D87">
        <f t="shared" si="1"/>
        <v>6.1308941603750302</v>
      </c>
      <c r="E87">
        <v>6.4693477555282204</v>
      </c>
      <c r="F87">
        <v>6.1771344431920197</v>
      </c>
      <c r="H87" s="1">
        <v>39630</v>
      </c>
      <c r="I87">
        <v>6.1308941603750302</v>
      </c>
      <c r="K87" s="1">
        <v>39630</v>
      </c>
      <c r="L87">
        <v>6.4693477555282204</v>
      </c>
      <c r="N87" s="1">
        <v>39630</v>
      </c>
      <c r="O87">
        <v>6.1771344431920197</v>
      </c>
    </row>
    <row r="88" spans="2:15">
      <c r="B88" s="1">
        <v>39600</v>
      </c>
      <c r="C88">
        <v>6.0399560478885999</v>
      </c>
      <c r="D88">
        <f t="shared" si="1"/>
        <v>5.9897564757478596</v>
      </c>
      <c r="E88">
        <v>6.3482598149091602</v>
      </c>
      <c r="F88">
        <v>6.1200407858524404</v>
      </c>
      <c r="H88" s="1">
        <v>39600</v>
      </c>
      <c r="I88">
        <v>5.9897564757478596</v>
      </c>
      <c r="K88" s="1">
        <v>39600</v>
      </c>
      <c r="L88">
        <v>6.3482598149091602</v>
      </c>
      <c r="N88" s="1">
        <v>39600</v>
      </c>
      <c r="O88">
        <v>6.1200407858524404</v>
      </c>
    </row>
    <row r="89" spans="2:15">
      <c r="B89" s="1">
        <v>39569</v>
      </c>
      <c r="C89">
        <v>6.1046790596330203</v>
      </c>
      <c r="D89">
        <f t="shared" si="1"/>
        <v>5.9985598875952402</v>
      </c>
      <c r="E89">
        <v>6.2613742629983902</v>
      </c>
      <c r="F89">
        <v>6.0741053401260796</v>
      </c>
      <c r="H89" s="1">
        <v>39569</v>
      </c>
      <c r="I89">
        <v>5.9985598875952402</v>
      </c>
      <c r="K89" s="1">
        <v>39569</v>
      </c>
      <c r="L89">
        <v>6.2613742629983902</v>
      </c>
      <c r="N89" s="1">
        <v>39569</v>
      </c>
      <c r="O89">
        <v>6.0741053401260796</v>
      </c>
    </row>
    <row r="90" spans="2:15">
      <c r="B90" s="1">
        <v>39539</v>
      </c>
      <c r="C90">
        <v>5.97807250669607</v>
      </c>
      <c r="D90">
        <f t="shared" si="1"/>
        <v>5.8920258043607197</v>
      </c>
      <c r="E90">
        <v>6.3804220921947499</v>
      </c>
      <c r="F90">
        <v>5.9900342457379798</v>
      </c>
      <c r="H90" s="1">
        <v>39539</v>
      </c>
      <c r="I90">
        <v>5.8920258043607197</v>
      </c>
      <c r="K90" s="1">
        <v>39539</v>
      </c>
      <c r="L90">
        <v>6.3804220921947499</v>
      </c>
      <c r="N90" s="1">
        <v>39539</v>
      </c>
      <c r="O90">
        <v>5.9900342457379798</v>
      </c>
    </row>
    <row r="91" spans="2:15">
      <c r="B91" s="1">
        <v>39508</v>
      </c>
      <c r="C91">
        <v>5.9953588500525399</v>
      </c>
      <c r="D91">
        <f t="shared" si="1"/>
        <v>5.8779333613604097</v>
      </c>
      <c r="E91">
        <v>6.3131029785977697</v>
      </c>
      <c r="F91">
        <v>5.9285297397419399</v>
      </c>
      <c r="H91" s="1">
        <v>39508</v>
      </c>
      <c r="I91">
        <v>5.8779333613604097</v>
      </c>
      <c r="K91" s="1">
        <v>39508</v>
      </c>
      <c r="L91">
        <v>6.3131029785977697</v>
      </c>
      <c r="N91" s="1">
        <v>39508</v>
      </c>
      <c r="O91">
        <v>5.9285297397419399</v>
      </c>
    </row>
    <row r="92" spans="2:15">
      <c r="B92" s="1">
        <v>39479</v>
      </c>
      <c r="C92">
        <v>6.14655328097406</v>
      </c>
      <c r="D92">
        <f t="shared" si="1"/>
        <v>6.0700953126868802</v>
      </c>
      <c r="E92">
        <v>6.4301337937091603</v>
      </c>
      <c r="F92">
        <v>6.2229530518290099</v>
      </c>
      <c r="H92" s="1">
        <v>39479</v>
      </c>
      <c r="I92">
        <v>6.0700953126868802</v>
      </c>
      <c r="K92" s="1">
        <v>39479</v>
      </c>
      <c r="L92">
        <v>6.4301337937091603</v>
      </c>
      <c r="N92" s="1">
        <v>39479</v>
      </c>
      <c r="O92">
        <v>6.2229530518290099</v>
      </c>
    </row>
    <row r="93" spans="2:15">
      <c r="B93" s="1">
        <v>39448</v>
      </c>
      <c r="C93">
        <v>6.3884422330096999</v>
      </c>
      <c r="D93">
        <f t="shared" si="1"/>
        <v>6.3194565877859796</v>
      </c>
      <c r="E93">
        <v>6.6000675241462199</v>
      </c>
      <c r="F93">
        <v>6.4497153925437001</v>
      </c>
      <c r="H93" s="1">
        <v>39448</v>
      </c>
      <c r="I93">
        <v>6.3194565877859796</v>
      </c>
      <c r="K93" s="1">
        <v>39448</v>
      </c>
      <c r="L93">
        <v>6.6000675241462199</v>
      </c>
      <c r="N93" s="1">
        <v>39448</v>
      </c>
      <c r="O93">
        <v>6.4497153925437001</v>
      </c>
    </row>
    <row r="94" spans="2:15">
      <c r="B94" s="1">
        <v>39417</v>
      </c>
      <c r="C94">
        <v>6.4943869446223701</v>
      </c>
      <c r="D94">
        <f t="shared" si="1"/>
        <v>6.4223154354993</v>
      </c>
      <c r="E94">
        <v>6.7543465848043098</v>
      </c>
      <c r="F94">
        <v>6.5706427113859798</v>
      </c>
      <c r="H94" s="1">
        <v>39417</v>
      </c>
      <c r="I94">
        <v>6.4223154354993</v>
      </c>
      <c r="K94" s="1">
        <v>39417</v>
      </c>
      <c r="L94">
        <v>6.7543465848043098</v>
      </c>
      <c r="N94" s="1">
        <v>39417</v>
      </c>
      <c r="O94">
        <v>6.5706427113859798</v>
      </c>
    </row>
    <row r="95" spans="2:15">
      <c r="B95" s="1">
        <v>39387</v>
      </c>
      <c r="C95">
        <v>6.6089324449953502</v>
      </c>
      <c r="D95">
        <f t="shared" si="1"/>
        <v>6.5493885914215699</v>
      </c>
      <c r="E95">
        <v>6.8634388963103996</v>
      </c>
      <c r="F95">
        <v>6.6549674746680401</v>
      </c>
      <c r="H95" s="1">
        <v>39387</v>
      </c>
      <c r="I95">
        <v>6.5493885914215699</v>
      </c>
      <c r="K95" s="1">
        <v>39387</v>
      </c>
      <c r="L95">
        <v>6.8634388963103996</v>
      </c>
      <c r="N95" s="1">
        <v>39387</v>
      </c>
      <c r="O95">
        <v>6.6549674746680401</v>
      </c>
    </row>
    <row r="96" spans="2:15">
      <c r="B96" s="1">
        <v>39356</v>
      </c>
      <c r="C96">
        <v>6.7456027275422397</v>
      </c>
      <c r="D96">
        <f t="shared" si="1"/>
        <v>6.6716199538449796</v>
      </c>
      <c r="E96">
        <v>7.0218007025014</v>
      </c>
      <c r="F96">
        <v>6.7961051038676699</v>
      </c>
      <c r="H96" s="1">
        <v>39356</v>
      </c>
      <c r="I96">
        <v>6.6716199538449796</v>
      </c>
      <c r="K96" s="1">
        <v>39356</v>
      </c>
      <c r="L96">
        <v>7.0218007025014</v>
      </c>
      <c r="N96" s="1">
        <v>39356</v>
      </c>
      <c r="O96">
        <v>6.7961051038676699</v>
      </c>
    </row>
    <row r="97" spans="2:15">
      <c r="B97" s="1">
        <v>39326</v>
      </c>
      <c r="C97">
        <v>6.7336949788066498</v>
      </c>
      <c r="D97">
        <f t="shared" si="1"/>
        <v>6.6695300102601696</v>
      </c>
      <c r="E97">
        <v>7.0799485955220698</v>
      </c>
      <c r="F97">
        <v>6.8223731845503499</v>
      </c>
      <c r="H97" s="1">
        <v>39326</v>
      </c>
      <c r="I97">
        <v>6.6695300102601696</v>
      </c>
      <c r="K97" s="1">
        <v>39326</v>
      </c>
      <c r="L97">
        <v>7.0799485955220698</v>
      </c>
      <c r="N97" s="1">
        <v>39326</v>
      </c>
      <c r="O97">
        <v>6.8223731845503499</v>
      </c>
    </row>
    <row r="98" spans="2:15">
      <c r="B98" s="1">
        <v>39295</v>
      </c>
      <c r="C98">
        <v>6.6309603085026296</v>
      </c>
      <c r="D98">
        <f t="shared" si="1"/>
        <v>6.5692834027918803</v>
      </c>
      <c r="E98">
        <v>6.9709869725512199</v>
      </c>
      <c r="F98">
        <v>6.7215684460913803</v>
      </c>
      <c r="H98" s="1">
        <v>39295</v>
      </c>
      <c r="I98">
        <v>6.5692834027918803</v>
      </c>
      <c r="K98" s="1">
        <v>39295</v>
      </c>
      <c r="L98">
        <v>6.9709869725512199</v>
      </c>
      <c r="N98" s="1">
        <v>39295</v>
      </c>
      <c r="O98">
        <v>6.7215684460913803</v>
      </c>
    </row>
    <row r="99" spans="2:15">
      <c r="B99" s="1">
        <v>39264</v>
      </c>
      <c r="C99">
        <v>6.4501169463396604</v>
      </c>
      <c r="D99">
        <f t="shared" si="1"/>
        <v>6.3881390236601501</v>
      </c>
      <c r="E99">
        <v>6.6954769763540201</v>
      </c>
      <c r="F99">
        <v>6.5326356980059197</v>
      </c>
      <c r="H99" s="1">
        <v>39264</v>
      </c>
      <c r="I99">
        <v>6.3881390236601501</v>
      </c>
      <c r="K99" s="1">
        <v>39264</v>
      </c>
      <c r="L99">
        <v>6.6954769763540201</v>
      </c>
      <c r="N99" s="1">
        <v>39264</v>
      </c>
      <c r="O99">
        <v>6.5326356980059197</v>
      </c>
    </row>
    <row r="100" spans="2:15">
      <c r="B100" s="1">
        <v>39234</v>
      </c>
      <c r="C100">
        <v>6.3683067840350596</v>
      </c>
      <c r="D100">
        <f t="shared" si="1"/>
        <v>6.2828531311073998</v>
      </c>
      <c r="E100">
        <v>6.5746169181710403</v>
      </c>
      <c r="F100">
        <v>6.4062165457665401</v>
      </c>
      <c r="H100" s="1">
        <v>39234</v>
      </c>
      <c r="I100">
        <v>6.2828531311073998</v>
      </c>
      <c r="K100" s="1">
        <v>39234</v>
      </c>
      <c r="L100">
        <v>6.5746169181710403</v>
      </c>
      <c r="N100" s="1">
        <v>39234</v>
      </c>
      <c r="O100">
        <v>6.4062165457665401</v>
      </c>
    </row>
    <row r="101" spans="2:15">
      <c r="B101" s="1">
        <v>39203</v>
      </c>
      <c r="C101">
        <v>6.2812562616127803</v>
      </c>
      <c r="D101">
        <f t="shared" si="1"/>
        <v>6.1918345180544199</v>
      </c>
      <c r="E101">
        <v>6.4293129140081096</v>
      </c>
      <c r="F101">
        <v>6.3756550707146902</v>
      </c>
      <c r="H101" s="1">
        <v>39203</v>
      </c>
      <c r="I101">
        <v>6.1918345180544199</v>
      </c>
      <c r="K101" s="1">
        <v>39203</v>
      </c>
      <c r="L101">
        <v>6.4293129140081096</v>
      </c>
      <c r="N101" s="1">
        <v>39203</v>
      </c>
      <c r="O101">
        <v>6.3756550707146902</v>
      </c>
    </row>
    <row r="102" spans="2:15">
      <c r="B102" s="1">
        <v>39173</v>
      </c>
      <c r="C102">
        <v>6.3586124560048001</v>
      </c>
      <c r="D102">
        <f t="shared" si="1"/>
        <v>6.2835571912711403</v>
      </c>
      <c r="E102">
        <v>6.58575103608809</v>
      </c>
      <c r="F102">
        <v>6.4205619145400998</v>
      </c>
      <c r="H102" s="1">
        <v>39173</v>
      </c>
      <c r="I102">
        <v>6.2835571912711403</v>
      </c>
      <c r="K102" s="1">
        <v>39173</v>
      </c>
      <c r="L102">
        <v>6.58575103608809</v>
      </c>
      <c r="N102" s="1">
        <v>39173</v>
      </c>
      <c r="O102">
        <v>6.4205619145400998</v>
      </c>
    </row>
    <row r="103" spans="2:15">
      <c r="B103" s="1">
        <v>39142</v>
      </c>
      <c r="C103">
        <v>6.3578005025827098</v>
      </c>
      <c r="D103">
        <f t="shared" si="1"/>
        <v>6.2860507592589299</v>
      </c>
      <c r="E103">
        <v>6.7148601921168503</v>
      </c>
      <c r="F103">
        <v>6.3883535633716999</v>
      </c>
      <c r="H103" s="1">
        <v>39142</v>
      </c>
      <c r="I103">
        <v>6.2860507592589299</v>
      </c>
      <c r="K103" s="1">
        <v>39142</v>
      </c>
      <c r="L103">
        <v>6.7148601921168503</v>
      </c>
      <c r="N103" s="1">
        <v>39142</v>
      </c>
      <c r="O103">
        <v>6.3883535633716999</v>
      </c>
    </row>
    <row r="104" spans="2:15">
      <c r="B104" s="1">
        <v>39114</v>
      </c>
      <c r="C104">
        <v>6.3506783673804899</v>
      </c>
      <c r="D104">
        <f t="shared" si="1"/>
        <v>6.27743328221091</v>
      </c>
      <c r="E104">
        <v>6.54168709015189</v>
      </c>
      <c r="F104">
        <v>6.3512091764187897</v>
      </c>
      <c r="H104" s="1">
        <v>39114</v>
      </c>
      <c r="I104">
        <v>6.27743328221091</v>
      </c>
      <c r="K104" s="1">
        <v>39114</v>
      </c>
      <c r="L104">
        <v>6.54168709015189</v>
      </c>
      <c r="N104" s="1">
        <v>39114</v>
      </c>
      <c r="O104">
        <v>6.3512091764187897</v>
      </c>
    </row>
    <row r="105" spans="2:15">
      <c r="B105" s="1">
        <v>39083</v>
      </c>
      <c r="C105">
        <v>6.3509745999614404</v>
      </c>
      <c r="D105">
        <f t="shared" si="1"/>
        <v>6.2827407880660404</v>
      </c>
      <c r="E105">
        <v>6.7034352325189301</v>
      </c>
      <c r="F105">
        <v>6.3742340239320203</v>
      </c>
      <c r="H105" s="1">
        <v>39083</v>
      </c>
      <c r="I105">
        <v>6.2827407880660404</v>
      </c>
      <c r="K105" s="1">
        <v>39083</v>
      </c>
      <c r="L105">
        <v>6.7034352325189301</v>
      </c>
      <c r="N105" s="1">
        <v>39083</v>
      </c>
      <c r="O105">
        <v>6.3742340239320203</v>
      </c>
    </row>
    <row r="106" spans="2:15">
      <c r="B106" s="1">
        <v>39052</v>
      </c>
      <c r="C106">
        <v>6.4989568818075396</v>
      </c>
      <c r="D106">
        <f t="shared" si="1"/>
        <v>6.4242141511761304</v>
      </c>
      <c r="E106">
        <v>6.6844188027977998</v>
      </c>
      <c r="F106">
        <v>6.5023804808115102</v>
      </c>
      <c r="H106" s="1">
        <v>39052</v>
      </c>
      <c r="I106">
        <v>6.4242141511761304</v>
      </c>
      <c r="K106" s="1">
        <v>39052</v>
      </c>
      <c r="L106">
        <v>6.6844188027977998</v>
      </c>
      <c r="N106" s="1">
        <v>39052</v>
      </c>
      <c r="O106">
        <v>6.5023804808115102</v>
      </c>
    </row>
    <row r="107" spans="2:15">
      <c r="B107" s="1">
        <v>39022</v>
      </c>
      <c r="C107">
        <v>6.57800330899732</v>
      </c>
      <c r="D107">
        <f t="shared" si="1"/>
        <v>6.5127018282194697</v>
      </c>
      <c r="E107">
        <v>6.8354900848509201</v>
      </c>
      <c r="F107">
        <v>6.6023882804290404</v>
      </c>
      <c r="H107" s="1">
        <v>39022</v>
      </c>
      <c r="I107">
        <v>6.5127018282194697</v>
      </c>
      <c r="K107" s="1">
        <v>39022</v>
      </c>
      <c r="L107">
        <v>6.8354900848509201</v>
      </c>
      <c r="N107" s="1">
        <v>39022</v>
      </c>
      <c r="O107">
        <v>6.6023882804290404</v>
      </c>
    </row>
    <row r="108" spans="2:15">
      <c r="B108" s="1">
        <v>38991</v>
      </c>
      <c r="C108">
        <v>6.6419454618010896</v>
      </c>
      <c r="D108">
        <f t="shared" si="1"/>
        <v>6.5796597253344</v>
      </c>
      <c r="E108">
        <v>6.84862407229999</v>
      </c>
      <c r="F108">
        <v>6.69025910427884</v>
      </c>
      <c r="H108" s="1">
        <v>38991</v>
      </c>
      <c r="I108">
        <v>6.5796597253344</v>
      </c>
      <c r="K108" s="1">
        <v>38991</v>
      </c>
      <c r="L108">
        <v>6.84862407229999</v>
      </c>
      <c r="N108" s="1">
        <v>38991</v>
      </c>
      <c r="O108">
        <v>6.69025910427884</v>
      </c>
    </row>
    <row r="109" spans="2:15">
      <c r="B109" s="1">
        <v>38961</v>
      </c>
      <c r="C109">
        <v>6.8165737071966497</v>
      </c>
      <c r="D109">
        <f t="shared" si="1"/>
        <v>6.7479203286783802</v>
      </c>
      <c r="E109">
        <v>7.04263094877426</v>
      </c>
      <c r="F109">
        <v>6.7468424557132796</v>
      </c>
      <c r="H109" s="1">
        <v>38961</v>
      </c>
      <c r="I109">
        <v>6.7479203286783802</v>
      </c>
      <c r="K109" s="1">
        <v>38961</v>
      </c>
      <c r="L109">
        <v>7.04263094877426</v>
      </c>
      <c r="N109" s="1">
        <v>38961</v>
      </c>
      <c r="O109">
        <v>6.7468424557132796</v>
      </c>
    </row>
    <row r="110" spans="2:15">
      <c r="B110" s="1">
        <v>38930</v>
      </c>
      <c r="C110">
        <v>6.8415610942249199</v>
      </c>
      <c r="D110">
        <f t="shared" si="1"/>
        <v>6.7790527335305004</v>
      </c>
      <c r="E110">
        <v>6.9025066392523904</v>
      </c>
      <c r="F110">
        <v>6.7751082370689897</v>
      </c>
      <c r="H110" s="1">
        <v>38930</v>
      </c>
      <c r="I110">
        <v>6.7790527335305004</v>
      </c>
      <c r="K110" s="1">
        <v>38930</v>
      </c>
      <c r="L110">
        <v>6.9025066392523904</v>
      </c>
      <c r="N110" s="1">
        <v>38930</v>
      </c>
      <c r="O110">
        <v>6.7751082370689897</v>
      </c>
    </row>
    <row r="111" spans="2:15">
      <c r="B111" s="1">
        <v>38899</v>
      </c>
      <c r="C111">
        <v>6.7397180802701602</v>
      </c>
      <c r="D111">
        <f t="shared" si="1"/>
        <v>6.6798434584770803</v>
      </c>
      <c r="E111">
        <v>6.8885633667757196</v>
      </c>
      <c r="F111">
        <v>6.74730082511776</v>
      </c>
      <c r="H111" s="1">
        <v>38899</v>
      </c>
      <c r="I111">
        <v>6.6798434584770803</v>
      </c>
      <c r="K111" s="1">
        <v>38899</v>
      </c>
      <c r="L111">
        <v>6.8885633667757196</v>
      </c>
      <c r="N111" s="1">
        <v>38899</v>
      </c>
      <c r="O111">
        <v>6.74730082511776</v>
      </c>
    </row>
    <row r="112" spans="2:15">
      <c r="B112" s="1">
        <v>38869</v>
      </c>
      <c r="C112">
        <v>6.6073343176784496</v>
      </c>
      <c r="D112">
        <f t="shared" si="1"/>
        <v>6.5299561078178696</v>
      </c>
      <c r="E112">
        <v>6.7064319366153704</v>
      </c>
      <c r="F112">
        <v>6.5826559206906996</v>
      </c>
      <c r="H112" s="1">
        <v>38869</v>
      </c>
      <c r="I112">
        <v>6.5299561078178696</v>
      </c>
      <c r="K112" s="1">
        <v>38869</v>
      </c>
      <c r="L112">
        <v>6.7064319366153704</v>
      </c>
      <c r="N112" s="1">
        <v>38869</v>
      </c>
      <c r="O112">
        <v>6.5826559206906996</v>
      </c>
    </row>
    <row r="113" spans="2:15">
      <c r="B113" s="1">
        <v>38838</v>
      </c>
      <c r="C113">
        <v>6.4699120161481796</v>
      </c>
      <c r="D113">
        <f t="shared" si="1"/>
        <v>6.4005614290207804</v>
      </c>
      <c r="E113">
        <v>6.7201235538084001</v>
      </c>
      <c r="F113">
        <v>6.47602206402484</v>
      </c>
      <c r="H113" s="1">
        <v>38838</v>
      </c>
      <c r="I113">
        <v>6.4005614290207804</v>
      </c>
      <c r="K113" s="1">
        <v>38838</v>
      </c>
      <c r="L113">
        <v>6.7201235538084001</v>
      </c>
      <c r="N113" s="1">
        <v>38838</v>
      </c>
      <c r="O113">
        <v>6.47602206402484</v>
      </c>
    </row>
    <row r="114" spans="2:15">
      <c r="B114" s="1">
        <v>38808</v>
      </c>
      <c r="C114">
        <v>6.3603119737837099</v>
      </c>
      <c r="D114">
        <f t="shared" si="1"/>
        <v>6.2550815378949798</v>
      </c>
      <c r="E114">
        <v>6.5063719858417297</v>
      </c>
      <c r="F114">
        <v>6.3782329051897202</v>
      </c>
      <c r="H114" s="1">
        <v>38808</v>
      </c>
      <c r="I114">
        <v>6.2550815378949798</v>
      </c>
      <c r="K114" s="1">
        <v>38808</v>
      </c>
      <c r="L114">
        <v>6.5063719858417297</v>
      </c>
      <c r="N114" s="1">
        <v>38808</v>
      </c>
      <c r="O114">
        <v>6.3782329051897202</v>
      </c>
    </row>
    <row r="115" spans="2:15">
      <c r="B115" s="1">
        <v>38777</v>
      </c>
      <c r="C115">
        <v>6.4505817367645299</v>
      </c>
      <c r="D115">
        <f t="shared" si="1"/>
        <v>6.3294262723029702</v>
      </c>
      <c r="E115">
        <v>6.6320335369943004</v>
      </c>
      <c r="F115">
        <v>6.3508092439242603</v>
      </c>
      <c r="H115" s="1">
        <v>38777</v>
      </c>
      <c r="I115">
        <v>6.3294262723029702</v>
      </c>
      <c r="K115" s="1">
        <v>38777</v>
      </c>
      <c r="L115">
        <v>6.6320335369943004</v>
      </c>
      <c r="N115" s="1">
        <v>38777</v>
      </c>
      <c r="O115">
        <v>6.3508092439242603</v>
      </c>
    </row>
    <row r="116" spans="2:15">
      <c r="B116" s="1">
        <v>38749</v>
      </c>
      <c r="C116">
        <v>6.3479245363591899</v>
      </c>
      <c r="D116">
        <f t="shared" si="1"/>
        <v>6.2741538463581996</v>
      </c>
      <c r="E116">
        <v>6.6140000944145196</v>
      </c>
      <c r="F116">
        <v>6.3651779405806304</v>
      </c>
      <c r="H116" s="1">
        <v>38749</v>
      </c>
      <c r="I116">
        <v>6.2741538463581996</v>
      </c>
      <c r="K116" s="1">
        <v>38749</v>
      </c>
      <c r="L116">
        <v>6.6140000944145196</v>
      </c>
      <c r="N116" s="1">
        <v>38749</v>
      </c>
      <c r="O116">
        <v>6.3651779405806304</v>
      </c>
    </row>
    <row r="117" spans="2:15">
      <c r="B117" s="1">
        <v>38718</v>
      </c>
      <c r="C117">
        <v>6.3448839071257002</v>
      </c>
      <c r="D117">
        <f t="shared" si="1"/>
        <v>6.2351864837878699</v>
      </c>
      <c r="E117">
        <v>6.6027538791997999</v>
      </c>
      <c r="F117">
        <v>6.3142358527999498</v>
      </c>
      <c r="H117" s="1">
        <v>38718</v>
      </c>
      <c r="I117">
        <v>6.2351864837878699</v>
      </c>
      <c r="K117" s="1">
        <v>38718</v>
      </c>
      <c r="L117">
        <v>6.6027538791997999</v>
      </c>
      <c r="N117" s="1">
        <v>38718</v>
      </c>
      <c r="O117">
        <v>6.3142358527999498</v>
      </c>
    </row>
    <row r="118" spans="2:15">
      <c r="B118" s="1">
        <v>38687</v>
      </c>
      <c r="C118">
        <v>6.1095905484247304</v>
      </c>
      <c r="D118">
        <f t="shared" si="1"/>
        <v>6.0329281225632698</v>
      </c>
      <c r="E118">
        <v>6.3374967980825803</v>
      </c>
      <c r="F118">
        <v>6.1100604418333599</v>
      </c>
      <c r="H118" s="1">
        <v>38687</v>
      </c>
      <c r="I118">
        <v>6.0329281225632698</v>
      </c>
      <c r="K118" s="1">
        <v>38687</v>
      </c>
      <c r="L118">
        <v>6.3374967980825803</v>
      </c>
      <c r="N118" s="1">
        <v>38687</v>
      </c>
      <c r="O118">
        <v>6.1100604418333599</v>
      </c>
    </row>
    <row r="119" spans="2:15">
      <c r="B119" s="1">
        <v>38657</v>
      </c>
      <c r="C119">
        <v>5.9993419161483601</v>
      </c>
      <c r="D119">
        <f t="shared" si="1"/>
        <v>5.9081360643643901</v>
      </c>
      <c r="E119">
        <v>6.22590961613923</v>
      </c>
      <c r="F119">
        <v>5.9657535962386898</v>
      </c>
      <c r="H119" s="1">
        <v>38657</v>
      </c>
      <c r="I119">
        <v>5.9081360643643901</v>
      </c>
      <c r="K119" s="1">
        <v>38657</v>
      </c>
      <c r="L119">
        <v>6.22590961613923</v>
      </c>
      <c r="N119" s="1">
        <v>38657</v>
      </c>
      <c r="O119">
        <v>5.9657535962386898</v>
      </c>
    </row>
    <row r="120" spans="2:15">
      <c r="B120" s="1">
        <v>38626</v>
      </c>
      <c r="C120">
        <v>5.9151791799418199</v>
      </c>
      <c r="D120">
        <f t="shared" si="1"/>
        <v>5.8431368476848302</v>
      </c>
      <c r="E120">
        <v>6.2548632671207596</v>
      </c>
      <c r="F120">
        <v>5.9350299799815103</v>
      </c>
      <c r="H120" s="1">
        <v>38626</v>
      </c>
      <c r="I120">
        <v>5.8431368476848302</v>
      </c>
      <c r="K120" s="1">
        <v>38626</v>
      </c>
      <c r="L120">
        <v>6.2548632671207596</v>
      </c>
      <c r="N120" s="1">
        <v>38626</v>
      </c>
      <c r="O120">
        <v>5.9350299799815103</v>
      </c>
    </row>
    <row r="121" spans="2:15">
      <c r="B121" s="1">
        <v>38596</v>
      </c>
      <c r="C121">
        <v>5.8716237826203903</v>
      </c>
      <c r="D121">
        <f t="shared" si="1"/>
        <v>5.8074520090528701</v>
      </c>
      <c r="E121">
        <v>6.0729708815801899</v>
      </c>
      <c r="F121">
        <v>5.8541010753403997</v>
      </c>
      <c r="H121" s="1">
        <v>38596</v>
      </c>
      <c r="I121">
        <v>5.8074520090528701</v>
      </c>
      <c r="K121" s="1">
        <v>38596</v>
      </c>
      <c r="L121">
        <v>6.0729708815801899</v>
      </c>
      <c r="N121" s="1">
        <v>38596</v>
      </c>
      <c r="O121">
        <v>5.8541010753403997</v>
      </c>
    </row>
    <row r="122" spans="2:15">
      <c r="B122" s="1">
        <v>38565</v>
      </c>
      <c r="C122">
        <v>5.8519922909847297</v>
      </c>
      <c r="D122">
        <f t="shared" si="1"/>
        <v>5.7878064259623399</v>
      </c>
      <c r="E122">
        <v>5.9304329653969798</v>
      </c>
      <c r="F122">
        <v>5.7924446190363597</v>
      </c>
      <c r="H122" s="1">
        <v>38565</v>
      </c>
      <c r="I122">
        <v>5.7878064259623399</v>
      </c>
      <c r="K122" s="1">
        <v>38565</v>
      </c>
      <c r="L122">
        <v>5.9304329653969798</v>
      </c>
      <c r="N122" s="1">
        <v>38565</v>
      </c>
      <c r="O122">
        <v>5.7924446190363597</v>
      </c>
    </row>
    <row r="123" spans="2:15">
      <c r="B123" s="1">
        <v>38534</v>
      </c>
      <c r="C123">
        <v>5.9088034752332099</v>
      </c>
      <c r="D123">
        <f t="shared" si="1"/>
        <v>5.8446551218521101</v>
      </c>
      <c r="E123">
        <v>6.04133112740175</v>
      </c>
      <c r="F123">
        <v>5.8779163652289697</v>
      </c>
      <c r="H123" s="1">
        <v>38534</v>
      </c>
      <c r="I123">
        <v>5.8446551218521101</v>
      </c>
      <c r="K123" s="1">
        <v>38534</v>
      </c>
      <c r="L123">
        <v>6.04133112740175</v>
      </c>
      <c r="N123" s="1">
        <v>38534</v>
      </c>
      <c r="O123">
        <v>5.8779163652289697</v>
      </c>
    </row>
    <row r="124" spans="2:15">
      <c r="B124" s="1">
        <v>38504</v>
      </c>
      <c r="C124">
        <v>6.0165619939961701</v>
      </c>
      <c r="D124">
        <f t="shared" si="1"/>
        <v>5.95120703572689</v>
      </c>
      <c r="E124">
        <v>6.1123957519230601</v>
      </c>
      <c r="F124">
        <v>6.0095486955718798</v>
      </c>
      <c r="H124" s="1">
        <v>38504</v>
      </c>
      <c r="I124">
        <v>5.95120703572689</v>
      </c>
      <c r="K124" s="1">
        <v>38504</v>
      </c>
      <c r="L124">
        <v>6.1123957519230601</v>
      </c>
      <c r="N124" s="1">
        <v>38504</v>
      </c>
      <c r="O124">
        <v>6.0095486955718798</v>
      </c>
    </row>
    <row r="125" spans="2:15">
      <c r="B125" s="1">
        <v>38473</v>
      </c>
      <c r="C125">
        <v>5.9951206686073801</v>
      </c>
      <c r="D125">
        <f t="shared" si="1"/>
        <v>5.9118091725111803</v>
      </c>
      <c r="E125">
        <v>6.1615850711694398</v>
      </c>
      <c r="F125">
        <v>5.9453896731722002</v>
      </c>
      <c r="H125" s="1">
        <v>38473</v>
      </c>
      <c r="I125">
        <v>5.9118091725111803</v>
      </c>
      <c r="K125" s="1">
        <v>38473</v>
      </c>
      <c r="L125">
        <v>6.1615850711694398</v>
      </c>
      <c r="N125" s="1">
        <v>38473</v>
      </c>
      <c r="O125">
        <v>5.9453896731722002</v>
      </c>
    </row>
    <row r="126" spans="2:15">
      <c r="B126" s="1">
        <v>38443</v>
      </c>
      <c r="C126">
        <v>5.8325293962678302</v>
      </c>
      <c r="D126">
        <f t="shared" si="1"/>
        <v>5.76760509054502</v>
      </c>
      <c r="E126">
        <v>5.9788163394643297</v>
      </c>
      <c r="F126">
        <v>5.7615869299725304</v>
      </c>
      <c r="H126" s="1">
        <v>38443</v>
      </c>
      <c r="I126">
        <v>5.76760509054502</v>
      </c>
      <c r="K126" s="1">
        <v>38443</v>
      </c>
      <c r="L126">
        <v>5.9788163394643297</v>
      </c>
      <c r="N126" s="1">
        <v>38443</v>
      </c>
      <c r="O126">
        <v>5.7615869299725304</v>
      </c>
    </row>
    <row r="127" spans="2:15">
      <c r="B127" s="1">
        <v>38412</v>
      </c>
      <c r="C127">
        <v>5.8158221041790803</v>
      </c>
      <c r="D127">
        <f t="shared" si="1"/>
        <v>5.7602796890994004</v>
      </c>
      <c r="E127">
        <v>5.9816424527216601</v>
      </c>
      <c r="F127">
        <v>5.8222054905926797</v>
      </c>
      <c r="H127" s="1">
        <v>38412</v>
      </c>
      <c r="I127">
        <v>5.7602796890994004</v>
      </c>
      <c r="K127" s="1">
        <v>38412</v>
      </c>
      <c r="L127">
        <v>5.9816424527216601</v>
      </c>
      <c r="N127" s="1">
        <v>38412</v>
      </c>
      <c r="O127">
        <v>5.8222054905926797</v>
      </c>
    </row>
    <row r="128" spans="2:15">
      <c r="B128" s="1">
        <v>38384</v>
      </c>
      <c r="C128">
        <v>5.9082920831350103</v>
      </c>
      <c r="D128">
        <f t="shared" si="1"/>
        <v>5.8571983273106998</v>
      </c>
      <c r="E128">
        <v>6.0968817881915101</v>
      </c>
      <c r="F128">
        <v>5.8888224546342798</v>
      </c>
      <c r="H128" s="1">
        <v>38384</v>
      </c>
      <c r="I128">
        <v>5.8571983273106998</v>
      </c>
      <c r="K128" s="1">
        <v>38384</v>
      </c>
      <c r="L128">
        <v>6.0968817881915101</v>
      </c>
      <c r="N128" s="1">
        <v>38384</v>
      </c>
      <c r="O128">
        <v>5.8888224546342798</v>
      </c>
    </row>
    <row r="129" spans="2:15">
      <c r="B129" s="1">
        <v>38353</v>
      </c>
      <c r="C129">
        <v>5.8940152107991697</v>
      </c>
      <c r="D129">
        <f t="shared" si="1"/>
        <v>5.8491859754868401</v>
      </c>
      <c r="E129">
        <v>6.0504871313193602</v>
      </c>
      <c r="F129">
        <v>5.8403493285085597</v>
      </c>
      <c r="H129" s="1">
        <v>38353</v>
      </c>
      <c r="I129">
        <v>5.8491859754868401</v>
      </c>
      <c r="K129" s="1">
        <v>38353</v>
      </c>
      <c r="L129">
        <v>6.0504871313193602</v>
      </c>
      <c r="N129" s="1">
        <v>38353</v>
      </c>
      <c r="O129">
        <v>5.8403493285085597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N129"/>
  <sheetViews>
    <sheetView tabSelected="1" workbookViewId="0">
      <selection activeCell="B3" sqref="B3:E3"/>
    </sheetView>
  </sheetViews>
  <sheetFormatPr defaultRowHeight="15"/>
  <cols>
    <col min="2" max="2" width="13.85546875" bestFit="1" customWidth="1"/>
    <col min="3" max="5" width="12.5703125" bestFit="1" customWidth="1"/>
    <col min="6" max="7" width="12.5703125" customWidth="1"/>
    <col min="10" max="10" width="13.85546875" bestFit="1" customWidth="1"/>
    <col min="11" max="11" width="12.5703125" bestFit="1" customWidth="1"/>
    <col min="13" max="13" width="13.85546875" bestFit="1" customWidth="1"/>
    <col min="14" max="14" width="12.5703125" bestFit="1" customWidth="1"/>
  </cols>
  <sheetData>
    <row r="1" spans="2:14">
      <c r="B1" t="s">
        <v>33</v>
      </c>
      <c r="J1" t="s">
        <v>34</v>
      </c>
      <c r="M1" t="s">
        <v>35</v>
      </c>
    </row>
    <row r="3" spans="2:14">
      <c r="B3" t="s">
        <v>40</v>
      </c>
      <c r="C3" t="s">
        <v>33</v>
      </c>
      <c r="D3" t="s">
        <v>34</v>
      </c>
      <c r="E3" t="s">
        <v>35</v>
      </c>
      <c r="F3" s="44" t="s">
        <v>37</v>
      </c>
      <c r="G3" s="38" t="s">
        <v>38</v>
      </c>
      <c r="H3" s="39" t="s">
        <v>39</v>
      </c>
      <c r="J3" t="s">
        <v>40</v>
      </c>
      <c r="K3" t="s">
        <v>34</v>
      </c>
      <c r="M3" t="s">
        <v>40</v>
      </c>
      <c r="N3" t="s">
        <v>35</v>
      </c>
    </row>
    <row r="4" spans="2:14">
      <c r="B4" s="1">
        <v>42156</v>
      </c>
      <c r="C4" s="3">
        <v>4.2814568652573097</v>
      </c>
      <c r="D4" s="3">
        <v>4.0686507646154899</v>
      </c>
      <c r="E4" s="3">
        <v>4.0561251713544104</v>
      </c>
      <c r="F4" s="3">
        <f>C4-D4</f>
        <v>0.21280610064181982</v>
      </c>
      <c r="G4" s="3">
        <f>C4-E4</f>
        <v>0.22533169390289931</v>
      </c>
      <c r="H4" s="3">
        <f>D4-E4</f>
        <v>1.2525593261079493E-2</v>
      </c>
      <c r="J4" s="1">
        <v>42156</v>
      </c>
      <c r="K4">
        <v>4.0686507646154899</v>
      </c>
      <c r="M4" s="1">
        <v>42156</v>
      </c>
      <c r="N4">
        <v>4.0561251713544104</v>
      </c>
    </row>
    <row r="5" spans="2:14">
      <c r="B5" s="1">
        <v>42125</v>
      </c>
      <c r="C5" s="3">
        <v>4.1497341953507201</v>
      </c>
      <c r="D5" s="3">
        <v>4.0642555362097301</v>
      </c>
      <c r="E5" s="3">
        <v>3.9762475049440198</v>
      </c>
      <c r="F5" s="3">
        <f t="shared" ref="F5:F68" si="0">C5-D5</f>
        <v>8.5478659140989954E-2</v>
      </c>
      <c r="G5" s="3">
        <f t="shared" ref="G5:G68" si="1">C5-E5</f>
        <v>0.17348669040670028</v>
      </c>
      <c r="H5" s="3">
        <f t="shared" ref="H5:H68" si="2">D5-E5</f>
        <v>8.8008031265710329E-2</v>
      </c>
      <c r="J5" s="1">
        <v>42125</v>
      </c>
      <c r="K5">
        <v>4.0642555362097301</v>
      </c>
      <c r="M5" s="1">
        <v>42125</v>
      </c>
      <c r="N5">
        <v>3.9762475049440198</v>
      </c>
    </row>
    <row r="6" spans="2:14">
      <c r="B6" s="1">
        <v>42095</v>
      </c>
      <c r="C6" s="3">
        <v>3.9762156604078802</v>
      </c>
      <c r="D6" s="3">
        <v>4.0277059899699301</v>
      </c>
      <c r="E6" s="3">
        <v>3.9282028775760498</v>
      </c>
      <c r="F6" s="3">
        <f t="shared" si="0"/>
        <v>-5.1490329562049908E-2</v>
      </c>
      <c r="G6" s="3">
        <f t="shared" si="1"/>
        <v>4.8012782831830414E-2</v>
      </c>
      <c r="H6" s="3">
        <f t="shared" si="2"/>
        <v>9.9503112393880322E-2</v>
      </c>
      <c r="J6" s="1">
        <v>42095</v>
      </c>
      <c r="K6">
        <v>4.0277059899699301</v>
      </c>
      <c r="M6" s="1">
        <v>42095</v>
      </c>
      <c r="N6">
        <v>3.9282028775760498</v>
      </c>
    </row>
    <row r="7" spans="2:14">
      <c r="B7" s="1">
        <v>42064</v>
      </c>
      <c r="C7" s="3">
        <v>4.1156717681475801</v>
      </c>
      <c r="D7" s="3">
        <v>4.0516131888317304</v>
      </c>
      <c r="E7" s="3">
        <v>3.9320396187248101</v>
      </c>
      <c r="F7" s="3">
        <f t="shared" si="0"/>
        <v>6.4058579315849684E-2</v>
      </c>
      <c r="G7" s="3">
        <f t="shared" si="1"/>
        <v>0.18363214942276995</v>
      </c>
      <c r="H7" s="3">
        <f t="shared" si="2"/>
        <v>0.11957357010692027</v>
      </c>
      <c r="J7" s="1">
        <v>42064</v>
      </c>
      <c r="K7">
        <v>4.0516131888317304</v>
      </c>
      <c r="M7" s="1">
        <v>42064</v>
      </c>
      <c r="N7">
        <v>3.9320396187248101</v>
      </c>
    </row>
    <row r="8" spans="2:14">
      <c r="B8" s="1">
        <v>42036</v>
      </c>
      <c r="C8" s="3">
        <v>4.2616069792633198</v>
      </c>
      <c r="D8" s="3">
        <v>4.1799260938571896</v>
      </c>
      <c r="E8" s="3">
        <v>4.1049873604232801</v>
      </c>
      <c r="F8" s="3">
        <f t="shared" si="0"/>
        <v>8.1680885406130166E-2</v>
      </c>
      <c r="G8" s="3">
        <f t="shared" si="1"/>
        <v>0.15661961884003972</v>
      </c>
      <c r="H8" s="3">
        <f t="shared" si="2"/>
        <v>7.4938733433909555E-2</v>
      </c>
      <c r="J8" s="1">
        <v>42036</v>
      </c>
      <c r="K8">
        <v>4.1799260938571896</v>
      </c>
      <c r="M8" s="1">
        <v>42036</v>
      </c>
      <c r="N8">
        <v>4.1049873604232801</v>
      </c>
    </row>
    <row r="9" spans="2:14">
      <c r="B9" s="1">
        <v>42005</v>
      </c>
      <c r="C9" s="3">
        <v>4.3286198758944696</v>
      </c>
      <c r="D9" s="3">
        <v>4.29507902652733</v>
      </c>
      <c r="E9" s="3">
        <v>4.2149770950800001</v>
      </c>
      <c r="F9" s="3">
        <f t="shared" si="0"/>
        <v>3.3540849367139636E-2</v>
      </c>
      <c r="G9" s="3">
        <f t="shared" si="1"/>
        <v>0.11364278081446955</v>
      </c>
      <c r="H9" s="3">
        <f t="shared" si="2"/>
        <v>8.010193144732991E-2</v>
      </c>
      <c r="J9" s="1">
        <v>42005</v>
      </c>
      <c r="K9">
        <v>4.29507902652733</v>
      </c>
      <c r="M9" s="1">
        <v>42005</v>
      </c>
      <c r="N9">
        <v>4.2149770950800001</v>
      </c>
    </row>
    <row r="10" spans="2:14">
      <c r="B10" s="1">
        <v>41974</v>
      </c>
      <c r="C10" s="3">
        <v>4.4668929370465698</v>
      </c>
      <c r="D10" s="3">
        <v>4.3614534485438199</v>
      </c>
      <c r="E10" s="3">
        <v>4.2823710809759499</v>
      </c>
      <c r="F10" s="3">
        <f t="shared" si="0"/>
        <v>0.10543948850274987</v>
      </c>
      <c r="G10" s="3">
        <f t="shared" si="1"/>
        <v>0.18452185607061988</v>
      </c>
      <c r="H10" s="3">
        <f t="shared" si="2"/>
        <v>7.9082367567870016E-2</v>
      </c>
      <c r="J10" s="1">
        <v>41974</v>
      </c>
      <c r="K10">
        <v>4.3614534485438199</v>
      </c>
      <c r="M10" s="1">
        <v>41974</v>
      </c>
      <c r="N10">
        <v>4.2823710809759499</v>
      </c>
    </row>
    <row r="11" spans="2:14">
      <c r="B11" s="1">
        <v>41944</v>
      </c>
      <c r="C11" s="3">
        <v>4.7049313458332698</v>
      </c>
      <c r="D11" s="3">
        <v>4.4669266317103196</v>
      </c>
      <c r="E11" s="3">
        <v>4.3555208650457802</v>
      </c>
      <c r="F11" s="3">
        <f t="shared" si="0"/>
        <v>0.23800471412295021</v>
      </c>
      <c r="G11" s="3">
        <f t="shared" si="1"/>
        <v>0.3494104807874896</v>
      </c>
      <c r="H11" s="3">
        <f t="shared" si="2"/>
        <v>0.11140576666453939</v>
      </c>
      <c r="J11" s="1">
        <v>41944</v>
      </c>
      <c r="K11">
        <v>4.4669266317103196</v>
      </c>
      <c r="M11" s="1">
        <v>41944</v>
      </c>
      <c r="N11">
        <v>4.3555208650457802</v>
      </c>
    </row>
    <row r="12" spans="2:14">
      <c r="B12" s="1">
        <v>41913</v>
      </c>
      <c r="C12" s="3">
        <v>4.4490704943226804</v>
      </c>
      <c r="D12" s="3">
        <v>4.4759398824380998</v>
      </c>
      <c r="E12" s="3">
        <v>4.3973010870007103</v>
      </c>
      <c r="F12" s="3">
        <f t="shared" si="0"/>
        <v>-2.686938811541939E-2</v>
      </c>
      <c r="G12" s="3">
        <f t="shared" si="1"/>
        <v>5.1769407321970107E-2</v>
      </c>
      <c r="H12" s="3">
        <f t="shared" si="2"/>
        <v>7.8638795437389497E-2</v>
      </c>
      <c r="J12" s="1">
        <v>41913</v>
      </c>
      <c r="K12">
        <v>4.4759398824380998</v>
      </c>
      <c r="M12" s="1">
        <v>41913</v>
      </c>
      <c r="N12">
        <v>4.3973010870007103</v>
      </c>
    </row>
    <row r="13" spans="2:14">
      <c r="B13" s="1">
        <v>41883</v>
      </c>
      <c r="C13" s="3">
        <v>4.4536976926398104</v>
      </c>
      <c r="D13" s="3">
        <v>4.50690906458677</v>
      </c>
      <c r="E13" s="3">
        <v>4.3669489809585196</v>
      </c>
      <c r="F13" s="3">
        <f t="shared" si="0"/>
        <v>-5.3211371946959574E-2</v>
      </c>
      <c r="G13" s="3">
        <f t="shared" si="1"/>
        <v>8.6748711681290835E-2</v>
      </c>
      <c r="H13" s="3">
        <f t="shared" si="2"/>
        <v>0.13996008362825041</v>
      </c>
      <c r="J13" s="1">
        <v>41883</v>
      </c>
      <c r="K13">
        <v>4.50690906458677</v>
      </c>
      <c r="M13" s="1">
        <v>41883</v>
      </c>
      <c r="N13">
        <v>4.3669489809585196</v>
      </c>
    </row>
    <row r="14" spans="2:14">
      <c r="B14" s="1">
        <v>41852</v>
      </c>
      <c r="C14" s="3">
        <v>4.4745700811097597</v>
      </c>
      <c r="D14" s="3">
        <v>4.5211881324073904</v>
      </c>
      <c r="E14" s="3">
        <v>4.4174894237425599</v>
      </c>
      <c r="F14" s="3">
        <f t="shared" si="0"/>
        <v>-4.6618051297630636E-2</v>
      </c>
      <c r="G14" s="3">
        <f t="shared" si="1"/>
        <v>5.7080657367199805E-2</v>
      </c>
      <c r="H14" s="3">
        <f t="shared" si="2"/>
        <v>0.10369870866483044</v>
      </c>
      <c r="J14" s="1">
        <v>41852</v>
      </c>
      <c r="K14">
        <v>4.5211881324073904</v>
      </c>
      <c r="M14" s="1">
        <v>41852</v>
      </c>
      <c r="N14">
        <v>4.4174894237425599</v>
      </c>
    </row>
    <row r="15" spans="2:14">
      <c r="B15" s="1">
        <v>41821</v>
      </c>
      <c r="C15" s="3">
        <v>4.6155240570251399</v>
      </c>
      <c r="D15" s="3">
        <v>4.5436109646790204</v>
      </c>
      <c r="E15" s="3">
        <v>4.4428648016081</v>
      </c>
      <c r="F15" s="3">
        <f t="shared" si="0"/>
        <v>7.1913092346119534E-2</v>
      </c>
      <c r="G15" s="3">
        <f t="shared" si="1"/>
        <v>0.17265925541703986</v>
      </c>
      <c r="H15" s="3">
        <f t="shared" si="2"/>
        <v>0.10074616307092032</v>
      </c>
      <c r="J15" s="1">
        <v>41821</v>
      </c>
      <c r="K15">
        <v>4.5436109646790204</v>
      </c>
      <c r="M15" s="1">
        <v>41821</v>
      </c>
      <c r="N15">
        <v>4.4428648016081</v>
      </c>
    </row>
    <row r="16" spans="2:14">
      <c r="B16" s="1">
        <v>41791</v>
      </c>
      <c r="C16" s="3">
        <v>4.6457399086433897</v>
      </c>
      <c r="D16" s="3">
        <v>4.6392985360140004</v>
      </c>
      <c r="E16" s="3">
        <v>4.5499580654746996</v>
      </c>
      <c r="F16" s="3">
        <f t="shared" si="0"/>
        <v>6.4413726293892637E-3</v>
      </c>
      <c r="G16" s="3">
        <f t="shared" si="1"/>
        <v>9.5781843168690095E-2</v>
      </c>
      <c r="H16" s="3">
        <f t="shared" si="2"/>
        <v>8.9340470539300831E-2</v>
      </c>
      <c r="J16" s="1">
        <v>41791</v>
      </c>
      <c r="K16">
        <v>4.6392985360140004</v>
      </c>
      <c r="M16" s="1">
        <v>41791</v>
      </c>
      <c r="N16">
        <v>4.5499580654746996</v>
      </c>
    </row>
    <row r="17" spans="2:14">
      <c r="B17" s="1">
        <v>41760</v>
      </c>
      <c r="C17" s="3">
        <v>4.6332822318684102</v>
      </c>
      <c r="D17" s="3">
        <v>4.6819615889319897</v>
      </c>
      <c r="E17" s="3">
        <v>4.5766765568888301</v>
      </c>
      <c r="F17" s="3">
        <f t="shared" si="0"/>
        <v>-4.8679357063579509E-2</v>
      </c>
      <c r="G17" s="3">
        <f t="shared" si="1"/>
        <v>5.6605674979580023E-2</v>
      </c>
      <c r="H17" s="3">
        <f t="shared" si="2"/>
        <v>0.10528503204315953</v>
      </c>
      <c r="J17" s="1">
        <v>41760</v>
      </c>
      <c r="K17">
        <v>4.6819615889319897</v>
      </c>
      <c r="M17" s="1">
        <v>41760</v>
      </c>
      <c r="N17">
        <v>4.5766765568888301</v>
      </c>
    </row>
    <row r="18" spans="2:14">
      <c r="B18" s="1">
        <v>41730</v>
      </c>
      <c r="C18" s="3">
        <v>4.6407670714703801</v>
      </c>
      <c r="D18" s="3">
        <v>4.6955468117550598</v>
      </c>
      <c r="E18" s="3">
        <v>4.5955650821670497</v>
      </c>
      <c r="F18" s="3">
        <f t="shared" si="0"/>
        <v>-5.477974028467969E-2</v>
      </c>
      <c r="G18" s="3">
        <f t="shared" si="1"/>
        <v>4.5201989303330414E-2</v>
      </c>
      <c r="H18" s="3">
        <f t="shared" si="2"/>
        <v>9.9981729588010104E-2</v>
      </c>
      <c r="J18" s="1">
        <v>41730</v>
      </c>
      <c r="K18">
        <v>4.6955468117550598</v>
      </c>
      <c r="M18" s="1">
        <v>41730</v>
      </c>
      <c r="N18">
        <v>4.5955650821670497</v>
      </c>
    </row>
    <row r="19" spans="2:14">
      <c r="B19" s="1">
        <v>41699</v>
      </c>
      <c r="C19" s="3">
        <v>4.73263952671212</v>
      </c>
      <c r="D19" s="3">
        <v>4.7366032886628702</v>
      </c>
      <c r="E19" s="3">
        <v>4.6124541798731897</v>
      </c>
      <c r="F19" s="3">
        <f t="shared" si="0"/>
        <v>-3.9637619507502109E-3</v>
      </c>
      <c r="G19" s="3">
        <f t="shared" si="1"/>
        <v>0.12018534683893023</v>
      </c>
      <c r="H19" s="3">
        <f t="shared" si="2"/>
        <v>0.12414910878968044</v>
      </c>
      <c r="J19" s="1">
        <v>41699</v>
      </c>
      <c r="K19">
        <v>4.7366032886628702</v>
      </c>
      <c r="M19" s="1">
        <v>41699</v>
      </c>
      <c r="N19">
        <v>4.6124541798731897</v>
      </c>
    </row>
    <row r="20" spans="2:14">
      <c r="B20" s="1">
        <v>41671</v>
      </c>
      <c r="C20" s="3">
        <v>4.6536719492279799</v>
      </c>
      <c r="D20" s="3">
        <v>4.7295954340305402</v>
      </c>
      <c r="E20" s="3">
        <v>4.6047579940496401</v>
      </c>
      <c r="F20" s="3">
        <f t="shared" si="0"/>
        <v>-7.5923484802560282E-2</v>
      </c>
      <c r="G20" s="3">
        <f t="shared" si="1"/>
        <v>4.8913955178339741E-2</v>
      </c>
      <c r="H20" s="3">
        <f t="shared" si="2"/>
        <v>0.12483743998090002</v>
      </c>
      <c r="J20" s="1">
        <v>41671</v>
      </c>
      <c r="K20">
        <v>4.7295954340305402</v>
      </c>
      <c r="M20" s="1">
        <v>41671</v>
      </c>
      <c r="N20">
        <v>4.6047579940496401</v>
      </c>
    </row>
    <row r="21" spans="2:14">
      <c r="B21" s="1">
        <v>41640</v>
      </c>
      <c r="C21" s="3">
        <v>4.5895646237737804</v>
      </c>
      <c r="D21" s="3">
        <v>4.6121976997306398</v>
      </c>
      <c r="E21" s="3">
        <v>4.5423720637683003</v>
      </c>
      <c r="F21" s="3">
        <f t="shared" si="0"/>
        <v>-2.2633075956859372E-2</v>
      </c>
      <c r="G21" s="3">
        <f t="shared" si="1"/>
        <v>4.7192560005480111E-2</v>
      </c>
      <c r="H21" s="3">
        <f t="shared" si="2"/>
        <v>6.9825635962339483E-2</v>
      </c>
      <c r="J21" s="1">
        <v>41640</v>
      </c>
      <c r="K21">
        <v>4.6121976997306398</v>
      </c>
      <c r="M21" s="1">
        <v>41640</v>
      </c>
      <c r="N21">
        <v>4.5423720637683003</v>
      </c>
    </row>
    <row r="22" spans="2:14">
      <c r="B22" s="1">
        <v>41609</v>
      </c>
      <c r="C22" s="3">
        <v>4.61920026135369</v>
      </c>
      <c r="D22" s="3">
        <v>4.5903276122072301</v>
      </c>
      <c r="E22" s="3">
        <v>4.4856529453012701</v>
      </c>
      <c r="F22" s="3">
        <f t="shared" si="0"/>
        <v>2.8872649146459928E-2</v>
      </c>
      <c r="G22" s="3">
        <f t="shared" si="1"/>
        <v>0.13354731605241987</v>
      </c>
      <c r="H22" s="3">
        <f t="shared" si="2"/>
        <v>0.10467466690595995</v>
      </c>
      <c r="J22" s="1">
        <v>41609</v>
      </c>
      <c r="K22">
        <v>4.5903276122072301</v>
      </c>
      <c r="M22" s="1">
        <v>41609</v>
      </c>
      <c r="N22">
        <v>4.4856529453012701</v>
      </c>
    </row>
    <row r="23" spans="2:14">
      <c r="B23" s="1">
        <v>41579</v>
      </c>
      <c r="C23" s="3">
        <v>4.6747178236477502</v>
      </c>
      <c r="D23" s="3">
        <v>4.6286520450176498</v>
      </c>
      <c r="E23" s="3">
        <v>4.5931885852676899</v>
      </c>
      <c r="F23" s="3">
        <f t="shared" si="0"/>
        <v>4.6065778630100418E-2</v>
      </c>
      <c r="G23" s="3">
        <f t="shared" si="1"/>
        <v>8.152923838006032E-2</v>
      </c>
      <c r="H23" s="3">
        <f t="shared" si="2"/>
        <v>3.5463459749959902E-2</v>
      </c>
      <c r="J23" s="1">
        <v>41579</v>
      </c>
      <c r="K23">
        <v>4.6286520450176498</v>
      </c>
      <c r="M23" s="1">
        <v>41579</v>
      </c>
      <c r="N23">
        <v>4.5931885852676899</v>
      </c>
    </row>
    <row r="24" spans="2:14">
      <c r="B24" s="1">
        <v>41548</v>
      </c>
      <c r="C24" s="3">
        <v>4.5862204451268598</v>
      </c>
      <c r="D24" s="3">
        <v>4.6690205639464004</v>
      </c>
      <c r="E24" s="3">
        <v>4.6448965055844003</v>
      </c>
      <c r="F24" s="3">
        <f t="shared" si="0"/>
        <v>-8.2800118819540636E-2</v>
      </c>
      <c r="G24" s="3">
        <f t="shared" si="1"/>
        <v>-5.867606045754048E-2</v>
      </c>
      <c r="H24" s="3">
        <f t="shared" si="2"/>
        <v>2.4124058362000156E-2</v>
      </c>
      <c r="J24" s="1">
        <v>41548</v>
      </c>
      <c r="K24">
        <v>4.6690205639464004</v>
      </c>
      <c r="M24" s="1">
        <v>41548</v>
      </c>
      <c r="N24">
        <v>4.6448965055844003</v>
      </c>
    </row>
    <row r="25" spans="2:14">
      <c r="B25" s="1">
        <v>41518</v>
      </c>
      <c r="C25" s="3">
        <v>4.2507659645031097</v>
      </c>
      <c r="D25" s="3">
        <v>4.5745696530370399</v>
      </c>
      <c r="E25" s="3">
        <v>4.4868701789443204</v>
      </c>
      <c r="F25" s="3">
        <f t="shared" si="0"/>
        <v>-0.32380368853393016</v>
      </c>
      <c r="G25" s="3">
        <f t="shared" si="1"/>
        <v>-0.23610421444121066</v>
      </c>
      <c r="H25" s="3">
        <f t="shared" si="2"/>
        <v>8.7699474092719498E-2</v>
      </c>
      <c r="J25" s="1">
        <v>41518</v>
      </c>
      <c r="K25">
        <v>4.5745696530370399</v>
      </c>
      <c r="M25" s="1">
        <v>41518</v>
      </c>
      <c r="N25">
        <v>4.4868701789443204</v>
      </c>
    </row>
    <row r="26" spans="2:14">
      <c r="B26" s="1">
        <v>41487</v>
      </c>
      <c r="C26" s="3">
        <v>3.9491096805015098</v>
      </c>
      <c r="D26" s="3">
        <v>4.2447480399268001</v>
      </c>
      <c r="E26" s="3">
        <v>4.1904757607515801</v>
      </c>
      <c r="F26" s="3">
        <f t="shared" si="0"/>
        <v>-0.29563835942529026</v>
      </c>
      <c r="G26" s="3">
        <f t="shared" si="1"/>
        <v>-0.24136608025007034</v>
      </c>
      <c r="H26" s="3">
        <f t="shared" si="2"/>
        <v>5.4272279175219929E-2</v>
      </c>
      <c r="J26" s="1">
        <v>41487</v>
      </c>
      <c r="K26">
        <v>4.2447480399268001</v>
      </c>
      <c r="M26" s="1">
        <v>41487</v>
      </c>
      <c r="N26">
        <v>4.1904757607515801</v>
      </c>
    </row>
    <row r="27" spans="2:14">
      <c r="B27" s="1">
        <v>41456</v>
      </c>
      <c r="C27" s="3">
        <v>3.8211445865321001</v>
      </c>
      <c r="D27" s="3">
        <v>3.8919528668798899</v>
      </c>
      <c r="E27" s="3">
        <v>3.8614924384028302</v>
      </c>
      <c r="F27" s="3">
        <f t="shared" si="0"/>
        <v>-7.0808280347789854E-2</v>
      </c>
      <c r="G27" s="3">
        <f t="shared" si="1"/>
        <v>-4.0347851870730089E-2</v>
      </c>
      <c r="H27" s="3">
        <f t="shared" si="2"/>
        <v>3.0460428477059764E-2</v>
      </c>
      <c r="J27" s="1">
        <v>41456</v>
      </c>
      <c r="K27">
        <v>3.8919528668798899</v>
      </c>
      <c r="M27" s="1">
        <v>41456</v>
      </c>
      <c r="N27">
        <v>3.8614924384028302</v>
      </c>
    </row>
    <row r="28" spans="2:14">
      <c r="B28" s="1">
        <v>41426</v>
      </c>
      <c r="C28" s="3">
        <v>3.8062802293370401</v>
      </c>
      <c r="D28" s="3">
        <v>3.7793401133038</v>
      </c>
      <c r="E28" s="3">
        <v>3.7594762587358401</v>
      </c>
      <c r="F28" s="3">
        <f t="shared" si="0"/>
        <v>2.6940116033240091E-2</v>
      </c>
      <c r="G28" s="3">
        <f t="shared" si="1"/>
        <v>4.6803970601200007E-2</v>
      </c>
      <c r="H28" s="3">
        <f t="shared" si="2"/>
        <v>1.9863854567959915E-2</v>
      </c>
      <c r="J28" s="1">
        <v>41426</v>
      </c>
      <c r="K28">
        <v>3.7793401133038</v>
      </c>
      <c r="M28" s="1">
        <v>41426</v>
      </c>
      <c r="N28">
        <v>3.7594762587358401</v>
      </c>
    </row>
    <row r="29" spans="2:14">
      <c r="B29" s="1">
        <v>41395</v>
      </c>
      <c r="C29" s="3">
        <v>3.9283481871750499</v>
      </c>
      <c r="D29" s="3">
        <v>3.80303948125629</v>
      </c>
      <c r="E29" s="3">
        <v>3.7579848918707599</v>
      </c>
      <c r="F29" s="3">
        <f t="shared" si="0"/>
        <v>0.12530870591875987</v>
      </c>
      <c r="G29" s="3">
        <f t="shared" si="1"/>
        <v>0.17036329530428995</v>
      </c>
      <c r="H29" s="3">
        <f t="shared" si="2"/>
        <v>4.5054589385530086E-2</v>
      </c>
      <c r="J29" s="1">
        <v>41395</v>
      </c>
      <c r="K29">
        <v>3.80303948125629</v>
      </c>
      <c r="M29" s="1">
        <v>41395</v>
      </c>
      <c r="N29">
        <v>3.7579848918707599</v>
      </c>
    </row>
    <row r="30" spans="2:14">
      <c r="B30" s="1">
        <v>41365</v>
      </c>
      <c r="C30" s="3">
        <v>3.8038767498904398</v>
      </c>
      <c r="D30" s="3">
        <v>3.80364044849131</v>
      </c>
      <c r="E30" s="3">
        <v>3.7233882877985902</v>
      </c>
      <c r="F30" s="3">
        <f t="shared" si="0"/>
        <v>2.363013991297791E-4</v>
      </c>
      <c r="G30" s="3">
        <f t="shared" si="1"/>
        <v>8.0488462091849566E-2</v>
      </c>
      <c r="H30" s="3">
        <f t="shared" si="2"/>
        <v>8.0252160692719787E-2</v>
      </c>
      <c r="J30" s="1">
        <v>41365</v>
      </c>
      <c r="K30">
        <v>3.80364044849131</v>
      </c>
      <c r="M30" s="1">
        <v>41365</v>
      </c>
      <c r="N30">
        <v>3.7233882877985902</v>
      </c>
    </row>
    <row r="31" spans="2:14">
      <c r="B31" s="1">
        <v>41334</v>
      </c>
      <c r="C31" s="3">
        <v>3.69926642416794</v>
      </c>
      <c r="D31" s="3">
        <v>3.7542129023702202</v>
      </c>
      <c r="E31" s="3">
        <v>3.6572873433600201</v>
      </c>
      <c r="F31" s="3">
        <f t="shared" si="0"/>
        <v>-5.4946478202280158E-2</v>
      </c>
      <c r="G31" s="3">
        <f t="shared" si="1"/>
        <v>4.19790808079199E-2</v>
      </c>
      <c r="H31" s="3">
        <f t="shared" si="2"/>
        <v>9.6925559010200057E-2</v>
      </c>
      <c r="J31" s="1">
        <v>41334</v>
      </c>
      <c r="K31">
        <v>3.7542129023702202</v>
      </c>
      <c r="M31" s="1">
        <v>41334</v>
      </c>
      <c r="N31">
        <v>3.6572873433600201</v>
      </c>
    </row>
    <row r="32" spans="2:14">
      <c r="B32" s="1">
        <v>41306</v>
      </c>
      <c r="C32" s="3">
        <v>3.63325349969457</v>
      </c>
      <c r="D32" s="3">
        <v>3.6053486298375601</v>
      </c>
      <c r="E32" s="3">
        <v>3.58160500208843</v>
      </c>
      <c r="F32" s="3">
        <f t="shared" si="0"/>
        <v>2.7904869857009906E-2</v>
      </c>
      <c r="G32" s="3">
        <f t="shared" si="1"/>
        <v>5.1648497606139987E-2</v>
      </c>
      <c r="H32" s="3">
        <f t="shared" si="2"/>
        <v>2.3743627749130081E-2</v>
      </c>
      <c r="J32" s="1">
        <v>41306</v>
      </c>
      <c r="K32">
        <v>3.6053486298375601</v>
      </c>
      <c r="M32" s="1">
        <v>41306</v>
      </c>
      <c r="N32">
        <v>3.58160500208843</v>
      </c>
    </row>
    <row r="33" spans="2:14">
      <c r="B33" s="1">
        <v>41275</v>
      </c>
      <c r="C33" s="3">
        <v>3.7531777758654599</v>
      </c>
      <c r="D33" s="3">
        <v>3.61383049302919</v>
      </c>
      <c r="E33" s="3">
        <v>3.5617646791317901</v>
      </c>
      <c r="F33" s="3">
        <f t="shared" si="0"/>
        <v>0.13934728283626985</v>
      </c>
      <c r="G33" s="3">
        <f t="shared" si="1"/>
        <v>0.1914130967336698</v>
      </c>
      <c r="H33" s="3">
        <f t="shared" si="2"/>
        <v>5.2065813897399948E-2</v>
      </c>
      <c r="J33" s="1">
        <v>41275</v>
      </c>
      <c r="K33">
        <v>3.61383049302919</v>
      </c>
      <c r="M33" s="1">
        <v>41275</v>
      </c>
      <c r="N33">
        <v>3.5617646791317901</v>
      </c>
    </row>
    <row r="34" spans="2:14">
      <c r="B34" s="1">
        <v>41244</v>
      </c>
      <c r="C34" s="3">
        <v>3.7529169822709099</v>
      </c>
      <c r="D34" s="3">
        <v>3.6787505408074899</v>
      </c>
      <c r="E34" s="3">
        <v>3.56765547891264</v>
      </c>
      <c r="F34" s="3">
        <f t="shared" si="0"/>
        <v>7.4166441463419996E-2</v>
      </c>
      <c r="G34" s="3">
        <f t="shared" si="1"/>
        <v>0.18526150335826985</v>
      </c>
      <c r="H34" s="3">
        <f t="shared" si="2"/>
        <v>0.11109506189484986</v>
      </c>
      <c r="J34" s="1">
        <v>41244</v>
      </c>
      <c r="K34">
        <v>3.6787505408074899</v>
      </c>
      <c r="M34" s="1">
        <v>41244</v>
      </c>
      <c r="N34">
        <v>3.56765547891264</v>
      </c>
    </row>
    <row r="35" spans="2:14">
      <c r="B35" s="1">
        <v>41214</v>
      </c>
      <c r="C35" s="3">
        <v>3.8270042987425001</v>
      </c>
      <c r="D35" s="3">
        <v>3.7165128808085699</v>
      </c>
      <c r="E35" s="3">
        <v>3.6357269037879698</v>
      </c>
      <c r="F35" s="3">
        <f t="shared" si="0"/>
        <v>0.11049141793393025</v>
      </c>
      <c r="G35" s="3">
        <f t="shared" si="1"/>
        <v>0.19127739495453033</v>
      </c>
      <c r="H35" s="3">
        <f t="shared" si="2"/>
        <v>8.0785977020600086E-2</v>
      </c>
      <c r="J35" s="1">
        <v>41214</v>
      </c>
      <c r="K35">
        <v>3.7165128808085699</v>
      </c>
      <c r="M35" s="1">
        <v>41214</v>
      </c>
      <c r="N35">
        <v>3.6357269037879698</v>
      </c>
    </row>
    <row r="36" spans="2:14">
      <c r="B36" s="1">
        <v>41183</v>
      </c>
      <c r="C36" s="3">
        <v>3.8503675120790701</v>
      </c>
      <c r="D36" s="3">
        <v>3.8126189038843799</v>
      </c>
      <c r="E36" s="3">
        <v>3.7556527877728501</v>
      </c>
      <c r="F36" s="3">
        <f t="shared" si="0"/>
        <v>3.7748608194690281E-2</v>
      </c>
      <c r="G36" s="3">
        <f t="shared" si="1"/>
        <v>9.4714724306220077E-2</v>
      </c>
      <c r="H36" s="3">
        <f t="shared" si="2"/>
        <v>5.6966116111529796E-2</v>
      </c>
      <c r="J36" s="1">
        <v>41183</v>
      </c>
      <c r="K36">
        <v>3.8126189038843799</v>
      </c>
      <c r="M36" s="1">
        <v>41183</v>
      </c>
      <c r="N36">
        <v>3.7556527877728501</v>
      </c>
    </row>
    <row r="37" spans="2:14">
      <c r="B37" s="1">
        <v>41153</v>
      </c>
      <c r="C37" s="3">
        <v>3.9015765798451199</v>
      </c>
      <c r="D37" s="3">
        <v>3.8442939134793499</v>
      </c>
      <c r="E37" s="3">
        <v>3.8328685818010499</v>
      </c>
      <c r="F37" s="3">
        <f t="shared" si="0"/>
        <v>5.7282666365769952E-2</v>
      </c>
      <c r="G37" s="3">
        <f t="shared" si="1"/>
        <v>6.8707998044069907E-2</v>
      </c>
      <c r="H37" s="3">
        <f t="shared" si="2"/>
        <v>1.1425331678299955E-2</v>
      </c>
      <c r="J37" s="1">
        <v>41153</v>
      </c>
      <c r="K37">
        <v>3.8442939134793499</v>
      </c>
      <c r="M37" s="1">
        <v>41153</v>
      </c>
      <c r="N37">
        <v>3.8328685818010499</v>
      </c>
    </row>
    <row r="38" spans="2:14">
      <c r="B38" s="1">
        <v>41122</v>
      </c>
      <c r="C38" s="3">
        <v>4.0168085289684097</v>
      </c>
      <c r="D38" s="3">
        <v>3.9188893390305402</v>
      </c>
      <c r="E38" s="3">
        <v>3.84847397972475</v>
      </c>
      <c r="F38" s="3">
        <f t="shared" si="0"/>
        <v>9.7919189937869522E-2</v>
      </c>
      <c r="G38" s="3">
        <f t="shared" si="1"/>
        <v>0.16833454924365965</v>
      </c>
      <c r="H38" s="3">
        <f t="shared" si="2"/>
        <v>7.0415359305790126E-2</v>
      </c>
      <c r="J38" s="1">
        <v>41122</v>
      </c>
      <c r="K38">
        <v>3.9188893390305402</v>
      </c>
      <c r="M38" s="1">
        <v>41122</v>
      </c>
      <c r="N38">
        <v>3.84847397972475</v>
      </c>
    </row>
    <row r="39" spans="2:14">
      <c r="B39" s="1">
        <v>41091</v>
      </c>
      <c r="C39" s="3">
        <v>4.1313460757178397</v>
      </c>
      <c r="D39" s="3">
        <v>4.0210240278428504</v>
      </c>
      <c r="E39" s="3">
        <v>3.9915397167780799</v>
      </c>
      <c r="F39" s="3">
        <f t="shared" si="0"/>
        <v>0.11032204787498934</v>
      </c>
      <c r="G39" s="3">
        <f t="shared" si="1"/>
        <v>0.13980635893975979</v>
      </c>
      <c r="H39" s="3">
        <f t="shared" si="2"/>
        <v>2.9484311064770452E-2</v>
      </c>
      <c r="J39" s="1">
        <v>41091</v>
      </c>
      <c r="K39">
        <v>4.0210240278428504</v>
      </c>
      <c r="M39" s="1">
        <v>41091</v>
      </c>
      <c r="N39">
        <v>3.9915397167780799</v>
      </c>
    </row>
    <row r="40" spans="2:14">
      <c r="B40" s="1">
        <v>41061</v>
      </c>
      <c r="C40" s="3">
        <v>4.3125175098783002</v>
      </c>
      <c r="D40" s="3">
        <v>4.0942294802658896</v>
      </c>
      <c r="E40" s="3">
        <v>4.0796072104057002</v>
      </c>
      <c r="F40" s="3">
        <f t="shared" si="0"/>
        <v>0.21828802961241056</v>
      </c>
      <c r="G40" s="3">
        <f t="shared" si="1"/>
        <v>0.2329102994726</v>
      </c>
      <c r="H40" s="3">
        <f t="shared" si="2"/>
        <v>1.4622269860189441E-2</v>
      </c>
      <c r="J40" s="1">
        <v>41061</v>
      </c>
      <c r="K40">
        <v>4.0942294802658896</v>
      </c>
      <c r="M40" s="1">
        <v>41061</v>
      </c>
      <c r="N40">
        <v>4.0796072104057002</v>
      </c>
    </row>
    <row r="41" spans="2:14">
      <c r="B41" s="1">
        <v>41030</v>
      </c>
      <c r="C41" s="3">
        <v>4.1556151382690096</v>
      </c>
      <c r="D41" s="3">
        <v>4.17333271294269</v>
      </c>
      <c r="E41" s="3">
        <v>4.0951346139394103</v>
      </c>
      <c r="F41" s="3">
        <f t="shared" si="0"/>
        <v>-1.7717574673680403E-2</v>
      </c>
      <c r="G41" s="3">
        <f t="shared" si="1"/>
        <v>6.0480524329599383E-2</v>
      </c>
      <c r="H41" s="3">
        <f t="shared" si="2"/>
        <v>7.8198099003279786E-2</v>
      </c>
      <c r="J41" s="1">
        <v>41030</v>
      </c>
      <c r="K41">
        <v>4.17333271294269</v>
      </c>
      <c r="M41" s="1">
        <v>41030</v>
      </c>
      <c r="N41">
        <v>4.0951346139394103</v>
      </c>
    </row>
    <row r="42" spans="2:14">
      <c r="B42" s="1">
        <v>41000</v>
      </c>
      <c r="C42" s="3">
        <v>4.1739330968867403</v>
      </c>
      <c r="D42" s="3">
        <v>4.1092129545932403</v>
      </c>
      <c r="E42" s="3">
        <v>4.0552340372442899</v>
      </c>
      <c r="F42" s="3">
        <f t="shared" si="0"/>
        <v>6.4720142293499983E-2</v>
      </c>
      <c r="G42" s="3">
        <f t="shared" si="1"/>
        <v>0.11869905964245042</v>
      </c>
      <c r="H42" s="3">
        <f t="shared" si="2"/>
        <v>5.3978917348950439E-2</v>
      </c>
      <c r="J42" s="1">
        <v>41000</v>
      </c>
      <c r="K42">
        <v>4.1092129545932403</v>
      </c>
      <c r="M42" s="1">
        <v>41000</v>
      </c>
      <c r="N42">
        <v>4.0552340372442899</v>
      </c>
    </row>
    <row r="43" spans="2:14">
      <c r="B43" s="1">
        <v>40969</v>
      </c>
      <c r="C43" s="3">
        <v>4.1882604412744202</v>
      </c>
      <c r="D43" s="3">
        <v>4.1549008131127501</v>
      </c>
      <c r="E43" s="3">
        <v>4.0730557594336103</v>
      </c>
      <c r="F43" s="3">
        <f t="shared" si="0"/>
        <v>3.3359628161670152E-2</v>
      </c>
      <c r="G43" s="3">
        <f t="shared" si="1"/>
        <v>0.1152046818408099</v>
      </c>
      <c r="H43" s="3">
        <f t="shared" si="2"/>
        <v>8.1845053679139745E-2</v>
      </c>
      <c r="J43" s="1">
        <v>40969</v>
      </c>
      <c r="K43">
        <v>4.1549008131127501</v>
      </c>
      <c r="M43" s="1">
        <v>40969</v>
      </c>
      <c r="N43">
        <v>4.0730557594336103</v>
      </c>
    </row>
    <row r="44" spans="2:14">
      <c r="B44" s="1">
        <v>40940</v>
      </c>
      <c r="C44" s="3">
        <v>4.2765226382154298</v>
      </c>
      <c r="D44" s="3">
        <v>4.2256085430486303</v>
      </c>
      <c r="E44" s="3">
        <v>4.1302566229502302</v>
      </c>
      <c r="F44" s="3">
        <f t="shared" si="0"/>
        <v>5.0914095166799456E-2</v>
      </c>
      <c r="G44" s="3">
        <f t="shared" si="1"/>
        <v>0.14626601526519956</v>
      </c>
      <c r="H44" s="3">
        <f t="shared" si="2"/>
        <v>9.53519200984001E-2</v>
      </c>
      <c r="J44" s="1">
        <v>40940</v>
      </c>
      <c r="K44">
        <v>4.2256085430486303</v>
      </c>
      <c r="M44" s="1">
        <v>40940</v>
      </c>
      <c r="N44">
        <v>4.1302566229502302</v>
      </c>
    </row>
    <row r="45" spans="2:14">
      <c r="B45" s="1">
        <v>40909</v>
      </c>
      <c r="C45" s="3">
        <v>4.3227644059747696</v>
      </c>
      <c r="D45" s="3">
        <v>4.33310028406291</v>
      </c>
      <c r="E45" s="3">
        <v>4.2152473802194796</v>
      </c>
      <c r="F45" s="3">
        <f t="shared" si="0"/>
        <v>-1.0335878088140404E-2</v>
      </c>
      <c r="G45" s="3">
        <f t="shared" si="1"/>
        <v>0.10751702575528999</v>
      </c>
      <c r="H45" s="3">
        <f t="shared" si="2"/>
        <v>0.11785290384343039</v>
      </c>
      <c r="J45" s="1">
        <v>40909</v>
      </c>
      <c r="K45">
        <v>4.33310028406291</v>
      </c>
      <c r="M45" s="1">
        <v>40909</v>
      </c>
      <c r="N45">
        <v>4.2152473802194796</v>
      </c>
    </row>
    <row r="46" spans="2:14">
      <c r="B46" s="1">
        <v>40878</v>
      </c>
      <c r="C46" s="3">
        <v>4.3278463437356898</v>
      </c>
      <c r="D46" s="3">
        <v>4.2673548758431599</v>
      </c>
      <c r="E46" s="3">
        <v>4.2221592290878203</v>
      </c>
      <c r="F46" s="3">
        <f t="shared" si="0"/>
        <v>6.0491467892529904E-2</v>
      </c>
      <c r="G46" s="3">
        <f t="shared" si="1"/>
        <v>0.10568711464786951</v>
      </c>
      <c r="H46" s="3">
        <f t="shared" si="2"/>
        <v>4.5195646755339602E-2</v>
      </c>
      <c r="J46" s="1">
        <v>40878</v>
      </c>
      <c r="K46">
        <v>4.2673548758431599</v>
      </c>
      <c r="M46" s="1">
        <v>40878</v>
      </c>
      <c r="N46">
        <v>4.2221592290878203</v>
      </c>
    </row>
    <row r="47" spans="2:14">
      <c r="B47" s="1">
        <v>40848</v>
      </c>
      <c r="C47" s="3">
        <v>4.4491338596756798</v>
      </c>
      <c r="D47" s="3">
        <v>4.34694600021336</v>
      </c>
      <c r="E47" s="3">
        <v>4.2804118399340396</v>
      </c>
      <c r="F47" s="3">
        <f t="shared" si="0"/>
        <v>0.10218785946231979</v>
      </c>
      <c r="G47" s="3">
        <f t="shared" si="1"/>
        <v>0.16872201974164014</v>
      </c>
      <c r="H47" s="3">
        <f t="shared" si="2"/>
        <v>6.6534160279320353E-2</v>
      </c>
      <c r="J47" s="1">
        <v>40848</v>
      </c>
      <c r="K47">
        <v>4.34694600021336</v>
      </c>
      <c r="M47" s="1">
        <v>40848</v>
      </c>
      <c r="N47">
        <v>4.2804118399340396</v>
      </c>
    </row>
    <row r="48" spans="2:14">
      <c r="B48" s="1">
        <v>40817</v>
      </c>
      <c r="C48" s="3">
        <v>4.5669157311845598</v>
      </c>
      <c r="D48" s="3">
        <v>4.4539225851543804</v>
      </c>
      <c r="E48" s="3">
        <v>4.3601827778140496</v>
      </c>
      <c r="F48" s="3">
        <f t="shared" si="0"/>
        <v>0.1129931460301794</v>
      </c>
      <c r="G48" s="3">
        <f t="shared" si="1"/>
        <v>0.20673295337051023</v>
      </c>
      <c r="H48" s="3">
        <f t="shared" si="2"/>
        <v>9.3739807340330827E-2</v>
      </c>
      <c r="J48" s="1">
        <v>40817</v>
      </c>
      <c r="K48">
        <v>4.4539225851543804</v>
      </c>
      <c r="M48" s="1">
        <v>40817</v>
      </c>
      <c r="N48">
        <v>4.3601827778140496</v>
      </c>
    </row>
    <row r="49" spans="2:14">
      <c r="B49" s="1">
        <v>40787</v>
      </c>
      <c r="C49" s="3">
        <v>4.8218941601059599</v>
      </c>
      <c r="D49" s="3">
        <v>4.74605707840702</v>
      </c>
      <c r="E49" s="3">
        <v>4.5906352698938502</v>
      </c>
      <c r="F49" s="3">
        <f t="shared" si="0"/>
        <v>7.583708169893999E-2</v>
      </c>
      <c r="G49" s="3">
        <f t="shared" si="1"/>
        <v>0.23125889021210977</v>
      </c>
      <c r="H49" s="3">
        <f t="shared" si="2"/>
        <v>0.15542180851316978</v>
      </c>
      <c r="J49" s="1">
        <v>40787</v>
      </c>
      <c r="K49">
        <v>4.74605707840702</v>
      </c>
      <c r="M49" s="1">
        <v>40787</v>
      </c>
      <c r="N49">
        <v>4.5906352698938502</v>
      </c>
    </row>
    <row r="50" spans="2:14">
      <c r="B50" s="1">
        <v>40756</v>
      </c>
      <c r="C50" s="3">
        <v>4.9368701544670603</v>
      </c>
      <c r="D50" s="3">
        <v>4.77017791678142</v>
      </c>
      <c r="E50" s="3">
        <v>4.7660299889469897</v>
      </c>
      <c r="F50" s="3">
        <f t="shared" si="0"/>
        <v>0.16669223768564034</v>
      </c>
      <c r="G50" s="3">
        <f t="shared" si="1"/>
        <v>0.17084016552007064</v>
      </c>
      <c r="H50" s="3">
        <f t="shared" si="2"/>
        <v>4.1479278344302983E-3</v>
      </c>
      <c r="J50" s="1">
        <v>40756</v>
      </c>
      <c r="K50">
        <v>4.77017791678142</v>
      </c>
      <c r="M50" s="1">
        <v>40756</v>
      </c>
      <c r="N50">
        <v>4.7660299889469897</v>
      </c>
    </row>
    <row r="51" spans="2:14">
      <c r="B51" s="1">
        <v>40725</v>
      </c>
      <c r="C51" s="3">
        <v>4.9621704900752599</v>
      </c>
      <c r="D51" s="3">
        <v>4.9444954687776601</v>
      </c>
      <c r="E51" s="3">
        <v>4.8542933668009498</v>
      </c>
      <c r="F51" s="3">
        <f t="shared" si="0"/>
        <v>1.7675021297599791E-2</v>
      </c>
      <c r="G51" s="3">
        <f t="shared" si="1"/>
        <v>0.10787712327431009</v>
      </c>
      <c r="H51" s="3">
        <f t="shared" si="2"/>
        <v>9.0202101976710303E-2</v>
      </c>
      <c r="J51" s="1">
        <v>40725</v>
      </c>
      <c r="K51">
        <v>4.9444954687776601</v>
      </c>
      <c r="M51" s="1">
        <v>40725</v>
      </c>
      <c r="N51">
        <v>4.8542933668009498</v>
      </c>
    </row>
    <row r="52" spans="2:14">
      <c r="B52" s="1">
        <v>40695</v>
      </c>
      <c r="C52" s="3">
        <v>5.11213707449979</v>
      </c>
      <c r="D52" s="3">
        <v>5.0106522497190102</v>
      </c>
      <c r="E52" s="3">
        <v>4.95904409974725</v>
      </c>
      <c r="F52" s="3">
        <f t="shared" si="0"/>
        <v>0.1014848247807798</v>
      </c>
      <c r="G52" s="3">
        <f t="shared" si="1"/>
        <v>0.15309297475254002</v>
      </c>
      <c r="H52" s="3">
        <f t="shared" si="2"/>
        <v>5.160814997176022E-2</v>
      </c>
      <c r="J52" s="1">
        <v>40695</v>
      </c>
      <c r="K52">
        <v>5.0106522497190102</v>
      </c>
      <c r="M52" s="1">
        <v>40695</v>
      </c>
      <c r="N52">
        <v>4.95904409974725</v>
      </c>
    </row>
    <row r="53" spans="2:14">
      <c r="B53" s="1">
        <v>40664</v>
      </c>
      <c r="C53" s="3">
        <v>5.0898398470488999</v>
      </c>
      <c r="D53" s="3">
        <v>5.1272066949473798</v>
      </c>
      <c r="E53" s="3">
        <v>5.0024613921514902</v>
      </c>
      <c r="F53" s="3">
        <f t="shared" si="0"/>
        <v>-3.7366847898479882E-2</v>
      </c>
      <c r="G53" s="3">
        <f t="shared" si="1"/>
        <v>8.7378454897409696E-2</v>
      </c>
      <c r="H53" s="3">
        <f t="shared" si="2"/>
        <v>0.12474530279588958</v>
      </c>
      <c r="J53" s="1">
        <v>40664</v>
      </c>
      <c r="K53">
        <v>5.1272066949473798</v>
      </c>
      <c r="M53" s="1">
        <v>40664</v>
      </c>
      <c r="N53">
        <v>5.0024613921514902</v>
      </c>
    </row>
    <row r="54" spans="2:14">
      <c r="B54" s="1">
        <v>40634</v>
      </c>
      <c r="C54" s="3">
        <v>4.9859301813030701</v>
      </c>
      <c r="D54" s="3">
        <v>5.1598024386056496</v>
      </c>
      <c r="E54" s="3">
        <v>4.9197654711748502</v>
      </c>
      <c r="F54" s="3">
        <f t="shared" si="0"/>
        <v>-0.17387225730257949</v>
      </c>
      <c r="G54" s="3">
        <f t="shared" si="1"/>
        <v>6.6164710128219895E-2</v>
      </c>
      <c r="H54" s="3">
        <f t="shared" si="2"/>
        <v>0.24003696743079939</v>
      </c>
      <c r="J54" s="1">
        <v>40634</v>
      </c>
      <c r="K54">
        <v>5.1598024386056496</v>
      </c>
      <c r="M54" s="1">
        <v>40634</v>
      </c>
      <c r="N54">
        <v>4.9197654711748502</v>
      </c>
    </row>
    <row r="55" spans="2:14">
      <c r="B55" s="1">
        <v>40603</v>
      </c>
      <c r="C55" s="3">
        <v>4.8078077345350003</v>
      </c>
      <c r="D55" s="3">
        <v>4.9744173256000304</v>
      </c>
      <c r="E55" s="3">
        <v>4.8488406302649203</v>
      </c>
      <c r="F55" s="3">
        <f t="shared" si="0"/>
        <v>-0.16660959106503004</v>
      </c>
      <c r="G55" s="3">
        <f t="shared" si="1"/>
        <v>-4.1032895729919971E-2</v>
      </c>
      <c r="H55" s="3">
        <f t="shared" si="2"/>
        <v>0.12557669533511007</v>
      </c>
      <c r="J55" s="1">
        <v>40603</v>
      </c>
      <c r="K55">
        <v>4.9744173256000304</v>
      </c>
      <c r="M55" s="1">
        <v>40603</v>
      </c>
      <c r="N55">
        <v>4.8488406302649203</v>
      </c>
    </row>
    <row r="56" spans="2:14">
      <c r="B56" s="1">
        <v>40575</v>
      </c>
      <c r="C56" s="3">
        <v>4.57035078861953</v>
      </c>
      <c r="D56" s="3">
        <v>4.7009443977877297</v>
      </c>
      <c r="E56" s="3">
        <v>4.6256668706208099</v>
      </c>
      <c r="F56" s="3">
        <f t="shared" si="0"/>
        <v>-0.13059360916819962</v>
      </c>
      <c r="G56" s="3">
        <f t="shared" si="1"/>
        <v>-5.5316082001279909E-2</v>
      </c>
      <c r="H56" s="3">
        <f t="shared" si="2"/>
        <v>7.5277527166919711E-2</v>
      </c>
      <c r="J56" s="1">
        <v>40575</v>
      </c>
      <c r="K56">
        <v>4.7009443977877297</v>
      </c>
      <c r="M56" s="1">
        <v>40575</v>
      </c>
      <c r="N56">
        <v>4.6256668706208099</v>
      </c>
    </row>
    <row r="57" spans="2:14">
      <c r="B57" s="1">
        <v>40544</v>
      </c>
      <c r="C57" s="3">
        <v>4.47777180912228</v>
      </c>
      <c r="D57" s="3">
        <v>4.5086726559339203</v>
      </c>
      <c r="E57" s="3">
        <v>4.4727380652121402</v>
      </c>
      <c r="F57" s="3">
        <f t="shared" si="0"/>
        <v>-3.0900846811640292E-2</v>
      </c>
      <c r="G57" s="3">
        <f t="shared" si="1"/>
        <v>5.0337439101397763E-3</v>
      </c>
      <c r="H57" s="3">
        <f t="shared" si="2"/>
        <v>3.5934590721780069E-2</v>
      </c>
      <c r="J57" s="1">
        <v>40544</v>
      </c>
      <c r="K57">
        <v>4.5086726559339203</v>
      </c>
      <c r="M57" s="1">
        <v>40544</v>
      </c>
      <c r="N57">
        <v>4.4727380652121402</v>
      </c>
    </row>
    <row r="58" spans="2:14">
      <c r="B58" s="1">
        <v>40513</v>
      </c>
      <c r="C58" s="3">
        <v>4.5070489226462804</v>
      </c>
      <c r="D58" s="3">
        <v>4.3965985586797096</v>
      </c>
      <c r="E58" s="3">
        <v>4.4263113947291099</v>
      </c>
      <c r="F58" s="3">
        <f t="shared" si="0"/>
        <v>0.11045036396657082</v>
      </c>
      <c r="G58" s="3">
        <f t="shared" si="1"/>
        <v>8.0737527917170482E-2</v>
      </c>
      <c r="H58" s="3">
        <f t="shared" si="2"/>
        <v>-2.9712836049400337E-2</v>
      </c>
      <c r="J58" s="1">
        <v>40513</v>
      </c>
      <c r="K58">
        <v>4.3965985586797096</v>
      </c>
      <c r="M58" s="1">
        <v>40513</v>
      </c>
      <c r="N58">
        <v>4.4263113947291099</v>
      </c>
    </row>
    <row r="59" spans="2:14">
      <c r="B59" s="1">
        <v>40483</v>
      </c>
      <c r="C59" s="3">
        <v>4.6242812881039903</v>
      </c>
      <c r="D59" s="3">
        <v>4.5257030510575804</v>
      </c>
      <c r="E59" s="3">
        <v>4.46808288934138</v>
      </c>
      <c r="F59" s="3">
        <f t="shared" si="0"/>
        <v>9.8578237046409889E-2</v>
      </c>
      <c r="G59" s="3">
        <f t="shared" si="1"/>
        <v>0.15619839876261032</v>
      </c>
      <c r="H59" s="3">
        <f t="shared" si="2"/>
        <v>5.7620161716200435E-2</v>
      </c>
      <c r="J59" s="1">
        <v>40483</v>
      </c>
      <c r="K59">
        <v>4.5257030510575804</v>
      </c>
      <c r="M59" s="1">
        <v>40483</v>
      </c>
      <c r="N59">
        <v>4.46808288934138</v>
      </c>
    </row>
    <row r="60" spans="2:14">
      <c r="B60" s="1">
        <v>40452</v>
      </c>
      <c r="C60" s="3">
        <v>4.6829538502499499</v>
      </c>
      <c r="D60" s="3">
        <v>4.6295395373089496</v>
      </c>
      <c r="E60" s="3">
        <v>4.5241107366993702</v>
      </c>
      <c r="F60" s="3">
        <f t="shared" si="0"/>
        <v>5.3414312941000297E-2</v>
      </c>
      <c r="G60" s="3">
        <f t="shared" si="1"/>
        <v>0.15884311355057967</v>
      </c>
      <c r="H60" s="3">
        <f t="shared" si="2"/>
        <v>0.10542880060957938</v>
      </c>
      <c r="J60" s="1">
        <v>40452</v>
      </c>
      <c r="K60">
        <v>4.6295395373089496</v>
      </c>
      <c r="M60" s="1">
        <v>40452</v>
      </c>
      <c r="N60">
        <v>4.5241107366993702</v>
      </c>
    </row>
    <row r="61" spans="2:14">
      <c r="B61" s="1">
        <v>40422</v>
      </c>
      <c r="C61" s="3">
        <v>4.7967452175748404</v>
      </c>
      <c r="D61" s="3">
        <v>4.7233472303049897</v>
      </c>
      <c r="E61" s="3">
        <v>4.6422108273695404</v>
      </c>
      <c r="F61" s="3">
        <f t="shared" si="0"/>
        <v>7.3397987269850695E-2</v>
      </c>
      <c r="G61" s="3">
        <f t="shared" si="1"/>
        <v>0.15453439020530002</v>
      </c>
      <c r="H61" s="3">
        <f t="shared" si="2"/>
        <v>8.1136402935449325E-2</v>
      </c>
      <c r="J61" s="1">
        <v>40422</v>
      </c>
      <c r="K61">
        <v>4.7233472303049897</v>
      </c>
      <c r="M61" s="1">
        <v>40422</v>
      </c>
      <c r="N61">
        <v>4.6422108273695404</v>
      </c>
    </row>
    <row r="62" spans="2:14">
      <c r="B62" s="1">
        <v>40391</v>
      </c>
      <c r="C62" s="3">
        <v>4.9665212100368699</v>
      </c>
      <c r="D62" s="3">
        <v>4.9026518418762004</v>
      </c>
      <c r="E62" s="3">
        <v>4.7850141216470501</v>
      </c>
      <c r="F62" s="3">
        <f t="shared" si="0"/>
        <v>6.386936816066946E-2</v>
      </c>
      <c r="G62" s="3">
        <f t="shared" si="1"/>
        <v>0.18150708838981977</v>
      </c>
      <c r="H62" s="3">
        <f t="shared" si="2"/>
        <v>0.11763772022915031</v>
      </c>
      <c r="J62" s="1">
        <v>40391</v>
      </c>
      <c r="K62">
        <v>4.9026518418762004</v>
      </c>
      <c r="M62" s="1">
        <v>40391</v>
      </c>
      <c r="N62">
        <v>4.7850141216470501</v>
      </c>
    </row>
    <row r="63" spans="2:14">
      <c r="B63" s="1">
        <v>40360</v>
      </c>
      <c r="C63" s="3">
        <v>5.1335206483369902</v>
      </c>
      <c r="D63" s="3">
        <v>5.2044462933785898</v>
      </c>
      <c r="E63" s="3">
        <v>5.0279533756399903</v>
      </c>
      <c r="F63" s="3">
        <f t="shared" si="0"/>
        <v>-7.0925645041599594E-2</v>
      </c>
      <c r="G63" s="3">
        <f t="shared" si="1"/>
        <v>0.10556727269699984</v>
      </c>
      <c r="H63" s="3">
        <f t="shared" si="2"/>
        <v>0.17649291773859943</v>
      </c>
      <c r="J63" s="1">
        <v>40360</v>
      </c>
      <c r="K63">
        <v>5.2044462933785898</v>
      </c>
      <c r="M63" s="1">
        <v>40360</v>
      </c>
      <c r="N63">
        <v>5.0279533756399903</v>
      </c>
    </row>
    <row r="64" spans="2:14">
      <c r="B64" s="1">
        <v>40330</v>
      </c>
      <c r="C64" s="3">
        <v>5.1970539533687603</v>
      </c>
      <c r="D64" s="3">
        <v>5.2384048241764596</v>
      </c>
      <c r="E64" s="3">
        <v>5.1463617792058498</v>
      </c>
      <c r="F64" s="3">
        <f t="shared" si="0"/>
        <v>-4.135087080769928E-2</v>
      </c>
      <c r="G64" s="3">
        <f t="shared" si="1"/>
        <v>5.0692174162910497E-2</v>
      </c>
      <c r="H64" s="3">
        <f t="shared" si="2"/>
        <v>9.2043044970609778E-2</v>
      </c>
      <c r="J64" s="1">
        <v>40330</v>
      </c>
      <c r="K64">
        <v>5.2384048241764596</v>
      </c>
      <c r="M64" s="1">
        <v>40330</v>
      </c>
      <c r="N64">
        <v>5.1463617792058498</v>
      </c>
    </row>
    <row r="65" spans="2:14">
      <c r="B65" s="1">
        <v>40299</v>
      </c>
      <c r="C65" s="3">
        <v>5.1822039110491298</v>
      </c>
      <c r="D65" s="3">
        <v>5.1723318777901603</v>
      </c>
      <c r="E65" s="3">
        <v>5.1203829978817703</v>
      </c>
      <c r="F65" s="3">
        <f t="shared" si="0"/>
        <v>9.8720332589694593E-3</v>
      </c>
      <c r="G65" s="3">
        <f t="shared" si="1"/>
        <v>6.1820913167359492E-2</v>
      </c>
      <c r="H65" s="3">
        <f t="shared" si="2"/>
        <v>5.1948879908390033E-2</v>
      </c>
      <c r="J65" s="1">
        <v>40299</v>
      </c>
      <c r="K65">
        <v>5.1723318777901603</v>
      </c>
      <c r="M65" s="1">
        <v>40299</v>
      </c>
      <c r="N65">
        <v>5.1203829978817703</v>
      </c>
    </row>
    <row r="66" spans="2:14">
      <c r="B66" s="1">
        <v>40269</v>
      </c>
      <c r="C66" s="3">
        <v>5.1143490178859601</v>
      </c>
      <c r="D66" s="3">
        <v>5.2625221084983602</v>
      </c>
      <c r="E66" s="3">
        <v>5.1197191823873904</v>
      </c>
      <c r="F66" s="3">
        <f t="shared" si="0"/>
        <v>-0.14817309061240014</v>
      </c>
      <c r="G66" s="3">
        <f t="shared" si="1"/>
        <v>-5.3701645014303523E-3</v>
      </c>
      <c r="H66" s="3">
        <f t="shared" si="2"/>
        <v>0.14280292611096979</v>
      </c>
      <c r="J66" s="1">
        <v>40269</v>
      </c>
      <c r="K66">
        <v>5.2625221084983602</v>
      </c>
      <c r="M66" s="1">
        <v>40269</v>
      </c>
      <c r="N66">
        <v>5.1197191823873904</v>
      </c>
    </row>
    <row r="67" spans="2:14">
      <c r="B67" s="1">
        <v>40238</v>
      </c>
      <c r="C67" s="3">
        <v>5.0940064737528603</v>
      </c>
      <c r="D67" s="3">
        <v>5.1536480736346402</v>
      </c>
      <c r="E67" s="3">
        <v>5.0761830844653897</v>
      </c>
      <c r="F67" s="3">
        <f t="shared" si="0"/>
        <v>-5.9641599881779861E-2</v>
      </c>
      <c r="G67" s="3">
        <f t="shared" si="1"/>
        <v>1.7823389287470626E-2</v>
      </c>
      <c r="H67" s="3">
        <f t="shared" si="2"/>
        <v>7.7464989169250487E-2</v>
      </c>
      <c r="J67" s="1">
        <v>40238</v>
      </c>
      <c r="K67">
        <v>5.1536480736346402</v>
      </c>
      <c r="M67" s="1">
        <v>40238</v>
      </c>
      <c r="N67">
        <v>5.0761830844653897</v>
      </c>
    </row>
    <row r="68" spans="2:14">
      <c r="B68" s="1">
        <v>40210</v>
      </c>
      <c r="C68" s="3">
        <v>5.0325290775223701</v>
      </c>
      <c r="D68" s="3">
        <v>5.0033117888577898</v>
      </c>
      <c r="E68" s="3">
        <v>5.0031136856172704</v>
      </c>
      <c r="F68" s="3">
        <f t="shared" si="0"/>
        <v>2.9217288664580288E-2</v>
      </c>
      <c r="G68" s="3">
        <f t="shared" si="1"/>
        <v>2.9415391905099675E-2</v>
      </c>
      <c r="H68" s="3">
        <f t="shared" si="2"/>
        <v>1.9810324051938721E-4</v>
      </c>
      <c r="J68" s="1">
        <v>40210</v>
      </c>
      <c r="K68">
        <v>5.0033117888577898</v>
      </c>
      <c r="M68" s="1">
        <v>40210</v>
      </c>
      <c r="N68">
        <v>5.0031136856172704</v>
      </c>
    </row>
    <row r="69" spans="2:14">
      <c r="B69" s="1">
        <v>40179</v>
      </c>
      <c r="C69" s="3">
        <v>5.0819040507103104</v>
      </c>
      <c r="D69" s="3">
        <v>5.0607206510651999</v>
      </c>
      <c r="E69" s="3">
        <v>5.0065109001000803</v>
      </c>
      <c r="F69" s="3">
        <f t="shared" ref="F69:F129" si="3">C69-D69</f>
        <v>2.1183399645110512E-2</v>
      </c>
      <c r="G69" s="3">
        <f t="shared" ref="G69:G129" si="4">C69-E69</f>
        <v>7.5393150610230109E-2</v>
      </c>
      <c r="H69" s="3">
        <f t="shared" ref="H69:H129" si="5">D69-E69</f>
        <v>5.4209750965119596E-2</v>
      </c>
      <c r="J69" s="1">
        <v>40179</v>
      </c>
      <c r="K69">
        <v>5.0607206510651999</v>
      </c>
      <c r="M69" s="1">
        <v>40179</v>
      </c>
      <c r="N69">
        <v>5.0065109001000803</v>
      </c>
    </row>
    <row r="70" spans="2:14">
      <c r="B70" s="1">
        <v>40148</v>
      </c>
      <c r="C70" s="3">
        <v>5.0601004655389001</v>
      </c>
      <c r="D70" s="3">
        <v>5.0894250837878499</v>
      </c>
      <c r="E70" s="3">
        <v>5.0281029458344397</v>
      </c>
      <c r="F70" s="3">
        <f t="shared" si="3"/>
        <v>-2.9324618248949719E-2</v>
      </c>
      <c r="G70" s="3">
        <f t="shared" si="4"/>
        <v>3.1997519704460409E-2</v>
      </c>
      <c r="H70" s="3">
        <f t="shared" si="5"/>
        <v>6.1322137953410127E-2</v>
      </c>
      <c r="J70" s="1">
        <v>40148</v>
      </c>
      <c r="K70">
        <v>5.0894250837878499</v>
      </c>
      <c r="M70" s="1">
        <v>40148</v>
      </c>
      <c r="N70">
        <v>5.0281029458344397</v>
      </c>
    </row>
    <row r="71" spans="2:14">
      <c r="B71" s="1">
        <v>40118</v>
      </c>
      <c r="C71" s="3">
        <v>5.1270693264062697</v>
      </c>
      <c r="D71" s="3">
        <v>5.0526037520760498</v>
      </c>
      <c r="E71" s="3">
        <v>5.1209082438209101</v>
      </c>
      <c r="F71" s="3">
        <f t="shared" si="3"/>
        <v>7.446557433021983E-2</v>
      </c>
      <c r="G71" s="3">
        <f t="shared" si="4"/>
        <v>6.161082585359523E-3</v>
      </c>
      <c r="H71" s="3">
        <f t="shared" si="5"/>
        <v>-6.8304491744860307E-2</v>
      </c>
      <c r="J71" s="1">
        <v>40118</v>
      </c>
      <c r="K71">
        <v>5.0526037520760498</v>
      </c>
      <c r="M71" s="1">
        <v>40118</v>
      </c>
      <c r="N71">
        <v>5.1209082438209101</v>
      </c>
    </row>
    <row r="72" spans="2:14">
      <c r="B72" s="1">
        <v>40087</v>
      </c>
      <c r="C72" s="3">
        <v>5.0436840369302098</v>
      </c>
      <c r="D72" s="3">
        <v>5.2545075049288199</v>
      </c>
      <c r="E72" s="3">
        <v>5.2362539252109102</v>
      </c>
      <c r="F72" s="3">
        <f t="shared" si="3"/>
        <v>-0.21082346799861007</v>
      </c>
      <c r="G72" s="3">
        <f t="shared" si="4"/>
        <v>-0.19256988828070032</v>
      </c>
      <c r="H72" s="3">
        <f t="shared" si="5"/>
        <v>1.8253579717909751E-2</v>
      </c>
      <c r="J72" s="1">
        <v>40087</v>
      </c>
      <c r="K72">
        <v>5.2545075049288199</v>
      </c>
      <c r="M72" s="1">
        <v>40087</v>
      </c>
      <c r="N72">
        <v>5.2362539252109102</v>
      </c>
    </row>
    <row r="73" spans="2:14">
      <c r="B73" s="1">
        <v>40057</v>
      </c>
      <c r="C73" s="3">
        <v>5.0708901929194203</v>
      </c>
      <c r="D73" s="3">
        <v>5.3101678904135801</v>
      </c>
      <c r="E73" s="3">
        <v>5.3883722712743003</v>
      </c>
      <c r="F73" s="3">
        <f t="shared" si="3"/>
        <v>-0.23927769749415972</v>
      </c>
      <c r="G73" s="3">
        <f t="shared" si="4"/>
        <v>-0.31748207835487996</v>
      </c>
      <c r="H73" s="3">
        <f t="shared" si="5"/>
        <v>-7.8204380860720235E-2</v>
      </c>
      <c r="J73" s="1">
        <v>40057</v>
      </c>
      <c r="K73">
        <v>5.3101678904135801</v>
      </c>
      <c r="M73" s="1">
        <v>40057</v>
      </c>
      <c r="N73">
        <v>5.3883722712743003</v>
      </c>
    </row>
    <row r="74" spans="2:14">
      <c r="B74" s="1">
        <v>40026</v>
      </c>
      <c r="C74" s="3">
        <v>4.9170217745910296</v>
      </c>
      <c r="D74" s="3">
        <v>5.0901129423818601</v>
      </c>
      <c r="E74" s="3">
        <v>5.0821268609385104</v>
      </c>
      <c r="F74" s="3">
        <f t="shared" si="3"/>
        <v>-0.17309116779083045</v>
      </c>
      <c r="G74" s="3">
        <f t="shared" si="4"/>
        <v>-0.16510508634748078</v>
      </c>
      <c r="H74" s="3">
        <f t="shared" si="5"/>
        <v>7.9860814433496685E-3</v>
      </c>
      <c r="J74" s="1">
        <v>40026</v>
      </c>
      <c r="K74">
        <v>5.0901129423818601</v>
      </c>
      <c r="M74" s="1">
        <v>40026</v>
      </c>
      <c r="N74">
        <v>5.0821268609385104</v>
      </c>
    </row>
    <row r="75" spans="2:14">
      <c r="B75" s="1">
        <v>39995</v>
      </c>
      <c r="C75" s="3">
        <v>4.8347262351269</v>
      </c>
      <c r="D75" s="3">
        <v>4.9031303299357702</v>
      </c>
      <c r="E75" s="3">
        <v>4.9194447639263403</v>
      </c>
      <c r="F75" s="3">
        <f t="shared" si="3"/>
        <v>-6.8404094808870219E-2</v>
      </c>
      <c r="G75" s="3">
        <f t="shared" si="4"/>
        <v>-8.4718528799440307E-2</v>
      </c>
      <c r="H75" s="3">
        <f t="shared" si="5"/>
        <v>-1.6314433990570087E-2</v>
      </c>
      <c r="J75" s="1">
        <v>39995</v>
      </c>
      <c r="K75">
        <v>4.9031303299357702</v>
      </c>
      <c r="M75" s="1">
        <v>39995</v>
      </c>
      <c r="N75">
        <v>4.9194447639263403</v>
      </c>
    </row>
    <row r="76" spans="2:14">
      <c r="B76" s="1">
        <v>39965</v>
      </c>
      <c r="C76" s="3">
        <v>4.8436569444591697</v>
      </c>
      <c r="D76" s="3">
        <v>5.02641150947629</v>
      </c>
      <c r="E76" s="3">
        <v>5.0433127624664502</v>
      </c>
      <c r="F76" s="3">
        <f t="shared" si="3"/>
        <v>-0.18275456501712029</v>
      </c>
      <c r="G76" s="3">
        <f t="shared" si="4"/>
        <v>-0.19965581800728049</v>
      </c>
      <c r="H76" s="3">
        <f t="shared" si="5"/>
        <v>-1.6901252990160209E-2</v>
      </c>
      <c r="J76" s="1">
        <v>39965</v>
      </c>
      <c r="K76">
        <v>5.02641150947629</v>
      </c>
      <c r="M76" s="1">
        <v>39965</v>
      </c>
      <c r="N76">
        <v>5.0433127624664502</v>
      </c>
    </row>
    <row r="77" spans="2:14">
      <c r="B77" s="1">
        <v>39934</v>
      </c>
      <c r="C77" s="3">
        <v>5.0053142767531096</v>
      </c>
      <c r="D77" s="3">
        <v>5.5034726021122697</v>
      </c>
      <c r="E77" s="3">
        <v>5.4341002241852001</v>
      </c>
      <c r="F77" s="3">
        <f t="shared" si="3"/>
        <v>-0.49815832535916016</v>
      </c>
      <c r="G77" s="3">
        <f t="shared" si="4"/>
        <v>-0.42878594743209053</v>
      </c>
      <c r="H77" s="3">
        <f t="shared" si="5"/>
        <v>6.9372377927069628E-2</v>
      </c>
      <c r="J77" s="1">
        <v>39934</v>
      </c>
      <c r="K77">
        <v>5.5034726021122697</v>
      </c>
      <c r="M77" s="1">
        <v>39934</v>
      </c>
      <c r="N77">
        <v>5.4341002241852001</v>
      </c>
    </row>
    <row r="78" spans="2:14">
      <c r="B78" s="1">
        <v>39904</v>
      </c>
      <c r="C78" s="3">
        <v>4.9033025170080702</v>
      </c>
      <c r="D78" s="3">
        <v>4.9790307716941102</v>
      </c>
      <c r="E78" s="3">
        <v>4.95152249298161</v>
      </c>
      <c r="F78" s="3">
        <f t="shared" si="3"/>
        <v>-7.5728254686040053E-2</v>
      </c>
      <c r="G78" s="3">
        <f t="shared" si="4"/>
        <v>-4.8219975973539775E-2</v>
      </c>
      <c r="H78" s="3">
        <f t="shared" si="5"/>
        <v>2.7508278712500278E-2</v>
      </c>
      <c r="J78" s="1">
        <v>39904</v>
      </c>
      <c r="K78">
        <v>4.9790307716941102</v>
      </c>
      <c r="M78" s="1">
        <v>39904</v>
      </c>
      <c r="N78">
        <v>4.95152249298161</v>
      </c>
    </row>
    <row r="79" spans="2:14">
      <c r="B79" s="1">
        <v>39873</v>
      </c>
      <c r="C79" s="3">
        <v>4.9372645695745003</v>
      </c>
      <c r="D79" s="3">
        <v>4.9859417574931797</v>
      </c>
      <c r="E79" s="3">
        <v>4.9508646158068697</v>
      </c>
      <c r="F79" s="3">
        <f t="shared" si="3"/>
        <v>-4.8677187918679365E-2</v>
      </c>
      <c r="G79" s="3">
        <f t="shared" si="4"/>
        <v>-1.3600046232369323E-2</v>
      </c>
      <c r="H79" s="3">
        <f t="shared" si="5"/>
        <v>3.5077141686310043E-2</v>
      </c>
      <c r="J79" s="1">
        <v>39873</v>
      </c>
      <c r="K79">
        <v>4.9859417574931797</v>
      </c>
      <c r="M79" s="1">
        <v>39873</v>
      </c>
      <c r="N79">
        <v>4.9508646158068697</v>
      </c>
    </row>
    <row r="80" spans="2:14">
      <c r="B80" s="1">
        <v>39845</v>
      </c>
      <c r="C80" s="3">
        <v>4.9958465711364504</v>
      </c>
      <c r="D80" s="3">
        <v>4.8140476772344503</v>
      </c>
      <c r="E80" s="3">
        <v>4.9641054943975496</v>
      </c>
      <c r="F80" s="3">
        <f t="shared" si="3"/>
        <v>0.1817988939020001</v>
      </c>
      <c r="G80" s="3">
        <f t="shared" si="4"/>
        <v>3.1741076738900809E-2</v>
      </c>
      <c r="H80" s="3">
        <f t="shared" si="5"/>
        <v>-0.15005781716309929</v>
      </c>
      <c r="J80" s="1">
        <v>39845</v>
      </c>
      <c r="K80">
        <v>4.8140476772344503</v>
      </c>
      <c r="M80" s="1">
        <v>39845</v>
      </c>
      <c r="N80">
        <v>4.9641054943975496</v>
      </c>
    </row>
    <row r="81" spans="2:14">
      <c r="B81" s="1">
        <v>39814</v>
      </c>
      <c r="C81" s="3">
        <v>5.4116982160407501</v>
      </c>
      <c r="D81" s="3">
        <v>5.5879429462892798</v>
      </c>
      <c r="E81" s="3">
        <v>5.6622577166640902</v>
      </c>
      <c r="F81" s="3">
        <f t="shared" si="3"/>
        <v>-0.17624473024852971</v>
      </c>
      <c r="G81" s="3">
        <f t="shared" si="4"/>
        <v>-0.25055950062334009</v>
      </c>
      <c r="H81" s="3">
        <f t="shared" si="5"/>
        <v>-7.4314770374810379E-2</v>
      </c>
      <c r="J81" s="1">
        <v>39814</v>
      </c>
      <c r="K81">
        <v>5.5879429462892798</v>
      </c>
      <c r="M81" s="1">
        <v>39814</v>
      </c>
      <c r="N81">
        <v>5.6622577166640902</v>
      </c>
    </row>
    <row r="82" spans="2:14">
      <c r="B82" s="1">
        <v>39783</v>
      </c>
      <c r="C82" s="3">
        <v>5.95114825620941</v>
      </c>
      <c r="D82" s="3">
        <v>6.0305100587502203</v>
      </c>
      <c r="E82" s="3">
        <v>5.8596863041649598</v>
      </c>
      <c r="F82" s="3">
        <f t="shared" si="3"/>
        <v>-7.9361802540810267E-2</v>
      </c>
      <c r="G82" s="3">
        <f t="shared" si="4"/>
        <v>9.1461952044450179E-2</v>
      </c>
      <c r="H82" s="3">
        <f t="shared" si="5"/>
        <v>0.17082375458526045</v>
      </c>
      <c r="J82" s="1">
        <v>39783</v>
      </c>
      <c r="K82">
        <v>6.0305100587502203</v>
      </c>
      <c r="M82" s="1">
        <v>39783</v>
      </c>
      <c r="N82">
        <v>5.8596863041649598</v>
      </c>
    </row>
    <row r="83" spans="2:14">
      <c r="B83" s="1">
        <v>39753</v>
      </c>
      <c r="C83" s="3">
        <v>6.1086940972447898</v>
      </c>
      <c r="D83" s="3">
        <v>6.1393205362583698</v>
      </c>
      <c r="E83" s="3">
        <v>6.0422214557060299</v>
      </c>
      <c r="F83" s="3">
        <f t="shared" si="3"/>
        <v>-3.0626439013579976E-2</v>
      </c>
      <c r="G83" s="3">
        <f t="shared" si="4"/>
        <v>6.647264153875998E-2</v>
      </c>
      <c r="H83" s="3">
        <f t="shared" si="5"/>
        <v>9.7099080552339956E-2</v>
      </c>
      <c r="J83" s="1">
        <v>39753</v>
      </c>
      <c r="K83">
        <v>6.1393205362583698</v>
      </c>
      <c r="M83" s="1">
        <v>39753</v>
      </c>
      <c r="N83">
        <v>6.0422214557060299</v>
      </c>
    </row>
    <row r="84" spans="2:14">
      <c r="B84" s="1">
        <v>39722</v>
      </c>
      <c r="C84" s="3">
        <v>6.1605734440785103</v>
      </c>
      <c r="D84" s="3">
        <v>6.3360286152089502</v>
      </c>
      <c r="E84" s="3">
        <v>6.2080239949810698</v>
      </c>
      <c r="F84" s="3">
        <f t="shared" si="3"/>
        <v>-0.17545517113043996</v>
      </c>
      <c r="G84" s="3">
        <f t="shared" si="4"/>
        <v>-4.7450550902559563E-2</v>
      </c>
      <c r="H84" s="3">
        <f t="shared" si="5"/>
        <v>0.12800462022788039</v>
      </c>
      <c r="J84" s="1">
        <v>39722</v>
      </c>
      <c r="K84">
        <v>6.3360286152089502</v>
      </c>
      <c r="M84" s="1">
        <v>39722</v>
      </c>
      <c r="N84">
        <v>6.2080239949810698</v>
      </c>
    </row>
    <row r="85" spans="2:14">
      <c r="B85" s="1">
        <v>39692</v>
      </c>
      <c r="C85" s="3">
        <v>6.3731672691902599</v>
      </c>
      <c r="D85" s="3">
        <v>6.65090654381852</v>
      </c>
      <c r="E85" s="3">
        <v>6.4089655022722702</v>
      </c>
      <c r="F85" s="3">
        <f t="shared" si="3"/>
        <v>-0.27773927462826009</v>
      </c>
      <c r="G85" s="3">
        <f t="shared" si="4"/>
        <v>-3.5798233082010356E-2</v>
      </c>
      <c r="H85" s="3">
        <f t="shared" si="5"/>
        <v>0.24194104154624974</v>
      </c>
      <c r="J85" s="1">
        <v>39692</v>
      </c>
      <c r="K85">
        <v>6.65090654381852</v>
      </c>
      <c r="M85" s="1">
        <v>39692</v>
      </c>
      <c r="N85">
        <v>6.4089655022722702</v>
      </c>
    </row>
    <row r="86" spans="2:14">
      <c r="B86" s="1">
        <v>39661</v>
      </c>
      <c r="C86" s="3">
        <v>6.1738686786969001</v>
      </c>
      <c r="D86" s="3">
        <v>6.55888596105987</v>
      </c>
      <c r="E86" s="3">
        <v>6.2387191553264101</v>
      </c>
      <c r="F86" s="3">
        <f t="shared" si="3"/>
        <v>-0.38501728236296984</v>
      </c>
      <c r="G86" s="3">
        <f t="shared" si="4"/>
        <v>-6.4850476629509934E-2</v>
      </c>
      <c r="H86" s="3">
        <f t="shared" si="5"/>
        <v>0.3201668057334599</v>
      </c>
      <c r="J86" s="1">
        <v>39661</v>
      </c>
      <c r="K86">
        <v>6.55888596105987</v>
      </c>
      <c r="M86" s="1">
        <v>39661</v>
      </c>
      <c r="N86">
        <v>6.2387191553264101</v>
      </c>
    </row>
    <row r="87" spans="2:14">
      <c r="B87" s="1">
        <v>39630</v>
      </c>
      <c r="C87" s="3">
        <v>6.0117805367643102</v>
      </c>
      <c r="D87" s="3">
        <v>6.5773430662026398</v>
      </c>
      <c r="E87" s="3">
        <v>6.0218748192218401</v>
      </c>
      <c r="F87" s="3">
        <f t="shared" si="3"/>
        <v>-0.56556252943832952</v>
      </c>
      <c r="G87" s="3">
        <f t="shared" si="4"/>
        <v>-1.0094282457529857E-2</v>
      </c>
      <c r="H87" s="3">
        <f t="shared" si="5"/>
        <v>0.55546824698079966</v>
      </c>
      <c r="J87" s="1">
        <v>39630</v>
      </c>
      <c r="K87">
        <v>6.5773430662026398</v>
      </c>
      <c r="M87" s="1">
        <v>39630</v>
      </c>
      <c r="N87">
        <v>6.0218748192218401</v>
      </c>
    </row>
    <row r="88" spans="2:14">
      <c r="B88" s="1">
        <v>39600</v>
      </c>
      <c r="C88" s="3">
        <v>5.8879216459290902</v>
      </c>
      <c r="D88" s="3">
        <v>6.031624251497</v>
      </c>
      <c r="E88" s="3">
        <v>5.9720228438158003</v>
      </c>
      <c r="F88" s="3">
        <f t="shared" si="3"/>
        <v>-0.14370260556790981</v>
      </c>
      <c r="G88" s="3">
        <f t="shared" si="4"/>
        <v>-8.4101197886710111E-2</v>
      </c>
      <c r="H88" s="3">
        <f t="shared" si="5"/>
        <v>5.9601407681199703E-2</v>
      </c>
      <c r="J88" s="1">
        <v>39600</v>
      </c>
      <c r="K88">
        <v>6.031624251497</v>
      </c>
      <c r="M88" s="1">
        <v>39600</v>
      </c>
      <c r="N88">
        <v>5.9720228438158003</v>
      </c>
    </row>
    <row r="89" spans="2:14">
      <c r="B89" s="1">
        <v>39569</v>
      </c>
      <c r="C89" s="3">
        <v>5.8042207761092701</v>
      </c>
      <c r="D89" s="3">
        <v>6.0359561667382797</v>
      </c>
      <c r="E89" s="3">
        <v>5.8368842036889896</v>
      </c>
      <c r="F89" s="3">
        <f t="shared" si="3"/>
        <v>-0.23173539062900961</v>
      </c>
      <c r="G89" s="3">
        <f t="shared" si="4"/>
        <v>-3.2663427579719517E-2</v>
      </c>
      <c r="H89" s="3">
        <f t="shared" si="5"/>
        <v>0.19907196304929009</v>
      </c>
      <c r="J89" s="1">
        <v>39569</v>
      </c>
      <c r="K89">
        <v>6.0359561667382797</v>
      </c>
      <c r="M89" s="1">
        <v>39569</v>
      </c>
      <c r="N89">
        <v>5.8368842036889896</v>
      </c>
    </row>
    <row r="90" spans="2:14">
      <c r="B90" s="1">
        <v>39539</v>
      </c>
      <c r="C90" s="3">
        <v>5.7637600292244597</v>
      </c>
      <c r="D90" s="3">
        <v>5.9791683995526803</v>
      </c>
      <c r="E90" s="3">
        <v>5.7104180355247598</v>
      </c>
      <c r="F90" s="3">
        <f t="shared" si="3"/>
        <v>-0.21540837032822058</v>
      </c>
      <c r="G90" s="3">
        <f t="shared" si="4"/>
        <v>5.3341993699699941E-2</v>
      </c>
      <c r="H90" s="3">
        <f t="shared" si="5"/>
        <v>0.26875036402792052</v>
      </c>
      <c r="J90" s="1">
        <v>39539</v>
      </c>
      <c r="K90">
        <v>5.9791683995526803</v>
      </c>
      <c r="M90" s="1">
        <v>39539</v>
      </c>
      <c r="N90">
        <v>5.7104180355247598</v>
      </c>
    </row>
    <row r="91" spans="2:14">
      <c r="B91" s="1">
        <v>39508</v>
      </c>
      <c r="C91" s="3">
        <v>5.7435418841214796</v>
      </c>
      <c r="D91" s="3">
        <v>5.9431939282981698</v>
      </c>
      <c r="E91" s="3">
        <v>5.7260938763857698</v>
      </c>
      <c r="F91" s="3">
        <f t="shared" si="3"/>
        <v>-0.19965204417669025</v>
      </c>
      <c r="G91" s="3">
        <f t="shared" si="4"/>
        <v>1.7448007735709758E-2</v>
      </c>
      <c r="H91" s="3">
        <f t="shared" si="5"/>
        <v>0.2171000519124</v>
      </c>
      <c r="J91" s="1">
        <v>39508</v>
      </c>
      <c r="K91">
        <v>5.9431939282981698</v>
      </c>
      <c r="M91" s="1">
        <v>39508</v>
      </c>
      <c r="N91">
        <v>5.7260938763857698</v>
      </c>
    </row>
    <row r="92" spans="2:14">
      <c r="B92" s="1">
        <v>39479</v>
      </c>
      <c r="C92" s="3">
        <v>5.9365804213282498</v>
      </c>
      <c r="D92" s="3">
        <v>6.1433166093110403</v>
      </c>
      <c r="E92" s="3">
        <v>5.9576782218423299</v>
      </c>
      <c r="F92" s="3">
        <f t="shared" si="3"/>
        <v>-0.20673618798279048</v>
      </c>
      <c r="G92" s="3">
        <f t="shared" si="4"/>
        <v>-2.1097800514080056E-2</v>
      </c>
      <c r="H92" s="3">
        <f t="shared" si="5"/>
        <v>0.18563838746871042</v>
      </c>
      <c r="J92" s="1">
        <v>39479</v>
      </c>
      <c r="K92">
        <v>6.1433166093110403</v>
      </c>
      <c r="M92" s="1">
        <v>39479</v>
      </c>
      <c r="N92">
        <v>5.9576782218423299</v>
      </c>
    </row>
    <row r="93" spans="2:14">
      <c r="B93" s="1">
        <v>39448</v>
      </c>
      <c r="C93" s="3">
        <v>6.1982599615576399</v>
      </c>
      <c r="D93" s="3">
        <v>6.3152421891756596</v>
      </c>
      <c r="E93" s="3">
        <v>6.2558018281549401</v>
      </c>
      <c r="F93" s="3">
        <f t="shared" si="3"/>
        <v>-0.11698222761801969</v>
      </c>
      <c r="G93" s="3">
        <f t="shared" si="4"/>
        <v>-5.7541866597300206E-2</v>
      </c>
      <c r="H93" s="3">
        <f t="shared" si="5"/>
        <v>5.9440361020719479E-2</v>
      </c>
      <c r="J93" s="1">
        <v>39448</v>
      </c>
      <c r="K93">
        <v>6.3152421891756596</v>
      </c>
      <c r="M93" s="1">
        <v>39448</v>
      </c>
      <c r="N93">
        <v>6.2558018281549401</v>
      </c>
    </row>
    <row r="94" spans="2:14">
      <c r="B94" s="1">
        <v>39417</v>
      </c>
      <c r="C94" s="3">
        <v>6.3394385012274101</v>
      </c>
      <c r="D94" s="3">
        <v>6.38327217239536</v>
      </c>
      <c r="E94" s="3">
        <v>6.3910935421455797</v>
      </c>
      <c r="F94" s="3">
        <f t="shared" si="3"/>
        <v>-4.3833671167949895E-2</v>
      </c>
      <c r="G94" s="3">
        <f t="shared" si="4"/>
        <v>-5.1655040918169526E-2</v>
      </c>
      <c r="H94" s="3">
        <f t="shared" si="5"/>
        <v>-7.8213697502196311E-3</v>
      </c>
      <c r="J94" s="1">
        <v>39417</v>
      </c>
      <c r="K94">
        <v>6.38327217239536</v>
      </c>
      <c r="M94" s="1">
        <v>39417</v>
      </c>
      <c r="N94">
        <v>6.3910935421455797</v>
      </c>
    </row>
    <row r="95" spans="2:14">
      <c r="B95" s="1">
        <v>39387</v>
      </c>
      <c r="C95" s="3">
        <v>6.46532332553672</v>
      </c>
      <c r="D95" s="3">
        <v>6.4972427317042101</v>
      </c>
      <c r="E95" s="3">
        <v>6.4735852917291901</v>
      </c>
      <c r="F95" s="3">
        <f t="shared" si="3"/>
        <v>-3.1919406167490116E-2</v>
      </c>
      <c r="G95" s="3">
        <f t="shared" si="4"/>
        <v>-8.2619661924701049E-3</v>
      </c>
      <c r="H95" s="3">
        <f t="shared" si="5"/>
        <v>2.3657439975020012E-2</v>
      </c>
      <c r="J95" s="1">
        <v>39387</v>
      </c>
      <c r="K95">
        <v>6.4972427317042101</v>
      </c>
      <c r="M95" s="1">
        <v>39387</v>
      </c>
      <c r="N95">
        <v>6.4735852917291901</v>
      </c>
    </row>
    <row r="96" spans="2:14">
      <c r="B96" s="1">
        <v>39356</v>
      </c>
      <c r="C96" s="3">
        <v>6.5700777738285403</v>
      </c>
      <c r="D96" s="3">
        <v>6.6248504403212802</v>
      </c>
      <c r="E96" s="3">
        <v>6.60761287553479</v>
      </c>
      <c r="F96" s="3">
        <f t="shared" si="3"/>
        <v>-5.477266649273993E-2</v>
      </c>
      <c r="G96" s="3">
        <f t="shared" si="4"/>
        <v>-3.7535101706249741E-2</v>
      </c>
      <c r="H96" s="3">
        <f t="shared" si="5"/>
        <v>1.7237564786490189E-2</v>
      </c>
      <c r="J96" s="1">
        <v>39356</v>
      </c>
      <c r="K96">
        <v>6.6248504403212802</v>
      </c>
      <c r="M96" s="1">
        <v>39356</v>
      </c>
      <c r="N96">
        <v>6.60761287553479</v>
      </c>
    </row>
    <row r="97" spans="2:14">
      <c r="B97" s="1">
        <v>39326</v>
      </c>
      <c r="C97" s="3">
        <v>6.5991799225757699</v>
      </c>
      <c r="D97" s="3">
        <v>6.7767987384436097</v>
      </c>
      <c r="E97" s="3">
        <v>6.6516552376793499</v>
      </c>
      <c r="F97" s="3">
        <f t="shared" si="3"/>
        <v>-0.17761881586783979</v>
      </c>
      <c r="G97" s="3">
        <f t="shared" si="4"/>
        <v>-5.2475315103579945E-2</v>
      </c>
      <c r="H97" s="3">
        <f t="shared" si="5"/>
        <v>0.12514350076425984</v>
      </c>
      <c r="J97" s="1">
        <v>39326</v>
      </c>
      <c r="K97">
        <v>6.7767987384436097</v>
      </c>
      <c r="M97" s="1">
        <v>39326</v>
      </c>
      <c r="N97">
        <v>6.6516552376793499</v>
      </c>
    </row>
    <row r="98" spans="2:14">
      <c r="B98" s="1">
        <v>39295</v>
      </c>
      <c r="C98" s="3">
        <v>6.5467608392706502</v>
      </c>
      <c r="D98" s="3">
        <v>6.7227397056198903</v>
      </c>
      <c r="E98" s="3">
        <v>6.5834400513605198</v>
      </c>
      <c r="F98" s="3">
        <f t="shared" si="3"/>
        <v>-0.17597886634924009</v>
      </c>
      <c r="G98" s="3">
        <f t="shared" si="4"/>
        <v>-3.6679212089869573E-2</v>
      </c>
      <c r="H98" s="3">
        <f t="shared" si="5"/>
        <v>0.13929965425937052</v>
      </c>
      <c r="J98" s="1">
        <v>39295</v>
      </c>
      <c r="K98">
        <v>6.7227397056198903</v>
      </c>
      <c r="M98" s="1">
        <v>39295</v>
      </c>
      <c r="N98">
        <v>6.5834400513605198</v>
      </c>
    </row>
    <row r="99" spans="2:14">
      <c r="B99" s="1">
        <v>39264</v>
      </c>
      <c r="C99" s="3">
        <v>6.3439060133520604</v>
      </c>
      <c r="D99" s="3">
        <v>6.6672712474198104</v>
      </c>
      <c r="E99" s="3">
        <v>6.3684215365538597</v>
      </c>
      <c r="F99" s="3">
        <f t="shared" si="3"/>
        <v>-0.32336523406774997</v>
      </c>
      <c r="G99" s="3">
        <f t="shared" si="4"/>
        <v>-2.4515523201799283E-2</v>
      </c>
      <c r="H99" s="3">
        <f t="shared" si="5"/>
        <v>0.29884971086595069</v>
      </c>
      <c r="J99" s="1">
        <v>39264</v>
      </c>
      <c r="K99">
        <v>6.6672712474198104</v>
      </c>
      <c r="M99" s="1">
        <v>39264</v>
      </c>
      <c r="N99">
        <v>6.3684215365538597</v>
      </c>
    </row>
    <row r="100" spans="2:14">
      <c r="B100" s="1">
        <v>39234</v>
      </c>
      <c r="C100" s="3">
        <v>6.2438765224041397</v>
      </c>
      <c r="D100" s="3">
        <v>6.2402690361093898</v>
      </c>
      <c r="E100" s="3">
        <v>6.2258449290489803</v>
      </c>
      <c r="F100" s="3">
        <f t="shared" si="3"/>
        <v>3.6074862947499398E-3</v>
      </c>
      <c r="G100" s="3">
        <f t="shared" si="4"/>
        <v>1.8031593355159359E-2</v>
      </c>
      <c r="H100" s="3">
        <f t="shared" si="5"/>
        <v>1.4424107060409419E-2</v>
      </c>
      <c r="J100" s="1">
        <v>39234</v>
      </c>
      <c r="K100">
        <v>6.2402690361093898</v>
      </c>
      <c r="M100" s="1">
        <v>39234</v>
      </c>
      <c r="N100">
        <v>6.2258449290489803</v>
      </c>
    </row>
    <row r="101" spans="2:14">
      <c r="B101" s="1">
        <v>39203</v>
      </c>
      <c r="C101" s="3">
        <v>6.1921209476416399</v>
      </c>
      <c r="D101" s="3">
        <v>6.1389123088444197</v>
      </c>
      <c r="E101" s="3">
        <v>6.2318888958699299</v>
      </c>
      <c r="F101" s="3">
        <f t="shared" si="3"/>
        <v>5.3208638797220154E-2</v>
      </c>
      <c r="G101" s="3">
        <f t="shared" si="4"/>
        <v>-3.9767948228289995E-2</v>
      </c>
      <c r="H101" s="3">
        <f t="shared" si="5"/>
        <v>-9.2976587025510149E-2</v>
      </c>
      <c r="J101" s="1">
        <v>39203</v>
      </c>
      <c r="K101">
        <v>6.1389123088444197</v>
      </c>
      <c r="M101" s="1">
        <v>39203</v>
      </c>
      <c r="N101">
        <v>6.2318888958699299</v>
      </c>
    </row>
    <row r="102" spans="2:14">
      <c r="B102" s="1">
        <v>39173</v>
      </c>
      <c r="C102" s="3">
        <v>6.2324641450380804</v>
      </c>
      <c r="D102" s="3">
        <v>6.4147007427720597</v>
      </c>
      <c r="E102" s="3">
        <v>6.3741012932097298</v>
      </c>
      <c r="F102" s="3">
        <f t="shared" si="3"/>
        <v>-0.18223659773397927</v>
      </c>
      <c r="G102" s="3">
        <f t="shared" si="4"/>
        <v>-0.14163714817164941</v>
      </c>
      <c r="H102" s="3">
        <f t="shared" si="5"/>
        <v>4.0599449562329859E-2</v>
      </c>
      <c r="J102" s="1">
        <v>39173</v>
      </c>
      <c r="K102">
        <v>6.4147007427720597</v>
      </c>
      <c r="M102" s="1">
        <v>39173</v>
      </c>
      <c r="N102">
        <v>6.3741012932097298</v>
      </c>
    </row>
    <row r="103" spans="2:14">
      <c r="B103" s="1">
        <v>39142</v>
      </c>
      <c r="C103" s="3">
        <v>6.2398728301374602</v>
      </c>
      <c r="D103" s="3">
        <v>6.4583574932373802</v>
      </c>
      <c r="E103" s="3">
        <v>6.2558275704371002</v>
      </c>
      <c r="F103" s="3">
        <f t="shared" si="3"/>
        <v>-0.21848466309991998</v>
      </c>
      <c r="G103" s="3">
        <f t="shared" si="4"/>
        <v>-1.5954740299640058E-2</v>
      </c>
      <c r="H103" s="3">
        <f t="shared" si="5"/>
        <v>0.20252992280027993</v>
      </c>
      <c r="J103" s="1">
        <v>39142</v>
      </c>
      <c r="K103">
        <v>6.4583574932373802</v>
      </c>
      <c r="M103" s="1">
        <v>39142</v>
      </c>
      <c r="N103">
        <v>6.2558275704371002</v>
      </c>
    </row>
    <row r="104" spans="2:14">
      <c r="B104" s="1">
        <v>39114</v>
      </c>
      <c r="C104" s="3">
        <v>6.2313178246901302</v>
      </c>
      <c r="D104" s="3">
        <v>6.4570522130320001</v>
      </c>
      <c r="E104" s="3">
        <v>6.2136411587990699</v>
      </c>
      <c r="F104" s="3">
        <f t="shared" si="3"/>
        <v>-0.22573438834186987</v>
      </c>
      <c r="G104" s="3">
        <f t="shared" si="4"/>
        <v>1.7676665891060317E-2</v>
      </c>
      <c r="H104" s="3">
        <f t="shared" si="5"/>
        <v>0.24341105423293019</v>
      </c>
      <c r="J104" s="1">
        <v>39114</v>
      </c>
      <c r="K104">
        <v>6.4570522130320001</v>
      </c>
      <c r="M104" s="1">
        <v>39114</v>
      </c>
      <c r="N104">
        <v>6.2136411587990699</v>
      </c>
    </row>
    <row r="105" spans="2:14">
      <c r="B105" s="1">
        <v>39083</v>
      </c>
      <c r="C105" s="3">
        <v>6.2033136271096696</v>
      </c>
      <c r="D105" s="3">
        <v>6.5951725501935003</v>
      </c>
      <c r="E105" s="3">
        <v>6.2930519936589402</v>
      </c>
      <c r="F105" s="3">
        <f t="shared" si="3"/>
        <v>-0.39185892308383075</v>
      </c>
      <c r="G105" s="3">
        <f t="shared" si="4"/>
        <v>-8.9738366549270587E-2</v>
      </c>
      <c r="H105" s="3">
        <f t="shared" si="5"/>
        <v>0.30212055653456016</v>
      </c>
      <c r="J105" s="1">
        <v>39083</v>
      </c>
      <c r="K105">
        <v>6.5951725501935003</v>
      </c>
      <c r="M105" s="1">
        <v>39083</v>
      </c>
      <c r="N105">
        <v>6.2930519936589402</v>
      </c>
    </row>
    <row r="106" spans="2:14">
      <c r="B106" s="1">
        <v>39052</v>
      </c>
      <c r="C106" s="3">
        <v>6.3588353922846599</v>
      </c>
      <c r="D106" s="3">
        <v>6.5400345488193796</v>
      </c>
      <c r="E106" s="3">
        <v>6.39834118453411</v>
      </c>
      <c r="F106" s="3">
        <f t="shared" si="3"/>
        <v>-0.18119915653471974</v>
      </c>
      <c r="G106" s="3">
        <f t="shared" si="4"/>
        <v>-3.9505792249450167E-2</v>
      </c>
      <c r="H106" s="3">
        <f t="shared" si="5"/>
        <v>0.14169336428526957</v>
      </c>
      <c r="J106" s="1">
        <v>39052</v>
      </c>
      <c r="K106">
        <v>6.5400345488193796</v>
      </c>
      <c r="M106" s="1">
        <v>39052</v>
      </c>
      <c r="N106">
        <v>6.39834118453411</v>
      </c>
    </row>
    <row r="107" spans="2:14">
      <c r="B107" s="1">
        <v>39022</v>
      </c>
      <c r="C107" s="3">
        <v>6.4541087802732102</v>
      </c>
      <c r="D107" s="3">
        <v>6.6050926142464297</v>
      </c>
      <c r="E107" s="3">
        <v>6.4627379583711599</v>
      </c>
      <c r="F107" s="3">
        <f t="shared" si="3"/>
        <v>-0.15098383397321946</v>
      </c>
      <c r="G107" s="3">
        <f t="shared" si="4"/>
        <v>-8.629178097949719E-3</v>
      </c>
      <c r="H107" s="3">
        <f t="shared" si="5"/>
        <v>0.14235465587526974</v>
      </c>
      <c r="J107" s="1">
        <v>39022</v>
      </c>
      <c r="K107">
        <v>6.6050926142464297</v>
      </c>
      <c r="M107" s="1">
        <v>39022</v>
      </c>
      <c r="N107">
        <v>6.4627379583711599</v>
      </c>
    </row>
    <row r="108" spans="2:14">
      <c r="B108" s="1">
        <v>38991</v>
      </c>
      <c r="C108" s="3">
        <v>6.5303692548919301</v>
      </c>
      <c r="D108" s="3">
        <v>6.7612498647602699</v>
      </c>
      <c r="E108" s="3">
        <v>6.5036892452480002</v>
      </c>
      <c r="F108" s="3">
        <f t="shared" si="3"/>
        <v>-0.2308806098683398</v>
      </c>
      <c r="G108" s="3">
        <f t="shared" si="4"/>
        <v>2.6680009643929914E-2</v>
      </c>
      <c r="H108" s="3">
        <f t="shared" si="5"/>
        <v>0.25756061951226972</v>
      </c>
      <c r="J108" s="1">
        <v>38991</v>
      </c>
      <c r="K108">
        <v>6.7612498647602699</v>
      </c>
      <c r="M108" s="1">
        <v>38991</v>
      </c>
      <c r="N108">
        <v>6.5036892452480002</v>
      </c>
    </row>
    <row r="109" spans="2:14">
      <c r="B109" s="1">
        <v>38961</v>
      </c>
      <c r="C109" s="3">
        <v>6.6969214773724</v>
      </c>
      <c r="D109" s="3">
        <v>6.8026987479921601</v>
      </c>
      <c r="E109" s="3">
        <v>6.5984951599902804</v>
      </c>
      <c r="F109" s="3">
        <f t="shared" si="3"/>
        <v>-0.10577727061976017</v>
      </c>
      <c r="G109" s="3">
        <f t="shared" si="4"/>
        <v>9.8426317382119599E-2</v>
      </c>
      <c r="H109" s="3">
        <f t="shared" si="5"/>
        <v>0.20420358800187977</v>
      </c>
      <c r="J109" s="1">
        <v>38961</v>
      </c>
      <c r="K109">
        <v>6.8026987479921601</v>
      </c>
      <c r="M109" s="1">
        <v>38961</v>
      </c>
      <c r="N109">
        <v>6.5984951599902804</v>
      </c>
    </row>
    <row r="110" spans="2:14">
      <c r="B110" s="1">
        <v>38930</v>
      </c>
      <c r="C110" s="3">
        <v>6.7489866680389001</v>
      </c>
      <c r="D110" s="3">
        <v>6.8165332362930604</v>
      </c>
      <c r="E110" s="3">
        <v>6.64420965530201</v>
      </c>
      <c r="F110" s="3">
        <f t="shared" si="3"/>
        <v>-6.7546568254160277E-2</v>
      </c>
      <c r="G110" s="3">
        <f t="shared" si="4"/>
        <v>0.10477701273689011</v>
      </c>
      <c r="H110" s="3">
        <f t="shared" si="5"/>
        <v>0.17232358099105038</v>
      </c>
      <c r="J110" s="1">
        <v>38930</v>
      </c>
      <c r="K110">
        <v>6.8165332362930604</v>
      </c>
      <c r="M110" s="1">
        <v>38930</v>
      </c>
      <c r="N110">
        <v>6.64420965530201</v>
      </c>
    </row>
    <row r="111" spans="2:14">
      <c r="B111" s="1">
        <v>38899</v>
      </c>
      <c r="C111" s="3">
        <v>6.6582320930680501</v>
      </c>
      <c r="D111" s="3">
        <v>6.79919524180242</v>
      </c>
      <c r="E111" s="3">
        <v>6.6718242011780502</v>
      </c>
      <c r="F111" s="3">
        <f t="shared" si="3"/>
        <v>-0.14096314873436988</v>
      </c>
      <c r="G111" s="3">
        <f t="shared" si="4"/>
        <v>-1.3592108110000112E-2</v>
      </c>
      <c r="H111" s="3">
        <f t="shared" si="5"/>
        <v>0.12737104062436977</v>
      </c>
      <c r="J111" s="1">
        <v>38899</v>
      </c>
      <c r="K111">
        <v>6.79919524180242</v>
      </c>
      <c r="M111" s="1">
        <v>38899</v>
      </c>
      <c r="N111">
        <v>6.6718242011780502</v>
      </c>
    </row>
    <row r="112" spans="2:14">
      <c r="B112" s="1">
        <v>38869</v>
      </c>
      <c r="C112" s="3">
        <v>6.4966828781134502</v>
      </c>
      <c r="D112" s="3">
        <v>6.7723561623469903</v>
      </c>
      <c r="E112" s="3">
        <v>6.5174767584399396</v>
      </c>
      <c r="F112" s="3">
        <f t="shared" si="3"/>
        <v>-0.27567328423354009</v>
      </c>
      <c r="G112" s="3">
        <f t="shared" si="4"/>
        <v>-2.0793880326489322E-2</v>
      </c>
      <c r="H112" s="3">
        <f t="shared" si="5"/>
        <v>0.25487940390705077</v>
      </c>
      <c r="J112" s="1">
        <v>38869</v>
      </c>
      <c r="K112">
        <v>6.7723561623469903</v>
      </c>
      <c r="M112" s="1">
        <v>38869</v>
      </c>
      <c r="N112">
        <v>6.5174767584399396</v>
      </c>
    </row>
    <row r="113" spans="2:14">
      <c r="B113" s="1">
        <v>38838</v>
      </c>
      <c r="C113" s="3">
        <v>6.3496636274609601</v>
      </c>
      <c r="D113" s="3">
        <v>6.6439112465558896</v>
      </c>
      <c r="E113" s="3">
        <v>6.4293742265984299</v>
      </c>
      <c r="F113" s="3">
        <f t="shared" si="3"/>
        <v>-0.29424761909492947</v>
      </c>
      <c r="G113" s="3">
        <f t="shared" si="4"/>
        <v>-7.9710599137469806E-2</v>
      </c>
      <c r="H113" s="3">
        <f t="shared" si="5"/>
        <v>0.21453701995745966</v>
      </c>
      <c r="J113" s="1">
        <v>38838</v>
      </c>
      <c r="K113">
        <v>6.6439112465558896</v>
      </c>
      <c r="M113" s="1">
        <v>38838</v>
      </c>
      <c r="N113">
        <v>6.4293742265984299</v>
      </c>
    </row>
    <row r="114" spans="2:14">
      <c r="B114" s="1">
        <v>38808</v>
      </c>
      <c r="C114" s="3">
        <v>6.1625003353485797</v>
      </c>
      <c r="D114" s="3">
        <v>6.44507652227413</v>
      </c>
      <c r="E114" s="3">
        <v>6.2872382875702897</v>
      </c>
      <c r="F114" s="3">
        <f t="shared" si="3"/>
        <v>-0.28257618692555031</v>
      </c>
      <c r="G114" s="3">
        <f t="shared" si="4"/>
        <v>-0.12473795222171002</v>
      </c>
      <c r="H114" s="3">
        <f t="shared" si="5"/>
        <v>0.15783823470384029</v>
      </c>
      <c r="J114" s="1">
        <v>38808</v>
      </c>
      <c r="K114">
        <v>6.44507652227413</v>
      </c>
      <c r="M114" s="1">
        <v>38808</v>
      </c>
      <c r="N114">
        <v>6.2872382875702897</v>
      </c>
    </row>
    <row r="115" spans="2:14">
      <c r="B115" s="1">
        <v>38777</v>
      </c>
      <c r="C115" s="3">
        <v>6.2300990392303204</v>
      </c>
      <c r="D115" s="3">
        <v>6.6172545901618598</v>
      </c>
      <c r="E115" s="3">
        <v>6.2982082968512598</v>
      </c>
      <c r="F115" s="3">
        <f t="shared" si="3"/>
        <v>-0.38715555093153942</v>
      </c>
      <c r="G115" s="3">
        <f t="shared" si="4"/>
        <v>-6.8109257620939445E-2</v>
      </c>
      <c r="H115" s="3">
        <f t="shared" si="5"/>
        <v>0.31904629331059997</v>
      </c>
      <c r="J115" s="1">
        <v>38777</v>
      </c>
      <c r="K115">
        <v>6.6172545901618598</v>
      </c>
      <c r="M115" s="1">
        <v>38777</v>
      </c>
      <c r="N115">
        <v>6.2982082968512598</v>
      </c>
    </row>
    <row r="116" spans="2:14">
      <c r="B116" s="1">
        <v>38749</v>
      </c>
      <c r="C116" s="3">
        <v>6.2157719062395396</v>
      </c>
      <c r="D116" s="3">
        <v>6.5915094227876203</v>
      </c>
      <c r="E116" s="3">
        <v>6.2874154697010702</v>
      </c>
      <c r="F116" s="3">
        <f t="shared" si="3"/>
        <v>-0.37573751654808074</v>
      </c>
      <c r="G116" s="3">
        <f t="shared" si="4"/>
        <v>-7.1643563461530668E-2</v>
      </c>
      <c r="H116" s="3">
        <f t="shared" si="5"/>
        <v>0.30409395308655007</v>
      </c>
      <c r="J116" s="1">
        <v>38749</v>
      </c>
      <c r="K116">
        <v>6.5915094227876203</v>
      </c>
      <c r="M116" s="1">
        <v>38749</v>
      </c>
      <c r="N116">
        <v>6.2874154697010702</v>
      </c>
    </row>
    <row r="117" spans="2:14">
      <c r="B117" s="1">
        <v>38718</v>
      </c>
      <c r="C117" s="3">
        <v>6.1790285154481799</v>
      </c>
      <c r="D117" s="3">
        <v>6.5427289793067303</v>
      </c>
      <c r="E117" s="3">
        <v>6.2545362046244097</v>
      </c>
      <c r="F117" s="3">
        <f t="shared" si="3"/>
        <v>-0.36370046385855037</v>
      </c>
      <c r="G117" s="3">
        <f t="shared" si="4"/>
        <v>-7.5507689176229853E-2</v>
      </c>
      <c r="H117" s="3">
        <f t="shared" si="5"/>
        <v>0.28819277468232052</v>
      </c>
      <c r="J117" s="1">
        <v>38718</v>
      </c>
      <c r="K117">
        <v>6.5427289793067303</v>
      </c>
      <c r="M117" s="1">
        <v>38718</v>
      </c>
      <c r="N117">
        <v>6.2545362046244097</v>
      </c>
    </row>
    <row r="118" spans="2:14">
      <c r="B118" s="1">
        <v>38687</v>
      </c>
      <c r="C118" s="3">
        <v>6.0110893377154699</v>
      </c>
      <c r="D118" s="3">
        <v>6.2082868116654</v>
      </c>
      <c r="E118" s="3">
        <v>6.0663837781049201</v>
      </c>
      <c r="F118" s="3">
        <f t="shared" si="3"/>
        <v>-0.19719747394993004</v>
      </c>
      <c r="G118" s="3">
        <f t="shared" si="4"/>
        <v>-5.5294440389450195E-2</v>
      </c>
      <c r="H118" s="3">
        <f t="shared" si="5"/>
        <v>0.14190303356047984</v>
      </c>
      <c r="J118" s="1">
        <v>38687</v>
      </c>
      <c r="K118">
        <v>6.2082868116654</v>
      </c>
      <c r="M118" s="1">
        <v>38687</v>
      </c>
      <c r="N118">
        <v>6.0663837781049201</v>
      </c>
    </row>
    <row r="119" spans="2:14">
      <c r="B119" s="1">
        <v>38657</v>
      </c>
      <c r="C119" s="3">
        <v>5.8665917585648204</v>
      </c>
      <c r="D119" s="3">
        <v>5.9911124383801297</v>
      </c>
      <c r="E119" s="3">
        <v>5.8824956492188702</v>
      </c>
      <c r="F119" s="3">
        <f t="shared" si="3"/>
        <v>-0.12452067981530934</v>
      </c>
      <c r="G119" s="3">
        <f t="shared" si="4"/>
        <v>-1.5903890654049846E-2</v>
      </c>
      <c r="H119" s="3">
        <f t="shared" si="5"/>
        <v>0.1086167891612595</v>
      </c>
      <c r="J119" s="1">
        <v>38657</v>
      </c>
      <c r="K119">
        <v>5.9911124383801297</v>
      </c>
      <c r="M119" s="1">
        <v>38657</v>
      </c>
      <c r="N119">
        <v>5.8824956492188702</v>
      </c>
    </row>
    <row r="120" spans="2:14">
      <c r="B120" s="1">
        <v>38626</v>
      </c>
      <c r="C120" s="3">
        <v>5.8261810662029001</v>
      </c>
      <c r="D120" s="3">
        <v>6.0827941560026799</v>
      </c>
      <c r="E120" s="3">
        <v>5.90450688398127</v>
      </c>
      <c r="F120" s="3">
        <f t="shared" si="3"/>
        <v>-0.25661308979977981</v>
      </c>
      <c r="G120" s="3">
        <f t="shared" si="4"/>
        <v>-7.8325817778369888E-2</v>
      </c>
      <c r="H120" s="3">
        <f t="shared" si="5"/>
        <v>0.17828727202140993</v>
      </c>
      <c r="J120" s="1">
        <v>38626</v>
      </c>
      <c r="K120">
        <v>6.0827941560026799</v>
      </c>
      <c r="M120" s="1">
        <v>38626</v>
      </c>
      <c r="N120">
        <v>5.90450688398127</v>
      </c>
    </row>
    <row r="121" spans="2:14">
      <c r="B121" s="1">
        <v>38596</v>
      </c>
      <c r="C121" s="3">
        <v>5.7737271421591601</v>
      </c>
      <c r="D121" s="3">
        <v>6.0248056296464396</v>
      </c>
      <c r="E121" s="3">
        <v>5.7835762679290603</v>
      </c>
      <c r="F121" s="3">
        <f t="shared" si="3"/>
        <v>-0.25107848748727957</v>
      </c>
      <c r="G121" s="3">
        <f t="shared" si="4"/>
        <v>-9.8491257699002688E-3</v>
      </c>
      <c r="H121" s="3">
        <f t="shared" si="5"/>
        <v>0.2412293617173793</v>
      </c>
      <c r="J121" s="1">
        <v>38596</v>
      </c>
      <c r="K121">
        <v>6.0248056296464396</v>
      </c>
      <c r="M121" s="1">
        <v>38596</v>
      </c>
      <c r="N121">
        <v>5.7835762679290603</v>
      </c>
    </row>
    <row r="122" spans="2:14">
      <c r="B122" s="1">
        <v>38565</v>
      </c>
      <c r="C122" s="3">
        <v>5.7509442380804598</v>
      </c>
      <c r="D122" s="3">
        <v>6.0116534514124798</v>
      </c>
      <c r="E122" s="3">
        <v>5.6867978695648898</v>
      </c>
      <c r="F122" s="3">
        <f t="shared" si="3"/>
        <v>-0.26070921333201991</v>
      </c>
      <c r="G122" s="3">
        <f t="shared" si="4"/>
        <v>6.4146368515570096E-2</v>
      </c>
      <c r="H122" s="3">
        <f t="shared" si="5"/>
        <v>0.32485558184759</v>
      </c>
      <c r="J122" s="1">
        <v>38565</v>
      </c>
      <c r="K122">
        <v>6.0116534514124798</v>
      </c>
      <c r="M122" s="1">
        <v>38565</v>
      </c>
      <c r="N122">
        <v>5.6867978695648898</v>
      </c>
    </row>
    <row r="123" spans="2:14">
      <c r="B123" s="1">
        <v>38534</v>
      </c>
      <c r="C123" s="3">
        <v>5.7798931724268998</v>
      </c>
      <c r="D123" s="3">
        <v>5.9291439279153604</v>
      </c>
      <c r="E123" s="3">
        <v>5.77587230029149</v>
      </c>
      <c r="F123" s="3">
        <f t="shared" si="3"/>
        <v>-0.14925075548846056</v>
      </c>
      <c r="G123" s="3">
        <f t="shared" si="4"/>
        <v>4.0208721354098031E-3</v>
      </c>
      <c r="H123" s="3">
        <f t="shared" si="5"/>
        <v>0.15327162762387037</v>
      </c>
      <c r="J123" s="1">
        <v>38534</v>
      </c>
      <c r="K123">
        <v>5.9291439279153604</v>
      </c>
      <c r="M123" s="1">
        <v>38534</v>
      </c>
      <c r="N123">
        <v>5.77587230029149</v>
      </c>
    </row>
    <row r="124" spans="2:14">
      <c r="B124" s="1">
        <v>38504</v>
      </c>
      <c r="C124" s="3">
        <v>5.9359092819794297</v>
      </c>
      <c r="D124" s="3">
        <v>6.0861604457115899</v>
      </c>
      <c r="E124" s="3">
        <v>5.9011810521622499</v>
      </c>
      <c r="F124" s="3">
        <f t="shared" si="3"/>
        <v>-0.15025116373216019</v>
      </c>
      <c r="G124" s="3">
        <f t="shared" si="4"/>
        <v>3.4728229817179823E-2</v>
      </c>
      <c r="H124" s="3">
        <f t="shared" si="5"/>
        <v>0.18497939354934001</v>
      </c>
      <c r="J124" s="1">
        <v>38504</v>
      </c>
      <c r="K124">
        <v>6.0861604457115899</v>
      </c>
      <c r="M124" s="1">
        <v>38504</v>
      </c>
      <c r="N124">
        <v>5.9011810521622499</v>
      </c>
    </row>
    <row r="125" spans="2:14">
      <c r="B125" s="1">
        <v>38473</v>
      </c>
      <c r="C125" s="3">
        <v>5.8650240305353201</v>
      </c>
      <c r="D125" s="3">
        <v>5.9156436011904701</v>
      </c>
      <c r="E125" s="3">
        <v>5.93851052657556</v>
      </c>
      <c r="F125" s="3">
        <f t="shared" si="3"/>
        <v>-5.0619570655149992E-2</v>
      </c>
      <c r="G125" s="3">
        <f t="shared" si="4"/>
        <v>-7.3486496040239935E-2</v>
      </c>
      <c r="H125" s="3">
        <f t="shared" si="5"/>
        <v>-2.2866925385089942E-2</v>
      </c>
      <c r="J125" s="1">
        <v>38473</v>
      </c>
      <c r="K125">
        <v>5.9156436011904701</v>
      </c>
      <c r="M125" s="1">
        <v>38473</v>
      </c>
      <c r="N125">
        <v>5.93851052657556</v>
      </c>
    </row>
    <row r="126" spans="2:14">
      <c r="B126" s="1">
        <v>38443</v>
      </c>
      <c r="C126" s="3">
        <v>5.7131424649754203</v>
      </c>
      <c r="D126" s="3">
        <v>6.0336881169928702</v>
      </c>
      <c r="E126" s="3">
        <v>5.7027763131622304</v>
      </c>
      <c r="F126" s="3">
        <f t="shared" si="3"/>
        <v>-0.32054565201744989</v>
      </c>
      <c r="G126" s="3">
        <f t="shared" si="4"/>
        <v>1.0366151813189894E-2</v>
      </c>
      <c r="H126" s="3">
        <f t="shared" si="5"/>
        <v>0.33091180383063978</v>
      </c>
      <c r="J126" s="1">
        <v>38443</v>
      </c>
      <c r="K126">
        <v>6.0336881169928702</v>
      </c>
      <c r="M126" s="1">
        <v>38443</v>
      </c>
      <c r="N126">
        <v>5.7027763131622304</v>
      </c>
    </row>
    <row r="127" spans="2:14">
      <c r="B127" s="1">
        <v>38412</v>
      </c>
      <c r="C127" s="3">
        <v>5.7080755223592199</v>
      </c>
      <c r="D127" s="3">
        <v>5.9235606448311096</v>
      </c>
      <c r="E127" s="3">
        <v>5.7027848550616698</v>
      </c>
      <c r="F127" s="3">
        <f t="shared" si="3"/>
        <v>-0.21548512247188967</v>
      </c>
      <c r="G127" s="3">
        <f t="shared" si="4"/>
        <v>5.2906672975501223E-3</v>
      </c>
      <c r="H127" s="3">
        <f t="shared" si="5"/>
        <v>0.22077578976943979</v>
      </c>
      <c r="J127" s="1">
        <v>38412</v>
      </c>
      <c r="K127">
        <v>5.9235606448311096</v>
      </c>
      <c r="M127" s="1">
        <v>38412</v>
      </c>
      <c r="N127">
        <v>5.7027848550616698</v>
      </c>
    </row>
    <row r="128" spans="2:14">
      <c r="B128" s="1">
        <v>38384</v>
      </c>
      <c r="C128" s="3">
        <v>5.8034733297388401</v>
      </c>
      <c r="D128" s="3">
        <v>6.1476152160514896</v>
      </c>
      <c r="E128" s="3">
        <v>5.84702160477205</v>
      </c>
      <c r="F128" s="3">
        <f t="shared" si="3"/>
        <v>-0.34414188631264953</v>
      </c>
      <c r="G128" s="3">
        <f t="shared" si="4"/>
        <v>-4.3548275033209904E-2</v>
      </c>
      <c r="H128" s="3">
        <f t="shared" si="5"/>
        <v>0.30059361127943962</v>
      </c>
      <c r="J128" s="1">
        <v>38384</v>
      </c>
      <c r="K128">
        <v>6.1476152160514896</v>
      </c>
      <c r="M128" s="1">
        <v>38384</v>
      </c>
      <c r="N128">
        <v>5.84702160477205</v>
      </c>
    </row>
    <row r="129" spans="2:14">
      <c r="B129" s="1">
        <v>38353</v>
      </c>
      <c r="C129" s="3">
        <v>5.8285798965769704</v>
      </c>
      <c r="D129" s="3">
        <v>5.9643916855714201</v>
      </c>
      <c r="E129" s="3">
        <v>5.8075675352202101</v>
      </c>
      <c r="F129" s="3">
        <f t="shared" si="3"/>
        <v>-0.13581178899444968</v>
      </c>
      <c r="G129" s="3">
        <f t="shared" si="4"/>
        <v>2.1012361356760323E-2</v>
      </c>
      <c r="H129" s="3">
        <f t="shared" si="5"/>
        <v>0.15682415035121</v>
      </c>
      <c r="J129" s="1">
        <v>38353</v>
      </c>
      <c r="K129">
        <v>5.9643916855714201</v>
      </c>
      <c r="M129" s="1">
        <v>38353</v>
      </c>
      <c r="N129">
        <v>5.8075675352202101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C361"/>
  <sheetViews>
    <sheetView workbookViewId="0">
      <selection activeCell="Y19" sqref="Y19"/>
    </sheetView>
  </sheetViews>
  <sheetFormatPr defaultRowHeight="15"/>
  <cols>
    <col min="2" max="2" width="4.7109375" bestFit="1" customWidth="1"/>
    <col min="3" max="3" width="5" bestFit="1" customWidth="1"/>
  </cols>
  <sheetData>
    <row r="2" spans="2:3">
      <c r="C2" t="s">
        <v>46</v>
      </c>
    </row>
    <row r="3" spans="2:3">
      <c r="B3">
        <v>-999</v>
      </c>
      <c r="C3">
        <v>40</v>
      </c>
    </row>
    <row r="4" spans="2:3">
      <c r="B4">
        <v>460</v>
      </c>
      <c r="C4">
        <v>1</v>
      </c>
    </row>
    <row r="5" spans="2:3">
      <c r="B5">
        <v>462</v>
      </c>
      <c r="C5">
        <v>2</v>
      </c>
    </row>
    <row r="6" spans="2:3">
      <c r="B6">
        <v>463</v>
      </c>
      <c r="C6">
        <v>1</v>
      </c>
    </row>
    <row r="7" spans="2:3">
      <c r="B7">
        <v>466</v>
      </c>
      <c r="C7">
        <v>1</v>
      </c>
    </row>
    <row r="8" spans="2:3">
      <c r="B8">
        <v>467</v>
      </c>
      <c r="C8">
        <v>1</v>
      </c>
    </row>
    <row r="9" spans="2:3">
      <c r="B9">
        <v>471</v>
      </c>
      <c r="C9">
        <v>1</v>
      </c>
    </row>
    <row r="10" spans="2:3">
      <c r="B10">
        <v>475</v>
      </c>
      <c r="C10">
        <v>1</v>
      </c>
    </row>
    <row r="11" spans="2:3">
      <c r="B11">
        <v>476</v>
      </c>
      <c r="C11">
        <v>1</v>
      </c>
    </row>
    <row r="12" spans="2:3">
      <c r="B12">
        <v>477</v>
      </c>
      <c r="C12">
        <v>1</v>
      </c>
    </row>
    <row r="13" spans="2:3">
      <c r="B13">
        <v>478</v>
      </c>
      <c r="C13">
        <v>2</v>
      </c>
    </row>
    <row r="14" spans="2:3">
      <c r="B14">
        <v>480</v>
      </c>
      <c r="C14">
        <v>2</v>
      </c>
    </row>
    <row r="15" spans="2:3">
      <c r="B15">
        <v>481</v>
      </c>
      <c r="C15">
        <v>2</v>
      </c>
    </row>
    <row r="16" spans="2:3">
      <c r="B16">
        <v>482</v>
      </c>
      <c r="C16">
        <v>1</v>
      </c>
    </row>
    <row r="17" spans="2:3">
      <c r="B17">
        <v>484</v>
      </c>
      <c r="C17">
        <v>1</v>
      </c>
    </row>
    <row r="18" spans="2:3">
      <c r="B18">
        <v>488</v>
      </c>
      <c r="C18">
        <v>3</v>
      </c>
    </row>
    <row r="19" spans="2:3">
      <c r="B19">
        <v>489</v>
      </c>
      <c r="C19">
        <v>3</v>
      </c>
    </row>
    <row r="20" spans="2:3">
      <c r="B20">
        <v>490</v>
      </c>
      <c r="C20">
        <v>2</v>
      </c>
    </row>
    <row r="21" spans="2:3">
      <c r="B21">
        <v>491</v>
      </c>
      <c r="C21">
        <v>1</v>
      </c>
    </row>
    <row r="22" spans="2:3">
      <c r="B22">
        <v>492</v>
      </c>
      <c r="C22">
        <v>1</v>
      </c>
    </row>
    <row r="23" spans="2:3">
      <c r="B23">
        <v>493</v>
      </c>
      <c r="C23">
        <v>1</v>
      </c>
    </row>
    <row r="24" spans="2:3">
      <c r="B24">
        <v>494</v>
      </c>
      <c r="C24">
        <v>3</v>
      </c>
    </row>
    <row r="25" spans="2:3">
      <c r="B25">
        <v>495</v>
      </c>
      <c r="C25">
        <v>2</v>
      </c>
    </row>
    <row r="26" spans="2:3">
      <c r="B26">
        <v>496</v>
      </c>
      <c r="C26">
        <v>4</v>
      </c>
    </row>
    <row r="27" spans="2:3">
      <c r="B27">
        <v>497</v>
      </c>
      <c r="C27">
        <v>2</v>
      </c>
    </row>
    <row r="28" spans="2:3">
      <c r="B28">
        <v>498</v>
      </c>
      <c r="C28">
        <v>4</v>
      </c>
    </row>
    <row r="29" spans="2:3">
      <c r="B29">
        <v>500</v>
      </c>
      <c r="C29">
        <v>3</v>
      </c>
    </row>
    <row r="30" spans="2:3">
      <c r="B30">
        <v>501</v>
      </c>
      <c r="C30">
        <v>1</v>
      </c>
    </row>
    <row r="31" spans="2:3">
      <c r="B31">
        <v>502</v>
      </c>
      <c r="C31">
        <v>5</v>
      </c>
    </row>
    <row r="32" spans="2:3">
      <c r="B32">
        <v>503</v>
      </c>
      <c r="C32">
        <v>2</v>
      </c>
    </row>
    <row r="33" spans="2:3">
      <c r="B33">
        <v>504</v>
      </c>
      <c r="C33">
        <v>1</v>
      </c>
    </row>
    <row r="34" spans="2:3">
      <c r="B34">
        <v>505</v>
      </c>
      <c r="C34">
        <v>2</v>
      </c>
    </row>
    <row r="35" spans="2:3">
      <c r="B35">
        <v>506</v>
      </c>
      <c r="C35">
        <v>4</v>
      </c>
    </row>
    <row r="36" spans="2:3">
      <c r="B36">
        <v>507</v>
      </c>
      <c r="C36">
        <v>3</v>
      </c>
    </row>
    <row r="37" spans="2:3">
      <c r="B37">
        <v>508</v>
      </c>
      <c r="C37">
        <v>4</v>
      </c>
    </row>
    <row r="38" spans="2:3">
      <c r="B38">
        <v>509</v>
      </c>
      <c r="C38">
        <v>2</v>
      </c>
    </row>
    <row r="39" spans="2:3">
      <c r="B39">
        <v>510</v>
      </c>
      <c r="C39">
        <v>8</v>
      </c>
    </row>
    <row r="40" spans="2:3">
      <c r="B40">
        <v>511</v>
      </c>
      <c r="C40">
        <v>1</v>
      </c>
    </row>
    <row r="41" spans="2:3">
      <c r="B41">
        <v>512</v>
      </c>
      <c r="C41">
        <v>3</v>
      </c>
    </row>
    <row r="42" spans="2:3">
      <c r="B42">
        <v>513</v>
      </c>
      <c r="C42">
        <v>7</v>
      </c>
    </row>
    <row r="43" spans="2:3">
      <c r="B43">
        <v>514</v>
      </c>
      <c r="C43">
        <v>6</v>
      </c>
    </row>
    <row r="44" spans="2:3">
      <c r="B44">
        <v>515</v>
      </c>
      <c r="C44">
        <v>2</v>
      </c>
    </row>
    <row r="45" spans="2:3">
      <c r="B45">
        <v>516</v>
      </c>
      <c r="C45">
        <v>3</v>
      </c>
    </row>
    <row r="46" spans="2:3">
      <c r="B46">
        <v>517</v>
      </c>
      <c r="C46">
        <v>8</v>
      </c>
    </row>
    <row r="47" spans="2:3">
      <c r="B47">
        <v>518</v>
      </c>
      <c r="C47">
        <v>2</v>
      </c>
    </row>
    <row r="48" spans="2:3">
      <c r="B48">
        <v>519</v>
      </c>
      <c r="C48">
        <v>8</v>
      </c>
    </row>
    <row r="49" spans="2:3">
      <c r="B49">
        <v>520</v>
      </c>
      <c r="C49">
        <v>4</v>
      </c>
    </row>
    <row r="50" spans="2:3">
      <c r="B50">
        <v>521</v>
      </c>
      <c r="C50">
        <v>3</v>
      </c>
    </row>
    <row r="51" spans="2:3">
      <c r="B51">
        <v>522</v>
      </c>
      <c r="C51">
        <v>3</v>
      </c>
    </row>
    <row r="52" spans="2:3">
      <c r="B52">
        <v>523</v>
      </c>
      <c r="C52">
        <v>4</v>
      </c>
    </row>
    <row r="53" spans="2:3">
      <c r="B53">
        <v>524</v>
      </c>
      <c r="C53">
        <v>4</v>
      </c>
    </row>
    <row r="54" spans="2:3">
      <c r="B54">
        <v>525</v>
      </c>
      <c r="C54">
        <v>3</v>
      </c>
    </row>
    <row r="55" spans="2:3">
      <c r="B55">
        <v>526</v>
      </c>
      <c r="C55">
        <v>9</v>
      </c>
    </row>
    <row r="56" spans="2:3">
      <c r="B56">
        <v>527</v>
      </c>
      <c r="C56">
        <v>6</v>
      </c>
    </row>
    <row r="57" spans="2:3">
      <c r="B57">
        <v>528</v>
      </c>
      <c r="C57">
        <v>6</v>
      </c>
    </row>
    <row r="58" spans="2:3">
      <c r="B58">
        <v>529</v>
      </c>
      <c r="C58">
        <v>5</v>
      </c>
    </row>
    <row r="59" spans="2:3">
      <c r="B59">
        <v>530</v>
      </c>
      <c r="C59">
        <v>3</v>
      </c>
    </row>
    <row r="60" spans="2:3">
      <c r="B60">
        <v>531</v>
      </c>
      <c r="C60">
        <v>7</v>
      </c>
    </row>
    <row r="61" spans="2:3">
      <c r="B61">
        <v>532</v>
      </c>
      <c r="C61">
        <v>7</v>
      </c>
    </row>
    <row r="62" spans="2:3">
      <c r="B62">
        <v>533</v>
      </c>
      <c r="C62">
        <v>3</v>
      </c>
    </row>
    <row r="63" spans="2:3">
      <c r="B63">
        <v>534</v>
      </c>
      <c r="C63">
        <v>8</v>
      </c>
    </row>
    <row r="64" spans="2:3">
      <c r="B64">
        <v>535</v>
      </c>
      <c r="C64">
        <v>6</v>
      </c>
    </row>
    <row r="65" spans="2:3">
      <c r="B65">
        <v>536</v>
      </c>
      <c r="C65">
        <v>6</v>
      </c>
    </row>
    <row r="66" spans="2:3">
      <c r="B66">
        <v>537</v>
      </c>
      <c r="C66">
        <v>3</v>
      </c>
    </row>
    <row r="67" spans="2:3">
      <c r="B67">
        <v>538</v>
      </c>
      <c r="C67">
        <v>6</v>
      </c>
    </row>
    <row r="68" spans="2:3">
      <c r="B68">
        <v>539</v>
      </c>
      <c r="C68">
        <v>6</v>
      </c>
    </row>
    <row r="69" spans="2:3">
      <c r="B69">
        <v>540</v>
      </c>
      <c r="C69">
        <v>5</v>
      </c>
    </row>
    <row r="70" spans="2:3">
      <c r="B70">
        <v>541</v>
      </c>
      <c r="C70">
        <v>8</v>
      </c>
    </row>
    <row r="71" spans="2:3">
      <c r="B71">
        <v>542</v>
      </c>
      <c r="C71">
        <v>5</v>
      </c>
    </row>
    <row r="72" spans="2:3">
      <c r="B72">
        <v>543</v>
      </c>
      <c r="C72">
        <v>13</v>
      </c>
    </row>
    <row r="73" spans="2:3">
      <c r="B73">
        <v>544</v>
      </c>
      <c r="C73">
        <v>4</v>
      </c>
    </row>
    <row r="74" spans="2:3">
      <c r="B74">
        <v>545</v>
      </c>
      <c r="C74">
        <v>7</v>
      </c>
    </row>
    <row r="75" spans="2:3">
      <c r="B75">
        <v>546</v>
      </c>
      <c r="C75">
        <v>11</v>
      </c>
    </row>
    <row r="76" spans="2:3">
      <c r="B76">
        <v>547</v>
      </c>
      <c r="C76">
        <v>11</v>
      </c>
    </row>
    <row r="77" spans="2:3">
      <c r="B77">
        <v>548</v>
      </c>
      <c r="C77">
        <v>8</v>
      </c>
    </row>
    <row r="78" spans="2:3">
      <c r="B78">
        <v>549</v>
      </c>
      <c r="C78">
        <v>8</v>
      </c>
    </row>
    <row r="79" spans="2:3">
      <c r="B79">
        <v>550</v>
      </c>
      <c r="C79">
        <v>8</v>
      </c>
    </row>
    <row r="80" spans="2:3">
      <c r="B80">
        <v>551</v>
      </c>
      <c r="C80">
        <v>7</v>
      </c>
    </row>
    <row r="81" spans="2:3">
      <c r="B81">
        <v>552</v>
      </c>
      <c r="C81">
        <v>5</v>
      </c>
    </row>
    <row r="82" spans="2:3">
      <c r="B82">
        <v>553</v>
      </c>
      <c r="C82">
        <v>11</v>
      </c>
    </row>
    <row r="83" spans="2:3">
      <c r="B83">
        <v>554</v>
      </c>
      <c r="C83">
        <v>6</v>
      </c>
    </row>
    <row r="84" spans="2:3">
      <c r="B84">
        <v>555</v>
      </c>
      <c r="C84">
        <v>11</v>
      </c>
    </row>
    <row r="85" spans="2:3">
      <c r="B85">
        <v>556</v>
      </c>
      <c r="C85">
        <v>12</v>
      </c>
    </row>
    <row r="86" spans="2:3">
      <c r="B86">
        <v>557</v>
      </c>
      <c r="C86">
        <v>2</v>
      </c>
    </row>
    <row r="87" spans="2:3">
      <c r="B87">
        <v>558</v>
      </c>
      <c r="C87">
        <v>11</v>
      </c>
    </row>
    <row r="88" spans="2:3">
      <c r="B88">
        <v>559</v>
      </c>
      <c r="C88">
        <v>10</v>
      </c>
    </row>
    <row r="89" spans="2:3">
      <c r="B89">
        <v>560</v>
      </c>
      <c r="C89">
        <v>9</v>
      </c>
    </row>
    <row r="90" spans="2:3">
      <c r="B90">
        <v>561</v>
      </c>
      <c r="C90">
        <v>14</v>
      </c>
    </row>
    <row r="91" spans="2:3">
      <c r="B91">
        <v>562</v>
      </c>
      <c r="C91">
        <v>12</v>
      </c>
    </row>
    <row r="92" spans="2:3">
      <c r="B92">
        <v>563</v>
      </c>
      <c r="C92">
        <v>17</v>
      </c>
    </row>
    <row r="93" spans="2:3">
      <c r="B93">
        <v>564</v>
      </c>
      <c r="C93">
        <v>10</v>
      </c>
    </row>
    <row r="94" spans="2:3">
      <c r="B94">
        <v>565</v>
      </c>
      <c r="C94">
        <v>15</v>
      </c>
    </row>
    <row r="95" spans="2:3">
      <c r="B95">
        <v>566</v>
      </c>
      <c r="C95">
        <v>10</v>
      </c>
    </row>
    <row r="96" spans="2:3">
      <c r="B96">
        <v>567</v>
      </c>
      <c r="C96">
        <v>13</v>
      </c>
    </row>
    <row r="97" spans="2:3">
      <c r="B97">
        <v>568</v>
      </c>
      <c r="C97">
        <v>11</v>
      </c>
    </row>
    <row r="98" spans="2:3">
      <c r="B98">
        <v>569</v>
      </c>
      <c r="C98">
        <v>15</v>
      </c>
    </row>
    <row r="99" spans="2:3">
      <c r="B99">
        <v>570</v>
      </c>
      <c r="C99">
        <v>14</v>
      </c>
    </row>
    <row r="100" spans="2:3">
      <c r="B100">
        <v>571</v>
      </c>
      <c r="C100">
        <v>26</v>
      </c>
    </row>
    <row r="101" spans="2:3">
      <c r="B101">
        <v>572</v>
      </c>
      <c r="C101">
        <v>16</v>
      </c>
    </row>
    <row r="102" spans="2:3">
      <c r="B102">
        <v>573</v>
      </c>
      <c r="C102">
        <v>13</v>
      </c>
    </row>
    <row r="103" spans="2:3">
      <c r="B103">
        <v>574</v>
      </c>
      <c r="C103">
        <v>11</v>
      </c>
    </row>
    <row r="104" spans="2:3">
      <c r="B104">
        <v>575</v>
      </c>
      <c r="C104">
        <v>18</v>
      </c>
    </row>
    <row r="105" spans="2:3">
      <c r="B105">
        <v>576</v>
      </c>
      <c r="C105">
        <v>23</v>
      </c>
    </row>
    <row r="106" spans="2:3">
      <c r="B106">
        <v>577</v>
      </c>
      <c r="C106">
        <v>16</v>
      </c>
    </row>
    <row r="107" spans="2:3">
      <c r="B107">
        <v>578</v>
      </c>
      <c r="C107">
        <v>12</v>
      </c>
    </row>
    <row r="108" spans="2:3">
      <c r="B108">
        <v>579</v>
      </c>
      <c r="C108">
        <v>12</v>
      </c>
    </row>
    <row r="109" spans="2:3">
      <c r="B109">
        <v>580</v>
      </c>
      <c r="C109">
        <v>9</v>
      </c>
    </row>
    <row r="110" spans="2:3">
      <c r="B110">
        <v>581</v>
      </c>
      <c r="C110">
        <v>14</v>
      </c>
    </row>
    <row r="111" spans="2:3">
      <c r="B111">
        <v>582</v>
      </c>
      <c r="C111">
        <v>18</v>
      </c>
    </row>
    <row r="112" spans="2:3">
      <c r="B112">
        <v>583</v>
      </c>
      <c r="C112">
        <v>12</v>
      </c>
    </row>
    <row r="113" spans="2:3">
      <c r="B113">
        <v>584</v>
      </c>
      <c r="C113">
        <v>19</v>
      </c>
    </row>
    <row r="114" spans="2:3">
      <c r="B114">
        <v>585</v>
      </c>
      <c r="C114">
        <v>14</v>
      </c>
    </row>
    <row r="115" spans="2:3">
      <c r="B115">
        <v>586</v>
      </c>
      <c r="C115">
        <v>27</v>
      </c>
    </row>
    <row r="116" spans="2:3">
      <c r="B116">
        <v>587</v>
      </c>
      <c r="C116">
        <v>17</v>
      </c>
    </row>
    <row r="117" spans="2:3">
      <c r="B117">
        <v>588</v>
      </c>
      <c r="C117">
        <v>19</v>
      </c>
    </row>
    <row r="118" spans="2:3">
      <c r="B118">
        <v>589</v>
      </c>
      <c r="C118">
        <v>22</v>
      </c>
    </row>
    <row r="119" spans="2:3">
      <c r="B119">
        <v>590</v>
      </c>
      <c r="C119">
        <v>29</v>
      </c>
    </row>
    <row r="120" spans="2:3">
      <c r="B120">
        <v>591</v>
      </c>
      <c r="C120">
        <v>23</v>
      </c>
    </row>
    <row r="121" spans="2:3">
      <c r="B121">
        <v>592</v>
      </c>
      <c r="C121">
        <v>40</v>
      </c>
    </row>
    <row r="122" spans="2:3">
      <c r="B122">
        <v>593</v>
      </c>
      <c r="C122">
        <v>15</v>
      </c>
    </row>
    <row r="123" spans="2:3">
      <c r="B123">
        <v>594</v>
      </c>
      <c r="C123">
        <v>24</v>
      </c>
    </row>
    <row r="124" spans="2:3">
      <c r="B124">
        <v>595</v>
      </c>
      <c r="C124">
        <v>17</v>
      </c>
    </row>
    <row r="125" spans="2:3">
      <c r="B125">
        <v>596</v>
      </c>
      <c r="C125">
        <v>18</v>
      </c>
    </row>
    <row r="126" spans="2:3">
      <c r="B126">
        <v>597</v>
      </c>
      <c r="C126">
        <v>22</v>
      </c>
    </row>
    <row r="127" spans="2:3">
      <c r="B127">
        <v>598</v>
      </c>
      <c r="C127">
        <v>17</v>
      </c>
    </row>
    <row r="128" spans="2:3">
      <c r="B128">
        <v>599</v>
      </c>
      <c r="C128">
        <v>14</v>
      </c>
    </row>
    <row r="129" spans="2:3">
      <c r="B129">
        <v>600</v>
      </c>
      <c r="C129">
        <v>26</v>
      </c>
    </row>
    <row r="130" spans="2:3">
      <c r="B130">
        <v>601</v>
      </c>
      <c r="C130">
        <v>25</v>
      </c>
    </row>
    <row r="131" spans="2:3">
      <c r="B131">
        <v>602</v>
      </c>
      <c r="C131">
        <v>26</v>
      </c>
    </row>
    <row r="132" spans="2:3">
      <c r="B132">
        <v>603</v>
      </c>
      <c r="C132">
        <v>22</v>
      </c>
    </row>
    <row r="133" spans="2:3">
      <c r="B133">
        <v>604</v>
      </c>
      <c r="C133">
        <v>27</v>
      </c>
    </row>
    <row r="134" spans="2:3">
      <c r="B134">
        <v>605</v>
      </c>
      <c r="C134">
        <v>28</v>
      </c>
    </row>
    <row r="135" spans="2:3">
      <c r="B135">
        <v>606</v>
      </c>
      <c r="C135">
        <v>38</v>
      </c>
    </row>
    <row r="136" spans="2:3">
      <c r="B136">
        <v>607</v>
      </c>
      <c r="C136">
        <v>40</v>
      </c>
    </row>
    <row r="137" spans="2:3">
      <c r="B137">
        <v>608</v>
      </c>
      <c r="C137">
        <v>38</v>
      </c>
    </row>
    <row r="138" spans="2:3">
      <c r="B138">
        <v>609</v>
      </c>
      <c r="C138">
        <v>25</v>
      </c>
    </row>
    <row r="139" spans="2:3">
      <c r="B139">
        <v>610</v>
      </c>
      <c r="C139">
        <v>30</v>
      </c>
    </row>
    <row r="140" spans="2:3">
      <c r="B140">
        <v>611</v>
      </c>
      <c r="C140">
        <v>24</v>
      </c>
    </row>
    <row r="141" spans="2:3">
      <c r="B141">
        <v>612</v>
      </c>
      <c r="C141">
        <v>30</v>
      </c>
    </row>
    <row r="142" spans="2:3">
      <c r="B142">
        <v>613</v>
      </c>
      <c r="C142">
        <v>32</v>
      </c>
    </row>
    <row r="143" spans="2:3">
      <c r="B143">
        <v>614</v>
      </c>
      <c r="C143">
        <v>34</v>
      </c>
    </row>
    <row r="144" spans="2:3">
      <c r="B144">
        <v>615</v>
      </c>
      <c r="C144">
        <v>30</v>
      </c>
    </row>
    <row r="145" spans="2:3">
      <c r="B145">
        <v>616</v>
      </c>
      <c r="C145">
        <v>25</v>
      </c>
    </row>
    <row r="146" spans="2:3">
      <c r="B146">
        <v>617</v>
      </c>
      <c r="C146">
        <v>31</v>
      </c>
    </row>
    <row r="147" spans="2:3">
      <c r="B147">
        <v>618</v>
      </c>
      <c r="C147">
        <v>35</v>
      </c>
    </row>
    <row r="148" spans="2:3">
      <c r="B148">
        <v>619</v>
      </c>
      <c r="C148">
        <v>38</v>
      </c>
    </row>
    <row r="149" spans="2:3">
      <c r="B149">
        <v>620</v>
      </c>
      <c r="C149">
        <v>151</v>
      </c>
    </row>
    <row r="150" spans="2:3">
      <c r="B150">
        <v>621</v>
      </c>
      <c r="C150">
        <v>144</v>
      </c>
    </row>
    <row r="151" spans="2:3">
      <c r="B151">
        <v>622</v>
      </c>
      <c r="C151">
        <v>135</v>
      </c>
    </row>
    <row r="152" spans="2:3">
      <c r="B152">
        <v>623</v>
      </c>
      <c r="C152">
        <v>131</v>
      </c>
    </row>
    <row r="153" spans="2:3">
      <c r="B153">
        <v>624</v>
      </c>
      <c r="C153">
        <v>125</v>
      </c>
    </row>
    <row r="154" spans="2:3">
      <c r="B154">
        <v>625</v>
      </c>
      <c r="C154">
        <v>141</v>
      </c>
    </row>
    <row r="155" spans="2:3">
      <c r="B155">
        <v>626</v>
      </c>
      <c r="C155">
        <v>188</v>
      </c>
    </row>
    <row r="156" spans="2:3">
      <c r="B156">
        <v>627</v>
      </c>
      <c r="C156">
        <v>170</v>
      </c>
    </row>
    <row r="157" spans="2:3">
      <c r="B157">
        <v>628</v>
      </c>
      <c r="C157">
        <v>182</v>
      </c>
    </row>
    <row r="158" spans="2:3">
      <c r="B158">
        <v>629</v>
      </c>
      <c r="C158">
        <v>174</v>
      </c>
    </row>
    <row r="159" spans="2:3">
      <c r="B159">
        <v>630</v>
      </c>
      <c r="C159">
        <v>159</v>
      </c>
    </row>
    <row r="160" spans="2:3">
      <c r="B160">
        <v>631</v>
      </c>
      <c r="C160">
        <v>177</v>
      </c>
    </row>
    <row r="161" spans="2:3">
      <c r="B161">
        <v>632</v>
      </c>
      <c r="C161">
        <v>207</v>
      </c>
    </row>
    <row r="162" spans="2:3">
      <c r="B162">
        <v>633</v>
      </c>
      <c r="C162">
        <v>180</v>
      </c>
    </row>
    <row r="163" spans="2:3">
      <c r="B163">
        <v>634</v>
      </c>
      <c r="C163">
        <v>176</v>
      </c>
    </row>
    <row r="164" spans="2:3">
      <c r="B164">
        <v>635</v>
      </c>
      <c r="C164">
        <v>205</v>
      </c>
    </row>
    <row r="165" spans="2:3">
      <c r="B165">
        <v>636</v>
      </c>
      <c r="C165">
        <v>187</v>
      </c>
    </row>
    <row r="166" spans="2:3">
      <c r="B166">
        <v>637</v>
      </c>
      <c r="C166">
        <v>190</v>
      </c>
    </row>
    <row r="167" spans="2:3">
      <c r="B167">
        <v>638</v>
      </c>
      <c r="C167">
        <v>229</v>
      </c>
    </row>
    <row r="168" spans="2:3">
      <c r="B168">
        <v>639</v>
      </c>
      <c r="C168">
        <v>212</v>
      </c>
    </row>
    <row r="169" spans="2:3">
      <c r="B169">
        <v>640</v>
      </c>
      <c r="C169">
        <v>251</v>
      </c>
    </row>
    <row r="170" spans="2:3">
      <c r="B170">
        <v>641</v>
      </c>
      <c r="C170">
        <v>228</v>
      </c>
    </row>
    <row r="171" spans="2:3">
      <c r="B171">
        <v>642</v>
      </c>
      <c r="C171">
        <v>277</v>
      </c>
    </row>
    <row r="172" spans="2:3">
      <c r="B172">
        <v>643</v>
      </c>
      <c r="C172">
        <v>253</v>
      </c>
    </row>
    <row r="173" spans="2:3">
      <c r="B173">
        <v>644</v>
      </c>
      <c r="C173">
        <v>265</v>
      </c>
    </row>
    <row r="174" spans="2:3">
      <c r="B174">
        <v>645</v>
      </c>
      <c r="C174">
        <v>243</v>
      </c>
    </row>
    <row r="175" spans="2:3">
      <c r="B175">
        <v>646</v>
      </c>
      <c r="C175">
        <v>305</v>
      </c>
    </row>
    <row r="176" spans="2:3">
      <c r="B176">
        <v>647</v>
      </c>
      <c r="C176">
        <v>344</v>
      </c>
    </row>
    <row r="177" spans="2:3">
      <c r="B177">
        <v>648</v>
      </c>
      <c r="C177">
        <v>258</v>
      </c>
    </row>
    <row r="178" spans="2:3">
      <c r="B178">
        <v>649</v>
      </c>
      <c r="C178">
        <v>318</v>
      </c>
    </row>
    <row r="179" spans="2:3">
      <c r="B179">
        <v>650</v>
      </c>
      <c r="C179">
        <v>292</v>
      </c>
    </row>
    <row r="180" spans="2:3">
      <c r="B180">
        <v>651</v>
      </c>
      <c r="C180">
        <v>340</v>
      </c>
    </row>
    <row r="181" spans="2:3">
      <c r="B181">
        <v>652</v>
      </c>
      <c r="C181">
        <v>306</v>
      </c>
    </row>
    <row r="182" spans="2:3">
      <c r="B182">
        <v>653</v>
      </c>
      <c r="C182">
        <v>326</v>
      </c>
    </row>
    <row r="183" spans="2:3">
      <c r="B183">
        <v>654</v>
      </c>
      <c r="C183">
        <v>328</v>
      </c>
    </row>
    <row r="184" spans="2:3">
      <c r="B184">
        <v>655</v>
      </c>
      <c r="C184">
        <v>314</v>
      </c>
    </row>
    <row r="185" spans="2:3">
      <c r="B185">
        <v>656</v>
      </c>
      <c r="C185">
        <v>322</v>
      </c>
    </row>
    <row r="186" spans="2:3">
      <c r="B186">
        <v>657</v>
      </c>
      <c r="C186">
        <v>317</v>
      </c>
    </row>
    <row r="187" spans="2:3">
      <c r="B187">
        <v>658</v>
      </c>
      <c r="C187">
        <v>315</v>
      </c>
    </row>
    <row r="188" spans="2:3">
      <c r="B188">
        <v>659</v>
      </c>
      <c r="C188">
        <v>341</v>
      </c>
    </row>
    <row r="189" spans="2:3">
      <c r="B189">
        <v>660</v>
      </c>
      <c r="C189">
        <v>418</v>
      </c>
    </row>
    <row r="190" spans="2:3">
      <c r="B190">
        <v>661</v>
      </c>
      <c r="C190">
        <v>432</v>
      </c>
    </row>
    <row r="191" spans="2:3">
      <c r="B191">
        <v>662</v>
      </c>
      <c r="C191">
        <v>423</v>
      </c>
    </row>
    <row r="192" spans="2:3">
      <c r="B192">
        <v>663</v>
      </c>
      <c r="C192">
        <v>430</v>
      </c>
    </row>
    <row r="193" spans="2:3">
      <c r="B193">
        <v>664</v>
      </c>
      <c r="C193">
        <v>449</v>
      </c>
    </row>
    <row r="194" spans="2:3">
      <c r="B194">
        <v>665</v>
      </c>
      <c r="C194">
        <v>394</v>
      </c>
    </row>
    <row r="195" spans="2:3">
      <c r="B195">
        <v>666</v>
      </c>
      <c r="C195">
        <v>409</v>
      </c>
    </row>
    <row r="196" spans="2:3">
      <c r="B196">
        <v>667</v>
      </c>
      <c r="C196">
        <v>418</v>
      </c>
    </row>
    <row r="197" spans="2:3">
      <c r="B197">
        <v>668</v>
      </c>
      <c r="C197">
        <v>445</v>
      </c>
    </row>
    <row r="198" spans="2:3">
      <c r="B198">
        <v>669</v>
      </c>
      <c r="C198">
        <v>455</v>
      </c>
    </row>
    <row r="199" spans="2:3">
      <c r="B199">
        <v>670</v>
      </c>
      <c r="C199">
        <v>464</v>
      </c>
    </row>
    <row r="200" spans="2:3">
      <c r="B200">
        <v>671</v>
      </c>
      <c r="C200">
        <v>450</v>
      </c>
    </row>
    <row r="201" spans="2:3">
      <c r="B201">
        <v>672</v>
      </c>
      <c r="C201">
        <v>488</v>
      </c>
    </row>
    <row r="202" spans="2:3">
      <c r="B202">
        <v>673</v>
      </c>
      <c r="C202">
        <v>496</v>
      </c>
    </row>
    <row r="203" spans="2:3">
      <c r="B203">
        <v>674</v>
      </c>
      <c r="C203">
        <v>482</v>
      </c>
    </row>
    <row r="204" spans="2:3">
      <c r="B204">
        <v>675</v>
      </c>
      <c r="C204">
        <v>525</v>
      </c>
    </row>
    <row r="205" spans="2:3">
      <c r="B205">
        <v>676</v>
      </c>
      <c r="C205">
        <v>530</v>
      </c>
    </row>
    <row r="206" spans="2:3">
      <c r="B206">
        <v>677</v>
      </c>
      <c r="C206">
        <v>511</v>
      </c>
    </row>
    <row r="207" spans="2:3">
      <c r="B207">
        <v>678</v>
      </c>
      <c r="C207">
        <v>521</v>
      </c>
    </row>
    <row r="208" spans="2:3">
      <c r="B208">
        <v>679</v>
      </c>
      <c r="C208">
        <v>493</v>
      </c>
    </row>
    <row r="209" spans="2:3">
      <c r="B209">
        <v>680</v>
      </c>
      <c r="C209">
        <v>638</v>
      </c>
    </row>
    <row r="210" spans="2:3">
      <c r="B210">
        <v>681</v>
      </c>
      <c r="C210">
        <v>594</v>
      </c>
    </row>
    <row r="211" spans="2:3">
      <c r="B211">
        <v>682</v>
      </c>
      <c r="C211">
        <v>668</v>
      </c>
    </row>
    <row r="212" spans="2:3">
      <c r="B212">
        <v>683</v>
      </c>
      <c r="C212">
        <v>645</v>
      </c>
    </row>
    <row r="213" spans="2:3">
      <c r="B213">
        <v>684</v>
      </c>
      <c r="C213">
        <v>682</v>
      </c>
    </row>
    <row r="214" spans="2:3">
      <c r="B214">
        <v>685</v>
      </c>
      <c r="C214">
        <v>663</v>
      </c>
    </row>
    <row r="215" spans="2:3">
      <c r="B215">
        <v>686</v>
      </c>
      <c r="C215">
        <v>651</v>
      </c>
    </row>
    <row r="216" spans="2:3">
      <c r="B216">
        <v>687</v>
      </c>
      <c r="C216">
        <v>626</v>
      </c>
    </row>
    <row r="217" spans="2:3">
      <c r="B217">
        <v>688</v>
      </c>
      <c r="C217">
        <v>692</v>
      </c>
    </row>
    <row r="218" spans="2:3">
      <c r="B218">
        <v>689</v>
      </c>
      <c r="C218">
        <v>653</v>
      </c>
    </row>
    <row r="219" spans="2:3">
      <c r="B219">
        <v>690</v>
      </c>
      <c r="C219">
        <v>666</v>
      </c>
    </row>
    <row r="220" spans="2:3">
      <c r="B220">
        <v>691</v>
      </c>
      <c r="C220">
        <v>655</v>
      </c>
    </row>
    <row r="221" spans="2:3">
      <c r="B221">
        <v>692</v>
      </c>
      <c r="C221">
        <v>716</v>
      </c>
    </row>
    <row r="222" spans="2:3">
      <c r="B222">
        <v>693</v>
      </c>
      <c r="C222">
        <v>731</v>
      </c>
    </row>
    <row r="223" spans="2:3">
      <c r="B223">
        <v>694</v>
      </c>
      <c r="C223">
        <v>688</v>
      </c>
    </row>
    <row r="224" spans="2:3">
      <c r="B224">
        <v>695</v>
      </c>
      <c r="C224">
        <v>712</v>
      </c>
    </row>
    <row r="225" spans="2:3">
      <c r="B225">
        <v>696</v>
      </c>
      <c r="C225">
        <v>673</v>
      </c>
    </row>
    <row r="226" spans="2:3">
      <c r="B226">
        <v>697</v>
      </c>
      <c r="C226">
        <v>731</v>
      </c>
    </row>
    <row r="227" spans="2:3">
      <c r="B227">
        <v>698</v>
      </c>
      <c r="C227">
        <v>719</v>
      </c>
    </row>
    <row r="228" spans="2:3">
      <c r="B228">
        <v>699</v>
      </c>
      <c r="C228">
        <v>698</v>
      </c>
    </row>
    <row r="229" spans="2:3">
      <c r="B229">
        <v>700</v>
      </c>
      <c r="C229">
        <v>865</v>
      </c>
    </row>
    <row r="230" spans="2:3">
      <c r="B230">
        <v>701</v>
      </c>
      <c r="C230">
        <v>838</v>
      </c>
    </row>
    <row r="231" spans="2:3">
      <c r="B231">
        <v>702</v>
      </c>
      <c r="C231">
        <v>890</v>
      </c>
    </row>
    <row r="232" spans="2:3">
      <c r="B232">
        <v>703</v>
      </c>
      <c r="C232">
        <v>990</v>
      </c>
    </row>
    <row r="233" spans="2:3">
      <c r="B233">
        <v>704</v>
      </c>
      <c r="C233">
        <v>830</v>
      </c>
    </row>
    <row r="234" spans="2:3">
      <c r="B234">
        <v>705</v>
      </c>
      <c r="C234">
        <v>918</v>
      </c>
    </row>
    <row r="235" spans="2:3">
      <c r="B235">
        <v>706</v>
      </c>
      <c r="C235">
        <v>860</v>
      </c>
    </row>
    <row r="236" spans="2:3">
      <c r="B236">
        <v>707</v>
      </c>
      <c r="C236">
        <v>851</v>
      </c>
    </row>
    <row r="237" spans="2:3">
      <c r="B237">
        <v>708</v>
      </c>
      <c r="C237">
        <v>865</v>
      </c>
    </row>
    <row r="238" spans="2:3">
      <c r="B238">
        <v>709</v>
      </c>
      <c r="C238">
        <v>894</v>
      </c>
    </row>
    <row r="239" spans="2:3">
      <c r="B239">
        <v>710</v>
      </c>
      <c r="C239">
        <v>763</v>
      </c>
    </row>
    <row r="240" spans="2:3">
      <c r="B240">
        <v>711</v>
      </c>
      <c r="C240">
        <v>886</v>
      </c>
    </row>
    <row r="241" spans="2:3">
      <c r="B241">
        <v>712</v>
      </c>
      <c r="C241">
        <v>894</v>
      </c>
    </row>
    <row r="242" spans="2:3">
      <c r="B242">
        <v>713</v>
      </c>
      <c r="C242">
        <v>844</v>
      </c>
    </row>
    <row r="243" spans="2:3">
      <c r="B243">
        <v>714</v>
      </c>
      <c r="C243">
        <v>899</v>
      </c>
    </row>
    <row r="244" spans="2:3">
      <c r="B244">
        <v>715</v>
      </c>
      <c r="C244">
        <v>830</v>
      </c>
    </row>
    <row r="245" spans="2:3">
      <c r="B245">
        <v>716</v>
      </c>
      <c r="C245">
        <v>982</v>
      </c>
    </row>
    <row r="246" spans="2:3">
      <c r="B246">
        <v>717</v>
      </c>
      <c r="C246">
        <v>812</v>
      </c>
    </row>
    <row r="247" spans="2:3">
      <c r="B247">
        <v>718</v>
      </c>
      <c r="C247">
        <v>760</v>
      </c>
    </row>
    <row r="248" spans="2:3">
      <c r="B248">
        <v>719</v>
      </c>
      <c r="C248">
        <v>847</v>
      </c>
    </row>
    <row r="249" spans="2:3">
      <c r="B249">
        <v>720</v>
      </c>
      <c r="C249">
        <v>988</v>
      </c>
    </row>
    <row r="250" spans="2:3">
      <c r="B250">
        <v>721</v>
      </c>
      <c r="C250">
        <v>1012</v>
      </c>
    </row>
    <row r="251" spans="2:3">
      <c r="B251">
        <v>722</v>
      </c>
      <c r="C251">
        <v>1075</v>
      </c>
    </row>
    <row r="252" spans="2:3">
      <c r="B252">
        <v>723</v>
      </c>
      <c r="C252">
        <v>952</v>
      </c>
    </row>
    <row r="253" spans="2:3">
      <c r="B253">
        <v>724</v>
      </c>
      <c r="C253">
        <v>1118</v>
      </c>
    </row>
    <row r="254" spans="2:3">
      <c r="B254">
        <v>725</v>
      </c>
      <c r="C254">
        <v>1141</v>
      </c>
    </row>
    <row r="255" spans="2:3">
      <c r="B255">
        <v>726</v>
      </c>
      <c r="C255">
        <v>1098</v>
      </c>
    </row>
    <row r="256" spans="2:3">
      <c r="B256">
        <v>727</v>
      </c>
      <c r="C256">
        <v>1181</v>
      </c>
    </row>
    <row r="257" spans="2:3">
      <c r="B257">
        <v>728</v>
      </c>
      <c r="C257">
        <v>924</v>
      </c>
    </row>
    <row r="258" spans="2:3">
      <c r="B258">
        <v>729</v>
      </c>
      <c r="C258">
        <v>1004</v>
      </c>
    </row>
    <row r="259" spans="2:3">
      <c r="B259">
        <v>730</v>
      </c>
      <c r="C259">
        <v>1023</v>
      </c>
    </row>
    <row r="260" spans="2:3">
      <c r="B260">
        <v>731</v>
      </c>
      <c r="C260">
        <v>991</v>
      </c>
    </row>
    <row r="261" spans="2:3">
      <c r="B261">
        <v>732</v>
      </c>
      <c r="C261">
        <v>1031</v>
      </c>
    </row>
    <row r="262" spans="2:3">
      <c r="B262">
        <v>733</v>
      </c>
      <c r="C262">
        <v>1025</v>
      </c>
    </row>
    <row r="263" spans="2:3">
      <c r="B263">
        <v>734</v>
      </c>
      <c r="C263">
        <v>1005</v>
      </c>
    </row>
    <row r="264" spans="2:3">
      <c r="B264">
        <v>735</v>
      </c>
      <c r="C264">
        <v>1014</v>
      </c>
    </row>
    <row r="265" spans="2:3">
      <c r="B265">
        <v>736</v>
      </c>
      <c r="C265">
        <v>999</v>
      </c>
    </row>
    <row r="266" spans="2:3">
      <c r="B266">
        <v>737</v>
      </c>
      <c r="C266">
        <v>1071</v>
      </c>
    </row>
    <row r="267" spans="2:3">
      <c r="B267">
        <v>738</v>
      </c>
      <c r="C267">
        <v>1148</v>
      </c>
    </row>
    <row r="268" spans="2:3">
      <c r="B268">
        <v>739</v>
      </c>
      <c r="C268">
        <v>1087</v>
      </c>
    </row>
    <row r="269" spans="2:3">
      <c r="B269">
        <v>740</v>
      </c>
      <c r="C269">
        <v>1081</v>
      </c>
    </row>
    <row r="270" spans="2:3">
      <c r="B270">
        <v>741</v>
      </c>
      <c r="C270">
        <v>1096</v>
      </c>
    </row>
    <row r="271" spans="2:3">
      <c r="B271">
        <v>742</v>
      </c>
      <c r="C271">
        <v>1206</v>
      </c>
    </row>
    <row r="272" spans="2:3">
      <c r="B272">
        <v>743</v>
      </c>
      <c r="C272">
        <v>1178</v>
      </c>
    </row>
    <row r="273" spans="2:3">
      <c r="B273">
        <v>744</v>
      </c>
      <c r="C273">
        <v>1161</v>
      </c>
    </row>
    <row r="274" spans="2:3">
      <c r="B274">
        <v>745</v>
      </c>
      <c r="C274">
        <v>1250</v>
      </c>
    </row>
    <row r="275" spans="2:3">
      <c r="B275">
        <v>746</v>
      </c>
      <c r="C275">
        <v>1296</v>
      </c>
    </row>
    <row r="276" spans="2:3">
      <c r="B276">
        <v>747</v>
      </c>
      <c r="C276">
        <v>1165</v>
      </c>
    </row>
    <row r="277" spans="2:3">
      <c r="B277">
        <v>748</v>
      </c>
      <c r="C277">
        <v>1040</v>
      </c>
    </row>
    <row r="278" spans="2:3">
      <c r="B278">
        <v>749</v>
      </c>
      <c r="C278">
        <v>1255</v>
      </c>
    </row>
    <row r="279" spans="2:3">
      <c r="B279">
        <v>750</v>
      </c>
      <c r="C279">
        <v>1298</v>
      </c>
    </row>
    <row r="280" spans="2:3">
      <c r="B280">
        <v>751</v>
      </c>
      <c r="C280">
        <v>1270</v>
      </c>
    </row>
    <row r="281" spans="2:3">
      <c r="B281">
        <v>752</v>
      </c>
      <c r="C281">
        <v>1311</v>
      </c>
    </row>
    <row r="282" spans="2:3">
      <c r="B282">
        <v>753</v>
      </c>
      <c r="C282">
        <v>1287</v>
      </c>
    </row>
    <row r="283" spans="2:3">
      <c r="B283">
        <v>754</v>
      </c>
      <c r="C283">
        <v>1327</v>
      </c>
    </row>
    <row r="284" spans="2:3">
      <c r="B284">
        <v>755</v>
      </c>
      <c r="C284">
        <v>1381</v>
      </c>
    </row>
    <row r="285" spans="2:3">
      <c r="B285">
        <v>756</v>
      </c>
      <c r="C285">
        <v>1526</v>
      </c>
    </row>
    <row r="286" spans="2:3">
      <c r="B286">
        <v>757</v>
      </c>
      <c r="C286">
        <v>1344</v>
      </c>
    </row>
    <row r="287" spans="2:3">
      <c r="B287">
        <v>758</v>
      </c>
      <c r="C287">
        <v>1359</v>
      </c>
    </row>
    <row r="288" spans="2:3">
      <c r="B288">
        <v>759</v>
      </c>
      <c r="C288">
        <v>1573</v>
      </c>
    </row>
    <row r="289" spans="2:3">
      <c r="B289">
        <v>760</v>
      </c>
      <c r="C289">
        <v>1457</v>
      </c>
    </row>
    <row r="290" spans="2:3">
      <c r="B290">
        <v>761</v>
      </c>
      <c r="C290">
        <v>1458</v>
      </c>
    </row>
    <row r="291" spans="2:3">
      <c r="B291">
        <v>762</v>
      </c>
      <c r="C291">
        <v>1573</v>
      </c>
    </row>
    <row r="292" spans="2:3">
      <c r="B292">
        <v>763</v>
      </c>
      <c r="C292">
        <v>1532</v>
      </c>
    </row>
    <row r="293" spans="2:3">
      <c r="B293">
        <v>764</v>
      </c>
      <c r="C293">
        <v>1472</v>
      </c>
    </row>
    <row r="294" spans="2:3">
      <c r="B294">
        <v>765</v>
      </c>
      <c r="C294">
        <v>1455</v>
      </c>
    </row>
    <row r="295" spans="2:3">
      <c r="B295">
        <v>766</v>
      </c>
      <c r="C295">
        <v>1657</v>
      </c>
    </row>
    <row r="296" spans="2:3">
      <c r="B296">
        <v>767</v>
      </c>
      <c r="C296">
        <v>1660</v>
      </c>
    </row>
    <row r="297" spans="2:3">
      <c r="B297">
        <v>768</v>
      </c>
      <c r="C297">
        <v>1463</v>
      </c>
    </row>
    <row r="298" spans="2:3">
      <c r="B298">
        <v>769</v>
      </c>
      <c r="C298">
        <v>1469</v>
      </c>
    </row>
    <row r="299" spans="2:3">
      <c r="B299">
        <v>770</v>
      </c>
      <c r="C299">
        <v>1859</v>
      </c>
    </row>
    <row r="300" spans="2:3">
      <c r="B300">
        <v>771</v>
      </c>
      <c r="C300">
        <v>1695</v>
      </c>
    </row>
    <row r="301" spans="2:3">
      <c r="B301">
        <v>772</v>
      </c>
      <c r="C301">
        <v>1575</v>
      </c>
    </row>
    <row r="302" spans="2:3">
      <c r="B302">
        <v>773</v>
      </c>
      <c r="C302">
        <v>1797</v>
      </c>
    </row>
    <row r="303" spans="2:3">
      <c r="B303">
        <v>774</v>
      </c>
      <c r="C303">
        <v>1764</v>
      </c>
    </row>
    <row r="304" spans="2:3">
      <c r="B304">
        <v>775</v>
      </c>
      <c r="C304">
        <v>1622</v>
      </c>
    </row>
    <row r="305" spans="2:3">
      <c r="B305">
        <v>776</v>
      </c>
      <c r="C305">
        <v>1823</v>
      </c>
    </row>
    <row r="306" spans="2:3">
      <c r="B306">
        <v>777</v>
      </c>
      <c r="C306">
        <v>1756</v>
      </c>
    </row>
    <row r="307" spans="2:3">
      <c r="B307">
        <v>778</v>
      </c>
      <c r="C307">
        <v>1942</v>
      </c>
    </row>
    <row r="308" spans="2:3">
      <c r="B308">
        <v>779</v>
      </c>
      <c r="C308">
        <v>1878</v>
      </c>
    </row>
    <row r="309" spans="2:3">
      <c r="B309">
        <v>780</v>
      </c>
      <c r="C309">
        <v>1881</v>
      </c>
    </row>
    <row r="310" spans="2:3">
      <c r="B310">
        <v>781</v>
      </c>
      <c r="C310">
        <v>1924</v>
      </c>
    </row>
    <row r="311" spans="2:3">
      <c r="B311">
        <v>782</v>
      </c>
      <c r="C311">
        <v>1845</v>
      </c>
    </row>
    <row r="312" spans="2:3">
      <c r="B312">
        <v>783</v>
      </c>
      <c r="C312">
        <v>1907</v>
      </c>
    </row>
    <row r="313" spans="2:3">
      <c r="B313">
        <v>784</v>
      </c>
      <c r="C313">
        <v>2111</v>
      </c>
    </row>
    <row r="314" spans="2:3">
      <c r="B314">
        <v>785</v>
      </c>
      <c r="C314">
        <v>1825</v>
      </c>
    </row>
    <row r="315" spans="2:3">
      <c r="B315">
        <v>786</v>
      </c>
      <c r="C315">
        <v>1909</v>
      </c>
    </row>
    <row r="316" spans="2:3">
      <c r="B316">
        <v>787</v>
      </c>
      <c r="C316">
        <v>2338</v>
      </c>
    </row>
    <row r="317" spans="2:3">
      <c r="B317">
        <v>788</v>
      </c>
      <c r="C317">
        <v>1882</v>
      </c>
    </row>
    <row r="318" spans="2:3">
      <c r="B318">
        <v>789</v>
      </c>
      <c r="C318">
        <v>1747</v>
      </c>
    </row>
    <row r="319" spans="2:3">
      <c r="B319">
        <v>790</v>
      </c>
      <c r="C319">
        <v>2264</v>
      </c>
    </row>
    <row r="320" spans="2:3">
      <c r="B320">
        <v>791</v>
      </c>
      <c r="C320">
        <v>2280</v>
      </c>
    </row>
    <row r="321" spans="2:3">
      <c r="B321">
        <v>792</v>
      </c>
      <c r="C321">
        <v>1936</v>
      </c>
    </row>
    <row r="322" spans="2:3">
      <c r="B322">
        <v>793</v>
      </c>
      <c r="C322">
        <v>2024</v>
      </c>
    </row>
    <row r="323" spans="2:3">
      <c r="B323">
        <v>794</v>
      </c>
      <c r="C323">
        <v>1974</v>
      </c>
    </row>
    <row r="324" spans="2:3">
      <c r="B324">
        <v>795</v>
      </c>
      <c r="C324">
        <v>1886</v>
      </c>
    </row>
    <row r="325" spans="2:3">
      <c r="B325">
        <v>796</v>
      </c>
      <c r="C325">
        <v>2148</v>
      </c>
    </row>
    <row r="326" spans="2:3">
      <c r="B326">
        <v>797</v>
      </c>
      <c r="C326">
        <v>2222</v>
      </c>
    </row>
    <row r="327" spans="2:3">
      <c r="B327">
        <v>798</v>
      </c>
      <c r="C327">
        <v>1973</v>
      </c>
    </row>
    <row r="328" spans="2:3">
      <c r="B328">
        <v>799</v>
      </c>
      <c r="C328">
        <v>1936</v>
      </c>
    </row>
    <row r="329" spans="2:3">
      <c r="B329">
        <v>800</v>
      </c>
      <c r="C329">
        <v>2147</v>
      </c>
    </row>
    <row r="330" spans="2:3">
      <c r="B330">
        <v>801</v>
      </c>
      <c r="C330">
        <v>2551</v>
      </c>
    </row>
    <row r="331" spans="2:3">
      <c r="B331">
        <v>802</v>
      </c>
      <c r="C331">
        <v>2170</v>
      </c>
    </row>
    <row r="332" spans="2:3">
      <c r="B332">
        <v>803</v>
      </c>
      <c r="C332">
        <v>1634</v>
      </c>
    </row>
    <row r="333" spans="2:3">
      <c r="B333">
        <v>804</v>
      </c>
      <c r="C333">
        <v>1822</v>
      </c>
    </row>
    <row r="334" spans="2:3">
      <c r="B334">
        <v>805</v>
      </c>
      <c r="C334">
        <v>1292</v>
      </c>
    </row>
    <row r="335" spans="2:3">
      <c r="B335">
        <v>806</v>
      </c>
      <c r="C335">
        <v>1520</v>
      </c>
    </row>
    <row r="336" spans="2:3">
      <c r="B336">
        <v>807</v>
      </c>
      <c r="C336">
        <v>1323</v>
      </c>
    </row>
    <row r="337" spans="2:3">
      <c r="B337">
        <v>808</v>
      </c>
      <c r="C337">
        <v>1913</v>
      </c>
    </row>
    <row r="338" spans="2:3">
      <c r="B338">
        <v>809</v>
      </c>
      <c r="C338">
        <v>2261</v>
      </c>
    </row>
    <row r="339" spans="2:3">
      <c r="B339">
        <v>810</v>
      </c>
      <c r="C339">
        <v>958</v>
      </c>
    </row>
    <row r="340" spans="2:3">
      <c r="B340">
        <v>811</v>
      </c>
      <c r="C340">
        <v>1173</v>
      </c>
    </row>
    <row r="341" spans="2:3">
      <c r="B341">
        <v>812</v>
      </c>
      <c r="C341">
        <v>1298</v>
      </c>
    </row>
    <row r="342" spans="2:3">
      <c r="B342">
        <v>813</v>
      </c>
      <c r="C342">
        <v>1227</v>
      </c>
    </row>
    <row r="343" spans="2:3">
      <c r="B343">
        <v>814</v>
      </c>
      <c r="C343">
        <v>836</v>
      </c>
    </row>
    <row r="344" spans="2:3">
      <c r="B344">
        <v>815</v>
      </c>
      <c r="C344">
        <v>578</v>
      </c>
    </row>
    <row r="345" spans="2:3">
      <c r="B345">
        <v>816</v>
      </c>
      <c r="C345">
        <v>954</v>
      </c>
    </row>
    <row r="346" spans="2:3">
      <c r="B346">
        <v>817</v>
      </c>
      <c r="C346">
        <v>567</v>
      </c>
    </row>
    <row r="347" spans="2:3">
      <c r="B347">
        <v>818</v>
      </c>
      <c r="C347">
        <v>222</v>
      </c>
    </row>
    <row r="348" spans="2:3">
      <c r="B348">
        <v>819</v>
      </c>
      <c r="C348">
        <v>462</v>
      </c>
    </row>
    <row r="349" spans="2:3">
      <c r="B349">
        <v>820</v>
      </c>
      <c r="C349">
        <v>478</v>
      </c>
    </row>
    <row r="350" spans="2:3">
      <c r="B350">
        <v>821</v>
      </c>
      <c r="C350">
        <v>71</v>
      </c>
    </row>
    <row r="351" spans="2:3">
      <c r="B351">
        <v>822</v>
      </c>
      <c r="C351">
        <v>72</v>
      </c>
    </row>
    <row r="352" spans="2:3">
      <c r="B352">
        <v>823</v>
      </c>
      <c r="C352">
        <v>295</v>
      </c>
    </row>
    <row r="353" spans="2:3">
      <c r="B353">
        <v>824</v>
      </c>
      <c r="C353">
        <v>33</v>
      </c>
    </row>
    <row r="354" spans="2:3">
      <c r="B354">
        <v>825</v>
      </c>
      <c r="C354">
        <v>46</v>
      </c>
    </row>
    <row r="355" spans="2:3">
      <c r="B355">
        <v>826</v>
      </c>
      <c r="C355">
        <v>18</v>
      </c>
    </row>
    <row r="356" spans="2:3">
      <c r="B356">
        <v>827</v>
      </c>
      <c r="C356">
        <v>6</v>
      </c>
    </row>
    <row r="357" spans="2:3">
      <c r="B357">
        <v>828</v>
      </c>
      <c r="C357">
        <v>8</v>
      </c>
    </row>
    <row r="358" spans="2:3">
      <c r="B358">
        <v>829</v>
      </c>
      <c r="C358">
        <v>24</v>
      </c>
    </row>
    <row r="359" spans="2:3">
      <c r="B359">
        <v>830</v>
      </c>
      <c r="C359">
        <v>1</v>
      </c>
    </row>
    <row r="360" spans="2:3">
      <c r="B360">
        <v>831</v>
      </c>
      <c r="C360">
        <v>2</v>
      </c>
    </row>
    <row r="361" spans="2:3">
      <c r="B361">
        <v>832</v>
      </c>
      <c r="C361">
        <v>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Q129"/>
  <sheetViews>
    <sheetView topLeftCell="F25" workbookViewId="0">
      <selection activeCell="V72" sqref="V72"/>
    </sheetView>
  </sheetViews>
  <sheetFormatPr defaultRowHeight="15"/>
  <cols>
    <col min="2" max="2" width="13.85546875" bestFit="1" customWidth="1"/>
    <col min="3" max="5" width="12.5703125" bestFit="1" customWidth="1"/>
    <col min="6" max="7" width="12.5703125" customWidth="1"/>
    <col min="10" max="10" width="16.7109375" bestFit="1" customWidth="1"/>
    <col min="11" max="11" width="12.5703125" bestFit="1" customWidth="1"/>
    <col min="13" max="13" width="16.7109375" bestFit="1" customWidth="1"/>
    <col min="14" max="14" width="12.5703125" bestFit="1" customWidth="1"/>
    <col min="16" max="16" width="16.7109375" bestFit="1" customWidth="1"/>
    <col min="17" max="17" width="12.5703125" bestFit="1" customWidth="1"/>
  </cols>
  <sheetData>
    <row r="1" spans="2:17">
      <c r="B1" t="s">
        <v>33</v>
      </c>
      <c r="J1" t="s">
        <v>33</v>
      </c>
      <c r="M1" t="s">
        <v>34</v>
      </c>
      <c r="P1" t="s">
        <v>35</v>
      </c>
    </row>
    <row r="3" spans="2:17">
      <c r="B3" t="s">
        <v>40</v>
      </c>
      <c r="C3" t="s">
        <v>33</v>
      </c>
      <c r="D3" t="s">
        <v>34</v>
      </c>
      <c r="E3" t="s">
        <v>35</v>
      </c>
      <c r="F3" s="44" t="s">
        <v>37</v>
      </c>
      <c r="G3" s="38" t="s">
        <v>38</v>
      </c>
      <c r="H3" s="39" t="s">
        <v>39</v>
      </c>
      <c r="J3" t="s">
        <v>45</v>
      </c>
      <c r="K3" t="s">
        <v>44</v>
      </c>
      <c r="M3" t="s">
        <v>45</v>
      </c>
      <c r="N3" t="s">
        <v>44</v>
      </c>
      <c r="P3" t="s">
        <v>45</v>
      </c>
      <c r="Q3" t="s">
        <v>44</v>
      </c>
    </row>
    <row r="4" spans="2:17">
      <c r="B4" s="1">
        <v>42125</v>
      </c>
      <c r="C4" s="3">
        <v>4.1408234642227697</v>
      </c>
      <c r="D4">
        <v>4.1237868443410299</v>
      </c>
      <c r="E4">
        <v>4.0216658215070797</v>
      </c>
      <c r="F4" s="3">
        <f t="shared" ref="F4:F66" si="0">C4-D4</f>
        <v>1.7036619881739767E-2</v>
      </c>
      <c r="G4" s="3">
        <f t="shared" ref="G4:G67" si="1">C4-E4</f>
        <v>0.11915764271568996</v>
      </c>
      <c r="H4" s="3">
        <f t="shared" ref="H4:H67" si="2">D4-E4</f>
        <v>0.10212102283395019</v>
      </c>
      <c r="I4" s="3"/>
      <c r="J4" s="2">
        <v>201505</v>
      </c>
      <c r="K4" s="3">
        <v>4.1408234642227697</v>
      </c>
      <c r="M4" s="2">
        <v>201505</v>
      </c>
      <c r="N4">
        <v>4.1237868443410299</v>
      </c>
      <c r="P4" s="2">
        <v>201505</v>
      </c>
      <c r="Q4">
        <v>4.0216658215070797</v>
      </c>
    </row>
    <row r="5" spans="2:17">
      <c r="B5" s="1">
        <v>42095</v>
      </c>
      <c r="C5" s="3">
        <v>4.0431225152819703</v>
      </c>
      <c r="D5">
        <v>4.0724697555473997</v>
      </c>
      <c r="E5">
        <v>3.97261149543866</v>
      </c>
      <c r="F5" s="3">
        <f t="shared" si="0"/>
        <v>-2.9347240265429342E-2</v>
      </c>
      <c r="G5" s="3">
        <f t="shared" si="1"/>
        <v>7.0511019843310319E-2</v>
      </c>
      <c r="H5" s="3">
        <f t="shared" si="2"/>
        <v>9.985826010873966E-2</v>
      </c>
      <c r="I5" s="3"/>
      <c r="J5" s="2">
        <v>201504</v>
      </c>
      <c r="K5" s="3">
        <v>4.0431225152819703</v>
      </c>
      <c r="M5" s="2">
        <v>201504</v>
      </c>
      <c r="N5">
        <v>4.0724697555473997</v>
      </c>
      <c r="P5" s="2">
        <v>201504</v>
      </c>
      <c r="Q5">
        <v>3.97261149543866</v>
      </c>
    </row>
    <row r="6" spans="2:17">
      <c r="B6" s="1">
        <v>42064</v>
      </c>
      <c r="C6" s="3">
        <v>4.0260574264414801</v>
      </c>
      <c r="D6">
        <v>4.0795742084377498</v>
      </c>
      <c r="E6">
        <v>3.9586044216830398</v>
      </c>
      <c r="F6" s="3">
        <f t="shared" si="0"/>
        <v>-5.3516781996269636E-2</v>
      </c>
      <c r="G6" s="3">
        <f t="shared" si="1"/>
        <v>6.7453004758440294E-2</v>
      </c>
      <c r="H6" s="3">
        <f t="shared" si="2"/>
        <v>0.12096978675470993</v>
      </c>
      <c r="I6" s="3"/>
      <c r="J6" s="2">
        <v>201503</v>
      </c>
      <c r="K6" s="3">
        <v>4.0260574264414801</v>
      </c>
      <c r="M6" s="2">
        <v>201503</v>
      </c>
      <c r="N6">
        <v>4.0795742084377498</v>
      </c>
      <c r="P6" s="2">
        <v>201503</v>
      </c>
      <c r="Q6">
        <v>3.9586044216830398</v>
      </c>
    </row>
    <row r="7" spans="2:17">
      <c r="B7" s="1">
        <v>42036</v>
      </c>
      <c r="C7" s="3">
        <v>4.2390909305190698</v>
      </c>
      <c r="D7">
        <v>4.2191881107733797</v>
      </c>
      <c r="E7">
        <v>4.1180180005584504</v>
      </c>
      <c r="F7" s="3">
        <f t="shared" si="0"/>
        <v>1.9902819745690081E-2</v>
      </c>
      <c r="G7" s="3">
        <f t="shared" si="1"/>
        <v>0.12107292996061947</v>
      </c>
      <c r="H7" s="3">
        <f t="shared" si="2"/>
        <v>0.10117011021492939</v>
      </c>
      <c r="I7" s="3"/>
      <c r="J7" s="2">
        <v>201502</v>
      </c>
      <c r="K7" s="3">
        <v>4.2390909305190698</v>
      </c>
      <c r="M7" s="2">
        <v>201502</v>
      </c>
      <c r="N7">
        <v>4.2191881107733797</v>
      </c>
      <c r="P7" s="2">
        <v>201502</v>
      </c>
      <c r="Q7">
        <v>4.1180180005584504</v>
      </c>
    </row>
    <row r="8" spans="2:17">
      <c r="B8" s="1">
        <v>42005</v>
      </c>
      <c r="C8" s="3">
        <v>4.3437275644893196</v>
      </c>
      <c r="D8">
        <v>4.34046482428821</v>
      </c>
      <c r="E8">
        <v>4.2582992465124399</v>
      </c>
      <c r="F8" s="3">
        <f t="shared" si="0"/>
        <v>3.2627402011096152E-3</v>
      </c>
      <c r="G8" s="3">
        <f t="shared" si="1"/>
        <v>8.5428317976879775E-2</v>
      </c>
      <c r="H8" s="3">
        <f t="shared" si="2"/>
        <v>8.216557777577016E-2</v>
      </c>
      <c r="I8" s="3"/>
      <c r="J8" s="2">
        <v>201501</v>
      </c>
      <c r="K8" s="3">
        <v>4.3437275644893196</v>
      </c>
      <c r="M8" s="2">
        <v>201501</v>
      </c>
      <c r="N8">
        <v>4.34046482428821</v>
      </c>
      <c r="P8" s="2">
        <v>201501</v>
      </c>
      <c r="Q8">
        <v>4.2582992465124399</v>
      </c>
    </row>
    <row r="9" spans="2:17">
      <c r="B9" s="1">
        <v>41974</v>
      </c>
      <c r="C9" s="3">
        <v>4.3732810218535496</v>
      </c>
      <c r="D9">
        <v>4.3610787823523598</v>
      </c>
      <c r="E9">
        <v>4.29475686841013</v>
      </c>
      <c r="F9" s="3">
        <f t="shared" si="0"/>
        <v>1.2202239501189815E-2</v>
      </c>
      <c r="G9" s="3">
        <f t="shared" si="1"/>
        <v>7.8524153443419564E-2</v>
      </c>
      <c r="H9" s="3">
        <f t="shared" si="2"/>
        <v>6.6321913942229749E-2</v>
      </c>
      <c r="I9" s="3"/>
      <c r="J9" s="2">
        <v>201412</v>
      </c>
      <c r="K9" s="3">
        <v>4.3732810218535496</v>
      </c>
      <c r="M9" s="2">
        <v>201412</v>
      </c>
      <c r="N9">
        <v>4.3610787823523598</v>
      </c>
      <c r="P9" s="2">
        <v>201412</v>
      </c>
      <c r="Q9">
        <v>4.29475686841013</v>
      </c>
    </row>
    <row r="10" spans="2:17">
      <c r="B10" s="1">
        <v>41944</v>
      </c>
      <c r="C10" s="3">
        <v>4.4641653778897901</v>
      </c>
      <c r="D10">
        <v>4.50163909584204</v>
      </c>
      <c r="E10">
        <v>4.4136730120691601</v>
      </c>
      <c r="F10" s="3">
        <f t="shared" si="0"/>
        <v>-3.7473717952249963E-2</v>
      </c>
      <c r="G10" s="3">
        <f t="shared" si="1"/>
        <v>5.0492365820629992E-2</v>
      </c>
      <c r="H10" s="3">
        <f t="shared" si="2"/>
        <v>8.7966083772879955E-2</v>
      </c>
      <c r="I10" s="3"/>
      <c r="J10" s="2">
        <v>201411</v>
      </c>
      <c r="K10" s="3">
        <v>4.4641653778897901</v>
      </c>
      <c r="M10" s="2">
        <v>201411</v>
      </c>
      <c r="N10">
        <v>4.50163909584204</v>
      </c>
      <c r="P10" s="2">
        <v>201411</v>
      </c>
      <c r="Q10">
        <v>4.4136730120691601</v>
      </c>
    </row>
    <row r="11" spans="2:17">
      <c r="B11" s="1">
        <v>41913</v>
      </c>
      <c r="C11" s="3">
        <v>4.4814794240538998</v>
      </c>
      <c r="D11">
        <v>4.5143120295241497</v>
      </c>
      <c r="E11">
        <v>4.42590886999474</v>
      </c>
      <c r="F11" s="3">
        <f t="shared" si="0"/>
        <v>-3.2832605470249909E-2</v>
      </c>
      <c r="G11" s="3">
        <f t="shared" si="1"/>
        <v>5.5570554059159782E-2</v>
      </c>
      <c r="H11" s="3">
        <f t="shared" si="2"/>
        <v>8.8403159529409692E-2</v>
      </c>
      <c r="I11" s="3"/>
      <c r="J11" s="2">
        <v>201410</v>
      </c>
      <c r="K11" s="3">
        <v>4.4814794240538998</v>
      </c>
      <c r="M11" s="2">
        <v>201410</v>
      </c>
      <c r="N11">
        <v>4.5143120295241497</v>
      </c>
      <c r="P11" s="2">
        <v>201410</v>
      </c>
      <c r="Q11">
        <v>4.42590886999474</v>
      </c>
    </row>
    <row r="12" spans="2:17">
      <c r="B12" s="1">
        <v>41883</v>
      </c>
      <c r="C12" s="3">
        <v>4.51286087196321</v>
      </c>
      <c r="D12">
        <v>4.5467902199024302</v>
      </c>
      <c r="E12">
        <v>4.43815557294573</v>
      </c>
      <c r="F12" s="3">
        <f t="shared" si="0"/>
        <v>-3.39293479392202E-2</v>
      </c>
      <c r="G12" s="3">
        <f t="shared" si="1"/>
        <v>7.4705299017479909E-2</v>
      </c>
      <c r="H12" s="3">
        <f t="shared" si="2"/>
        <v>0.10863464695670011</v>
      </c>
      <c r="I12" s="3"/>
      <c r="J12" s="2">
        <v>201409</v>
      </c>
      <c r="K12" s="3">
        <v>4.51286087196321</v>
      </c>
      <c r="M12" s="2">
        <v>201409</v>
      </c>
      <c r="N12">
        <v>4.5467902199024302</v>
      </c>
      <c r="P12" s="2">
        <v>201409</v>
      </c>
      <c r="Q12">
        <v>4.43815557294573</v>
      </c>
    </row>
    <row r="13" spans="2:17">
      <c r="B13" s="1">
        <v>41852</v>
      </c>
      <c r="C13" s="3">
        <v>4.4999123420986704</v>
      </c>
      <c r="D13">
        <v>4.5408042219318796</v>
      </c>
      <c r="E13">
        <v>4.4495482152197896</v>
      </c>
      <c r="F13" s="3">
        <f t="shared" si="0"/>
        <v>-4.0891879833209188E-2</v>
      </c>
      <c r="G13" s="3">
        <f t="shared" si="1"/>
        <v>5.0364126878880811E-2</v>
      </c>
      <c r="H13" s="3">
        <f t="shared" si="2"/>
        <v>9.1256006712089999E-2</v>
      </c>
      <c r="I13" s="3"/>
      <c r="J13" s="2">
        <v>201408</v>
      </c>
      <c r="K13" s="3">
        <v>4.4999123420986704</v>
      </c>
      <c r="M13" s="2">
        <v>201408</v>
      </c>
      <c r="N13">
        <v>4.5408042219318796</v>
      </c>
      <c r="P13" s="2">
        <v>201408</v>
      </c>
      <c r="Q13">
        <v>4.4495482152197896</v>
      </c>
    </row>
    <row r="14" spans="2:17">
      <c r="B14" s="1">
        <v>41821</v>
      </c>
      <c r="C14" s="3">
        <v>4.54408919930147</v>
      </c>
      <c r="D14">
        <v>4.5678757972151898</v>
      </c>
      <c r="E14">
        <v>4.4859244662927598</v>
      </c>
      <c r="F14" s="3">
        <f t="shared" si="0"/>
        <v>-2.3786597913719731E-2</v>
      </c>
      <c r="G14" s="3">
        <f t="shared" si="1"/>
        <v>5.8164733008710279E-2</v>
      </c>
      <c r="H14" s="3">
        <f t="shared" si="2"/>
        <v>8.195133092243001E-2</v>
      </c>
      <c r="I14" s="3"/>
      <c r="J14" s="2">
        <v>201407</v>
      </c>
      <c r="K14" s="3">
        <v>4.54408919930147</v>
      </c>
      <c r="M14" s="2">
        <v>201407</v>
      </c>
      <c r="N14">
        <v>4.5678757972151898</v>
      </c>
      <c r="P14" s="2">
        <v>201407</v>
      </c>
      <c r="Q14">
        <v>4.4859244662927598</v>
      </c>
    </row>
    <row r="15" spans="2:17">
      <c r="B15" s="1">
        <v>41791</v>
      </c>
      <c r="C15" s="3">
        <v>4.6718624361766601</v>
      </c>
      <c r="D15">
        <v>4.6707743455494199</v>
      </c>
      <c r="E15">
        <v>4.5949451576973903</v>
      </c>
      <c r="F15" s="3">
        <f t="shared" si="0"/>
        <v>1.0880906272401347E-3</v>
      </c>
      <c r="G15" s="3">
        <f t="shared" si="1"/>
        <v>7.6917278479269768E-2</v>
      </c>
      <c r="H15" s="3">
        <f t="shared" si="2"/>
        <v>7.5829187852029634E-2</v>
      </c>
      <c r="I15" s="3"/>
      <c r="J15" s="2">
        <v>201406</v>
      </c>
      <c r="K15" s="3">
        <v>4.6718624361766601</v>
      </c>
      <c r="M15" s="2">
        <v>201406</v>
      </c>
      <c r="N15">
        <v>4.6707743455494199</v>
      </c>
      <c r="P15" s="2">
        <v>201406</v>
      </c>
      <c r="Q15">
        <v>4.5949451576973903</v>
      </c>
    </row>
    <row r="16" spans="2:17">
      <c r="B16" s="1">
        <v>41760</v>
      </c>
      <c r="C16" s="3">
        <v>4.7228371754791203</v>
      </c>
      <c r="D16">
        <v>4.7185250065644802</v>
      </c>
      <c r="E16">
        <v>4.6406343920420596</v>
      </c>
      <c r="F16" s="3">
        <f t="shared" si="0"/>
        <v>4.3121689146401465E-3</v>
      </c>
      <c r="G16" s="3">
        <f t="shared" si="1"/>
        <v>8.2202783437060667E-2</v>
      </c>
      <c r="H16" s="3">
        <f t="shared" si="2"/>
        <v>7.789061452242052E-2</v>
      </c>
      <c r="I16" s="3"/>
      <c r="J16" s="2">
        <v>201405</v>
      </c>
      <c r="K16" s="3">
        <v>4.7228371754791203</v>
      </c>
      <c r="M16" s="2">
        <v>201405</v>
      </c>
      <c r="N16">
        <v>4.7185250065644802</v>
      </c>
      <c r="P16" s="2">
        <v>201405</v>
      </c>
      <c r="Q16">
        <v>4.6406343920420596</v>
      </c>
    </row>
    <row r="17" spans="2:17">
      <c r="B17" s="1">
        <v>41730</v>
      </c>
      <c r="C17" s="3">
        <v>4.6775163241410898</v>
      </c>
      <c r="D17">
        <v>4.7326732559808899</v>
      </c>
      <c r="E17">
        <v>4.6202204658443096</v>
      </c>
      <c r="F17" s="3">
        <f t="shared" si="0"/>
        <v>-5.5156931839800194E-2</v>
      </c>
      <c r="G17" s="3">
        <f t="shared" si="1"/>
        <v>5.7295858296780189E-2</v>
      </c>
      <c r="H17" s="3">
        <f t="shared" si="2"/>
        <v>0.11245279013658038</v>
      </c>
      <c r="I17" s="3"/>
      <c r="J17" s="2">
        <v>201404</v>
      </c>
      <c r="K17" s="3">
        <v>4.6775163241410898</v>
      </c>
      <c r="M17" s="2">
        <v>201404</v>
      </c>
      <c r="N17">
        <v>4.7326732559808899</v>
      </c>
      <c r="P17" s="2">
        <v>201404</v>
      </c>
      <c r="Q17">
        <v>4.6202204658443096</v>
      </c>
    </row>
    <row r="18" spans="2:17">
      <c r="B18" s="1">
        <v>41699</v>
      </c>
      <c r="C18" s="3">
        <v>4.7554879132697003</v>
      </c>
      <c r="D18">
        <v>4.7781018847115897</v>
      </c>
      <c r="E18">
        <v>4.66931609027775</v>
      </c>
      <c r="F18" s="3">
        <f t="shared" si="0"/>
        <v>-2.2613971441889369E-2</v>
      </c>
      <c r="G18" s="3">
        <f t="shared" si="1"/>
        <v>8.6171822991950364E-2</v>
      </c>
      <c r="H18" s="3">
        <f t="shared" si="2"/>
        <v>0.10878579443383973</v>
      </c>
      <c r="I18" s="3"/>
      <c r="J18" s="2">
        <v>201403</v>
      </c>
      <c r="K18" s="3">
        <v>4.7554879132697003</v>
      </c>
      <c r="M18" s="2">
        <v>201403</v>
      </c>
      <c r="N18">
        <v>4.7781018847115897</v>
      </c>
      <c r="P18" s="2">
        <v>201403</v>
      </c>
      <c r="Q18">
        <v>4.66931609027775</v>
      </c>
    </row>
    <row r="19" spans="2:17">
      <c r="B19" s="1">
        <v>41671</v>
      </c>
      <c r="C19" s="3">
        <v>4.7490540389099198</v>
      </c>
      <c r="D19">
        <v>4.7779020618618597</v>
      </c>
      <c r="E19">
        <v>4.69982779264621</v>
      </c>
      <c r="F19" s="3">
        <f t="shared" si="0"/>
        <v>-2.8848022951939889E-2</v>
      </c>
      <c r="G19" s="3">
        <f t="shared" si="1"/>
        <v>4.9226246263709861E-2</v>
      </c>
      <c r="H19" s="3">
        <f t="shared" si="2"/>
        <v>7.807426921564975E-2</v>
      </c>
      <c r="I19" s="3"/>
      <c r="J19" s="2">
        <v>201402</v>
      </c>
      <c r="K19" s="3">
        <v>4.7490540389099198</v>
      </c>
      <c r="M19" s="2">
        <v>201402</v>
      </c>
      <c r="N19">
        <v>4.7779020618618597</v>
      </c>
      <c r="P19" s="2">
        <v>201402</v>
      </c>
      <c r="Q19">
        <v>4.69982779264621</v>
      </c>
    </row>
    <row r="20" spans="2:17">
      <c r="B20" s="1">
        <v>41640</v>
      </c>
      <c r="C20" s="3">
        <v>4.6501895097453403</v>
      </c>
      <c r="D20">
        <v>4.6685721450730302</v>
      </c>
      <c r="E20">
        <v>4.5749000626968801</v>
      </c>
      <c r="F20" s="3">
        <f t="shared" si="0"/>
        <v>-1.8382635327689911E-2</v>
      </c>
      <c r="G20" s="3">
        <f t="shared" si="1"/>
        <v>7.528944704846019E-2</v>
      </c>
      <c r="H20" s="3">
        <f t="shared" si="2"/>
        <v>9.3672082376150101E-2</v>
      </c>
      <c r="I20" s="3"/>
      <c r="J20" s="2">
        <v>201401</v>
      </c>
      <c r="K20" s="3">
        <v>4.6501895097453403</v>
      </c>
      <c r="M20" s="2">
        <v>201401</v>
      </c>
      <c r="N20">
        <v>4.6685721450730302</v>
      </c>
      <c r="P20" s="2">
        <v>201401</v>
      </c>
      <c r="Q20">
        <v>4.5749000626968801</v>
      </c>
    </row>
    <row r="21" spans="2:17">
      <c r="B21" s="1">
        <v>41609</v>
      </c>
      <c r="C21" s="3">
        <v>4.6275574428116499</v>
      </c>
      <c r="D21">
        <v>4.6117913154848802</v>
      </c>
      <c r="E21">
        <v>4.5137567761280604</v>
      </c>
      <c r="F21" s="3">
        <f t="shared" si="0"/>
        <v>1.5766127326769741E-2</v>
      </c>
      <c r="G21" s="3">
        <f t="shared" si="1"/>
        <v>0.11380066668358957</v>
      </c>
      <c r="H21" s="3">
        <f t="shared" si="2"/>
        <v>9.8034539356819828E-2</v>
      </c>
      <c r="I21" s="3"/>
      <c r="J21" s="2">
        <v>201312</v>
      </c>
      <c r="K21" s="3">
        <v>4.6275574428116499</v>
      </c>
      <c r="M21" s="2">
        <v>201312</v>
      </c>
      <c r="N21">
        <v>4.6117913154848802</v>
      </c>
      <c r="P21" s="2">
        <v>201312</v>
      </c>
      <c r="Q21">
        <v>4.5137567761280604</v>
      </c>
    </row>
    <row r="22" spans="2:17">
      <c r="B22" s="1">
        <v>41579</v>
      </c>
      <c r="C22" s="3">
        <v>4.7265197018410499</v>
      </c>
      <c r="D22">
        <v>4.7353231822939996</v>
      </c>
      <c r="E22">
        <v>4.6409963259209501</v>
      </c>
      <c r="F22" s="3">
        <f t="shared" si="0"/>
        <v>-8.8034804529497634E-3</v>
      </c>
      <c r="G22" s="3">
        <f t="shared" si="1"/>
        <v>8.5523375920099731E-2</v>
      </c>
      <c r="H22" s="3">
        <f t="shared" si="2"/>
        <v>9.4326856373049495E-2</v>
      </c>
      <c r="I22" s="3"/>
      <c r="J22" s="2">
        <v>201311</v>
      </c>
      <c r="K22" s="3">
        <v>4.7265197018410499</v>
      </c>
      <c r="M22" s="2">
        <v>201311</v>
      </c>
      <c r="N22">
        <v>4.7353231822939996</v>
      </c>
      <c r="P22" s="2">
        <v>201311</v>
      </c>
      <c r="Q22">
        <v>4.6409963259209501</v>
      </c>
    </row>
    <row r="23" spans="2:17">
      <c r="B23" s="1">
        <v>41548</v>
      </c>
      <c r="C23" s="3">
        <v>4.6925822664461503</v>
      </c>
      <c r="D23">
        <v>4.75601547548432</v>
      </c>
      <c r="E23">
        <v>4.7418272243009802</v>
      </c>
      <c r="F23" s="3">
        <f t="shared" si="0"/>
        <v>-6.3433209038169736E-2</v>
      </c>
      <c r="G23" s="3">
        <f t="shared" si="1"/>
        <v>-4.9244957854829963E-2</v>
      </c>
      <c r="H23" s="3">
        <f t="shared" si="2"/>
        <v>1.4188251183339773E-2</v>
      </c>
      <c r="I23" s="3"/>
      <c r="J23" s="2">
        <v>201310</v>
      </c>
      <c r="K23" s="3">
        <v>4.6925822664461503</v>
      </c>
      <c r="M23" s="2">
        <v>201310</v>
      </c>
      <c r="N23">
        <v>4.75601547548432</v>
      </c>
      <c r="P23" s="2">
        <v>201310</v>
      </c>
      <c r="Q23">
        <v>4.7418272243009802</v>
      </c>
    </row>
    <row r="24" spans="2:17">
      <c r="B24" s="1">
        <v>41518</v>
      </c>
      <c r="C24" s="3">
        <v>4.4938639061100698</v>
      </c>
      <c r="D24">
        <v>4.60992628250054</v>
      </c>
      <c r="E24">
        <v>4.5655049166508599</v>
      </c>
      <c r="F24" s="3">
        <f t="shared" si="0"/>
        <v>-0.11606237639047023</v>
      </c>
      <c r="G24" s="3">
        <f t="shared" si="1"/>
        <v>-7.1641010540790084E-2</v>
      </c>
      <c r="H24" s="3">
        <f t="shared" si="2"/>
        <v>4.442136584968015E-2</v>
      </c>
      <c r="I24" s="3"/>
      <c r="J24" s="2">
        <v>201309</v>
      </c>
      <c r="K24" s="3">
        <v>4.4938639061100698</v>
      </c>
      <c r="M24" s="2">
        <v>201309</v>
      </c>
      <c r="N24">
        <v>4.60992628250054</v>
      </c>
      <c r="P24" s="2">
        <v>201309</v>
      </c>
      <c r="Q24">
        <v>4.5655049166508599</v>
      </c>
    </row>
    <row r="25" spans="2:17">
      <c r="B25" s="1">
        <v>41487</v>
      </c>
      <c r="C25" s="3">
        <v>4.1524292919247898</v>
      </c>
      <c r="D25">
        <v>4.3204582107282503</v>
      </c>
      <c r="E25">
        <v>4.2599025030036897</v>
      </c>
      <c r="F25" s="3">
        <f t="shared" si="0"/>
        <v>-0.16802891880346049</v>
      </c>
      <c r="G25" s="3">
        <f t="shared" si="1"/>
        <v>-0.10747321107889984</v>
      </c>
      <c r="H25" s="3">
        <f t="shared" si="2"/>
        <v>6.0555707724560648E-2</v>
      </c>
      <c r="I25" s="3"/>
      <c r="J25" s="2">
        <v>201308</v>
      </c>
      <c r="K25" s="3">
        <v>4.1524292919247898</v>
      </c>
      <c r="M25" s="2">
        <v>201308</v>
      </c>
      <c r="N25">
        <v>4.3204582107282503</v>
      </c>
      <c r="P25" s="2">
        <v>201308</v>
      </c>
      <c r="Q25">
        <v>4.2599025030036897</v>
      </c>
    </row>
    <row r="26" spans="2:17">
      <c r="B26" s="1">
        <v>41456</v>
      </c>
      <c r="C26" s="3">
        <v>3.90091271220368</v>
      </c>
      <c r="D26">
        <v>3.9463716001364602</v>
      </c>
      <c r="E26">
        <v>3.8951440631579901</v>
      </c>
      <c r="F26" s="3">
        <f t="shared" si="0"/>
        <v>-4.545888793278019E-2</v>
      </c>
      <c r="G26" s="3">
        <f t="shared" si="1"/>
        <v>5.7686490456898554E-3</v>
      </c>
      <c r="H26" s="3">
        <f t="shared" si="2"/>
        <v>5.1227536978470045E-2</v>
      </c>
      <c r="I26" s="3"/>
      <c r="J26" s="2">
        <v>201307</v>
      </c>
      <c r="K26" s="3">
        <v>3.90091271220368</v>
      </c>
      <c r="M26" s="2">
        <v>201307</v>
      </c>
      <c r="N26">
        <v>3.9463716001364602</v>
      </c>
      <c r="P26" s="2">
        <v>201307</v>
      </c>
      <c r="Q26">
        <v>3.8951440631579901</v>
      </c>
    </row>
    <row r="27" spans="2:17">
      <c r="B27" s="1">
        <v>41426</v>
      </c>
      <c r="C27" s="3">
        <v>3.8339086235834099</v>
      </c>
      <c r="D27">
        <v>3.8079408823666498</v>
      </c>
      <c r="E27">
        <v>3.7510885438699</v>
      </c>
      <c r="F27" s="3">
        <f t="shared" si="0"/>
        <v>2.5967741216760043E-2</v>
      </c>
      <c r="G27" s="3">
        <f t="shared" si="1"/>
        <v>8.2820079713509909E-2</v>
      </c>
      <c r="H27" s="3">
        <f t="shared" si="2"/>
        <v>5.6852338496749866E-2</v>
      </c>
      <c r="I27" s="3"/>
      <c r="J27" s="2">
        <v>201306</v>
      </c>
      <c r="K27" s="3">
        <v>3.8339086235834099</v>
      </c>
      <c r="M27" s="2">
        <v>201306</v>
      </c>
      <c r="N27">
        <v>3.8079408823666498</v>
      </c>
      <c r="P27" s="2">
        <v>201306</v>
      </c>
      <c r="Q27">
        <v>3.7510885438699</v>
      </c>
    </row>
    <row r="28" spans="2:17">
      <c r="B28" s="1">
        <v>41395</v>
      </c>
      <c r="C28" s="3">
        <v>3.85136938402874</v>
      </c>
      <c r="D28">
        <v>3.8725047024987398</v>
      </c>
      <c r="E28">
        <v>3.8099276969790301</v>
      </c>
      <c r="F28" s="3">
        <f t="shared" si="0"/>
        <v>-2.1135318469999831E-2</v>
      </c>
      <c r="G28" s="3">
        <f t="shared" si="1"/>
        <v>4.1441687049709852E-2</v>
      </c>
      <c r="H28" s="3">
        <f t="shared" si="2"/>
        <v>6.2577005519709683E-2</v>
      </c>
      <c r="I28" s="3"/>
      <c r="J28" s="2">
        <v>201305</v>
      </c>
      <c r="K28" s="3">
        <v>3.85136938402874</v>
      </c>
      <c r="M28" s="2">
        <v>201305</v>
      </c>
      <c r="N28">
        <v>3.8725047024987398</v>
      </c>
      <c r="P28" s="2">
        <v>201305</v>
      </c>
      <c r="Q28">
        <v>3.8099276969790301</v>
      </c>
    </row>
    <row r="29" spans="2:17">
      <c r="B29" s="1">
        <v>41365</v>
      </c>
      <c r="C29" s="3">
        <v>3.8223989530828399</v>
      </c>
      <c r="D29">
        <v>3.8456884245144201</v>
      </c>
      <c r="E29">
        <v>3.7825415156393598</v>
      </c>
      <c r="F29" s="3">
        <f t="shared" si="0"/>
        <v>-2.3289471431580111E-2</v>
      </c>
      <c r="G29" s="3">
        <f t="shared" si="1"/>
        <v>3.9857437443480137E-2</v>
      </c>
      <c r="H29" s="3">
        <f t="shared" si="2"/>
        <v>6.3146908875060248E-2</v>
      </c>
      <c r="I29" s="3"/>
      <c r="J29" s="2">
        <v>201304</v>
      </c>
      <c r="K29" s="3">
        <v>3.8223989530828399</v>
      </c>
      <c r="M29" s="2">
        <v>201304</v>
      </c>
      <c r="N29">
        <v>3.8456884245144201</v>
      </c>
      <c r="P29" s="2">
        <v>201304</v>
      </c>
      <c r="Q29">
        <v>3.7825415156393598</v>
      </c>
    </row>
    <row r="30" spans="2:17">
      <c r="B30" s="1">
        <v>41334</v>
      </c>
      <c r="C30" s="3">
        <v>3.7869995847639601</v>
      </c>
      <c r="D30">
        <v>3.7719228011650401</v>
      </c>
      <c r="E30">
        <v>3.6934244230845201</v>
      </c>
      <c r="F30" s="3">
        <f t="shared" si="0"/>
        <v>1.5076783598920063E-2</v>
      </c>
      <c r="G30" s="3">
        <f t="shared" si="1"/>
        <v>9.3575161679440022E-2</v>
      </c>
      <c r="H30" s="3">
        <f t="shared" si="2"/>
        <v>7.8498378080519959E-2</v>
      </c>
      <c r="I30" s="3"/>
      <c r="J30" s="2">
        <v>201303</v>
      </c>
      <c r="K30" s="3">
        <v>3.7869995847639601</v>
      </c>
      <c r="M30" s="2">
        <v>201303</v>
      </c>
      <c r="N30">
        <v>3.7719228011650401</v>
      </c>
      <c r="P30" s="2">
        <v>201303</v>
      </c>
      <c r="Q30">
        <v>3.6934244230845201</v>
      </c>
    </row>
    <row r="31" spans="2:17">
      <c r="B31" s="1">
        <v>41306</v>
      </c>
      <c r="C31" s="3">
        <v>3.7237481234484302</v>
      </c>
      <c r="D31">
        <v>3.6462499425197001</v>
      </c>
      <c r="E31">
        <v>3.6033548831439499</v>
      </c>
      <c r="F31" s="3">
        <f t="shared" si="0"/>
        <v>7.7498180928730065E-2</v>
      </c>
      <c r="G31" s="3">
        <f t="shared" si="1"/>
        <v>0.12039324030448029</v>
      </c>
      <c r="H31" s="3">
        <f t="shared" si="2"/>
        <v>4.2895059375750222E-2</v>
      </c>
      <c r="I31" s="3"/>
      <c r="J31" s="2">
        <v>201302</v>
      </c>
      <c r="K31" s="3">
        <v>3.7237481234484302</v>
      </c>
      <c r="M31" s="2">
        <v>201302</v>
      </c>
      <c r="N31">
        <v>3.6462499425197001</v>
      </c>
      <c r="P31" s="2">
        <v>201302</v>
      </c>
      <c r="Q31">
        <v>3.6033548831439499</v>
      </c>
    </row>
    <row r="32" spans="2:17">
      <c r="B32" s="1">
        <v>41275</v>
      </c>
      <c r="C32" s="3">
        <v>3.7171536774760101</v>
      </c>
      <c r="D32">
        <v>3.65077505776275</v>
      </c>
      <c r="E32">
        <v>3.5915199716421098</v>
      </c>
      <c r="F32" s="3">
        <f t="shared" si="0"/>
        <v>6.637861971326009E-2</v>
      </c>
      <c r="G32" s="3">
        <f t="shared" si="1"/>
        <v>0.12563370583390032</v>
      </c>
      <c r="H32" s="3">
        <f t="shared" si="2"/>
        <v>5.9255086120640232E-2</v>
      </c>
      <c r="I32" s="3"/>
      <c r="J32" s="2">
        <v>201301</v>
      </c>
      <c r="K32" s="3">
        <v>3.7171536774760101</v>
      </c>
      <c r="M32" s="2">
        <v>201301</v>
      </c>
      <c r="N32">
        <v>3.65077505776275</v>
      </c>
      <c r="P32" s="2">
        <v>201301</v>
      </c>
      <c r="Q32">
        <v>3.5915199716421098</v>
      </c>
    </row>
    <row r="33" spans="2:17">
      <c r="B33" s="1">
        <v>41244</v>
      </c>
      <c r="C33" s="3">
        <v>3.7712943389174498</v>
      </c>
      <c r="D33">
        <v>3.7067427506511299</v>
      </c>
      <c r="E33">
        <v>3.6008819534771201</v>
      </c>
      <c r="F33" s="3">
        <f t="shared" si="0"/>
        <v>6.4551588266319904E-2</v>
      </c>
      <c r="G33" s="3">
        <f t="shared" si="1"/>
        <v>0.17041238544032966</v>
      </c>
      <c r="H33" s="3">
        <f t="shared" si="2"/>
        <v>0.10586079717400976</v>
      </c>
      <c r="I33" s="3"/>
      <c r="J33" s="2">
        <v>201212</v>
      </c>
      <c r="K33" s="3">
        <v>3.7712943389174498</v>
      </c>
      <c r="M33" s="2">
        <v>201212</v>
      </c>
      <c r="N33">
        <v>3.7067427506511299</v>
      </c>
      <c r="P33" s="2">
        <v>201212</v>
      </c>
      <c r="Q33">
        <v>3.6008819534771201</v>
      </c>
    </row>
    <row r="34" spans="2:17">
      <c r="B34" s="1">
        <v>41214</v>
      </c>
      <c r="C34" s="3">
        <v>3.8438019152417602</v>
      </c>
      <c r="D34">
        <v>3.7766769136976399</v>
      </c>
      <c r="E34">
        <v>3.66600530010186</v>
      </c>
      <c r="F34" s="3">
        <f t="shared" si="0"/>
        <v>6.7125001544120266E-2</v>
      </c>
      <c r="G34" s="3">
        <f t="shared" si="1"/>
        <v>0.17779661513990019</v>
      </c>
      <c r="H34" s="3">
        <f t="shared" si="2"/>
        <v>0.11067161359577993</v>
      </c>
      <c r="I34" s="3"/>
      <c r="J34" s="2">
        <v>201211</v>
      </c>
      <c r="K34" s="3">
        <v>3.8438019152417602</v>
      </c>
      <c r="M34" s="2">
        <v>201211</v>
      </c>
      <c r="N34">
        <v>3.7766769136976399</v>
      </c>
      <c r="P34" s="2">
        <v>201211</v>
      </c>
      <c r="Q34">
        <v>3.66600530010186</v>
      </c>
    </row>
    <row r="35" spans="2:17">
      <c r="B35" s="1">
        <v>41183</v>
      </c>
      <c r="C35" s="3">
        <v>3.9068577604733399</v>
      </c>
      <c r="D35">
        <v>3.8501000264524801</v>
      </c>
      <c r="E35">
        <v>3.76941401476792</v>
      </c>
      <c r="F35" s="3">
        <f t="shared" si="0"/>
        <v>5.6757734020859818E-2</v>
      </c>
      <c r="G35" s="3">
        <f t="shared" si="1"/>
        <v>0.13744374570541984</v>
      </c>
      <c r="H35" s="3">
        <f t="shared" si="2"/>
        <v>8.0686011684560022E-2</v>
      </c>
      <c r="I35" s="3"/>
      <c r="J35" s="2">
        <v>201210</v>
      </c>
      <c r="K35" s="3">
        <v>3.9068577604733399</v>
      </c>
      <c r="M35" s="2">
        <v>201210</v>
      </c>
      <c r="N35">
        <v>3.8501000264524801</v>
      </c>
      <c r="P35" s="2">
        <v>201210</v>
      </c>
      <c r="Q35">
        <v>3.76941401476792</v>
      </c>
    </row>
    <row r="36" spans="2:17">
      <c r="B36" s="1">
        <v>41153</v>
      </c>
      <c r="C36" s="3">
        <v>3.9046640497970602</v>
      </c>
      <c r="D36">
        <v>3.89321189457148</v>
      </c>
      <c r="E36">
        <v>3.8080130355025599</v>
      </c>
      <c r="F36" s="3">
        <f t="shared" si="0"/>
        <v>1.1452155225580185E-2</v>
      </c>
      <c r="G36" s="3">
        <f t="shared" si="1"/>
        <v>9.6651014294500293E-2</v>
      </c>
      <c r="H36" s="3">
        <f t="shared" si="2"/>
        <v>8.5198859068920108E-2</v>
      </c>
      <c r="I36" s="3"/>
      <c r="J36" s="2">
        <v>201209</v>
      </c>
      <c r="K36" s="3">
        <v>3.9046640497970602</v>
      </c>
      <c r="M36" s="2">
        <v>201209</v>
      </c>
      <c r="N36">
        <v>3.89321189457148</v>
      </c>
      <c r="P36" s="2">
        <v>201209</v>
      </c>
      <c r="Q36">
        <v>3.8080130355025599</v>
      </c>
    </row>
    <row r="37" spans="2:17">
      <c r="B37" s="1">
        <v>41122</v>
      </c>
      <c r="C37" s="3">
        <v>4.0166492504542601</v>
      </c>
      <c r="D37">
        <v>3.9283358679298299</v>
      </c>
      <c r="E37">
        <v>3.8967368952954198</v>
      </c>
      <c r="F37" s="3">
        <f t="shared" si="0"/>
        <v>8.8313382524430217E-2</v>
      </c>
      <c r="G37" s="3">
        <f t="shared" si="1"/>
        <v>0.11991235515884036</v>
      </c>
      <c r="H37" s="3">
        <f t="shared" si="2"/>
        <v>3.1598972634410138E-2</v>
      </c>
      <c r="I37" s="3"/>
      <c r="J37" s="2">
        <v>201208</v>
      </c>
      <c r="K37" s="3">
        <v>4.0166492504542601</v>
      </c>
      <c r="M37" s="2">
        <v>201208</v>
      </c>
      <c r="N37">
        <v>3.9283358679298299</v>
      </c>
      <c r="P37" s="2">
        <v>201208</v>
      </c>
      <c r="Q37">
        <v>3.8967368952954198</v>
      </c>
    </row>
    <row r="38" spans="2:17">
      <c r="B38" s="1">
        <v>41091</v>
      </c>
      <c r="C38" s="3">
        <v>4.1134066376003604</v>
      </c>
      <c r="D38">
        <v>4.0673812628740302</v>
      </c>
      <c r="E38">
        <v>4.0212319104949703</v>
      </c>
      <c r="F38" s="3">
        <f t="shared" si="0"/>
        <v>4.602537472633017E-2</v>
      </c>
      <c r="G38" s="3">
        <f t="shared" si="1"/>
        <v>9.2174727105390097E-2</v>
      </c>
      <c r="H38" s="3">
        <f t="shared" si="2"/>
        <v>4.6149352379059927E-2</v>
      </c>
      <c r="I38" s="3"/>
      <c r="J38" s="2">
        <v>201207</v>
      </c>
      <c r="K38" s="3">
        <v>4.1134066376003604</v>
      </c>
      <c r="M38" s="2">
        <v>201207</v>
      </c>
      <c r="N38">
        <v>4.0673812628740302</v>
      </c>
      <c r="P38" s="2">
        <v>201207</v>
      </c>
      <c r="Q38">
        <v>4.0212319104949703</v>
      </c>
    </row>
    <row r="39" spans="2:17">
      <c r="B39" s="1">
        <v>41061</v>
      </c>
      <c r="C39" s="3">
        <v>4.2717858040441303</v>
      </c>
      <c r="D39">
        <v>4.1742711025533499</v>
      </c>
      <c r="E39">
        <v>4.1150808949727002</v>
      </c>
      <c r="F39" s="3">
        <f t="shared" si="0"/>
        <v>9.7514701490780453E-2</v>
      </c>
      <c r="G39" s="3">
        <f t="shared" si="1"/>
        <v>0.15670490907143009</v>
      </c>
      <c r="H39" s="3">
        <f t="shared" si="2"/>
        <v>5.9190207580649634E-2</v>
      </c>
      <c r="I39" s="3"/>
      <c r="J39" s="2">
        <v>201206</v>
      </c>
      <c r="K39" s="3">
        <v>4.2717858040441303</v>
      </c>
      <c r="M39" s="2">
        <v>201206</v>
      </c>
      <c r="N39">
        <v>4.1742711025533499</v>
      </c>
      <c r="P39" s="2">
        <v>201206</v>
      </c>
      <c r="Q39">
        <v>4.1150808949727002</v>
      </c>
    </row>
    <row r="40" spans="2:17">
      <c r="B40" s="1">
        <v>41030</v>
      </c>
      <c r="C40" s="3">
        <v>4.2741827274406496</v>
      </c>
      <c r="D40">
        <v>4.1919402122088298</v>
      </c>
      <c r="E40">
        <v>4.1369562999131499</v>
      </c>
      <c r="F40" s="3">
        <f t="shared" si="0"/>
        <v>8.2242515231819802E-2</v>
      </c>
      <c r="G40" s="3">
        <f t="shared" si="1"/>
        <v>0.13722642752749969</v>
      </c>
      <c r="H40" s="3">
        <f t="shared" si="2"/>
        <v>5.4983912295679893E-2</v>
      </c>
      <c r="I40" s="3"/>
      <c r="J40" s="2">
        <v>201205</v>
      </c>
      <c r="K40" s="3">
        <v>4.2741827274406496</v>
      </c>
      <c r="M40" s="2">
        <v>201205</v>
      </c>
      <c r="N40">
        <v>4.1919402122088298</v>
      </c>
      <c r="P40" s="2">
        <v>201205</v>
      </c>
      <c r="Q40">
        <v>4.1369562999131499</v>
      </c>
    </row>
    <row r="41" spans="2:17">
      <c r="B41" s="1">
        <v>41000</v>
      </c>
      <c r="C41" s="3">
        <v>4.20685755043512</v>
      </c>
      <c r="D41">
        <v>4.1755324481387701</v>
      </c>
      <c r="E41">
        <v>4.0808588427727797</v>
      </c>
      <c r="F41" s="3">
        <f t="shared" si="0"/>
        <v>3.1325102296349883E-2</v>
      </c>
      <c r="G41" s="3">
        <f t="shared" si="1"/>
        <v>0.12599870766234034</v>
      </c>
      <c r="H41" s="3">
        <f t="shared" si="2"/>
        <v>9.4673605365990454E-2</v>
      </c>
      <c r="I41" s="3"/>
      <c r="J41" s="2">
        <v>201204</v>
      </c>
      <c r="K41" s="3">
        <v>4.20685755043512</v>
      </c>
      <c r="M41" s="2">
        <v>201204</v>
      </c>
      <c r="N41">
        <v>4.1755324481387701</v>
      </c>
      <c r="P41" s="2">
        <v>201204</v>
      </c>
      <c r="Q41">
        <v>4.0808588427727797</v>
      </c>
    </row>
    <row r="42" spans="2:17">
      <c r="B42" s="1">
        <v>40969</v>
      </c>
      <c r="C42" s="3">
        <v>4.2104495801617201</v>
      </c>
      <c r="D42">
        <v>4.1738846766960496</v>
      </c>
      <c r="E42">
        <v>4.0802734374255003</v>
      </c>
      <c r="F42" s="3">
        <f t="shared" si="0"/>
        <v>3.656490346567054E-2</v>
      </c>
      <c r="G42" s="3">
        <f t="shared" si="1"/>
        <v>0.1301761427362198</v>
      </c>
      <c r="H42" s="3">
        <f t="shared" si="2"/>
        <v>9.3611239270549262E-2</v>
      </c>
      <c r="I42" s="3"/>
      <c r="J42" s="2">
        <v>201203</v>
      </c>
      <c r="K42" s="3">
        <v>4.2104495801617201</v>
      </c>
      <c r="M42" s="2">
        <v>201203</v>
      </c>
      <c r="N42">
        <v>4.1738846766960496</v>
      </c>
      <c r="P42" s="2">
        <v>201203</v>
      </c>
      <c r="Q42">
        <v>4.0802734374255003</v>
      </c>
    </row>
    <row r="43" spans="2:17">
      <c r="B43" s="1">
        <v>40940</v>
      </c>
      <c r="C43" s="3">
        <v>4.2929626779714498</v>
      </c>
      <c r="D43">
        <v>4.2395877951698502</v>
      </c>
      <c r="E43">
        <v>4.1774807779790102</v>
      </c>
      <c r="F43" s="3">
        <f t="shared" si="0"/>
        <v>5.3374882801599632E-2</v>
      </c>
      <c r="G43" s="3">
        <f t="shared" si="1"/>
        <v>0.11548189999243963</v>
      </c>
      <c r="H43" s="3">
        <f t="shared" si="2"/>
        <v>6.2107017190839997E-2</v>
      </c>
      <c r="I43" s="3"/>
      <c r="J43" s="2">
        <v>201202</v>
      </c>
      <c r="K43" s="3">
        <v>4.2929626779714498</v>
      </c>
      <c r="M43" s="2">
        <v>201202</v>
      </c>
      <c r="N43">
        <v>4.2395877951698502</v>
      </c>
      <c r="P43" s="2">
        <v>201202</v>
      </c>
      <c r="Q43">
        <v>4.1774807779790102</v>
      </c>
    </row>
    <row r="44" spans="2:17">
      <c r="B44" s="1">
        <v>40909</v>
      </c>
      <c r="C44" s="3">
        <v>4.3698797873502997</v>
      </c>
      <c r="D44">
        <v>4.35415319838045</v>
      </c>
      <c r="E44">
        <v>4.24263754084759</v>
      </c>
      <c r="F44" s="3">
        <f t="shared" si="0"/>
        <v>1.5726588969849686E-2</v>
      </c>
      <c r="G44" s="3">
        <f t="shared" si="1"/>
        <v>0.12724224650270965</v>
      </c>
      <c r="H44" s="3">
        <f t="shared" si="2"/>
        <v>0.11151565753285997</v>
      </c>
      <c r="I44" s="3"/>
      <c r="J44" s="2">
        <v>201201</v>
      </c>
      <c r="K44" s="3">
        <v>4.3698797873502997</v>
      </c>
      <c r="M44" s="2">
        <v>201201</v>
      </c>
      <c r="N44">
        <v>4.35415319838045</v>
      </c>
      <c r="P44" s="2">
        <v>201201</v>
      </c>
      <c r="Q44">
        <v>4.24263754084759</v>
      </c>
    </row>
    <row r="45" spans="2:17">
      <c r="B45" s="1">
        <v>40878</v>
      </c>
      <c r="C45" s="3">
        <v>4.3745424452164796</v>
      </c>
      <c r="D45">
        <v>4.3129432381052997</v>
      </c>
      <c r="E45">
        <v>4.2407495593322801</v>
      </c>
      <c r="F45" s="3">
        <f t="shared" si="0"/>
        <v>6.1599207111179943E-2</v>
      </c>
      <c r="G45" s="3">
        <f t="shared" si="1"/>
        <v>0.13379288588419946</v>
      </c>
      <c r="H45" s="3">
        <f t="shared" si="2"/>
        <v>7.2193678773019521E-2</v>
      </c>
      <c r="I45" s="3"/>
      <c r="J45" s="2">
        <v>201112</v>
      </c>
      <c r="K45" s="3">
        <v>4.3745424452164796</v>
      </c>
      <c r="M45" s="2">
        <v>201112</v>
      </c>
      <c r="N45">
        <v>4.3129432381052997</v>
      </c>
      <c r="P45" s="2">
        <v>201112</v>
      </c>
      <c r="Q45">
        <v>4.2407495593322801</v>
      </c>
    </row>
    <row r="46" spans="2:17">
      <c r="B46" s="1">
        <v>40848</v>
      </c>
      <c r="C46" s="3">
        <v>4.3907712871102804</v>
      </c>
      <c r="D46">
        <v>4.4128008395489404</v>
      </c>
      <c r="E46">
        <v>4.29695421139927</v>
      </c>
      <c r="F46" s="3">
        <f t="shared" si="0"/>
        <v>-2.2029552438660005E-2</v>
      </c>
      <c r="G46" s="3">
        <f t="shared" si="1"/>
        <v>9.3817075711010389E-2</v>
      </c>
      <c r="H46" s="3">
        <f t="shared" si="2"/>
        <v>0.11584662814967039</v>
      </c>
      <c r="I46" s="3"/>
      <c r="J46" s="2">
        <v>201111</v>
      </c>
      <c r="K46" s="3">
        <v>4.3907712871102804</v>
      </c>
      <c r="M46" s="2">
        <v>201111</v>
      </c>
      <c r="N46">
        <v>4.4128008395489404</v>
      </c>
      <c r="P46" s="2">
        <v>201111</v>
      </c>
      <c r="Q46">
        <v>4.29695421139927</v>
      </c>
    </row>
    <row r="47" spans="2:17">
      <c r="B47" s="1">
        <v>40817</v>
      </c>
      <c r="C47" s="3">
        <v>4.53391876545051</v>
      </c>
      <c r="D47">
        <v>4.5119397329930804</v>
      </c>
      <c r="E47">
        <v>4.4120909451936097</v>
      </c>
      <c r="F47" s="3">
        <f t="shared" si="0"/>
        <v>2.1979032457429604E-2</v>
      </c>
      <c r="G47" s="3">
        <f t="shared" si="1"/>
        <v>0.12182782025690031</v>
      </c>
      <c r="H47" s="3">
        <f t="shared" si="2"/>
        <v>9.9848787799470706E-2</v>
      </c>
      <c r="I47" s="3"/>
      <c r="J47" s="2">
        <v>201110</v>
      </c>
      <c r="K47" s="3">
        <v>4.53391876545051</v>
      </c>
      <c r="M47" s="2">
        <v>201110</v>
      </c>
      <c r="N47">
        <v>4.5119397329930804</v>
      </c>
      <c r="P47" s="2">
        <v>201110</v>
      </c>
      <c r="Q47">
        <v>4.4120909451936097</v>
      </c>
    </row>
    <row r="48" spans="2:17">
      <c r="B48" s="1">
        <v>40787</v>
      </c>
      <c r="C48" s="3">
        <v>4.7813057768307203</v>
      </c>
      <c r="D48">
        <v>4.8091767391416802</v>
      </c>
      <c r="E48">
        <v>4.6637207374316496</v>
      </c>
      <c r="F48" s="3">
        <f t="shared" si="0"/>
        <v>-2.7870962310959868E-2</v>
      </c>
      <c r="G48" s="3">
        <f t="shared" si="1"/>
        <v>0.11758503939907072</v>
      </c>
      <c r="H48" s="3">
        <f t="shared" si="2"/>
        <v>0.14545600171003059</v>
      </c>
      <c r="I48" s="3"/>
      <c r="J48" s="2">
        <v>201109</v>
      </c>
      <c r="K48" s="3">
        <v>4.7813057768307203</v>
      </c>
      <c r="M48" s="2">
        <v>201109</v>
      </c>
      <c r="N48">
        <v>4.8091767391416802</v>
      </c>
      <c r="P48" s="2">
        <v>201109</v>
      </c>
      <c r="Q48">
        <v>4.6637207374316496</v>
      </c>
    </row>
    <row r="49" spans="2:17">
      <c r="B49" s="1">
        <v>40756</v>
      </c>
      <c r="C49" s="3">
        <v>4.8776134942487097</v>
      </c>
      <c r="D49">
        <v>4.8216356808009202</v>
      </c>
      <c r="E49">
        <v>4.8136284777767102</v>
      </c>
      <c r="F49" s="3">
        <f t="shared" si="0"/>
        <v>5.5977813447789515E-2</v>
      </c>
      <c r="G49" s="3">
        <f t="shared" si="1"/>
        <v>6.3985016471999501E-2</v>
      </c>
      <c r="H49" s="3">
        <f t="shared" si="2"/>
        <v>8.0072030242099856E-3</v>
      </c>
      <c r="I49" s="3"/>
      <c r="J49" s="2">
        <v>201108</v>
      </c>
      <c r="K49" s="3">
        <v>4.8776134942487097</v>
      </c>
      <c r="M49" s="2">
        <v>201108</v>
      </c>
      <c r="N49">
        <v>4.8216356808009202</v>
      </c>
      <c r="P49" s="2">
        <v>201108</v>
      </c>
      <c r="Q49">
        <v>4.8136284777767102</v>
      </c>
    </row>
    <row r="50" spans="2:17">
      <c r="B50" s="1">
        <v>40725</v>
      </c>
      <c r="C50" s="3">
        <v>4.9526677145618603</v>
      </c>
      <c r="D50">
        <v>4.9025409869560699</v>
      </c>
      <c r="E50">
        <v>4.8851768254937804</v>
      </c>
      <c r="F50" s="3">
        <f t="shared" si="0"/>
        <v>5.01267276057904E-2</v>
      </c>
      <c r="G50" s="3">
        <f t="shared" si="1"/>
        <v>6.7490889068079873E-2</v>
      </c>
      <c r="H50" s="3">
        <f t="shared" si="2"/>
        <v>1.7364161462289474E-2</v>
      </c>
      <c r="I50" s="3"/>
      <c r="J50" s="2">
        <v>201107</v>
      </c>
      <c r="K50" s="3">
        <v>4.9526677145618603</v>
      </c>
      <c r="M50" s="2">
        <v>201107</v>
      </c>
      <c r="N50">
        <v>4.9025409869560699</v>
      </c>
      <c r="P50" s="2">
        <v>201107</v>
      </c>
      <c r="Q50">
        <v>4.8851768254937804</v>
      </c>
    </row>
    <row r="51" spans="2:17">
      <c r="B51" s="1">
        <v>40695</v>
      </c>
      <c r="C51" s="3">
        <v>5.1199094917600201</v>
      </c>
      <c r="D51">
        <v>5.1432481699690102</v>
      </c>
      <c r="E51">
        <v>5.0104042533752899</v>
      </c>
      <c r="F51" s="3">
        <f t="shared" si="0"/>
        <v>-2.333867820899016E-2</v>
      </c>
      <c r="G51" s="3">
        <f t="shared" si="1"/>
        <v>0.10950523838473014</v>
      </c>
      <c r="H51" s="3">
        <f t="shared" si="2"/>
        <v>0.1328439165937203</v>
      </c>
      <c r="I51" s="3"/>
      <c r="J51" s="2">
        <v>201106</v>
      </c>
      <c r="K51" s="3">
        <v>5.1199094917600201</v>
      </c>
      <c r="M51" s="2">
        <v>201106</v>
      </c>
      <c r="N51">
        <v>5.1432481699690102</v>
      </c>
      <c r="P51" s="2">
        <v>201106</v>
      </c>
      <c r="Q51">
        <v>5.0104042533752899</v>
      </c>
    </row>
    <row r="52" spans="2:17">
      <c r="B52" s="1">
        <v>40664</v>
      </c>
      <c r="C52" s="3">
        <v>5.1498995538460202</v>
      </c>
      <c r="D52">
        <v>5.1698548003222404</v>
      </c>
      <c r="E52">
        <v>5.04070405569085</v>
      </c>
      <c r="F52" s="3">
        <f t="shared" si="0"/>
        <v>-1.9955246476220267E-2</v>
      </c>
      <c r="G52" s="3">
        <f t="shared" si="1"/>
        <v>0.10919549815517016</v>
      </c>
      <c r="H52" s="3">
        <f t="shared" si="2"/>
        <v>0.12915074463139042</v>
      </c>
      <c r="I52" s="3"/>
      <c r="J52" s="2">
        <v>201105</v>
      </c>
      <c r="K52" s="3">
        <v>5.1498995538460202</v>
      </c>
      <c r="M52" s="2">
        <v>201105</v>
      </c>
      <c r="N52">
        <v>5.1698548003222404</v>
      </c>
      <c r="P52" s="2">
        <v>201105</v>
      </c>
      <c r="Q52">
        <v>5.04070405569085</v>
      </c>
    </row>
    <row r="53" spans="2:17">
      <c r="B53" s="1">
        <v>40634</v>
      </c>
      <c r="C53" s="3">
        <v>5.08237216688544</v>
      </c>
      <c r="D53">
        <v>5.1694034368247701</v>
      </c>
      <c r="E53">
        <v>5.0454312571468103</v>
      </c>
      <c r="F53" s="3">
        <f t="shared" si="0"/>
        <v>-8.703126993933008E-2</v>
      </c>
      <c r="G53" s="3">
        <f t="shared" si="1"/>
        <v>3.6940909738629735E-2</v>
      </c>
      <c r="H53" s="3">
        <f t="shared" si="2"/>
        <v>0.12397217967795982</v>
      </c>
      <c r="I53" s="3"/>
      <c r="J53" s="2">
        <v>201104</v>
      </c>
      <c r="K53" s="3">
        <v>5.08237216688544</v>
      </c>
      <c r="M53" s="2">
        <v>201104</v>
      </c>
      <c r="N53">
        <v>5.1694034368247701</v>
      </c>
      <c r="P53" s="2">
        <v>201104</v>
      </c>
      <c r="Q53">
        <v>5.0454312571468103</v>
      </c>
    </row>
    <row r="54" spans="2:17">
      <c r="B54" s="1">
        <v>40603</v>
      </c>
      <c r="C54" s="3">
        <v>4.8852068397221498</v>
      </c>
      <c r="D54">
        <v>5.0209223847428399</v>
      </c>
      <c r="E54">
        <v>4.8998185681194801</v>
      </c>
      <c r="F54" s="3">
        <f t="shared" si="0"/>
        <v>-0.13571554502069016</v>
      </c>
      <c r="G54" s="3">
        <f t="shared" si="1"/>
        <v>-1.4611728397330381E-2</v>
      </c>
      <c r="H54" s="3">
        <f t="shared" si="2"/>
        <v>0.12110381662335978</v>
      </c>
      <c r="I54" s="3"/>
      <c r="J54" s="2">
        <v>201103</v>
      </c>
      <c r="K54" s="3">
        <v>4.8852068397221498</v>
      </c>
      <c r="M54" s="2">
        <v>201103</v>
      </c>
      <c r="N54">
        <v>5.0209223847428399</v>
      </c>
      <c r="P54" s="2">
        <v>201103</v>
      </c>
      <c r="Q54">
        <v>4.8998185681194801</v>
      </c>
    </row>
    <row r="55" spans="2:17">
      <c r="B55" s="1">
        <v>40575</v>
      </c>
      <c r="C55" s="3">
        <v>4.7267547163978296</v>
      </c>
      <c r="D55">
        <v>4.88279657947872</v>
      </c>
      <c r="E55">
        <v>4.7254339496838798</v>
      </c>
      <c r="F55" s="3">
        <f t="shared" si="0"/>
        <v>-0.15604186308089041</v>
      </c>
      <c r="G55" s="3">
        <f t="shared" si="1"/>
        <v>1.3207667139498724E-3</v>
      </c>
      <c r="H55" s="3">
        <f t="shared" si="2"/>
        <v>0.15736262979484028</v>
      </c>
      <c r="I55" s="3"/>
      <c r="J55" s="2">
        <v>201102</v>
      </c>
      <c r="K55" s="3">
        <v>4.7267547163978296</v>
      </c>
      <c r="M55" s="2">
        <v>201102</v>
      </c>
      <c r="N55">
        <v>4.88279657947872</v>
      </c>
      <c r="P55" s="2">
        <v>201102</v>
      </c>
      <c r="Q55">
        <v>4.7254339496838798</v>
      </c>
    </row>
    <row r="56" spans="2:17">
      <c r="B56" s="1">
        <v>40544</v>
      </c>
      <c r="C56" s="3">
        <v>4.5506005778449801</v>
      </c>
      <c r="D56">
        <v>4.5932169000684402</v>
      </c>
      <c r="E56">
        <v>4.5108626351101497</v>
      </c>
      <c r="F56" s="3">
        <f t="shared" si="0"/>
        <v>-4.2616322223460124E-2</v>
      </c>
      <c r="G56" s="3">
        <f t="shared" si="1"/>
        <v>3.9737942734830334E-2</v>
      </c>
      <c r="H56" s="3">
        <f t="shared" si="2"/>
        <v>8.2354264958290457E-2</v>
      </c>
      <c r="I56" s="3"/>
      <c r="J56" s="2">
        <v>201101</v>
      </c>
      <c r="K56" s="3">
        <v>4.5506005778449801</v>
      </c>
      <c r="M56" s="2">
        <v>201101</v>
      </c>
      <c r="N56">
        <v>4.5932169000684402</v>
      </c>
      <c r="P56" s="2">
        <v>201101</v>
      </c>
      <c r="Q56">
        <v>4.5108626351101497</v>
      </c>
    </row>
    <row r="57" spans="2:17">
      <c r="B57" s="1">
        <v>40513</v>
      </c>
      <c r="C57" s="3">
        <v>4.5046216147780003</v>
      </c>
      <c r="D57">
        <v>4.49979665349173</v>
      </c>
      <c r="E57">
        <v>4.4278496850137898</v>
      </c>
      <c r="F57" s="3">
        <f t="shared" si="0"/>
        <v>4.8249612862703017E-3</v>
      </c>
      <c r="G57" s="3">
        <f t="shared" si="1"/>
        <v>7.6771929764210434E-2</v>
      </c>
      <c r="H57" s="3">
        <f t="shared" si="2"/>
        <v>7.1946968477940132E-2</v>
      </c>
      <c r="I57" s="3"/>
      <c r="J57" s="2">
        <v>201012</v>
      </c>
      <c r="K57" s="3">
        <v>4.5046216147780003</v>
      </c>
      <c r="M57" s="2">
        <v>201012</v>
      </c>
      <c r="N57">
        <v>4.49979665349173</v>
      </c>
      <c r="P57" s="2">
        <v>201012</v>
      </c>
      <c r="Q57">
        <v>4.4278496850137898</v>
      </c>
    </row>
    <row r="58" spans="2:17">
      <c r="B58" s="1">
        <v>40483</v>
      </c>
      <c r="C58" s="3">
        <v>4.5985063249435498</v>
      </c>
      <c r="D58">
        <v>4.5669587406600298</v>
      </c>
      <c r="E58">
        <v>4.4832161092434104</v>
      </c>
      <c r="F58" s="3">
        <f t="shared" si="0"/>
        <v>3.1547584283520003E-2</v>
      </c>
      <c r="G58" s="3">
        <f t="shared" si="1"/>
        <v>0.11529021570013942</v>
      </c>
      <c r="H58" s="3">
        <f t="shared" si="2"/>
        <v>8.3742631416619417E-2</v>
      </c>
      <c r="I58" s="3"/>
      <c r="J58" s="2">
        <v>201011</v>
      </c>
      <c r="K58" s="3">
        <v>4.5985063249435498</v>
      </c>
      <c r="M58" s="2">
        <v>201011</v>
      </c>
      <c r="N58">
        <v>4.5669587406600298</v>
      </c>
      <c r="P58" s="2">
        <v>201011</v>
      </c>
      <c r="Q58">
        <v>4.4832161092434104</v>
      </c>
    </row>
    <row r="59" spans="2:17">
      <c r="B59" s="1">
        <v>40452</v>
      </c>
      <c r="C59" s="3">
        <v>4.6682073864181399</v>
      </c>
      <c r="D59">
        <v>4.6855844226563796</v>
      </c>
      <c r="E59">
        <v>4.5471599377957004</v>
      </c>
      <c r="F59" s="3">
        <f t="shared" si="0"/>
        <v>-1.7377036238239718E-2</v>
      </c>
      <c r="G59" s="3">
        <f t="shared" si="1"/>
        <v>0.12104744862243955</v>
      </c>
      <c r="H59" s="3">
        <f t="shared" si="2"/>
        <v>0.13842448486067926</v>
      </c>
      <c r="I59" s="3"/>
      <c r="J59" s="2">
        <v>201010</v>
      </c>
      <c r="K59" s="3">
        <v>4.6682073864181399</v>
      </c>
      <c r="M59" s="2">
        <v>201010</v>
      </c>
      <c r="N59">
        <v>4.6855844226563796</v>
      </c>
      <c r="P59" s="2">
        <v>201010</v>
      </c>
      <c r="Q59">
        <v>4.5471599377957004</v>
      </c>
    </row>
    <row r="60" spans="2:17">
      <c r="B60" s="1">
        <v>40422</v>
      </c>
      <c r="C60" s="3">
        <v>4.7784968650707302</v>
      </c>
      <c r="D60">
        <v>4.7254740127578598</v>
      </c>
      <c r="E60">
        <v>4.6642806637900396</v>
      </c>
      <c r="F60" s="3">
        <f t="shared" si="0"/>
        <v>5.3022852312870405E-2</v>
      </c>
      <c r="G60" s="3">
        <f t="shared" si="1"/>
        <v>0.11421620128069065</v>
      </c>
      <c r="H60" s="3">
        <f t="shared" si="2"/>
        <v>6.1193348967820249E-2</v>
      </c>
      <c r="I60" s="3"/>
      <c r="J60" s="2">
        <v>201009</v>
      </c>
      <c r="K60" s="3">
        <v>4.7784968650707302</v>
      </c>
      <c r="M60" s="2">
        <v>201009</v>
      </c>
      <c r="N60">
        <v>4.7254740127578598</v>
      </c>
      <c r="P60" s="2">
        <v>201009</v>
      </c>
      <c r="Q60">
        <v>4.6642806637900396</v>
      </c>
    </row>
    <row r="61" spans="2:17">
      <c r="B61" s="1">
        <v>40391</v>
      </c>
      <c r="C61" s="3">
        <v>4.9328216324493797</v>
      </c>
      <c r="D61">
        <v>4.9244902601974996</v>
      </c>
      <c r="E61">
        <v>4.8223373259600999</v>
      </c>
      <c r="F61" s="3">
        <f t="shared" si="0"/>
        <v>8.3313722518800759E-3</v>
      </c>
      <c r="G61" s="3">
        <f t="shared" si="1"/>
        <v>0.11048430648927976</v>
      </c>
      <c r="H61" s="3">
        <f t="shared" si="2"/>
        <v>0.10215293423739968</v>
      </c>
      <c r="I61" s="3"/>
      <c r="J61" s="2">
        <v>201008</v>
      </c>
      <c r="K61" s="3">
        <v>4.9328216324493797</v>
      </c>
      <c r="M61" s="2">
        <v>201008</v>
      </c>
      <c r="N61">
        <v>4.9244902601974996</v>
      </c>
      <c r="P61" s="2">
        <v>201008</v>
      </c>
      <c r="Q61">
        <v>4.8223373259600999</v>
      </c>
    </row>
    <row r="62" spans="2:17">
      <c r="B62" s="1">
        <v>40360</v>
      </c>
      <c r="C62" s="3">
        <v>5.1273415817818098</v>
      </c>
      <c r="D62">
        <v>5.1503091070801101</v>
      </c>
      <c r="E62">
        <v>5.0418640522823699</v>
      </c>
      <c r="F62" s="3">
        <f t="shared" si="0"/>
        <v>-2.2967525298300373E-2</v>
      </c>
      <c r="G62" s="3">
        <f t="shared" si="1"/>
        <v>8.5477529499439875E-2</v>
      </c>
      <c r="H62" s="3">
        <f t="shared" si="2"/>
        <v>0.10844505479774025</v>
      </c>
      <c r="I62" s="3"/>
      <c r="J62" s="2">
        <v>201007</v>
      </c>
      <c r="K62" s="3">
        <v>5.1273415817818098</v>
      </c>
      <c r="M62" s="2">
        <v>201007</v>
      </c>
      <c r="N62">
        <v>5.1503091070801101</v>
      </c>
      <c r="P62" s="2">
        <v>201007</v>
      </c>
      <c r="Q62">
        <v>5.0418640522823699</v>
      </c>
    </row>
    <row r="63" spans="2:17">
      <c r="B63" s="1">
        <v>40330</v>
      </c>
      <c r="C63" s="3">
        <v>5.2323143272491004</v>
      </c>
      <c r="D63">
        <v>5.2186106259467904</v>
      </c>
      <c r="E63">
        <v>5.2024558900644298</v>
      </c>
      <c r="F63" s="3">
        <f t="shared" si="0"/>
        <v>1.3703701302310023E-2</v>
      </c>
      <c r="G63" s="3">
        <f t="shared" si="1"/>
        <v>2.9858437184670628E-2</v>
      </c>
      <c r="H63" s="3">
        <f t="shared" si="2"/>
        <v>1.6154735882360605E-2</v>
      </c>
      <c r="I63" s="3"/>
      <c r="J63" s="2">
        <v>201006</v>
      </c>
      <c r="K63" s="3">
        <v>5.2323143272491004</v>
      </c>
      <c r="M63" s="2">
        <v>201006</v>
      </c>
      <c r="N63">
        <v>5.2186106259467904</v>
      </c>
      <c r="P63" s="2">
        <v>201006</v>
      </c>
      <c r="Q63">
        <v>5.2024558900644298</v>
      </c>
    </row>
    <row r="64" spans="2:17">
      <c r="B64" s="1">
        <v>40299</v>
      </c>
      <c r="C64" s="3">
        <v>5.2280426826660102</v>
      </c>
      <c r="D64">
        <v>5.2515156491826298</v>
      </c>
      <c r="E64">
        <v>5.1846067204583699</v>
      </c>
      <c r="F64" s="3">
        <f t="shared" si="0"/>
        <v>-2.3472966516619564E-2</v>
      </c>
      <c r="G64" s="3">
        <f t="shared" si="1"/>
        <v>4.3435962207640344E-2</v>
      </c>
      <c r="H64" s="3">
        <f t="shared" si="2"/>
        <v>6.6908928724259908E-2</v>
      </c>
      <c r="I64" s="3"/>
      <c r="J64" s="2">
        <v>201005</v>
      </c>
      <c r="K64" s="3">
        <v>5.2280426826660102</v>
      </c>
      <c r="M64" s="2">
        <v>201005</v>
      </c>
      <c r="N64">
        <v>5.2515156491826298</v>
      </c>
      <c r="P64" s="2">
        <v>201005</v>
      </c>
      <c r="Q64">
        <v>5.1846067204583699</v>
      </c>
    </row>
    <row r="65" spans="2:17">
      <c r="B65" s="1">
        <v>40269</v>
      </c>
      <c r="C65" s="3">
        <v>5.1672602121717199</v>
      </c>
      <c r="D65">
        <v>5.2474457611100798</v>
      </c>
      <c r="E65">
        <v>5.1418518864171796</v>
      </c>
      <c r="F65" s="3">
        <f t="shared" si="0"/>
        <v>-8.018554893835983E-2</v>
      </c>
      <c r="G65" s="3">
        <f t="shared" si="1"/>
        <v>2.5408325754540328E-2</v>
      </c>
      <c r="H65" s="3">
        <f t="shared" si="2"/>
        <v>0.10559387469290016</v>
      </c>
      <c r="I65" s="3"/>
      <c r="J65" s="2">
        <v>201004</v>
      </c>
      <c r="K65" s="3">
        <v>5.1672602121717199</v>
      </c>
      <c r="M65" s="2">
        <v>201004</v>
      </c>
      <c r="N65">
        <v>5.2474457611100798</v>
      </c>
      <c r="P65" s="2">
        <v>201004</v>
      </c>
      <c r="Q65">
        <v>5.1418518864171796</v>
      </c>
    </row>
    <row r="66" spans="2:17">
      <c r="B66" s="1">
        <v>40238</v>
      </c>
      <c r="C66" s="3">
        <v>5.1535795383054701</v>
      </c>
      <c r="D66">
        <v>5.2669806276226199</v>
      </c>
      <c r="E66">
        <v>5.1554862888020097</v>
      </c>
      <c r="F66" s="3">
        <f t="shared" si="0"/>
        <v>-0.11340108931714976</v>
      </c>
      <c r="G66" s="3">
        <f t="shared" si="1"/>
        <v>-1.9067504965395443E-3</v>
      </c>
      <c r="H66" s="3">
        <f t="shared" si="2"/>
        <v>0.11149433882061022</v>
      </c>
      <c r="I66" s="3"/>
      <c r="J66" s="2">
        <v>201003</v>
      </c>
      <c r="K66" s="3">
        <v>5.1535795383054701</v>
      </c>
      <c r="M66" s="2">
        <v>201003</v>
      </c>
      <c r="N66">
        <v>5.2669806276226199</v>
      </c>
      <c r="P66" s="2">
        <v>201003</v>
      </c>
      <c r="Q66">
        <v>5.1554862888020097</v>
      </c>
    </row>
    <row r="67" spans="2:17">
      <c r="B67" s="1">
        <v>40210</v>
      </c>
      <c r="C67" s="3">
        <v>5.0668958419802399</v>
      </c>
      <c r="D67">
        <v>5.1137918316427404</v>
      </c>
      <c r="E67">
        <v>5.0459953534312696</v>
      </c>
      <c r="F67" s="3">
        <f t="shared" ref="F67:F127" si="3">C67-D67</f>
        <v>-4.6895989662500526E-2</v>
      </c>
      <c r="G67" s="3">
        <f t="shared" si="1"/>
        <v>2.0900488548970308E-2</v>
      </c>
      <c r="H67" s="3">
        <f t="shared" si="2"/>
        <v>6.7796478211470834E-2</v>
      </c>
      <c r="I67" s="3"/>
      <c r="J67" s="2">
        <v>201002</v>
      </c>
      <c r="K67" s="3">
        <v>5.0668958419802399</v>
      </c>
      <c r="M67" s="2">
        <v>201002</v>
      </c>
      <c r="N67">
        <v>5.1137918316427404</v>
      </c>
      <c r="P67" s="2">
        <v>201002</v>
      </c>
      <c r="Q67">
        <v>5.0459953534312696</v>
      </c>
    </row>
    <row r="68" spans="2:17">
      <c r="B68" s="1">
        <v>40179</v>
      </c>
      <c r="C68" s="3">
        <v>5.0828654262246999</v>
      </c>
      <c r="D68">
        <v>5.0409655690044302</v>
      </c>
      <c r="E68">
        <v>5.0034668314839896</v>
      </c>
      <c r="F68" s="3">
        <f t="shared" si="3"/>
        <v>4.1899857220269787E-2</v>
      </c>
      <c r="G68" s="3">
        <f t="shared" ref="G68:G127" si="4">C68-E68</f>
        <v>7.9398594740710315E-2</v>
      </c>
      <c r="H68" s="3">
        <f t="shared" ref="H68:H127" si="5">D68-E68</f>
        <v>3.7498737520440528E-2</v>
      </c>
      <c r="I68" s="3"/>
      <c r="J68" s="2">
        <v>201001</v>
      </c>
      <c r="K68" s="3">
        <v>5.0828654262246999</v>
      </c>
      <c r="M68" s="2">
        <v>201001</v>
      </c>
      <c r="N68">
        <v>5.0409655690044302</v>
      </c>
      <c r="P68" s="2">
        <v>201001</v>
      </c>
      <c r="Q68">
        <v>5.0034668314839896</v>
      </c>
    </row>
    <row r="69" spans="2:17">
      <c r="B69" s="1">
        <v>40148</v>
      </c>
      <c r="C69" s="3">
        <v>5.0979775043497098</v>
      </c>
      <c r="D69">
        <v>5.0984261725870903</v>
      </c>
      <c r="E69">
        <v>5.0745215884622699</v>
      </c>
      <c r="F69" s="3">
        <f t="shared" si="3"/>
        <v>-4.4866823738054507E-4</v>
      </c>
      <c r="G69" s="3">
        <f t="shared" si="4"/>
        <v>2.3455915887439893E-2</v>
      </c>
      <c r="H69" s="3">
        <f t="shared" si="5"/>
        <v>2.3904584124820438E-2</v>
      </c>
      <c r="I69" s="3"/>
      <c r="J69" s="2">
        <v>200912</v>
      </c>
      <c r="K69" s="3">
        <v>5.0979775043497098</v>
      </c>
      <c r="M69" s="2">
        <v>200912</v>
      </c>
      <c r="N69">
        <v>5.0984261725870903</v>
      </c>
      <c r="P69" s="2">
        <v>200912</v>
      </c>
      <c r="Q69">
        <v>5.0745215884622699</v>
      </c>
    </row>
    <row r="70" spans="2:17">
      <c r="B70" s="1">
        <v>40118</v>
      </c>
      <c r="C70" s="3">
        <v>5.1158273945518502</v>
      </c>
      <c r="D70">
        <v>5.1660359038403501</v>
      </c>
      <c r="E70">
        <v>5.1204921572082203</v>
      </c>
      <c r="F70" s="3">
        <f t="shared" si="3"/>
        <v>-5.0208509288499847E-2</v>
      </c>
      <c r="G70" s="3">
        <f t="shared" si="4"/>
        <v>-4.6647626563700584E-3</v>
      </c>
      <c r="H70" s="3">
        <f t="shared" si="5"/>
        <v>4.5543746632129789E-2</v>
      </c>
      <c r="I70" s="3"/>
      <c r="J70" s="2">
        <v>200911</v>
      </c>
      <c r="K70" s="3">
        <v>5.1158273945518502</v>
      </c>
      <c r="M70" s="2">
        <v>200911</v>
      </c>
      <c r="N70">
        <v>5.1660359038403501</v>
      </c>
      <c r="P70" s="2">
        <v>200911</v>
      </c>
      <c r="Q70">
        <v>5.1204921572082203</v>
      </c>
    </row>
    <row r="71" spans="2:17">
      <c r="B71" s="1">
        <v>40087</v>
      </c>
      <c r="C71" s="3">
        <v>5.1294365811269502</v>
      </c>
      <c r="D71">
        <v>5.2300438187300999</v>
      </c>
      <c r="E71">
        <v>5.2747716750026701</v>
      </c>
      <c r="F71" s="3">
        <f t="shared" si="3"/>
        <v>-0.10060723760314971</v>
      </c>
      <c r="G71" s="3">
        <f t="shared" si="4"/>
        <v>-0.14533509387571986</v>
      </c>
      <c r="H71" s="3">
        <f t="shared" si="5"/>
        <v>-4.4727856272570143E-2</v>
      </c>
      <c r="I71" s="3"/>
      <c r="J71" s="2">
        <v>200910</v>
      </c>
      <c r="K71" s="3">
        <v>5.1294365811269502</v>
      </c>
      <c r="M71" s="2">
        <v>200910</v>
      </c>
      <c r="N71">
        <v>5.2300438187300999</v>
      </c>
      <c r="P71" s="2">
        <v>200910</v>
      </c>
      <c r="Q71">
        <v>5.2747716750026701</v>
      </c>
    </row>
    <row r="72" spans="2:17">
      <c r="B72" s="1">
        <v>40057</v>
      </c>
      <c r="C72" s="3">
        <v>5.07610629038001</v>
      </c>
      <c r="D72">
        <v>5.2072534743019201</v>
      </c>
      <c r="E72">
        <v>5.2699170240727398</v>
      </c>
      <c r="F72" s="3">
        <f t="shared" si="3"/>
        <v>-0.13114718392191005</v>
      </c>
      <c r="G72" s="3">
        <f t="shared" si="4"/>
        <v>-0.19381073369272972</v>
      </c>
      <c r="H72" s="3">
        <f t="shared" si="5"/>
        <v>-6.2663549770819671E-2</v>
      </c>
      <c r="I72" s="3"/>
      <c r="J72" s="2">
        <v>200909</v>
      </c>
      <c r="K72" s="3">
        <v>5.07610629038001</v>
      </c>
      <c r="M72" s="2">
        <v>200909</v>
      </c>
      <c r="N72">
        <v>5.2072534743019201</v>
      </c>
      <c r="P72" s="2">
        <v>200909</v>
      </c>
      <c r="Q72">
        <v>5.2699170240727398</v>
      </c>
    </row>
    <row r="73" spans="2:17">
      <c r="B73" s="1">
        <v>40026</v>
      </c>
      <c r="C73" s="3">
        <v>4.9899010928015803</v>
      </c>
      <c r="D73">
        <v>5.2219881356408298</v>
      </c>
      <c r="E73">
        <v>5.1722769856475503</v>
      </c>
      <c r="F73" s="3">
        <f t="shared" si="3"/>
        <v>-0.23208704283924941</v>
      </c>
      <c r="G73" s="3">
        <f t="shared" si="4"/>
        <v>-0.18237589284597</v>
      </c>
      <c r="H73" s="3">
        <f t="shared" si="5"/>
        <v>4.9711149993279413E-2</v>
      </c>
      <c r="I73" s="3"/>
      <c r="J73" s="2">
        <v>200908</v>
      </c>
      <c r="K73" s="3">
        <v>4.9899010928015803</v>
      </c>
      <c r="M73" s="2">
        <v>200908</v>
      </c>
      <c r="N73">
        <v>5.2219881356408298</v>
      </c>
      <c r="P73" s="2">
        <v>200908</v>
      </c>
      <c r="Q73">
        <v>5.1722769856475503</v>
      </c>
    </row>
    <row r="74" spans="2:17">
      <c r="B74" s="1">
        <v>39995</v>
      </c>
      <c r="C74" s="3">
        <v>4.8850537351583103</v>
      </c>
      <c r="D74">
        <v>4.9723674098418398</v>
      </c>
      <c r="E74">
        <v>4.9910886575345899</v>
      </c>
      <c r="F74" s="3">
        <f t="shared" si="3"/>
        <v>-8.7313674683529463E-2</v>
      </c>
      <c r="G74" s="3">
        <f t="shared" si="4"/>
        <v>-0.10603492237627954</v>
      </c>
      <c r="H74" s="3">
        <f t="shared" si="5"/>
        <v>-1.8721247692750076E-2</v>
      </c>
      <c r="I74" s="3"/>
      <c r="J74" s="2">
        <v>200907</v>
      </c>
      <c r="K74" s="3">
        <v>4.8850537351583103</v>
      </c>
      <c r="M74" s="2">
        <v>200907</v>
      </c>
      <c r="N74">
        <v>4.9723674098418398</v>
      </c>
      <c r="P74" s="2">
        <v>200907</v>
      </c>
      <c r="Q74">
        <v>4.9910886575345899</v>
      </c>
    </row>
    <row r="75" spans="2:17">
      <c r="B75" s="1">
        <v>39965</v>
      </c>
      <c r="C75" s="3">
        <v>4.8291476491880196</v>
      </c>
      <c r="D75">
        <v>4.8368962964166302</v>
      </c>
      <c r="E75">
        <v>4.9027724846698</v>
      </c>
      <c r="F75" s="3">
        <f t="shared" si="3"/>
        <v>-7.7486472286105723E-3</v>
      </c>
      <c r="G75" s="3">
        <f t="shared" si="4"/>
        <v>-7.3624835481780337E-2</v>
      </c>
      <c r="H75" s="3">
        <f t="shared" si="5"/>
        <v>-6.5876188253169765E-2</v>
      </c>
      <c r="I75" s="3"/>
      <c r="J75" s="2">
        <v>200906</v>
      </c>
      <c r="K75" s="3">
        <v>4.8291476491880196</v>
      </c>
      <c r="M75" s="2">
        <v>200906</v>
      </c>
      <c r="N75">
        <v>4.8368962964166302</v>
      </c>
      <c r="P75" s="2">
        <v>200906</v>
      </c>
      <c r="Q75">
        <v>4.9027724846698</v>
      </c>
    </row>
    <row r="76" spans="2:17">
      <c r="B76" s="1">
        <v>39934</v>
      </c>
      <c r="C76" s="3">
        <v>4.8616517448230203</v>
      </c>
      <c r="D76">
        <v>4.7411115537530604</v>
      </c>
      <c r="E76">
        <v>4.93204708302087</v>
      </c>
      <c r="F76" s="3">
        <f t="shared" si="3"/>
        <v>0.12054019106995995</v>
      </c>
      <c r="G76" s="3">
        <f t="shared" si="4"/>
        <v>-7.0395338197849711E-2</v>
      </c>
      <c r="H76" s="3">
        <f t="shared" si="5"/>
        <v>-0.19093552926780966</v>
      </c>
      <c r="I76" s="3"/>
      <c r="J76" s="2">
        <v>200905</v>
      </c>
      <c r="K76" s="3">
        <v>4.8616517448230203</v>
      </c>
      <c r="M76" s="2">
        <v>200905</v>
      </c>
      <c r="N76">
        <v>4.7411115537530604</v>
      </c>
      <c r="P76" s="2">
        <v>200905</v>
      </c>
      <c r="Q76">
        <v>4.93204708302087</v>
      </c>
    </row>
    <row r="77" spans="2:17">
      <c r="B77" s="1">
        <v>39904</v>
      </c>
      <c r="C77" s="3">
        <v>4.9305946692028497</v>
      </c>
      <c r="D77">
        <v>5.0937521375365797</v>
      </c>
      <c r="E77">
        <v>5.0012509211240799</v>
      </c>
      <c r="F77" s="3">
        <f t="shared" si="3"/>
        <v>-0.16315746833373002</v>
      </c>
      <c r="G77" s="3">
        <f t="shared" si="4"/>
        <v>-7.0656251921230151E-2</v>
      </c>
      <c r="H77" s="3">
        <f t="shared" si="5"/>
        <v>9.2501216412499865E-2</v>
      </c>
      <c r="I77" s="3"/>
      <c r="J77" s="2">
        <v>200904</v>
      </c>
      <c r="K77" s="3">
        <v>4.9305946692028497</v>
      </c>
      <c r="M77" s="2">
        <v>200904</v>
      </c>
      <c r="N77">
        <v>5.0937521375365797</v>
      </c>
      <c r="P77" s="2">
        <v>200904</v>
      </c>
      <c r="Q77">
        <v>5.0012509211240799</v>
      </c>
    </row>
    <row r="78" spans="2:17">
      <c r="B78" s="1">
        <v>39873</v>
      </c>
      <c r="C78" s="3">
        <v>4.92093318410876</v>
      </c>
      <c r="D78">
        <v>4.8931688620532601</v>
      </c>
      <c r="E78">
        <v>4.9537316946706103</v>
      </c>
      <c r="F78" s="3">
        <f t="shared" si="3"/>
        <v>2.7764322055499946E-2</v>
      </c>
      <c r="G78" s="3">
        <f t="shared" si="4"/>
        <v>-3.2798510561850236E-2</v>
      </c>
      <c r="H78" s="3">
        <f t="shared" si="5"/>
        <v>-6.0562832617350182E-2</v>
      </c>
      <c r="I78" s="3"/>
      <c r="J78" s="2">
        <v>200903</v>
      </c>
      <c r="K78" s="3">
        <v>4.92093318410876</v>
      </c>
      <c r="M78" s="2">
        <v>200903</v>
      </c>
      <c r="N78">
        <v>4.8931688620532601</v>
      </c>
      <c r="P78" s="2">
        <v>200903</v>
      </c>
      <c r="Q78">
        <v>4.9537316946706103</v>
      </c>
    </row>
    <row r="79" spans="2:17">
      <c r="B79" s="1">
        <v>39845</v>
      </c>
      <c r="C79" s="3">
        <v>4.9793708509294596</v>
      </c>
      <c r="D79">
        <v>4.9952975166393703</v>
      </c>
      <c r="E79">
        <v>4.9533708486296302</v>
      </c>
      <c r="F79" s="3">
        <f t="shared" si="3"/>
        <v>-1.5926665709910637E-2</v>
      </c>
      <c r="G79" s="3">
        <f t="shared" si="4"/>
        <v>2.6000002299829461E-2</v>
      </c>
      <c r="H79" s="3">
        <f t="shared" si="5"/>
        <v>4.1926668009740098E-2</v>
      </c>
      <c r="I79" s="3"/>
      <c r="J79" s="2">
        <v>200902</v>
      </c>
      <c r="K79" s="3">
        <v>4.9793708509294596</v>
      </c>
      <c r="M79" s="2">
        <v>200902</v>
      </c>
      <c r="N79">
        <v>4.9952975166393703</v>
      </c>
      <c r="P79" s="2">
        <v>200902</v>
      </c>
      <c r="Q79">
        <v>4.9533708486296302</v>
      </c>
    </row>
    <row r="80" spans="2:17">
      <c r="B80" s="1">
        <v>39814</v>
      </c>
      <c r="C80" s="3">
        <v>5.3636123567810499</v>
      </c>
      <c r="D80">
        <v>5.3354129193465303</v>
      </c>
      <c r="E80">
        <v>5.4368423516025501</v>
      </c>
      <c r="F80" s="3">
        <f t="shared" si="3"/>
        <v>2.8199437434519581E-2</v>
      </c>
      <c r="G80" s="3">
        <f t="shared" si="4"/>
        <v>-7.3229994821500277E-2</v>
      </c>
      <c r="H80" s="3">
        <f t="shared" si="5"/>
        <v>-0.10142943225601986</v>
      </c>
      <c r="I80" s="3"/>
      <c r="J80" s="2">
        <v>200901</v>
      </c>
      <c r="K80" s="3">
        <v>5.3636123567810499</v>
      </c>
      <c r="M80" s="2">
        <v>200901</v>
      </c>
      <c r="N80">
        <v>5.3354129193465303</v>
      </c>
      <c r="P80" s="2">
        <v>200901</v>
      </c>
      <c r="Q80">
        <v>5.4368423516025501</v>
      </c>
    </row>
    <row r="81" spans="2:17">
      <c r="B81" s="1">
        <v>39783</v>
      </c>
      <c r="C81" s="3">
        <v>6.0946449463674996</v>
      </c>
      <c r="D81">
        <v>6.5037957877536101</v>
      </c>
      <c r="E81">
        <v>6.1386705003220401</v>
      </c>
      <c r="F81" s="3">
        <f t="shared" si="3"/>
        <v>-0.40915084138611046</v>
      </c>
      <c r="G81" s="3">
        <f t="shared" si="4"/>
        <v>-4.4025553954540442E-2</v>
      </c>
      <c r="H81" s="3">
        <f t="shared" si="5"/>
        <v>0.36512528743157002</v>
      </c>
      <c r="I81" s="3"/>
      <c r="J81" s="2">
        <v>200812</v>
      </c>
      <c r="K81" s="3">
        <v>6.0946449463674996</v>
      </c>
      <c r="M81" s="2">
        <v>200812</v>
      </c>
      <c r="N81">
        <v>6.5037957877536101</v>
      </c>
      <c r="P81" s="2">
        <v>200812</v>
      </c>
      <c r="Q81">
        <v>6.1386705003220401</v>
      </c>
    </row>
    <row r="82" spans="2:17">
      <c r="B82" s="1">
        <v>39753</v>
      </c>
      <c r="C82" s="3">
        <v>6.0257912411256402</v>
      </c>
      <c r="D82">
        <v>6.16672675634931</v>
      </c>
      <c r="E82">
        <v>5.9985760989344197</v>
      </c>
      <c r="F82" s="3">
        <f t="shared" si="3"/>
        <v>-0.14093551522366976</v>
      </c>
      <c r="G82" s="3">
        <f t="shared" si="4"/>
        <v>2.7215142191220565E-2</v>
      </c>
      <c r="H82" s="3">
        <f t="shared" si="5"/>
        <v>0.16815065741489033</v>
      </c>
      <c r="I82" s="3"/>
      <c r="J82" s="2">
        <v>200811</v>
      </c>
      <c r="K82" s="3">
        <v>6.0257912411256402</v>
      </c>
      <c r="M82" s="2">
        <v>200811</v>
      </c>
      <c r="N82">
        <v>6.16672675634931</v>
      </c>
      <c r="P82" s="2">
        <v>200811</v>
      </c>
      <c r="Q82">
        <v>5.9985760989344197</v>
      </c>
    </row>
    <row r="83" spans="2:17">
      <c r="B83" s="1">
        <v>39722</v>
      </c>
      <c r="C83" s="3">
        <v>6.2456460090361503</v>
      </c>
      <c r="D83">
        <v>6.2984570013993402</v>
      </c>
      <c r="E83">
        <v>6.2885004859223201</v>
      </c>
      <c r="F83" s="3">
        <f t="shared" si="3"/>
        <v>-5.2810992363189868E-2</v>
      </c>
      <c r="G83" s="3">
        <f t="shared" si="4"/>
        <v>-4.2854476886169834E-2</v>
      </c>
      <c r="H83" s="3">
        <f t="shared" si="5"/>
        <v>9.9565154770200337E-3</v>
      </c>
      <c r="I83" s="3"/>
      <c r="J83" s="2">
        <v>200810</v>
      </c>
      <c r="K83" s="3">
        <v>6.2456460090361503</v>
      </c>
      <c r="M83" s="2">
        <v>200810</v>
      </c>
      <c r="N83">
        <v>6.2984570013993402</v>
      </c>
      <c r="P83" s="2">
        <v>200810</v>
      </c>
      <c r="Q83">
        <v>6.2885004859223201</v>
      </c>
    </row>
    <row r="84" spans="2:17">
      <c r="B84" s="1">
        <v>39692</v>
      </c>
      <c r="C84" s="3">
        <v>6.5355178388102804</v>
      </c>
      <c r="D84">
        <v>6.7459476407728403</v>
      </c>
      <c r="E84">
        <v>6.5796695332617396</v>
      </c>
      <c r="F84" s="3">
        <f t="shared" si="3"/>
        <v>-0.21042980196255989</v>
      </c>
      <c r="G84" s="3">
        <f t="shared" si="4"/>
        <v>-4.4151694451459278E-2</v>
      </c>
      <c r="H84" s="3">
        <f t="shared" si="5"/>
        <v>0.16627810751110061</v>
      </c>
      <c r="I84" s="3"/>
      <c r="J84" s="2">
        <v>200809</v>
      </c>
      <c r="K84" s="3">
        <v>6.5355178388102804</v>
      </c>
      <c r="M84" s="2">
        <v>200809</v>
      </c>
      <c r="N84">
        <v>6.7459476407728403</v>
      </c>
      <c r="P84" s="2">
        <v>200809</v>
      </c>
      <c r="Q84">
        <v>6.5796695332617396</v>
      </c>
    </row>
    <row r="85" spans="2:17">
      <c r="B85" s="1">
        <v>39661</v>
      </c>
      <c r="C85" s="3">
        <v>6.4314010904964398</v>
      </c>
      <c r="D85">
        <v>6.5921081026291599</v>
      </c>
      <c r="E85">
        <v>6.4049571964798897</v>
      </c>
      <c r="F85" s="3">
        <f t="shared" si="3"/>
        <v>-0.1607070121327201</v>
      </c>
      <c r="G85" s="3">
        <f t="shared" si="4"/>
        <v>2.6443894016550118E-2</v>
      </c>
      <c r="H85" s="3">
        <f t="shared" si="5"/>
        <v>0.18715090614927021</v>
      </c>
      <c r="I85" s="3"/>
      <c r="J85" s="2">
        <v>200808</v>
      </c>
      <c r="K85" s="3">
        <v>6.4314010904964398</v>
      </c>
      <c r="M85" s="2">
        <v>200808</v>
      </c>
      <c r="N85">
        <v>6.5921081026291599</v>
      </c>
      <c r="P85" s="2">
        <v>200808</v>
      </c>
      <c r="Q85">
        <v>6.4049571964798897</v>
      </c>
    </row>
    <row r="86" spans="2:17">
      <c r="B86" s="1">
        <v>39630</v>
      </c>
      <c r="C86" s="3">
        <v>6.1004102201736998</v>
      </c>
      <c r="D86">
        <v>6.5402375751912603</v>
      </c>
      <c r="E86">
        <v>6.1430418277638301</v>
      </c>
      <c r="F86" s="3">
        <f t="shared" si="3"/>
        <v>-0.43982735501756043</v>
      </c>
      <c r="G86" s="3">
        <f t="shared" si="4"/>
        <v>-4.2631607590130294E-2</v>
      </c>
      <c r="H86" s="3">
        <f t="shared" si="5"/>
        <v>0.39719574742743013</v>
      </c>
      <c r="I86" s="3"/>
      <c r="J86" s="2">
        <v>200807</v>
      </c>
      <c r="K86" s="3">
        <v>6.1004102201736998</v>
      </c>
      <c r="M86" s="2">
        <v>200807</v>
      </c>
      <c r="N86">
        <v>6.5402375751912603</v>
      </c>
      <c r="P86" s="2">
        <v>200807</v>
      </c>
      <c r="Q86">
        <v>6.1430418277638301</v>
      </c>
    </row>
    <row r="87" spans="2:17">
      <c r="B87" s="1">
        <v>39600</v>
      </c>
      <c r="C87" s="3">
        <v>5.98891735283466</v>
      </c>
      <c r="D87">
        <v>6.1998264338351703</v>
      </c>
      <c r="E87">
        <v>5.9986443845008903</v>
      </c>
      <c r="F87" s="3">
        <f t="shared" si="3"/>
        <v>-0.21090908100051031</v>
      </c>
      <c r="G87" s="3">
        <f t="shared" si="4"/>
        <v>-9.7270316662303458E-3</v>
      </c>
      <c r="H87" s="3">
        <f t="shared" si="5"/>
        <v>0.20118204933427997</v>
      </c>
      <c r="I87" s="3"/>
      <c r="J87" s="2">
        <v>200806</v>
      </c>
      <c r="K87" s="3">
        <v>5.98891735283466</v>
      </c>
      <c r="M87" s="2">
        <v>200806</v>
      </c>
      <c r="N87">
        <v>6.1998264338351703</v>
      </c>
      <c r="P87" s="2">
        <v>200806</v>
      </c>
      <c r="Q87">
        <v>5.9986443845008903</v>
      </c>
    </row>
    <row r="88" spans="2:17">
      <c r="B88" s="1">
        <v>39569</v>
      </c>
      <c r="C88" s="3">
        <v>5.9214234409106501</v>
      </c>
      <c r="D88">
        <v>6.0124717959694198</v>
      </c>
      <c r="E88">
        <v>5.8687923078410398</v>
      </c>
      <c r="F88" s="3">
        <f t="shared" si="3"/>
        <v>-9.1048355058769737E-2</v>
      </c>
      <c r="G88" s="3">
        <f t="shared" si="4"/>
        <v>5.2631133069610314E-2</v>
      </c>
      <c r="H88" s="3">
        <f t="shared" si="5"/>
        <v>0.14367948812838005</v>
      </c>
      <c r="I88" s="3"/>
      <c r="J88" s="2">
        <v>200805</v>
      </c>
      <c r="K88" s="3">
        <v>5.9214234409106501</v>
      </c>
      <c r="M88" s="2">
        <v>200805</v>
      </c>
      <c r="N88">
        <v>6.0124717959694198</v>
      </c>
      <c r="P88" s="2">
        <v>200805</v>
      </c>
      <c r="Q88">
        <v>5.8687923078410398</v>
      </c>
    </row>
    <row r="89" spans="2:17">
      <c r="B89" s="1">
        <v>39539</v>
      </c>
      <c r="C89" s="3">
        <v>5.8593603493655602</v>
      </c>
      <c r="D89">
        <v>6.0511932182297903</v>
      </c>
      <c r="E89">
        <v>5.8305726079826998</v>
      </c>
      <c r="F89" s="3">
        <f t="shared" si="3"/>
        <v>-0.19183286886423012</v>
      </c>
      <c r="G89" s="3">
        <f t="shared" si="4"/>
        <v>2.8787741382860332E-2</v>
      </c>
      <c r="H89" s="3">
        <f t="shared" si="5"/>
        <v>0.22062061024709045</v>
      </c>
      <c r="I89" s="3"/>
      <c r="J89" s="2">
        <v>200804</v>
      </c>
      <c r="K89" s="3">
        <v>5.8593603493655602</v>
      </c>
      <c r="M89" s="2">
        <v>200804</v>
      </c>
      <c r="N89">
        <v>6.0511932182297903</v>
      </c>
      <c r="P89" s="2">
        <v>200804</v>
      </c>
      <c r="Q89">
        <v>5.8305726079826998</v>
      </c>
    </row>
    <row r="90" spans="2:17">
      <c r="B90" s="1">
        <v>39508</v>
      </c>
      <c r="C90" s="3">
        <v>5.6774549356935502</v>
      </c>
      <c r="D90">
        <v>5.8839054724804196</v>
      </c>
      <c r="E90">
        <v>5.6320521780893502</v>
      </c>
      <c r="F90" s="3">
        <f t="shared" si="3"/>
        <v>-0.20645053678686942</v>
      </c>
      <c r="G90" s="3">
        <f t="shared" si="4"/>
        <v>4.5402757604199984E-2</v>
      </c>
      <c r="H90" s="3">
        <f t="shared" si="5"/>
        <v>0.2518532943910694</v>
      </c>
      <c r="I90" s="3"/>
      <c r="J90" s="2">
        <v>200803</v>
      </c>
      <c r="K90" s="3">
        <v>5.6774549356935502</v>
      </c>
      <c r="M90" s="2">
        <v>200803</v>
      </c>
      <c r="N90">
        <v>5.8839054724804196</v>
      </c>
      <c r="P90" s="2">
        <v>200803</v>
      </c>
      <c r="Q90">
        <v>5.6320521780893502</v>
      </c>
    </row>
    <row r="91" spans="2:17">
      <c r="B91" s="1">
        <v>39479</v>
      </c>
      <c r="C91" s="3">
        <v>5.96124626318593</v>
      </c>
      <c r="D91">
        <v>6.1525795590864298</v>
      </c>
      <c r="E91">
        <v>5.9631281330525399</v>
      </c>
      <c r="F91" s="3">
        <f t="shared" si="3"/>
        <v>-0.19133329590049986</v>
      </c>
      <c r="G91" s="3">
        <f t="shared" si="4"/>
        <v>-1.8818698666098754E-3</v>
      </c>
      <c r="H91" s="3">
        <f t="shared" si="5"/>
        <v>0.18945142603388998</v>
      </c>
      <c r="I91" s="3"/>
      <c r="J91" s="2">
        <v>200802</v>
      </c>
      <c r="K91" s="3">
        <v>5.96124626318593</v>
      </c>
      <c r="M91" s="2">
        <v>200802</v>
      </c>
      <c r="N91">
        <v>6.1525795590864298</v>
      </c>
      <c r="P91" s="2">
        <v>200802</v>
      </c>
      <c r="Q91">
        <v>5.9631281330525399</v>
      </c>
    </row>
    <row r="92" spans="2:17">
      <c r="B92" s="1">
        <v>39448</v>
      </c>
      <c r="C92" s="3">
        <v>6.1706702499858102</v>
      </c>
      <c r="D92">
        <v>6.3236240497238896</v>
      </c>
      <c r="E92">
        <v>6.2211216471743302</v>
      </c>
      <c r="F92" s="3">
        <f t="shared" si="3"/>
        <v>-0.15295379973807943</v>
      </c>
      <c r="G92" s="3">
        <f t="shared" si="4"/>
        <v>-5.0451397188520097E-2</v>
      </c>
      <c r="H92" s="3">
        <f t="shared" si="5"/>
        <v>0.10250240254955933</v>
      </c>
      <c r="I92" s="3"/>
      <c r="J92" s="2">
        <v>200801</v>
      </c>
      <c r="K92" s="3">
        <v>6.1706702499858102</v>
      </c>
      <c r="M92" s="2">
        <v>200801</v>
      </c>
      <c r="N92">
        <v>6.3236240497238896</v>
      </c>
      <c r="P92" s="2">
        <v>200801</v>
      </c>
      <c r="Q92">
        <v>6.2211216471743302</v>
      </c>
    </row>
    <row r="93" spans="2:17">
      <c r="B93" s="1">
        <v>39417</v>
      </c>
      <c r="C93" s="3">
        <v>6.3807504989555497</v>
      </c>
      <c r="D93">
        <v>6.5419578960804401</v>
      </c>
      <c r="E93">
        <v>6.37529055979177</v>
      </c>
      <c r="F93" s="3">
        <f t="shared" si="3"/>
        <v>-0.16120739712489041</v>
      </c>
      <c r="G93" s="3">
        <f t="shared" si="4"/>
        <v>5.4599391637797368E-3</v>
      </c>
      <c r="H93" s="3">
        <f t="shared" si="5"/>
        <v>0.16666733628867014</v>
      </c>
      <c r="I93" s="3"/>
      <c r="J93" s="2">
        <v>200712</v>
      </c>
      <c r="K93" s="3">
        <v>6.3807504989555497</v>
      </c>
      <c r="M93" s="2">
        <v>200712</v>
      </c>
      <c r="N93">
        <v>6.5419578960804401</v>
      </c>
      <c r="P93" s="2">
        <v>200712</v>
      </c>
      <c r="Q93">
        <v>6.37529055979177</v>
      </c>
    </row>
    <row r="94" spans="2:17">
      <c r="B94" s="1">
        <v>39387</v>
      </c>
      <c r="C94" s="3">
        <v>6.4629494406595498</v>
      </c>
      <c r="D94">
        <v>6.5326813936650199</v>
      </c>
      <c r="E94">
        <v>6.4713703597448102</v>
      </c>
      <c r="F94" s="3">
        <f t="shared" si="3"/>
        <v>-6.9731953005470082E-2</v>
      </c>
      <c r="G94" s="3">
        <f t="shared" si="4"/>
        <v>-8.4209190852604365E-3</v>
      </c>
      <c r="H94" s="3">
        <f t="shared" si="5"/>
        <v>6.1311033920209645E-2</v>
      </c>
      <c r="I94" s="3"/>
      <c r="J94" s="2">
        <v>200711</v>
      </c>
      <c r="K94" s="3">
        <v>6.4629494406595498</v>
      </c>
      <c r="M94" s="2">
        <v>200711</v>
      </c>
      <c r="N94">
        <v>6.5326813936650199</v>
      </c>
      <c r="P94" s="2">
        <v>200711</v>
      </c>
      <c r="Q94">
        <v>6.4713703597448102</v>
      </c>
    </row>
    <row r="95" spans="2:17">
      <c r="B95" s="1">
        <v>39356</v>
      </c>
      <c r="C95" s="3">
        <v>6.5855148290350298</v>
      </c>
      <c r="D95">
        <v>6.5922320771070098</v>
      </c>
      <c r="E95">
        <v>6.5607079511412003</v>
      </c>
      <c r="F95" s="3">
        <f t="shared" si="3"/>
        <v>-6.717248071979931E-3</v>
      </c>
      <c r="G95" s="3">
        <f t="shared" si="4"/>
        <v>2.4806877893829515E-2</v>
      </c>
      <c r="H95" s="3">
        <f t="shared" si="5"/>
        <v>3.1524125965809446E-2</v>
      </c>
      <c r="I95" s="3"/>
      <c r="J95" s="2">
        <v>200710</v>
      </c>
      <c r="K95" s="3">
        <v>6.5855148290350298</v>
      </c>
      <c r="M95" s="2">
        <v>200710</v>
      </c>
      <c r="N95">
        <v>6.5922320771070098</v>
      </c>
      <c r="P95" s="2">
        <v>200710</v>
      </c>
      <c r="Q95">
        <v>6.5607079511412003</v>
      </c>
    </row>
    <row r="96" spans="2:17">
      <c r="B96" s="1">
        <v>39326</v>
      </c>
      <c r="C96" s="3">
        <v>6.6988807648541302</v>
      </c>
      <c r="D96">
        <v>6.8671682503521998</v>
      </c>
      <c r="E96">
        <v>6.7563362828491798</v>
      </c>
      <c r="F96" s="3">
        <f t="shared" si="3"/>
        <v>-0.1682874854980696</v>
      </c>
      <c r="G96" s="3">
        <f t="shared" si="4"/>
        <v>-5.7455517995049554E-2</v>
      </c>
      <c r="H96" s="3">
        <f t="shared" si="5"/>
        <v>0.11083196750302005</v>
      </c>
      <c r="I96" s="3"/>
      <c r="J96" s="2">
        <v>200709</v>
      </c>
      <c r="K96" s="3">
        <v>6.6988807648541302</v>
      </c>
      <c r="M96" s="2">
        <v>200709</v>
      </c>
      <c r="N96">
        <v>6.8671682503521998</v>
      </c>
      <c r="P96" s="2">
        <v>200709</v>
      </c>
      <c r="Q96">
        <v>6.7563362828491798</v>
      </c>
    </row>
    <row r="97" spans="2:17">
      <c r="B97" s="1">
        <v>39295</v>
      </c>
      <c r="C97" s="3">
        <v>6.6904439765656996</v>
      </c>
      <c r="D97">
        <v>6.8104848375659897</v>
      </c>
      <c r="E97">
        <v>6.73193917192825</v>
      </c>
      <c r="F97" s="3">
        <f t="shared" si="3"/>
        <v>-0.1200408610002901</v>
      </c>
      <c r="G97" s="3">
        <f t="shared" si="4"/>
        <v>-4.1495195362550419E-2</v>
      </c>
      <c r="H97" s="3">
        <f t="shared" si="5"/>
        <v>7.8545665637739681E-2</v>
      </c>
      <c r="I97" s="3"/>
      <c r="J97" s="2">
        <v>200708</v>
      </c>
      <c r="K97" s="3">
        <v>6.6904439765656996</v>
      </c>
      <c r="M97" s="2">
        <v>200708</v>
      </c>
      <c r="N97">
        <v>6.8104848375659897</v>
      </c>
      <c r="P97" s="2">
        <v>200708</v>
      </c>
      <c r="Q97">
        <v>6.73193917192825</v>
      </c>
    </row>
    <row r="98" spans="2:17">
      <c r="B98" s="1">
        <v>39264</v>
      </c>
      <c r="C98" s="3">
        <v>6.4359670110133198</v>
      </c>
      <c r="D98">
        <v>6.4979813148674603</v>
      </c>
      <c r="E98">
        <v>6.4563831381258003</v>
      </c>
      <c r="F98" s="3">
        <f t="shared" si="3"/>
        <v>-6.2014303854140529E-2</v>
      </c>
      <c r="G98" s="3">
        <f t="shared" si="4"/>
        <v>-2.0416127112480531E-2</v>
      </c>
      <c r="H98" s="3">
        <f t="shared" si="5"/>
        <v>4.1598176741659998E-2</v>
      </c>
      <c r="I98" s="3"/>
      <c r="J98" s="2">
        <v>200707</v>
      </c>
      <c r="K98" s="3">
        <v>6.4359670110133198</v>
      </c>
      <c r="M98" s="2">
        <v>200707</v>
      </c>
      <c r="N98">
        <v>6.4979813148674603</v>
      </c>
      <c r="P98" s="2">
        <v>200707</v>
      </c>
      <c r="Q98">
        <v>6.4563831381258003</v>
      </c>
    </row>
    <row r="99" spans="2:17">
      <c r="B99" s="1">
        <v>39234</v>
      </c>
      <c r="C99" s="3">
        <v>6.30297641601903</v>
      </c>
      <c r="D99">
        <v>6.4143247060261501</v>
      </c>
      <c r="E99">
        <v>6.2726375714784197</v>
      </c>
      <c r="F99" s="3">
        <f t="shared" si="3"/>
        <v>-0.1113482900071201</v>
      </c>
      <c r="G99" s="3">
        <f t="shared" si="4"/>
        <v>3.033884454061031E-2</v>
      </c>
      <c r="H99" s="3">
        <f t="shared" si="5"/>
        <v>0.14168713454773041</v>
      </c>
      <c r="I99" s="3"/>
      <c r="J99" s="2">
        <v>200706</v>
      </c>
      <c r="K99" s="3">
        <v>6.30297641601903</v>
      </c>
      <c r="M99" s="2">
        <v>200706</v>
      </c>
      <c r="N99">
        <v>6.4143247060261501</v>
      </c>
      <c r="P99" s="2">
        <v>200706</v>
      </c>
      <c r="Q99">
        <v>6.2726375714784197</v>
      </c>
    </row>
    <row r="100" spans="2:17">
      <c r="B100" s="1">
        <v>39203</v>
      </c>
      <c r="C100" s="3">
        <v>6.2375534711443903</v>
      </c>
      <c r="D100">
        <v>6.22618743698931</v>
      </c>
      <c r="E100">
        <v>6.2288502619522497</v>
      </c>
      <c r="F100" s="3">
        <f t="shared" si="3"/>
        <v>1.1366034155080307E-2</v>
      </c>
      <c r="G100" s="3">
        <f t="shared" si="4"/>
        <v>8.7032091921406263E-3</v>
      </c>
      <c r="H100" s="3">
        <f t="shared" si="5"/>
        <v>-2.6628249629396805E-3</v>
      </c>
      <c r="I100" s="3"/>
      <c r="J100" s="2">
        <v>200705</v>
      </c>
      <c r="K100" s="3">
        <v>6.2375534711443903</v>
      </c>
      <c r="M100" s="2">
        <v>200705</v>
      </c>
      <c r="N100">
        <v>6.22618743698931</v>
      </c>
      <c r="P100" s="2">
        <v>200705</v>
      </c>
      <c r="Q100">
        <v>6.2288502619522497</v>
      </c>
    </row>
    <row r="101" spans="2:17">
      <c r="B101" s="1">
        <v>39173</v>
      </c>
      <c r="C101" s="3">
        <v>6.24062133219907</v>
      </c>
      <c r="D101">
        <v>6.4334231965352098</v>
      </c>
      <c r="E101">
        <v>6.2939282501260703</v>
      </c>
      <c r="F101" s="3">
        <f t="shared" si="3"/>
        <v>-0.19280186433613977</v>
      </c>
      <c r="G101" s="3">
        <f t="shared" si="4"/>
        <v>-5.3306917927000264E-2</v>
      </c>
      <c r="H101" s="3">
        <f t="shared" si="5"/>
        <v>0.13949494640913951</v>
      </c>
      <c r="I101" s="3"/>
      <c r="J101" s="2">
        <v>200704</v>
      </c>
      <c r="K101" s="3">
        <v>6.24062133219907</v>
      </c>
      <c r="M101" s="2">
        <v>200704</v>
      </c>
      <c r="N101">
        <v>6.4334231965352098</v>
      </c>
      <c r="P101" s="2">
        <v>200704</v>
      </c>
      <c r="Q101">
        <v>6.2939282501260703</v>
      </c>
    </row>
    <row r="102" spans="2:17">
      <c r="B102" s="1">
        <v>39142</v>
      </c>
      <c r="C102" s="3">
        <v>6.3331205291355799</v>
      </c>
      <c r="D102">
        <v>6.4439434928325099</v>
      </c>
      <c r="E102">
        <v>6.3260237800472501</v>
      </c>
      <c r="F102" s="3">
        <f t="shared" si="3"/>
        <v>-0.11082296369693001</v>
      </c>
      <c r="G102" s="3">
        <f t="shared" si="4"/>
        <v>7.0967490883298012E-3</v>
      </c>
      <c r="H102" s="3">
        <f t="shared" si="5"/>
        <v>0.11791971278525981</v>
      </c>
      <c r="I102" s="3"/>
      <c r="J102" s="2">
        <v>200703</v>
      </c>
      <c r="K102" s="3">
        <v>6.3331205291355799</v>
      </c>
      <c r="M102" s="2">
        <v>200703</v>
      </c>
      <c r="N102">
        <v>6.4439434928325099</v>
      </c>
      <c r="P102" s="2">
        <v>200703</v>
      </c>
      <c r="Q102">
        <v>6.3260237800472501</v>
      </c>
    </row>
    <row r="103" spans="2:17">
      <c r="B103" s="1">
        <v>39114</v>
      </c>
      <c r="C103" s="3">
        <v>6.2032527957600498</v>
      </c>
      <c r="D103">
        <v>6.3940170882414202</v>
      </c>
      <c r="E103">
        <v>6.2365863480721897</v>
      </c>
      <c r="F103" s="3">
        <f t="shared" si="3"/>
        <v>-0.19076429248137039</v>
      </c>
      <c r="G103" s="3">
        <f t="shared" si="4"/>
        <v>-3.3333552312139858E-2</v>
      </c>
      <c r="H103" s="3">
        <f t="shared" si="5"/>
        <v>0.15743074016923053</v>
      </c>
      <c r="I103" s="3"/>
      <c r="J103" s="2">
        <v>200702</v>
      </c>
      <c r="K103" s="3">
        <v>6.2032527957600498</v>
      </c>
      <c r="M103" s="2">
        <v>200702</v>
      </c>
      <c r="N103">
        <v>6.3940170882414202</v>
      </c>
      <c r="P103" s="2">
        <v>200702</v>
      </c>
      <c r="Q103">
        <v>6.2365863480721897</v>
      </c>
    </row>
    <row r="104" spans="2:17">
      <c r="B104" s="1">
        <v>39083</v>
      </c>
      <c r="C104" s="3">
        <v>6.1960025322102901</v>
      </c>
      <c r="D104">
        <v>6.4370531580450798</v>
      </c>
      <c r="E104">
        <v>6.2464346999429301</v>
      </c>
      <c r="F104" s="3">
        <f t="shared" si="3"/>
        <v>-0.24105062583478976</v>
      </c>
      <c r="G104" s="3">
        <f t="shared" si="4"/>
        <v>-5.0432167732640032E-2</v>
      </c>
      <c r="H104" s="3">
        <f t="shared" si="5"/>
        <v>0.19061845810214972</v>
      </c>
      <c r="I104" s="3"/>
      <c r="J104" s="2">
        <v>200701</v>
      </c>
      <c r="K104" s="3">
        <v>6.1960025322102901</v>
      </c>
      <c r="M104" s="2">
        <v>200701</v>
      </c>
      <c r="N104">
        <v>6.4370531580450798</v>
      </c>
      <c r="P104" s="2">
        <v>200701</v>
      </c>
      <c r="Q104">
        <v>6.2464346999429301</v>
      </c>
    </row>
    <row r="105" spans="2:17">
      <c r="B105" s="1">
        <v>39052</v>
      </c>
      <c r="C105" s="3">
        <v>6.3501989598221602</v>
      </c>
      <c r="D105">
        <v>6.6467822738161901</v>
      </c>
      <c r="E105">
        <v>6.4361105389338302</v>
      </c>
      <c r="F105" s="3">
        <f t="shared" si="3"/>
        <v>-0.29658331399402993</v>
      </c>
      <c r="G105" s="3">
        <f t="shared" si="4"/>
        <v>-8.5911579111670022E-2</v>
      </c>
      <c r="H105" s="3">
        <f t="shared" si="5"/>
        <v>0.21067173488235991</v>
      </c>
      <c r="I105" s="3"/>
      <c r="J105" s="2">
        <v>200612</v>
      </c>
      <c r="K105" s="3">
        <v>6.3501989598221602</v>
      </c>
      <c r="M105" s="2">
        <v>200612</v>
      </c>
      <c r="N105">
        <v>6.6467822738161901</v>
      </c>
      <c r="P105" s="2">
        <v>200612</v>
      </c>
      <c r="Q105">
        <v>6.4361105389338302</v>
      </c>
    </row>
    <row r="106" spans="2:17">
      <c r="B106" s="1">
        <v>39022</v>
      </c>
      <c r="C106" s="3">
        <v>6.4103828987463602</v>
      </c>
      <c r="D106">
        <v>6.5840078627310197</v>
      </c>
      <c r="E106">
        <v>6.4756272655495097</v>
      </c>
      <c r="F106" s="3">
        <f t="shared" si="3"/>
        <v>-0.17362496398465943</v>
      </c>
      <c r="G106" s="3">
        <f t="shared" si="4"/>
        <v>-6.5244366803149489E-2</v>
      </c>
      <c r="H106" s="3">
        <f t="shared" si="5"/>
        <v>0.10838059718150994</v>
      </c>
      <c r="I106" s="3"/>
      <c r="J106" s="2">
        <v>200611</v>
      </c>
      <c r="K106" s="3">
        <v>6.4103828987463602</v>
      </c>
      <c r="M106" s="2">
        <v>200611</v>
      </c>
      <c r="N106">
        <v>6.5840078627310197</v>
      </c>
      <c r="P106" s="2">
        <v>200611</v>
      </c>
      <c r="Q106">
        <v>6.4756272655495097</v>
      </c>
    </row>
    <row r="107" spans="2:17">
      <c r="B107" s="1">
        <v>38991</v>
      </c>
      <c r="C107" s="3">
        <v>6.5457026899159203</v>
      </c>
      <c r="D107">
        <v>6.7087147982617497</v>
      </c>
      <c r="E107">
        <v>6.5604863372519802</v>
      </c>
      <c r="F107" s="3">
        <f t="shared" si="3"/>
        <v>-0.16301210834582935</v>
      </c>
      <c r="G107" s="3">
        <f t="shared" si="4"/>
        <v>-1.4783647336059857E-2</v>
      </c>
      <c r="H107" s="3">
        <f t="shared" si="5"/>
        <v>0.1482284610097695</v>
      </c>
      <c r="I107" s="3"/>
      <c r="J107" s="2">
        <v>200610</v>
      </c>
      <c r="K107" s="3">
        <v>6.5457026899159203</v>
      </c>
      <c r="M107" s="2">
        <v>200610</v>
      </c>
      <c r="N107">
        <v>6.7087147982617497</v>
      </c>
      <c r="P107" s="2">
        <v>200610</v>
      </c>
      <c r="Q107">
        <v>6.5604863372519802</v>
      </c>
    </row>
    <row r="108" spans="2:17">
      <c r="B108" s="1">
        <v>38961</v>
      </c>
      <c r="C108" s="3">
        <v>6.7407898203938998</v>
      </c>
      <c r="D108">
        <v>6.87626346587773</v>
      </c>
      <c r="E108">
        <v>6.7492942628745398</v>
      </c>
      <c r="F108" s="3">
        <f t="shared" si="3"/>
        <v>-0.13547364548383012</v>
      </c>
      <c r="G108" s="3">
        <f t="shared" si="4"/>
        <v>-8.5044424806399732E-3</v>
      </c>
      <c r="H108" s="3">
        <f t="shared" si="5"/>
        <v>0.12696920300319015</v>
      </c>
      <c r="I108" s="3"/>
      <c r="J108" s="2">
        <v>200609</v>
      </c>
      <c r="K108" s="3">
        <v>6.7407898203938998</v>
      </c>
      <c r="M108" s="2">
        <v>200609</v>
      </c>
      <c r="N108">
        <v>6.87626346587773</v>
      </c>
      <c r="P108" s="2">
        <v>200609</v>
      </c>
      <c r="Q108">
        <v>6.7492942628745398</v>
      </c>
    </row>
    <row r="109" spans="2:17">
      <c r="B109" s="1">
        <v>38930</v>
      </c>
      <c r="C109" s="3">
        <v>6.81084447131704</v>
      </c>
      <c r="D109">
        <v>6.9880494808924203</v>
      </c>
      <c r="E109">
        <v>6.8092830566186198</v>
      </c>
      <c r="F109" s="3">
        <f t="shared" si="3"/>
        <v>-0.17720500957538032</v>
      </c>
      <c r="G109" s="3">
        <f t="shared" si="4"/>
        <v>1.5614146984201938E-3</v>
      </c>
      <c r="H109" s="3">
        <f t="shared" si="5"/>
        <v>0.17876642427380052</v>
      </c>
      <c r="I109" s="3"/>
      <c r="J109" s="2">
        <v>200608</v>
      </c>
      <c r="K109" s="3">
        <v>6.81084447131704</v>
      </c>
      <c r="M109" s="2">
        <v>200608</v>
      </c>
      <c r="N109">
        <v>6.9880494808924203</v>
      </c>
      <c r="P109" s="2">
        <v>200608</v>
      </c>
      <c r="Q109">
        <v>6.8092830566186198</v>
      </c>
    </row>
    <row r="110" spans="2:17">
      <c r="B110" s="1">
        <v>38899</v>
      </c>
      <c r="C110" s="3">
        <v>6.7286751315940201</v>
      </c>
      <c r="D110">
        <v>6.8033105084861996</v>
      </c>
      <c r="E110">
        <v>6.7489460153022502</v>
      </c>
      <c r="F110" s="3">
        <f t="shared" si="3"/>
        <v>-7.4635376892179472E-2</v>
      </c>
      <c r="G110" s="3">
        <f t="shared" si="4"/>
        <v>-2.0270883708230159E-2</v>
      </c>
      <c r="H110" s="3">
        <f t="shared" si="5"/>
        <v>5.4364493183949314E-2</v>
      </c>
      <c r="I110" s="3"/>
      <c r="J110" s="2">
        <v>200607</v>
      </c>
      <c r="K110" s="3">
        <v>6.7286751315940201</v>
      </c>
      <c r="M110" s="2">
        <v>200607</v>
      </c>
      <c r="N110">
        <v>6.8033105084861996</v>
      </c>
      <c r="P110" s="2">
        <v>200607</v>
      </c>
      <c r="Q110">
        <v>6.7489460153022502</v>
      </c>
    </row>
    <row r="111" spans="2:17">
      <c r="B111" s="1">
        <v>38869</v>
      </c>
      <c r="C111" s="3">
        <v>6.6317112999052696</v>
      </c>
      <c r="D111">
        <v>6.7871632950559997</v>
      </c>
      <c r="E111">
        <v>6.6436305483580496</v>
      </c>
      <c r="F111" s="3">
        <f t="shared" si="3"/>
        <v>-0.15545199515073005</v>
      </c>
      <c r="G111" s="3">
        <f t="shared" si="4"/>
        <v>-1.1919248452779918E-2</v>
      </c>
      <c r="H111" s="3">
        <f t="shared" si="5"/>
        <v>0.14353274669795013</v>
      </c>
      <c r="I111" s="3"/>
      <c r="J111" s="2">
        <v>200606</v>
      </c>
      <c r="K111" s="3">
        <v>6.6317112999052696</v>
      </c>
      <c r="M111" s="2">
        <v>200606</v>
      </c>
      <c r="N111">
        <v>6.7871632950559997</v>
      </c>
      <c r="P111" s="2">
        <v>200606</v>
      </c>
      <c r="Q111">
        <v>6.6436305483580496</v>
      </c>
    </row>
    <row r="112" spans="2:17">
      <c r="B112" s="1">
        <v>38838</v>
      </c>
      <c r="C112" s="3">
        <v>6.4424045461078103</v>
      </c>
      <c r="D112">
        <v>6.7242127375529996</v>
      </c>
      <c r="E112">
        <v>6.4804317514348604</v>
      </c>
      <c r="F112" s="3">
        <f t="shared" si="3"/>
        <v>-0.28180819144518932</v>
      </c>
      <c r="G112" s="3">
        <f t="shared" si="4"/>
        <v>-3.8027205327050062E-2</v>
      </c>
      <c r="H112" s="3">
        <f t="shared" si="5"/>
        <v>0.24378098611813925</v>
      </c>
      <c r="I112" s="3"/>
      <c r="J112" s="2">
        <v>200605</v>
      </c>
      <c r="K112" s="3">
        <v>6.4424045461078103</v>
      </c>
      <c r="M112" s="2">
        <v>200605</v>
      </c>
      <c r="N112">
        <v>6.7242127375529996</v>
      </c>
      <c r="P112" s="2">
        <v>200605</v>
      </c>
      <c r="Q112">
        <v>6.4804317514348604</v>
      </c>
    </row>
    <row r="113" spans="2:17">
      <c r="B113" s="1">
        <v>38808</v>
      </c>
      <c r="C113" s="3">
        <v>6.33463422080737</v>
      </c>
      <c r="D113">
        <v>6.5950219310896498</v>
      </c>
      <c r="E113">
        <v>6.3743951557948098</v>
      </c>
      <c r="F113" s="3">
        <f t="shared" si="3"/>
        <v>-0.26038771028227981</v>
      </c>
      <c r="G113" s="3">
        <f t="shared" si="4"/>
        <v>-3.9760934987439711E-2</v>
      </c>
      <c r="H113" s="3">
        <f t="shared" si="5"/>
        <v>0.22062677529484009</v>
      </c>
      <c r="I113" s="3"/>
      <c r="J113" s="2">
        <v>200604</v>
      </c>
      <c r="K113" s="3">
        <v>6.33463422080737</v>
      </c>
      <c r="M113" s="2">
        <v>200604</v>
      </c>
      <c r="N113">
        <v>6.5950219310896498</v>
      </c>
      <c r="P113" s="2">
        <v>200604</v>
      </c>
      <c r="Q113">
        <v>6.3743951557948098</v>
      </c>
    </row>
    <row r="114" spans="2:17">
      <c r="B114" s="1">
        <v>38777</v>
      </c>
      <c r="C114" s="3">
        <v>6.2517764706958401</v>
      </c>
      <c r="D114">
        <v>6.5311291637044597</v>
      </c>
      <c r="E114">
        <v>6.33195188933444</v>
      </c>
      <c r="F114" s="3">
        <f t="shared" si="3"/>
        <v>-0.27935269300861965</v>
      </c>
      <c r="G114" s="3">
        <f t="shared" si="4"/>
        <v>-8.0175418638599893E-2</v>
      </c>
      <c r="H114" s="3">
        <f t="shared" si="5"/>
        <v>0.19917727437001975</v>
      </c>
      <c r="I114" s="3"/>
      <c r="J114" s="2">
        <v>200603</v>
      </c>
      <c r="K114" s="3">
        <v>6.2517764706958401</v>
      </c>
      <c r="M114" s="2">
        <v>200603</v>
      </c>
      <c r="N114">
        <v>6.5311291637044597</v>
      </c>
      <c r="P114" s="2">
        <v>200603</v>
      </c>
      <c r="Q114">
        <v>6.33195188933444</v>
      </c>
    </row>
    <row r="115" spans="2:17">
      <c r="B115" s="1">
        <v>38749</v>
      </c>
      <c r="C115" s="3">
        <v>6.26072411805806</v>
      </c>
      <c r="D115">
        <v>6.5243556051883598</v>
      </c>
      <c r="E115">
        <v>6.3116811213810102</v>
      </c>
      <c r="F115" s="3">
        <f t="shared" si="3"/>
        <v>-0.26363148713029982</v>
      </c>
      <c r="G115" s="3">
        <f t="shared" si="4"/>
        <v>-5.0957003322950278E-2</v>
      </c>
      <c r="H115" s="3">
        <f t="shared" si="5"/>
        <v>0.21267448380734955</v>
      </c>
      <c r="I115" s="3"/>
      <c r="J115" s="2">
        <v>200602</v>
      </c>
      <c r="K115" s="3">
        <v>6.26072411805806</v>
      </c>
      <c r="M115" s="2">
        <v>200602</v>
      </c>
      <c r="N115">
        <v>6.5243556051883598</v>
      </c>
      <c r="P115" s="2">
        <v>200602</v>
      </c>
      <c r="Q115">
        <v>6.3116811213810102</v>
      </c>
    </row>
    <row r="116" spans="2:17">
      <c r="B116" s="1">
        <v>38718</v>
      </c>
      <c r="C116" s="3">
        <v>6.3457197858094201</v>
      </c>
      <c r="D116">
        <v>6.6992419826455896</v>
      </c>
      <c r="E116">
        <v>6.3628324641039598</v>
      </c>
      <c r="F116" s="3">
        <f t="shared" si="3"/>
        <v>-0.35352219683616948</v>
      </c>
      <c r="G116" s="3">
        <f t="shared" si="4"/>
        <v>-1.7112678294539663E-2</v>
      </c>
      <c r="H116" s="3">
        <f t="shared" si="5"/>
        <v>0.33640951854162982</v>
      </c>
      <c r="I116" s="3"/>
      <c r="J116" s="2">
        <v>200601</v>
      </c>
      <c r="K116" s="3">
        <v>6.3457197858094201</v>
      </c>
      <c r="M116" s="2">
        <v>200601</v>
      </c>
      <c r="N116">
        <v>6.6992419826455896</v>
      </c>
      <c r="P116" s="2">
        <v>200601</v>
      </c>
      <c r="Q116">
        <v>6.3628324641039598</v>
      </c>
    </row>
    <row r="117" spans="2:17">
      <c r="B117" s="1">
        <v>38687</v>
      </c>
      <c r="C117" s="3">
        <v>6.1701049682385101</v>
      </c>
      <c r="D117">
        <v>6.4398390662426701</v>
      </c>
      <c r="E117">
        <v>6.1565698680312897</v>
      </c>
      <c r="F117" s="3">
        <f t="shared" si="3"/>
        <v>-0.26973409800416004</v>
      </c>
      <c r="G117" s="3">
        <f t="shared" si="4"/>
        <v>1.3535100207220374E-2</v>
      </c>
      <c r="H117" s="3">
        <f t="shared" si="5"/>
        <v>0.28326919821138041</v>
      </c>
      <c r="I117" s="3"/>
      <c r="J117" s="2">
        <v>200512</v>
      </c>
      <c r="K117" s="3">
        <v>6.1701049682385101</v>
      </c>
      <c r="M117" s="2">
        <v>200512</v>
      </c>
      <c r="N117">
        <v>6.4398390662426701</v>
      </c>
      <c r="P117" s="2">
        <v>200512</v>
      </c>
      <c r="Q117">
        <v>6.1565698680312897</v>
      </c>
    </row>
    <row r="118" spans="2:17">
      <c r="B118" s="1">
        <v>38657</v>
      </c>
      <c r="C118" s="3">
        <v>5.9335548859716498</v>
      </c>
      <c r="D118">
        <v>6.0168050603756402</v>
      </c>
      <c r="E118">
        <v>5.9572198059773998</v>
      </c>
      <c r="F118" s="3">
        <f t="shared" si="3"/>
        <v>-8.3250174403990407E-2</v>
      </c>
      <c r="G118" s="3">
        <f t="shared" si="4"/>
        <v>-2.3664920005749934E-2</v>
      </c>
      <c r="H118" s="3">
        <f t="shared" si="5"/>
        <v>5.9585254398240473E-2</v>
      </c>
      <c r="I118" s="3"/>
      <c r="J118" s="2">
        <v>200511</v>
      </c>
      <c r="K118" s="3">
        <v>5.9335548859716498</v>
      </c>
      <c r="M118" s="2">
        <v>200511</v>
      </c>
      <c r="N118">
        <v>6.0168050603756402</v>
      </c>
      <c r="P118" s="2">
        <v>200511</v>
      </c>
      <c r="Q118">
        <v>5.9572198059773998</v>
      </c>
    </row>
    <row r="119" spans="2:17">
      <c r="B119" s="1">
        <v>38626</v>
      </c>
      <c r="C119" s="3">
        <v>5.8721684941883998</v>
      </c>
      <c r="D119">
        <v>6.1644990759963996</v>
      </c>
      <c r="E119">
        <v>5.9013831029193904</v>
      </c>
      <c r="F119" s="3">
        <f t="shared" si="3"/>
        <v>-0.29233058180799976</v>
      </c>
      <c r="G119" s="3">
        <f t="shared" si="4"/>
        <v>-2.9214608730990577E-2</v>
      </c>
      <c r="H119" s="3">
        <f t="shared" si="5"/>
        <v>0.26311597307700918</v>
      </c>
      <c r="I119" s="3"/>
      <c r="J119" s="2">
        <v>200510</v>
      </c>
      <c r="K119" s="3">
        <v>5.8721684941883998</v>
      </c>
      <c r="M119" s="2">
        <v>200510</v>
      </c>
      <c r="N119">
        <v>6.1644990759963996</v>
      </c>
      <c r="P119" s="2">
        <v>200510</v>
      </c>
      <c r="Q119">
        <v>5.9013831029193904</v>
      </c>
    </row>
    <row r="120" spans="2:17">
      <c r="B120" s="1">
        <v>38596</v>
      </c>
      <c r="C120" s="3">
        <v>5.8167964902504403</v>
      </c>
      <c r="D120">
        <v>6.0967228769349804</v>
      </c>
      <c r="E120">
        <v>5.8503919933745401</v>
      </c>
      <c r="F120" s="3">
        <f t="shared" si="3"/>
        <v>-0.27992638668454006</v>
      </c>
      <c r="G120" s="3">
        <f t="shared" si="4"/>
        <v>-3.3595503124099757E-2</v>
      </c>
      <c r="H120" s="3">
        <f t="shared" si="5"/>
        <v>0.24633088356044031</v>
      </c>
      <c r="I120" s="3"/>
      <c r="J120" s="2">
        <v>200509</v>
      </c>
      <c r="K120" s="3">
        <v>5.8167964902504403</v>
      </c>
      <c r="M120" s="2">
        <v>200509</v>
      </c>
      <c r="N120">
        <v>6.0967228769349804</v>
      </c>
      <c r="P120" s="2">
        <v>200509</v>
      </c>
      <c r="Q120">
        <v>5.8503919933745401</v>
      </c>
    </row>
    <row r="121" spans="2:17">
      <c r="B121" s="1">
        <v>38565</v>
      </c>
      <c r="C121" s="3">
        <v>5.6977160723951297</v>
      </c>
      <c r="D121">
        <v>5.9893608987974698</v>
      </c>
      <c r="E121">
        <v>5.7074410882309099</v>
      </c>
      <c r="F121" s="3">
        <f t="shared" si="3"/>
        <v>-0.29164482640234013</v>
      </c>
      <c r="G121" s="3">
        <f t="shared" si="4"/>
        <v>-9.7250158357802263E-3</v>
      </c>
      <c r="H121" s="3">
        <f t="shared" si="5"/>
        <v>0.2819198105665599</v>
      </c>
      <c r="I121" s="3"/>
      <c r="J121" s="2">
        <v>200508</v>
      </c>
      <c r="K121" s="3">
        <v>5.6977160723951297</v>
      </c>
      <c r="M121" s="2">
        <v>200508</v>
      </c>
      <c r="N121">
        <v>5.9893608987974698</v>
      </c>
      <c r="P121" s="2">
        <v>200508</v>
      </c>
      <c r="Q121">
        <v>5.7074410882309099</v>
      </c>
    </row>
    <row r="122" spans="2:17">
      <c r="B122" s="1">
        <v>38534</v>
      </c>
      <c r="C122" s="3">
        <v>5.7299360729962299</v>
      </c>
      <c r="D122">
        <v>5.9383249305757397</v>
      </c>
      <c r="E122">
        <v>5.7548084648573399</v>
      </c>
      <c r="F122" s="3">
        <f t="shared" si="3"/>
        <v>-0.20838885757950987</v>
      </c>
      <c r="G122" s="3">
        <f t="shared" si="4"/>
        <v>-2.487239186111001E-2</v>
      </c>
      <c r="H122" s="3">
        <f t="shared" si="5"/>
        <v>0.18351646571839986</v>
      </c>
      <c r="I122" s="3"/>
      <c r="J122" s="2">
        <v>200507</v>
      </c>
      <c r="K122" s="3">
        <v>5.7299360729962299</v>
      </c>
      <c r="M122" s="2">
        <v>200507</v>
      </c>
      <c r="N122">
        <v>5.9383249305757397</v>
      </c>
      <c r="P122" s="2">
        <v>200507</v>
      </c>
      <c r="Q122">
        <v>5.7548084648573399</v>
      </c>
    </row>
    <row r="123" spans="2:17">
      <c r="B123" s="1">
        <v>38504</v>
      </c>
      <c r="C123" s="3">
        <v>5.9050738607028403</v>
      </c>
      <c r="D123">
        <v>6.1010741121785399</v>
      </c>
      <c r="E123">
        <v>5.8839004026215402</v>
      </c>
      <c r="F123" s="3">
        <f t="shared" si="3"/>
        <v>-0.19600025147569955</v>
      </c>
      <c r="G123" s="3">
        <f t="shared" si="4"/>
        <v>2.1173458081300112E-2</v>
      </c>
      <c r="H123" s="3">
        <f t="shared" si="5"/>
        <v>0.21717370955699966</v>
      </c>
      <c r="I123" s="3"/>
      <c r="J123" s="2">
        <v>200506</v>
      </c>
      <c r="K123" s="3">
        <v>5.9050738607028403</v>
      </c>
      <c r="M123" s="2">
        <v>200506</v>
      </c>
      <c r="N123">
        <v>6.1010741121785399</v>
      </c>
      <c r="P123" s="2">
        <v>200506</v>
      </c>
      <c r="Q123">
        <v>5.8839004026215402</v>
      </c>
    </row>
    <row r="124" spans="2:17">
      <c r="B124" s="1">
        <v>38473</v>
      </c>
      <c r="C124" s="3">
        <v>5.9603754873070498</v>
      </c>
      <c r="D124">
        <v>6.1142759738099901</v>
      </c>
      <c r="E124">
        <v>5.97749479090138</v>
      </c>
      <c r="F124" s="3">
        <f t="shared" si="3"/>
        <v>-0.1539004865029403</v>
      </c>
      <c r="G124" s="3">
        <f t="shared" si="4"/>
        <v>-1.7119303594330226E-2</v>
      </c>
      <c r="H124" s="3">
        <f t="shared" si="5"/>
        <v>0.13678118290861008</v>
      </c>
      <c r="I124" s="3"/>
      <c r="J124" s="2">
        <v>200505</v>
      </c>
      <c r="K124" s="3">
        <v>5.9603754873070498</v>
      </c>
      <c r="M124" s="2">
        <v>200505</v>
      </c>
      <c r="N124">
        <v>6.1142759738099901</v>
      </c>
      <c r="P124" s="2">
        <v>200505</v>
      </c>
      <c r="Q124">
        <v>5.97749479090138</v>
      </c>
    </row>
    <row r="125" spans="2:17">
      <c r="B125" s="1">
        <v>38443</v>
      </c>
      <c r="C125" s="3">
        <v>5.7399072643357698</v>
      </c>
      <c r="D125">
        <v>5.9901739928278399</v>
      </c>
      <c r="E125">
        <v>5.7249844475824103</v>
      </c>
      <c r="F125" s="3">
        <f t="shared" si="3"/>
        <v>-0.2502667284920701</v>
      </c>
      <c r="G125" s="3">
        <f t="shared" si="4"/>
        <v>1.4922816753359491E-2</v>
      </c>
      <c r="H125" s="3">
        <f t="shared" si="5"/>
        <v>0.26518954524542959</v>
      </c>
      <c r="I125" s="3"/>
      <c r="J125" s="2">
        <v>200504</v>
      </c>
      <c r="K125" s="3">
        <v>5.7399072643357698</v>
      </c>
      <c r="M125" s="2">
        <v>200504</v>
      </c>
      <c r="N125">
        <v>5.9901739928278399</v>
      </c>
      <c r="P125" s="2">
        <v>200504</v>
      </c>
      <c r="Q125">
        <v>5.7249844475824103</v>
      </c>
    </row>
    <row r="126" spans="2:17">
      <c r="B126" s="1">
        <v>38412</v>
      </c>
      <c r="C126" s="3">
        <v>5.6981602718682396</v>
      </c>
      <c r="D126">
        <v>5.93648297988483</v>
      </c>
      <c r="E126">
        <v>5.7070362465222102</v>
      </c>
      <c r="F126" s="3">
        <f t="shared" si="3"/>
        <v>-0.23832270801659039</v>
      </c>
      <c r="G126" s="3">
        <f t="shared" si="4"/>
        <v>-8.8759746539706086E-3</v>
      </c>
      <c r="H126" s="3">
        <f t="shared" si="5"/>
        <v>0.22944673336261978</v>
      </c>
      <c r="I126" s="3"/>
      <c r="J126" s="2">
        <v>200503</v>
      </c>
      <c r="K126" s="3">
        <v>5.6981602718682396</v>
      </c>
      <c r="M126" s="2">
        <v>200503</v>
      </c>
      <c r="N126">
        <v>5.93648297988483</v>
      </c>
      <c r="P126" s="2">
        <v>200503</v>
      </c>
      <c r="Q126">
        <v>5.7070362465222102</v>
      </c>
    </row>
    <row r="127" spans="2:17">
      <c r="B127" s="1">
        <v>38384</v>
      </c>
      <c r="C127" s="3">
        <v>5.76652782146496</v>
      </c>
      <c r="D127">
        <v>5.9528557282850896</v>
      </c>
      <c r="E127">
        <v>5.7821365213791696</v>
      </c>
      <c r="F127" s="3">
        <f t="shared" si="3"/>
        <v>-0.18632790682012956</v>
      </c>
      <c r="G127" s="3">
        <f t="shared" si="4"/>
        <v>-1.5608699914209545E-2</v>
      </c>
      <c r="H127" s="3">
        <f t="shared" si="5"/>
        <v>0.17071920690592002</v>
      </c>
      <c r="I127" s="3"/>
      <c r="J127" s="2">
        <v>200502</v>
      </c>
      <c r="K127" s="3">
        <v>5.76652782146496</v>
      </c>
      <c r="M127" s="2">
        <v>200502</v>
      </c>
      <c r="N127">
        <v>5.9528557282850896</v>
      </c>
      <c r="P127" s="2">
        <v>200502</v>
      </c>
      <c r="Q127">
        <v>5.7821365213791696</v>
      </c>
    </row>
    <row r="128" spans="2:17">
      <c r="B128" s="1">
        <v>38353</v>
      </c>
      <c r="C128" s="3">
        <v>5.8032417300236796</v>
      </c>
      <c r="D128">
        <v>6.0407426245425802</v>
      </c>
      <c r="E128">
        <v>5.7926575338044497</v>
      </c>
      <c r="J128" s="2">
        <v>200501</v>
      </c>
      <c r="K128" s="3">
        <v>5.8032417300236796</v>
      </c>
      <c r="M128" s="2">
        <v>200501</v>
      </c>
      <c r="N128">
        <v>6.0407426245425802</v>
      </c>
      <c r="P128" s="2">
        <v>200501</v>
      </c>
      <c r="Q128">
        <v>5.7926575338044497</v>
      </c>
    </row>
    <row r="129" spans="3:11">
      <c r="C129" s="3"/>
      <c r="J129" s="3"/>
      <c r="K129" s="3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Q130"/>
  <sheetViews>
    <sheetView topLeftCell="I16" workbookViewId="0">
      <selection activeCell="R52" sqref="R52"/>
    </sheetView>
  </sheetViews>
  <sheetFormatPr defaultRowHeight="15"/>
  <cols>
    <col min="2" max="2" width="13.85546875" bestFit="1" customWidth="1"/>
    <col min="3" max="5" width="12.5703125" bestFit="1" customWidth="1"/>
    <col min="6" max="7" width="12.5703125" customWidth="1"/>
    <col min="10" max="10" width="16.7109375" bestFit="1" customWidth="1"/>
    <col min="11" max="11" width="12.5703125" bestFit="1" customWidth="1"/>
    <col min="13" max="13" width="16.7109375" bestFit="1" customWidth="1"/>
    <col min="14" max="14" width="12.5703125" bestFit="1" customWidth="1"/>
    <col min="16" max="16" width="16.7109375" bestFit="1" customWidth="1"/>
    <col min="17" max="17" width="12.5703125" bestFit="1" customWidth="1"/>
  </cols>
  <sheetData>
    <row r="1" spans="2:17">
      <c r="B1" t="s">
        <v>33</v>
      </c>
      <c r="J1" t="s">
        <v>33</v>
      </c>
      <c r="M1" t="s">
        <v>34</v>
      </c>
      <c r="P1" t="s">
        <v>35</v>
      </c>
    </row>
    <row r="3" spans="2:17">
      <c r="B3" t="s">
        <v>40</v>
      </c>
      <c r="C3" t="s">
        <v>33</v>
      </c>
      <c r="D3" t="s">
        <v>34</v>
      </c>
      <c r="E3" t="s">
        <v>35</v>
      </c>
      <c r="F3" s="44" t="s">
        <v>37</v>
      </c>
      <c r="G3" s="38" t="s">
        <v>38</v>
      </c>
      <c r="H3" s="39" t="s">
        <v>39</v>
      </c>
      <c r="J3" t="s">
        <v>45</v>
      </c>
      <c r="K3" t="s">
        <v>44</v>
      </c>
      <c r="M3" t="s">
        <v>45</v>
      </c>
      <c r="N3" t="s">
        <v>44</v>
      </c>
      <c r="P3" t="s">
        <v>45</v>
      </c>
      <c r="Q3" t="s">
        <v>44</v>
      </c>
    </row>
    <row r="4" spans="2:17">
      <c r="B4" s="1">
        <v>42125</v>
      </c>
      <c r="C4" s="3">
        <v>4.0689393591656504</v>
      </c>
      <c r="D4">
        <v>4.0719586588286099</v>
      </c>
      <c r="E4">
        <v>3.97713138735201</v>
      </c>
      <c r="F4" s="3">
        <f>C4-D4</f>
        <v>-3.0192996629594404E-3</v>
      </c>
      <c r="G4" s="3">
        <f>C4-E4</f>
        <v>9.1807971813640421E-2</v>
      </c>
      <c r="H4" s="3">
        <f>D4-E4</f>
        <v>9.4827271476599861E-2</v>
      </c>
      <c r="I4" s="3"/>
      <c r="J4" s="2">
        <v>201506</v>
      </c>
      <c r="K4" s="3">
        <v>4.1633361328760099</v>
      </c>
      <c r="M4" s="2">
        <v>201506</v>
      </c>
      <c r="N4">
        <v>4.0352729060821702</v>
      </c>
      <c r="P4" s="2">
        <v>201506</v>
      </c>
      <c r="Q4">
        <v>3.9444916272398198</v>
      </c>
    </row>
    <row r="5" spans="2:17">
      <c r="B5" s="1">
        <v>42095</v>
      </c>
      <c r="C5" s="3">
        <v>3.9976524486584601</v>
      </c>
      <c r="D5">
        <v>4.0313600244512697</v>
      </c>
      <c r="E5">
        <v>3.9219230985515399</v>
      </c>
      <c r="F5" s="3">
        <f t="shared" ref="F5:F68" si="0">C5-D5</f>
        <v>-3.3707575792809585E-2</v>
      </c>
      <c r="G5" s="3">
        <f t="shared" ref="G5:G68" si="1">C5-E5</f>
        <v>7.5729350106920279E-2</v>
      </c>
      <c r="H5" s="3">
        <f t="shared" ref="H5:H68" si="2">D5-E5</f>
        <v>0.10943692589972986</v>
      </c>
      <c r="I5" s="3"/>
      <c r="J5" s="2">
        <v>201505</v>
      </c>
      <c r="K5" s="3">
        <v>4.0689393591656504</v>
      </c>
      <c r="M5" s="2">
        <v>201505</v>
      </c>
      <c r="N5">
        <v>4.0719586588286099</v>
      </c>
      <c r="P5" s="2">
        <v>201505</v>
      </c>
      <c r="Q5">
        <v>3.97713138735201</v>
      </c>
    </row>
    <row r="6" spans="2:17">
      <c r="B6" s="1">
        <v>42064</v>
      </c>
      <c r="C6" s="3">
        <v>3.97046600040062</v>
      </c>
      <c r="D6">
        <v>4.0348045515276798</v>
      </c>
      <c r="E6">
        <v>3.9101116946891401</v>
      </c>
      <c r="F6" s="3">
        <f t="shared" si="0"/>
        <v>-6.4338551127059773E-2</v>
      </c>
      <c r="G6" s="3">
        <f t="shared" si="1"/>
        <v>6.0354305711479928E-2</v>
      </c>
      <c r="H6" s="3">
        <f t="shared" si="2"/>
        <v>0.1246928568385397</v>
      </c>
      <c r="I6" s="3"/>
      <c r="J6" s="2">
        <v>201504</v>
      </c>
      <c r="K6" s="3">
        <v>3.9976524486584601</v>
      </c>
      <c r="M6" s="2">
        <v>201504</v>
      </c>
      <c r="N6">
        <v>4.0313600244512697</v>
      </c>
      <c r="P6" s="2">
        <v>201504</v>
      </c>
      <c r="Q6">
        <v>3.9219230985515399</v>
      </c>
    </row>
    <row r="7" spans="2:17">
      <c r="B7" s="1">
        <v>42036</v>
      </c>
      <c r="C7" s="3">
        <v>4.1857772515696601</v>
      </c>
      <c r="D7">
        <v>4.1603901773313199</v>
      </c>
      <c r="E7">
        <v>4.0616224510773202</v>
      </c>
      <c r="F7" s="3">
        <f t="shared" si="0"/>
        <v>2.538707423834019E-2</v>
      </c>
      <c r="G7" s="3">
        <f t="shared" si="1"/>
        <v>0.12415480049233985</v>
      </c>
      <c r="H7" s="3">
        <f t="shared" si="2"/>
        <v>9.8767726253999655E-2</v>
      </c>
      <c r="I7" s="3"/>
      <c r="J7" s="2">
        <v>201503</v>
      </c>
      <c r="K7" s="3">
        <v>3.97046600040062</v>
      </c>
      <c r="M7" s="2">
        <v>201503</v>
      </c>
      <c r="N7">
        <v>4.0348045515276798</v>
      </c>
      <c r="P7" s="2">
        <v>201503</v>
      </c>
      <c r="Q7">
        <v>3.9101116946891401</v>
      </c>
    </row>
    <row r="8" spans="2:17">
      <c r="B8" s="1">
        <v>42005</v>
      </c>
      <c r="C8" s="3">
        <v>4.2958063329140002</v>
      </c>
      <c r="D8">
        <v>4.29626321133735</v>
      </c>
      <c r="E8">
        <v>4.2035925329350299</v>
      </c>
      <c r="F8" s="3">
        <f t="shared" si="0"/>
        <v>-4.5687842334984907E-4</v>
      </c>
      <c r="G8" s="3">
        <f t="shared" si="1"/>
        <v>9.2213799978970279E-2</v>
      </c>
      <c r="H8" s="3">
        <f t="shared" si="2"/>
        <v>9.2670678402320128E-2</v>
      </c>
      <c r="I8" s="3"/>
      <c r="J8" s="2">
        <v>201502</v>
      </c>
      <c r="K8" s="3">
        <v>4.1857772515696601</v>
      </c>
      <c r="M8" s="2">
        <v>201502</v>
      </c>
      <c r="N8">
        <v>4.1603901773313199</v>
      </c>
      <c r="P8" s="2">
        <v>201502</v>
      </c>
      <c r="Q8">
        <v>4.0616224510773202</v>
      </c>
    </row>
    <row r="9" spans="2:17">
      <c r="B9" s="1">
        <v>41974</v>
      </c>
      <c r="C9" s="3">
        <v>4.3368509144195402</v>
      </c>
      <c r="D9">
        <v>4.3096221072099699</v>
      </c>
      <c r="E9">
        <v>4.24547163341082</v>
      </c>
      <c r="F9" s="3">
        <f t="shared" si="0"/>
        <v>2.7228807209570327E-2</v>
      </c>
      <c r="G9" s="3">
        <f t="shared" si="1"/>
        <v>9.137928100872017E-2</v>
      </c>
      <c r="H9" s="3">
        <f t="shared" si="2"/>
        <v>6.4150473799149843E-2</v>
      </c>
      <c r="I9" s="3"/>
      <c r="J9" s="2">
        <v>201501</v>
      </c>
      <c r="K9" s="3">
        <v>4.2958063329140002</v>
      </c>
      <c r="M9" s="2">
        <v>201501</v>
      </c>
      <c r="N9">
        <v>4.29626321133735</v>
      </c>
      <c r="P9" s="2">
        <v>201501</v>
      </c>
      <c r="Q9">
        <v>4.2035925329350299</v>
      </c>
    </row>
    <row r="10" spans="2:17">
      <c r="B10" s="1">
        <v>41944</v>
      </c>
      <c r="C10" s="3">
        <v>4.4254316423178803</v>
      </c>
      <c r="D10">
        <v>4.4544775134761201</v>
      </c>
      <c r="E10">
        <v>4.36266314046786</v>
      </c>
      <c r="F10" s="3">
        <f t="shared" si="0"/>
        <v>-2.9045871158239756E-2</v>
      </c>
      <c r="G10" s="3">
        <f t="shared" si="1"/>
        <v>6.2768501850020364E-2</v>
      </c>
      <c r="H10" s="3">
        <f t="shared" si="2"/>
        <v>9.1814373008260119E-2</v>
      </c>
      <c r="I10" s="3"/>
      <c r="J10" s="2">
        <v>201412</v>
      </c>
      <c r="K10" s="3">
        <v>4.3368509144195402</v>
      </c>
      <c r="M10" s="2">
        <v>201412</v>
      </c>
      <c r="N10">
        <v>4.3096221072099699</v>
      </c>
      <c r="P10" s="2">
        <v>201412</v>
      </c>
      <c r="Q10">
        <v>4.24547163341082</v>
      </c>
    </row>
    <row r="11" spans="2:17">
      <c r="B11" s="1">
        <v>41913</v>
      </c>
      <c r="C11" s="3">
        <v>4.43335328399401</v>
      </c>
      <c r="D11">
        <v>4.47837851549001</v>
      </c>
      <c r="E11">
        <v>4.3810720759169799</v>
      </c>
      <c r="F11" s="3">
        <f t="shared" si="0"/>
        <v>-4.5025231496000018E-2</v>
      </c>
      <c r="G11" s="3">
        <f t="shared" si="1"/>
        <v>5.2281208077030072E-2</v>
      </c>
      <c r="H11" s="3">
        <f t="shared" si="2"/>
        <v>9.730643957303009E-2</v>
      </c>
      <c r="I11" s="3"/>
      <c r="J11" s="2">
        <v>201411</v>
      </c>
      <c r="K11" s="3">
        <v>4.4254316423178803</v>
      </c>
      <c r="M11" s="2">
        <v>201411</v>
      </c>
      <c r="N11">
        <v>4.4544775134761201</v>
      </c>
      <c r="P11" s="2">
        <v>201411</v>
      </c>
      <c r="Q11">
        <v>4.36266314046786</v>
      </c>
    </row>
    <row r="12" spans="2:17">
      <c r="B12" s="1">
        <v>41883</v>
      </c>
      <c r="C12" s="3">
        <v>4.4820873699267203</v>
      </c>
      <c r="D12">
        <v>4.5098579289704901</v>
      </c>
      <c r="E12">
        <v>4.3867961308868697</v>
      </c>
      <c r="F12" s="3">
        <f t="shared" si="0"/>
        <v>-2.7770559043769794E-2</v>
      </c>
      <c r="G12" s="3">
        <f t="shared" si="1"/>
        <v>9.5291239039850595E-2</v>
      </c>
      <c r="H12" s="3">
        <f t="shared" si="2"/>
        <v>0.12306179808362039</v>
      </c>
      <c r="I12" s="3"/>
      <c r="J12" s="2">
        <v>201410</v>
      </c>
      <c r="K12" s="3">
        <v>4.43335328399401</v>
      </c>
      <c r="M12" s="2">
        <v>201410</v>
      </c>
      <c r="N12">
        <v>4.47837851549001</v>
      </c>
      <c r="P12" s="2">
        <v>201410</v>
      </c>
      <c r="Q12">
        <v>4.3810720759169799</v>
      </c>
    </row>
    <row r="13" spans="2:17">
      <c r="B13" s="1">
        <v>41852</v>
      </c>
      <c r="C13" s="3">
        <v>4.4507518381226703</v>
      </c>
      <c r="D13">
        <v>4.4958143533653496</v>
      </c>
      <c r="E13">
        <v>4.4035912196688596</v>
      </c>
      <c r="F13" s="3">
        <f t="shared" si="0"/>
        <v>-4.5062515242679346E-2</v>
      </c>
      <c r="G13" s="3">
        <f t="shared" si="1"/>
        <v>4.7160618453810699E-2</v>
      </c>
      <c r="H13" s="3">
        <f t="shared" si="2"/>
        <v>9.2223133696490045E-2</v>
      </c>
      <c r="I13" s="3"/>
      <c r="J13" s="2">
        <v>201409</v>
      </c>
      <c r="K13" s="3">
        <v>4.4820873699267203</v>
      </c>
      <c r="M13" s="2">
        <v>201409</v>
      </c>
      <c r="N13">
        <v>4.5098579289704901</v>
      </c>
      <c r="P13" s="2">
        <v>201409</v>
      </c>
      <c r="Q13">
        <v>4.3867961308868697</v>
      </c>
    </row>
    <row r="14" spans="2:17">
      <c r="B14" s="1">
        <v>41821</v>
      </c>
      <c r="C14" s="3">
        <v>4.5076739593115596</v>
      </c>
      <c r="D14">
        <v>4.5322410201994696</v>
      </c>
      <c r="E14">
        <v>4.4398829908248096</v>
      </c>
      <c r="F14" s="3">
        <f t="shared" si="0"/>
        <v>-2.4567060887910053E-2</v>
      </c>
      <c r="G14" s="3">
        <f t="shared" si="1"/>
        <v>6.7790968486749925E-2</v>
      </c>
      <c r="H14" s="3">
        <f t="shared" si="2"/>
        <v>9.2358029374659978E-2</v>
      </c>
      <c r="I14" s="3"/>
      <c r="J14" s="2">
        <v>201408</v>
      </c>
      <c r="K14" s="3">
        <v>4.4507518381226703</v>
      </c>
      <c r="M14" s="2">
        <v>201408</v>
      </c>
      <c r="N14">
        <v>4.4958143533653496</v>
      </c>
      <c r="P14" s="2">
        <v>201408</v>
      </c>
      <c r="Q14">
        <v>4.4035912196688596</v>
      </c>
    </row>
    <row r="15" spans="2:17">
      <c r="B15" s="1">
        <v>41791</v>
      </c>
      <c r="C15" s="3">
        <v>4.6304775558386702</v>
      </c>
      <c r="D15">
        <v>4.6320107480218997</v>
      </c>
      <c r="E15">
        <v>4.5615067756429903</v>
      </c>
      <c r="F15" s="3">
        <f t="shared" si="0"/>
        <v>-1.5331921832295592E-3</v>
      </c>
      <c r="G15" s="3">
        <f t="shared" si="1"/>
        <v>6.8970780195679815E-2</v>
      </c>
      <c r="H15" s="3">
        <f t="shared" si="2"/>
        <v>7.0503972378909374E-2</v>
      </c>
      <c r="I15" s="3"/>
      <c r="J15" s="2">
        <v>201407</v>
      </c>
      <c r="K15" s="3">
        <v>4.5076739593115596</v>
      </c>
      <c r="M15" s="2">
        <v>201407</v>
      </c>
      <c r="N15">
        <v>4.5322410201994696</v>
      </c>
      <c r="P15" s="2">
        <v>201407</v>
      </c>
      <c r="Q15">
        <v>4.4398829908248096</v>
      </c>
    </row>
    <row r="16" spans="2:17">
      <c r="B16" s="1">
        <v>41760</v>
      </c>
      <c r="C16" s="3">
        <v>4.67145006934508</v>
      </c>
      <c r="D16">
        <v>4.6738707472454397</v>
      </c>
      <c r="E16">
        <v>4.5867072940713403</v>
      </c>
      <c r="F16" s="3">
        <f t="shared" si="0"/>
        <v>-2.4206779003597134E-3</v>
      </c>
      <c r="G16" s="3">
        <f t="shared" si="1"/>
        <v>8.4742775273739746E-2</v>
      </c>
      <c r="H16" s="3">
        <f t="shared" si="2"/>
        <v>8.7163453174099459E-2</v>
      </c>
      <c r="I16" s="3"/>
      <c r="J16" s="2">
        <v>201406</v>
      </c>
      <c r="K16" s="3">
        <v>4.6304775558386702</v>
      </c>
      <c r="M16" s="2">
        <v>201406</v>
      </c>
      <c r="N16">
        <v>4.6320107480218997</v>
      </c>
      <c r="P16" s="2">
        <v>201406</v>
      </c>
      <c r="Q16">
        <v>4.5615067756429903</v>
      </c>
    </row>
    <row r="17" spans="2:17">
      <c r="B17" s="1">
        <v>41730</v>
      </c>
      <c r="C17" s="3">
        <v>4.6416755834097003</v>
      </c>
      <c r="D17">
        <v>4.6972976843399001</v>
      </c>
      <c r="E17">
        <v>4.5800211736701897</v>
      </c>
      <c r="F17" s="3">
        <f t="shared" si="0"/>
        <v>-5.5622100930199814E-2</v>
      </c>
      <c r="G17" s="3">
        <f t="shared" si="1"/>
        <v>6.1654409739510641E-2</v>
      </c>
      <c r="H17" s="3">
        <f t="shared" si="2"/>
        <v>0.11727651066971045</v>
      </c>
      <c r="I17" s="3"/>
      <c r="J17" s="2">
        <v>201405</v>
      </c>
      <c r="K17" s="3">
        <v>4.67145006934508</v>
      </c>
      <c r="M17" s="2">
        <v>201405</v>
      </c>
      <c r="N17">
        <v>4.6738707472454397</v>
      </c>
      <c r="P17" s="2">
        <v>201405</v>
      </c>
      <c r="Q17">
        <v>4.5867072940713403</v>
      </c>
    </row>
    <row r="18" spans="2:17">
      <c r="B18" s="1">
        <v>41699</v>
      </c>
      <c r="C18" s="3">
        <v>4.7285457104419804</v>
      </c>
      <c r="D18">
        <v>4.7474262999647099</v>
      </c>
      <c r="E18">
        <v>4.6251769295862903</v>
      </c>
      <c r="F18" s="3">
        <f t="shared" si="0"/>
        <v>-1.888058952272953E-2</v>
      </c>
      <c r="G18" s="3">
        <f t="shared" si="1"/>
        <v>0.10336878085569001</v>
      </c>
      <c r="H18" s="3">
        <f t="shared" si="2"/>
        <v>0.12224937037841954</v>
      </c>
      <c r="I18" s="3"/>
      <c r="J18" s="2">
        <v>201404</v>
      </c>
      <c r="K18" s="3">
        <v>4.6416755834097003</v>
      </c>
      <c r="M18" s="2">
        <v>201404</v>
      </c>
      <c r="N18">
        <v>4.6972976843399001</v>
      </c>
      <c r="P18" s="2">
        <v>201404</v>
      </c>
      <c r="Q18">
        <v>4.5800211736701897</v>
      </c>
    </row>
    <row r="19" spans="2:17">
      <c r="B19" s="1">
        <v>41671</v>
      </c>
      <c r="C19" s="3">
        <v>4.7102598455324296</v>
      </c>
      <c r="D19">
        <v>4.7351571841974804</v>
      </c>
      <c r="E19">
        <v>4.6666769229860003</v>
      </c>
      <c r="F19" s="3">
        <f t="shared" si="0"/>
        <v>-2.4897338665050839E-2</v>
      </c>
      <c r="G19" s="3">
        <f t="shared" si="1"/>
        <v>4.3582922546429259E-2</v>
      </c>
      <c r="H19" s="3">
        <f t="shared" si="2"/>
        <v>6.8480261211480098E-2</v>
      </c>
      <c r="I19" s="3"/>
      <c r="J19" s="2">
        <v>201403</v>
      </c>
      <c r="K19" s="3">
        <v>4.7285457104419804</v>
      </c>
      <c r="M19" s="2">
        <v>201403</v>
      </c>
      <c r="N19">
        <v>4.7474262999647099</v>
      </c>
      <c r="P19" s="2">
        <v>201403</v>
      </c>
      <c r="Q19">
        <v>4.6251769295862903</v>
      </c>
    </row>
    <row r="20" spans="2:17">
      <c r="B20" s="1">
        <v>41640</v>
      </c>
      <c r="C20" s="3">
        <v>4.6029708100676903</v>
      </c>
      <c r="D20">
        <v>4.6177308088013103</v>
      </c>
      <c r="E20">
        <v>4.5276861139919902</v>
      </c>
      <c r="F20" s="3">
        <f t="shared" si="0"/>
        <v>-1.4759998733619994E-2</v>
      </c>
      <c r="G20" s="3">
        <f t="shared" si="1"/>
        <v>7.5284696075700097E-2</v>
      </c>
      <c r="H20" s="3">
        <f t="shared" si="2"/>
        <v>9.0044694809320092E-2</v>
      </c>
      <c r="I20" s="3"/>
      <c r="J20" s="2">
        <v>201402</v>
      </c>
      <c r="K20" s="3">
        <v>4.7102598455324296</v>
      </c>
      <c r="M20" s="2">
        <v>201402</v>
      </c>
      <c r="N20">
        <v>4.7351571841974804</v>
      </c>
      <c r="P20" s="2">
        <v>201402</v>
      </c>
      <c r="Q20">
        <v>4.6666769229860003</v>
      </c>
    </row>
    <row r="21" spans="2:17">
      <c r="B21" s="1">
        <v>41609</v>
      </c>
      <c r="C21" s="3">
        <v>4.5855443469827897</v>
      </c>
      <c r="D21">
        <v>4.5742505732750001</v>
      </c>
      <c r="E21">
        <v>4.4553409894740197</v>
      </c>
      <c r="F21" s="3">
        <f t="shared" si="0"/>
        <v>1.1293773707789612E-2</v>
      </c>
      <c r="G21" s="3">
        <f t="shared" si="1"/>
        <v>0.13020335750876999</v>
      </c>
      <c r="H21" s="3">
        <f t="shared" si="2"/>
        <v>0.11890958380098038</v>
      </c>
      <c r="I21" s="3"/>
      <c r="J21" s="2">
        <v>201401</v>
      </c>
      <c r="K21" s="3">
        <v>4.6029708100676903</v>
      </c>
      <c r="M21" s="2">
        <v>201401</v>
      </c>
      <c r="N21">
        <v>4.6177308088013103</v>
      </c>
      <c r="P21" s="2">
        <v>201401</v>
      </c>
      <c r="Q21">
        <v>4.5276861139919902</v>
      </c>
    </row>
    <row r="22" spans="2:17">
      <c r="B22" s="1">
        <v>41579</v>
      </c>
      <c r="C22" s="3">
        <v>4.6746403637074501</v>
      </c>
      <c r="D22">
        <v>4.66396996329701</v>
      </c>
      <c r="E22">
        <v>4.5991024139660599</v>
      </c>
      <c r="F22" s="3">
        <f t="shared" si="0"/>
        <v>1.0670400410440095E-2</v>
      </c>
      <c r="G22" s="3">
        <f t="shared" si="1"/>
        <v>7.5537949741390165E-2</v>
      </c>
      <c r="H22" s="3">
        <f t="shared" si="2"/>
        <v>6.4867549330950069E-2</v>
      </c>
      <c r="I22" s="3"/>
      <c r="J22" s="2">
        <v>201312</v>
      </c>
      <c r="K22" s="3">
        <v>4.5855443469827897</v>
      </c>
      <c r="M22" s="2">
        <v>201312</v>
      </c>
      <c r="N22">
        <v>4.5742505732750001</v>
      </c>
      <c r="P22" s="2">
        <v>201312</v>
      </c>
      <c r="Q22">
        <v>4.4553409894740197</v>
      </c>
    </row>
    <row r="23" spans="2:17">
      <c r="B23" s="1">
        <v>41548</v>
      </c>
      <c r="C23" s="3">
        <v>4.6416736209021296</v>
      </c>
      <c r="D23">
        <v>4.7062133797163801</v>
      </c>
      <c r="E23">
        <v>4.6925873103717803</v>
      </c>
      <c r="F23" s="3">
        <f t="shared" si="0"/>
        <v>-6.4539758814250447E-2</v>
      </c>
      <c r="G23" s="3">
        <f t="shared" si="1"/>
        <v>-5.0913689469650691E-2</v>
      </c>
      <c r="H23" s="3">
        <f t="shared" si="2"/>
        <v>1.3626069344599756E-2</v>
      </c>
      <c r="I23" s="3"/>
      <c r="J23" s="2">
        <v>201311</v>
      </c>
      <c r="K23" s="3">
        <v>4.6746403637074501</v>
      </c>
      <c r="M23" s="2">
        <v>201311</v>
      </c>
      <c r="N23">
        <v>4.66396996329701</v>
      </c>
      <c r="P23" s="2">
        <v>201311</v>
      </c>
      <c r="Q23">
        <v>4.5991024139660599</v>
      </c>
    </row>
    <row r="24" spans="2:17">
      <c r="B24" s="1">
        <v>41518</v>
      </c>
      <c r="C24" s="3">
        <v>4.4624334410396003</v>
      </c>
      <c r="D24">
        <v>4.5584944166345096</v>
      </c>
      <c r="E24">
        <v>4.5221097863415096</v>
      </c>
      <c r="F24" s="3">
        <f t="shared" si="0"/>
        <v>-9.6060975594909337E-2</v>
      </c>
      <c r="G24" s="3">
        <f t="shared" si="1"/>
        <v>-5.967634530190935E-2</v>
      </c>
      <c r="H24" s="3">
        <f t="shared" si="2"/>
        <v>3.6384630292999987E-2</v>
      </c>
      <c r="I24" s="3"/>
      <c r="J24" s="2">
        <v>201310</v>
      </c>
      <c r="K24" s="3">
        <v>4.6416736209021296</v>
      </c>
      <c r="M24" s="2">
        <v>201310</v>
      </c>
      <c r="N24">
        <v>4.7062133797163801</v>
      </c>
      <c r="P24" s="2">
        <v>201310</v>
      </c>
      <c r="Q24">
        <v>4.6925873103717803</v>
      </c>
    </row>
    <row r="25" spans="2:17">
      <c r="B25" s="1">
        <v>41487</v>
      </c>
      <c r="C25" s="3">
        <v>4.1189687376384398</v>
      </c>
      <c r="D25">
        <v>4.2848380957352301</v>
      </c>
      <c r="E25">
        <v>4.2132551040084101</v>
      </c>
      <c r="F25" s="3">
        <f t="shared" si="0"/>
        <v>-0.16586935809679026</v>
      </c>
      <c r="G25" s="3">
        <f t="shared" si="1"/>
        <v>-9.4286366369970231E-2</v>
      </c>
      <c r="H25" s="3">
        <f t="shared" si="2"/>
        <v>7.1582991726820033E-2</v>
      </c>
      <c r="I25" s="3"/>
      <c r="J25" s="2">
        <v>201309</v>
      </c>
      <c r="K25" s="3">
        <v>4.4624334410396003</v>
      </c>
      <c r="M25" s="2">
        <v>201309</v>
      </c>
      <c r="N25">
        <v>4.5584944166345096</v>
      </c>
      <c r="P25" s="2">
        <v>201309</v>
      </c>
      <c r="Q25">
        <v>4.5221097863415096</v>
      </c>
    </row>
    <row r="26" spans="2:17">
      <c r="B26" s="1">
        <v>41456</v>
      </c>
      <c r="C26" s="3">
        <v>3.8684499724059802</v>
      </c>
      <c r="D26">
        <v>3.9094243014008501</v>
      </c>
      <c r="E26">
        <v>3.85865337276537</v>
      </c>
      <c r="F26" s="3">
        <f t="shared" si="0"/>
        <v>-4.0974328994869857E-2</v>
      </c>
      <c r="G26" s="3">
        <f t="shared" si="1"/>
        <v>9.7965996406101929E-3</v>
      </c>
      <c r="H26" s="3">
        <f t="shared" si="2"/>
        <v>5.077092863548005E-2</v>
      </c>
      <c r="I26" s="3"/>
      <c r="J26" s="2">
        <v>201308</v>
      </c>
      <c r="K26" s="3">
        <v>4.1189687376384398</v>
      </c>
      <c r="M26" s="2">
        <v>201308</v>
      </c>
      <c r="N26">
        <v>4.2848380957352301</v>
      </c>
      <c r="P26" s="2">
        <v>201308</v>
      </c>
      <c r="Q26">
        <v>4.2132551040084101</v>
      </c>
    </row>
    <row r="27" spans="2:17">
      <c r="B27" s="1">
        <v>41426</v>
      </c>
      <c r="C27" s="3">
        <v>3.8001340988241998</v>
      </c>
      <c r="D27">
        <v>3.7620643916695902</v>
      </c>
      <c r="E27">
        <v>3.7173696208711</v>
      </c>
      <c r="F27" s="3">
        <f t="shared" si="0"/>
        <v>3.8069707154609667E-2</v>
      </c>
      <c r="G27" s="3">
        <f t="shared" si="1"/>
        <v>8.2764477953099824E-2</v>
      </c>
      <c r="H27" s="3">
        <f t="shared" si="2"/>
        <v>4.4694770798490158E-2</v>
      </c>
      <c r="I27" s="3"/>
      <c r="J27" s="2">
        <v>201307</v>
      </c>
      <c r="K27" s="3">
        <v>3.8684499724059802</v>
      </c>
      <c r="M27" s="2">
        <v>201307</v>
      </c>
      <c r="N27">
        <v>3.9094243014008501</v>
      </c>
      <c r="P27" s="2">
        <v>201307</v>
      </c>
      <c r="Q27">
        <v>3.85865337276537</v>
      </c>
    </row>
    <row r="28" spans="2:17">
      <c r="B28" s="1">
        <v>41395</v>
      </c>
      <c r="C28" s="3">
        <v>3.8128568174961002</v>
      </c>
      <c r="D28">
        <v>3.8290037998644002</v>
      </c>
      <c r="E28">
        <v>3.7766944812508201</v>
      </c>
      <c r="F28" s="3">
        <f t="shared" si="0"/>
        <v>-1.6146982368300034E-2</v>
      </c>
      <c r="G28" s="3">
        <f t="shared" si="1"/>
        <v>3.6162336245280091E-2</v>
      </c>
      <c r="H28" s="3">
        <f t="shared" si="2"/>
        <v>5.2309318613580125E-2</v>
      </c>
      <c r="I28" s="3"/>
      <c r="J28" s="2">
        <v>201306</v>
      </c>
      <c r="K28" s="3">
        <v>3.8001340988241998</v>
      </c>
      <c r="M28" s="2">
        <v>201306</v>
      </c>
      <c r="N28">
        <v>3.7620643916695902</v>
      </c>
      <c r="P28" s="2">
        <v>201306</v>
      </c>
      <c r="Q28">
        <v>3.7173696208711</v>
      </c>
    </row>
    <row r="29" spans="2:17">
      <c r="B29" s="1">
        <v>41365</v>
      </c>
      <c r="C29" s="3">
        <v>3.7962667328789701</v>
      </c>
      <c r="D29">
        <v>3.8052897825242402</v>
      </c>
      <c r="E29">
        <v>3.7362667087817099</v>
      </c>
      <c r="F29" s="3">
        <f t="shared" si="0"/>
        <v>-9.0230496452701203E-3</v>
      </c>
      <c r="G29" s="3">
        <f t="shared" si="1"/>
        <v>6.0000024097260241E-2</v>
      </c>
      <c r="H29" s="3">
        <f t="shared" si="2"/>
        <v>6.9023073742530361E-2</v>
      </c>
      <c r="I29" s="3"/>
      <c r="J29" s="2">
        <v>201305</v>
      </c>
      <c r="K29" s="3">
        <v>3.8128568174961002</v>
      </c>
      <c r="M29" s="2">
        <v>201305</v>
      </c>
      <c r="N29">
        <v>3.8290037998644002</v>
      </c>
      <c r="P29" s="2">
        <v>201305</v>
      </c>
      <c r="Q29">
        <v>3.7766944812508201</v>
      </c>
    </row>
    <row r="30" spans="2:17">
      <c r="B30" s="1">
        <v>41334</v>
      </c>
      <c r="C30" s="3">
        <v>3.75190639957412</v>
      </c>
      <c r="D30">
        <v>3.7308096511395199</v>
      </c>
      <c r="E30">
        <v>3.6440738703311002</v>
      </c>
      <c r="F30" s="3">
        <f t="shared" si="0"/>
        <v>2.1096748434600077E-2</v>
      </c>
      <c r="G30" s="3">
        <f t="shared" si="1"/>
        <v>0.10783252924301978</v>
      </c>
      <c r="H30" s="3">
        <f t="shared" si="2"/>
        <v>8.6735780808419705E-2</v>
      </c>
      <c r="I30" s="3"/>
      <c r="J30" s="2">
        <v>201304</v>
      </c>
      <c r="K30" s="3">
        <v>3.7962667328789701</v>
      </c>
      <c r="M30" s="2">
        <v>201304</v>
      </c>
      <c r="N30">
        <v>3.8052897825242402</v>
      </c>
      <c r="P30" s="2">
        <v>201304</v>
      </c>
      <c r="Q30">
        <v>3.7362667087817099</v>
      </c>
    </row>
    <row r="31" spans="2:17">
      <c r="B31" s="1">
        <v>41306</v>
      </c>
      <c r="C31" s="3">
        <v>3.6747127603708698</v>
      </c>
      <c r="D31">
        <v>3.60014636592464</v>
      </c>
      <c r="E31">
        <v>3.5685381071400699</v>
      </c>
      <c r="F31" s="3">
        <f t="shared" si="0"/>
        <v>7.4566394446229811E-2</v>
      </c>
      <c r="G31" s="3">
        <f t="shared" si="1"/>
        <v>0.10617465323079989</v>
      </c>
      <c r="H31" s="3">
        <f t="shared" si="2"/>
        <v>3.1608258784570076E-2</v>
      </c>
      <c r="I31" s="3"/>
      <c r="J31" s="2">
        <v>201303</v>
      </c>
      <c r="K31" s="3">
        <v>3.75190639957412</v>
      </c>
      <c r="M31" s="2">
        <v>201303</v>
      </c>
      <c r="N31">
        <v>3.7308096511395199</v>
      </c>
      <c r="P31" s="2">
        <v>201303</v>
      </c>
      <c r="Q31">
        <v>3.6440738703311002</v>
      </c>
    </row>
    <row r="32" spans="2:17">
      <c r="B32" s="1">
        <v>41275</v>
      </c>
      <c r="C32" s="3">
        <v>3.6739784771944199</v>
      </c>
      <c r="D32">
        <v>3.6156120301058601</v>
      </c>
      <c r="E32">
        <v>3.5514853983081598</v>
      </c>
      <c r="F32" s="3">
        <f t="shared" si="0"/>
        <v>5.836644708855987E-2</v>
      </c>
      <c r="G32" s="3">
        <f t="shared" si="1"/>
        <v>0.12249307888626015</v>
      </c>
      <c r="H32" s="3">
        <f t="shared" si="2"/>
        <v>6.4126631797700284E-2</v>
      </c>
      <c r="I32" s="3"/>
      <c r="J32" s="2">
        <v>201302</v>
      </c>
      <c r="K32" s="3">
        <v>3.6747127603708698</v>
      </c>
      <c r="M32" s="2">
        <v>201302</v>
      </c>
      <c r="N32">
        <v>3.60014636592464</v>
      </c>
      <c r="P32" s="2">
        <v>201302</v>
      </c>
      <c r="Q32">
        <v>3.5685381071400699</v>
      </c>
    </row>
    <row r="33" spans="2:17">
      <c r="B33" s="1">
        <v>41244</v>
      </c>
      <c r="C33" s="3">
        <v>3.7092114441848301</v>
      </c>
      <c r="D33">
        <v>3.65069482603315</v>
      </c>
      <c r="E33">
        <v>3.5589988988784702</v>
      </c>
      <c r="F33" s="3">
        <f t="shared" si="0"/>
        <v>5.8516618151680078E-2</v>
      </c>
      <c r="G33" s="3">
        <f t="shared" si="1"/>
        <v>0.15021254530635986</v>
      </c>
      <c r="H33" s="3">
        <f t="shared" si="2"/>
        <v>9.1695927154679779E-2</v>
      </c>
      <c r="I33" s="3"/>
      <c r="J33" s="2">
        <v>201301</v>
      </c>
      <c r="K33" s="3">
        <v>3.6739784771944199</v>
      </c>
      <c r="M33" s="2">
        <v>201301</v>
      </c>
      <c r="N33">
        <v>3.6156120301058601</v>
      </c>
      <c r="P33" s="2">
        <v>201301</v>
      </c>
      <c r="Q33">
        <v>3.5514853983081598</v>
      </c>
    </row>
    <row r="34" spans="2:17">
      <c r="B34" s="1">
        <v>41214</v>
      </c>
      <c r="C34" s="3">
        <v>3.7816307250292001</v>
      </c>
      <c r="D34">
        <v>3.7299985361179</v>
      </c>
      <c r="E34">
        <v>3.6321561803875602</v>
      </c>
      <c r="F34" s="3">
        <f t="shared" si="0"/>
        <v>5.1632188911300059E-2</v>
      </c>
      <c r="G34" s="3">
        <f t="shared" si="1"/>
        <v>0.14947454464163989</v>
      </c>
      <c r="H34" s="3">
        <f t="shared" si="2"/>
        <v>9.7842355730339836E-2</v>
      </c>
      <c r="I34" s="3"/>
      <c r="J34" s="2">
        <v>201212</v>
      </c>
      <c r="K34" s="3">
        <v>3.7092114441848301</v>
      </c>
      <c r="M34" s="2">
        <v>201212</v>
      </c>
      <c r="N34">
        <v>3.65069482603315</v>
      </c>
      <c r="P34" s="2">
        <v>201212</v>
      </c>
      <c r="Q34">
        <v>3.5589988988784702</v>
      </c>
    </row>
    <row r="35" spans="2:17">
      <c r="B35" s="1">
        <v>41183</v>
      </c>
      <c r="C35" s="3">
        <v>3.85813493498723</v>
      </c>
      <c r="D35">
        <v>3.8130126157432098</v>
      </c>
      <c r="E35">
        <v>3.7302332995987002</v>
      </c>
      <c r="F35" s="3">
        <f t="shared" si="0"/>
        <v>4.5122319244020215E-2</v>
      </c>
      <c r="G35" s="3">
        <f t="shared" si="1"/>
        <v>0.12790163538852983</v>
      </c>
      <c r="H35" s="3">
        <f t="shared" si="2"/>
        <v>8.2779316144509618E-2</v>
      </c>
      <c r="I35" s="3"/>
      <c r="J35" s="2">
        <v>201211</v>
      </c>
      <c r="K35" s="3">
        <v>3.7816307250292001</v>
      </c>
      <c r="M35" s="2">
        <v>201211</v>
      </c>
      <c r="N35">
        <v>3.7299985361179</v>
      </c>
      <c r="P35" s="2">
        <v>201211</v>
      </c>
      <c r="Q35">
        <v>3.6321561803875602</v>
      </c>
    </row>
    <row r="36" spans="2:17">
      <c r="B36" s="1">
        <v>41153</v>
      </c>
      <c r="C36" s="3">
        <v>3.8561537915181598</v>
      </c>
      <c r="D36">
        <v>3.8413669662350398</v>
      </c>
      <c r="E36">
        <v>3.7650546115730301</v>
      </c>
      <c r="F36" s="3">
        <f t="shared" si="0"/>
        <v>1.4786825283120031E-2</v>
      </c>
      <c r="G36" s="3">
        <f t="shared" si="1"/>
        <v>9.1099179945129727E-2</v>
      </c>
      <c r="H36" s="3">
        <f t="shared" si="2"/>
        <v>7.6312354662009696E-2</v>
      </c>
      <c r="I36" s="3"/>
      <c r="J36" s="2">
        <v>201210</v>
      </c>
      <c r="K36" s="3">
        <v>3.85813493498723</v>
      </c>
      <c r="M36" s="2">
        <v>201210</v>
      </c>
      <c r="N36">
        <v>3.8130126157432098</v>
      </c>
      <c r="P36" s="2">
        <v>201210</v>
      </c>
      <c r="Q36">
        <v>3.7302332995987002</v>
      </c>
    </row>
    <row r="37" spans="2:17">
      <c r="B37" s="1">
        <v>41122</v>
      </c>
      <c r="C37" s="3">
        <v>3.9615395172642001</v>
      </c>
      <c r="D37">
        <v>3.8900717900123398</v>
      </c>
      <c r="E37">
        <v>3.8586885517722802</v>
      </c>
      <c r="F37" s="3">
        <f t="shared" si="0"/>
        <v>7.1467727251860236E-2</v>
      </c>
      <c r="G37" s="3">
        <f t="shared" si="1"/>
        <v>0.10285096549191985</v>
      </c>
      <c r="H37" s="3">
        <f t="shared" si="2"/>
        <v>3.1383238240059619E-2</v>
      </c>
      <c r="I37" s="3"/>
      <c r="J37" s="2">
        <v>201209</v>
      </c>
      <c r="K37" s="3">
        <v>3.8561537915181598</v>
      </c>
      <c r="M37" s="2">
        <v>201209</v>
      </c>
      <c r="N37">
        <v>3.8413669662350398</v>
      </c>
      <c r="P37" s="2">
        <v>201209</v>
      </c>
      <c r="Q37">
        <v>3.7650546115730301</v>
      </c>
    </row>
    <row r="38" spans="2:17">
      <c r="B38" s="1">
        <v>41091</v>
      </c>
      <c r="C38" s="3">
        <v>4.0560861088501099</v>
      </c>
      <c r="D38">
        <v>4.03634091987613</v>
      </c>
      <c r="E38">
        <v>3.9854005126601701</v>
      </c>
      <c r="F38" s="3">
        <f t="shared" si="0"/>
        <v>1.9745188973979921E-2</v>
      </c>
      <c r="G38" s="3">
        <f t="shared" si="1"/>
        <v>7.0685596189939748E-2</v>
      </c>
      <c r="H38" s="3">
        <f t="shared" si="2"/>
        <v>5.0940407215959826E-2</v>
      </c>
      <c r="I38" s="3"/>
      <c r="J38" s="2">
        <v>201208</v>
      </c>
      <c r="K38" s="3">
        <v>3.9615395172642001</v>
      </c>
      <c r="M38" s="2">
        <v>201208</v>
      </c>
      <c r="N38">
        <v>3.8900717900123398</v>
      </c>
      <c r="P38" s="2">
        <v>201208</v>
      </c>
      <c r="Q38">
        <v>3.8586885517722802</v>
      </c>
    </row>
    <row r="39" spans="2:17">
      <c r="B39" s="1">
        <v>41061</v>
      </c>
      <c r="C39" s="3">
        <v>4.2229438029429502</v>
      </c>
      <c r="D39">
        <v>4.1271152608226904</v>
      </c>
      <c r="E39">
        <v>4.0790577022444499</v>
      </c>
      <c r="F39" s="3">
        <f t="shared" si="0"/>
        <v>9.5828542120259819E-2</v>
      </c>
      <c r="G39" s="3">
        <f t="shared" si="1"/>
        <v>0.14388610069850039</v>
      </c>
      <c r="H39" s="3">
        <f t="shared" si="2"/>
        <v>4.8057558578240567E-2</v>
      </c>
      <c r="I39" s="3"/>
      <c r="J39" s="2">
        <v>201207</v>
      </c>
      <c r="K39" s="3">
        <v>4.0560861088501099</v>
      </c>
      <c r="M39" s="2">
        <v>201207</v>
      </c>
      <c r="N39">
        <v>4.03634091987613</v>
      </c>
      <c r="P39" s="2">
        <v>201207</v>
      </c>
      <c r="Q39">
        <v>3.9854005126601701</v>
      </c>
    </row>
    <row r="40" spans="2:17">
      <c r="B40" s="1">
        <v>41030</v>
      </c>
      <c r="C40" s="3">
        <v>4.2242301782795497</v>
      </c>
      <c r="D40">
        <v>4.1548872677278599</v>
      </c>
      <c r="E40">
        <v>4.1002426486852297</v>
      </c>
      <c r="F40" s="3">
        <f t="shared" si="0"/>
        <v>6.934291055168984E-2</v>
      </c>
      <c r="G40" s="3">
        <f t="shared" si="1"/>
        <v>0.12398752959432002</v>
      </c>
      <c r="H40" s="3">
        <f t="shared" si="2"/>
        <v>5.4644619042630183E-2</v>
      </c>
      <c r="I40" s="3"/>
      <c r="J40" s="2">
        <v>201206</v>
      </c>
      <c r="K40" s="3">
        <v>4.2229438029429502</v>
      </c>
      <c r="M40" s="2">
        <v>201206</v>
      </c>
      <c r="N40">
        <v>4.1271152608226904</v>
      </c>
      <c r="P40" s="2">
        <v>201206</v>
      </c>
      <c r="Q40">
        <v>4.0790577022444499</v>
      </c>
    </row>
    <row r="41" spans="2:17">
      <c r="B41" s="1">
        <v>41000</v>
      </c>
      <c r="C41" s="3">
        <v>4.1620115578010397</v>
      </c>
      <c r="D41">
        <v>4.1441064432031398</v>
      </c>
      <c r="E41">
        <v>4.0409267494320904</v>
      </c>
      <c r="F41" s="3">
        <f t="shared" si="0"/>
        <v>1.7905114597899896E-2</v>
      </c>
      <c r="G41" s="3">
        <f t="shared" si="1"/>
        <v>0.1210848083689493</v>
      </c>
      <c r="H41" s="3">
        <f t="shared" si="2"/>
        <v>0.10317969377104941</v>
      </c>
      <c r="I41" s="3"/>
      <c r="J41" s="2">
        <v>201205</v>
      </c>
      <c r="K41" s="3">
        <v>4.2242301782795497</v>
      </c>
      <c r="M41" s="2">
        <v>201205</v>
      </c>
      <c r="N41">
        <v>4.1548872677278599</v>
      </c>
      <c r="P41" s="2">
        <v>201205</v>
      </c>
      <c r="Q41">
        <v>4.1002426486852297</v>
      </c>
    </row>
    <row r="42" spans="2:17">
      <c r="B42" s="1">
        <v>40969</v>
      </c>
      <c r="C42" s="3">
        <v>4.1614549776736496</v>
      </c>
      <c r="D42">
        <v>4.1455110258129597</v>
      </c>
      <c r="E42">
        <v>4.0478975932306902</v>
      </c>
      <c r="F42" s="3">
        <f t="shared" si="0"/>
        <v>1.5943951860689864E-2</v>
      </c>
      <c r="G42" s="3">
        <f t="shared" si="1"/>
        <v>0.11355738444295937</v>
      </c>
      <c r="H42" s="3">
        <f t="shared" si="2"/>
        <v>9.761343258226951E-2</v>
      </c>
      <c r="I42" s="3"/>
      <c r="J42" s="2">
        <v>201204</v>
      </c>
      <c r="K42" s="3">
        <v>4.1620115578010397</v>
      </c>
      <c r="M42" s="2">
        <v>201204</v>
      </c>
      <c r="N42">
        <v>4.1441064432031398</v>
      </c>
      <c r="P42" s="2">
        <v>201204</v>
      </c>
      <c r="Q42">
        <v>4.0409267494320904</v>
      </c>
    </row>
    <row r="43" spans="2:17">
      <c r="B43" s="1">
        <v>40940</v>
      </c>
      <c r="C43" s="3">
        <v>4.24191259357237</v>
      </c>
      <c r="D43">
        <v>4.1966378860258597</v>
      </c>
      <c r="E43">
        <v>4.14067326449545</v>
      </c>
      <c r="F43" s="3">
        <f t="shared" si="0"/>
        <v>4.5274707546510307E-2</v>
      </c>
      <c r="G43" s="3">
        <f t="shared" si="1"/>
        <v>0.10123932907692001</v>
      </c>
      <c r="H43" s="3">
        <f t="shared" si="2"/>
        <v>5.5964621530409708E-2</v>
      </c>
      <c r="I43" s="3"/>
      <c r="J43" s="2">
        <v>201203</v>
      </c>
      <c r="K43" s="3">
        <v>4.1614549776736496</v>
      </c>
      <c r="M43" s="2">
        <v>201203</v>
      </c>
      <c r="N43">
        <v>4.1455110258129597</v>
      </c>
      <c r="P43" s="2">
        <v>201203</v>
      </c>
      <c r="Q43">
        <v>4.0478975932306902</v>
      </c>
    </row>
    <row r="44" spans="2:17">
      <c r="B44" s="1">
        <v>40909</v>
      </c>
      <c r="C44" s="3">
        <v>4.3220030191500598</v>
      </c>
      <c r="D44">
        <v>4.3132290953588202</v>
      </c>
      <c r="E44">
        <v>4.2029500818676899</v>
      </c>
      <c r="F44" s="3">
        <f t="shared" si="0"/>
        <v>8.7739237912396462E-3</v>
      </c>
      <c r="G44" s="3">
        <f t="shared" si="1"/>
        <v>0.11905293728236988</v>
      </c>
      <c r="H44" s="3">
        <f t="shared" si="2"/>
        <v>0.11027901349113023</v>
      </c>
      <c r="I44" s="3"/>
      <c r="J44" s="2">
        <v>201202</v>
      </c>
      <c r="K44" s="3">
        <v>4.24191259357237</v>
      </c>
      <c r="M44" s="2">
        <v>201202</v>
      </c>
      <c r="N44">
        <v>4.1966378860258597</v>
      </c>
      <c r="P44" s="2">
        <v>201202</v>
      </c>
      <c r="Q44">
        <v>4.14067326449545</v>
      </c>
    </row>
    <row r="45" spans="2:17">
      <c r="B45" s="1">
        <v>40878</v>
      </c>
      <c r="C45" s="3">
        <v>4.3164000211197502</v>
      </c>
      <c r="D45">
        <v>4.2494279574347003</v>
      </c>
      <c r="E45">
        <v>4.1968989041731799</v>
      </c>
      <c r="F45" s="3">
        <f t="shared" si="0"/>
        <v>6.6972063685049932E-2</v>
      </c>
      <c r="G45" s="3">
        <f t="shared" si="1"/>
        <v>0.11950111694657028</v>
      </c>
      <c r="H45" s="3">
        <f t="shared" si="2"/>
        <v>5.2529053261520353E-2</v>
      </c>
      <c r="I45" s="3"/>
      <c r="J45" s="2">
        <v>201201</v>
      </c>
      <c r="K45" s="3">
        <v>4.3220030191500598</v>
      </c>
      <c r="M45" s="2">
        <v>201201</v>
      </c>
      <c r="N45">
        <v>4.3132290953588202</v>
      </c>
      <c r="P45" s="2">
        <v>201201</v>
      </c>
      <c r="Q45">
        <v>4.2029500818676899</v>
      </c>
    </row>
    <row r="46" spans="2:17">
      <c r="B46" s="1">
        <v>40848</v>
      </c>
      <c r="C46" s="3">
        <v>4.3517907750955702</v>
      </c>
      <c r="D46">
        <v>4.3590115972600501</v>
      </c>
      <c r="E46">
        <v>4.2568355281352401</v>
      </c>
      <c r="F46" s="3">
        <f t="shared" si="0"/>
        <v>-7.2208221644798343E-3</v>
      </c>
      <c r="G46" s="3">
        <f t="shared" si="1"/>
        <v>9.4955246960330086E-2</v>
      </c>
      <c r="H46" s="3">
        <f t="shared" si="2"/>
        <v>0.10217606912480992</v>
      </c>
      <c r="I46" s="3"/>
      <c r="J46" s="2">
        <v>201112</v>
      </c>
      <c r="K46" s="3">
        <v>4.3164000211197502</v>
      </c>
      <c r="M46" s="2">
        <v>201112</v>
      </c>
      <c r="N46">
        <v>4.2494279574347003</v>
      </c>
      <c r="P46" s="2">
        <v>201112</v>
      </c>
      <c r="Q46">
        <v>4.1968989041731799</v>
      </c>
    </row>
    <row r="47" spans="2:17">
      <c r="B47" s="1">
        <v>40817</v>
      </c>
      <c r="C47" s="3">
        <v>4.4936991444587298</v>
      </c>
      <c r="D47">
        <v>4.4692320389657896</v>
      </c>
      <c r="E47">
        <v>4.3721467352298697</v>
      </c>
      <c r="F47" s="3">
        <f t="shared" si="0"/>
        <v>2.4467105492940178E-2</v>
      </c>
      <c r="G47" s="3">
        <f t="shared" si="1"/>
        <v>0.12155240922886001</v>
      </c>
      <c r="H47" s="3">
        <f t="shared" si="2"/>
        <v>9.7085303735919837E-2</v>
      </c>
      <c r="I47" s="3"/>
      <c r="J47" s="2">
        <v>201111</v>
      </c>
      <c r="K47" s="3">
        <v>4.3517907750955702</v>
      </c>
      <c r="M47" s="2">
        <v>201111</v>
      </c>
      <c r="N47">
        <v>4.3590115972600501</v>
      </c>
      <c r="P47" s="2">
        <v>201111</v>
      </c>
      <c r="Q47">
        <v>4.2568355281352401</v>
      </c>
    </row>
    <row r="48" spans="2:17">
      <c r="B48" s="1">
        <v>40787</v>
      </c>
      <c r="C48" s="3">
        <v>4.7513287199012098</v>
      </c>
      <c r="D48">
        <v>4.7682766893492499</v>
      </c>
      <c r="E48">
        <v>4.6169836264769701</v>
      </c>
      <c r="F48" s="3">
        <f t="shared" si="0"/>
        <v>-1.6947969448040112E-2</v>
      </c>
      <c r="G48" s="3">
        <f t="shared" si="1"/>
        <v>0.13434509342423961</v>
      </c>
      <c r="H48" s="3">
        <f t="shared" si="2"/>
        <v>0.15129306287227973</v>
      </c>
      <c r="I48" s="3"/>
      <c r="J48" s="2">
        <v>201110</v>
      </c>
      <c r="K48" s="3">
        <v>4.4936991444587298</v>
      </c>
      <c r="M48" s="2">
        <v>201110</v>
      </c>
      <c r="N48">
        <v>4.4692320389657896</v>
      </c>
      <c r="P48" s="2">
        <v>201110</v>
      </c>
      <c r="Q48">
        <v>4.3721467352298697</v>
      </c>
    </row>
    <row r="49" spans="2:17">
      <c r="B49" s="1">
        <v>40756</v>
      </c>
      <c r="C49" s="3">
        <v>4.8443902053957197</v>
      </c>
      <c r="D49">
        <v>4.7478207371416996</v>
      </c>
      <c r="E49">
        <v>4.7634430385864599</v>
      </c>
      <c r="F49" s="3">
        <f t="shared" si="0"/>
        <v>9.656946825402013E-2</v>
      </c>
      <c r="G49" s="3">
        <f t="shared" si="1"/>
        <v>8.0947166809259841E-2</v>
      </c>
      <c r="H49" s="3">
        <f t="shared" si="2"/>
        <v>-1.5622301444760289E-2</v>
      </c>
      <c r="I49" s="3"/>
      <c r="J49" s="2">
        <v>201109</v>
      </c>
      <c r="K49" s="3">
        <v>4.7513287199012098</v>
      </c>
      <c r="M49" s="2">
        <v>201109</v>
      </c>
      <c r="N49">
        <v>4.7682766893492499</v>
      </c>
      <c r="P49" s="2">
        <v>201109</v>
      </c>
      <c r="Q49">
        <v>4.6169836264769701</v>
      </c>
    </row>
    <row r="50" spans="2:17">
      <c r="B50" s="1">
        <v>40725</v>
      </c>
      <c r="C50" s="3">
        <v>4.9274514094050899</v>
      </c>
      <c r="D50">
        <v>4.8540062875858103</v>
      </c>
      <c r="E50">
        <v>4.8578892695632803</v>
      </c>
      <c r="F50" s="3">
        <f t="shared" si="0"/>
        <v>7.3445121819279535E-2</v>
      </c>
      <c r="G50" s="3">
        <f t="shared" si="1"/>
        <v>6.9562139841809589E-2</v>
      </c>
      <c r="H50" s="3">
        <f t="shared" si="2"/>
        <v>-3.8829819774699459E-3</v>
      </c>
      <c r="I50" s="3"/>
      <c r="J50" s="2">
        <v>201108</v>
      </c>
      <c r="K50" s="3">
        <v>4.8443902053957197</v>
      </c>
      <c r="M50" s="2">
        <v>201108</v>
      </c>
      <c r="N50">
        <v>4.7478207371416996</v>
      </c>
      <c r="P50" s="2">
        <v>201108</v>
      </c>
      <c r="Q50">
        <v>4.7634430385864599</v>
      </c>
    </row>
    <row r="51" spans="2:17">
      <c r="B51" s="1">
        <v>40695</v>
      </c>
      <c r="C51" s="3">
        <v>5.0862044938779798</v>
      </c>
      <c r="D51">
        <v>5.1320761173384204</v>
      </c>
      <c r="E51">
        <v>4.9746655987343598</v>
      </c>
      <c r="F51" s="3">
        <f t="shared" si="0"/>
        <v>-4.5871623460440603E-2</v>
      </c>
      <c r="G51" s="3">
        <f t="shared" si="1"/>
        <v>0.11153889514362003</v>
      </c>
      <c r="H51" s="3">
        <f t="shared" si="2"/>
        <v>0.15741051860406063</v>
      </c>
      <c r="I51" s="3"/>
      <c r="J51" s="2">
        <v>201107</v>
      </c>
      <c r="K51" s="3">
        <v>4.9274514094050899</v>
      </c>
      <c r="M51" s="2">
        <v>201107</v>
      </c>
      <c r="N51">
        <v>4.8540062875858103</v>
      </c>
      <c r="P51" s="2">
        <v>201107</v>
      </c>
      <c r="Q51">
        <v>4.8578892695632803</v>
      </c>
    </row>
    <row r="52" spans="2:17">
      <c r="B52" s="1">
        <v>40664</v>
      </c>
      <c r="C52" s="3">
        <v>5.1135709914424803</v>
      </c>
      <c r="D52">
        <v>5.1404464653703004</v>
      </c>
      <c r="E52">
        <v>4.98657502357407</v>
      </c>
      <c r="F52" s="3">
        <f t="shared" si="0"/>
        <v>-2.6875473927820082E-2</v>
      </c>
      <c r="G52" s="3">
        <f t="shared" si="1"/>
        <v>0.12699596786841028</v>
      </c>
      <c r="H52" s="3">
        <f t="shared" si="2"/>
        <v>0.15387144179623036</v>
      </c>
      <c r="I52" s="3"/>
      <c r="J52" s="2">
        <v>201106</v>
      </c>
      <c r="K52" s="3">
        <v>5.0862044938779798</v>
      </c>
      <c r="M52" s="2">
        <v>201106</v>
      </c>
      <c r="N52">
        <v>5.1320761173384204</v>
      </c>
      <c r="P52" s="2">
        <v>201106</v>
      </c>
      <c r="Q52">
        <v>4.9746655987343598</v>
      </c>
    </row>
    <row r="53" spans="2:17">
      <c r="B53" s="1">
        <v>40634</v>
      </c>
      <c r="C53" s="3">
        <v>5.0463244306028896</v>
      </c>
      <c r="D53">
        <v>5.1431101979326899</v>
      </c>
      <c r="E53">
        <v>5.0076603184377104</v>
      </c>
      <c r="F53" s="3">
        <f t="shared" si="0"/>
        <v>-9.6785767329800265E-2</v>
      </c>
      <c r="G53" s="3">
        <f t="shared" si="1"/>
        <v>3.8664112165179176E-2</v>
      </c>
      <c r="H53" s="3">
        <f t="shared" si="2"/>
        <v>0.13544987949497944</v>
      </c>
      <c r="I53" s="3"/>
      <c r="J53" s="2">
        <v>201105</v>
      </c>
      <c r="K53" s="3">
        <v>5.1135709914424803</v>
      </c>
      <c r="M53" s="2">
        <v>201105</v>
      </c>
      <c r="N53">
        <v>5.1404464653703004</v>
      </c>
      <c r="P53" s="2">
        <v>201105</v>
      </c>
      <c r="Q53">
        <v>4.98657502357407</v>
      </c>
    </row>
    <row r="54" spans="2:17">
      <c r="B54" s="1">
        <v>40603</v>
      </c>
      <c r="C54" s="3">
        <v>4.8590088635726802</v>
      </c>
      <c r="D54">
        <v>4.9838555740272001</v>
      </c>
      <c r="E54">
        <v>4.8635280911523404</v>
      </c>
      <c r="F54" s="3">
        <f t="shared" si="0"/>
        <v>-0.12484671045451989</v>
      </c>
      <c r="G54" s="3">
        <f t="shared" si="1"/>
        <v>-4.5192275796601677E-3</v>
      </c>
      <c r="H54" s="3">
        <f t="shared" si="2"/>
        <v>0.12032748287485973</v>
      </c>
      <c r="I54" s="3"/>
      <c r="J54" s="2">
        <v>201104</v>
      </c>
      <c r="K54" s="3">
        <v>5.0463244306028896</v>
      </c>
      <c r="M54" s="2">
        <v>201104</v>
      </c>
      <c r="N54">
        <v>5.1431101979326899</v>
      </c>
      <c r="P54" s="2">
        <v>201104</v>
      </c>
      <c r="Q54">
        <v>5.0076603184377104</v>
      </c>
    </row>
    <row r="55" spans="2:17">
      <c r="B55" s="1">
        <v>40575</v>
      </c>
      <c r="C55" s="3">
        <v>4.6867208007411403</v>
      </c>
      <c r="D55">
        <v>4.8381941388271796</v>
      </c>
      <c r="E55">
        <v>4.6860354061875897</v>
      </c>
      <c r="F55" s="3">
        <f t="shared" si="0"/>
        <v>-0.15147333808603936</v>
      </c>
      <c r="G55" s="3">
        <f t="shared" si="1"/>
        <v>6.8539455355054457E-4</v>
      </c>
      <c r="H55" s="3">
        <f t="shared" si="2"/>
        <v>0.1521587326395899</v>
      </c>
      <c r="I55" s="3"/>
      <c r="J55" s="2">
        <v>201103</v>
      </c>
      <c r="K55" s="3">
        <v>4.8590088635726802</v>
      </c>
      <c r="M55" s="2">
        <v>201103</v>
      </c>
      <c r="N55">
        <v>4.9838555740272001</v>
      </c>
      <c r="P55" s="2">
        <v>201103</v>
      </c>
      <c r="Q55">
        <v>4.8635280911523404</v>
      </c>
    </row>
    <row r="56" spans="2:17">
      <c r="B56" s="1">
        <v>40544</v>
      </c>
      <c r="C56" s="3">
        <v>4.5060439423599803</v>
      </c>
      <c r="D56">
        <v>4.5285699349956499</v>
      </c>
      <c r="E56">
        <v>4.4712870485772704</v>
      </c>
      <c r="F56" s="3">
        <f t="shared" si="0"/>
        <v>-2.2525992635669567E-2</v>
      </c>
      <c r="G56" s="3">
        <f t="shared" si="1"/>
        <v>3.4756893782709852E-2</v>
      </c>
      <c r="H56" s="3">
        <f t="shared" si="2"/>
        <v>5.728288641837942E-2</v>
      </c>
      <c r="I56" s="3"/>
      <c r="J56" s="2">
        <v>201102</v>
      </c>
      <c r="K56" s="3">
        <v>4.6867208007411403</v>
      </c>
      <c r="M56" s="2">
        <v>201102</v>
      </c>
      <c r="N56">
        <v>4.8381941388271796</v>
      </c>
      <c r="P56" s="2">
        <v>201102</v>
      </c>
      <c r="Q56">
        <v>4.6860354061875897</v>
      </c>
    </row>
    <row r="57" spans="2:17">
      <c r="B57" s="1">
        <v>40513</v>
      </c>
      <c r="C57" s="3">
        <v>4.4668878031957302</v>
      </c>
      <c r="D57">
        <v>4.41486435815</v>
      </c>
      <c r="E57">
        <v>4.3905111947707098</v>
      </c>
      <c r="F57" s="3">
        <f t="shared" si="0"/>
        <v>5.2023445045730199E-2</v>
      </c>
      <c r="G57" s="3">
        <f t="shared" si="1"/>
        <v>7.6376608425020365E-2</v>
      </c>
      <c r="H57" s="3">
        <f t="shared" si="2"/>
        <v>2.4353163379290166E-2</v>
      </c>
      <c r="I57" s="3"/>
      <c r="J57" s="2">
        <v>201101</v>
      </c>
      <c r="K57" s="3">
        <v>4.5060439423599803</v>
      </c>
      <c r="M57" s="2">
        <v>201101</v>
      </c>
      <c r="N57">
        <v>4.5285699349956499</v>
      </c>
      <c r="P57" s="2">
        <v>201101</v>
      </c>
      <c r="Q57">
        <v>4.4712870485772704</v>
      </c>
    </row>
    <row r="58" spans="2:17">
      <c r="B58" s="1">
        <v>40483</v>
      </c>
      <c r="C58" s="3">
        <v>4.5632678855802196</v>
      </c>
      <c r="D58">
        <v>4.5248692631361402</v>
      </c>
      <c r="E58">
        <v>4.4457385281480803</v>
      </c>
      <c r="F58" s="3">
        <f t="shared" si="0"/>
        <v>3.8398622444079322E-2</v>
      </c>
      <c r="G58" s="3">
        <f t="shared" si="1"/>
        <v>0.11752935743213921</v>
      </c>
      <c r="H58" s="3">
        <f t="shared" si="2"/>
        <v>7.9130734988059892E-2</v>
      </c>
      <c r="I58" s="3"/>
      <c r="J58" s="2">
        <v>201012</v>
      </c>
      <c r="K58" s="3">
        <v>4.4668878031957302</v>
      </c>
      <c r="M58" s="2">
        <v>201012</v>
      </c>
      <c r="N58">
        <v>4.41486435815</v>
      </c>
      <c r="P58" s="2">
        <v>201012</v>
      </c>
      <c r="Q58">
        <v>4.3905111947707098</v>
      </c>
    </row>
    <row r="59" spans="2:17">
      <c r="B59" s="1">
        <v>40452</v>
      </c>
      <c r="C59" s="3">
        <v>4.62159046475906</v>
      </c>
      <c r="D59">
        <v>4.6459202205859498</v>
      </c>
      <c r="E59">
        <v>4.5067790047825698</v>
      </c>
      <c r="F59" s="3">
        <f t="shared" si="0"/>
        <v>-2.4329755826889787E-2</v>
      </c>
      <c r="G59" s="3">
        <f t="shared" si="1"/>
        <v>0.11481145997649023</v>
      </c>
      <c r="H59" s="3">
        <f t="shared" si="2"/>
        <v>0.13914121580338001</v>
      </c>
      <c r="I59" s="3"/>
      <c r="J59" s="2">
        <v>201011</v>
      </c>
      <c r="K59" s="3">
        <v>4.5632678855802196</v>
      </c>
      <c r="M59" s="2">
        <v>201011</v>
      </c>
      <c r="N59">
        <v>4.5248692631361402</v>
      </c>
      <c r="P59" s="2">
        <v>201011</v>
      </c>
      <c r="Q59">
        <v>4.4457385281480803</v>
      </c>
    </row>
    <row r="60" spans="2:17">
      <c r="B60" s="1">
        <v>40422</v>
      </c>
      <c r="C60" s="3">
        <v>4.7337347464183299</v>
      </c>
      <c r="D60">
        <v>4.6956358076668696</v>
      </c>
      <c r="E60">
        <v>4.6261150227303398</v>
      </c>
      <c r="F60" s="3">
        <f t="shared" si="0"/>
        <v>3.809893875146031E-2</v>
      </c>
      <c r="G60" s="3">
        <f t="shared" si="1"/>
        <v>0.10761972368799011</v>
      </c>
      <c r="H60" s="3">
        <f t="shared" si="2"/>
        <v>6.95207849365298E-2</v>
      </c>
      <c r="I60" s="3"/>
      <c r="J60" s="2">
        <v>201010</v>
      </c>
      <c r="K60" s="3">
        <v>4.62159046475906</v>
      </c>
      <c r="M60" s="2">
        <v>201010</v>
      </c>
      <c r="N60">
        <v>4.6459202205859498</v>
      </c>
      <c r="P60" s="2">
        <v>201010</v>
      </c>
      <c r="Q60">
        <v>4.5067790047825698</v>
      </c>
    </row>
    <row r="61" spans="2:17">
      <c r="B61" s="1">
        <v>40391</v>
      </c>
      <c r="C61" s="3">
        <v>4.8841833025523602</v>
      </c>
      <c r="D61">
        <v>4.7923556922189396</v>
      </c>
      <c r="E61">
        <v>4.7830777715130903</v>
      </c>
      <c r="F61" s="3">
        <f t="shared" si="0"/>
        <v>9.1827610333420573E-2</v>
      </c>
      <c r="G61" s="3">
        <f t="shared" si="1"/>
        <v>0.10110553103926989</v>
      </c>
      <c r="H61" s="3">
        <f t="shared" si="2"/>
        <v>9.2779207058493185E-3</v>
      </c>
      <c r="I61" s="3"/>
      <c r="J61" s="2">
        <v>201009</v>
      </c>
      <c r="K61" s="3">
        <v>4.7337347464183299</v>
      </c>
      <c r="M61" s="2">
        <v>201009</v>
      </c>
      <c r="N61">
        <v>4.6956358076668696</v>
      </c>
      <c r="P61" s="2">
        <v>201009</v>
      </c>
      <c r="Q61">
        <v>4.6261150227303398</v>
      </c>
    </row>
    <row r="62" spans="2:17">
      <c r="B62" s="1">
        <v>40360</v>
      </c>
      <c r="C62" s="3">
        <v>5.0912604595516804</v>
      </c>
      <c r="D62">
        <v>5.15253596141266</v>
      </c>
      <c r="E62">
        <v>5.0003167718385599</v>
      </c>
      <c r="F62" s="3">
        <f t="shared" si="0"/>
        <v>-6.1275501860979631E-2</v>
      </c>
      <c r="G62" s="3">
        <f t="shared" si="1"/>
        <v>9.0943687713120447E-2</v>
      </c>
      <c r="H62" s="3">
        <f t="shared" si="2"/>
        <v>0.15221918957410008</v>
      </c>
      <c r="I62" s="3"/>
      <c r="J62" s="2">
        <v>201008</v>
      </c>
      <c r="K62" s="3">
        <v>4.8841833025523602</v>
      </c>
      <c r="M62" s="2">
        <v>201008</v>
      </c>
      <c r="N62">
        <v>4.7923556922189396</v>
      </c>
      <c r="P62" s="2">
        <v>201008</v>
      </c>
      <c r="Q62">
        <v>4.7830777715130903</v>
      </c>
    </row>
    <row r="63" spans="2:17">
      <c r="B63" s="1">
        <v>40330</v>
      </c>
      <c r="C63" s="3">
        <v>5.1929510813334598</v>
      </c>
      <c r="D63">
        <v>5.2257018601174998</v>
      </c>
      <c r="E63">
        <v>5.1788543495760999</v>
      </c>
      <c r="F63" s="3">
        <f t="shared" si="0"/>
        <v>-3.275077878403998E-2</v>
      </c>
      <c r="G63" s="3">
        <f t="shared" si="1"/>
        <v>1.4096731757359926E-2</v>
      </c>
      <c r="H63" s="3">
        <f t="shared" si="2"/>
        <v>4.6847510541399906E-2</v>
      </c>
      <c r="I63" s="3"/>
      <c r="J63" s="2">
        <v>201007</v>
      </c>
      <c r="K63" s="3">
        <v>5.0912604595516804</v>
      </c>
      <c r="M63" s="2">
        <v>201007</v>
      </c>
      <c r="N63">
        <v>5.15253596141266</v>
      </c>
      <c r="P63" s="2">
        <v>201007</v>
      </c>
      <c r="Q63">
        <v>5.0003167718385599</v>
      </c>
    </row>
    <row r="64" spans="2:17">
      <c r="B64" s="1">
        <v>40299</v>
      </c>
      <c r="C64" s="3">
        <v>5.1906864043967502</v>
      </c>
      <c r="D64">
        <v>5.18999616870392</v>
      </c>
      <c r="E64">
        <v>5.1537176584331696</v>
      </c>
      <c r="F64" s="3">
        <f t="shared" si="0"/>
        <v>6.9023569283022113E-4</v>
      </c>
      <c r="G64" s="3">
        <f t="shared" si="1"/>
        <v>3.6968745963580574E-2</v>
      </c>
      <c r="H64" s="3">
        <f t="shared" si="2"/>
        <v>3.6278510270750353E-2</v>
      </c>
      <c r="I64" s="3"/>
      <c r="J64" s="2">
        <v>201006</v>
      </c>
      <c r="K64" s="3">
        <v>5.1929510813334598</v>
      </c>
      <c r="M64" s="2">
        <v>201006</v>
      </c>
      <c r="N64">
        <v>5.2257018601174998</v>
      </c>
      <c r="P64" s="2">
        <v>201006</v>
      </c>
      <c r="Q64">
        <v>5.1788543495760999</v>
      </c>
    </row>
    <row r="65" spans="2:17">
      <c r="B65" s="1">
        <v>40269</v>
      </c>
      <c r="C65" s="3">
        <v>5.1334162100121601</v>
      </c>
      <c r="D65">
        <v>5.15649723080237</v>
      </c>
      <c r="E65">
        <v>5.1034148368661603</v>
      </c>
      <c r="F65" s="3">
        <f t="shared" si="0"/>
        <v>-2.3081020790209905E-2</v>
      </c>
      <c r="G65" s="3">
        <f t="shared" si="1"/>
        <v>3.0001373145999821E-2</v>
      </c>
      <c r="H65" s="3">
        <f t="shared" si="2"/>
        <v>5.3082393936209726E-2</v>
      </c>
      <c r="I65" s="3"/>
      <c r="J65" s="2">
        <v>201005</v>
      </c>
      <c r="K65" s="3">
        <v>5.1906864043967502</v>
      </c>
      <c r="M65" s="2">
        <v>201005</v>
      </c>
      <c r="N65">
        <v>5.18999616870392</v>
      </c>
      <c r="P65" s="2">
        <v>201005</v>
      </c>
      <c r="Q65">
        <v>5.1537176584331696</v>
      </c>
    </row>
    <row r="66" spans="2:17">
      <c r="B66" s="1">
        <v>40238</v>
      </c>
      <c r="C66" s="3">
        <v>5.1218708199179099</v>
      </c>
      <c r="D66">
        <v>5.1392350295749196</v>
      </c>
      <c r="E66">
        <v>5.1248070318258598</v>
      </c>
      <c r="F66" s="3">
        <f t="shared" si="0"/>
        <v>-1.7364209657009688E-2</v>
      </c>
      <c r="G66" s="3">
        <f t="shared" si="1"/>
        <v>-2.9362119079499038E-3</v>
      </c>
      <c r="H66" s="3">
        <f t="shared" si="2"/>
        <v>1.4427997749059784E-2</v>
      </c>
      <c r="I66" s="3"/>
      <c r="J66" s="2">
        <v>201004</v>
      </c>
      <c r="K66" s="3">
        <v>5.1334162100121601</v>
      </c>
      <c r="M66" s="2">
        <v>201004</v>
      </c>
      <c r="N66">
        <v>5.15649723080237</v>
      </c>
      <c r="P66" s="2">
        <v>201004</v>
      </c>
      <c r="Q66">
        <v>5.1034148368661603</v>
      </c>
    </row>
    <row r="67" spans="2:17">
      <c r="B67" s="1">
        <v>40210</v>
      </c>
      <c r="C67" s="3">
        <v>5.0451855856974497</v>
      </c>
      <c r="D67">
        <v>5.0826725728041504</v>
      </c>
      <c r="E67">
        <v>5.0159530210018897</v>
      </c>
      <c r="F67" s="3">
        <f t="shared" si="0"/>
        <v>-3.7486987106700731E-2</v>
      </c>
      <c r="G67" s="3">
        <f t="shared" si="1"/>
        <v>2.9232564695560015E-2</v>
      </c>
      <c r="H67" s="3">
        <f t="shared" si="2"/>
        <v>6.6719551802260746E-2</v>
      </c>
      <c r="I67" s="3"/>
      <c r="J67" s="2">
        <v>201003</v>
      </c>
      <c r="K67" s="3">
        <v>5.1218708199179099</v>
      </c>
      <c r="M67" s="2">
        <v>201003</v>
      </c>
      <c r="N67">
        <v>5.1392350295749196</v>
      </c>
      <c r="P67" s="2">
        <v>201003</v>
      </c>
      <c r="Q67">
        <v>5.1248070318258598</v>
      </c>
    </row>
    <row r="68" spans="2:17">
      <c r="B68" s="1">
        <v>40179</v>
      </c>
      <c r="C68" s="3">
        <v>5.0541375220457798</v>
      </c>
      <c r="D68">
        <v>5.01553747306742</v>
      </c>
      <c r="E68">
        <v>4.9632501085597696</v>
      </c>
      <c r="F68" s="3">
        <f t="shared" si="0"/>
        <v>3.860004897835978E-2</v>
      </c>
      <c r="G68" s="3">
        <f t="shared" si="1"/>
        <v>9.088741348601026E-2</v>
      </c>
      <c r="H68" s="3">
        <f t="shared" si="2"/>
        <v>5.228736450765048E-2</v>
      </c>
      <c r="I68" s="3"/>
      <c r="J68" s="2">
        <v>201002</v>
      </c>
      <c r="K68" s="3">
        <v>5.0451855856974497</v>
      </c>
      <c r="M68" s="2">
        <v>201002</v>
      </c>
      <c r="N68">
        <v>5.0826725728041504</v>
      </c>
      <c r="P68" s="2">
        <v>201002</v>
      </c>
      <c r="Q68">
        <v>5.0159530210018897</v>
      </c>
    </row>
    <row r="69" spans="2:17">
      <c r="B69" s="1">
        <v>40148</v>
      </c>
      <c r="C69" s="3">
        <v>5.0606226136860402</v>
      </c>
      <c r="D69">
        <v>5.0692140548758804</v>
      </c>
      <c r="E69">
        <v>5.0386489726051797</v>
      </c>
      <c r="F69" s="3">
        <f t="shared" ref="F69:F127" si="3">C69-D69</f>
        <v>-8.5914411898402321E-3</v>
      </c>
      <c r="G69" s="3">
        <f t="shared" ref="G69:G127" si="4">C69-E69</f>
        <v>2.1973641080860418E-2</v>
      </c>
      <c r="H69" s="3">
        <f t="shared" ref="H69:H127" si="5">D69-E69</f>
        <v>3.056508227070065E-2</v>
      </c>
      <c r="I69" s="3"/>
      <c r="J69" s="2">
        <v>201001</v>
      </c>
      <c r="K69" s="3">
        <v>5.0541375220457798</v>
      </c>
      <c r="M69" s="2">
        <v>201001</v>
      </c>
      <c r="N69">
        <v>5.01553747306742</v>
      </c>
      <c r="P69" s="2">
        <v>201001</v>
      </c>
      <c r="Q69">
        <v>4.9632501085597696</v>
      </c>
    </row>
    <row r="70" spans="2:17">
      <c r="B70" s="1">
        <v>40118</v>
      </c>
      <c r="C70" s="3">
        <v>5.0792960555141597</v>
      </c>
      <c r="D70">
        <v>5.1110662126140003</v>
      </c>
      <c r="E70">
        <v>5.0933463421058596</v>
      </c>
      <c r="F70" s="3">
        <f t="shared" si="3"/>
        <v>-3.1770157099840546E-2</v>
      </c>
      <c r="G70" s="3">
        <f t="shared" si="4"/>
        <v>-1.4050286591699823E-2</v>
      </c>
      <c r="H70" s="3">
        <f t="shared" si="5"/>
        <v>1.7719870508140723E-2</v>
      </c>
      <c r="I70" s="3"/>
      <c r="J70" s="2">
        <v>200912</v>
      </c>
      <c r="K70" s="3">
        <v>5.0606226136860402</v>
      </c>
      <c r="M70" s="2">
        <v>200912</v>
      </c>
      <c r="N70">
        <v>5.0692140548758804</v>
      </c>
      <c r="P70" s="2">
        <v>200912</v>
      </c>
      <c r="Q70">
        <v>5.0386489726051797</v>
      </c>
    </row>
    <row r="71" spans="2:17">
      <c r="B71" s="1">
        <v>40087</v>
      </c>
      <c r="C71" s="3">
        <v>5.0794393502392197</v>
      </c>
      <c r="D71">
        <v>5.2066374282189702</v>
      </c>
      <c r="E71">
        <v>5.2601486428783</v>
      </c>
      <c r="F71" s="3">
        <f t="shared" si="3"/>
        <v>-0.12719807797975058</v>
      </c>
      <c r="G71" s="3">
        <f t="shared" si="4"/>
        <v>-0.18070929263908031</v>
      </c>
      <c r="H71" s="3">
        <f t="shared" si="5"/>
        <v>-5.3511214659329731E-2</v>
      </c>
      <c r="I71" s="3"/>
      <c r="J71" s="2">
        <v>200911</v>
      </c>
      <c r="K71" s="3">
        <v>5.0792960555141597</v>
      </c>
      <c r="M71" s="2">
        <v>200911</v>
      </c>
      <c r="N71">
        <v>5.1110662126140003</v>
      </c>
      <c r="P71" s="2">
        <v>200911</v>
      </c>
      <c r="Q71">
        <v>5.0933463421058596</v>
      </c>
    </row>
    <row r="72" spans="2:17">
      <c r="B72" s="1">
        <v>40057</v>
      </c>
      <c r="C72" s="3">
        <v>5.0403811867557602</v>
      </c>
      <c r="D72">
        <v>5.2410154532508004</v>
      </c>
      <c r="E72">
        <v>5.2443473252374604</v>
      </c>
      <c r="F72" s="3">
        <f t="shared" si="3"/>
        <v>-0.20063426649504024</v>
      </c>
      <c r="G72" s="3">
        <f t="shared" si="4"/>
        <v>-0.2039661384817002</v>
      </c>
      <c r="H72" s="3">
        <f t="shared" si="5"/>
        <v>-3.3318719866599622E-3</v>
      </c>
      <c r="I72" s="3"/>
      <c r="J72" s="2">
        <v>200910</v>
      </c>
      <c r="K72" s="3">
        <v>5.0794393502392197</v>
      </c>
      <c r="M72" s="2">
        <v>200910</v>
      </c>
      <c r="N72">
        <v>5.2066374282189702</v>
      </c>
      <c r="P72" s="2">
        <v>200910</v>
      </c>
      <c r="Q72">
        <v>5.2601486428783</v>
      </c>
    </row>
    <row r="73" spans="2:17">
      <c r="B73" s="1">
        <v>40026</v>
      </c>
      <c r="C73" s="3">
        <v>4.95289064212876</v>
      </c>
      <c r="D73">
        <v>5.1608810161246303</v>
      </c>
      <c r="E73">
        <v>5.1367781373208299</v>
      </c>
      <c r="F73" s="3">
        <f t="shared" si="3"/>
        <v>-0.20799037399587039</v>
      </c>
      <c r="G73" s="3">
        <f t="shared" si="4"/>
        <v>-0.18388749519206993</v>
      </c>
      <c r="H73" s="3">
        <f t="shared" si="5"/>
        <v>2.4102878803800465E-2</v>
      </c>
      <c r="I73" s="3"/>
      <c r="J73" s="2">
        <v>200909</v>
      </c>
      <c r="K73" s="3">
        <v>5.0403811867557602</v>
      </c>
      <c r="M73" s="2">
        <v>200909</v>
      </c>
      <c r="N73">
        <v>5.2410154532508004</v>
      </c>
      <c r="P73" s="2">
        <v>200909</v>
      </c>
      <c r="Q73">
        <v>5.2443473252374604</v>
      </c>
    </row>
    <row r="74" spans="2:17">
      <c r="B74" s="1">
        <v>39995</v>
      </c>
      <c r="C74" s="3">
        <v>4.8531831313021501</v>
      </c>
      <c r="D74">
        <v>4.9337656945362198</v>
      </c>
      <c r="E74">
        <v>4.9548477572333702</v>
      </c>
      <c r="F74" s="3">
        <f t="shared" si="3"/>
        <v>-8.058256323406976E-2</v>
      </c>
      <c r="G74" s="3">
        <f t="shared" si="4"/>
        <v>-0.10166462593122017</v>
      </c>
      <c r="H74" s="3">
        <f t="shared" si="5"/>
        <v>-2.1082062697150405E-2</v>
      </c>
      <c r="I74" s="3"/>
      <c r="J74" s="2">
        <v>200908</v>
      </c>
      <c r="K74" s="3">
        <v>4.95289064212876</v>
      </c>
      <c r="M74" s="2">
        <v>200908</v>
      </c>
      <c r="N74">
        <v>5.1608810161246303</v>
      </c>
      <c r="P74" s="2">
        <v>200908</v>
      </c>
      <c r="Q74">
        <v>5.1367781373208299</v>
      </c>
    </row>
    <row r="75" spans="2:17">
      <c r="B75" s="1">
        <v>39965</v>
      </c>
      <c r="C75" s="3">
        <v>4.8013301791594998</v>
      </c>
      <c r="D75">
        <v>4.8296981876890097</v>
      </c>
      <c r="E75">
        <v>4.8762927677469801</v>
      </c>
      <c r="F75" s="3">
        <f t="shared" si="3"/>
        <v>-2.8368008529509936E-2</v>
      </c>
      <c r="G75" s="3">
        <f t="shared" si="4"/>
        <v>-7.4962588587480283E-2</v>
      </c>
      <c r="H75" s="3">
        <f t="shared" si="5"/>
        <v>-4.6594580057970347E-2</v>
      </c>
      <c r="I75" s="3"/>
      <c r="J75" s="2">
        <v>200907</v>
      </c>
      <c r="K75" s="3">
        <v>4.8531831313021501</v>
      </c>
      <c r="M75" s="2">
        <v>200907</v>
      </c>
      <c r="N75">
        <v>4.9337656945362198</v>
      </c>
      <c r="P75" s="2">
        <v>200907</v>
      </c>
      <c r="Q75">
        <v>4.9548477572333702</v>
      </c>
    </row>
    <row r="76" spans="2:17">
      <c r="B76" s="1">
        <v>39934</v>
      </c>
      <c r="C76" s="3">
        <v>4.83085603281208</v>
      </c>
      <c r="D76">
        <v>4.7321125394413901</v>
      </c>
      <c r="E76">
        <v>4.9061086591673604</v>
      </c>
      <c r="F76" s="3">
        <f t="shared" si="3"/>
        <v>9.8743493370689883E-2</v>
      </c>
      <c r="G76" s="3">
        <f t="shared" si="4"/>
        <v>-7.5252626355280405E-2</v>
      </c>
      <c r="H76" s="3">
        <f t="shared" si="5"/>
        <v>-0.17399611972597029</v>
      </c>
      <c r="I76" s="3"/>
      <c r="J76" s="2">
        <v>200906</v>
      </c>
      <c r="K76" s="3">
        <v>4.8013301791594998</v>
      </c>
      <c r="M76" s="2">
        <v>200906</v>
      </c>
      <c r="N76">
        <v>4.8296981876890097</v>
      </c>
      <c r="P76" s="2">
        <v>200906</v>
      </c>
      <c r="Q76">
        <v>4.8762927677469801</v>
      </c>
    </row>
    <row r="77" spans="2:17">
      <c r="B77" s="1">
        <v>39904</v>
      </c>
      <c r="C77" s="3">
        <v>4.9015203325948198</v>
      </c>
      <c r="D77">
        <v>5.0453954113090296</v>
      </c>
      <c r="E77">
        <v>4.9618112606563001</v>
      </c>
      <c r="F77" s="3">
        <f t="shared" si="3"/>
        <v>-0.14387507871420979</v>
      </c>
      <c r="G77" s="3">
        <f t="shared" si="4"/>
        <v>-6.0290928061480287E-2</v>
      </c>
      <c r="H77" s="3">
        <f t="shared" si="5"/>
        <v>8.3584150652729505E-2</v>
      </c>
      <c r="I77" s="3"/>
      <c r="J77" s="2">
        <v>200905</v>
      </c>
      <c r="K77" s="3">
        <v>4.83085603281208</v>
      </c>
      <c r="M77" s="2">
        <v>200905</v>
      </c>
      <c r="N77">
        <v>4.7321125394413901</v>
      </c>
      <c r="P77" s="2">
        <v>200905</v>
      </c>
      <c r="Q77">
        <v>4.9061086591673604</v>
      </c>
    </row>
    <row r="78" spans="2:17">
      <c r="B78" s="1">
        <v>39873</v>
      </c>
      <c r="C78" s="3">
        <v>4.8974683582280196</v>
      </c>
      <c r="D78">
        <v>4.8706495255193598</v>
      </c>
      <c r="E78">
        <v>4.9168539619839802</v>
      </c>
      <c r="F78" s="3">
        <f t="shared" si="3"/>
        <v>2.6818832708659812E-2</v>
      </c>
      <c r="G78" s="3">
        <f t="shared" si="4"/>
        <v>-1.9385603755960545E-2</v>
      </c>
      <c r="H78" s="3">
        <f t="shared" si="5"/>
        <v>-4.6204436464620358E-2</v>
      </c>
      <c r="I78" s="3"/>
      <c r="J78" s="2">
        <v>200904</v>
      </c>
      <c r="K78" s="3">
        <v>4.9015203325948198</v>
      </c>
      <c r="M78" s="2">
        <v>200904</v>
      </c>
      <c r="N78">
        <v>5.0453954113090296</v>
      </c>
      <c r="P78" s="2">
        <v>200904</v>
      </c>
      <c r="Q78">
        <v>4.9618112606563001</v>
      </c>
    </row>
    <row r="79" spans="2:17">
      <c r="B79" s="1">
        <v>39845</v>
      </c>
      <c r="C79" s="3">
        <v>4.9541864872638604</v>
      </c>
      <c r="D79">
        <v>4.8809365572121903</v>
      </c>
      <c r="E79">
        <v>4.9044960873686003</v>
      </c>
      <c r="F79" s="3">
        <f t="shared" si="3"/>
        <v>7.324993005167002E-2</v>
      </c>
      <c r="G79" s="3">
        <f t="shared" si="4"/>
        <v>4.9690399895260029E-2</v>
      </c>
      <c r="H79" s="3">
        <f t="shared" si="5"/>
        <v>-2.3559530156409991E-2</v>
      </c>
      <c r="I79" s="3"/>
      <c r="J79" s="2">
        <v>200903</v>
      </c>
      <c r="K79" s="3">
        <v>4.8974683582280196</v>
      </c>
      <c r="M79" s="2">
        <v>200903</v>
      </c>
      <c r="N79">
        <v>4.8706495255193598</v>
      </c>
      <c r="P79" s="2">
        <v>200903</v>
      </c>
      <c r="Q79">
        <v>4.9168539619839802</v>
      </c>
    </row>
    <row r="80" spans="2:17">
      <c r="B80" s="1">
        <v>39814</v>
      </c>
      <c r="C80" s="3">
        <v>5.2947982635891897</v>
      </c>
      <c r="D80">
        <v>5.1927871563640897</v>
      </c>
      <c r="E80">
        <v>5.3851185930571397</v>
      </c>
      <c r="F80" s="3">
        <f t="shared" si="3"/>
        <v>0.10201110722509998</v>
      </c>
      <c r="G80" s="3">
        <f t="shared" si="4"/>
        <v>-9.0320329467949989E-2</v>
      </c>
      <c r="H80" s="3">
        <f t="shared" si="5"/>
        <v>-0.19233143669304997</v>
      </c>
      <c r="I80" s="3"/>
      <c r="J80" s="2">
        <v>200902</v>
      </c>
      <c r="K80" s="3">
        <v>4.9541864872638604</v>
      </c>
      <c r="M80" s="2">
        <v>200902</v>
      </c>
      <c r="N80">
        <v>4.8809365572121903</v>
      </c>
      <c r="P80" s="2">
        <v>200902</v>
      </c>
      <c r="Q80">
        <v>4.9044960873686003</v>
      </c>
    </row>
    <row r="81" spans="2:17">
      <c r="B81" s="1">
        <v>39783</v>
      </c>
      <c r="C81" s="3">
        <v>6.0649705930269899</v>
      </c>
      <c r="D81">
        <v>6.3089393939393901</v>
      </c>
      <c r="E81">
        <v>6.0465042807308897</v>
      </c>
      <c r="F81" s="3">
        <f t="shared" si="3"/>
        <v>-0.24396880091240014</v>
      </c>
      <c r="G81" s="3">
        <f t="shared" si="4"/>
        <v>1.8466312296100185E-2</v>
      </c>
      <c r="H81" s="3">
        <f t="shared" si="5"/>
        <v>0.26243511320850033</v>
      </c>
      <c r="I81" s="3"/>
      <c r="J81" s="2">
        <v>200901</v>
      </c>
      <c r="K81" s="3">
        <v>5.2947982635891897</v>
      </c>
      <c r="M81" s="2">
        <v>200901</v>
      </c>
      <c r="N81">
        <v>5.1927871563640897</v>
      </c>
      <c r="P81" s="2">
        <v>200901</v>
      </c>
      <c r="Q81">
        <v>5.3851185930571397</v>
      </c>
    </row>
    <row r="82" spans="2:17">
      <c r="B82" s="1">
        <v>39753</v>
      </c>
      <c r="C82" s="3">
        <v>5.9900204688987104</v>
      </c>
      <c r="D82">
        <v>6.2426661779757104</v>
      </c>
      <c r="E82">
        <v>5.9455455189351198</v>
      </c>
      <c r="F82" s="3">
        <f t="shared" si="3"/>
        <v>-0.25264570907700001</v>
      </c>
      <c r="G82" s="3">
        <f t="shared" si="4"/>
        <v>4.4474949963590582E-2</v>
      </c>
      <c r="H82" s="3">
        <f t="shared" si="5"/>
        <v>0.2971206590405906</v>
      </c>
      <c r="I82" s="3"/>
      <c r="J82" s="2">
        <v>200812</v>
      </c>
      <c r="K82" s="3">
        <v>6.0649705930269899</v>
      </c>
      <c r="M82" s="2">
        <v>200812</v>
      </c>
      <c r="N82">
        <v>6.3089393939393901</v>
      </c>
      <c r="P82" s="2">
        <v>200812</v>
      </c>
      <c r="Q82">
        <v>6.0465042807308897</v>
      </c>
    </row>
    <row r="83" spans="2:17">
      <c r="B83" s="1">
        <v>39722</v>
      </c>
      <c r="C83" s="3">
        <v>6.1484174192605998</v>
      </c>
      <c r="D83">
        <v>6.2653710219975798</v>
      </c>
      <c r="E83">
        <v>6.2270523177524097</v>
      </c>
      <c r="F83" s="3">
        <f t="shared" si="3"/>
        <v>-0.11695360273697997</v>
      </c>
      <c r="G83" s="3">
        <f t="shared" si="4"/>
        <v>-7.8634898491809935E-2</v>
      </c>
      <c r="H83" s="3">
        <f t="shared" si="5"/>
        <v>3.8318704245170032E-2</v>
      </c>
      <c r="I83" s="3"/>
      <c r="J83" s="2">
        <v>200811</v>
      </c>
      <c r="K83" s="3">
        <v>5.9900204688987104</v>
      </c>
      <c r="M83" s="2">
        <v>200811</v>
      </c>
      <c r="N83">
        <v>6.2426661779757104</v>
      </c>
      <c r="P83" s="2">
        <v>200811</v>
      </c>
      <c r="Q83">
        <v>5.9455455189351198</v>
      </c>
    </row>
    <row r="84" spans="2:17">
      <c r="B84" s="1">
        <v>39692</v>
      </c>
      <c r="C84" s="3">
        <v>6.4856183951072603</v>
      </c>
      <c r="D84">
        <v>6.77872078231833</v>
      </c>
      <c r="E84">
        <v>6.5487943440293304</v>
      </c>
      <c r="F84" s="3">
        <f t="shared" si="3"/>
        <v>-0.29310238721106963</v>
      </c>
      <c r="G84" s="3">
        <f t="shared" si="4"/>
        <v>-6.3175948922070013E-2</v>
      </c>
      <c r="H84" s="3">
        <f t="shared" si="5"/>
        <v>0.22992643828899961</v>
      </c>
      <c r="I84" s="3"/>
      <c r="J84" s="2">
        <v>200810</v>
      </c>
      <c r="K84" s="3">
        <v>6.1484174192605998</v>
      </c>
      <c r="M84" s="2">
        <v>200810</v>
      </c>
      <c r="N84">
        <v>6.2653710219975798</v>
      </c>
      <c r="P84" s="2">
        <v>200810</v>
      </c>
      <c r="Q84">
        <v>6.2270523177524097</v>
      </c>
    </row>
    <row r="85" spans="2:17">
      <c r="B85" s="1">
        <v>39661</v>
      </c>
      <c r="C85" s="3">
        <v>6.3591256852606399</v>
      </c>
      <c r="D85">
        <v>6.4961146375177297</v>
      </c>
      <c r="E85">
        <v>6.3851911659739802</v>
      </c>
      <c r="F85" s="3">
        <f t="shared" si="3"/>
        <v>-0.13698895225708974</v>
      </c>
      <c r="G85" s="3">
        <f t="shared" si="4"/>
        <v>-2.606548071334025E-2</v>
      </c>
      <c r="H85" s="3">
        <f t="shared" si="5"/>
        <v>0.11092347154374949</v>
      </c>
      <c r="I85" s="3"/>
      <c r="J85" s="2">
        <v>200809</v>
      </c>
      <c r="K85" s="3">
        <v>6.4856183951072603</v>
      </c>
      <c r="M85" s="2">
        <v>200809</v>
      </c>
      <c r="N85">
        <v>6.77872078231833</v>
      </c>
      <c r="P85" s="2">
        <v>200809</v>
      </c>
      <c r="Q85">
        <v>6.5487943440293304</v>
      </c>
    </row>
    <row r="86" spans="2:17">
      <c r="B86" s="1">
        <v>39630</v>
      </c>
      <c r="C86" s="3">
        <v>6.0484189133711102</v>
      </c>
      <c r="D86">
        <v>6.74425361570247</v>
      </c>
      <c r="E86">
        <v>6.0817121054058001</v>
      </c>
      <c r="F86" s="3">
        <f t="shared" si="3"/>
        <v>-0.6958347023313598</v>
      </c>
      <c r="G86" s="3">
        <f t="shared" si="4"/>
        <v>-3.3293192034689945E-2</v>
      </c>
      <c r="H86" s="3">
        <f t="shared" si="5"/>
        <v>0.66254151029666986</v>
      </c>
      <c r="I86" s="3"/>
      <c r="J86" s="2">
        <v>200808</v>
      </c>
      <c r="K86" s="3">
        <v>6.3591256852606399</v>
      </c>
      <c r="M86" s="2">
        <v>200808</v>
      </c>
      <c r="N86">
        <v>6.4961146375177297</v>
      </c>
      <c r="P86" s="2">
        <v>200808</v>
      </c>
      <c r="Q86">
        <v>6.3851911659739802</v>
      </c>
    </row>
    <row r="87" spans="2:17">
      <c r="B87" s="1">
        <v>39600</v>
      </c>
      <c r="C87" s="3">
        <v>5.9490656753503997</v>
      </c>
      <c r="D87">
        <v>6.13041500949483</v>
      </c>
      <c r="E87">
        <v>5.9845543707167197</v>
      </c>
      <c r="F87" s="3">
        <f t="shared" si="3"/>
        <v>-0.18134933414443033</v>
      </c>
      <c r="G87" s="3">
        <f t="shared" si="4"/>
        <v>-3.5488695366320044E-2</v>
      </c>
      <c r="H87" s="3">
        <f t="shared" si="5"/>
        <v>0.14586063877811029</v>
      </c>
      <c r="I87" s="3"/>
      <c r="J87" s="2">
        <v>200807</v>
      </c>
      <c r="K87" s="3">
        <v>6.0484189133711102</v>
      </c>
      <c r="M87" s="2">
        <v>200807</v>
      </c>
      <c r="N87">
        <v>6.74425361570247</v>
      </c>
      <c r="P87" s="2">
        <v>200807</v>
      </c>
      <c r="Q87">
        <v>6.0817121054058001</v>
      </c>
    </row>
    <row r="88" spans="2:17">
      <c r="B88" s="1">
        <v>39569</v>
      </c>
      <c r="C88" s="3">
        <v>5.8709125862445397</v>
      </c>
      <c r="D88">
        <v>5.8818859715578196</v>
      </c>
      <c r="E88">
        <v>5.8416271554180703</v>
      </c>
      <c r="F88" s="3">
        <f t="shared" si="3"/>
        <v>-1.0973385313279849E-2</v>
      </c>
      <c r="G88" s="3">
        <f t="shared" si="4"/>
        <v>2.9285430826469394E-2</v>
      </c>
      <c r="H88" s="3">
        <f t="shared" si="5"/>
        <v>4.0258816139749243E-2</v>
      </c>
      <c r="I88" s="3"/>
      <c r="J88" s="2">
        <v>200806</v>
      </c>
      <c r="K88" s="3">
        <v>5.9490656753503997</v>
      </c>
      <c r="M88" s="2">
        <v>200806</v>
      </c>
      <c r="N88">
        <v>6.13041500949483</v>
      </c>
      <c r="P88" s="2">
        <v>200806</v>
      </c>
      <c r="Q88">
        <v>5.9845543707167197</v>
      </c>
    </row>
    <row r="89" spans="2:17">
      <c r="B89" s="1">
        <v>39539</v>
      </c>
      <c r="C89" s="3">
        <v>5.82697218078021</v>
      </c>
      <c r="D89">
        <v>6.0711712797387598</v>
      </c>
      <c r="E89">
        <v>5.8010687746476099</v>
      </c>
      <c r="F89" s="3">
        <f t="shared" si="3"/>
        <v>-0.24419909895854985</v>
      </c>
      <c r="G89" s="3">
        <f t="shared" si="4"/>
        <v>2.5903406132600004E-2</v>
      </c>
      <c r="H89" s="3">
        <f t="shared" si="5"/>
        <v>0.27010250509114986</v>
      </c>
      <c r="I89" s="3"/>
      <c r="J89" s="2">
        <v>200805</v>
      </c>
      <c r="K89" s="3">
        <v>5.8709125862445397</v>
      </c>
      <c r="M89" s="2">
        <v>200805</v>
      </c>
      <c r="N89">
        <v>5.8818859715578196</v>
      </c>
      <c r="P89" s="2">
        <v>200805</v>
      </c>
      <c r="Q89">
        <v>5.8416271554180703</v>
      </c>
    </row>
    <row r="90" spans="2:17">
      <c r="B90" s="1">
        <v>39508</v>
      </c>
      <c r="C90" s="3">
        <v>5.6725998227856396</v>
      </c>
      <c r="D90">
        <v>5.9094713572857396</v>
      </c>
      <c r="E90">
        <v>5.6177361925074498</v>
      </c>
      <c r="F90" s="3">
        <f t="shared" si="3"/>
        <v>-0.23687153450010001</v>
      </c>
      <c r="G90" s="3">
        <f t="shared" si="4"/>
        <v>5.4863630278189746E-2</v>
      </c>
      <c r="H90" s="3">
        <f t="shared" si="5"/>
        <v>0.29173516477828976</v>
      </c>
      <c r="I90" s="3"/>
      <c r="J90" s="2">
        <v>200804</v>
      </c>
      <c r="K90" s="3">
        <v>5.82697218078021</v>
      </c>
      <c r="M90" s="2">
        <v>200804</v>
      </c>
      <c r="N90">
        <v>6.0711712797387598</v>
      </c>
      <c r="P90" s="2">
        <v>200804</v>
      </c>
      <c r="Q90">
        <v>5.8010687746476099</v>
      </c>
    </row>
    <row r="91" spans="2:17">
      <c r="B91" s="1">
        <v>39479</v>
      </c>
      <c r="C91" s="3">
        <v>5.9368201254584196</v>
      </c>
      <c r="D91">
        <v>6.2657227994725702</v>
      </c>
      <c r="E91">
        <v>5.9391958753027501</v>
      </c>
      <c r="F91" s="3">
        <f t="shared" si="3"/>
        <v>-0.32890267401415052</v>
      </c>
      <c r="G91" s="3">
        <f t="shared" si="4"/>
        <v>-2.3757498443304215E-3</v>
      </c>
      <c r="H91" s="3">
        <f t="shared" si="5"/>
        <v>0.3265269241698201</v>
      </c>
      <c r="I91" s="3"/>
      <c r="J91" s="2">
        <v>200803</v>
      </c>
      <c r="K91" s="3">
        <v>5.6725998227856396</v>
      </c>
      <c r="M91" s="2">
        <v>200803</v>
      </c>
      <c r="N91">
        <v>5.9094713572857396</v>
      </c>
      <c r="P91" s="2">
        <v>200803</v>
      </c>
      <c r="Q91">
        <v>5.6177361925074498</v>
      </c>
    </row>
    <row r="92" spans="2:17">
      <c r="B92" s="1">
        <v>39448</v>
      </c>
      <c r="C92" s="3">
        <v>6.1621115539224602</v>
      </c>
      <c r="D92">
        <v>6.2047273506931599</v>
      </c>
      <c r="E92">
        <v>6.1928349065561896</v>
      </c>
      <c r="F92" s="3">
        <f t="shared" si="3"/>
        <v>-4.261579677069971E-2</v>
      </c>
      <c r="G92" s="3">
        <f t="shared" si="4"/>
        <v>-3.0723352633729384E-2</v>
      </c>
      <c r="H92" s="3">
        <f t="shared" si="5"/>
        <v>1.1892444136970326E-2</v>
      </c>
      <c r="I92" s="3"/>
      <c r="J92" s="2">
        <v>200802</v>
      </c>
      <c r="K92" s="3">
        <v>5.9368201254584196</v>
      </c>
      <c r="M92" s="2">
        <v>200802</v>
      </c>
      <c r="N92">
        <v>6.2657227994725702</v>
      </c>
      <c r="P92" s="2">
        <v>200802</v>
      </c>
      <c r="Q92">
        <v>5.9391958753027501</v>
      </c>
    </row>
    <row r="93" spans="2:17">
      <c r="B93" s="1">
        <v>39417</v>
      </c>
      <c r="C93" s="3">
        <v>6.3670015649257197</v>
      </c>
      <c r="D93">
        <v>6.4455360585926096</v>
      </c>
      <c r="E93">
        <v>6.3312913191860698</v>
      </c>
      <c r="F93" s="3">
        <f t="shared" si="3"/>
        <v>-7.8534493666889915E-2</v>
      </c>
      <c r="G93" s="3">
        <f t="shared" si="4"/>
        <v>3.5710245739649871E-2</v>
      </c>
      <c r="H93" s="3">
        <f t="shared" si="5"/>
        <v>0.11424473940653979</v>
      </c>
      <c r="I93" s="3"/>
      <c r="J93" s="2">
        <v>200801</v>
      </c>
      <c r="K93" s="3">
        <v>6.1621115539224602</v>
      </c>
      <c r="M93" s="2">
        <v>200801</v>
      </c>
      <c r="N93">
        <v>6.2047273506931599</v>
      </c>
      <c r="P93" s="2">
        <v>200801</v>
      </c>
      <c r="Q93">
        <v>6.1928349065561896</v>
      </c>
    </row>
    <row r="94" spans="2:17">
      <c r="B94" s="1">
        <v>39387</v>
      </c>
      <c r="C94" s="3">
        <v>6.4626502175327998</v>
      </c>
      <c r="D94">
        <v>6.4460130074284097</v>
      </c>
      <c r="E94">
        <v>6.4565271556229398</v>
      </c>
      <c r="F94" s="3">
        <f t="shared" si="3"/>
        <v>1.6637210104390121E-2</v>
      </c>
      <c r="G94" s="3">
        <f t="shared" si="4"/>
        <v>6.1230619098600059E-3</v>
      </c>
      <c r="H94" s="3">
        <f t="shared" si="5"/>
        <v>-1.0514148194530115E-2</v>
      </c>
      <c r="I94" s="3"/>
      <c r="J94" s="2">
        <v>200712</v>
      </c>
      <c r="K94" s="3">
        <v>6.3670015649257197</v>
      </c>
      <c r="M94" s="2">
        <v>200712</v>
      </c>
      <c r="N94">
        <v>6.4455360585926096</v>
      </c>
      <c r="P94" s="2">
        <v>200712</v>
      </c>
      <c r="Q94">
        <v>6.3312913191860698</v>
      </c>
    </row>
    <row r="95" spans="2:17">
      <c r="B95" s="1">
        <v>39356</v>
      </c>
      <c r="C95" s="3">
        <v>6.5736722230756799</v>
      </c>
      <c r="D95">
        <v>6.4806838179321797</v>
      </c>
      <c r="E95">
        <v>6.5510210587520801</v>
      </c>
      <c r="F95" s="3">
        <f t="shared" si="3"/>
        <v>9.2988405143500152E-2</v>
      </c>
      <c r="G95" s="3">
        <f t="shared" si="4"/>
        <v>2.2651164323599815E-2</v>
      </c>
      <c r="H95" s="3">
        <f t="shared" si="5"/>
        <v>-7.0337240819900337E-2</v>
      </c>
      <c r="I95" s="3"/>
      <c r="J95" s="2">
        <v>200711</v>
      </c>
      <c r="K95" s="3">
        <v>6.4626502175327998</v>
      </c>
      <c r="M95" s="2">
        <v>200711</v>
      </c>
      <c r="N95">
        <v>6.4460130074284097</v>
      </c>
      <c r="P95" s="2">
        <v>200711</v>
      </c>
      <c r="Q95">
        <v>6.4565271556229398</v>
      </c>
    </row>
    <row r="96" spans="2:17">
      <c r="B96" s="1">
        <v>39326</v>
      </c>
      <c r="C96" s="3">
        <v>6.68794966830552</v>
      </c>
      <c r="D96">
        <v>6.8480330658584396</v>
      </c>
      <c r="E96">
        <v>6.7363018632088698</v>
      </c>
      <c r="F96" s="3">
        <f t="shared" si="3"/>
        <v>-0.16008339755291967</v>
      </c>
      <c r="G96" s="3">
        <f t="shared" si="4"/>
        <v>-4.8352194903349854E-2</v>
      </c>
      <c r="H96" s="3">
        <f t="shared" si="5"/>
        <v>0.11173120264956982</v>
      </c>
      <c r="I96" s="3"/>
      <c r="J96" s="2">
        <v>200710</v>
      </c>
      <c r="K96" s="3">
        <v>6.5736722230756799</v>
      </c>
      <c r="M96" s="2">
        <v>200710</v>
      </c>
      <c r="N96">
        <v>6.4806838179321797</v>
      </c>
      <c r="P96" s="2">
        <v>200710</v>
      </c>
      <c r="Q96">
        <v>6.5510210587520801</v>
      </c>
    </row>
    <row r="97" spans="2:17">
      <c r="B97" s="1">
        <v>39295</v>
      </c>
      <c r="C97" s="3">
        <v>6.6878406795120302</v>
      </c>
      <c r="D97">
        <v>6.7909830074830202</v>
      </c>
      <c r="E97">
        <v>6.7185306976194301</v>
      </c>
      <c r="F97" s="3">
        <f t="shared" si="3"/>
        <v>-0.10314232797098999</v>
      </c>
      <c r="G97" s="3">
        <f t="shared" si="4"/>
        <v>-3.0690018107399908E-2</v>
      </c>
      <c r="H97" s="3">
        <f t="shared" si="5"/>
        <v>7.2452309863590081E-2</v>
      </c>
      <c r="I97" s="3"/>
      <c r="J97" s="2">
        <v>200709</v>
      </c>
      <c r="K97" s="3">
        <v>6.68794966830552</v>
      </c>
      <c r="M97" s="2">
        <v>200709</v>
      </c>
      <c r="N97">
        <v>6.8480330658584396</v>
      </c>
      <c r="P97" s="2">
        <v>200709</v>
      </c>
      <c r="Q97">
        <v>6.7363018632088698</v>
      </c>
    </row>
    <row r="98" spans="2:17">
      <c r="B98" s="1">
        <v>39264</v>
      </c>
      <c r="C98" s="3">
        <v>6.44762831174772</v>
      </c>
      <c r="D98">
        <v>6.5061749935438096</v>
      </c>
      <c r="E98">
        <v>6.4285620997334796</v>
      </c>
      <c r="F98" s="3">
        <f t="shared" si="3"/>
        <v>-5.8546681796089572E-2</v>
      </c>
      <c r="G98" s="3">
        <f t="shared" si="4"/>
        <v>1.9066212014240413E-2</v>
      </c>
      <c r="H98" s="3">
        <f t="shared" si="5"/>
        <v>7.7612893810329986E-2</v>
      </c>
      <c r="I98" s="3"/>
      <c r="J98" s="2">
        <v>200708</v>
      </c>
      <c r="K98" s="3">
        <v>6.6878406795120302</v>
      </c>
      <c r="M98" s="2">
        <v>200708</v>
      </c>
      <c r="N98">
        <v>6.7909830074830202</v>
      </c>
      <c r="P98" s="2">
        <v>200708</v>
      </c>
      <c r="Q98">
        <v>6.7185306976194301</v>
      </c>
    </row>
    <row r="99" spans="2:17">
      <c r="B99" s="1">
        <v>39234</v>
      </c>
      <c r="C99" s="3">
        <v>6.2879742061793698</v>
      </c>
      <c r="D99">
        <v>6.4476167158406197</v>
      </c>
      <c r="E99">
        <v>6.2500473521100499</v>
      </c>
      <c r="F99" s="3">
        <f t="shared" si="3"/>
        <v>-0.15964250966124993</v>
      </c>
      <c r="G99" s="3">
        <f t="shared" si="4"/>
        <v>3.7926854069319837E-2</v>
      </c>
      <c r="H99" s="3">
        <f t="shared" si="5"/>
        <v>0.19756936373056977</v>
      </c>
      <c r="I99" s="3"/>
      <c r="J99" s="2">
        <v>200707</v>
      </c>
      <c r="K99" s="3">
        <v>6.44762831174772</v>
      </c>
      <c r="M99" s="2">
        <v>200707</v>
      </c>
      <c r="N99">
        <v>6.5061749935438096</v>
      </c>
      <c r="P99" s="2">
        <v>200707</v>
      </c>
      <c r="Q99">
        <v>6.4285620997334796</v>
      </c>
    </row>
    <row r="100" spans="2:17">
      <c r="B100" s="1">
        <v>39203</v>
      </c>
      <c r="C100" s="3">
        <v>6.2124059144915798</v>
      </c>
      <c r="D100">
        <v>6.2562115571055896</v>
      </c>
      <c r="E100">
        <v>6.2010581096000097</v>
      </c>
      <c r="F100" s="3">
        <f t="shared" si="3"/>
        <v>-4.3805642614009876E-2</v>
      </c>
      <c r="G100" s="3">
        <f t="shared" si="4"/>
        <v>1.1347804891570057E-2</v>
      </c>
      <c r="H100" s="3">
        <f t="shared" si="5"/>
        <v>5.5153447505579933E-2</v>
      </c>
      <c r="I100" s="3"/>
      <c r="J100" s="2">
        <v>200706</v>
      </c>
      <c r="K100" s="3">
        <v>6.2879742061793698</v>
      </c>
      <c r="M100" s="2">
        <v>200706</v>
      </c>
      <c r="N100">
        <v>6.4476167158406197</v>
      </c>
      <c r="P100" s="2">
        <v>200706</v>
      </c>
      <c r="Q100">
        <v>6.2500473521100499</v>
      </c>
    </row>
    <row r="101" spans="2:17">
      <c r="B101" s="1">
        <v>39173</v>
      </c>
      <c r="C101" s="3">
        <v>6.23761516654523</v>
      </c>
      <c r="D101">
        <v>6.41565533980582</v>
      </c>
      <c r="E101">
        <v>6.2839219804860296</v>
      </c>
      <c r="F101" s="3">
        <f t="shared" si="3"/>
        <v>-0.17804017326059007</v>
      </c>
      <c r="G101" s="3">
        <f t="shared" si="4"/>
        <v>-4.6306813940799607E-2</v>
      </c>
      <c r="H101" s="3">
        <f t="shared" si="5"/>
        <v>0.13173335931979047</v>
      </c>
      <c r="I101" s="3"/>
      <c r="J101" s="2">
        <v>200705</v>
      </c>
      <c r="K101" s="3">
        <v>6.2124059144915798</v>
      </c>
      <c r="M101" s="2">
        <v>200705</v>
      </c>
      <c r="N101">
        <v>6.2562115571055896</v>
      </c>
      <c r="P101" s="2">
        <v>200705</v>
      </c>
      <c r="Q101">
        <v>6.2010581096000097</v>
      </c>
    </row>
    <row r="102" spans="2:17">
      <c r="B102" s="1">
        <v>39142</v>
      </c>
      <c r="C102" s="3">
        <v>6.3132558185377601</v>
      </c>
      <c r="D102">
        <v>6.3135727478877799</v>
      </c>
      <c r="E102">
        <v>6.3010042806805204</v>
      </c>
      <c r="F102" s="3">
        <f t="shared" si="3"/>
        <v>-3.1692935001981226E-4</v>
      </c>
      <c r="G102" s="3">
        <f t="shared" si="4"/>
        <v>1.2251537857239647E-2</v>
      </c>
      <c r="H102" s="3">
        <f t="shared" si="5"/>
        <v>1.2568467207259459E-2</v>
      </c>
      <c r="I102" s="3"/>
      <c r="J102" s="2">
        <v>200704</v>
      </c>
      <c r="K102" s="3">
        <v>6.23761516654523</v>
      </c>
      <c r="M102" s="2">
        <v>200704</v>
      </c>
      <c r="N102">
        <v>6.41565533980582</v>
      </c>
      <c r="P102" s="2">
        <v>200704</v>
      </c>
      <c r="Q102">
        <v>6.2839219804860296</v>
      </c>
    </row>
    <row r="103" spans="2:17">
      <c r="B103" s="1">
        <v>39114</v>
      </c>
      <c r="C103" s="3">
        <v>6.1846410401025196</v>
      </c>
      <c r="D103">
        <v>6.4864569252648101</v>
      </c>
      <c r="E103">
        <v>6.22149034510291</v>
      </c>
      <c r="F103" s="3">
        <f t="shared" si="3"/>
        <v>-0.30181588516229052</v>
      </c>
      <c r="G103" s="3">
        <f t="shared" si="4"/>
        <v>-3.6849305000390409E-2</v>
      </c>
      <c r="H103" s="3">
        <f t="shared" si="5"/>
        <v>0.26496658016190011</v>
      </c>
      <c r="I103" s="3"/>
      <c r="J103" s="2">
        <v>200703</v>
      </c>
      <c r="K103" s="3">
        <v>6.3132558185377601</v>
      </c>
      <c r="M103" s="2">
        <v>200703</v>
      </c>
      <c r="N103">
        <v>6.3135727478877799</v>
      </c>
      <c r="P103" s="2">
        <v>200703</v>
      </c>
      <c r="Q103">
        <v>6.3010042806805204</v>
      </c>
    </row>
    <row r="104" spans="2:17">
      <c r="B104" s="1">
        <v>39083</v>
      </c>
      <c r="C104" s="3">
        <v>6.1745789167584499</v>
      </c>
      <c r="D104">
        <v>6.4846732601905899</v>
      </c>
      <c r="E104">
        <v>6.2356316093067399</v>
      </c>
      <c r="F104" s="3">
        <f t="shared" si="3"/>
        <v>-0.31009434343213993</v>
      </c>
      <c r="G104" s="3">
        <f t="shared" si="4"/>
        <v>-6.1052692548289933E-2</v>
      </c>
      <c r="H104" s="3">
        <f t="shared" si="5"/>
        <v>0.24904165088385</v>
      </c>
      <c r="I104" s="3"/>
      <c r="J104" s="2">
        <v>200702</v>
      </c>
      <c r="K104" s="3">
        <v>6.1846410401025196</v>
      </c>
      <c r="M104" s="2">
        <v>200702</v>
      </c>
      <c r="N104">
        <v>6.4864569252648101</v>
      </c>
      <c r="P104" s="2">
        <v>200702</v>
      </c>
      <c r="Q104">
        <v>6.22149034510291</v>
      </c>
    </row>
    <row r="105" spans="2:17">
      <c r="B105" s="1">
        <v>39052</v>
      </c>
      <c r="C105" s="3">
        <v>6.3086560461892303</v>
      </c>
      <c r="D105">
        <v>6.5206353197789397</v>
      </c>
      <c r="E105">
        <v>6.4160889543961099</v>
      </c>
      <c r="F105" s="3">
        <f t="shared" si="3"/>
        <v>-0.21197927358970947</v>
      </c>
      <c r="G105" s="3">
        <f t="shared" si="4"/>
        <v>-0.10743290820687967</v>
      </c>
      <c r="H105" s="3">
        <f t="shared" si="5"/>
        <v>0.1045463653828298</v>
      </c>
      <c r="I105" s="3"/>
      <c r="J105" s="2">
        <v>200701</v>
      </c>
      <c r="K105" s="3">
        <v>6.1745789167584499</v>
      </c>
      <c r="M105" s="2">
        <v>200701</v>
      </c>
      <c r="N105">
        <v>6.4846732601905899</v>
      </c>
      <c r="P105" s="2">
        <v>200701</v>
      </c>
      <c r="Q105">
        <v>6.2356316093067399</v>
      </c>
    </row>
    <row r="106" spans="2:17">
      <c r="B106" s="1">
        <v>39022</v>
      </c>
      <c r="C106" s="3">
        <v>6.3835165775400098</v>
      </c>
      <c r="D106">
        <v>6.5009247962203398</v>
      </c>
      <c r="E106">
        <v>6.4350899196240796</v>
      </c>
      <c r="F106" s="3">
        <f t="shared" si="3"/>
        <v>-0.11740821868033002</v>
      </c>
      <c r="G106" s="3">
        <f t="shared" si="4"/>
        <v>-5.1573342084069829E-2</v>
      </c>
      <c r="H106" s="3">
        <f t="shared" si="5"/>
        <v>6.5834876596260195E-2</v>
      </c>
      <c r="I106" s="3"/>
      <c r="J106" s="2">
        <v>200612</v>
      </c>
      <c r="K106" s="3">
        <v>6.3086560461892303</v>
      </c>
      <c r="M106" s="2">
        <v>200612</v>
      </c>
      <c r="N106">
        <v>6.5206353197789397</v>
      </c>
      <c r="P106" s="2">
        <v>200612</v>
      </c>
      <c r="Q106">
        <v>6.4160889543961099</v>
      </c>
    </row>
    <row r="107" spans="2:17">
      <c r="B107" s="1">
        <v>38991</v>
      </c>
      <c r="C107" s="3">
        <v>6.5397896504485598</v>
      </c>
      <c r="D107">
        <v>6.6004411481018899</v>
      </c>
      <c r="E107">
        <v>6.5688917410928198</v>
      </c>
      <c r="F107" s="3">
        <f t="shared" si="3"/>
        <v>-6.0651497653330111E-2</v>
      </c>
      <c r="G107" s="3">
        <f t="shared" si="4"/>
        <v>-2.9102090644260059E-2</v>
      </c>
      <c r="H107" s="3">
        <f t="shared" si="5"/>
        <v>3.1549407009070052E-2</v>
      </c>
      <c r="I107" s="3"/>
      <c r="J107" s="2">
        <v>200611</v>
      </c>
      <c r="K107" s="3">
        <v>6.3835165775400098</v>
      </c>
      <c r="M107" s="2">
        <v>200611</v>
      </c>
      <c r="N107">
        <v>6.5009247962203398</v>
      </c>
      <c r="P107" s="2">
        <v>200611</v>
      </c>
      <c r="Q107">
        <v>6.4350899196240796</v>
      </c>
    </row>
    <row r="108" spans="2:17">
      <c r="B108" s="1">
        <v>38961</v>
      </c>
      <c r="C108" s="3">
        <v>6.7270773617175603</v>
      </c>
      <c r="D108">
        <v>6.8959293262598997</v>
      </c>
      <c r="E108">
        <v>6.7557135558889403</v>
      </c>
      <c r="F108" s="3">
        <f t="shared" si="3"/>
        <v>-0.16885196454233942</v>
      </c>
      <c r="G108" s="3">
        <f t="shared" si="4"/>
        <v>-2.8636194171379969E-2</v>
      </c>
      <c r="H108" s="3">
        <f t="shared" si="5"/>
        <v>0.14021577037095945</v>
      </c>
      <c r="I108" s="3"/>
      <c r="J108" s="2">
        <v>200610</v>
      </c>
      <c r="K108" s="3">
        <v>6.5397896504485598</v>
      </c>
      <c r="M108" s="2">
        <v>200610</v>
      </c>
      <c r="N108">
        <v>6.6004411481018899</v>
      </c>
      <c r="P108" s="2">
        <v>200610</v>
      </c>
      <c r="Q108">
        <v>6.5688917410928198</v>
      </c>
    </row>
    <row r="109" spans="2:17">
      <c r="B109" s="1">
        <v>38930</v>
      </c>
      <c r="C109" s="3">
        <v>6.7861004506661304</v>
      </c>
      <c r="D109">
        <v>6.8734356454199004</v>
      </c>
      <c r="E109">
        <v>6.78851696647176</v>
      </c>
      <c r="F109" s="3">
        <f t="shared" si="3"/>
        <v>-8.733519475376994E-2</v>
      </c>
      <c r="G109" s="3">
        <f t="shared" si="4"/>
        <v>-2.4165158056295155E-3</v>
      </c>
      <c r="H109" s="3">
        <f t="shared" si="5"/>
        <v>8.4918678948140425E-2</v>
      </c>
      <c r="I109" s="3"/>
      <c r="J109" s="2">
        <v>200609</v>
      </c>
      <c r="K109" s="3">
        <v>6.7270773617175603</v>
      </c>
      <c r="M109" s="2">
        <v>200609</v>
      </c>
      <c r="N109">
        <v>6.8959293262598997</v>
      </c>
      <c r="P109" s="2">
        <v>200609</v>
      </c>
      <c r="Q109">
        <v>6.7557135558889403</v>
      </c>
    </row>
    <row r="110" spans="2:17">
      <c r="B110" s="1">
        <v>38899</v>
      </c>
      <c r="C110" s="3">
        <v>6.7377690562517101</v>
      </c>
      <c r="D110">
        <v>6.7120036389501596</v>
      </c>
      <c r="E110">
        <v>6.7323401461611097</v>
      </c>
      <c r="F110" s="3">
        <f t="shared" si="3"/>
        <v>2.5765417301550464E-2</v>
      </c>
      <c r="G110" s="3">
        <f t="shared" si="4"/>
        <v>5.4289100906004251E-3</v>
      </c>
      <c r="H110" s="3">
        <f t="shared" si="5"/>
        <v>-2.0336507210950039E-2</v>
      </c>
      <c r="I110" s="3"/>
      <c r="J110" s="2">
        <v>200608</v>
      </c>
      <c r="K110" s="3">
        <v>6.7861004506661304</v>
      </c>
      <c r="M110" s="2">
        <v>200608</v>
      </c>
      <c r="N110">
        <v>6.8734356454199004</v>
      </c>
      <c r="P110" s="2">
        <v>200608</v>
      </c>
      <c r="Q110">
        <v>6.78851696647176</v>
      </c>
    </row>
    <row r="111" spans="2:17">
      <c r="B111" s="1">
        <v>38869</v>
      </c>
      <c r="C111" s="3">
        <v>6.6115562688266802</v>
      </c>
      <c r="D111">
        <v>6.9856142948480597</v>
      </c>
      <c r="E111">
        <v>6.5945754003893899</v>
      </c>
      <c r="F111" s="3">
        <f t="shared" si="3"/>
        <v>-0.3740580260213795</v>
      </c>
      <c r="G111" s="3">
        <f t="shared" si="4"/>
        <v>1.6980868437290297E-2</v>
      </c>
      <c r="H111" s="3">
        <f t="shared" si="5"/>
        <v>0.39103889445866979</v>
      </c>
      <c r="I111" s="3"/>
      <c r="J111" s="2">
        <v>200607</v>
      </c>
      <c r="K111" s="3">
        <v>6.7377690562517101</v>
      </c>
      <c r="M111" s="2">
        <v>200607</v>
      </c>
      <c r="N111">
        <v>6.7120036389501596</v>
      </c>
      <c r="P111" s="2">
        <v>200607</v>
      </c>
      <c r="Q111">
        <v>6.7323401461611097</v>
      </c>
    </row>
    <row r="112" spans="2:17">
      <c r="B112" s="1">
        <v>38838</v>
      </c>
      <c r="C112" s="3">
        <v>6.4459277178819496</v>
      </c>
      <c r="D112">
        <v>6.72159167680043</v>
      </c>
      <c r="E112">
        <v>6.4837690505805501</v>
      </c>
      <c r="F112" s="3">
        <f t="shared" si="3"/>
        <v>-0.27566395891848039</v>
      </c>
      <c r="G112" s="3">
        <f t="shared" si="4"/>
        <v>-3.7841332698600461E-2</v>
      </c>
      <c r="H112" s="3">
        <f t="shared" si="5"/>
        <v>0.23782262621987993</v>
      </c>
      <c r="I112" s="3"/>
      <c r="J112" s="2">
        <v>200606</v>
      </c>
      <c r="K112" s="3">
        <v>6.6115562688266802</v>
      </c>
      <c r="M112" s="2">
        <v>200606</v>
      </c>
      <c r="N112">
        <v>6.9856142948480597</v>
      </c>
      <c r="P112" s="2">
        <v>200606</v>
      </c>
      <c r="Q112">
        <v>6.5945754003893899</v>
      </c>
    </row>
    <row r="113" spans="2:17">
      <c r="B113" s="1">
        <v>38808</v>
      </c>
      <c r="C113" s="3">
        <v>6.3128981059995501</v>
      </c>
      <c r="D113">
        <v>6.5683962038516297</v>
      </c>
      <c r="E113">
        <v>6.3244241649132098</v>
      </c>
      <c r="F113" s="3">
        <f t="shared" si="3"/>
        <v>-0.25549809785207955</v>
      </c>
      <c r="G113" s="3">
        <f t="shared" si="4"/>
        <v>-1.1526058913659654E-2</v>
      </c>
      <c r="H113" s="3">
        <f t="shared" si="5"/>
        <v>0.2439720389384199</v>
      </c>
      <c r="I113" s="3"/>
      <c r="J113" s="2">
        <v>200605</v>
      </c>
      <c r="K113" s="3">
        <v>6.4459277178819496</v>
      </c>
      <c r="M113" s="2">
        <v>200605</v>
      </c>
      <c r="N113">
        <v>6.72159167680043</v>
      </c>
      <c r="P113" s="2">
        <v>200605</v>
      </c>
      <c r="Q113">
        <v>6.4837690505805501</v>
      </c>
    </row>
    <row r="114" spans="2:17">
      <c r="B114" s="1">
        <v>38777</v>
      </c>
      <c r="C114" s="3">
        <v>6.2157144905538297</v>
      </c>
      <c r="D114">
        <v>6.5794126536369104</v>
      </c>
      <c r="E114">
        <v>6.3133519870323198</v>
      </c>
      <c r="F114" s="3">
        <f t="shared" si="3"/>
        <v>-0.36369816308308067</v>
      </c>
      <c r="G114" s="3">
        <f t="shared" si="4"/>
        <v>-9.7637496478490071E-2</v>
      </c>
      <c r="H114" s="3">
        <f t="shared" si="5"/>
        <v>0.2660606666045906</v>
      </c>
      <c r="I114" s="3"/>
      <c r="J114" s="2">
        <v>200604</v>
      </c>
      <c r="K114" s="3">
        <v>6.3128981059995501</v>
      </c>
      <c r="M114" s="2">
        <v>200604</v>
      </c>
      <c r="N114">
        <v>6.5683962038516297</v>
      </c>
      <c r="P114" s="2">
        <v>200604</v>
      </c>
      <c r="Q114">
        <v>6.3244241649132098</v>
      </c>
    </row>
    <row r="115" spans="2:17">
      <c r="B115" s="1">
        <v>38749</v>
      </c>
      <c r="C115" s="3">
        <v>6.2357266069911601</v>
      </c>
      <c r="D115">
        <v>6.5631565273953001</v>
      </c>
      <c r="E115">
        <v>6.3020381714755302</v>
      </c>
      <c r="F115" s="3">
        <f t="shared" si="3"/>
        <v>-0.32742992040413998</v>
      </c>
      <c r="G115" s="3">
        <f t="shared" si="4"/>
        <v>-6.6311564484370145E-2</v>
      </c>
      <c r="H115" s="3">
        <f t="shared" si="5"/>
        <v>0.26111835591976984</v>
      </c>
      <c r="I115" s="3"/>
      <c r="J115" s="2">
        <v>200603</v>
      </c>
      <c r="K115" s="3">
        <v>6.2157144905538297</v>
      </c>
      <c r="M115" s="2">
        <v>200603</v>
      </c>
      <c r="N115">
        <v>6.5794126536369104</v>
      </c>
      <c r="P115" s="2">
        <v>200603</v>
      </c>
      <c r="Q115">
        <v>6.3133519870323198</v>
      </c>
    </row>
    <row r="116" spans="2:17">
      <c r="B116" s="1">
        <v>38718</v>
      </c>
      <c r="C116" s="3">
        <v>6.3473811801315003</v>
      </c>
      <c r="D116">
        <v>6.7027050764620704</v>
      </c>
      <c r="E116">
        <v>6.3688659512085097</v>
      </c>
      <c r="F116" s="3">
        <f t="shared" si="3"/>
        <v>-0.35532389633057004</v>
      </c>
      <c r="G116" s="3">
        <f t="shared" si="4"/>
        <v>-2.1484771077009412E-2</v>
      </c>
      <c r="H116" s="3">
        <f t="shared" si="5"/>
        <v>0.33383912525356063</v>
      </c>
      <c r="I116" s="3"/>
      <c r="J116" s="2">
        <v>200602</v>
      </c>
      <c r="K116" s="3">
        <v>6.2357266069911601</v>
      </c>
      <c r="M116" s="2">
        <v>200602</v>
      </c>
      <c r="N116">
        <v>6.5631565273953001</v>
      </c>
      <c r="P116" s="2">
        <v>200602</v>
      </c>
      <c r="Q116">
        <v>6.3020381714755302</v>
      </c>
    </row>
    <row r="117" spans="2:17">
      <c r="B117" s="1">
        <v>38687</v>
      </c>
      <c r="C117" s="3">
        <v>6.1673540956550603</v>
      </c>
      <c r="D117">
        <v>6.4531733183431497</v>
      </c>
      <c r="E117">
        <v>6.1792715631400998</v>
      </c>
      <c r="F117" s="3">
        <f t="shared" si="3"/>
        <v>-0.28581922268808935</v>
      </c>
      <c r="G117" s="3">
        <f t="shared" si="4"/>
        <v>-1.1917467485039523E-2</v>
      </c>
      <c r="H117" s="3">
        <f t="shared" si="5"/>
        <v>0.27390175520304982</v>
      </c>
      <c r="I117" s="3"/>
      <c r="J117" s="2">
        <v>200601</v>
      </c>
      <c r="K117" s="3">
        <v>6.3473811801315003</v>
      </c>
      <c r="M117" s="2">
        <v>200601</v>
      </c>
      <c r="N117">
        <v>6.7027050764620704</v>
      </c>
      <c r="P117" s="2">
        <v>200601</v>
      </c>
      <c r="Q117">
        <v>6.3688659512085097</v>
      </c>
    </row>
    <row r="118" spans="2:17">
      <c r="B118" s="1">
        <v>38657</v>
      </c>
      <c r="C118" s="3">
        <v>5.9141874379719903</v>
      </c>
      <c r="D118">
        <v>5.98055583239789</v>
      </c>
      <c r="E118">
        <v>5.9235117354922897</v>
      </c>
      <c r="F118" s="3">
        <f t="shared" si="3"/>
        <v>-6.6368394425899702E-2</v>
      </c>
      <c r="G118" s="3">
        <f t="shared" si="4"/>
        <v>-9.3242975202993961E-3</v>
      </c>
      <c r="H118" s="3">
        <f t="shared" si="5"/>
        <v>5.7044096905600306E-2</v>
      </c>
      <c r="I118" s="3"/>
      <c r="J118" s="2">
        <v>200512</v>
      </c>
      <c r="K118" s="3">
        <v>6.1673540956550603</v>
      </c>
      <c r="M118" s="2">
        <v>200512</v>
      </c>
      <c r="N118">
        <v>6.4531733183431497</v>
      </c>
      <c r="P118" s="2">
        <v>200512</v>
      </c>
      <c r="Q118">
        <v>6.1792715631400998</v>
      </c>
    </row>
    <row r="119" spans="2:17">
      <c r="B119" s="1">
        <v>38626</v>
      </c>
      <c r="C119" s="3">
        <v>5.8543116543895799</v>
      </c>
      <c r="D119">
        <v>6.2062093798403097</v>
      </c>
      <c r="E119">
        <v>5.8798681255656797</v>
      </c>
      <c r="F119" s="3">
        <f t="shared" si="3"/>
        <v>-0.35189772545072984</v>
      </c>
      <c r="G119" s="3">
        <f t="shared" si="4"/>
        <v>-2.5556471176099826E-2</v>
      </c>
      <c r="H119" s="3">
        <f t="shared" si="5"/>
        <v>0.32634125427463001</v>
      </c>
      <c r="I119" s="3"/>
      <c r="J119" s="2">
        <v>200511</v>
      </c>
      <c r="K119" s="3">
        <v>5.9141874379719903</v>
      </c>
      <c r="M119" s="2">
        <v>200511</v>
      </c>
      <c r="N119">
        <v>5.98055583239789</v>
      </c>
      <c r="P119" s="2">
        <v>200511</v>
      </c>
      <c r="Q119">
        <v>5.9235117354922897</v>
      </c>
    </row>
    <row r="120" spans="2:17">
      <c r="B120" s="1">
        <v>38596</v>
      </c>
      <c r="C120" s="3">
        <v>5.82241982647023</v>
      </c>
      <c r="D120">
        <v>6.0950914691990397</v>
      </c>
      <c r="E120">
        <v>5.8263223297909201</v>
      </c>
      <c r="F120" s="3">
        <f t="shared" si="3"/>
        <v>-0.27267164272880962</v>
      </c>
      <c r="G120" s="3">
        <f t="shared" si="4"/>
        <v>-3.9025033206900872E-3</v>
      </c>
      <c r="H120" s="3">
        <f t="shared" si="5"/>
        <v>0.26876913940811953</v>
      </c>
      <c r="I120" s="3"/>
      <c r="J120" s="2">
        <v>200510</v>
      </c>
      <c r="K120" s="3">
        <v>5.8543116543895799</v>
      </c>
      <c r="M120" s="2">
        <v>200510</v>
      </c>
      <c r="N120">
        <v>6.2062093798403097</v>
      </c>
      <c r="P120" s="2">
        <v>200510</v>
      </c>
      <c r="Q120">
        <v>5.8798681255656797</v>
      </c>
    </row>
    <row r="121" spans="2:17">
      <c r="B121" s="1">
        <v>38565</v>
      </c>
      <c r="C121" s="3">
        <v>5.6954046826918798</v>
      </c>
      <c r="D121">
        <v>5.9763357879472299</v>
      </c>
      <c r="E121">
        <v>5.6918948960706102</v>
      </c>
      <c r="F121" s="3">
        <f t="shared" si="3"/>
        <v>-0.28093110525535003</v>
      </c>
      <c r="G121" s="3">
        <f t="shared" si="4"/>
        <v>3.5097866212696616E-3</v>
      </c>
      <c r="H121" s="3">
        <f t="shared" si="5"/>
        <v>0.28444089187661969</v>
      </c>
      <c r="I121" s="3"/>
      <c r="J121" s="2">
        <v>200509</v>
      </c>
      <c r="K121" s="3">
        <v>5.82241982647023</v>
      </c>
      <c r="M121" s="2">
        <v>200509</v>
      </c>
      <c r="N121">
        <v>6.0950914691990397</v>
      </c>
      <c r="P121" s="2">
        <v>200509</v>
      </c>
      <c r="Q121">
        <v>5.8263223297909201</v>
      </c>
    </row>
    <row r="122" spans="2:17">
      <c r="B122" s="1">
        <v>38534</v>
      </c>
      <c r="C122" s="3">
        <v>5.7168911097827904</v>
      </c>
      <c r="D122">
        <v>6.0711545112906897</v>
      </c>
      <c r="E122">
        <v>5.7186343846975598</v>
      </c>
      <c r="F122" s="3">
        <f t="shared" si="3"/>
        <v>-0.35426340150789937</v>
      </c>
      <c r="G122" s="3">
        <f t="shared" si="4"/>
        <v>-1.7432749147694437E-3</v>
      </c>
      <c r="H122" s="3">
        <f t="shared" si="5"/>
        <v>0.35252012659312992</v>
      </c>
      <c r="I122" s="3"/>
      <c r="J122" s="2">
        <v>200508</v>
      </c>
      <c r="K122" s="3">
        <v>5.6954046826918798</v>
      </c>
      <c r="M122" s="2">
        <v>200508</v>
      </c>
      <c r="N122">
        <v>5.9763357879472299</v>
      </c>
      <c r="P122" s="2">
        <v>200508</v>
      </c>
      <c r="Q122">
        <v>5.6918948960706102</v>
      </c>
    </row>
    <row r="123" spans="2:17">
      <c r="B123" s="1">
        <v>38504</v>
      </c>
      <c r="C123" s="3">
        <v>5.9000072008811104</v>
      </c>
      <c r="D123">
        <v>6.0188668235951202</v>
      </c>
      <c r="E123">
        <v>5.8804977991941501</v>
      </c>
      <c r="F123" s="3">
        <f t="shared" si="3"/>
        <v>-0.11885962271400974</v>
      </c>
      <c r="G123" s="3">
        <f t="shared" si="4"/>
        <v>1.9509401686960359E-2</v>
      </c>
      <c r="H123" s="3">
        <f t="shared" si="5"/>
        <v>0.1383690244009701</v>
      </c>
      <c r="I123" s="3"/>
      <c r="J123" s="2">
        <v>200507</v>
      </c>
      <c r="K123" s="3">
        <v>5.7168911097827904</v>
      </c>
      <c r="M123" s="2">
        <v>200507</v>
      </c>
      <c r="N123">
        <v>6.0711545112906897</v>
      </c>
      <c r="P123" s="2">
        <v>200507</v>
      </c>
      <c r="Q123">
        <v>5.7186343846975598</v>
      </c>
    </row>
    <row r="124" spans="2:17">
      <c r="B124" s="1">
        <v>38473</v>
      </c>
      <c r="C124" s="3">
        <v>5.9681465165062102</v>
      </c>
      <c r="D124">
        <v>6.0742266642546996</v>
      </c>
      <c r="E124">
        <v>5.9686410005855501</v>
      </c>
      <c r="F124" s="3">
        <f t="shared" si="3"/>
        <v>-0.1060801477484894</v>
      </c>
      <c r="G124" s="3">
        <f t="shared" si="4"/>
        <v>-4.9448407933994076E-4</v>
      </c>
      <c r="H124" s="3">
        <f t="shared" si="5"/>
        <v>0.10558566366914945</v>
      </c>
      <c r="I124" s="3"/>
      <c r="J124" s="2">
        <v>200506</v>
      </c>
      <c r="K124" s="3">
        <v>5.9000072008811104</v>
      </c>
      <c r="M124" s="2">
        <v>200506</v>
      </c>
      <c r="N124">
        <v>6.0188668235951202</v>
      </c>
      <c r="P124" s="2">
        <v>200506</v>
      </c>
      <c r="Q124">
        <v>5.8804977991941501</v>
      </c>
    </row>
    <row r="125" spans="2:17">
      <c r="B125" s="1">
        <v>38443</v>
      </c>
      <c r="C125" s="3">
        <v>5.7242981301406601</v>
      </c>
      <c r="D125">
        <v>5.9648053804427503</v>
      </c>
      <c r="E125">
        <v>5.74786663541341</v>
      </c>
      <c r="F125" s="3">
        <f t="shared" si="3"/>
        <v>-0.24050725030209019</v>
      </c>
      <c r="G125" s="3">
        <f t="shared" si="4"/>
        <v>-2.3568505272749896E-2</v>
      </c>
      <c r="H125" s="3">
        <f t="shared" si="5"/>
        <v>0.2169387450293403</v>
      </c>
      <c r="I125" s="3"/>
      <c r="J125" s="2">
        <v>200505</v>
      </c>
      <c r="K125" s="3">
        <v>5.9681465165062102</v>
      </c>
      <c r="M125" s="2">
        <v>200505</v>
      </c>
      <c r="N125">
        <v>6.0742266642546996</v>
      </c>
      <c r="P125" s="2">
        <v>200505</v>
      </c>
      <c r="Q125">
        <v>5.9686410005855501</v>
      </c>
    </row>
    <row r="126" spans="2:17">
      <c r="B126" s="1">
        <v>38412</v>
      </c>
      <c r="C126" s="3">
        <v>5.6966162120592401</v>
      </c>
      <c r="D126">
        <v>5.9041327318682804</v>
      </c>
      <c r="E126">
        <v>5.67839015720409</v>
      </c>
      <c r="F126" s="3">
        <f t="shared" si="3"/>
        <v>-0.20751651980904029</v>
      </c>
      <c r="G126" s="3">
        <f t="shared" si="4"/>
        <v>1.8226054855150053E-2</v>
      </c>
      <c r="H126" s="3">
        <f t="shared" si="5"/>
        <v>0.22574257466419034</v>
      </c>
      <c r="I126" s="3"/>
      <c r="J126" s="2">
        <v>200504</v>
      </c>
      <c r="K126" s="3">
        <v>5.7242981301406601</v>
      </c>
      <c r="M126" s="2">
        <v>200504</v>
      </c>
      <c r="N126">
        <v>5.9648053804427503</v>
      </c>
      <c r="P126" s="2">
        <v>200504</v>
      </c>
      <c r="Q126">
        <v>5.74786663541341</v>
      </c>
    </row>
    <row r="127" spans="2:17">
      <c r="B127" s="1">
        <v>38384</v>
      </c>
      <c r="C127" s="3">
        <v>5.7394736639613004</v>
      </c>
      <c r="D127">
        <v>6.0193439092293897</v>
      </c>
      <c r="E127">
        <v>5.7819357331093002</v>
      </c>
      <c r="F127" s="3">
        <f t="shared" si="3"/>
        <v>-0.27987024526808923</v>
      </c>
      <c r="G127" s="3">
        <f t="shared" si="4"/>
        <v>-4.246206914799977E-2</v>
      </c>
      <c r="H127" s="3">
        <f t="shared" si="5"/>
        <v>0.23740817612008946</v>
      </c>
      <c r="I127" s="3"/>
      <c r="J127" s="2">
        <v>200503</v>
      </c>
      <c r="K127" s="3">
        <v>5.6966162120592401</v>
      </c>
      <c r="M127" s="2">
        <v>200503</v>
      </c>
      <c r="N127">
        <v>5.9041327318682804</v>
      </c>
      <c r="P127" s="2">
        <v>200503</v>
      </c>
      <c r="Q127">
        <v>5.67839015720409</v>
      </c>
    </row>
    <row r="128" spans="2:17">
      <c r="B128" s="1">
        <v>38353</v>
      </c>
      <c r="C128" s="3">
        <v>5.7959908564873199</v>
      </c>
      <c r="D128">
        <v>6.11120586420643</v>
      </c>
      <c r="E128">
        <v>5.8027509627055398</v>
      </c>
      <c r="F128" s="3">
        <f t="shared" ref="F128" si="6">C128-D128</f>
        <v>-0.31521500771911004</v>
      </c>
      <c r="G128" s="3">
        <f t="shared" ref="G128" si="7">C128-E128</f>
        <v>-6.7601062182198746E-3</v>
      </c>
      <c r="H128" s="3">
        <f t="shared" ref="H128" si="8">D128-E128</f>
        <v>0.30845490150089017</v>
      </c>
      <c r="J128" s="2">
        <v>200502</v>
      </c>
      <c r="K128" s="3">
        <v>5.7394736639613004</v>
      </c>
      <c r="M128" s="2">
        <v>200502</v>
      </c>
      <c r="N128">
        <v>6.0193439092293897</v>
      </c>
      <c r="P128" s="2">
        <v>200502</v>
      </c>
      <c r="Q128">
        <v>5.7819357331093002</v>
      </c>
    </row>
    <row r="129" spans="3:17">
      <c r="J129" s="2">
        <v>200501</v>
      </c>
      <c r="K129" s="3">
        <v>5.7959908564873199</v>
      </c>
      <c r="M129" s="2">
        <v>200501</v>
      </c>
      <c r="N129">
        <v>6.11120586420643</v>
      </c>
      <c r="P129" s="2">
        <v>200501</v>
      </c>
      <c r="Q129">
        <v>5.8027509627055398</v>
      </c>
    </row>
    <row r="130" spans="3:17">
      <c r="C130" s="3"/>
      <c r="J130" s="3"/>
      <c r="K130" s="3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Q130"/>
  <sheetViews>
    <sheetView topLeftCell="F16" workbookViewId="0">
      <selection activeCell="Z72" sqref="Z72"/>
    </sheetView>
  </sheetViews>
  <sheetFormatPr defaultRowHeight="15"/>
  <cols>
    <col min="2" max="2" width="13.85546875" bestFit="1" customWidth="1"/>
    <col min="3" max="5" width="12.5703125" bestFit="1" customWidth="1"/>
    <col min="6" max="7" width="12.5703125" customWidth="1"/>
    <col min="10" max="10" width="16.7109375" bestFit="1" customWidth="1"/>
    <col min="11" max="11" width="12.5703125" bestFit="1" customWidth="1"/>
    <col min="13" max="13" width="16.7109375" bestFit="1" customWidth="1"/>
    <col min="14" max="14" width="12.5703125" bestFit="1" customWidth="1"/>
    <col min="16" max="16" width="16.7109375" bestFit="1" customWidth="1"/>
    <col min="17" max="17" width="12.5703125" bestFit="1" customWidth="1"/>
  </cols>
  <sheetData>
    <row r="1" spans="2:17">
      <c r="B1" t="s">
        <v>33</v>
      </c>
      <c r="J1" t="s">
        <v>33</v>
      </c>
      <c r="M1" t="s">
        <v>34</v>
      </c>
      <c r="P1" t="s">
        <v>35</v>
      </c>
    </row>
    <row r="3" spans="2:17">
      <c r="B3" t="s">
        <v>40</v>
      </c>
      <c r="C3" t="s">
        <v>33</v>
      </c>
      <c r="D3" t="s">
        <v>34</v>
      </c>
      <c r="E3" t="s">
        <v>35</v>
      </c>
      <c r="F3" s="44" t="s">
        <v>37</v>
      </c>
      <c r="G3" s="38" t="s">
        <v>38</v>
      </c>
      <c r="H3" s="39" t="s">
        <v>39</v>
      </c>
      <c r="J3" t="s">
        <v>45</v>
      </c>
      <c r="K3" t="s">
        <v>44</v>
      </c>
      <c r="M3" t="s">
        <v>45</v>
      </c>
      <c r="N3" t="s">
        <v>44</v>
      </c>
      <c r="P3" t="s">
        <v>45</v>
      </c>
      <c r="Q3" t="s">
        <v>44</v>
      </c>
    </row>
    <row r="4" spans="2:17">
      <c r="B4" s="1">
        <v>42125</v>
      </c>
      <c r="C4" s="3">
        <v>4.0389701807268397</v>
      </c>
      <c r="D4">
        <v>4.0133931160896701</v>
      </c>
      <c r="E4">
        <v>3.8994521088802201</v>
      </c>
      <c r="F4" s="3">
        <f>C4-D4</f>
        <v>2.5577064637169578E-2</v>
      </c>
      <c r="G4" s="3">
        <f>C4-E4</f>
        <v>0.13951807184661957</v>
      </c>
      <c r="H4" s="3">
        <f>D4-E4</f>
        <v>0.11394100720945</v>
      </c>
      <c r="I4" s="3"/>
      <c r="J4" s="2">
        <v>201506</v>
      </c>
      <c r="K4" s="3">
        <v>4.2335021234890498</v>
      </c>
      <c r="M4" s="2">
        <v>201506</v>
      </c>
      <c r="N4">
        <v>4.0222022319688797</v>
      </c>
      <c r="P4" s="2">
        <v>201506</v>
      </c>
      <c r="Q4">
        <v>3.8753927154875698</v>
      </c>
    </row>
    <row r="5" spans="2:17">
      <c r="B5" s="1">
        <v>42095</v>
      </c>
      <c r="C5" s="3">
        <v>3.9529488520276401</v>
      </c>
      <c r="D5">
        <v>3.9543466434841501</v>
      </c>
      <c r="E5">
        <v>3.8607993915562102</v>
      </c>
      <c r="F5" s="3">
        <f t="shared" ref="F5:F68" si="0">C5-D5</f>
        <v>-1.397791456509978E-3</v>
      </c>
      <c r="G5" s="3">
        <f t="shared" ref="G5:G68" si="1">C5-E5</f>
        <v>9.2149460471429911E-2</v>
      </c>
      <c r="H5" s="3">
        <f t="shared" ref="H5:H68" si="2">D5-E5</f>
        <v>9.354725192793989E-2</v>
      </c>
      <c r="I5" s="3"/>
      <c r="J5" s="2">
        <v>201505</v>
      </c>
      <c r="K5" s="3">
        <v>4.0389701807268397</v>
      </c>
      <c r="M5" s="2">
        <v>201505</v>
      </c>
      <c r="N5">
        <v>4.0133931160896701</v>
      </c>
      <c r="P5" s="2">
        <v>201505</v>
      </c>
      <c r="Q5">
        <v>3.8994521088802201</v>
      </c>
    </row>
    <row r="6" spans="2:17">
      <c r="B6" s="1">
        <v>42064</v>
      </c>
      <c r="C6" s="3">
        <v>3.9133477617476302</v>
      </c>
      <c r="D6">
        <v>3.9650394595727301</v>
      </c>
      <c r="E6">
        <v>3.8455885906271701</v>
      </c>
      <c r="F6" s="3">
        <f t="shared" si="0"/>
        <v>-5.1691697825099858E-2</v>
      </c>
      <c r="G6" s="3">
        <f t="shared" si="1"/>
        <v>6.7759171120460149E-2</v>
      </c>
      <c r="H6" s="3">
        <f t="shared" si="2"/>
        <v>0.11945086894556001</v>
      </c>
      <c r="I6" s="3"/>
      <c r="J6" s="2">
        <v>201504</v>
      </c>
      <c r="K6" s="3">
        <v>3.9529488520276401</v>
      </c>
      <c r="M6" s="2">
        <v>201504</v>
      </c>
      <c r="N6">
        <v>3.9543466434841501</v>
      </c>
      <c r="P6" s="2">
        <v>201504</v>
      </c>
      <c r="Q6">
        <v>3.8607993915562102</v>
      </c>
    </row>
    <row r="7" spans="2:17">
      <c r="B7" s="1">
        <v>42036</v>
      </c>
      <c r="C7" s="3">
        <v>4.0757997189570299</v>
      </c>
      <c r="D7">
        <v>4.0903772084999499</v>
      </c>
      <c r="E7">
        <v>3.9963118748361501</v>
      </c>
      <c r="F7" s="3">
        <f t="shared" si="0"/>
        <v>-1.4577489542920041E-2</v>
      </c>
      <c r="G7" s="3">
        <f t="shared" si="1"/>
        <v>7.9487844120879725E-2</v>
      </c>
      <c r="H7" s="3">
        <f t="shared" si="2"/>
        <v>9.4065333663799766E-2</v>
      </c>
      <c r="I7" s="3"/>
      <c r="J7" s="2">
        <v>201503</v>
      </c>
      <c r="K7" s="3">
        <v>3.9133477617476302</v>
      </c>
      <c r="M7" s="2">
        <v>201503</v>
      </c>
      <c r="N7">
        <v>3.9650394595727301</v>
      </c>
      <c r="P7" s="2">
        <v>201503</v>
      </c>
      <c r="Q7">
        <v>3.8455885906271701</v>
      </c>
    </row>
    <row r="8" spans="2:17">
      <c r="B8" s="1">
        <v>42005</v>
      </c>
      <c r="C8" s="3">
        <v>4.2087446168629103</v>
      </c>
      <c r="D8">
        <v>4.2122474411024697</v>
      </c>
      <c r="E8">
        <v>4.1211887507528298</v>
      </c>
      <c r="F8" s="3">
        <f t="shared" si="0"/>
        <v>-3.5028242395593878E-3</v>
      </c>
      <c r="G8" s="3">
        <f t="shared" si="1"/>
        <v>8.7555866110080594E-2</v>
      </c>
      <c r="H8" s="3">
        <f t="shared" si="2"/>
        <v>9.1058690349639981E-2</v>
      </c>
      <c r="I8" s="3"/>
      <c r="J8" s="2">
        <v>201502</v>
      </c>
      <c r="K8" s="3">
        <v>4.0757997189570299</v>
      </c>
      <c r="M8" s="2">
        <v>201502</v>
      </c>
      <c r="N8">
        <v>4.0903772084999499</v>
      </c>
      <c r="P8" s="2">
        <v>201502</v>
      </c>
      <c r="Q8">
        <v>3.9963118748361501</v>
      </c>
    </row>
    <row r="9" spans="2:17">
      <c r="B9" s="1">
        <v>41974</v>
      </c>
      <c r="C9" s="3">
        <v>4.2358872432205397</v>
      </c>
      <c r="D9">
        <v>4.2500803100472604</v>
      </c>
      <c r="E9">
        <v>4.16174226066562</v>
      </c>
      <c r="F9" s="3">
        <f t="shared" si="0"/>
        <v>-1.4193066826720724E-2</v>
      </c>
      <c r="G9" s="3">
        <f t="shared" si="1"/>
        <v>7.4144982554919636E-2</v>
      </c>
      <c r="H9" s="3">
        <f t="shared" si="2"/>
        <v>8.833804938164036E-2</v>
      </c>
      <c r="I9" s="3"/>
      <c r="J9" s="2">
        <v>201501</v>
      </c>
      <c r="K9" s="3">
        <v>4.2087446168629103</v>
      </c>
      <c r="M9" s="2">
        <v>201501</v>
      </c>
      <c r="N9">
        <v>4.2122474411024697</v>
      </c>
      <c r="P9" s="2">
        <v>201501</v>
      </c>
      <c r="Q9">
        <v>4.1211887507528298</v>
      </c>
    </row>
    <row r="10" spans="2:17">
      <c r="B10" s="1">
        <v>41944</v>
      </c>
      <c r="C10" s="3">
        <v>4.3584180110586503</v>
      </c>
      <c r="D10">
        <v>4.3872449656277599</v>
      </c>
      <c r="E10">
        <v>4.2989627347947099</v>
      </c>
      <c r="F10" s="3">
        <f t="shared" si="0"/>
        <v>-2.8826954569109553E-2</v>
      </c>
      <c r="G10" s="3">
        <f t="shared" si="1"/>
        <v>5.9455276263940426E-2</v>
      </c>
      <c r="H10" s="3">
        <f t="shared" si="2"/>
        <v>8.8282230833049979E-2</v>
      </c>
      <c r="I10" s="3"/>
      <c r="J10" s="2">
        <v>201412</v>
      </c>
      <c r="K10" s="3">
        <v>4.2358872432205397</v>
      </c>
      <c r="M10" s="2">
        <v>201412</v>
      </c>
      <c r="N10">
        <v>4.2500803100472604</v>
      </c>
      <c r="P10" s="2">
        <v>201412</v>
      </c>
      <c r="Q10">
        <v>4.16174226066562</v>
      </c>
    </row>
    <row r="11" spans="2:17">
      <c r="B11" s="1">
        <v>41913</v>
      </c>
      <c r="C11" s="3">
        <v>4.3688185516843099</v>
      </c>
      <c r="D11">
        <v>4.4168454925279397</v>
      </c>
      <c r="E11">
        <v>4.3294364321435799</v>
      </c>
      <c r="F11" s="3">
        <f t="shared" si="0"/>
        <v>-4.8026940843629795E-2</v>
      </c>
      <c r="G11" s="3">
        <f t="shared" si="1"/>
        <v>3.938211954073001E-2</v>
      </c>
      <c r="H11" s="3">
        <f t="shared" si="2"/>
        <v>8.7409060384359805E-2</v>
      </c>
      <c r="I11" s="3"/>
      <c r="J11" s="2">
        <v>201411</v>
      </c>
      <c r="K11" s="3">
        <v>4.3584180110586503</v>
      </c>
      <c r="M11" s="2">
        <v>201411</v>
      </c>
      <c r="N11">
        <v>4.3872449656277599</v>
      </c>
      <c r="P11" s="2">
        <v>201411</v>
      </c>
      <c r="Q11">
        <v>4.2989627347947099</v>
      </c>
    </row>
    <row r="12" spans="2:17">
      <c r="B12" s="1">
        <v>41883</v>
      </c>
      <c r="C12" s="3">
        <v>4.4193575735774902</v>
      </c>
      <c r="D12">
        <v>4.4418601374700701</v>
      </c>
      <c r="E12">
        <v>4.3290158983638003</v>
      </c>
      <c r="F12" s="3">
        <f t="shared" si="0"/>
        <v>-2.2502563892579985E-2</v>
      </c>
      <c r="G12" s="3">
        <f t="shared" si="1"/>
        <v>9.0341675213689854E-2</v>
      </c>
      <c r="H12" s="3">
        <f t="shared" si="2"/>
        <v>0.11284423910626984</v>
      </c>
      <c r="I12" s="3"/>
      <c r="J12" s="2">
        <v>201410</v>
      </c>
      <c r="K12" s="3">
        <v>4.3688185516843099</v>
      </c>
      <c r="M12" s="2">
        <v>201410</v>
      </c>
      <c r="N12">
        <v>4.4168454925279397</v>
      </c>
      <c r="P12" s="2">
        <v>201410</v>
      </c>
      <c r="Q12">
        <v>4.3294364321435799</v>
      </c>
    </row>
    <row r="13" spans="2:17">
      <c r="B13" s="1">
        <v>41852</v>
      </c>
      <c r="C13" s="3">
        <v>4.3933236426926099</v>
      </c>
      <c r="D13">
        <v>4.4167944585249401</v>
      </c>
      <c r="E13">
        <v>4.33720658020491</v>
      </c>
      <c r="F13" s="3">
        <f t="shared" si="0"/>
        <v>-2.3470815832330238E-2</v>
      </c>
      <c r="G13" s="3">
        <f t="shared" si="1"/>
        <v>5.6117062487699876E-2</v>
      </c>
      <c r="H13" s="3">
        <f t="shared" si="2"/>
        <v>7.9587878320030114E-2</v>
      </c>
      <c r="I13" s="3"/>
      <c r="J13" s="2">
        <v>201409</v>
      </c>
      <c r="K13" s="3">
        <v>4.4193575735774902</v>
      </c>
      <c r="M13" s="2">
        <v>201409</v>
      </c>
      <c r="N13">
        <v>4.4418601374700701</v>
      </c>
      <c r="P13" s="2">
        <v>201409</v>
      </c>
      <c r="Q13">
        <v>4.3290158983638003</v>
      </c>
    </row>
    <row r="14" spans="2:17">
      <c r="B14" s="1">
        <v>41821</v>
      </c>
      <c r="C14" s="3">
        <v>4.4364788064027598</v>
      </c>
      <c r="D14">
        <v>4.4790192582815402</v>
      </c>
      <c r="E14">
        <v>4.35939013120979</v>
      </c>
      <c r="F14" s="3">
        <f t="shared" si="0"/>
        <v>-4.2540451878780416E-2</v>
      </c>
      <c r="G14" s="3">
        <f t="shared" si="1"/>
        <v>7.7088675192969802E-2</v>
      </c>
      <c r="H14" s="3">
        <f t="shared" si="2"/>
        <v>0.11962912707175022</v>
      </c>
      <c r="I14" s="3"/>
      <c r="J14" s="2">
        <v>201408</v>
      </c>
      <c r="K14" s="3">
        <v>4.3933236426926099</v>
      </c>
      <c r="M14" s="2">
        <v>201408</v>
      </c>
      <c r="N14">
        <v>4.4167944585249401</v>
      </c>
      <c r="P14" s="2">
        <v>201408</v>
      </c>
      <c r="Q14">
        <v>4.33720658020491</v>
      </c>
    </row>
    <row r="15" spans="2:17">
      <c r="B15" s="1">
        <v>41791</v>
      </c>
      <c r="C15" s="3">
        <v>4.5442690486337698</v>
      </c>
      <c r="D15">
        <v>4.5734233819681904</v>
      </c>
      <c r="E15">
        <v>4.4614514777582404</v>
      </c>
      <c r="F15" s="3">
        <f t="shared" si="0"/>
        <v>-2.9154333334420635E-2</v>
      </c>
      <c r="G15" s="3">
        <f t="shared" si="1"/>
        <v>8.2817570875529434E-2</v>
      </c>
      <c r="H15" s="3">
        <f t="shared" si="2"/>
        <v>0.11197190420995007</v>
      </c>
      <c r="I15" s="3"/>
      <c r="J15" s="2">
        <v>201407</v>
      </c>
      <c r="K15" s="3">
        <v>4.4364788064027598</v>
      </c>
      <c r="M15" s="2">
        <v>201407</v>
      </c>
      <c r="N15">
        <v>4.4790192582815402</v>
      </c>
      <c r="P15" s="2">
        <v>201407</v>
      </c>
      <c r="Q15">
        <v>4.35939013120979</v>
      </c>
    </row>
    <row r="16" spans="2:17">
      <c r="B16" s="1">
        <v>41760</v>
      </c>
      <c r="C16" s="3">
        <v>4.6166434266848304</v>
      </c>
      <c r="D16">
        <v>4.6277948681685102</v>
      </c>
      <c r="E16">
        <v>4.5391417926211597</v>
      </c>
      <c r="F16" s="3">
        <f t="shared" si="0"/>
        <v>-1.1151441483679747E-2</v>
      </c>
      <c r="G16" s="3">
        <f t="shared" si="1"/>
        <v>7.7501634063670721E-2</v>
      </c>
      <c r="H16" s="3">
        <f t="shared" si="2"/>
        <v>8.8653075547350468E-2</v>
      </c>
      <c r="I16" s="3"/>
      <c r="J16" s="2">
        <v>201406</v>
      </c>
      <c r="K16" s="3">
        <v>4.5442690486337698</v>
      </c>
      <c r="M16" s="2">
        <v>201406</v>
      </c>
      <c r="N16">
        <v>4.5734233819681904</v>
      </c>
      <c r="P16" s="2">
        <v>201406</v>
      </c>
      <c r="Q16">
        <v>4.4614514777582404</v>
      </c>
    </row>
    <row r="17" spans="2:17">
      <c r="B17" s="1">
        <v>41730</v>
      </c>
      <c r="C17" s="3">
        <v>4.5702537718570104</v>
      </c>
      <c r="D17">
        <v>4.6201501948839301</v>
      </c>
      <c r="E17">
        <v>4.5122098670136701</v>
      </c>
      <c r="F17" s="3">
        <f t="shared" si="0"/>
        <v>-4.9896423026919656E-2</v>
      </c>
      <c r="G17" s="3">
        <f t="shared" si="1"/>
        <v>5.8043904843340322E-2</v>
      </c>
      <c r="H17" s="3">
        <f t="shared" si="2"/>
        <v>0.10794032787025998</v>
      </c>
      <c r="I17" s="3"/>
      <c r="J17" s="2">
        <v>201405</v>
      </c>
      <c r="K17" s="3">
        <v>4.6166434266848304</v>
      </c>
      <c r="M17" s="2">
        <v>201405</v>
      </c>
      <c r="N17">
        <v>4.6277948681685102</v>
      </c>
      <c r="P17" s="2">
        <v>201405</v>
      </c>
      <c r="Q17">
        <v>4.5391417926211597</v>
      </c>
    </row>
    <row r="18" spans="2:17">
      <c r="B18" s="1">
        <v>41699</v>
      </c>
      <c r="C18" s="3">
        <v>4.6617160165957303</v>
      </c>
      <c r="D18">
        <v>4.6760925741180301</v>
      </c>
      <c r="E18">
        <v>4.5713854108416703</v>
      </c>
      <c r="F18" s="3">
        <f t="shared" si="0"/>
        <v>-1.4376557522299827E-2</v>
      </c>
      <c r="G18" s="3">
        <f t="shared" si="1"/>
        <v>9.0330605754060045E-2</v>
      </c>
      <c r="H18" s="3">
        <f t="shared" si="2"/>
        <v>0.10470716327635987</v>
      </c>
      <c r="I18" s="3"/>
      <c r="J18" s="2">
        <v>201404</v>
      </c>
      <c r="K18" s="3">
        <v>4.5702537718570104</v>
      </c>
      <c r="M18" s="2">
        <v>201404</v>
      </c>
      <c r="N18">
        <v>4.6201501948839301</v>
      </c>
      <c r="P18" s="2">
        <v>201404</v>
      </c>
      <c r="Q18">
        <v>4.5122098670136701</v>
      </c>
    </row>
    <row r="19" spans="2:17">
      <c r="B19" s="1">
        <v>41671</v>
      </c>
      <c r="C19" s="3">
        <v>4.6552600799882597</v>
      </c>
      <c r="D19">
        <v>4.6925297659192502</v>
      </c>
      <c r="E19">
        <v>4.5919244007796296</v>
      </c>
      <c r="F19" s="3">
        <f t="shared" si="0"/>
        <v>-3.7269685930990448E-2</v>
      </c>
      <c r="G19" s="3">
        <f t="shared" si="1"/>
        <v>6.3335679208630147E-2</v>
      </c>
      <c r="H19" s="3">
        <f t="shared" si="2"/>
        <v>0.1006053651396206</v>
      </c>
      <c r="I19" s="3"/>
      <c r="J19" s="2">
        <v>201403</v>
      </c>
      <c r="K19" s="3">
        <v>4.6617160165957303</v>
      </c>
      <c r="M19" s="2">
        <v>201403</v>
      </c>
      <c r="N19">
        <v>4.6760925741180301</v>
      </c>
      <c r="P19" s="2">
        <v>201403</v>
      </c>
      <c r="Q19">
        <v>4.5713854108416703</v>
      </c>
    </row>
    <row r="20" spans="2:17">
      <c r="B20" s="1">
        <v>41640</v>
      </c>
      <c r="C20" s="3">
        <v>4.5208023439445597</v>
      </c>
      <c r="D20">
        <v>4.5456264643018098</v>
      </c>
      <c r="E20">
        <v>4.4637236019984696</v>
      </c>
      <c r="F20" s="3">
        <f t="shared" si="0"/>
        <v>-2.4824120357250123E-2</v>
      </c>
      <c r="G20" s="3">
        <f t="shared" si="1"/>
        <v>5.7078741946090084E-2</v>
      </c>
      <c r="H20" s="3">
        <f t="shared" si="2"/>
        <v>8.1902862303340207E-2</v>
      </c>
      <c r="I20" s="3"/>
      <c r="J20" s="2">
        <v>201402</v>
      </c>
      <c r="K20" s="3">
        <v>4.6552600799882597</v>
      </c>
      <c r="M20" s="2">
        <v>201402</v>
      </c>
      <c r="N20">
        <v>4.6925297659192502</v>
      </c>
      <c r="P20" s="2">
        <v>201402</v>
      </c>
      <c r="Q20">
        <v>4.5919244007796296</v>
      </c>
    </row>
    <row r="21" spans="2:17">
      <c r="B21" s="1">
        <v>41609</v>
      </c>
      <c r="C21" s="3">
        <v>4.5129721223595203</v>
      </c>
      <c r="D21">
        <v>4.4772710289825302</v>
      </c>
      <c r="E21">
        <v>4.4329444821471098</v>
      </c>
      <c r="F21" s="3">
        <f t="shared" si="0"/>
        <v>3.5701093376990123E-2</v>
      </c>
      <c r="G21" s="3">
        <f t="shared" si="1"/>
        <v>8.0027640212410489E-2</v>
      </c>
      <c r="H21" s="3">
        <f t="shared" si="2"/>
        <v>4.4326546835420366E-2</v>
      </c>
      <c r="I21" s="3"/>
      <c r="J21" s="2">
        <v>201401</v>
      </c>
      <c r="K21" s="3">
        <v>4.5208023439445597</v>
      </c>
      <c r="M21" s="2">
        <v>201401</v>
      </c>
      <c r="N21">
        <v>4.5456264643018098</v>
      </c>
      <c r="P21" s="2">
        <v>201401</v>
      </c>
      <c r="Q21">
        <v>4.4637236019984696</v>
      </c>
    </row>
    <row r="22" spans="2:17">
      <c r="B22" s="1">
        <v>41579</v>
      </c>
      <c r="C22" s="3">
        <v>4.6047604894138301</v>
      </c>
      <c r="D22">
        <v>4.6396223559663801</v>
      </c>
      <c r="E22">
        <v>4.5521047780324499</v>
      </c>
      <c r="F22" s="3">
        <f t="shared" si="0"/>
        <v>-3.4861866552549969E-2</v>
      </c>
      <c r="G22" s="3">
        <f t="shared" si="1"/>
        <v>5.2655711381380144E-2</v>
      </c>
      <c r="H22" s="3">
        <f t="shared" si="2"/>
        <v>8.7517577933930113E-2</v>
      </c>
      <c r="I22" s="3"/>
      <c r="J22" s="2">
        <v>201312</v>
      </c>
      <c r="K22" s="3">
        <v>4.5129721223595203</v>
      </c>
      <c r="M22" s="2">
        <v>201312</v>
      </c>
      <c r="N22">
        <v>4.4772710289825302</v>
      </c>
      <c r="P22" s="2">
        <v>201312</v>
      </c>
      <c r="Q22">
        <v>4.4329444821471098</v>
      </c>
    </row>
    <row r="23" spans="2:17">
      <c r="B23" s="1">
        <v>41548</v>
      </c>
      <c r="C23" s="3">
        <v>4.59859946693516</v>
      </c>
      <c r="D23">
        <v>4.6330779566253302</v>
      </c>
      <c r="E23">
        <v>4.63845819471927</v>
      </c>
      <c r="F23" s="3">
        <f t="shared" si="0"/>
        <v>-3.44784896901702E-2</v>
      </c>
      <c r="G23" s="3">
        <f t="shared" si="1"/>
        <v>-3.9858727784110037E-2</v>
      </c>
      <c r="H23" s="3">
        <f t="shared" si="2"/>
        <v>-5.3802380939398375E-3</v>
      </c>
      <c r="I23" s="3"/>
      <c r="J23" s="2">
        <v>201311</v>
      </c>
      <c r="K23" s="3">
        <v>4.6047604894138301</v>
      </c>
      <c r="M23" s="2">
        <v>201311</v>
      </c>
      <c r="N23">
        <v>4.6396223559663801</v>
      </c>
      <c r="P23" s="2">
        <v>201311</v>
      </c>
      <c r="Q23">
        <v>4.5521047780324499</v>
      </c>
    </row>
    <row r="24" spans="2:17">
      <c r="B24" s="1">
        <v>41518</v>
      </c>
      <c r="C24" s="3">
        <v>4.4008961056395703</v>
      </c>
      <c r="D24">
        <v>4.4901178046788397</v>
      </c>
      <c r="E24">
        <v>4.4754993530274296</v>
      </c>
      <c r="F24" s="3">
        <f t="shared" si="0"/>
        <v>-8.9221699039269353E-2</v>
      </c>
      <c r="G24" s="3">
        <f t="shared" si="1"/>
        <v>-7.4603247387859284E-2</v>
      </c>
      <c r="H24" s="3">
        <f t="shared" si="2"/>
        <v>1.4618451651410069E-2</v>
      </c>
      <c r="I24" s="3"/>
      <c r="J24" s="2">
        <v>201310</v>
      </c>
      <c r="K24" s="3">
        <v>4.59859946693516</v>
      </c>
      <c r="M24" s="2">
        <v>201310</v>
      </c>
      <c r="N24">
        <v>4.6330779566253302</v>
      </c>
      <c r="P24" s="2">
        <v>201310</v>
      </c>
      <c r="Q24">
        <v>4.63845819471927</v>
      </c>
    </row>
    <row r="25" spans="2:17">
      <c r="B25" s="1">
        <v>41487</v>
      </c>
      <c r="C25" s="3">
        <v>4.0679841638767202</v>
      </c>
      <c r="D25">
        <v>4.2176563081750098</v>
      </c>
      <c r="E25">
        <v>4.13325997427531</v>
      </c>
      <c r="F25" s="3">
        <f t="shared" si="0"/>
        <v>-0.14967214429828957</v>
      </c>
      <c r="G25" s="3">
        <f t="shared" si="1"/>
        <v>-6.5275810398589762E-2</v>
      </c>
      <c r="H25" s="3">
        <f t="shared" si="2"/>
        <v>8.4396333899699805E-2</v>
      </c>
      <c r="I25" s="3"/>
      <c r="J25" s="2">
        <v>201309</v>
      </c>
      <c r="K25" s="3">
        <v>4.4008961056395703</v>
      </c>
      <c r="M25" s="2">
        <v>201309</v>
      </c>
      <c r="N25">
        <v>4.4901178046788397</v>
      </c>
      <c r="P25" s="2">
        <v>201309</v>
      </c>
      <c r="Q25">
        <v>4.4754993530274296</v>
      </c>
    </row>
    <row r="26" spans="2:17">
      <c r="B26" s="1">
        <v>41456</v>
      </c>
      <c r="C26" s="3">
        <v>3.8117992849476501</v>
      </c>
      <c r="D26">
        <v>3.82298262842325</v>
      </c>
      <c r="E26">
        <v>3.7787679579248401</v>
      </c>
      <c r="F26" s="3">
        <f t="shared" si="0"/>
        <v>-1.1183343475599905E-2</v>
      </c>
      <c r="G26" s="3">
        <f t="shared" si="1"/>
        <v>3.3031327022809975E-2</v>
      </c>
      <c r="H26" s="3">
        <f t="shared" si="2"/>
        <v>4.421467049840988E-2</v>
      </c>
      <c r="I26" s="3"/>
      <c r="J26" s="2">
        <v>201308</v>
      </c>
      <c r="K26" s="3">
        <v>4.0679841638767202</v>
      </c>
      <c r="M26" s="2">
        <v>201308</v>
      </c>
      <c r="N26">
        <v>4.2176563081750098</v>
      </c>
      <c r="P26" s="2">
        <v>201308</v>
      </c>
      <c r="Q26">
        <v>4.13325997427531</v>
      </c>
    </row>
    <row r="27" spans="2:17">
      <c r="B27" s="1">
        <v>41426</v>
      </c>
      <c r="C27" s="3">
        <v>3.7233706877330102</v>
      </c>
      <c r="D27">
        <v>3.70282061562405</v>
      </c>
      <c r="E27">
        <v>3.6615831610014502</v>
      </c>
      <c r="F27" s="3">
        <f t="shared" si="0"/>
        <v>2.0550072108960205E-2</v>
      </c>
      <c r="G27" s="3">
        <f t="shared" si="1"/>
        <v>6.1787526731559961E-2</v>
      </c>
      <c r="H27" s="3">
        <f t="shared" si="2"/>
        <v>4.1237454622599756E-2</v>
      </c>
      <c r="I27" s="3"/>
      <c r="J27" s="2">
        <v>201307</v>
      </c>
      <c r="K27" s="3">
        <v>3.8117992849476501</v>
      </c>
      <c r="M27" s="2">
        <v>201307</v>
      </c>
      <c r="N27">
        <v>3.82298262842325</v>
      </c>
      <c r="P27" s="2">
        <v>201307</v>
      </c>
      <c r="Q27">
        <v>3.7787679579248401</v>
      </c>
    </row>
    <row r="28" spans="2:17">
      <c r="B28" s="1">
        <v>41395</v>
      </c>
      <c r="C28" s="3">
        <v>3.7545323297244799</v>
      </c>
      <c r="D28">
        <v>3.77087644481901</v>
      </c>
      <c r="E28">
        <v>3.7122425231974798</v>
      </c>
      <c r="F28" s="3">
        <f t="shared" si="0"/>
        <v>-1.6344115094530043E-2</v>
      </c>
      <c r="G28" s="3">
        <f t="shared" si="1"/>
        <v>4.2289806527000096E-2</v>
      </c>
      <c r="H28" s="3">
        <f t="shared" si="2"/>
        <v>5.8633921621530138E-2</v>
      </c>
      <c r="I28" s="3"/>
      <c r="J28" s="2">
        <v>201306</v>
      </c>
      <c r="K28" s="3">
        <v>3.7233706877330102</v>
      </c>
      <c r="M28" s="2">
        <v>201306</v>
      </c>
      <c r="N28">
        <v>3.70282061562405</v>
      </c>
      <c r="P28" s="2">
        <v>201306</v>
      </c>
      <c r="Q28">
        <v>3.6615831610014502</v>
      </c>
    </row>
    <row r="29" spans="2:17">
      <c r="B29" s="1">
        <v>41365</v>
      </c>
      <c r="C29" s="3">
        <v>3.7467193217018999</v>
      </c>
      <c r="D29">
        <v>3.7480826459979202</v>
      </c>
      <c r="E29">
        <v>3.6780272622436798</v>
      </c>
      <c r="F29" s="3">
        <f t="shared" si="0"/>
        <v>-1.3633242960202629E-3</v>
      </c>
      <c r="G29" s="3">
        <f t="shared" si="1"/>
        <v>6.8692059458220101E-2</v>
      </c>
      <c r="H29" s="3">
        <f t="shared" si="2"/>
        <v>7.0055383754240363E-2</v>
      </c>
      <c r="I29" s="3"/>
      <c r="J29" s="2">
        <v>201305</v>
      </c>
      <c r="K29" s="3">
        <v>3.7545323297244799</v>
      </c>
      <c r="M29" s="2">
        <v>201305</v>
      </c>
      <c r="N29">
        <v>3.77087644481901</v>
      </c>
      <c r="P29" s="2">
        <v>201305</v>
      </c>
      <c r="Q29">
        <v>3.7122425231974798</v>
      </c>
    </row>
    <row r="30" spans="2:17">
      <c r="B30" s="1">
        <v>41334</v>
      </c>
      <c r="C30" s="3">
        <v>3.6881023168963898</v>
      </c>
      <c r="D30">
        <v>3.6617558962022998</v>
      </c>
      <c r="E30">
        <v>3.58917796002165</v>
      </c>
      <c r="F30" s="3">
        <f t="shared" si="0"/>
        <v>2.6346420694089989E-2</v>
      </c>
      <c r="G30" s="3">
        <f t="shared" si="1"/>
        <v>9.8924356874739772E-2</v>
      </c>
      <c r="H30" s="3">
        <f t="shared" si="2"/>
        <v>7.2577936180649782E-2</v>
      </c>
      <c r="I30" s="3"/>
      <c r="J30" s="2">
        <v>201304</v>
      </c>
      <c r="K30" s="3">
        <v>3.7467193217018999</v>
      </c>
      <c r="M30" s="2">
        <v>201304</v>
      </c>
      <c r="N30">
        <v>3.7480826459979202</v>
      </c>
      <c r="P30" s="2">
        <v>201304</v>
      </c>
      <c r="Q30">
        <v>3.6780272622436798</v>
      </c>
    </row>
    <row r="31" spans="2:17">
      <c r="B31" s="1">
        <v>41306</v>
      </c>
      <c r="C31" s="3">
        <v>3.6035562301760602</v>
      </c>
      <c r="D31">
        <v>3.5690133072085901</v>
      </c>
      <c r="E31">
        <v>3.51007405520336</v>
      </c>
      <c r="F31" s="3">
        <f t="shared" si="0"/>
        <v>3.454292296747008E-2</v>
      </c>
      <c r="G31" s="3">
        <f t="shared" si="1"/>
        <v>9.3482174972700172E-2</v>
      </c>
      <c r="H31" s="3">
        <f t="shared" si="2"/>
        <v>5.8939252005230092E-2</v>
      </c>
      <c r="I31" s="3"/>
      <c r="J31" s="2">
        <v>201303</v>
      </c>
      <c r="K31" s="3">
        <v>3.6881023168963898</v>
      </c>
      <c r="M31" s="2">
        <v>201303</v>
      </c>
      <c r="N31">
        <v>3.6617558962022998</v>
      </c>
      <c r="P31" s="2">
        <v>201303</v>
      </c>
      <c r="Q31">
        <v>3.58917796002165</v>
      </c>
    </row>
    <row r="32" spans="2:17">
      <c r="B32" s="1">
        <v>41275</v>
      </c>
      <c r="C32" s="3">
        <v>3.5733764734017099</v>
      </c>
      <c r="D32">
        <v>3.54482440254914</v>
      </c>
      <c r="E32">
        <v>3.5016168625171602</v>
      </c>
      <c r="F32" s="3">
        <f t="shared" si="0"/>
        <v>2.8552070852569944E-2</v>
      </c>
      <c r="G32" s="3">
        <f t="shared" si="1"/>
        <v>7.175961088454974E-2</v>
      </c>
      <c r="H32" s="3">
        <f t="shared" si="2"/>
        <v>4.3207540031979796E-2</v>
      </c>
      <c r="I32" s="3"/>
      <c r="J32" s="2">
        <v>201302</v>
      </c>
      <c r="K32" s="3">
        <v>3.6035562301760602</v>
      </c>
      <c r="M32" s="2">
        <v>201302</v>
      </c>
      <c r="N32">
        <v>3.5690133072085901</v>
      </c>
      <c r="P32" s="2">
        <v>201302</v>
      </c>
      <c r="Q32">
        <v>3.51007405520336</v>
      </c>
    </row>
    <row r="33" spans="2:17">
      <c r="B33" s="1">
        <v>41244</v>
      </c>
      <c r="C33" s="3">
        <v>3.6044830038585598</v>
      </c>
      <c r="D33">
        <v>3.5843226114100202</v>
      </c>
      <c r="E33">
        <v>3.49839505492338</v>
      </c>
      <c r="F33" s="3">
        <f t="shared" si="0"/>
        <v>2.0160392448539621E-2</v>
      </c>
      <c r="G33" s="3">
        <f t="shared" si="1"/>
        <v>0.10608794893517981</v>
      </c>
      <c r="H33" s="3">
        <f t="shared" si="2"/>
        <v>8.5927556486640189E-2</v>
      </c>
      <c r="I33" s="3"/>
      <c r="J33" s="2">
        <v>201301</v>
      </c>
      <c r="K33" s="3">
        <v>3.5733764734017099</v>
      </c>
      <c r="M33" s="2">
        <v>201301</v>
      </c>
      <c r="N33">
        <v>3.54482440254914</v>
      </c>
      <c r="P33" s="2">
        <v>201301</v>
      </c>
      <c r="Q33">
        <v>3.5016168625171602</v>
      </c>
    </row>
    <row r="34" spans="2:17">
      <c r="B34" s="1">
        <v>41214</v>
      </c>
      <c r="C34" s="3">
        <v>3.6935359413315698</v>
      </c>
      <c r="D34">
        <v>3.6403611339163402</v>
      </c>
      <c r="E34">
        <v>3.56909632744122</v>
      </c>
      <c r="F34" s="3">
        <f t="shared" si="0"/>
        <v>5.3174807415229619E-2</v>
      </c>
      <c r="G34" s="3">
        <f t="shared" si="1"/>
        <v>0.12443961389034985</v>
      </c>
      <c r="H34" s="3">
        <f t="shared" si="2"/>
        <v>7.1264806475120235E-2</v>
      </c>
      <c r="I34" s="3"/>
      <c r="J34" s="2">
        <v>201212</v>
      </c>
      <c r="K34" s="3">
        <v>3.6044830038585598</v>
      </c>
      <c r="M34" s="2">
        <v>201212</v>
      </c>
      <c r="N34">
        <v>3.5843226114100202</v>
      </c>
      <c r="P34" s="2">
        <v>201212</v>
      </c>
      <c r="Q34">
        <v>3.49839505492338</v>
      </c>
    </row>
    <row r="35" spans="2:17">
      <c r="B35" s="1">
        <v>41183</v>
      </c>
      <c r="C35" s="3">
        <v>3.7611611496553099</v>
      </c>
      <c r="D35">
        <v>3.7496033904993502</v>
      </c>
      <c r="E35">
        <v>3.6776906109934702</v>
      </c>
      <c r="F35" s="3">
        <f t="shared" si="0"/>
        <v>1.155775915595969E-2</v>
      </c>
      <c r="G35" s="3">
        <f t="shared" si="1"/>
        <v>8.3470538661839733E-2</v>
      </c>
      <c r="H35" s="3">
        <f t="shared" si="2"/>
        <v>7.1912779505880042E-2</v>
      </c>
      <c r="I35" s="3"/>
      <c r="J35" s="2">
        <v>201211</v>
      </c>
      <c r="K35" s="3">
        <v>3.6935359413315698</v>
      </c>
      <c r="M35" s="2">
        <v>201211</v>
      </c>
      <c r="N35">
        <v>3.6403611339163402</v>
      </c>
      <c r="P35" s="2">
        <v>201211</v>
      </c>
      <c r="Q35">
        <v>3.56909632744122</v>
      </c>
    </row>
    <row r="36" spans="2:17">
      <c r="B36" s="1">
        <v>41153</v>
      </c>
      <c r="C36" s="3">
        <v>3.7738271529069598</v>
      </c>
      <c r="D36">
        <v>3.7908221950428298</v>
      </c>
      <c r="E36">
        <v>3.70668895519945</v>
      </c>
      <c r="F36" s="3">
        <f t="shared" si="0"/>
        <v>-1.6995042135869998E-2</v>
      </c>
      <c r="G36" s="3">
        <f t="shared" si="1"/>
        <v>6.7138197707509839E-2</v>
      </c>
      <c r="H36" s="3">
        <f t="shared" si="2"/>
        <v>8.4133239843379837E-2</v>
      </c>
      <c r="I36" s="3"/>
      <c r="J36" s="2">
        <v>201210</v>
      </c>
      <c r="K36" s="3">
        <v>3.7611611496553099</v>
      </c>
      <c r="M36" s="2">
        <v>201210</v>
      </c>
      <c r="N36">
        <v>3.7496033904993502</v>
      </c>
      <c r="P36" s="2">
        <v>201210</v>
      </c>
      <c r="Q36">
        <v>3.6776906109934702</v>
      </c>
    </row>
    <row r="37" spans="2:17">
      <c r="B37" s="1">
        <v>41122</v>
      </c>
      <c r="C37" s="3">
        <v>3.8746184525632401</v>
      </c>
      <c r="D37">
        <v>3.8617592736567401</v>
      </c>
      <c r="E37">
        <v>3.79172973299264</v>
      </c>
      <c r="F37" s="3">
        <f t="shared" si="0"/>
        <v>1.2859178906500013E-2</v>
      </c>
      <c r="G37" s="3">
        <f t="shared" si="1"/>
        <v>8.2888719570600067E-2</v>
      </c>
      <c r="H37" s="3">
        <f t="shared" si="2"/>
        <v>7.0029540664100054E-2</v>
      </c>
      <c r="I37" s="3"/>
      <c r="J37" s="2">
        <v>201209</v>
      </c>
      <c r="K37" s="3">
        <v>3.7738271529069598</v>
      </c>
      <c r="M37" s="2">
        <v>201209</v>
      </c>
      <c r="N37">
        <v>3.7908221950428298</v>
      </c>
      <c r="P37" s="2">
        <v>201209</v>
      </c>
      <c r="Q37">
        <v>3.70668895519945</v>
      </c>
    </row>
    <row r="38" spans="2:17">
      <c r="B38" s="1">
        <v>41091</v>
      </c>
      <c r="C38" s="3">
        <v>3.9834189178636401</v>
      </c>
      <c r="D38">
        <v>3.9548623553539102</v>
      </c>
      <c r="E38">
        <v>3.9045130384671101</v>
      </c>
      <c r="F38" s="3">
        <f t="shared" si="0"/>
        <v>2.8556562509729932E-2</v>
      </c>
      <c r="G38" s="3">
        <f t="shared" si="1"/>
        <v>7.8905879396530043E-2</v>
      </c>
      <c r="H38" s="3">
        <f t="shared" si="2"/>
        <v>5.0349316886800111E-2</v>
      </c>
      <c r="I38" s="3"/>
      <c r="J38" s="2">
        <v>201208</v>
      </c>
      <c r="K38" s="3">
        <v>3.8746184525632401</v>
      </c>
      <c r="M38" s="2">
        <v>201208</v>
      </c>
      <c r="N38">
        <v>3.8617592736567401</v>
      </c>
      <c r="P38" s="2">
        <v>201208</v>
      </c>
      <c r="Q38">
        <v>3.79172973299264</v>
      </c>
    </row>
    <row r="39" spans="2:17">
      <c r="B39" s="1">
        <v>41061</v>
      </c>
      <c r="C39" s="3">
        <v>4.15138626457908</v>
      </c>
      <c r="D39">
        <v>4.0810646741116496</v>
      </c>
      <c r="E39">
        <v>4.02111104438755</v>
      </c>
      <c r="F39" s="3">
        <f t="shared" si="0"/>
        <v>7.0321590467430362E-2</v>
      </c>
      <c r="G39" s="3">
        <f t="shared" si="1"/>
        <v>0.13027522019153004</v>
      </c>
      <c r="H39" s="3">
        <f t="shared" si="2"/>
        <v>5.9953629724099677E-2</v>
      </c>
      <c r="I39" s="3"/>
      <c r="J39" s="2">
        <v>201207</v>
      </c>
      <c r="K39" s="3">
        <v>3.9834189178636401</v>
      </c>
      <c r="M39" s="2">
        <v>201207</v>
      </c>
      <c r="N39">
        <v>3.9548623553539102</v>
      </c>
      <c r="P39" s="2">
        <v>201207</v>
      </c>
      <c r="Q39">
        <v>3.9045130384671101</v>
      </c>
    </row>
    <row r="40" spans="2:17">
      <c r="B40" s="1">
        <v>41030</v>
      </c>
      <c r="C40" s="3">
        <v>4.1463382319982598</v>
      </c>
      <c r="D40">
        <v>4.1241708031528201</v>
      </c>
      <c r="E40">
        <v>4.0342092011044501</v>
      </c>
      <c r="F40" s="3">
        <f t="shared" si="0"/>
        <v>2.2167428845439652E-2</v>
      </c>
      <c r="G40" s="3">
        <f t="shared" si="1"/>
        <v>0.11212903089380966</v>
      </c>
      <c r="H40" s="3">
        <f t="shared" si="2"/>
        <v>8.9961602048370004E-2</v>
      </c>
      <c r="I40" s="3"/>
      <c r="J40" s="2">
        <v>201206</v>
      </c>
      <c r="K40" s="3">
        <v>4.15138626457908</v>
      </c>
      <c r="M40" s="2">
        <v>201206</v>
      </c>
      <c r="N40">
        <v>4.0810646741116496</v>
      </c>
      <c r="P40" s="2">
        <v>201206</v>
      </c>
      <c r="Q40">
        <v>4.02111104438755</v>
      </c>
    </row>
    <row r="41" spans="2:17">
      <c r="B41" s="1">
        <v>41000</v>
      </c>
      <c r="C41" s="3">
        <v>4.0828258146043703</v>
      </c>
      <c r="D41">
        <v>4.0665681946305501</v>
      </c>
      <c r="E41">
        <v>3.98405031413209</v>
      </c>
      <c r="F41" s="3">
        <f t="shared" si="0"/>
        <v>1.6257619973820248E-2</v>
      </c>
      <c r="G41" s="3">
        <f t="shared" si="1"/>
        <v>9.8775500472280342E-2</v>
      </c>
      <c r="H41" s="3">
        <f t="shared" si="2"/>
        <v>8.2517880498460094E-2</v>
      </c>
      <c r="I41" s="3"/>
      <c r="J41" s="2">
        <v>201205</v>
      </c>
      <c r="K41" s="3">
        <v>4.1463382319982598</v>
      </c>
      <c r="M41" s="2">
        <v>201205</v>
      </c>
      <c r="N41">
        <v>4.1241708031528201</v>
      </c>
      <c r="P41" s="2">
        <v>201205</v>
      </c>
      <c r="Q41">
        <v>4.0342092011044501</v>
      </c>
    </row>
    <row r="42" spans="2:17">
      <c r="B42" s="1">
        <v>40969</v>
      </c>
      <c r="C42" s="3">
        <v>4.1009025356104001</v>
      </c>
      <c r="D42">
        <v>4.06209319647279</v>
      </c>
      <c r="E42">
        <v>3.9872389028197399</v>
      </c>
      <c r="F42" s="3">
        <f t="shared" si="0"/>
        <v>3.8809339137610088E-2</v>
      </c>
      <c r="G42" s="3">
        <f t="shared" si="1"/>
        <v>0.11366363279066016</v>
      </c>
      <c r="H42" s="3">
        <f t="shared" si="2"/>
        <v>7.4854293653050075E-2</v>
      </c>
      <c r="I42" s="3"/>
      <c r="J42" s="2">
        <v>201204</v>
      </c>
      <c r="K42" s="3">
        <v>4.0828258146043703</v>
      </c>
      <c r="M42" s="2">
        <v>201204</v>
      </c>
      <c r="N42">
        <v>4.0665681946305501</v>
      </c>
      <c r="P42" s="2">
        <v>201204</v>
      </c>
      <c r="Q42">
        <v>3.98405031413209</v>
      </c>
    </row>
    <row r="43" spans="2:17">
      <c r="B43" s="1">
        <v>40940</v>
      </c>
      <c r="C43" s="3">
        <v>4.1608361958050999</v>
      </c>
      <c r="D43">
        <v>4.1396114849480297</v>
      </c>
      <c r="E43">
        <v>4.0725952472030098</v>
      </c>
      <c r="F43" s="3">
        <f t="shared" si="0"/>
        <v>2.1224710857070228E-2</v>
      </c>
      <c r="G43" s="3">
        <f t="shared" si="1"/>
        <v>8.8240948602090086E-2</v>
      </c>
      <c r="H43" s="3">
        <f t="shared" si="2"/>
        <v>6.7016237745019858E-2</v>
      </c>
      <c r="I43" s="3"/>
      <c r="J43" s="2">
        <v>201203</v>
      </c>
      <c r="K43" s="3">
        <v>4.1009025356104001</v>
      </c>
      <c r="M43" s="2">
        <v>201203</v>
      </c>
      <c r="N43">
        <v>4.06209319647279</v>
      </c>
      <c r="P43" s="2">
        <v>201203</v>
      </c>
      <c r="Q43">
        <v>3.9872389028197399</v>
      </c>
    </row>
    <row r="44" spans="2:17">
      <c r="B44" s="1">
        <v>40909</v>
      </c>
      <c r="C44" s="3">
        <v>4.24840657042426</v>
      </c>
      <c r="D44">
        <v>4.2012137504846301</v>
      </c>
      <c r="E44">
        <v>4.1477670382628098</v>
      </c>
      <c r="F44" s="3">
        <f t="shared" si="0"/>
        <v>4.7192819939629871E-2</v>
      </c>
      <c r="G44" s="3">
        <f t="shared" si="1"/>
        <v>0.10063953216145016</v>
      </c>
      <c r="H44" s="3">
        <f t="shared" si="2"/>
        <v>5.3446712221820292E-2</v>
      </c>
      <c r="I44" s="3"/>
      <c r="J44" s="2">
        <v>201202</v>
      </c>
      <c r="K44" s="3">
        <v>4.1608361958050999</v>
      </c>
      <c r="M44" s="2">
        <v>201202</v>
      </c>
      <c r="N44">
        <v>4.1396114849480297</v>
      </c>
      <c r="P44" s="2">
        <v>201202</v>
      </c>
      <c r="Q44">
        <v>4.0725952472030098</v>
      </c>
    </row>
    <row r="45" spans="2:17">
      <c r="B45" s="1">
        <v>40878</v>
      </c>
      <c r="C45" s="3">
        <v>4.2469723709487504</v>
      </c>
      <c r="D45">
        <v>4.2114749669038201</v>
      </c>
      <c r="E45">
        <v>4.1473652037933304</v>
      </c>
      <c r="F45" s="3">
        <f t="shared" si="0"/>
        <v>3.5497404044930292E-2</v>
      </c>
      <c r="G45" s="3">
        <f t="shared" si="1"/>
        <v>9.9607167155419951E-2</v>
      </c>
      <c r="H45" s="3">
        <f t="shared" si="2"/>
        <v>6.4109763110489659E-2</v>
      </c>
      <c r="I45" s="3"/>
      <c r="J45" s="2">
        <v>201201</v>
      </c>
      <c r="K45" s="3">
        <v>4.24840657042426</v>
      </c>
      <c r="M45" s="2">
        <v>201201</v>
      </c>
      <c r="N45">
        <v>4.2012137504846301</v>
      </c>
      <c r="P45" s="2">
        <v>201201</v>
      </c>
      <c r="Q45">
        <v>4.1477670382628098</v>
      </c>
    </row>
    <row r="46" spans="2:17">
      <c r="B46" s="1">
        <v>40848</v>
      </c>
      <c r="C46" s="3">
        <v>4.2843055743881404</v>
      </c>
      <c r="D46">
        <v>4.2486287574211303</v>
      </c>
      <c r="E46">
        <v>4.1974828578205301</v>
      </c>
      <c r="F46" s="3">
        <f t="shared" si="0"/>
        <v>3.5676816967010083E-2</v>
      </c>
      <c r="G46" s="3">
        <f t="shared" si="1"/>
        <v>8.6822716567610314E-2</v>
      </c>
      <c r="H46" s="3">
        <f t="shared" si="2"/>
        <v>5.1145899600600231E-2</v>
      </c>
      <c r="I46" s="3"/>
      <c r="J46" s="2">
        <v>201112</v>
      </c>
      <c r="K46" s="3">
        <v>4.2469723709487504</v>
      </c>
      <c r="M46" s="2">
        <v>201112</v>
      </c>
      <c r="N46">
        <v>4.2114749669038201</v>
      </c>
      <c r="P46" s="2">
        <v>201112</v>
      </c>
      <c r="Q46">
        <v>4.1473652037933304</v>
      </c>
    </row>
    <row r="47" spans="2:17">
      <c r="B47" s="1">
        <v>40817</v>
      </c>
      <c r="C47" s="3">
        <v>4.4325245951034802</v>
      </c>
      <c r="D47">
        <v>4.38390550211827</v>
      </c>
      <c r="E47">
        <v>4.3302771767465504</v>
      </c>
      <c r="F47" s="3">
        <f t="shared" si="0"/>
        <v>4.8619092985210166E-2</v>
      </c>
      <c r="G47" s="3">
        <f t="shared" si="1"/>
        <v>0.10224741835692974</v>
      </c>
      <c r="H47" s="3">
        <f t="shared" si="2"/>
        <v>5.3628325371719576E-2</v>
      </c>
      <c r="I47" s="3"/>
      <c r="J47" s="2">
        <v>201111</v>
      </c>
      <c r="K47" s="3">
        <v>4.2843055743881404</v>
      </c>
      <c r="M47" s="2">
        <v>201111</v>
      </c>
      <c r="N47">
        <v>4.2486287574211303</v>
      </c>
      <c r="P47" s="2">
        <v>201111</v>
      </c>
      <c r="Q47">
        <v>4.1974828578205301</v>
      </c>
    </row>
    <row r="48" spans="2:17">
      <c r="B48" s="1">
        <v>40787</v>
      </c>
      <c r="C48" s="3">
        <v>4.6978024341326696</v>
      </c>
      <c r="D48">
        <v>4.6405868991922201</v>
      </c>
      <c r="E48">
        <v>4.5630485575549304</v>
      </c>
      <c r="F48" s="3">
        <f t="shared" si="0"/>
        <v>5.7215534940449508E-2</v>
      </c>
      <c r="G48" s="3">
        <f t="shared" si="1"/>
        <v>0.13475387657773918</v>
      </c>
      <c r="H48" s="3">
        <f t="shared" si="2"/>
        <v>7.7538341637289676E-2</v>
      </c>
      <c r="I48" s="3"/>
      <c r="J48" s="2">
        <v>201110</v>
      </c>
      <c r="K48" s="3">
        <v>4.4325245951034802</v>
      </c>
      <c r="M48" s="2">
        <v>201110</v>
      </c>
      <c r="N48">
        <v>4.38390550211827</v>
      </c>
      <c r="P48" s="2">
        <v>201110</v>
      </c>
      <c r="Q48">
        <v>4.3302771767465504</v>
      </c>
    </row>
    <row r="49" spans="2:17">
      <c r="B49" s="1">
        <v>40756</v>
      </c>
      <c r="C49" s="3">
        <v>4.8016168276184601</v>
      </c>
      <c r="D49">
        <v>4.7776944448788798</v>
      </c>
      <c r="E49">
        <v>4.7137297748433102</v>
      </c>
      <c r="F49" s="3">
        <f t="shared" si="0"/>
        <v>2.392238273958025E-2</v>
      </c>
      <c r="G49" s="3">
        <f t="shared" si="1"/>
        <v>8.7887052775149854E-2</v>
      </c>
      <c r="H49" s="3">
        <f t="shared" si="2"/>
        <v>6.3964670035569604E-2</v>
      </c>
      <c r="I49" s="3"/>
      <c r="J49" s="2">
        <v>201109</v>
      </c>
      <c r="K49" s="3">
        <v>4.6978024341326696</v>
      </c>
      <c r="M49" s="2">
        <v>201109</v>
      </c>
      <c r="N49">
        <v>4.6405868991922201</v>
      </c>
      <c r="P49" s="2">
        <v>201109</v>
      </c>
      <c r="Q49">
        <v>4.5630485575549304</v>
      </c>
    </row>
    <row r="50" spans="2:17">
      <c r="B50" s="1">
        <v>40725</v>
      </c>
      <c r="C50" s="3">
        <v>4.8809627853672701</v>
      </c>
      <c r="D50">
        <v>4.7791064566027597</v>
      </c>
      <c r="E50">
        <v>4.8050695471571503</v>
      </c>
      <c r="F50" s="3">
        <f t="shared" si="0"/>
        <v>0.10185632876451045</v>
      </c>
      <c r="G50" s="3">
        <f t="shared" si="1"/>
        <v>7.589323821011984E-2</v>
      </c>
      <c r="H50" s="3">
        <f t="shared" si="2"/>
        <v>-2.5963090554390611E-2</v>
      </c>
      <c r="I50" s="3"/>
      <c r="J50" s="2">
        <v>201108</v>
      </c>
      <c r="K50" s="3">
        <v>4.8016168276184601</v>
      </c>
      <c r="M50" s="2">
        <v>201108</v>
      </c>
      <c r="N50">
        <v>4.7776944448788798</v>
      </c>
      <c r="P50" s="2">
        <v>201108</v>
      </c>
      <c r="Q50">
        <v>4.7137297748433102</v>
      </c>
    </row>
    <row r="51" spans="2:17">
      <c r="B51" s="1">
        <v>40695</v>
      </c>
      <c r="C51" s="3">
        <v>5.0487429634058403</v>
      </c>
      <c r="D51">
        <v>4.9160414343485899</v>
      </c>
      <c r="E51">
        <v>4.9409673416119197</v>
      </c>
      <c r="F51" s="3">
        <f t="shared" si="0"/>
        <v>0.13270152905725041</v>
      </c>
      <c r="G51" s="3">
        <f t="shared" si="1"/>
        <v>0.10777562179392053</v>
      </c>
      <c r="H51" s="3">
        <f t="shared" si="2"/>
        <v>-2.4925907263329883E-2</v>
      </c>
      <c r="I51" s="3"/>
      <c r="J51" s="2">
        <v>201107</v>
      </c>
      <c r="K51" s="3">
        <v>4.8809627853672701</v>
      </c>
      <c r="M51" s="2">
        <v>201107</v>
      </c>
      <c r="N51">
        <v>4.7791064566027597</v>
      </c>
      <c r="P51" s="2">
        <v>201107</v>
      </c>
      <c r="Q51">
        <v>4.8050695471571503</v>
      </c>
    </row>
    <row r="52" spans="2:17">
      <c r="B52" s="1">
        <v>40664</v>
      </c>
      <c r="C52" s="3">
        <v>5.0402760348375004</v>
      </c>
      <c r="D52">
        <v>5.0849597575315197</v>
      </c>
      <c r="E52">
        <v>4.9810169759466199</v>
      </c>
      <c r="F52" s="3">
        <f t="shared" si="0"/>
        <v>-4.4683722694019323E-2</v>
      </c>
      <c r="G52" s="3">
        <f t="shared" si="1"/>
        <v>5.9259058890880567E-2</v>
      </c>
      <c r="H52" s="3">
        <f t="shared" si="2"/>
        <v>0.10394278158489989</v>
      </c>
      <c r="I52" s="3"/>
      <c r="J52" s="2">
        <v>201106</v>
      </c>
      <c r="K52" s="3">
        <v>5.0487429634058403</v>
      </c>
      <c r="M52" s="2">
        <v>201106</v>
      </c>
      <c r="N52">
        <v>4.9160414343485899</v>
      </c>
      <c r="P52" s="2">
        <v>201106</v>
      </c>
      <c r="Q52">
        <v>4.9409673416119197</v>
      </c>
    </row>
    <row r="53" spans="2:17">
      <c r="B53" s="1">
        <v>40634</v>
      </c>
      <c r="C53" s="3">
        <v>4.9827742936194603</v>
      </c>
      <c r="D53">
        <v>5.0958832178939497</v>
      </c>
      <c r="E53">
        <v>4.9277890077721498</v>
      </c>
      <c r="F53" s="3">
        <f t="shared" si="0"/>
        <v>-0.11310892427448938</v>
      </c>
      <c r="G53" s="3">
        <f t="shared" si="1"/>
        <v>5.498528584731055E-2</v>
      </c>
      <c r="H53" s="3">
        <f t="shared" si="2"/>
        <v>0.16809421012179993</v>
      </c>
      <c r="I53" s="3"/>
      <c r="J53" s="2">
        <v>201105</v>
      </c>
      <c r="K53" s="3">
        <v>5.0402760348375004</v>
      </c>
      <c r="M53" s="2">
        <v>201105</v>
      </c>
      <c r="N53">
        <v>5.0849597575315197</v>
      </c>
      <c r="P53" s="2">
        <v>201105</v>
      </c>
      <c r="Q53">
        <v>4.9810169759466199</v>
      </c>
    </row>
    <row r="54" spans="2:17">
      <c r="B54" s="1">
        <v>40603</v>
      </c>
      <c r="C54" s="3">
        <v>4.8002540945531003</v>
      </c>
      <c r="D54">
        <v>4.9598671126574398</v>
      </c>
      <c r="E54">
        <v>4.7899791508914298</v>
      </c>
      <c r="F54" s="3">
        <f t="shared" si="0"/>
        <v>-0.15961301810433959</v>
      </c>
      <c r="G54" s="3">
        <f t="shared" si="1"/>
        <v>1.0274943661670477E-2</v>
      </c>
      <c r="H54" s="3">
        <f t="shared" si="2"/>
        <v>0.16988796176601006</v>
      </c>
      <c r="I54" s="3"/>
      <c r="J54" s="2">
        <v>201104</v>
      </c>
      <c r="K54" s="3">
        <v>4.9827742936194603</v>
      </c>
      <c r="M54" s="2">
        <v>201104</v>
      </c>
      <c r="N54">
        <v>5.0958832178939497</v>
      </c>
      <c r="P54" s="2">
        <v>201104</v>
      </c>
      <c r="Q54">
        <v>4.9277890077721498</v>
      </c>
    </row>
    <row r="55" spans="2:17">
      <c r="B55" s="1">
        <v>40575</v>
      </c>
      <c r="C55" s="3">
        <v>4.6421279843837198</v>
      </c>
      <c r="D55">
        <v>4.7834590237662802</v>
      </c>
      <c r="E55">
        <v>4.6003433827280897</v>
      </c>
      <c r="F55" s="3">
        <f t="shared" si="0"/>
        <v>-0.14133103938256042</v>
      </c>
      <c r="G55" s="3">
        <f t="shared" si="1"/>
        <v>4.1784601655630027E-2</v>
      </c>
      <c r="H55" s="3">
        <f t="shared" si="2"/>
        <v>0.18311564103819045</v>
      </c>
      <c r="I55" s="3"/>
      <c r="J55" s="2">
        <v>201103</v>
      </c>
      <c r="K55" s="3">
        <v>4.8002540945531003</v>
      </c>
      <c r="M55" s="2">
        <v>201103</v>
      </c>
      <c r="N55">
        <v>4.9598671126574398</v>
      </c>
      <c r="P55" s="2">
        <v>201103</v>
      </c>
      <c r="Q55">
        <v>4.7899791508914298</v>
      </c>
    </row>
    <row r="56" spans="2:17">
      <c r="B56" s="1">
        <v>40544</v>
      </c>
      <c r="C56" s="3">
        <v>4.45851567209038</v>
      </c>
      <c r="D56">
        <v>4.4565189449984102</v>
      </c>
      <c r="E56">
        <v>4.4243307253035002</v>
      </c>
      <c r="F56" s="3">
        <f t="shared" si="0"/>
        <v>1.9967270919698521E-3</v>
      </c>
      <c r="G56" s="3">
        <f t="shared" si="1"/>
        <v>3.4184946786879777E-2</v>
      </c>
      <c r="H56" s="3">
        <f t="shared" si="2"/>
        <v>3.2188219694909925E-2</v>
      </c>
      <c r="I56" s="3"/>
      <c r="J56" s="2">
        <v>201102</v>
      </c>
      <c r="K56" s="3">
        <v>4.6421279843837198</v>
      </c>
      <c r="M56" s="2">
        <v>201102</v>
      </c>
      <c r="N56">
        <v>4.7834590237662802</v>
      </c>
      <c r="P56" s="2">
        <v>201102</v>
      </c>
      <c r="Q56">
        <v>4.6003433827280897</v>
      </c>
    </row>
    <row r="57" spans="2:17">
      <c r="B57" s="1">
        <v>40513</v>
      </c>
      <c r="C57" s="3">
        <v>4.42022066974266</v>
      </c>
      <c r="D57">
        <v>4.3656538580706501</v>
      </c>
      <c r="E57">
        <v>4.35114730592068</v>
      </c>
      <c r="F57" s="3">
        <f t="shared" si="0"/>
        <v>5.4566811672009941E-2</v>
      </c>
      <c r="G57" s="3">
        <f t="shared" si="1"/>
        <v>6.9073363821980038E-2</v>
      </c>
      <c r="H57" s="3">
        <f t="shared" si="2"/>
        <v>1.4506552149970098E-2</v>
      </c>
      <c r="I57" s="3"/>
      <c r="J57" s="2">
        <v>201101</v>
      </c>
      <c r="K57" s="3">
        <v>4.45851567209038</v>
      </c>
      <c r="M57" s="2">
        <v>201101</v>
      </c>
      <c r="N57">
        <v>4.4565189449984102</v>
      </c>
      <c r="P57" s="2">
        <v>201101</v>
      </c>
      <c r="Q57">
        <v>4.4243307253035002</v>
      </c>
    </row>
    <row r="58" spans="2:17">
      <c r="B58" s="1">
        <v>40483</v>
      </c>
      <c r="C58" s="3">
        <v>4.5197701552763103</v>
      </c>
      <c r="D58">
        <v>4.49177254560795</v>
      </c>
      <c r="E58">
        <v>4.4150642613183901</v>
      </c>
      <c r="F58" s="3">
        <f t="shared" si="0"/>
        <v>2.799760966836029E-2</v>
      </c>
      <c r="G58" s="3">
        <f t="shared" si="1"/>
        <v>0.10470589395792018</v>
      </c>
      <c r="H58" s="3">
        <f t="shared" si="2"/>
        <v>7.6708284289559892E-2</v>
      </c>
      <c r="I58" s="3"/>
      <c r="J58" s="2">
        <v>201012</v>
      </c>
      <c r="K58" s="3">
        <v>4.42022066974266</v>
      </c>
      <c r="M58" s="2">
        <v>201012</v>
      </c>
      <c r="N58">
        <v>4.3656538580706501</v>
      </c>
      <c r="P58" s="2">
        <v>201012</v>
      </c>
      <c r="Q58">
        <v>4.35114730592068</v>
      </c>
    </row>
    <row r="59" spans="2:17">
      <c r="B59" s="1">
        <v>40452</v>
      </c>
      <c r="C59" s="3">
        <v>4.5886066498534701</v>
      </c>
      <c r="D59">
        <v>4.5928928236252302</v>
      </c>
      <c r="E59">
        <v>4.4787710701160304</v>
      </c>
      <c r="F59" s="3">
        <f t="shared" si="0"/>
        <v>-4.2861737717601045E-3</v>
      </c>
      <c r="G59" s="3">
        <f t="shared" si="1"/>
        <v>0.10983557973743974</v>
      </c>
      <c r="H59" s="3">
        <f t="shared" si="2"/>
        <v>0.11412175350919984</v>
      </c>
      <c r="I59" s="3"/>
      <c r="J59" s="2">
        <v>201011</v>
      </c>
      <c r="K59" s="3">
        <v>4.5197701552763103</v>
      </c>
      <c r="M59" s="2">
        <v>201011</v>
      </c>
      <c r="N59">
        <v>4.49177254560795</v>
      </c>
      <c r="P59" s="2">
        <v>201011</v>
      </c>
      <c r="Q59">
        <v>4.4150642613183901</v>
      </c>
    </row>
    <row r="60" spans="2:17">
      <c r="B60" s="1">
        <v>40422</v>
      </c>
      <c r="C60" s="3">
        <v>4.68354304603566</v>
      </c>
      <c r="D60">
        <v>4.5947808802653904</v>
      </c>
      <c r="E60">
        <v>4.5814661979048497</v>
      </c>
      <c r="F60" s="3">
        <f t="shared" si="0"/>
        <v>8.8762165770269519E-2</v>
      </c>
      <c r="G60" s="3">
        <f t="shared" si="1"/>
        <v>0.1020768481308103</v>
      </c>
      <c r="H60" s="3">
        <f t="shared" si="2"/>
        <v>1.3314682360540786E-2</v>
      </c>
      <c r="I60" s="3"/>
      <c r="J60" s="2">
        <v>201010</v>
      </c>
      <c r="K60" s="3">
        <v>4.5886066498534701</v>
      </c>
      <c r="M60" s="2">
        <v>201010</v>
      </c>
      <c r="N60">
        <v>4.5928928236252302</v>
      </c>
      <c r="P60" s="2">
        <v>201010</v>
      </c>
      <c r="Q60">
        <v>4.4787710701160304</v>
      </c>
    </row>
    <row r="61" spans="2:17">
      <c r="B61" s="1">
        <v>40391</v>
      </c>
      <c r="C61" s="3">
        <v>4.8386217201218198</v>
      </c>
      <c r="D61">
        <v>4.7649167605006797</v>
      </c>
      <c r="E61">
        <v>4.7388760072376197</v>
      </c>
      <c r="F61" s="3">
        <f t="shared" si="0"/>
        <v>7.3704959621140098E-2</v>
      </c>
      <c r="G61" s="3">
        <f t="shared" si="1"/>
        <v>9.9745712884200088E-2</v>
      </c>
      <c r="H61" s="3">
        <f t="shared" si="2"/>
        <v>2.604075326305999E-2</v>
      </c>
      <c r="I61" s="3"/>
      <c r="J61" s="2">
        <v>201009</v>
      </c>
      <c r="K61" s="3">
        <v>4.68354304603566</v>
      </c>
      <c r="M61" s="2">
        <v>201009</v>
      </c>
      <c r="N61">
        <v>4.5947808802653904</v>
      </c>
      <c r="P61" s="2">
        <v>201009</v>
      </c>
      <c r="Q61">
        <v>4.5814661979048497</v>
      </c>
    </row>
    <row r="62" spans="2:17">
      <c r="B62" s="1">
        <v>40360</v>
      </c>
      <c r="C62" s="3">
        <v>5.05181739371658</v>
      </c>
      <c r="D62">
        <v>4.9507711901015696</v>
      </c>
      <c r="E62">
        <v>4.9452851418842201</v>
      </c>
      <c r="F62" s="3">
        <f t="shared" si="0"/>
        <v>0.10104620361501038</v>
      </c>
      <c r="G62" s="3">
        <f t="shared" si="1"/>
        <v>0.10653225183235993</v>
      </c>
      <c r="H62" s="3">
        <f t="shared" si="2"/>
        <v>5.4860482173495484E-3</v>
      </c>
      <c r="I62" s="3"/>
      <c r="J62" s="2">
        <v>201008</v>
      </c>
      <c r="K62" s="3">
        <v>4.8386217201218198</v>
      </c>
      <c r="M62" s="2">
        <v>201008</v>
      </c>
      <c r="N62">
        <v>4.7649167605006797</v>
      </c>
      <c r="P62" s="2">
        <v>201008</v>
      </c>
      <c r="Q62">
        <v>4.7388760072376197</v>
      </c>
    </row>
    <row r="63" spans="2:17">
      <c r="B63" s="1">
        <v>40330</v>
      </c>
      <c r="C63" s="3">
        <v>5.1581734402116899</v>
      </c>
      <c r="D63">
        <v>5.1584204043098003</v>
      </c>
      <c r="E63">
        <v>5.1259067450346798</v>
      </c>
      <c r="F63" s="3">
        <f t="shared" si="0"/>
        <v>-2.4696409811042486E-4</v>
      </c>
      <c r="G63" s="3">
        <f t="shared" si="1"/>
        <v>3.2266695177010085E-2</v>
      </c>
      <c r="H63" s="3">
        <f t="shared" si="2"/>
        <v>3.251365927512051E-2</v>
      </c>
      <c r="I63" s="3"/>
      <c r="J63" s="2">
        <v>201007</v>
      </c>
      <c r="K63" s="3">
        <v>5.05181739371658</v>
      </c>
      <c r="M63" s="2">
        <v>201007</v>
      </c>
      <c r="N63">
        <v>4.9507711901015696</v>
      </c>
      <c r="P63" s="2">
        <v>201007</v>
      </c>
      <c r="Q63">
        <v>4.9452851418842201</v>
      </c>
    </row>
    <row r="64" spans="2:17">
      <c r="B64" s="1">
        <v>40299</v>
      </c>
      <c r="C64" s="3">
        <v>5.1278598679396001</v>
      </c>
      <c r="D64">
        <v>5.1066842481774799</v>
      </c>
      <c r="E64">
        <v>5.0989756730627596</v>
      </c>
      <c r="F64" s="3">
        <f t="shared" si="0"/>
        <v>2.1175619762120235E-2</v>
      </c>
      <c r="G64" s="3">
        <f t="shared" si="1"/>
        <v>2.8884194876840574E-2</v>
      </c>
      <c r="H64" s="3">
        <f t="shared" si="2"/>
        <v>7.7085751147203396E-3</v>
      </c>
      <c r="I64" s="3"/>
      <c r="J64" s="2">
        <v>201006</v>
      </c>
      <c r="K64" s="3">
        <v>5.1581734402116899</v>
      </c>
      <c r="M64" s="2">
        <v>201006</v>
      </c>
      <c r="N64">
        <v>5.1584204043098003</v>
      </c>
      <c r="P64" s="2">
        <v>201006</v>
      </c>
      <c r="Q64">
        <v>5.1259067450346798</v>
      </c>
    </row>
    <row r="65" spans="2:17">
      <c r="B65" s="1">
        <v>40269</v>
      </c>
      <c r="C65" s="3">
        <v>5.1074341080650001</v>
      </c>
      <c r="D65">
        <v>5.11432777177186</v>
      </c>
      <c r="E65">
        <v>5.0586440060350197</v>
      </c>
      <c r="F65" s="3">
        <f t="shared" si="0"/>
        <v>-6.8936637068599538E-3</v>
      </c>
      <c r="G65" s="3">
        <f t="shared" si="1"/>
        <v>4.8790102029980353E-2</v>
      </c>
      <c r="H65" s="3">
        <f t="shared" si="2"/>
        <v>5.5683765736840307E-2</v>
      </c>
      <c r="I65" s="3"/>
      <c r="J65" s="2">
        <v>201005</v>
      </c>
      <c r="K65" s="3">
        <v>5.1278598679396001</v>
      </c>
      <c r="M65" s="2">
        <v>201005</v>
      </c>
      <c r="N65">
        <v>5.1066842481774799</v>
      </c>
      <c r="P65" s="2">
        <v>201005</v>
      </c>
      <c r="Q65">
        <v>5.0989756730627596</v>
      </c>
    </row>
    <row r="66" spans="2:17">
      <c r="B66" s="1">
        <v>40238</v>
      </c>
      <c r="C66" s="3">
        <v>5.0836717865179297</v>
      </c>
      <c r="D66">
        <v>5.1459693452380897</v>
      </c>
      <c r="E66">
        <v>5.08439498773933</v>
      </c>
      <c r="F66" s="3">
        <f t="shared" si="0"/>
        <v>-6.2297558720159962E-2</v>
      </c>
      <c r="G66" s="3">
        <f t="shared" si="1"/>
        <v>-7.2320122140023813E-4</v>
      </c>
      <c r="H66" s="3">
        <f t="shared" si="2"/>
        <v>6.1574357498759724E-2</v>
      </c>
      <c r="I66" s="3"/>
      <c r="J66" s="2">
        <v>201004</v>
      </c>
      <c r="K66" s="3">
        <v>5.1074341080650001</v>
      </c>
      <c r="M66" s="2">
        <v>201004</v>
      </c>
      <c r="N66">
        <v>5.11432777177186</v>
      </c>
      <c r="P66" s="2">
        <v>201004</v>
      </c>
      <c r="Q66">
        <v>5.0586440060350197</v>
      </c>
    </row>
    <row r="67" spans="2:17">
      <c r="B67" s="1">
        <v>40210</v>
      </c>
      <c r="C67" s="3">
        <v>4.9953416242823003</v>
      </c>
      <c r="D67">
        <v>5.1989277807990399</v>
      </c>
      <c r="E67">
        <v>4.9656789247411197</v>
      </c>
      <c r="F67" s="3">
        <f t="shared" si="0"/>
        <v>-0.20358615651673961</v>
      </c>
      <c r="G67" s="3">
        <f t="shared" si="1"/>
        <v>2.9662699541180615E-2</v>
      </c>
      <c r="H67" s="3">
        <f t="shared" si="2"/>
        <v>0.23324885605792023</v>
      </c>
      <c r="I67" s="3"/>
      <c r="J67" s="2">
        <v>201003</v>
      </c>
      <c r="K67" s="3">
        <v>5.0836717865179297</v>
      </c>
      <c r="M67" s="2">
        <v>201003</v>
      </c>
      <c r="N67">
        <v>5.1459693452380897</v>
      </c>
      <c r="P67" s="2">
        <v>201003</v>
      </c>
      <c r="Q67">
        <v>5.08439498773933</v>
      </c>
    </row>
    <row r="68" spans="2:17">
      <c r="B68" s="1">
        <v>40179</v>
      </c>
      <c r="C68" s="3">
        <v>4.99071871808124</v>
      </c>
      <c r="D68">
        <v>5.06137145902981</v>
      </c>
      <c r="E68">
        <v>4.9332459145459104</v>
      </c>
      <c r="F68" s="3">
        <f t="shared" si="0"/>
        <v>-7.0652740948569992E-2</v>
      </c>
      <c r="G68" s="3">
        <f t="shared" si="1"/>
        <v>5.7472803535329575E-2</v>
      </c>
      <c r="H68" s="3">
        <f t="shared" si="2"/>
        <v>0.12812554448389957</v>
      </c>
      <c r="I68" s="3"/>
      <c r="J68" s="2">
        <v>201002</v>
      </c>
      <c r="K68" s="3">
        <v>4.9953416242823003</v>
      </c>
      <c r="M68" s="2">
        <v>201002</v>
      </c>
      <c r="N68">
        <v>5.1989277807990399</v>
      </c>
      <c r="P68" s="2">
        <v>201002</v>
      </c>
      <c r="Q68">
        <v>4.9656789247411197</v>
      </c>
    </row>
    <row r="69" spans="2:17">
      <c r="B69" s="1">
        <v>40148</v>
      </c>
      <c r="C69" s="3">
        <v>5.0013372037500199</v>
      </c>
      <c r="D69">
        <v>5.0262060078724398</v>
      </c>
      <c r="E69">
        <v>5.0095683641855198</v>
      </c>
      <c r="F69" s="3">
        <f t="shared" ref="F69:F128" si="3">C69-D69</f>
        <v>-2.4868804122419874E-2</v>
      </c>
      <c r="G69" s="3">
        <f t="shared" ref="G69:G128" si="4">C69-E69</f>
        <v>-8.2311604354998735E-3</v>
      </c>
      <c r="H69" s="3">
        <f t="shared" ref="H69:H128" si="5">D69-E69</f>
        <v>1.6637643686920001E-2</v>
      </c>
      <c r="I69" s="3"/>
      <c r="J69" s="2">
        <v>201001</v>
      </c>
      <c r="K69" s="3">
        <v>4.99071871808124</v>
      </c>
      <c r="M69" s="2">
        <v>201001</v>
      </c>
      <c r="N69">
        <v>5.06137145902981</v>
      </c>
      <c r="P69" s="2">
        <v>201001</v>
      </c>
      <c r="Q69">
        <v>4.9332459145459104</v>
      </c>
    </row>
    <row r="70" spans="2:17">
      <c r="B70" s="1">
        <v>40118</v>
      </c>
      <c r="C70" s="3">
        <v>5.0311261015909201</v>
      </c>
      <c r="D70">
        <v>5.0582220979378096</v>
      </c>
      <c r="E70">
        <v>5.0379094088698002</v>
      </c>
      <c r="F70" s="3">
        <f t="shared" si="3"/>
        <v>-2.7095996346889528E-2</v>
      </c>
      <c r="G70" s="3">
        <f t="shared" si="4"/>
        <v>-6.7833072788801019E-3</v>
      </c>
      <c r="H70" s="3">
        <f t="shared" si="5"/>
        <v>2.0312689068009426E-2</v>
      </c>
      <c r="I70" s="3"/>
      <c r="J70" s="2">
        <v>200912</v>
      </c>
      <c r="K70" s="3">
        <v>5.0013372037500199</v>
      </c>
      <c r="M70" s="2">
        <v>200912</v>
      </c>
      <c r="N70">
        <v>5.0262060078724398</v>
      </c>
      <c r="P70" s="2">
        <v>200912</v>
      </c>
      <c r="Q70">
        <v>5.0095683641855198</v>
      </c>
    </row>
    <row r="71" spans="2:17">
      <c r="B71" s="1">
        <v>40087</v>
      </c>
      <c r="C71" s="3">
        <v>5.0436178149823503</v>
      </c>
      <c r="D71">
        <v>5.1015935917007198</v>
      </c>
      <c r="E71">
        <v>5.1877336821115803</v>
      </c>
      <c r="F71" s="3">
        <f t="shared" si="3"/>
        <v>-5.7975776718369509E-2</v>
      </c>
      <c r="G71" s="3">
        <f t="shared" si="4"/>
        <v>-0.14411586712922997</v>
      </c>
      <c r="H71" s="3">
        <f t="shared" si="5"/>
        <v>-8.6140090410860459E-2</v>
      </c>
      <c r="I71" s="3"/>
      <c r="J71" s="2">
        <v>200911</v>
      </c>
      <c r="K71" s="3">
        <v>5.0311261015909201</v>
      </c>
      <c r="M71" s="2">
        <v>200911</v>
      </c>
      <c r="N71">
        <v>5.0582220979378096</v>
      </c>
      <c r="P71" s="2">
        <v>200911</v>
      </c>
      <c r="Q71">
        <v>5.0379094088698002</v>
      </c>
    </row>
    <row r="72" spans="2:17">
      <c r="B72" s="1">
        <v>40057</v>
      </c>
      <c r="C72" s="3">
        <v>4.9868624344550199</v>
      </c>
      <c r="D72">
        <v>5.1581385606499204</v>
      </c>
      <c r="E72">
        <v>5.2007145993143</v>
      </c>
      <c r="F72" s="3">
        <f t="shared" si="3"/>
        <v>-0.17127612619490051</v>
      </c>
      <c r="G72" s="3">
        <f t="shared" si="4"/>
        <v>-0.21385216485928016</v>
      </c>
      <c r="H72" s="3">
        <f t="shared" si="5"/>
        <v>-4.2576038664379645E-2</v>
      </c>
      <c r="I72" s="3"/>
      <c r="J72" s="2">
        <v>200910</v>
      </c>
      <c r="K72" s="3">
        <v>5.0436178149823503</v>
      </c>
      <c r="M72" s="2">
        <v>200910</v>
      </c>
      <c r="N72">
        <v>5.1015935917007198</v>
      </c>
      <c r="P72" s="2">
        <v>200910</v>
      </c>
      <c r="Q72">
        <v>5.1877336821115803</v>
      </c>
    </row>
    <row r="73" spans="2:17">
      <c r="B73" s="1">
        <v>40026</v>
      </c>
      <c r="C73" s="3">
        <v>4.9061037724645598</v>
      </c>
      <c r="D73">
        <v>5.1857998123026601</v>
      </c>
      <c r="E73">
        <v>5.0794383972456396</v>
      </c>
      <c r="F73" s="3">
        <f t="shared" si="3"/>
        <v>-0.27969603983810032</v>
      </c>
      <c r="G73" s="3">
        <f t="shared" si="4"/>
        <v>-0.17333462478107986</v>
      </c>
      <c r="H73" s="3">
        <f t="shared" si="5"/>
        <v>0.10636141505702046</v>
      </c>
      <c r="I73" s="3"/>
      <c r="J73" s="2">
        <v>200909</v>
      </c>
      <c r="K73" s="3">
        <v>4.9868624344550199</v>
      </c>
      <c r="M73" s="2">
        <v>200909</v>
      </c>
      <c r="N73">
        <v>5.1581385606499204</v>
      </c>
      <c r="P73" s="2">
        <v>200909</v>
      </c>
      <c r="Q73">
        <v>5.2007145993143</v>
      </c>
    </row>
    <row r="74" spans="2:17">
      <c r="B74" s="1">
        <v>39995</v>
      </c>
      <c r="C74" s="3">
        <v>4.8053737714303999</v>
      </c>
      <c r="D74">
        <v>4.9012415486643404</v>
      </c>
      <c r="E74">
        <v>4.9189540894389197</v>
      </c>
      <c r="F74" s="3">
        <f t="shared" si="3"/>
        <v>-9.5867777233940465E-2</v>
      </c>
      <c r="G74" s="3">
        <f t="shared" si="4"/>
        <v>-0.11358031800851975</v>
      </c>
      <c r="H74" s="3">
        <f t="shared" si="5"/>
        <v>-1.7712540774579288E-2</v>
      </c>
      <c r="I74" s="3"/>
      <c r="J74" s="2">
        <v>200908</v>
      </c>
      <c r="K74" s="3">
        <v>4.9061037724645598</v>
      </c>
      <c r="M74" s="2">
        <v>200908</v>
      </c>
      <c r="N74">
        <v>5.1857998123026601</v>
      </c>
      <c r="P74" s="2">
        <v>200908</v>
      </c>
      <c r="Q74">
        <v>5.0794383972456396</v>
      </c>
    </row>
    <row r="75" spans="2:17">
      <c r="B75" s="1">
        <v>39965</v>
      </c>
      <c r="C75" s="3">
        <v>4.7619285846162196</v>
      </c>
      <c r="D75">
        <v>4.7874920034500201</v>
      </c>
      <c r="E75">
        <v>4.8304248627411903</v>
      </c>
      <c r="F75" s="3">
        <f t="shared" si="3"/>
        <v>-2.5563418833800533E-2</v>
      </c>
      <c r="G75" s="3">
        <f t="shared" si="4"/>
        <v>-6.8496278124970722E-2</v>
      </c>
      <c r="H75" s="3">
        <f t="shared" si="5"/>
        <v>-4.2932859291170189E-2</v>
      </c>
      <c r="I75" s="3"/>
      <c r="J75" s="2">
        <v>200907</v>
      </c>
      <c r="K75" s="3">
        <v>4.8053737714303999</v>
      </c>
      <c r="M75" s="2">
        <v>200907</v>
      </c>
      <c r="N75">
        <v>4.9012415486643404</v>
      </c>
      <c r="P75" s="2">
        <v>200907</v>
      </c>
      <c r="Q75">
        <v>4.9189540894389197</v>
      </c>
    </row>
    <row r="76" spans="2:17">
      <c r="B76" s="1">
        <v>39934</v>
      </c>
      <c r="C76" s="3">
        <v>4.7961163428229296</v>
      </c>
      <c r="D76">
        <v>4.6240306730955396</v>
      </c>
      <c r="E76">
        <v>4.8594085381954102</v>
      </c>
      <c r="F76" s="3">
        <f t="shared" si="3"/>
        <v>0.17208566972739003</v>
      </c>
      <c r="G76" s="3">
        <f t="shared" si="4"/>
        <v>-6.3292195372480542E-2</v>
      </c>
      <c r="H76" s="3">
        <f t="shared" si="5"/>
        <v>-0.23537786509987058</v>
      </c>
      <c r="I76" s="3"/>
      <c r="J76" s="2">
        <v>200906</v>
      </c>
      <c r="K76" s="3">
        <v>4.7619285846162196</v>
      </c>
      <c r="M76" s="2">
        <v>200906</v>
      </c>
      <c r="N76">
        <v>4.7874920034500201</v>
      </c>
      <c r="P76" s="2">
        <v>200906</v>
      </c>
      <c r="Q76">
        <v>4.8304248627411903</v>
      </c>
    </row>
    <row r="77" spans="2:17">
      <c r="B77" s="1">
        <v>39904</v>
      </c>
      <c r="C77" s="3">
        <v>4.8696000664867398</v>
      </c>
      <c r="D77">
        <v>4.9876424651751696</v>
      </c>
      <c r="E77">
        <v>4.9368882430617402</v>
      </c>
      <c r="F77" s="3">
        <f t="shared" si="3"/>
        <v>-0.11804239868842981</v>
      </c>
      <c r="G77" s="3">
        <f t="shared" si="4"/>
        <v>-6.7288176575000413E-2</v>
      </c>
      <c r="H77" s="3">
        <f t="shared" si="5"/>
        <v>5.0754222113429392E-2</v>
      </c>
      <c r="I77" s="3"/>
      <c r="J77" s="2">
        <v>200905</v>
      </c>
      <c r="K77" s="3">
        <v>4.7961163428229296</v>
      </c>
      <c r="M77" s="2">
        <v>200905</v>
      </c>
      <c r="N77">
        <v>4.6240306730955396</v>
      </c>
      <c r="P77" s="2">
        <v>200905</v>
      </c>
      <c r="Q77">
        <v>4.8594085381954102</v>
      </c>
    </row>
    <row r="78" spans="2:17">
      <c r="B78" s="1">
        <v>39873</v>
      </c>
      <c r="C78" s="3">
        <v>4.8441070302779696</v>
      </c>
      <c r="D78">
        <v>4.9794788206266203</v>
      </c>
      <c r="E78">
        <v>4.8798957604802702</v>
      </c>
      <c r="F78" s="3">
        <f t="shared" si="3"/>
        <v>-0.13537179034865066</v>
      </c>
      <c r="G78" s="3">
        <f t="shared" si="4"/>
        <v>-3.5788730202300556E-2</v>
      </c>
      <c r="H78" s="3">
        <f t="shared" si="5"/>
        <v>9.95830601463501E-2</v>
      </c>
      <c r="I78" s="3"/>
      <c r="J78" s="2">
        <v>200904</v>
      </c>
      <c r="K78" s="3">
        <v>4.8696000664867398</v>
      </c>
      <c r="M78" s="2">
        <v>200904</v>
      </c>
      <c r="N78">
        <v>4.9876424651751696</v>
      </c>
      <c r="P78" s="2">
        <v>200904</v>
      </c>
      <c r="Q78">
        <v>4.9368882430617402</v>
      </c>
    </row>
    <row r="79" spans="2:17">
      <c r="B79" s="1">
        <v>39845</v>
      </c>
      <c r="C79" s="3">
        <v>4.9042448130201697</v>
      </c>
      <c r="D79">
        <v>4.9303153170200398</v>
      </c>
      <c r="E79">
        <v>4.8748252490716704</v>
      </c>
      <c r="F79" s="3">
        <f t="shared" si="3"/>
        <v>-2.6070503999870098E-2</v>
      </c>
      <c r="G79" s="3">
        <f t="shared" si="4"/>
        <v>2.9419563948499317E-2</v>
      </c>
      <c r="H79" s="3">
        <f t="shared" si="5"/>
        <v>5.5490067948369415E-2</v>
      </c>
      <c r="I79" s="3"/>
      <c r="J79" s="2">
        <v>200903</v>
      </c>
      <c r="K79" s="3">
        <v>4.8441070302779696</v>
      </c>
      <c r="M79" s="2">
        <v>200903</v>
      </c>
      <c r="N79">
        <v>4.9794788206266203</v>
      </c>
      <c r="P79" s="2">
        <v>200903</v>
      </c>
      <c r="Q79">
        <v>4.8798957604802702</v>
      </c>
    </row>
    <row r="80" spans="2:17">
      <c r="B80" s="1">
        <v>39814</v>
      </c>
      <c r="C80" s="3">
        <v>5.2445822526980796</v>
      </c>
      <c r="D80">
        <v>5.1860652142125998</v>
      </c>
      <c r="E80">
        <v>5.3078400434085804</v>
      </c>
      <c r="F80" s="3">
        <f t="shared" si="3"/>
        <v>5.8517038485479844E-2</v>
      </c>
      <c r="G80" s="3">
        <f t="shared" si="4"/>
        <v>-6.325779071050075E-2</v>
      </c>
      <c r="H80" s="3">
        <f t="shared" si="5"/>
        <v>-0.12177482919598059</v>
      </c>
      <c r="I80" s="3"/>
      <c r="J80" s="2">
        <v>200902</v>
      </c>
      <c r="K80" s="3">
        <v>4.9042448130201697</v>
      </c>
      <c r="M80" s="2">
        <v>200902</v>
      </c>
      <c r="N80">
        <v>4.9303153170200398</v>
      </c>
      <c r="P80" s="2">
        <v>200902</v>
      </c>
      <c r="Q80">
        <v>4.8748252490716704</v>
      </c>
    </row>
    <row r="81" spans="2:17">
      <c r="B81" s="1">
        <v>39783</v>
      </c>
      <c r="C81" s="3">
        <v>5.99185053219224</v>
      </c>
      <c r="D81">
        <v>6.3025611620795097</v>
      </c>
      <c r="E81">
        <v>6.0323533179084698</v>
      </c>
      <c r="F81" s="3">
        <f t="shared" si="3"/>
        <v>-0.31071062988726972</v>
      </c>
      <c r="G81" s="3">
        <f t="shared" si="4"/>
        <v>-4.0502785716229894E-2</v>
      </c>
      <c r="H81" s="3">
        <f t="shared" si="5"/>
        <v>0.27020784417103982</v>
      </c>
      <c r="I81" s="3"/>
      <c r="J81" s="2">
        <v>200901</v>
      </c>
      <c r="K81" s="3">
        <v>5.2445822526980796</v>
      </c>
      <c r="M81" s="2">
        <v>200901</v>
      </c>
      <c r="N81">
        <v>5.1860652142125998</v>
      </c>
      <c r="P81" s="2">
        <v>200901</v>
      </c>
      <c r="Q81">
        <v>5.3078400434085804</v>
      </c>
    </row>
    <row r="82" spans="2:17">
      <c r="B82" s="1">
        <v>39753</v>
      </c>
      <c r="C82" s="3">
        <v>5.8983999478450002</v>
      </c>
      <c r="D82">
        <v>6.1473414620566702</v>
      </c>
      <c r="E82">
        <v>5.9552874488591403</v>
      </c>
      <c r="F82" s="3">
        <f t="shared" si="3"/>
        <v>-0.24894151421166999</v>
      </c>
      <c r="G82" s="3">
        <f t="shared" si="4"/>
        <v>-5.6887501014140085E-2</v>
      </c>
      <c r="H82" s="3">
        <f t="shared" si="5"/>
        <v>0.1920540131975299</v>
      </c>
      <c r="I82" s="3"/>
      <c r="J82" s="2">
        <v>200812</v>
      </c>
      <c r="K82" s="3">
        <v>5.99185053219224</v>
      </c>
      <c r="M82" s="2">
        <v>200812</v>
      </c>
      <c r="N82">
        <v>6.3025611620795097</v>
      </c>
      <c r="P82" s="2">
        <v>200812</v>
      </c>
      <c r="Q82">
        <v>6.0323533179084698</v>
      </c>
    </row>
    <row r="83" spans="2:17">
      <c r="B83" s="1">
        <v>39722</v>
      </c>
      <c r="C83" s="3">
        <v>6.09724031899965</v>
      </c>
      <c r="D83">
        <v>6.2529107891423097</v>
      </c>
      <c r="E83">
        <v>6.1569219575125302</v>
      </c>
      <c r="F83" s="3">
        <f t="shared" si="3"/>
        <v>-0.15567047014265967</v>
      </c>
      <c r="G83" s="3">
        <f t="shared" si="4"/>
        <v>-5.968163851288022E-2</v>
      </c>
      <c r="H83" s="3">
        <f t="shared" si="5"/>
        <v>9.5988831629779447E-2</v>
      </c>
      <c r="I83" s="3"/>
      <c r="J83" s="2">
        <v>200811</v>
      </c>
      <c r="K83" s="3">
        <v>5.8983999478450002</v>
      </c>
      <c r="M83" s="2">
        <v>200811</v>
      </c>
      <c r="N83">
        <v>6.1473414620566702</v>
      </c>
      <c r="P83" s="2">
        <v>200811</v>
      </c>
      <c r="Q83">
        <v>5.9552874488591403</v>
      </c>
    </row>
    <row r="84" spans="2:17">
      <c r="B84" s="1">
        <v>39692</v>
      </c>
      <c r="C84" s="3">
        <v>6.4588318111905103</v>
      </c>
      <c r="D84">
        <v>6.5946668148387602</v>
      </c>
      <c r="E84">
        <v>6.4722220667055002</v>
      </c>
      <c r="F84" s="3">
        <f t="shared" si="3"/>
        <v>-0.13583500364824985</v>
      </c>
      <c r="G84" s="3">
        <f t="shared" si="4"/>
        <v>-1.3390255514989846E-2</v>
      </c>
      <c r="H84" s="3">
        <f t="shared" si="5"/>
        <v>0.12244474813326001</v>
      </c>
      <c r="I84" s="3"/>
      <c r="J84" s="2">
        <v>200810</v>
      </c>
      <c r="K84" s="3">
        <v>6.09724031899965</v>
      </c>
      <c r="M84" s="2">
        <v>200810</v>
      </c>
      <c r="N84">
        <v>6.2529107891423097</v>
      </c>
      <c r="P84" s="2">
        <v>200810</v>
      </c>
      <c r="Q84">
        <v>6.1569219575125302</v>
      </c>
    </row>
    <row r="85" spans="2:17">
      <c r="B85" s="1">
        <v>39661</v>
      </c>
      <c r="C85" s="3">
        <v>6.3532229942064102</v>
      </c>
      <c r="D85">
        <v>6.5555960893224103</v>
      </c>
      <c r="E85">
        <v>6.3076810210872596</v>
      </c>
      <c r="F85" s="3">
        <f t="shared" si="3"/>
        <v>-0.2023730951160001</v>
      </c>
      <c r="G85" s="3">
        <f t="shared" si="4"/>
        <v>4.5541973119150647E-2</v>
      </c>
      <c r="H85" s="3">
        <f t="shared" si="5"/>
        <v>0.24791506823515075</v>
      </c>
      <c r="I85" s="3"/>
      <c r="J85" s="2">
        <v>200809</v>
      </c>
      <c r="K85" s="3">
        <v>6.4588318111905103</v>
      </c>
      <c r="M85" s="2">
        <v>200809</v>
      </c>
      <c r="N85">
        <v>6.5946668148387602</v>
      </c>
      <c r="P85" s="2">
        <v>200809</v>
      </c>
      <c r="Q85">
        <v>6.4722220667055002</v>
      </c>
    </row>
    <row r="86" spans="2:17">
      <c r="B86" s="1">
        <v>39630</v>
      </c>
      <c r="C86" s="3">
        <v>6.0190186787329401</v>
      </c>
      <c r="D86">
        <v>6.00403713103114</v>
      </c>
      <c r="E86">
        <v>6.0168608485017598</v>
      </c>
      <c r="F86" s="3">
        <f t="shared" si="3"/>
        <v>1.4981547701800046E-2</v>
      </c>
      <c r="G86" s="3">
        <f t="shared" si="4"/>
        <v>2.1578302311802133E-3</v>
      </c>
      <c r="H86" s="3">
        <f t="shared" si="5"/>
        <v>-1.2823717470619833E-2</v>
      </c>
      <c r="I86" s="3"/>
      <c r="J86" s="2">
        <v>200808</v>
      </c>
      <c r="K86" s="3">
        <v>6.3532229942064102</v>
      </c>
      <c r="M86" s="2">
        <v>200808</v>
      </c>
      <c r="N86">
        <v>6.5555960893224103</v>
      </c>
      <c r="P86" s="2">
        <v>200808</v>
      </c>
      <c r="Q86">
        <v>6.3076810210872596</v>
      </c>
    </row>
    <row r="87" spans="2:17">
      <c r="B87" s="1">
        <v>39600</v>
      </c>
      <c r="C87" s="3">
        <v>5.92368974469652</v>
      </c>
      <c r="D87">
        <v>6.0011266084765502</v>
      </c>
      <c r="E87">
        <v>5.91824819674392</v>
      </c>
      <c r="F87" s="3">
        <f t="shared" si="3"/>
        <v>-7.743686378003023E-2</v>
      </c>
      <c r="G87" s="3">
        <f t="shared" si="4"/>
        <v>5.4415479525999899E-3</v>
      </c>
      <c r="H87" s="3">
        <f t="shared" si="5"/>
        <v>8.2878411732630219E-2</v>
      </c>
      <c r="I87" s="3"/>
      <c r="J87" s="2">
        <v>200807</v>
      </c>
      <c r="K87" s="3">
        <v>6.0190186787329401</v>
      </c>
      <c r="M87" s="2">
        <v>200807</v>
      </c>
      <c r="N87">
        <v>6.00403713103114</v>
      </c>
      <c r="P87" s="2">
        <v>200807</v>
      </c>
      <c r="Q87">
        <v>6.0168608485017598</v>
      </c>
    </row>
    <row r="88" spans="2:17">
      <c r="B88" s="1">
        <v>39569</v>
      </c>
      <c r="C88" s="3">
        <v>5.8376848557907701</v>
      </c>
      <c r="D88">
        <v>5.8650026487653601</v>
      </c>
      <c r="E88">
        <v>5.8326362553576603</v>
      </c>
      <c r="F88" s="3">
        <f t="shared" si="3"/>
        <v>-2.7317792974590027E-2</v>
      </c>
      <c r="G88" s="3">
        <f t="shared" si="4"/>
        <v>5.04860043310984E-3</v>
      </c>
      <c r="H88" s="3">
        <f t="shared" si="5"/>
        <v>3.2366393407699867E-2</v>
      </c>
      <c r="I88" s="3"/>
      <c r="J88" s="2">
        <v>200806</v>
      </c>
      <c r="K88" s="3">
        <v>5.92368974469652</v>
      </c>
      <c r="M88" s="2">
        <v>200806</v>
      </c>
      <c r="N88">
        <v>6.0011266084765502</v>
      </c>
      <c r="P88" s="2">
        <v>200806</v>
      </c>
      <c r="Q88">
        <v>5.91824819674392</v>
      </c>
    </row>
    <row r="89" spans="2:17">
      <c r="B89" s="1">
        <v>39539</v>
      </c>
      <c r="C89" s="3">
        <v>5.7396452360317003</v>
      </c>
      <c r="D89">
        <v>5.8492007990867396</v>
      </c>
      <c r="E89">
        <v>5.8090872279606902</v>
      </c>
      <c r="F89" s="3">
        <f t="shared" si="3"/>
        <v>-0.10955556305503933</v>
      </c>
      <c r="G89" s="3">
        <f t="shared" si="4"/>
        <v>-6.9441991928989921E-2</v>
      </c>
      <c r="H89" s="3">
        <f t="shared" si="5"/>
        <v>4.0113571126049408E-2</v>
      </c>
      <c r="I89" s="3"/>
      <c r="J89" s="2">
        <v>200805</v>
      </c>
      <c r="K89" s="3">
        <v>5.8376848557907701</v>
      </c>
      <c r="M89" s="2">
        <v>200805</v>
      </c>
      <c r="N89">
        <v>5.8650026487653601</v>
      </c>
      <c r="P89" s="2">
        <v>200805</v>
      </c>
      <c r="Q89">
        <v>5.8326362553576603</v>
      </c>
    </row>
    <row r="90" spans="2:17">
      <c r="B90" s="1">
        <v>39508</v>
      </c>
      <c r="C90" s="3">
        <v>5.6336805529260898</v>
      </c>
      <c r="D90">
        <v>5.70447612816612</v>
      </c>
      <c r="E90">
        <v>5.6023072043665696</v>
      </c>
      <c r="F90" s="3">
        <f t="shared" si="3"/>
        <v>-7.0795575240030217E-2</v>
      </c>
      <c r="G90" s="3">
        <f t="shared" si="4"/>
        <v>3.1373348559520231E-2</v>
      </c>
      <c r="H90" s="3">
        <f t="shared" si="5"/>
        <v>0.10216892379955045</v>
      </c>
      <c r="I90" s="3"/>
      <c r="J90" s="2">
        <v>200804</v>
      </c>
      <c r="K90" s="3">
        <v>5.7396452360317003</v>
      </c>
      <c r="M90" s="2">
        <v>200804</v>
      </c>
      <c r="N90">
        <v>5.8492007990867396</v>
      </c>
      <c r="P90" s="2">
        <v>200804</v>
      </c>
      <c r="Q90">
        <v>5.8090872279606902</v>
      </c>
    </row>
    <row r="91" spans="2:17">
      <c r="B91" s="1">
        <v>39479</v>
      </c>
      <c r="C91" s="3">
        <v>5.87585220055636</v>
      </c>
      <c r="D91">
        <v>6.0621295012267398</v>
      </c>
      <c r="E91">
        <v>5.8823520481730602</v>
      </c>
      <c r="F91" s="3">
        <f t="shared" si="3"/>
        <v>-0.18627730067037973</v>
      </c>
      <c r="G91" s="3">
        <f t="shared" si="4"/>
        <v>-6.499847616700194E-3</v>
      </c>
      <c r="H91" s="3">
        <f t="shared" si="5"/>
        <v>0.17977745305367954</v>
      </c>
      <c r="I91" s="3"/>
      <c r="J91" s="2">
        <v>200803</v>
      </c>
      <c r="K91" s="3">
        <v>5.6336805529260898</v>
      </c>
      <c r="M91" s="2">
        <v>200803</v>
      </c>
      <c r="N91">
        <v>5.70447612816612</v>
      </c>
      <c r="P91" s="2">
        <v>200803</v>
      </c>
      <c r="Q91">
        <v>5.6023072043665696</v>
      </c>
    </row>
    <row r="92" spans="2:17">
      <c r="B92" s="1">
        <v>39448</v>
      </c>
      <c r="C92" s="3">
        <v>6.1165814553613398</v>
      </c>
      <c r="D92">
        <v>6.2708495110830702</v>
      </c>
      <c r="E92">
        <v>6.1278385422533903</v>
      </c>
      <c r="F92" s="3">
        <f t="shared" si="3"/>
        <v>-0.15426805572173041</v>
      </c>
      <c r="G92" s="3">
        <f t="shared" si="4"/>
        <v>-1.1257086892050516E-2</v>
      </c>
      <c r="H92" s="3">
        <f t="shared" si="5"/>
        <v>0.1430109688296799</v>
      </c>
      <c r="I92" s="3"/>
      <c r="J92" s="2">
        <v>200802</v>
      </c>
      <c r="K92" s="3">
        <v>5.87585220055636</v>
      </c>
      <c r="M92" s="2">
        <v>200802</v>
      </c>
      <c r="N92">
        <v>6.0621295012267398</v>
      </c>
      <c r="P92" s="2">
        <v>200802</v>
      </c>
      <c r="Q92">
        <v>5.8823520481730602</v>
      </c>
    </row>
    <row r="93" spans="2:17">
      <c r="B93" s="1">
        <v>39417</v>
      </c>
      <c r="C93" s="3">
        <v>6.3268186147952896</v>
      </c>
      <c r="D93">
        <v>6.3436931666026197</v>
      </c>
      <c r="E93">
        <v>6.3549234899691802</v>
      </c>
      <c r="F93" s="3">
        <f t="shared" si="3"/>
        <v>-1.6874551807330107E-2</v>
      </c>
      <c r="G93" s="3">
        <f t="shared" si="4"/>
        <v>-2.8104875173890598E-2</v>
      </c>
      <c r="H93" s="3">
        <f t="shared" si="5"/>
        <v>-1.1230323366560491E-2</v>
      </c>
      <c r="I93" s="3"/>
      <c r="J93" s="2">
        <v>200801</v>
      </c>
      <c r="K93" s="3">
        <v>6.1165814553613398</v>
      </c>
      <c r="M93" s="2">
        <v>200801</v>
      </c>
      <c r="N93">
        <v>6.2708495110830702</v>
      </c>
      <c r="P93" s="2">
        <v>200801</v>
      </c>
      <c r="Q93">
        <v>6.1278385422533903</v>
      </c>
    </row>
    <row r="94" spans="2:17">
      <c r="B94" s="1">
        <v>39387</v>
      </c>
      <c r="C94" s="3">
        <v>6.4408029921806396</v>
      </c>
      <c r="D94">
        <v>6.49904028755721</v>
      </c>
      <c r="E94">
        <v>6.4331794199965504</v>
      </c>
      <c r="F94" s="3">
        <f t="shared" si="3"/>
        <v>-5.8237295376570408E-2</v>
      </c>
      <c r="G94" s="3">
        <f t="shared" si="4"/>
        <v>7.6235721840891557E-3</v>
      </c>
      <c r="H94" s="3">
        <f t="shared" si="5"/>
        <v>6.5860867560659564E-2</v>
      </c>
      <c r="I94" s="3"/>
      <c r="J94" s="2">
        <v>200712</v>
      </c>
      <c r="K94" s="3">
        <v>6.3268186147952896</v>
      </c>
      <c r="M94" s="2">
        <v>200712</v>
      </c>
      <c r="N94">
        <v>6.3436931666026197</v>
      </c>
      <c r="P94" s="2">
        <v>200712</v>
      </c>
      <c r="Q94">
        <v>6.3549234899691802</v>
      </c>
    </row>
    <row r="95" spans="2:17">
      <c r="B95" s="1">
        <v>39356</v>
      </c>
      <c r="C95" s="3">
        <v>6.5362743987691001</v>
      </c>
      <c r="D95">
        <v>6.4972617384786098</v>
      </c>
      <c r="E95">
        <v>6.5413772123022698</v>
      </c>
      <c r="F95" s="3">
        <f t="shared" si="3"/>
        <v>3.9012660290490331E-2</v>
      </c>
      <c r="G95" s="3">
        <f t="shared" si="4"/>
        <v>-5.1028135331696589E-3</v>
      </c>
      <c r="H95" s="3">
        <f t="shared" si="5"/>
        <v>-4.411547382365999E-2</v>
      </c>
      <c r="I95" s="3"/>
      <c r="J95" s="2">
        <v>200711</v>
      </c>
      <c r="K95" s="3">
        <v>6.4408029921806396</v>
      </c>
      <c r="M95" s="2">
        <v>200711</v>
      </c>
      <c r="N95">
        <v>6.49904028755721</v>
      </c>
      <c r="P95" s="2">
        <v>200711</v>
      </c>
      <c r="Q95">
        <v>6.4331794199965504</v>
      </c>
    </row>
    <row r="96" spans="2:17">
      <c r="B96" s="1">
        <v>39326</v>
      </c>
      <c r="C96" s="3">
        <v>6.69827420015248</v>
      </c>
      <c r="D96">
        <v>6.7428816059196999</v>
      </c>
      <c r="E96">
        <v>6.7359114125502</v>
      </c>
      <c r="F96" s="3">
        <f t="shared" si="3"/>
        <v>-4.4607405767219888E-2</v>
      </c>
      <c r="G96" s="3">
        <f t="shared" si="4"/>
        <v>-3.7637212397719999E-2</v>
      </c>
      <c r="H96" s="3">
        <f t="shared" si="5"/>
        <v>6.9701933694998885E-3</v>
      </c>
      <c r="I96" s="3"/>
      <c r="J96" s="2">
        <v>200710</v>
      </c>
      <c r="K96" s="3">
        <v>6.5362743987691001</v>
      </c>
      <c r="M96" s="2">
        <v>200710</v>
      </c>
      <c r="N96">
        <v>6.4972617384786098</v>
      </c>
      <c r="P96" s="2">
        <v>200710</v>
      </c>
      <c r="Q96">
        <v>6.5413772123022698</v>
      </c>
    </row>
    <row r="97" spans="2:17">
      <c r="B97" s="1">
        <v>39295</v>
      </c>
      <c r="C97" s="3">
        <v>6.6810124242860303</v>
      </c>
      <c r="D97">
        <v>6.7175791435521397</v>
      </c>
      <c r="E97">
        <v>6.7123587951181003</v>
      </c>
      <c r="F97" s="3">
        <f t="shared" si="3"/>
        <v>-3.6566719266109438E-2</v>
      </c>
      <c r="G97" s="3">
        <f t="shared" si="4"/>
        <v>-3.1346370832070036E-2</v>
      </c>
      <c r="H97" s="3">
        <f t="shared" si="5"/>
        <v>5.2203484340394013E-3</v>
      </c>
      <c r="I97" s="3"/>
      <c r="J97" s="2">
        <v>200709</v>
      </c>
      <c r="K97" s="3">
        <v>6.69827420015248</v>
      </c>
      <c r="M97" s="2">
        <v>200709</v>
      </c>
      <c r="N97">
        <v>6.7428816059196999</v>
      </c>
      <c r="P97" s="2">
        <v>200709</v>
      </c>
      <c r="Q97">
        <v>6.7359114125502</v>
      </c>
    </row>
    <row r="98" spans="2:17">
      <c r="B98" s="1">
        <v>39264</v>
      </c>
      <c r="C98" s="3">
        <v>6.40517235521712</v>
      </c>
      <c r="D98">
        <v>6.4713115457933297</v>
      </c>
      <c r="E98">
        <v>6.4093141226000396</v>
      </c>
      <c r="F98" s="3">
        <f t="shared" si="3"/>
        <v>-6.613919057620965E-2</v>
      </c>
      <c r="G98" s="3">
        <f t="shared" si="4"/>
        <v>-4.1417673829196033E-3</v>
      </c>
      <c r="H98" s="3">
        <f t="shared" si="5"/>
        <v>6.1997423193290047E-2</v>
      </c>
      <c r="I98" s="3"/>
      <c r="J98" s="2">
        <v>200708</v>
      </c>
      <c r="K98" s="3">
        <v>6.6810124242860303</v>
      </c>
      <c r="M98" s="2">
        <v>200708</v>
      </c>
      <c r="N98">
        <v>6.7175791435521397</v>
      </c>
      <c r="P98" s="2">
        <v>200708</v>
      </c>
      <c r="Q98">
        <v>6.7123587951181003</v>
      </c>
    </row>
    <row r="99" spans="2:17">
      <c r="B99" s="1">
        <v>39234</v>
      </c>
      <c r="C99" s="3">
        <v>6.2615120018782502</v>
      </c>
      <c r="D99">
        <v>6.4137552430661904</v>
      </c>
      <c r="E99">
        <v>6.2132519758012599</v>
      </c>
      <c r="F99" s="3">
        <f t="shared" si="3"/>
        <v>-0.15224324118794019</v>
      </c>
      <c r="G99" s="3">
        <f t="shared" si="4"/>
        <v>4.8260026076990314E-2</v>
      </c>
      <c r="H99" s="3">
        <f t="shared" si="5"/>
        <v>0.20050326726493051</v>
      </c>
      <c r="I99" s="3"/>
      <c r="J99" s="2">
        <v>200707</v>
      </c>
      <c r="K99" s="3">
        <v>6.40517235521712</v>
      </c>
      <c r="M99" s="2">
        <v>200707</v>
      </c>
      <c r="N99">
        <v>6.4713115457933297</v>
      </c>
      <c r="P99" s="2">
        <v>200707</v>
      </c>
      <c r="Q99">
        <v>6.4093141226000396</v>
      </c>
    </row>
    <row r="100" spans="2:17">
      <c r="B100" s="1">
        <v>39203</v>
      </c>
      <c r="C100" s="3">
        <v>6.2013239854572202</v>
      </c>
      <c r="D100">
        <v>6.2312413978014103</v>
      </c>
      <c r="E100">
        <v>6.1868378077686499</v>
      </c>
      <c r="F100" s="3">
        <f t="shared" si="3"/>
        <v>-2.9917412344190097E-2</v>
      </c>
      <c r="G100" s="3">
        <f t="shared" si="4"/>
        <v>1.4486177688570301E-2</v>
      </c>
      <c r="H100" s="3">
        <f t="shared" si="5"/>
        <v>4.4403590032760398E-2</v>
      </c>
      <c r="I100" s="3"/>
      <c r="J100" s="2">
        <v>200706</v>
      </c>
      <c r="K100" s="3">
        <v>6.2615120018782502</v>
      </c>
      <c r="M100" s="2">
        <v>200706</v>
      </c>
      <c r="N100">
        <v>6.4137552430661904</v>
      </c>
      <c r="P100" s="2">
        <v>200706</v>
      </c>
      <c r="Q100">
        <v>6.2132519758012599</v>
      </c>
    </row>
    <row r="101" spans="2:17">
      <c r="B101" s="1">
        <v>39173</v>
      </c>
      <c r="C101" s="3">
        <v>6.1913073373213701</v>
      </c>
      <c r="D101">
        <v>6.3519512964376998</v>
      </c>
      <c r="E101">
        <v>6.2612768553718796</v>
      </c>
      <c r="F101" s="3">
        <f t="shared" si="3"/>
        <v>-0.16064395911632978</v>
      </c>
      <c r="G101" s="3">
        <f t="shared" si="4"/>
        <v>-6.9969518050509549E-2</v>
      </c>
      <c r="H101" s="3">
        <f t="shared" si="5"/>
        <v>9.0674441065820233E-2</v>
      </c>
      <c r="I101" s="3"/>
      <c r="J101" s="2">
        <v>200705</v>
      </c>
      <c r="K101" s="3">
        <v>6.2013239854572202</v>
      </c>
      <c r="M101" s="2">
        <v>200705</v>
      </c>
      <c r="N101">
        <v>6.2312413978014103</v>
      </c>
      <c r="P101" s="2">
        <v>200705</v>
      </c>
      <c r="Q101">
        <v>6.1868378077686499</v>
      </c>
    </row>
    <row r="102" spans="2:17">
      <c r="B102" s="1">
        <v>39142</v>
      </c>
      <c r="C102" s="3">
        <v>6.2648617658193597</v>
      </c>
      <c r="D102">
        <v>6.4370886646844596</v>
      </c>
      <c r="E102">
        <v>6.2816900995963598</v>
      </c>
      <c r="F102" s="3">
        <f t="shared" si="3"/>
        <v>-0.1722268988650999</v>
      </c>
      <c r="G102" s="3">
        <f t="shared" si="4"/>
        <v>-1.6828333777000104E-2</v>
      </c>
      <c r="H102" s="3">
        <f t="shared" si="5"/>
        <v>0.15539856508809979</v>
      </c>
      <c r="I102" s="3"/>
      <c r="J102" s="2">
        <v>200704</v>
      </c>
      <c r="K102" s="3">
        <v>6.1913073373213701</v>
      </c>
      <c r="M102" s="2">
        <v>200704</v>
      </c>
      <c r="N102">
        <v>6.3519512964376998</v>
      </c>
      <c r="P102" s="2">
        <v>200704</v>
      </c>
      <c r="Q102">
        <v>6.2612768553718796</v>
      </c>
    </row>
    <row r="103" spans="2:17">
      <c r="B103" s="1">
        <v>39114</v>
      </c>
      <c r="C103" s="3">
        <v>6.1490208844413301</v>
      </c>
      <c r="D103">
        <v>6.2090206016182004</v>
      </c>
      <c r="E103">
        <v>6.17489686932237</v>
      </c>
      <c r="F103" s="3">
        <f t="shared" si="3"/>
        <v>-5.9999717176870249E-2</v>
      </c>
      <c r="G103" s="3">
        <f t="shared" si="4"/>
        <v>-2.5875984881039926E-2</v>
      </c>
      <c r="H103" s="3">
        <f t="shared" si="5"/>
        <v>3.4123732295830322E-2</v>
      </c>
      <c r="I103" s="3"/>
      <c r="J103" s="2">
        <v>200703</v>
      </c>
      <c r="K103" s="3">
        <v>6.2648617658193597</v>
      </c>
      <c r="M103" s="2">
        <v>200703</v>
      </c>
      <c r="N103">
        <v>6.4370886646844596</v>
      </c>
      <c r="P103" s="2">
        <v>200703</v>
      </c>
      <c r="Q103">
        <v>6.2816900995963598</v>
      </c>
    </row>
    <row r="104" spans="2:17">
      <c r="B104" s="1">
        <v>39083</v>
      </c>
      <c r="C104" s="3">
        <v>6.1476889164794102</v>
      </c>
      <c r="D104">
        <v>6.3752268008986697</v>
      </c>
      <c r="E104">
        <v>6.2181524387639904</v>
      </c>
      <c r="F104" s="3">
        <f t="shared" si="3"/>
        <v>-0.22753788441925948</v>
      </c>
      <c r="G104" s="3">
        <f t="shared" si="4"/>
        <v>-7.0463522284580193E-2</v>
      </c>
      <c r="H104" s="3">
        <f t="shared" si="5"/>
        <v>0.15707436213467929</v>
      </c>
      <c r="I104" s="3"/>
      <c r="J104" s="2">
        <v>200702</v>
      </c>
      <c r="K104" s="3">
        <v>6.1490208844413301</v>
      </c>
      <c r="M104" s="2">
        <v>200702</v>
      </c>
      <c r="N104">
        <v>6.2090206016182004</v>
      </c>
      <c r="P104" s="2">
        <v>200702</v>
      </c>
      <c r="Q104">
        <v>6.17489686932237</v>
      </c>
    </row>
    <row r="105" spans="2:17">
      <c r="B105" s="1">
        <v>39052</v>
      </c>
      <c r="C105" s="3">
        <v>6.3185271669426601</v>
      </c>
      <c r="D105">
        <v>6.5761507011440603</v>
      </c>
      <c r="E105">
        <v>6.36559920062352</v>
      </c>
      <c r="F105" s="3">
        <f t="shared" si="3"/>
        <v>-0.25762353420140016</v>
      </c>
      <c r="G105" s="3">
        <f t="shared" si="4"/>
        <v>-4.7072033680859882E-2</v>
      </c>
      <c r="H105" s="3">
        <f t="shared" si="5"/>
        <v>0.21055150052054028</v>
      </c>
      <c r="I105" s="3"/>
      <c r="J105" s="2">
        <v>200701</v>
      </c>
      <c r="K105" s="3">
        <v>6.1476889164794102</v>
      </c>
      <c r="M105" s="2">
        <v>200701</v>
      </c>
      <c r="N105">
        <v>6.3752268008986697</v>
      </c>
      <c r="P105" s="2">
        <v>200701</v>
      </c>
      <c r="Q105">
        <v>6.2181524387639904</v>
      </c>
    </row>
    <row r="106" spans="2:17">
      <c r="B106" s="1">
        <v>39022</v>
      </c>
      <c r="C106" s="3">
        <v>6.37179329890653</v>
      </c>
      <c r="D106">
        <v>6.4526239296578298</v>
      </c>
      <c r="E106">
        <v>6.4120403403772999</v>
      </c>
      <c r="F106" s="3">
        <f t="shared" si="3"/>
        <v>-8.0830630751299815E-2</v>
      </c>
      <c r="G106" s="3">
        <f t="shared" si="4"/>
        <v>-4.0247041470769851E-2</v>
      </c>
      <c r="H106" s="3">
        <f t="shared" si="5"/>
        <v>4.0583589280529964E-2</v>
      </c>
      <c r="I106" s="3"/>
      <c r="J106" s="2">
        <v>200612</v>
      </c>
      <c r="K106" s="3">
        <v>6.3185271669426601</v>
      </c>
      <c r="M106" s="2">
        <v>200612</v>
      </c>
      <c r="N106">
        <v>6.5761507011440603</v>
      </c>
      <c r="P106" s="2">
        <v>200612</v>
      </c>
      <c r="Q106">
        <v>6.36559920062352</v>
      </c>
    </row>
    <row r="107" spans="2:17">
      <c r="B107" s="1">
        <v>38991</v>
      </c>
      <c r="C107" s="3">
        <v>6.5206412328144499</v>
      </c>
      <c r="D107">
        <v>6.6302952146533096</v>
      </c>
      <c r="E107">
        <v>6.5442122780523002</v>
      </c>
      <c r="F107" s="3">
        <f t="shared" si="3"/>
        <v>-0.10965398183885977</v>
      </c>
      <c r="G107" s="3">
        <f t="shared" si="4"/>
        <v>-2.3571045237850363E-2</v>
      </c>
      <c r="H107" s="3">
        <f t="shared" si="5"/>
        <v>8.6082936601009408E-2</v>
      </c>
      <c r="I107" s="3"/>
      <c r="J107" s="2">
        <v>200611</v>
      </c>
      <c r="K107" s="3">
        <v>6.37179329890653</v>
      </c>
      <c r="M107" s="2">
        <v>200611</v>
      </c>
      <c r="N107">
        <v>6.4526239296578298</v>
      </c>
      <c r="P107" s="2">
        <v>200611</v>
      </c>
      <c r="Q107">
        <v>6.4120403403772999</v>
      </c>
    </row>
    <row r="108" spans="2:17">
      <c r="B108" s="1">
        <v>38961</v>
      </c>
      <c r="C108" s="3">
        <v>6.6652477019332599</v>
      </c>
      <c r="D108">
        <v>6.7177127941046697</v>
      </c>
      <c r="E108">
        <v>6.7148292523056901</v>
      </c>
      <c r="F108" s="3">
        <f t="shared" si="3"/>
        <v>-5.2465092171409822E-2</v>
      </c>
      <c r="G108" s="3">
        <f t="shared" si="4"/>
        <v>-4.9581550372430172E-2</v>
      </c>
      <c r="H108" s="3">
        <f t="shared" si="5"/>
        <v>2.8835417989796497E-3</v>
      </c>
      <c r="I108" s="3"/>
      <c r="J108" s="2">
        <v>200610</v>
      </c>
      <c r="K108" s="3">
        <v>6.5206412328144499</v>
      </c>
      <c r="M108" s="2">
        <v>200610</v>
      </c>
      <c r="N108">
        <v>6.6302952146533096</v>
      </c>
      <c r="P108" s="2">
        <v>200610</v>
      </c>
      <c r="Q108">
        <v>6.5442122780523002</v>
      </c>
    </row>
    <row r="109" spans="2:17">
      <c r="B109" s="1">
        <v>38930</v>
      </c>
      <c r="C109" s="3">
        <v>6.8566278139022101</v>
      </c>
      <c r="D109">
        <v>6.9732323121597197</v>
      </c>
      <c r="E109">
        <v>6.7478257394353696</v>
      </c>
      <c r="F109" s="3">
        <f t="shared" si="3"/>
        <v>-0.11660449825750963</v>
      </c>
      <c r="G109" s="3">
        <f t="shared" si="4"/>
        <v>0.10880207446684054</v>
      </c>
      <c r="H109" s="3">
        <f t="shared" si="5"/>
        <v>0.22540657272435016</v>
      </c>
      <c r="I109" s="3"/>
      <c r="J109" s="2">
        <v>200609</v>
      </c>
      <c r="K109" s="3">
        <v>6.6652477019332599</v>
      </c>
      <c r="M109" s="2">
        <v>200609</v>
      </c>
      <c r="N109">
        <v>6.7177127941046697</v>
      </c>
      <c r="P109" s="2">
        <v>200609</v>
      </c>
      <c r="Q109">
        <v>6.7148292523056901</v>
      </c>
    </row>
    <row r="110" spans="2:17">
      <c r="B110" s="1">
        <v>38899</v>
      </c>
      <c r="C110" s="3">
        <v>6.7104067233692497</v>
      </c>
      <c r="D110">
        <v>6.7576804343197701</v>
      </c>
      <c r="E110">
        <v>6.7634651877758998</v>
      </c>
      <c r="F110" s="3">
        <f t="shared" si="3"/>
        <v>-4.7273710950520353E-2</v>
      </c>
      <c r="G110" s="3">
        <f t="shared" si="4"/>
        <v>-5.3058464406650074E-2</v>
      </c>
      <c r="H110" s="3">
        <f t="shared" si="5"/>
        <v>-5.7847534561297209E-3</v>
      </c>
      <c r="I110" s="3"/>
      <c r="J110" s="2">
        <v>200608</v>
      </c>
      <c r="K110" s="3">
        <v>6.8566278139022101</v>
      </c>
      <c r="M110" s="2">
        <v>200608</v>
      </c>
      <c r="N110">
        <v>6.9732323121597197</v>
      </c>
      <c r="P110" s="2">
        <v>200608</v>
      </c>
      <c r="Q110">
        <v>6.7478257394353696</v>
      </c>
    </row>
    <row r="111" spans="2:17">
      <c r="B111" s="1">
        <v>38869</v>
      </c>
      <c r="C111" s="3">
        <v>6.5964224274845096</v>
      </c>
      <c r="D111">
        <v>6.68764035321432</v>
      </c>
      <c r="E111">
        <v>6.5543332519954296</v>
      </c>
      <c r="F111" s="3">
        <f t="shared" si="3"/>
        <v>-9.1217925729810467E-2</v>
      </c>
      <c r="G111" s="3">
        <f t="shared" si="4"/>
        <v>4.2089175489079977E-2</v>
      </c>
      <c r="H111" s="3">
        <f t="shared" si="5"/>
        <v>0.13330710121889044</v>
      </c>
      <c r="I111" s="3"/>
      <c r="J111" s="2">
        <v>200607</v>
      </c>
      <c r="K111" s="3">
        <v>6.7104067233692497</v>
      </c>
      <c r="M111" s="2">
        <v>200607</v>
      </c>
      <c r="N111">
        <v>6.7576804343197701</v>
      </c>
      <c r="P111" s="2">
        <v>200607</v>
      </c>
      <c r="Q111">
        <v>6.7634651877758998</v>
      </c>
    </row>
    <row r="112" spans="2:17">
      <c r="B112" s="1">
        <v>38838</v>
      </c>
      <c r="C112" s="3">
        <v>6.3457209094028304</v>
      </c>
      <c r="D112">
        <v>6.6795636130763603</v>
      </c>
      <c r="E112">
        <v>6.4300905191484103</v>
      </c>
      <c r="F112" s="3">
        <f t="shared" si="3"/>
        <v>-0.33384270367352986</v>
      </c>
      <c r="G112" s="3">
        <f t="shared" si="4"/>
        <v>-8.4369609745579943E-2</v>
      </c>
      <c r="H112" s="3">
        <f t="shared" si="5"/>
        <v>0.24947309392794992</v>
      </c>
      <c r="I112" s="3"/>
      <c r="J112" s="2">
        <v>200606</v>
      </c>
      <c r="K112" s="3">
        <v>6.5964224274845096</v>
      </c>
      <c r="M112" s="2">
        <v>200606</v>
      </c>
      <c r="N112">
        <v>6.68764035321432</v>
      </c>
      <c r="P112" s="2">
        <v>200606</v>
      </c>
      <c r="Q112">
        <v>6.5543332519954296</v>
      </c>
    </row>
    <row r="113" spans="2:17">
      <c r="B113" s="1">
        <v>38808</v>
      </c>
      <c r="C113" s="3">
        <v>6.2899056519502299</v>
      </c>
      <c r="D113">
        <v>6.5898630958013902</v>
      </c>
      <c r="E113">
        <v>6.2988100777126697</v>
      </c>
      <c r="F113" s="3">
        <f t="shared" si="3"/>
        <v>-0.2999574438511603</v>
      </c>
      <c r="G113" s="3">
        <f t="shared" si="4"/>
        <v>-8.9044257624397716E-3</v>
      </c>
      <c r="H113" s="3">
        <f t="shared" si="5"/>
        <v>0.29105301808872053</v>
      </c>
      <c r="I113" s="3"/>
      <c r="J113" s="2">
        <v>200605</v>
      </c>
      <c r="K113" s="3">
        <v>6.3457209094028304</v>
      </c>
      <c r="M113" s="2">
        <v>200605</v>
      </c>
      <c r="N113">
        <v>6.6795636130763603</v>
      </c>
      <c r="P113" s="2">
        <v>200605</v>
      </c>
      <c r="Q113">
        <v>6.4300905191484103</v>
      </c>
    </row>
    <row r="114" spans="2:17">
      <c r="B114" s="1">
        <v>38777</v>
      </c>
      <c r="C114" s="3">
        <v>6.2306983278324504</v>
      </c>
      <c r="D114">
        <v>6.4827549774605497</v>
      </c>
      <c r="E114">
        <v>6.2503713868695101</v>
      </c>
      <c r="F114" s="3">
        <f t="shared" si="3"/>
        <v>-0.25205664962809937</v>
      </c>
      <c r="G114" s="3">
        <f t="shared" si="4"/>
        <v>-1.9673059037059737E-2</v>
      </c>
      <c r="H114" s="3">
        <f t="shared" si="5"/>
        <v>0.23238359059103963</v>
      </c>
      <c r="I114" s="3"/>
      <c r="J114" s="2">
        <v>200604</v>
      </c>
      <c r="K114" s="3">
        <v>6.2899056519502299</v>
      </c>
      <c r="M114" s="2">
        <v>200604</v>
      </c>
      <c r="N114">
        <v>6.5898630958013902</v>
      </c>
      <c r="P114" s="2">
        <v>200604</v>
      </c>
      <c r="Q114">
        <v>6.2988100777126697</v>
      </c>
    </row>
    <row r="115" spans="2:17">
      <c r="B115" s="1">
        <v>38749</v>
      </c>
      <c r="C115" s="3">
        <v>6.2535568519582601</v>
      </c>
      <c r="D115">
        <v>6.5876561700884002</v>
      </c>
      <c r="E115">
        <v>6.2829679200218003</v>
      </c>
      <c r="F115" s="3">
        <f t="shared" si="3"/>
        <v>-0.33409931813014015</v>
      </c>
      <c r="G115" s="3">
        <f t="shared" si="4"/>
        <v>-2.9411068063540213E-2</v>
      </c>
      <c r="H115" s="3">
        <f t="shared" si="5"/>
        <v>0.30468825006659994</v>
      </c>
      <c r="I115" s="3"/>
      <c r="J115" s="2">
        <v>200603</v>
      </c>
      <c r="K115" s="3">
        <v>6.2306983278324504</v>
      </c>
      <c r="M115" s="2">
        <v>200603</v>
      </c>
      <c r="N115">
        <v>6.4827549774605497</v>
      </c>
      <c r="P115" s="2">
        <v>200603</v>
      </c>
      <c r="Q115">
        <v>6.2503713868695101</v>
      </c>
    </row>
    <row r="116" spans="2:17">
      <c r="B116" s="1">
        <v>38718</v>
      </c>
      <c r="C116" s="3">
        <v>6.28303012477999</v>
      </c>
      <c r="D116">
        <v>6.5757575757575699</v>
      </c>
      <c r="E116">
        <v>6.3196351903149104</v>
      </c>
      <c r="F116" s="3">
        <f t="shared" si="3"/>
        <v>-0.29272745097757991</v>
      </c>
      <c r="G116" s="3">
        <f t="shared" si="4"/>
        <v>-3.6605065534920378E-2</v>
      </c>
      <c r="H116" s="3">
        <f t="shared" si="5"/>
        <v>0.25612238544265953</v>
      </c>
      <c r="I116" s="3"/>
      <c r="J116" s="2">
        <v>200602</v>
      </c>
      <c r="K116" s="3">
        <v>6.2535568519582601</v>
      </c>
      <c r="M116" s="2">
        <v>200602</v>
      </c>
      <c r="N116">
        <v>6.5876561700884002</v>
      </c>
      <c r="P116" s="2">
        <v>200602</v>
      </c>
      <c r="Q116">
        <v>6.2829679200218003</v>
      </c>
    </row>
    <row r="117" spans="2:17">
      <c r="B117" s="1">
        <v>38687</v>
      </c>
      <c r="C117" s="3">
        <v>6.1063902059728896</v>
      </c>
      <c r="D117">
        <v>6.2386084431538897</v>
      </c>
      <c r="E117">
        <v>6.0995405716495599</v>
      </c>
      <c r="F117" s="3">
        <f t="shared" si="3"/>
        <v>-0.13221823718100012</v>
      </c>
      <c r="G117" s="3">
        <f t="shared" si="4"/>
        <v>6.8496343233297452E-3</v>
      </c>
      <c r="H117" s="3">
        <f t="shared" si="5"/>
        <v>0.13906787150432987</v>
      </c>
      <c r="I117" s="3"/>
      <c r="J117" s="2">
        <v>200601</v>
      </c>
      <c r="K117" s="3">
        <v>6.28303012477999</v>
      </c>
      <c r="M117" s="2">
        <v>200601</v>
      </c>
      <c r="N117">
        <v>6.5757575757575699</v>
      </c>
      <c r="P117" s="2">
        <v>200601</v>
      </c>
      <c r="Q117">
        <v>6.3196351903149104</v>
      </c>
    </row>
    <row r="118" spans="2:17">
      <c r="B118" s="1">
        <v>38657</v>
      </c>
      <c r="C118" s="3">
        <v>5.8979561217456196</v>
      </c>
      <c r="D118">
        <v>6.1880700683077396</v>
      </c>
      <c r="E118">
        <v>5.9272986201058604</v>
      </c>
      <c r="F118" s="3">
        <f t="shared" si="3"/>
        <v>-0.29011394656212008</v>
      </c>
      <c r="G118" s="3">
        <f t="shared" si="4"/>
        <v>-2.9342498360240832E-2</v>
      </c>
      <c r="H118" s="3">
        <f t="shared" si="5"/>
        <v>0.26077144820187925</v>
      </c>
      <c r="I118" s="3"/>
      <c r="J118" s="2">
        <v>200512</v>
      </c>
      <c r="K118" s="3">
        <v>6.1063902059728896</v>
      </c>
      <c r="M118" s="2">
        <v>200512</v>
      </c>
      <c r="N118">
        <v>6.2386084431538897</v>
      </c>
      <c r="P118" s="2">
        <v>200512</v>
      </c>
      <c r="Q118">
        <v>6.0995405716495599</v>
      </c>
    </row>
    <row r="119" spans="2:17">
      <c r="B119" s="1">
        <v>38626</v>
      </c>
      <c r="C119" s="3">
        <v>5.8079048490463903</v>
      </c>
      <c r="D119">
        <v>6.0832619129242298</v>
      </c>
      <c r="E119">
        <v>5.8817045837631499</v>
      </c>
      <c r="F119" s="3">
        <f t="shared" si="3"/>
        <v>-0.27535706387783954</v>
      </c>
      <c r="G119" s="3">
        <f t="shared" si="4"/>
        <v>-7.3799734716759602E-2</v>
      </c>
      <c r="H119" s="3">
        <f t="shared" si="5"/>
        <v>0.20155732916107993</v>
      </c>
      <c r="I119" s="3"/>
      <c r="J119" s="2">
        <v>200511</v>
      </c>
      <c r="K119" s="3">
        <v>5.8979561217456196</v>
      </c>
      <c r="M119" s="2">
        <v>200511</v>
      </c>
      <c r="N119">
        <v>6.1880700683077396</v>
      </c>
      <c r="P119" s="2">
        <v>200511</v>
      </c>
      <c r="Q119">
        <v>5.9272986201058604</v>
      </c>
    </row>
    <row r="120" spans="2:17">
      <c r="B120" s="1">
        <v>38596</v>
      </c>
      <c r="C120" s="3">
        <v>5.7869769003654197</v>
      </c>
      <c r="D120">
        <v>5.8811309782544798</v>
      </c>
      <c r="E120">
        <v>5.7638355817487898</v>
      </c>
      <c r="F120" s="3">
        <f t="shared" si="3"/>
        <v>-9.4154077889060162E-2</v>
      </c>
      <c r="G120" s="3">
        <f t="shared" si="4"/>
        <v>2.3141318616629825E-2</v>
      </c>
      <c r="H120" s="3">
        <f t="shared" si="5"/>
        <v>0.11729539650568999</v>
      </c>
      <c r="I120" s="3"/>
      <c r="J120" s="2">
        <v>200510</v>
      </c>
      <c r="K120" s="3">
        <v>5.8079048490463903</v>
      </c>
      <c r="M120" s="2">
        <v>200510</v>
      </c>
      <c r="N120">
        <v>6.0832619129242298</v>
      </c>
      <c r="P120" s="2">
        <v>200510</v>
      </c>
      <c r="Q120">
        <v>5.8817045837631499</v>
      </c>
    </row>
    <row r="121" spans="2:17">
      <c r="B121" s="1">
        <v>38565</v>
      </c>
      <c r="C121" s="3">
        <v>5.6699399029077098</v>
      </c>
      <c r="D121">
        <v>5.6688577278731804</v>
      </c>
      <c r="E121">
        <v>5.6612047140402799</v>
      </c>
      <c r="F121" s="3">
        <f t="shared" si="3"/>
        <v>1.0821750345293424E-3</v>
      </c>
      <c r="G121" s="3">
        <f t="shared" si="4"/>
        <v>8.735188867429855E-3</v>
      </c>
      <c r="H121" s="3">
        <f t="shared" si="5"/>
        <v>7.6530138329005126E-3</v>
      </c>
      <c r="I121" s="3"/>
      <c r="J121" s="2">
        <v>200509</v>
      </c>
      <c r="K121" s="3">
        <v>5.7869769003654197</v>
      </c>
      <c r="M121" s="2">
        <v>200509</v>
      </c>
      <c r="N121">
        <v>5.8811309782544798</v>
      </c>
      <c r="P121" s="2">
        <v>200509</v>
      </c>
      <c r="Q121">
        <v>5.7638355817487898</v>
      </c>
    </row>
    <row r="122" spans="2:17">
      <c r="B122" s="1">
        <v>38534</v>
      </c>
      <c r="C122" s="3">
        <v>5.7176161522664799</v>
      </c>
      <c r="D122">
        <v>5.8840050735773897</v>
      </c>
      <c r="E122">
        <v>5.7294573964246203</v>
      </c>
      <c r="F122" s="3">
        <f t="shared" si="3"/>
        <v>-0.16638892131090977</v>
      </c>
      <c r="G122" s="3">
        <f t="shared" si="4"/>
        <v>-1.1841244158140363E-2</v>
      </c>
      <c r="H122" s="3">
        <f t="shared" si="5"/>
        <v>0.1545476771527694</v>
      </c>
      <c r="I122" s="3"/>
      <c r="J122" s="2">
        <v>200508</v>
      </c>
      <c r="K122" s="3">
        <v>5.6699399029077098</v>
      </c>
      <c r="M122" s="2">
        <v>200508</v>
      </c>
      <c r="N122">
        <v>5.6688577278731804</v>
      </c>
      <c r="P122" s="2">
        <v>200508</v>
      </c>
      <c r="Q122">
        <v>5.6612047140402799</v>
      </c>
    </row>
    <row r="123" spans="2:17">
      <c r="B123" s="1">
        <v>38504</v>
      </c>
      <c r="C123" s="3">
        <v>5.8555708231239301</v>
      </c>
      <c r="D123">
        <v>5.9287970381742801</v>
      </c>
      <c r="E123">
        <v>5.8379138470045602</v>
      </c>
      <c r="F123" s="3">
        <f t="shared" si="3"/>
        <v>-7.3226215050349985E-2</v>
      </c>
      <c r="G123" s="3">
        <f t="shared" si="4"/>
        <v>1.7656976119369894E-2</v>
      </c>
      <c r="H123" s="3">
        <f t="shared" si="5"/>
        <v>9.0883191169719879E-2</v>
      </c>
      <c r="I123" s="3"/>
      <c r="J123" s="2">
        <v>200507</v>
      </c>
      <c r="K123" s="3">
        <v>5.7176161522664799</v>
      </c>
      <c r="M123" s="2">
        <v>200507</v>
      </c>
      <c r="N123">
        <v>5.8840050735773897</v>
      </c>
      <c r="P123" s="2">
        <v>200507</v>
      </c>
      <c r="Q123">
        <v>5.7294573964246203</v>
      </c>
    </row>
    <row r="124" spans="2:17">
      <c r="B124" s="1">
        <v>38473</v>
      </c>
      <c r="C124" s="3">
        <v>5.8973972470079801</v>
      </c>
      <c r="D124">
        <v>6.1228268920744098</v>
      </c>
      <c r="E124">
        <v>5.8633392230970696</v>
      </c>
      <c r="F124" s="3">
        <f t="shared" si="3"/>
        <v>-0.22542964506642971</v>
      </c>
      <c r="G124" s="3">
        <f t="shared" si="4"/>
        <v>3.4058023910910507E-2</v>
      </c>
      <c r="H124" s="3">
        <f t="shared" si="5"/>
        <v>0.25948766897734021</v>
      </c>
      <c r="I124" s="3"/>
      <c r="J124" s="2">
        <v>200506</v>
      </c>
      <c r="K124" s="3">
        <v>5.8555708231239301</v>
      </c>
      <c r="M124" s="2">
        <v>200506</v>
      </c>
      <c r="N124">
        <v>5.9287970381742801</v>
      </c>
      <c r="P124" s="2">
        <v>200506</v>
      </c>
      <c r="Q124">
        <v>5.8379138470045602</v>
      </c>
    </row>
    <row r="125" spans="2:17">
      <c r="B125" s="1">
        <v>38443</v>
      </c>
      <c r="C125" s="3">
        <v>5.6827041627289701</v>
      </c>
      <c r="D125">
        <v>5.9283627884143302</v>
      </c>
      <c r="E125">
        <v>5.6609740986552497</v>
      </c>
      <c r="F125" s="3">
        <f t="shared" si="3"/>
        <v>-0.24565862568536012</v>
      </c>
      <c r="G125" s="3">
        <f t="shared" si="4"/>
        <v>2.1730064073720357E-2</v>
      </c>
      <c r="H125" s="3">
        <f t="shared" si="5"/>
        <v>0.26738868975908048</v>
      </c>
      <c r="I125" s="3"/>
      <c r="J125" s="2">
        <v>200505</v>
      </c>
      <c r="K125" s="3">
        <v>5.8973972470079801</v>
      </c>
      <c r="M125" s="2">
        <v>200505</v>
      </c>
      <c r="N125">
        <v>6.1228268920744098</v>
      </c>
      <c r="P125" s="2">
        <v>200505</v>
      </c>
      <c r="Q125">
        <v>5.8633392230970696</v>
      </c>
    </row>
    <row r="126" spans="2:17">
      <c r="B126" s="1">
        <v>38412</v>
      </c>
      <c r="C126" s="3">
        <v>5.6384416609246397</v>
      </c>
      <c r="D126">
        <v>5.8427505625437997</v>
      </c>
      <c r="E126">
        <v>5.6680370816350196</v>
      </c>
      <c r="F126" s="3">
        <f t="shared" si="3"/>
        <v>-0.20430890161915993</v>
      </c>
      <c r="G126" s="3">
        <f t="shared" si="4"/>
        <v>-2.9595420710379905E-2</v>
      </c>
      <c r="H126" s="3">
        <f t="shared" si="5"/>
        <v>0.17471348090878003</v>
      </c>
      <c r="I126" s="3"/>
      <c r="J126" s="2">
        <v>200504</v>
      </c>
      <c r="K126" s="3">
        <v>5.6827041627289701</v>
      </c>
      <c r="M126" s="2">
        <v>200504</v>
      </c>
      <c r="N126">
        <v>5.9283627884143302</v>
      </c>
      <c r="P126" s="2">
        <v>200504</v>
      </c>
      <c r="Q126">
        <v>5.6609740986552497</v>
      </c>
    </row>
    <row r="127" spans="2:17">
      <c r="B127" s="1">
        <v>38384</v>
      </c>
      <c r="C127" s="3">
        <v>5.7559124085354201</v>
      </c>
      <c r="D127">
        <v>5.8875398089171904</v>
      </c>
      <c r="E127">
        <v>5.8036100276399898</v>
      </c>
      <c r="F127" s="3">
        <f t="shared" si="3"/>
        <v>-0.13162740038177034</v>
      </c>
      <c r="G127" s="3">
        <f t="shared" si="4"/>
        <v>-4.7697619104569711E-2</v>
      </c>
      <c r="H127" s="3">
        <f t="shared" si="5"/>
        <v>8.3929781277200632E-2</v>
      </c>
      <c r="I127" s="3"/>
      <c r="J127" s="2">
        <v>200503</v>
      </c>
      <c r="K127" s="3">
        <v>5.6384416609246397</v>
      </c>
      <c r="M127" s="2">
        <v>200503</v>
      </c>
      <c r="N127">
        <v>5.8427505625437997</v>
      </c>
      <c r="P127" s="2">
        <v>200503</v>
      </c>
      <c r="Q127">
        <v>5.6680370816350196</v>
      </c>
    </row>
    <row r="128" spans="2:17">
      <c r="B128" s="1">
        <v>38353</v>
      </c>
      <c r="C128" s="3">
        <v>5.7743304062167402</v>
      </c>
      <c r="D128">
        <v>6.0714246719569402</v>
      </c>
      <c r="E128">
        <v>5.7449411149000698</v>
      </c>
      <c r="F128" s="3">
        <f t="shared" si="3"/>
        <v>-0.29709426574020004</v>
      </c>
      <c r="G128" s="3">
        <f t="shared" si="4"/>
        <v>2.9389291316670452E-2</v>
      </c>
      <c r="H128" s="3">
        <f t="shared" si="5"/>
        <v>0.32648355705687049</v>
      </c>
      <c r="J128" s="2">
        <v>200502</v>
      </c>
      <c r="K128" s="3">
        <v>5.7559124085354201</v>
      </c>
      <c r="M128" s="2">
        <v>200502</v>
      </c>
      <c r="N128">
        <v>5.8875398089171904</v>
      </c>
      <c r="P128" s="2">
        <v>200502</v>
      </c>
      <c r="Q128">
        <v>5.8036100276399898</v>
      </c>
    </row>
    <row r="129" spans="3:17">
      <c r="J129" s="2">
        <v>200501</v>
      </c>
      <c r="K129" s="3">
        <v>5.7743304062167402</v>
      </c>
      <c r="M129" s="2">
        <v>200501</v>
      </c>
      <c r="N129">
        <v>6.0714246719569402</v>
      </c>
      <c r="P129" s="2">
        <v>200501</v>
      </c>
      <c r="Q129">
        <v>5.7449411149000698</v>
      </c>
    </row>
    <row r="130" spans="3:17">
      <c r="C130" s="3"/>
      <c r="J130" s="3"/>
      <c r="K130" s="3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Q130"/>
  <sheetViews>
    <sheetView topLeftCell="H16" workbookViewId="0">
      <selection activeCell="F4" sqref="F4"/>
    </sheetView>
  </sheetViews>
  <sheetFormatPr defaultRowHeight="15"/>
  <cols>
    <col min="2" max="2" width="13.85546875" bestFit="1" customWidth="1"/>
    <col min="3" max="5" width="12.5703125" bestFit="1" customWidth="1"/>
    <col min="6" max="7" width="12.5703125" customWidth="1"/>
    <col min="10" max="10" width="16.7109375" bestFit="1" customWidth="1"/>
    <col min="11" max="11" width="12.5703125" bestFit="1" customWidth="1"/>
    <col min="13" max="13" width="16.7109375" bestFit="1" customWidth="1"/>
    <col min="14" max="14" width="12.5703125" bestFit="1" customWidth="1"/>
    <col min="16" max="16" width="16.7109375" bestFit="1" customWidth="1"/>
    <col min="17" max="17" width="12.5703125" bestFit="1" customWidth="1"/>
  </cols>
  <sheetData>
    <row r="1" spans="2:17">
      <c r="B1" t="s">
        <v>33</v>
      </c>
      <c r="J1" t="s">
        <v>33</v>
      </c>
      <c r="M1" t="s">
        <v>34</v>
      </c>
      <c r="P1" t="s">
        <v>35</v>
      </c>
    </row>
    <row r="3" spans="2:17">
      <c r="B3" t="s">
        <v>40</v>
      </c>
      <c r="C3" t="s">
        <v>33</v>
      </c>
      <c r="D3" t="s">
        <v>34</v>
      </c>
      <c r="E3" t="s">
        <v>35</v>
      </c>
      <c r="F3" s="44" t="s">
        <v>37</v>
      </c>
      <c r="G3" s="38" t="s">
        <v>38</v>
      </c>
      <c r="H3" s="39" t="s">
        <v>39</v>
      </c>
      <c r="J3" t="s">
        <v>45</v>
      </c>
      <c r="K3" t="s">
        <v>44</v>
      </c>
      <c r="M3" t="s">
        <v>45</v>
      </c>
      <c r="N3" t="s">
        <v>44</v>
      </c>
      <c r="P3" t="s">
        <v>45</v>
      </c>
      <c r="Q3" t="s">
        <v>44</v>
      </c>
    </row>
    <row r="4" spans="2:17">
      <c r="B4" s="1">
        <v>42125</v>
      </c>
      <c r="C4" s="3">
        <v>3.9988477293593601</v>
      </c>
      <c r="D4" s="3">
        <v>3.9647872876775598</v>
      </c>
      <c r="E4" s="3">
        <v>3.8782178130639098</v>
      </c>
      <c r="F4" s="3">
        <f>C4-D4</f>
        <v>3.4060441681800224E-2</v>
      </c>
      <c r="G4" s="3">
        <f>C4-E4</f>
        <v>0.12062991629545028</v>
      </c>
      <c r="H4" s="3">
        <f>D4-E4</f>
        <v>8.6569474613650055E-2</v>
      </c>
      <c r="I4" s="3"/>
      <c r="J4" s="2">
        <v>201505</v>
      </c>
      <c r="K4" s="3">
        <v>3.9988477293593601</v>
      </c>
      <c r="M4" s="2">
        <v>201506</v>
      </c>
      <c r="N4">
        <v>3.9481259715647798</v>
      </c>
      <c r="P4" s="2">
        <v>201506</v>
      </c>
      <c r="Q4">
        <v>3.8538616980649198</v>
      </c>
    </row>
    <row r="5" spans="2:17">
      <c r="B5" s="1">
        <v>42095</v>
      </c>
      <c r="C5" s="3">
        <v>3.9120077286358401</v>
      </c>
      <c r="D5" s="3">
        <v>3.9308805736364998</v>
      </c>
      <c r="E5" s="3">
        <v>3.8319800033062199</v>
      </c>
      <c r="F5" s="3">
        <f t="shared" ref="F5:F68" si="0">C5-D5</f>
        <v>-1.8872845000659666E-2</v>
      </c>
      <c r="G5" s="3">
        <f t="shared" ref="G5:G68" si="1">C5-E5</f>
        <v>8.0027725329620214E-2</v>
      </c>
      <c r="H5" s="3">
        <f t="shared" ref="H5:H68" si="2">D5-E5</f>
        <v>9.890057033027988E-2</v>
      </c>
      <c r="I5" s="3"/>
      <c r="J5" s="2">
        <v>201504</v>
      </c>
      <c r="K5" s="3">
        <v>3.9120077286358401</v>
      </c>
      <c r="M5" s="2">
        <v>201505</v>
      </c>
      <c r="N5">
        <v>3.9647872876775598</v>
      </c>
      <c r="P5" s="2">
        <v>201505</v>
      </c>
      <c r="Q5">
        <v>3.8782178130639098</v>
      </c>
    </row>
    <row r="6" spans="2:17">
      <c r="B6" s="1">
        <v>42064</v>
      </c>
      <c r="C6" s="3">
        <v>3.89079588552082</v>
      </c>
      <c r="D6" s="3">
        <v>3.9315463917649902</v>
      </c>
      <c r="E6" s="3">
        <v>3.8138413668047102</v>
      </c>
      <c r="F6" s="3">
        <f t="shared" si="0"/>
        <v>-4.0750506244170204E-2</v>
      </c>
      <c r="G6" s="3">
        <f t="shared" si="1"/>
        <v>7.695451871610981E-2</v>
      </c>
      <c r="H6" s="3">
        <f t="shared" si="2"/>
        <v>0.11770502496028001</v>
      </c>
      <c r="I6" s="3"/>
      <c r="J6" s="2">
        <v>201503</v>
      </c>
      <c r="K6" s="3">
        <v>3.89079588552082</v>
      </c>
      <c r="M6" s="2">
        <v>201504</v>
      </c>
      <c r="N6">
        <v>3.9308805736364998</v>
      </c>
      <c r="P6" s="2">
        <v>201504</v>
      </c>
      <c r="Q6">
        <v>3.8319800033062199</v>
      </c>
    </row>
    <row r="7" spans="2:17">
      <c r="B7" s="1">
        <v>42036</v>
      </c>
      <c r="C7" s="3">
        <v>4.0705550921080302</v>
      </c>
      <c r="D7" s="3">
        <v>4.0734067078240797</v>
      </c>
      <c r="E7" s="3">
        <v>3.94727572539015</v>
      </c>
      <c r="F7" s="3">
        <f t="shared" si="0"/>
        <v>-2.851615716049416E-3</v>
      </c>
      <c r="G7" s="3">
        <f t="shared" si="1"/>
        <v>0.1232793667178802</v>
      </c>
      <c r="H7" s="3">
        <f t="shared" si="2"/>
        <v>0.12613098243392962</v>
      </c>
      <c r="I7" s="3"/>
      <c r="J7" s="2">
        <v>201502</v>
      </c>
      <c r="K7" s="3">
        <v>4.0705550921080302</v>
      </c>
      <c r="M7" s="2">
        <v>201503</v>
      </c>
      <c r="N7">
        <v>3.9315463917649902</v>
      </c>
      <c r="P7" s="2">
        <v>201503</v>
      </c>
      <c r="Q7">
        <v>3.8138413668047102</v>
      </c>
    </row>
    <row r="8" spans="2:17">
      <c r="B8" s="1">
        <v>42005</v>
      </c>
      <c r="C8" s="3">
        <v>4.2056166798130796</v>
      </c>
      <c r="D8" s="3">
        <v>4.2073909074850402</v>
      </c>
      <c r="E8" s="3">
        <v>4.1008843144134097</v>
      </c>
      <c r="F8" s="3">
        <f t="shared" si="0"/>
        <v>-1.7742276719605599E-3</v>
      </c>
      <c r="G8" s="3">
        <f t="shared" si="1"/>
        <v>0.1047323653996699</v>
      </c>
      <c r="H8" s="3">
        <f t="shared" si="2"/>
        <v>0.10650659307163046</v>
      </c>
      <c r="I8" s="3"/>
      <c r="J8" s="2">
        <v>201501</v>
      </c>
      <c r="K8" s="3">
        <v>4.2056166798130796</v>
      </c>
      <c r="M8" s="2">
        <v>201502</v>
      </c>
      <c r="N8">
        <v>4.0734067078240797</v>
      </c>
      <c r="P8" s="2">
        <v>201502</v>
      </c>
      <c r="Q8">
        <v>3.94727572539015</v>
      </c>
    </row>
    <row r="9" spans="2:17">
      <c r="B9" s="1">
        <v>41974</v>
      </c>
      <c r="C9" s="3">
        <v>4.17954372848489</v>
      </c>
      <c r="D9" s="3">
        <v>4.2148576463730096</v>
      </c>
      <c r="E9" s="3">
        <v>4.13139829332194</v>
      </c>
      <c r="F9" s="3">
        <f t="shared" si="0"/>
        <v>-3.5313917888119661E-2</v>
      </c>
      <c r="G9" s="3">
        <f t="shared" si="1"/>
        <v>4.8145435162950001E-2</v>
      </c>
      <c r="H9" s="3">
        <f t="shared" si="2"/>
        <v>8.3459353051069662E-2</v>
      </c>
      <c r="I9" s="3"/>
      <c r="J9" s="2">
        <v>201412</v>
      </c>
      <c r="K9" s="3">
        <v>4.17954372848489</v>
      </c>
      <c r="M9" s="2">
        <v>201501</v>
      </c>
      <c r="N9">
        <v>4.2073909074850402</v>
      </c>
      <c r="P9" s="2">
        <v>201501</v>
      </c>
      <c r="Q9">
        <v>4.1008843144134097</v>
      </c>
    </row>
    <row r="10" spans="2:17">
      <c r="B10" s="1">
        <v>41944</v>
      </c>
      <c r="C10" s="3">
        <v>4.3507810913202603</v>
      </c>
      <c r="D10" s="3">
        <v>4.3905793648985698</v>
      </c>
      <c r="E10" s="3">
        <v>4.2683505012812404</v>
      </c>
      <c r="F10" s="3">
        <f t="shared" si="0"/>
        <v>-3.9798273578309562E-2</v>
      </c>
      <c r="G10" s="3">
        <f t="shared" si="1"/>
        <v>8.2430590039019869E-2</v>
      </c>
      <c r="H10" s="3">
        <f t="shared" si="2"/>
        <v>0.12222886361732943</v>
      </c>
      <c r="I10" s="3"/>
      <c r="J10" s="2">
        <v>201411</v>
      </c>
      <c r="K10" s="3">
        <v>4.3507810913202603</v>
      </c>
      <c r="M10" s="2">
        <v>201412</v>
      </c>
      <c r="N10">
        <v>4.2148576463730096</v>
      </c>
      <c r="P10" s="2">
        <v>201412</v>
      </c>
      <c r="Q10">
        <v>4.13139829332194</v>
      </c>
    </row>
    <row r="11" spans="2:17">
      <c r="B11" s="1">
        <v>41913</v>
      </c>
      <c r="C11" s="3">
        <v>4.3658803014577199</v>
      </c>
      <c r="D11" s="3">
        <v>4.3934433874477801</v>
      </c>
      <c r="E11" s="3">
        <v>4.3101970063312001</v>
      </c>
      <c r="F11" s="3">
        <f t="shared" si="0"/>
        <v>-2.7563085990060188E-2</v>
      </c>
      <c r="G11" s="3">
        <f t="shared" si="1"/>
        <v>5.5683295126519816E-2</v>
      </c>
      <c r="H11" s="3">
        <f t="shared" si="2"/>
        <v>8.3246381116580004E-2</v>
      </c>
      <c r="I11" s="3"/>
      <c r="J11" s="2">
        <v>201410</v>
      </c>
      <c r="K11" s="3">
        <v>4.3658803014577199</v>
      </c>
      <c r="M11" s="2">
        <v>201411</v>
      </c>
      <c r="N11">
        <v>4.3905793648985698</v>
      </c>
      <c r="P11" s="2">
        <v>201411</v>
      </c>
      <c r="Q11">
        <v>4.2683505012812404</v>
      </c>
    </row>
    <row r="12" spans="2:17">
      <c r="B12" s="1">
        <v>41883</v>
      </c>
      <c r="C12" s="3">
        <v>4.4049111052620802</v>
      </c>
      <c r="D12" s="3">
        <v>4.4309052004051397</v>
      </c>
      <c r="E12" s="3">
        <v>4.3178313732494598</v>
      </c>
      <c r="F12" s="3">
        <f t="shared" si="0"/>
        <v>-2.5994095143059504E-2</v>
      </c>
      <c r="G12" s="3">
        <f t="shared" si="1"/>
        <v>8.7079732012620426E-2</v>
      </c>
      <c r="H12" s="3">
        <f t="shared" si="2"/>
        <v>0.11307382715567993</v>
      </c>
      <c r="I12" s="3"/>
      <c r="J12" s="2">
        <v>201409</v>
      </c>
      <c r="K12" s="3">
        <v>4.4049111052620802</v>
      </c>
      <c r="M12" s="2">
        <v>201410</v>
      </c>
      <c r="N12">
        <v>4.3934433874477801</v>
      </c>
      <c r="P12" s="2">
        <v>201410</v>
      </c>
      <c r="Q12">
        <v>4.3101970063312001</v>
      </c>
    </row>
    <row r="13" spans="2:17">
      <c r="B13" s="1">
        <v>41852</v>
      </c>
      <c r="C13" s="3">
        <v>4.3877534547936996</v>
      </c>
      <c r="D13" s="3">
        <v>4.3899942408996804</v>
      </c>
      <c r="E13" s="3">
        <v>4.3085176554459501</v>
      </c>
      <c r="F13" s="3">
        <f t="shared" si="0"/>
        <v>-2.2407861059807743E-3</v>
      </c>
      <c r="G13" s="3">
        <f t="shared" si="1"/>
        <v>7.9235799347749492E-2</v>
      </c>
      <c r="H13" s="3">
        <f t="shared" si="2"/>
        <v>8.1476585453730266E-2</v>
      </c>
      <c r="I13" s="3"/>
      <c r="J13" s="2">
        <v>201408</v>
      </c>
      <c r="K13" s="3">
        <v>4.3877534547936996</v>
      </c>
      <c r="M13" s="2">
        <v>201409</v>
      </c>
      <c r="N13">
        <v>4.4309052004051397</v>
      </c>
      <c r="P13" s="2">
        <v>201409</v>
      </c>
      <c r="Q13">
        <v>4.3178313732494598</v>
      </c>
    </row>
    <row r="14" spans="2:17">
      <c r="B14" s="1">
        <v>41821</v>
      </c>
      <c r="C14" s="3">
        <v>4.41735027290059</v>
      </c>
      <c r="D14" s="3">
        <v>4.45817074144865</v>
      </c>
      <c r="E14" s="3">
        <v>4.3482447615353301</v>
      </c>
      <c r="F14" s="3">
        <f t="shared" si="0"/>
        <v>-4.0820468548059985E-2</v>
      </c>
      <c r="G14" s="3">
        <f t="shared" si="1"/>
        <v>6.9105511365259886E-2</v>
      </c>
      <c r="H14" s="3">
        <f t="shared" si="2"/>
        <v>0.10992597991331987</v>
      </c>
      <c r="I14" s="3"/>
      <c r="J14" s="2">
        <v>201407</v>
      </c>
      <c r="K14" s="3">
        <v>4.41735027290059</v>
      </c>
      <c r="M14" s="2">
        <v>201408</v>
      </c>
      <c r="N14">
        <v>4.3899942408996804</v>
      </c>
      <c r="P14" s="2">
        <v>201408</v>
      </c>
      <c r="Q14">
        <v>4.3085176554459501</v>
      </c>
    </row>
    <row r="15" spans="2:17">
      <c r="B15" s="1">
        <v>41791</v>
      </c>
      <c r="C15" s="3">
        <v>4.5466514290573201</v>
      </c>
      <c r="D15" s="3">
        <v>4.5536222811850298</v>
      </c>
      <c r="E15" s="3">
        <v>4.4579895491326997</v>
      </c>
      <c r="F15" s="3">
        <f t="shared" si="0"/>
        <v>-6.970852127709648E-3</v>
      </c>
      <c r="G15" s="3">
        <f t="shared" si="1"/>
        <v>8.8661879924620379E-2</v>
      </c>
      <c r="H15" s="3">
        <f t="shared" si="2"/>
        <v>9.5632732052330027E-2</v>
      </c>
      <c r="I15" s="3"/>
      <c r="J15" s="2">
        <v>201406</v>
      </c>
      <c r="K15" s="3">
        <v>4.5466514290573201</v>
      </c>
      <c r="M15" s="2">
        <v>201407</v>
      </c>
      <c r="N15">
        <v>4.45817074144865</v>
      </c>
      <c r="P15" s="2">
        <v>201407</v>
      </c>
      <c r="Q15">
        <v>4.3482447615353301</v>
      </c>
    </row>
    <row r="16" spans="2:17">
      <c r="B16" s="1">
        <v>41760</v>
      </c>
      <c r="C16" s="3">
        <v>4.6037872201175301</v>
      </c>
      <c r="D16" s="3">
        <v>4.6173658552143602</v>
      </c>
      <c r="E16" s="3">
        <v>4.5012617210399899</v>
      </c>
      <c r="F16" s="3">
        <f t="shared" si="0"/>
        <v>-1.3578635096830105E-2</v>
      </c>
      <c r="G16" s="3">
        <f t="shared" si="1"/>
        <v>0.10252549907754016</v>
      </c>
      <c r="H16" s="3">
        <f t="shared" si="2"/>
        <v>0.11610413417437027</v>
      </c>
      <c r="I16" s="3"/>
      <c r="J16" s="2">
        <v>201405</v>
      </c>
      <c r="K16" s="3">
        <v>4.6037872201175301</v>
      </c>
      <c r="M16" s="2">
        <v>201406</v>
      </c>
      <c r="N16">
        <v>4.5536222811850298</v>
      </c>
      <c r="P16" s="2">
        <v>201406</v>
      </c>
      <c r="Q16">
        <v>4.4579895491326997</v>
      </c>
    </row>
    <row r="17" spans="2:17">
      <c r="B17" s="1">
        <v>41730</v>
      </c>
      <c r="C17" s="3">
        <v>4.5742148042663899</v>
      </c>
      <c r="D17" s="3">
        <v>4.5685571115905699</v>
      </c>
      <c r="E17" s="3">
        <v>4.5014287636166204</v>
      </c>
      <c r="F17" s="3">
        <f t="shared" si="0"/>
        <v>5.6576926758200585E-3</v>
      </c>
      <c r="G17" s="3">
        <f t="shared" si="1"/>
        <v>7.2786040649769568E-2</v>
      </c>
      <c r="H17" s="3">
        <f t="shared" si="2"/>
        <v>6.7128347973949509E-2</v>
      </c>
      <c r="I17" s="3"/>
      <c r="J17" s="2">
        <v>201404</v>
      </c>
      <c r="K17" s="3">
        <v>4.5742148042663899</v>
      </c>
      <c r="M17" s="2">
        <v>201405</v>
      </c>
      <c r="N17">
        <v>4.6173658552143602</v>
      </c>
      <c r="P17" s="2">
        <v>201405</v>
      </c>
      <c r="Q17">
        <v>4.5012617210399899</v>
      </c>
    </row>
    <row r="18" spans="2:17">
      <c r="B18" s="1">
        <v>41699</v>
      </c>
      <c r="C18" s="3">
        <v>4.6431274491244796</v>
      </c>
      <c r="D18" s="3">
        <v>4.6279014041330004</v>
      </c>
      <c r="E18" s="3">
        <v>4.5479784207842098</v>
      </c>
      <c r="F18" s="3">
        <f t="shared" si="0"/>
        <v>1.5226044991479171E-2</v>
      </c>
      <c r="G18" s="3">
        <f t="shared" si="1"/>
        <v>9.5149028340269837E-2</v>
      </c>
      <c r="H18" s="3">
        <f t="shared" si="2"/>
        <v>7.9922983348790666E-2</v>
      </c>
      <c r="I18" s="3"/>
      <c r="J18" s="2">
        <v>201403</v>
      </c>
      <c r="K18" s="3">
        <v>4.6431274491244796</v>
      </c>
      <c r="M18" s="2">
        <v>201404</v>
      </c>
      <c r="N18">
        <v>4.5685571115905699</v>
      </c>
      <c r="P18" s="2">
        <v>201404</v>
      </c>
      <c r="Q18">
        <v>4.5014287636166204</v>
      </c>
    </row>
    <row r="19" spans="2:17">
      <c r="B19" s="1">
        <v>41671</v>
      </c>
      <c r="C19" s="3">
        <v>4.6558881394695799</v>
      </c>
      <c r="D19" s="3">
        <v>4.6796136851377899</v>
      </c>
      <c r="E19" s="3">
        <v>4.5839948830699901</v>
      </c>
      <c r="F19" s="3">
        <f t="shared" si="0"/>
        <v>-2.3725545668209946E-2</v>
      </c>
      <c r="G19" s="3">
        <f t="shared" si="1"/>
        <v>7.1893256399589767E-2</v>
      </c>
      <c r="H19" s="3">
        <f t="shared" si="2"/>
        <v>9.5618802067799713E-2</v>
      </c>
      <c r="I19" s="3"/>
      <c r="J19" s="2">
        <v>201402</v>
      </c>
      <c r="K19" s="3">
        <v>4.6558881394695799</v>
      </c>
      <c r="M19" s="2">
        <v>201403</v>
      </c>
      <c r="N19">
        <v>4.6279014041330004</v>
      </c>
      <c r="P19" s="2">
        <v>201403</v>
      </c>
      <c r="Q19">
        <v>4.5479784207842098</v>
      </c>
    </row>
    <row r="20" spans="2:17">
      <c r="B20" s="1">
        <v>41640</v>
      </c>
      <c r="C20" s="3">
        <v>4.5409899926133397</v>
      </c>
      <c r="D20" s="3">
        <v>4.5334011998603501</v>
      </c>
      <c r="E20" s="3">
        <v>4.4431073587180503</v>
      </c>
      <c r="F20" s="3">
        <f t="shared" si="0"/>
        <v>7.588792752989626E-3</v>
      </c>
      <c r="G20" s="3">
        <f t="shared" si="1"/>
        <v>9.7882633895289395E-2</v>
      </c>
      <c r="H20" s="3">
        <f t="shared" si="2"/>
        <v>9.0293841142299769E-2</v>
      </c>
      <c r="I20" s="3"/>
      <c r="J20" s="2">
        <v>201401</v>
      </c>
      <c r="K20" s="3">
        <v>4.5409899926133397</v>
      </c>
      <c r="M20" s="2">
        <v>201402</v>
      </c>
      <c r="N20">
        <v>4.6796136851377899</v>
      </c>
      <c r="P20" s="2">
        <v>201402</v>
      </c>
      <c r="Q20">
        <v>4.5839948830699901</v>
      </c>
    </row>
    <row r="21" spans="2:17">
      <c r="B21" s="1">
        <v>41609</v>
      </c>
      <c r="C21" s="3">
        <v>4.4803688539129096</v>
      </c>
      <c r="D21" s="3">
        <v>4.4619520967461197</v>
      </c>
      <c r="E21" s="3">
        <v>4.4068790974691598</v>
      </c>
      <c r="F21" s="3">
        <f t="shared" si="0"/>
        <v>1.8416757166789921E-2</v>
      </c>
      <c r="G21" s="3">
        <f t="shared" si="1"/>
        <v>7.3489756443749776E-2</v>
      </c>
      <c r="H21" s="3">
        <f t="shared" si="2"/>
        <v>5.5072999276959855E-2</v>
      </c>
      <c r="I21" s="3"/>
      <c r="J21" s="2">
        <v>201312</v>
      </c>
      <c r="K21" s="3">
        <v>4.4803688539129096</v>
      </c>
      <c r="M21" s="2">
        <v>201401</v>
      </c>
      <c r="N21">
        <v>4.5334011998603501</v>
      </c>
      <c r="P21" s="2">
        <v>201401</v>
      </c>
      <c r="Q21">
        <v>4.4431073587180503</v>
      </c>
    </row>
    <row r="22" spans="2:17">
      <c r="B22" s="1">
        <v>41579</v>
      </c>
      <c r="C22" s="3">
        <v>4.60664640936014</v>
      </c>
      <c r="D22" s="3">
        <v>4.5922804834520203</v>
      </c>
      <c r="E22" s="3">
        <v>4.5428754568186296</v>
      </c>
      <c r="F22" s="3">
        <f t="shared" si="0"/>
        <v>1.4365925908119692E-2</v>
      </c>
      <c r="G22" s="3">
        <f t="shared" si="1"/>
        <v>6.3770952541510439E-2</v>
      </c>
      <c r="H22" s="3">
        <f t="shared" si="2"/>
        <v>4.9405026633390747E-2</v>
      </c>
      <c r="I22" s="3"/>
      <c r="J22" s="2">
        <v>201311</v>
      </c>
      <c r="K22" s="3">
        <v>4.60664640936014</v>
      </c>
      <c r="M22" s="2">
        <v>201312</v>
      </c>
      <c r="N22">
        <v>4.4619520967461197</v>
      </c>
      <c r="P22" s="2">
        <v>201312</v>
      </c>
      <c r="Q22">
        <v>4.4068790974691598</v>
      </c>
    </row>
    <row r="23" spans="2:17">
      <c r="B23" s="1">
        <v>41548</v>
      </c>
      <c r="C23" s="3">
        <v>4.5856403061316904</v>
      </c>
      <c r="D23" s="3">
        <v>4.6016311948725299</v>
      </c>
      <c r="E23" s="3">
        <v>4.6169217113404102</v>
      </c>
      <c r="F23" s="3">
        <f t="shared" si="0"/>
        <v>-1.5990888740839537E-2</v>
      </c>
      <c r="G23" s="3">
        <f t="shared" si="1"/>
        <v>-3.1281405208719804E-2</v>
      </c>
      <c r="H23" s="3">
        <f t="shared" si="2"/>
        <v>-1.5290516467880266E-2</v>
      </c>
      <c r="I23" s="3"/>
      <c r="J23" s="2">
        <v>201310</v>
      </c>
      <c r="K23" s="3">
        <v>4.5856403061316904</v>
      </c>
      <c r="M23" s="2">
        <v>201311</v>
      </c>
      <c r="N23">
        <v>4.5922804834520203</v>
      </c>
      <c r="P23" s="2">
        <v>201311</v>
      </c>
      <c r="Q23">
        <v>4.5428754568186296</v>
      </c>
    </row>
    <row r="24" spans="2:17">
      <c r="B24" s="1">
        <v>41518</v>
      </c>
      <c r="C24" s="3">
        <v>4.3809948251733903</v>
      </c>
      <c r="D24" s="3">
        <v>4.4552943473404003</v>
      </c>
      <c r="E24" s="3">
        <v>4.4566747944017999</v>
      </c>
      <c r="F24" s="3">
        <f t="shared" si="0"/>
        <v>-7.4299522167009968E-2</v>
      </c>
      <c r="G24" s="3">
        <f t="shared" si="1"/>
        <v>-7.5679969228409583E-2</v>
      </c>
      <c r="H24" s="3">
        <f t="shared" si="2"/>
        <v>-1.3804470613996145E-3</v>
      </c>
      <c r="I24" s="3"/>
      <c r="J24" s="2">
        <v>201309</v>
      </c>
      <c r="K24" s="3">
        <v>4.3809948251733903</v>
      </c>
      <c r="M24" s="2">
        <v>201310</v>
      </c>
      <c r="N24">
        <v>4.6016311948725299</v>
      </c>
      <c r="P24" s="2">
        <v>201310</v>
      </c>
      <c r="Q24">
        <v>4.6169217113404102</v>
      </c>
    </row>
    <row r="25" spans="2:17">
      <c r="B25" s="1">
        <v>41487</v>
      </c>
      <c r="C25" s="3">
        <v>4.0334437121802802</v>
      </c>
      <c r="D25" s="3">
        <v>4.1608061748677496</v>
      </c>
      <c r="E25" s="3">
        <v>4.1224340180553103</v>
      </c>
      <c r="F25" s="3">
        <f t="shared" si="0"/>
        <v>-0.12736246268746942</v>
      </c>
      <c r="G25" s="3">
        <f t="shared" si="1"/>
        <v>-8.8990305875030096E-2</v>
      </c>
      <c r="H25" s="3">
        <f t="shared" si="2"/>
        <v>3.8372156812439329E-2</v>
      </c>
      <c r="I25" s="3"/>
      <c r="J25" s="2">
        <v>201308</v>
      </c>
      <c r="K25" s="3">
        <v>4.0334437121802802</v>
      </c>
      <c r="M25" s="2">
        <v>201309</v>
      </c>
      <c r="N25">
        <v>4.4552943473404003</v>
      </c>
      <c r="P25" s="2">
        <v>201309</v>
      </c>
      <c r="Q25">
        <v>4.4566747944017999</v>
      </c>
    </row>
    <row r="26" spans="2:17">
      <c r="B26" s="1">
        <v>41456</v>
      </c>
      <c r="C26" s="3">
        <v>3.7897986606484002</v>
      </c>
      <c r="D26" s="3">
        <v>3.8090797954468001</v>
      </c>
      <c r="E26" s="3">
        <v>3.74293674602175</v>
      </c>
      <c r="F26" s="3">
        <f t="shared" si="0"/>
        <v>-1.9281134798399879E-2</v>
      </c>
      <c r="G26" s="3">
        <f t="shared" si="1"/>
        <v>4.6861914626650236E-2</v>
      </c>
      <c r="H26" s="3">
        <f t="shared" si="2"/>
        <v>6.6143049425050116E-2</v>
      </c>
      <c r="I26" s="3"/>
      <c r="J26" s="2">
        <v>201307</v>
      </c>
      <c r="K26" s="3">
        <v>3.7897986606484002</v>
      </c>
      <c r="M26" s="2">
        <v>201308</v>
      </c>
      <c r="N26">
        <v>4.1608061748677496</v>
      </c>
      <c r="P26" s="2">
        <v>201308</v>
      </c>
      <c r="Q26">
        <v>4.1224340180553103</v>
      </c>
    </row>
    <row r="27" spans="2:17">
      <c r="B27" s="1">
        <v>41426</v>
      </c>
      <c r="C27" s="3">
        <v>3.7083493964005001</v>
      </c>
      <c r="D27" s="3">
        <v>3.6899981864764602</v>
      </c>
      <c r="E27" s="3">
        <v>3.6470250575748002</v>
      </c>
      <c r="F27" s="3">
        <f t="shared" si="0"/>
        <v>1.8351209924039935E-2</v>
      </c>
      <c r="G27" s="3">
        <f t="shared" si="1"/>
        <v>6.1324338825699876E-2</v>
      </c>
      <c r="H27" s="3">
        <f t="shared" si="2"/>
        <v>4.297312890165994E-2</v>
      </c>
      <c r="I27" s="3"/>
      <c r="J27" s="2">
        <v>201306</v>
      </c>
      <c r="K27" s="3">
        <v>3.7083493964005001</v>
      </c>
      <c r="M27" s="2">
        <v>201307</v>
      </c>
      <c r="N27">
        <v>3.8090797954468001</v>
      </c>
      <c r="P27" s="2">
        <v>201307</v>
      </c>
      <c r="Q27">
        <v>3.74293674602175</v>
      </c>
    </row>
    <row r="28" spans="2:17">
      <c r="B28" s="1">
        <v>41395</v>
      </c>
      <c r="C28" s="3">
        <v>3.7475370310595699</v>
      </c>
      <c r="D28" s="3">
        <v>3.7346258215685899</v>
      </c>
      <c r="E28" s="3">
        <v>3.6883274307925999</v>
      </c>
      <c r="F28" s="3">
        <f t="shared" si="0"/>
        <v>1.2911209490980013E-2</v>
      </c>
      <c r="G28" s="3">
        <f t="shared" si="1"/>
        <v>5.9209600266969975E-2</v>
      </c>
      <c r="H28" s="3">
        <f t="shared" si="2"/>
        <v>4.6298390775989962E-2</v>
      </c>
      <c r="I28" s="3"/>
      <c r="J28" s="2">
        <v>201305</v>
      </c>
      <c r="K28" s="3">
        <v>3.7475370310595699</v>
      </c>
      <c r="M28" s="2">
        <v>201306</v>
      </c>
      <c r="N28">
        <v>3.6899981864764602</v>
      </c>
      <c r="P28" s="2">
        <v>201306</v>
      </c>
      <c r="Q28">
        <v>3.6470250575748002</v>
      </c>
    </row>
    <row r="29" spans="2:17">
      <c r="B29" s="1">
        <v>41365</v>
      </c>
      <c r="C29" s="3">
        <v>3.7159007838695901</v>
      </c>
      <c r="D29" s="3">
        <v>3.7207630263445499</v>
      </c>
      <c r="E29" s="3">
        <v>3.66755109992451</v>
      </c>
      <c r="F29" s="3">
        <f t="shared" si="0"/>
        <v>-4.8622424749598103E-3</v>
      </c>
      <c r="G29" s="3">
        <f t="shared" si="1"/>
        <v>4.8349683945080102E-2</v>
      </c>
      <c r="H29" s="3">
        <f t="shared" si="2"/>
        <v>5.3211926420039912E-2</v>
      </c>
      <c r="I29" s="3"/>
      <c r="J29" s="2">
        <v>201304</v>
      </c>
      <c r="K29" s="3">
        <v>3.7159007838695901</v>
      </c>
      <c r="M29" s="2">
        <v>201305</v>
      </c>
      <c r="N29">
        <v>3.7346258215685899</v>
      </c>
      <c r="P29" s="2">
        <v>201305</v>
      </c>
      <c r="Q29">
        <v>3.6883274307925999</v>
      </c>
    </row>
    <row r="30" spans="2:17">
      <c r="B30" s="1">
        <v>41334</v>
      </c>
      <c r="C30" s="3">
        <v>3.66542108747295</v>
      </c>
      <c r="D30" s="3">
        <v>3.6336289301730802</v>
      </c>
      <c r="E30" s="3">
        <v>3.5635432301412</v>
      </c>
      <c r="F30" s="3">
        <f t="shared" si="0"/>
        <v>3.1792157299869839E-2</v>
      </c>
      <c r="G30" s="3">
        <f t="shared" si="1"/>
        <v>0.10187785733175003</v>
      </c>
      <c r="H30" s="3">
        <f t="shared" si="2"/>
        <v>7.0085700031880194E-2</v>
      </c>
      <c r="I30" s="3"/>
      <c r="J30" s="2">
        <v>201303</v>
      </c>
      <c r="K30" s="3">
        <v>3.66542108747295</v>
      </c>
      <c r="M30" s="2">
        <v>201304</v>
      </c>
      <c r="N30">
        <v>3.7207630263445499</v>
      </c>
      <c r="P30" s="2">
        <v>201304</v>
      </c>
      <c r="Q30">
        <v>3.66755109992451</v>
      </c>
    </row>
    <row r="31" spans="2:17">
      <c r="B31" s="1">
        <v>41306</v>
      </c>
      <c r="C31" s="3">
        <v>3.5651094295422001</v>
      </c>
      <c r="D31" s="3">
        <v>3.5305652798099398</v>
      </c>
      <c r="E31" s="3">
        <v>3.4804503200575998</v>
      </c>
      <c r="F31" s="3">
        <f t="shared" si="0"/>
        <v>3.4544149732260276E-2</v>
      </c>
      <c r="G31" s="3">
        <f t="shared" si="1"/>
        <v>8.4659109484600314E-2</v>
      </c>
      <c r="H31" s="3">
        <f t="shared" si="2"/>
        <v>5.0114959752340038E-2</v>
      </c>
      <c r="I31" s="3"/>
      <c r="J31" s="2">
        <v>201302</v>
      </c>
      <c r="K31" s="3">
        <v>3.5651094295422001</v>
      </c>
      <c r="M31" s="2">
        <v>201303</v>
      </c>
      <c r="N31">
        <v>3.6336289301730802</v>
      </c>
      <c r="P31" s="2">
        <v>201303</v>
      </c>
      <c r="Q31">
        <v>3.5635432301412</v>
      </c>
    </row>
    <row r="32" spans="2:17">
      <c r="B32" s="1">
        <v>41275</v>
      </c>
      <c r="C32" s="3">
        <v>3.5471418925548202</v>
      </c>
      <c r="D32" s="3">
        <v>3.53567386141677</v>
      </c>
      <c r="E32" s="3">
        <v>3.48315456004361</v>
      </c>
      <c r="F32" s="3">
        <f t="shared" si="0"/>
        <v>1.1468031138050172E-2</v>
      </c>
      <c r="G32" s="3">
        <f t="shared" si="1"/>
        <v>6.3987332511210138E-2</v>
      </c>
      <c r="H32" s="3">
        <f t="shared" si="2"/>
        <v>5.2519301373159966E-2</v>
      </c>
      <c r="I32" s="3"/>
      <c r="J32" s="2">
        <v>201301</v>
      </c>
      <c r="K32" s="3">
        <v>3.5471418925548202</v>
      </c>
      <c r="M32" s="2">
        <v>201302</v>
      </c>
      <c r="N32">
        <v>3.5305652798099398</v>
      </c>
      <c r="P32" s="2">
        <v>201302</v>
      </c>
      <c r="Q32">
        <v>3.4804503200575998</v>
      </c>
    </row>
    <row r="33" spans="2:17">
      <c r="B33" s="1">
        <v>41244</v>
      </c>
      <c r="C33" s="3">
        <v>3.5566548894206398</v>
      </c>
      <c r="D33" s="3">
        <v>3.5599321990530401</v>
      </c>
      <c r="E33" s="3">
        <v>3.48911849559377</v>
      </c>
      <c r="F33" s="3">
        <f t="shared" si="0"/>
        <v>-3.2773096324003603E-3</v>
      </c>
      <c r="G33" s="3">
        <f t="shared" si="1"/>
        <v>6.7536393826869823E-2</v>
      </c>
      <c r="H33" s="3">
        <f t="shared" si="2"/>
        <v>7.0813703459270183E-2</v>
      </c>
      <c r="I33" s="3"/>
      <c r="J33" s="2">
        <v>201212</v>
      </c>
      <c r="K33" s="3">
        <v>3.5566548894206398</v>
      </c>
      <c r="M33" s="2">
        <v>201301</v>
      </c>
      <c r="N33">
        <v>3.53567386141677</v>
      </c>
      <c r="P33" s="2">
        <v>201301</v>
      </c>
      <c r="Q33">
        <v>3.48315456004361</v>
      </c>
    </row>
    <row r="34" spans="2:17">
      <c r="B34" s="1">
        <v>41214</v>
      </c>
      <c r="C34" s="3">
        <v>3.6465963301767501</v>
      </c>
      <c r="D34" s="3">
        <v>3.62511659708486</v>
      </c>
      <c r="E34" s="3">
        <v>3.5514647614513399</v>
      </c>
      <c r="F34" s="3">
        <f t="shared" si="0"/>
        <v>2.1479733091890107E-2</v>
      </c>
      <c r="G34" s="3">
        <f t="shared" si="1"/>
        <v>9.5131568725410176E-2</v>
      </c>
      <c r="H34" s="3">
        <f t="shared" si="2"/>
        <v>7.3651835633520069E-2</v>
      </c>
      <c r="I34" s="3"/>
      <c r="J34" s="2">
        <v>201211</v>
      </c>
      <c r="K34" s="3">
        <v>3.6465963301767501</v>
      </c>
      <c r="M34" s="2">
        <v>201212</v>
      </c>
      <c r="N34">
        <v>3.5599321990530401</v>
      </c>
      <c r="P34" s="2">
        <v>201212</v>
      </c>
      <c r="Q34">
        <v>3.48911849559377</v>
      </c>
    </row>
    <row r="35" spans="2:17">
      <c r="B35" s="1">
        <v>41183</v>
      </c>
      <c r="C35" s="3">
        <v>3.7207184283035799</v>
      </c>
      <c r="D35" s="3">
        <v>3.73491467171384</v>
      </c>
      <c r="E35" s="3">
        <v>3.65707977620387</v>
      </c>
      <c r="F35" s="3">
        <f t="shared" si="0"/>
        <v>-1.4196243410260045E-2</v>
      </c>
      <c r="G35" s="3">
        <f t="shared" si="1"/>
        <v>6.3638652099709869E-2</v>
      </c>
      <c r="H35" s="3">
        <f t="shared" si="2"/>
        <v>7.7834895509969915E-2</v>
      </c>
      <c r="I35" s="3"/>
      <c r="J35" s="2">
        <v>201210</v>
      </c>
      <c r="K35" s="3">
        <v>3.7207184283035799</v>
      </c>
      <c r="M35" s="2">
        <v>201211</v>
      </c>
      <c r="N35">
        <v>3.62511659708486</v>
      </c>
      <c r="P35" s="2">
        <v>201211</v>
      </c>
      <c r="Q35">
        <v>3.5514647614513399</v>
      </c>
    </row>
    <row r="36" spans="2:17">
      <c r="B36" s="1">
        <v>41153</v>
      </c>
      <c r="C36" s="3">
        <v>3.7449296018481899</v>
      </c>
      <c r="D36" s="3">
        <v>3.7599690270473798</v>
      </c>
      <c r="E36" s="3">
        <v>3.6880503208118398</v>
      </c>
      <c r="F36" s="3">
        <f t="shared" si="0"/>
        <v>-1.5039425199189882E-2</v>
      </c>
      <c r="G36" s="3">
        <f t="shared" si="1"/>
        <v>5.6879281036350093E-2</v>
      </c>
      <c r="H36" s="3">
        <f t="shared" si="2"/>
        <v>7.1918706235539975E-2</v>
      </c>
      <c r="I36" s="3"/>
      <c r="J36" s="2">
        <v>201209</v>
      </c>
      <c r="K36" s="3">
        <v>3.7449296018481899</v>
      </c>
      <c r="M36" s="2">
        <v>201210</v>
      </c>
      <c r="N36">
        <v>3.73491467171384</v>
      </c>
      <c r="P36" s="2">
        <v>201210</v>
      </c>
      <c r="Q36">
        <v>3.65707977620387</v>
      </c>
    </row>
    <row r="37" spans="2:17">
      <c r="B37" s="1">
        <v>41122</v>
      </c>
      <c r="C37" s="3">
        <v>3.8303928758033701</v>
      </c>
      <c r="D37" s="3">
        <v>3.8173751839488399</v>
      </c>
      <c r="E37" s="3">
        <v>3.7803988484297002</v>
      </c>
      <c r="F37" s="3">
        <f t="shared" si="0"/>
        <v>1.3017691854530167E-2</v>
      </c>
      <c r="G37" s="3">
        <f t="shared" si="1"/>
        <v>4.9994027373669869E-2</v>
      </c>
      <c r="H37" s="3">
        <f t="shared" si="2"/>
        <v>3.6976335519139703E-2</v>
      </c>
      <c r="I37" s="3"/>
      <c r="J37" s="2">
        <v>201208</v>
      </c>
      <c r="K37" s="3">
        <v>3.8303928758033701</v>
      </c>
      <c r="M37" s="2">
        <v>201209</v>
      </c>
      <c r="N37">
        <v>3.7599690270473798</v>
      </c>
      <c r="P37" s="2">
        <v>201209</v>
      </c>
      <c r="Q37">
        <v>3.6880503208118398</v>
      </c>
    </row>
    <row r="38" spans="2:17">
      <c r="B38" s="1">
        <v>41091</v>
      </c>
      <c r="C38" s="3">
        <v>3.9551642557445699</v>
      </c>
      <c r="D38" s="3">
        <v>3.9169104867537601</v>
      </c>
      <c r="E38" s="3">
        <v>3.8869674248049799</v>
      </c>
      <c r="F38" s="3">
        <f t="shared" si="0"/>
        <v>3.8253768990809789E-2</v>
      </c>
      <c r="G38" s="3">
        <f t="shared" si="1"/>
        <v>6.8196830939589947E-2</v>
      </c>
      <c r="H38" s="3">
        <f t="shared" si="2"/>
        <v>2.9943061948780159E-2</v>
      </c>
      <c r="I38" s="3"/>
      <c r="J38" s="2">
        <v>201207</v>
      </c>
      <c r="K38" s="3">
        <v>3.9551642557445699</v>
      </c>
      <c r="M38" s="2">
        <v>201208</v>
      </c>
      <c r="N38">
        <v>3.8173751839488399</v>
      </c>
      <c r="P38" s="2">
        <v>201208</v>
      </c>
      <c r="Q38">
        <v>3.7803988484297002</v>
      </c>
    </row>
    <row r="39" spans="2:17">
      <c r="B39" s="1">
        <v>41061</v>
      </c>
      <c r="C39" s="3">
        <v>4.1119502433422701</v>
      </c>
      <c r="D39" s="3">
        <v>4.0291610650154004</v>
      </c>
      <c r="E39" s="3">
        <v>4.0072850818423396</v>
      </c>
      <c r="F39" s="3">
        <f t="shared" si="0"/>
        <v>8.2789178326869717E-2</v>
      </c>
      <c r="G39" s="3">
        <f t="shared" si="1"/>
        <v>0.10466516149993055</v>
      </c>
      <c r="H39" s="3">
        <f t="shared" si="2"/>
        <v>2.1875983173060831E-2</v>
      </c>
      <c r="I39" s="3"/>
      <c r="J39" s="2">
        <v>201206</v>
      </c>
      <c r="K39" s="3">
        <v>4.1119502433422701</v>
      </c>
      <c r="M39" s="2">
        <v>201207</v>
      </c>
      <c r="N39">
        <v>3.9169104867537601</v>
      </c>
      <c r="P39" s="2">
        <v>201207</v>
      </c>
      <c r="Q39">
        <v>3.8869674248049799</v>
      </c>
    </row>
    <row r="40" spans="2:17">
      <c r="B40" s="1">
        <v>41030</v>
      </c>
      <c r="C40" s="3">
        <v>4.1210943766330104</v>
      </c>
      <c r="D40" s="3">
        <v>4.0884115861838497</v>
      </c>
      <c r="E40" s="3">
        <v>4.0237979272396602</v>
      </c>
      <c r="F40" s="3">
        <f t="shared" si="0"/>
        <v>3.268279044916067E-2</v>
      </c>
      <c r="G40" s="3">
        <f t="shared" si="1"/>
        <v>9.7296449393350137E-2</v>
      </c>
      <c r="H40" s="3">
        <f t="shared" si="2"/>
        <v>6.4613658944189467E-2</v>
      </c>
      <c r="I40" s="3"/>
      <c r="J40" s="2">
        <v>201205</v>
      </c>
      <c r="K40" s="3">
        <v>4.1210943766330104</v>
      </c>
      <c r="M40" s="2">
        <v>201206</v>
      </c>
      <c r="N40">
        <v>4.0291610650154004</v>
      </c>
      <c r="P40" s="2">
        <v>201206</v>
      </c>
      <c r="Q40">
        <v>4.0072850818423396</v>
      </c>
    </row>
    <row r="41" spans="2:17">
      <c r="B41" s="1">
        <v>41000</v>
      </c>
      <c r="C41" s="3">
        <v>4.0638115545201101</v>
      </c>
      <c r="D41" s="3">
        <v>4.0434365635653098</v>
      </c>
      <c r="E41" s="3">
        <v>3.9610702730041698</v>
      </c>
      <c r="F41" s="3">
        <f t="shared" si="0"/>
        <v>2.0374990954800332E-2</v>
      </c>
      <c r="G41" s="3">
        <f t="shared" si="1"/>
        <v>0.10274128151594031</v>
      </c>
      <c r="H41" s="3">
        <f t="shared" si="2"/>
        <v>8.2366290561139976E-2</v>
      </c>
      <c r="I41" s="3"/>
      <c r="J41" s="2">
        <v>201204</v>
      </c>
      <c r="K41" s="3">
        <v>4.0638115545201101</v>
      </c>
      <c r="M41" s="2">
        <v>201205</v>
      </c>
      <c r="N41">
        <v>4.0884115861838497</v>
      </c>
      <c r="P41" s="2">
        <v>201205</v>
      </c>
      <c r="Q41">
        <v>4.0237979272396602</v>
      </c>
    </row>
    <row r="42" spans="2:17">
      <c r="B42" s="1">
        <v>40969</v>
      </c>
      <c r="C42" s="3">
        <v>4.0580524580104997</v>
      </c>
      <c r="D42" s="3">
        <v>4.0554087567918904</v>
      </c>
      <c r="E42" s="3">
        <v>3.9693919772562398</v>
      </c>
      <c r="F42" s="3">
        <f t="shared" si="0"/>
        <v>2.6437012186093511E-3</v>
      </c>
      <c r="G42" s="3">
        <f t="shared" si="1"/>
        <v>8.8660480754259918E-2</v>
      </c>
      <c r="H42" s="3">
        <f t="shared" si="2"/>
        <v>8.6016779535650567E-2</v>
      </c>
      <c r="I42" s="3"/>
      <c r="J42" s="2">
        <v>201203</v>
      </c>
      <c r="K42" s="3">
        <v>4.0580524580104997</v>
      </c>
      <c r="M42" s="2">
        <v>201204</v>
      </c>
      <c r="N42">
        <v>4.0434365635653098</v>
      </c>
      <c r="P42" s="2">
        <v>201204</v>
      </c>
      <c r="Q42">
        <v>3.9610702730041698</v>
      </c>
    </row>
    <row r="43" spans="2:17">
      <c r="B43" s="1">
        <v>40940</v>
      </c>
      <c r="C43" s="3">
        <v>4.1281045175496898</v>
      </c>
      <c r="D43" s="3">
        <v>4.0880277900203303</v>
      </c>
      <c r="E43" s="3">
        <v>4.0486123306079396</v>
      </c>
      <c r="F43" s="3">
        <f t="shared" si="0"/>
        <v>4.0076727529359424E-2</v>
      </c>
      <c r="G43" s="3">
        <f t="shared" si="1"/>
        <v>7.9492186941750198E-2</v>
      </c>
      <c r="H43" s="3">
        <f t="shared" si="2"/>
        <v>3.9415459412390774E-2</v>
      </c>
      <c r="I43" s="3"/>
      <c r="J43" s="2">
        <v>201202</v>
      </c>
      <c r="K43" s="3">
        <v>4.1281045175496898</v>
      </c>
      <c r="M43" s="2">
        <v>201203</v>
      </c>
      <c r="N43">
        <v>4.0554087567918904</v>
      </c>
      <c r="P43" s="2">
        <v>201203</v>
      </c>
      <c r="Q43">
        <v>3.9693919772562398</v>
      </c>
    </row>
    <row r="44" spans="2:17">
      <c r="B44" s="1">
        <v>40909</v>
      </c>
      <c r="C44" s="3">
        <v>4.2204672079655996</v>
      </c>
      <c r="D44" s="3">
        <v>4.1571822675333099</v>
      </c>
      <c r="E44" s="3">
        <v>4.1259013998423599</v>
      </c>
      <c r="F44" s="3">
        <f t="shared" si="0"/>
        <v>6.3284940432289716E-2</v>
      </c>
      <c r="G44" s="3">
        <f t="shared" si="1"/>
        <v>9.456580812323967E-2</v>
      </c>
      <c r="H44" s="3">
        <f t="shared" si="2"/>
        <v>3.1280867690949954E-2</v>
      </c>
      <c r="I44" s="3"/>
      <c r="J44" s="2">
        <v>201201</v>
      </c>
      <c r="K44" s="3">
        <v>4.2204672079655996</v>
      </c>
      <c r="M44" s="2">
        <v>201202</v>
      </c>
      <c r="N44">
        <v>4.0880277900203303</v>
      </c>
      <c r="P44" s="2">
        <v>201202</v>
      </c>
      <c r="Q44">
        <v>4.0486123306079396</v>
      </c>
    </row>
    <row r="45" spans="2:17">
      <c r="B45" s="1">
        <v>40878</v>
      </c>
      <c r="C45" s="3">
        <v>4.2195944218469403</v>
      </c>
      <c r="D45" s="3">
        <v>4.1634464949843801</v>
      </c>
      <c r="E45" s="3">
        <v>4.1188958302335603</v>
      </c>
      <c r="F45" s="3">
        <f t="shared" si="0"/>
        <v>5.6147926862560205E-2</v>
      </c>
      <c r="G45" s="3">
        <f t="shared" si="1"/>
        <v>0.10069859161338002</v>
      </c>
      <c r="H45" s="3">
        <f t="shared" si="2"/>
        <v>4.4550664750819813E-2</v>
      </c>
      <c r="I45" s="3"/>
      <c r="J45" s="2">
        <v>201112</v>
      </c>
      <c r="K45" s="3">
        <v>4.2195944218469403</v>
      </c>
      <c r="M45" s="2">
        <v>201201</v>
      </c>
      <c r="N45">
        <v>4.1571822675333099</v>
      </c>
      <c r="P45" s="2">
        <v>201201</v>
      </c>
      <c r="Q45">
        <v>4.1259013998423599</v>
      </c>
    </row>
    <row r="46" spans="2:17">
      <c r="B46" s="1">
        <v>40848</v>
      </c>
      <c r="C46" s="3">
        <v>4.2602226653448501</v>
      </c>
      <c r="D46" s="3">
        <v>4.2034567692180804</v>
      </c>
      <c r="E46" s="3">
        <v>4.1698816799644298</v>
      </c>
      <c r="F46" s="3">
        <f t="shared" si="0"/>
        <v>5.6765896126769633E-2</v>
      </c>
      <c r="G46" s="3">
        <f t="shared" si="1"/>
        <v>9.0340985380420236E-2</v>
      </c>
      <c r="H46" s="3">
        <f t="shared" si="2"/>
        <v>3.3575089253650603E-2</v>
      </c>
      <c r="I46" s="3"/>
      <c r="J46" s="2">
        <v>201111</v>
      </c>
      <c r="K46" s="3">
        <v>4.2602226653448501</v>
      </c>
      <c r="M46" s="2">
        <v>201112</v>
      </c>
      <c r="N46">
        <v>4.1634464949843801</v>
      </c>
      <c r="P46" s="2">
        <v>201112</v>
      </c>
      <c r="Q46">
        <v>4.1188958302335603</v>
      </c>
    </row>
    <row r="47" spans="2:17">
      <c r="B47" s="1">
        <v>40817</v>
      </c>
      <c r="C47" s="3">
        <v>4.4145291095092603</v>
      </c>
      <c r="D47" s="3">
        <v>4.3109516782640203</v>
      </c>
      <c r="E47" s="3">
        <v>4.2946674282793396</v>
      </c>
      <c r="F47" s="3">
        <f t="shared" si="0"/>
        <v>0.10357743124523999</v>
      </c>
      <c r="G47" s="3">
        <f t="shared" si="1"/>
        <v>0.11986168122992069</v>
      </c>
      <c r="H47" s="3">
        <f t="shared" si="2"/>
        <v>1.6284249984680699E-2</v>
      </c>
      <c r="I47" s="3"/>
      <c r="J47" s="2">
        <v>201110</v>
      </c>
      <c r="K47" s="3">
        <v>4.4145291095092603</v>
      </c>
      <c r="M47" s="2">
        <v>201111</v>
      </c>
      <c r="N47">
        <v>4.2034567692180804</v>
      </c>
      <c r="P47" s="2">
        <v>201111</v>
      </c>
      <c r="Q47">
        <v>4.1698816799644298</v>
      </c>
    </row>
    <row r="48" spans="2:17">
      <c r="B48" s="1">
        <v>40787</v>
      </c>
      <c r="C48" s="3">
        <v>4.6580195820918497</v>
      </c>
      <c r="D48" s="3">
        <v>4.6876430833502898</v>
      </c>
      <c r="E48" s="3">
        <v>4.5556647248416402</v>
      </c>
      <c r="F48" s="3">
        <f t="shared" si="0"/>
        <v>-2.9623501258440044E-2</v>
      </c>
      <c r="G48" s="3">
        <f t="shared" si="1"/>
        <v>0.10235485725020954</v>
      </c>
      <c r="H48" s="3">
        <f t="shared" si="2"/>
        <v>0.13197835850864958</v>
      </c>
      <c r="I48" s="3"/>
      <c r="J48" s="2">
        <v>201109</v>
      </c>
      <c r="K48" s="3">
        <v>4.6580195820918497</v>
      </c>
      <c r="M48" s="2">
        <v>201110</v>
      </c>
      <c r="N48">
        <v>4.3109516782640203</v>
      </c>
      <c r="P48" s="2">
        <v>201110</v>
      </c>
      <c r="Q48">
        <v>4.2946674282793396</v>
      </c>
    </row>
    <row r="49" spans="2:17">
      <c r="B49" s="1">
        <v>40756</v>
      </c>
      <c r="C49" s="3">
        <v>4.7696225032613304</v>
      </c>
      <c r="D49" s="3">
        <v>4.6947218186488699</v>
      </c>
      <c r="E49" s="3">
        <v>4.6980877011206399</v>
      </c>
      <c r="F49" s="3">
        <f t="shared" si="0"/>
        <v>7.4900684612460466E-2</v>
      </c>
      <c r="G49" s="3">
        <f t="shared" si="1"/>
        <v>7.1534802140690523E-2</v>
      </c>
      <c r="H49" s="3">
        <f t="shared" si="2"/>
        <v>-3.3658824717699432E-3</v>
      </c>
      <c r="I49" s="3"/>
      <c r="J49" s="2">
        <v>201108</v>
      </c>
      <c r="K49" s="3">
        <v>4.7696225032613304</v>
      </c>
      <c r="M49" s="2">
        <v>201109</v>
      </c>
      <c r="N49">
        <v>4.6876430833502898</v>
      </c>
      <c r="P49" s="2">
        <v>201109</v>
      </c>
      <c r="Q49">
        <v>4.5556647248416402</v>
      </c>
    </row>
    <row r="50" spans="2:17">
      <c r="B50" s="1">
        <v>40725</v>
      </c>
      <c r="C50" s="3">
        <v>4.85847455256358</v>
      </c>
      <c r="D50" s="3">
        <v>4.8229856045758996</v>
      </c>
      <c r="E50" s="3">
        <v>4.8036687128784097</v>
      </c>
      <c r="F50" s="3">
        <f t="shared" si="0"/>
        <v>3.5488947987680319E-2</v>
      </c>
      <c r="G50" s="3">
        <f t="shared" si="1"/>
        <v>5.4805839685170277E-2</v>
      </c>
      <c r="H50" s="3">
        <f t="shared" si="2"/>
        <v>1.9316891697489957E-2</v>
      </c>
      <c r="I50" s="3"/>
      <c r="J50" s="2">
        <v>201107</v>
      </c>
      <c r="K50" s="3">
        <v>4.85847455256358</v>
      </c>
      <c r="M50" s="2">
        <v>201108</v>
      </c>
      <c r="N50">
        <v>4.6947218186488699</v>
      </c>
      <c r="P50" s="2">
        <v>201108</v>
      </c>
      <c r="Q50">
        <v>4.6980877011206399</v>
      </c>
    </row>
    <row r="51" spans="2:17">
      <c r="B51" s="1">
        <v>40695</v>
      </c>
      <c r="C51" s="3">
        <v>5.0260899490669901</v>
      </c>
      <c r="D51" s="3">
        <v>4.9949864976510598</v>
      </c>
      <c r="E51" s="3">
        <v>4.9315152881865396</v>
      </c>
      <c r="F51" s="3">
        <f t="shared" si="0"/>
        <v>3.1103451415930294E-2</v>
      </c>
      <c r="G51" s="3">
        <f t="shared" si="1"/>
        <v>9.4574660880450523E-2</v>
      </c>
      <c r="H51" s="3">
        <f t="shared" si="2"/>
        <v>6.3471209464520228E-2</v>
      </c>
      <c r="I51" s="3"/>
      <c r="J51" s="2">
        <v>201106</v>
      </c>
      <c r="K51" s="3">
        <v>5.0260899490669901</v>
      </c>
      <c r="M51" s="2">
        <v>201107</v>
      </c>
      <c r="N51">
        <v>4.8229856045758996</v>
      </c>
      <c r="P51" s="2">
        <v>201107</v>
      </c>
      <c r="Q51">
        <v>4.8036687128784097</v>
      </c>
    </row>
    <row r="52" spans="2:17">
      <c r="B52" s="1">
        <v>40664</v>
      </c>
      <c r="C52" s="3">
        <v>5.0665489230691998</v>
      </c>
      <c r="D52" s="3">
        <v>5.1349391360750296</v>
      </c>
      <c r="E52" s="3">
        <v>4.9563635506744701</v>
      </c>
      <c r="F52" s="3">
        <f t="shared" si="0"/>
        <v>-6.8390213005829814E-2</v>
      </c>
      <c r="G52" s="3">
        <f t="shared" si="1"/>
        <v>0.1101853723947297</v>
      </c>
      <c r="H52" s="3">
        <f t="shared" si="2"/>
        <v>0.17857558540055951</v>
      </c>
      <c r="I52" s="3"/>
      <c r="J52" s="2">
        <v>201105</v>
      </c>
      <c r="K52" s="3">
        <v>5.0665489230691998</v>
      </c>
      <c r="M52" s="2">
        <v>201106</v>
      </c>
      <c r="N52">
        <v>4.9949864976510598</v>
      </c>
      <c r="P52" s="2">
        <v>201106</v>
      </c>
      <c r="Q52">
        <v>4.9315152881865396</v>
      </c>
    </row>
    <row r="53" spans="2:17">
      <c r="B53" s="1">
        <v>40634</v>
      </c>
      <c r="C53" s="3">
        <v>4.9682258006660902</v>
      </c>
      <c r="D53" s="3">
        <v>5.0438830894543702</v>
      </c>
      <c r="E53" s="3">
        <v>4.9419898556147297</v>
      </c>
      <c r="F53" s="3">
        <f t="shared" si="0"/>
        <v>-7.5657288788280042E-2</v>
      </c>
      <c r="G53" s="3">
        <f t="shared" si="1"/>
        <v>2.623594505136051E-2</v>
      </c>
      <c r="H53" s="3">
        <f t="shared" si="2"/>
        <v>0.10189323383964055</v>
      </c>
      <c r="I53" s="3"/>
      <c r="J53" s="2">
        <v>201104</v>
      </c>
      <c r="K53" s="3">
        <v>4.9682258006660902</v>
      </c>
      <c r="M53" s="2">
        <v>201105</v>
      </c>
      <c r="N53">
        <v>5.1349391360750296</v>
      </c>
      <c r="P53" s="2">
        <v>201105</v>
      </c>
      <c r="Q53">
        <v>4.9563635506744701</v>
      </c>
    </row>
    <row r="54" spans="2:17">
      <c r="B54" s="1">
        <v>40603</v>
      </c>
      <c r="C54" s="3">
        <v>4.7898500857206097</v>
      </c>
      <c r="D54" s="3">
        <v>4.8784505993763601</v>
      </c>
      <c r="E54" s="3">
        <v>4.7711543966721797</v>
      </c>
      <c r="F54" s="3">
        <f t="shared" si="0"/>
        <v>-8.860051365575039E-2</v>
      </c>
      <c r="G54" s="3">
        <f t="shared" si="1"/>
        <v>1.8695689048429998E-2</v>
      </c>
      <c r="H54" s="3">
        <f t="shared" si="2"/>
        <v>0.10729620270418039</v>
      </c>
      <c r="I54" s="3"/>
      <c r="J54" s="2">
        <v>201103</v>
      </c>
      <c r="K54" s="3">
        <v>4.7898500857206097</v>
      </c>
      <c r="M54" s="2">
        <v>201104</v>
      </c>
      <c r="N54">
        <v>5.0438830894543702</v>
      </c>
      <c r="P54" s="2">
        <v>201104</v>
      </c>
      <c r="Q54">
        <v>4.9419898556147297</v>
      </c>
    </row>
    <row r="55" spans="2:17">
      <c r="B55" s="1">
        <v>40575</v>
      </c>
      <c r="C55" s="3">
        <v>4.6101668267854201</v>
      </c>
      <c r="D55" s="3">
        <v>4.77825406533033</v>
      </c>
      <c r="E55" s="3">
        <v>4.5958034391096003</v>
      </c>
      <c r="F55" s="3">
        <f t="shared" si="0"/>
        <v>-0.16808723854490992</v>
      </c>
      <c r="G55" s="3">
        <f t="shared" si="1"/>
        <v>1.4363387675819794E-2</v>
      </c>
      <c r="H55" s="3">
        <f t="shared" si="2"/>
        <v>0.18245062622072972</v>
      </c>
      <c r="I55" s="3"/>
      <c r="J55" s="2">
        <v>201102</v>
      </c>
      <c r="K55" s="3">
        <v>4.6101668267854201</v>
      </c>
      <c r="M55" s="2">
        <v>201103</v>
      </c>
      <c r="N55">
        <v>4.8784505993763601</v>
      </c>
      <c r="P55" s="2">
        <v>201103</v>
      </c>
      <c r="Q55">
        <v>4.7711543966721797</v>
      </c>
    </row>
    <row r="56" spans="2:17">
      <c r="B56" s="1">
        <v>40544</v>
      </c>
      <c r="C56" s="3">
        <v>4.4394506312504696</v>
      </c>
      <c r="D56" s="3">
        <v>4.4620515883564202</v>
      </c>
      <c r="E56" s="3">
        <v>4.3885698982433397</v>
      </c>
      <c r="F56" s="3">
        <f t="shared" si="0"/>
        <v>-2.260095710595067E-2</v>
      </c>
      <c r="G56" s="3">
        <f t="shared" si="1"/>
        <v>5.0880733007129919E-2</v>
      </c>
      <c r="H56" s="3">
        <f t="shared" si="2"/>
        <v>7.3481690113080589E-2</v>
      </c>
      <c r="I56" s="3"/>
      <c r="J56" s="2">
        <v>201101</v>
      </c>
      <c r="K56" s="3">
        <v>4.4394506312504696</v>
      </c>
      <c r="M56" s="2">
        <v>201102</v>
      </c>
      <c r="N56">
        <v>4.77825406533033</v>
      </c>
      <c r="P56" s="2">
        <v>201102</v>
      </c>
      <c r="Q56">
        <v>4.5958034391096003</v>
      </c>
    </row>
    <row r="57" spans="2:17">
      <c r="B57" s="1">
        <v>40513</v>
      </c>
      <c r="C57" s="3">
        <v>4.3941822780714404</v>
      </c>
      <c r="D57" s="3">
        <v>4.2827138265687701</v>
      </c>
      <c r="E57" s="3">
        <v>4.3334052729172301</v>
      </c>
      <c r="F57" s="3">
        <f t="shared" si="0"/>
        <v>0.11146845150267026</v>
      </c>
      <c r="G57" s="3">
        <f t="shared" si="1"/>
        <v>6.0777005154210251E-2</v>
      </c>
      <c r="H57" s="3">
        <f t="shared" si="2"/>
        <v>-5.0691446348460012E-2</v>
      </c>
      <c r="I57" s="3"/>
      <c r="J57" s="2">
        <v>201012</v>
      </c>
      <c r="K57" s="3">
        <v>4.3941822780714404</v>
      </c>
      <c r="M57" s="2">
        <v>201101</v>
      </c>
      <c r="N57">
        <v>4.4620515883564202</v>
      </c>
      <c r="P57" s="2">
        <v>201101</v>
      </c>
      <c r="Q57">
        <v>4.3885698982433397</v>
      </c>
    </row>
    <row r="58" spans="2:17">
      <c r="B58" s="1">
        <v>40483</v>
      </c>
      <c r="C58" s="3">
        <v>4.4863820002727</v>
      </c>
      <c r="D58" s="3">
        <v>4.4330866225285499</v>
      </c>
      <c r="E58" s="3">
        <v>4.3957463381326098</v>
      </c>
      <c r="F58" s="3">
        <f t="shared" si="0"/>
        <v>5.3295377744150052E-2</v>
      </c>
      <c r="G58" s="3">
        <f t="shared" si="1"/>
        <v>9.0635662140090112E-2</v>
      </c>
      <c r="H58" s="3">
        <f t="shared" si="2"/>
        <v>3.734028439594006E-2</v>
      </c>
      <c r="I58" s="3"/>
      <c r="J58" s="2">
        <v>201011</v>
      </c>
      <c r="K58" s="3">
        <v>4.4863820002727</v>
      </c>
      <c r="M58" s="2">
        <v>201012</v>
      </c>
      <c r="N58">
        <v>4.2827138265687701</v>
      </c>
      <c r="P58" s="2">
        <v>201012</v>
      </c>
      <c r="Q58">
        <v>4.3334052729172301</v>
      </c>
    </row>
    <row r="59" spans="2:17">
      <c r="B59" s="1">
        <v>40452</v>
      </c>
      <c r="C59" s="3">
        <v>4.5503765586660601</v>
      </c>
      <c r="D59" s="3">
        <v>4.5075818876402298</v>
      </c>
      <c r="E59" s="3">
        <v>4.4556445005338503</v>
      </c>
      <c r="F59" s="3">
        <f t="shared" si="0"/>
        <v>4.2794671025830233E-2</v>
      </c>
      <c r="G59" s="3">
        <f t="shared" si="1"/>
        <v>9.4732058132209751E-2</v>
      </c>
      <c r="H59" s="3">
        <f t="shared" si="2"/>
        <v>5.1937387106379518E-2</v>
      </c>
      <c r="I59" s="3"/>
      <c r="J59" s="2">
        <v>201010</v>
      </c>
      <c r="K59" s="3">
        <v>4.5503765586660601</v>
      </c>
      <c r="M59" s="2">
        <v>201011</v>
      </c>
      <c r="N59">
        <v>4.4330866225285499</v>
      </c>
      <c r="P59" s="2">
        <v>201011</v>
      </c>
      <c r="Q59">
        <v>4.3957463381326098</v>
      </c>
    </row>
    <row r="60" spans="2:17">
      <c r="B60" s="1">
        <v>40422</v>
      </c>
      <c r="C60" s="3">
        <v>4.6748877229983501</v>
      </c>
      <c r="D60" s="3">
        <v>4.6271889599454603</v>
      </c>
      <c r="E60" s="3">
        <v>4.56449726960716</v>
      </c>
      <c r="F60" s="3">
        <f t="shared" si="0"/>
        <v>4.7698763052889781E-2</v>
      </c>
      <c r="G60" s="3">
        <f t="shared" si="1"/>
        <v>0.11039045339119014</v>
      </c>
      <c r="H60" s="3">
        <f t="shared" si="2"/>
        <v>6.2691690338300354E-2</v>
      </c>
      <c r="I60" s="3"/>
      <c r="J60" s="2">
        <v>201009</v>
      </c>
      <c r="K60" s="3">
        <v>4.6748877229983501</v>
      </c>
      <c r="M60" s="2">
        <v>201010</v>
      </c>
      <c r="N60">
        <v>4.5075818876402298</v>
      </c>
      <c r="P60" s="2">
        <v>201010</v>
      </c>
      <c r="Q60">
        <v>4.4556445005338503</v>
      </c>
    </row>
    <row r="61" spans="2:17">
      <c r="B61" s="1">
        <v>40391</v>
      </c>
      <c r="C61" s="3">
        <v>4.8204122702152601</v>
      </c>
      <c r="D61" s="3">
        <v>4.7513173143053598</v>
      </c>
      <c r="E61" s="3">
        <v>4.7138452068571199</v>
      </c>
      <c r="F61" s="3">
        <f t="shared" si="0"/>
        <v>6.9094955909900335E-2</v>
      </c>
      <c r="G61" s="3">
        <f t="shared" si="1"/>
        <v>0.10656706335814015</v>
      </c>
      <c r="H61" s="3">
        <f t="shared" si="2"/>
        <v>3.7472107448239811E-2</v>
      </c>
      <c r="I61" s="3"/>
      <c r="J61" s="2">
        <v>201008</v>
      </c>
      <c r="K61" s="3">
        <v>4.8204122702152601</v>
      </c>
      <c r="M61" s="2">
        <v>201009</v>
      </c>
      <c r="N61">
        <v>4.6271889599454603</v>
      </c>
      <c r="P61" s="2">
        <v>201009</v>
      </c>
      <c r="Q61">
        <v>4.56449726960716</v>
      </c>
    </row>
    <row r="62" spans="2:17">
      <c r="B62" s="1">
        <v>40360</v>
      </c>
      <c r="C62" s="3">
        <v>5.0171109521898201</v>
      </c>
      <c r="D62" s="3">
        <v>4.9184598919129803</v>
      </c>
      <c r="E62" s="3">
        <v>4.9225915958696502</v>
      </c>
      <c r="F62" s="3">
        <f t="shared" si="0"/>
        <v>9.8651060276839786E-2</v>
      </c>
      <c r="G62" s="3">
        <f t="shared" si="1"/>
        <v>9.4519356320169834E-2</v>
      </c>
      <c r="H62" s="3">
        <f t="shared" si="2"/>
        <v>-4.131703956669952E-3</v>
      </c>
      <c r="I62" s="3"/>
      <c r="J62" s="2">
        <v>201007</v>
      </c>
      <c r="K62" s="3">
        <v>5.0171109521898201</v>
      </c>
      <c r="M62" s="2">
        <v>201008</v>
      </c>
      <c r="N62">
        <v>4.7513173143053598</v>
      </c>
      <c r="P62" s="2">
        <v>201008</v>
      </c>
      <c r="Q62">
        <v>4.7138452068571199</v>
      </c>
    </row>
    <row r="63" spans="2:17">
      <c r="B63" s="1">
        <v>40330</v>
      </c>
      <c r="C63" s="3">
        <v>5.1380396857494102</v>
      </c>
      <c r="D63" s="3">
        <v>5.1211093900538902</v>
      </c>
      <c r="E63" s="3">
        <v>5.1109190069278698</v>
      </c>
      <c r="F63" s="3">
        <f t="shared" si="0"/>
        <v>1.6930295695519959E-2</v>
      </c>
      <c r="G63" s="3">
        <f t="shared" si="1"/>
        <v>2.7120678821540345E-2</v>
      </c>
      <c r="H63" s="3">
        <f t="shared" si="2"/>
        <v>1.0190383126020386E-2</v>
      </c>
      <c r="I63" s="3"/>
      <c r="J63" s="2">
        <v>201006</v>
      </c>
      <c r="K63" s="3">
        <v>5.1380396857494102</v>
      </c>
      <c r="M63" s="2">
        <v>201007</v>
      </c>
      <c r="N63">
        <v>4.9184598919129803</v>
      </c>
      <c r="P63" s="2">
        <v>201007</v>
      </c>
      <c r="Q63">
        <v>4.9225915958696502</v>
      </c>
    </row>
    <row r="64" spans="2:17">
      <c r="B64" s="1">
        <v>40299</v>
      </c>
      <c r="C64" s="3">
        <v>5.11009274027864</v>
      </c>
      <c r="D64" s="3">
        <v>5.1030579644707501</v>
      </c>
      <c r="E64" s="3">
        <v>5.0750138173057202</v>
      </c>
      <c r="F64" s="3">
        <f t="shared" si="0"/>
        <v>7.0347758078899147E-3</v>
      </c>
      <c r="G64" s="3">
        <f t="shared" si="1"/>
        <v>3.5078922972919813E-2</v>
      </c>
      <c r="H64" s="3">
        <f t="shared" si="2"/>
        <v>2.8044147165029898E-2</v>
      </c>
      <c r="I64" s="3"/>
      <c r="J64" s="2">
        <v>201005</v>
      </c>
      <c r="K64" s="3">
        <v>5.11009274027864</v>
      </c>
      <c r="M64" s="2">
        <v>201006</v>
      </c>
      <c r="N64">
        <v>5.1211093900538902</v>
      </c>
      <c r="P64" s="2">
        <v>201006</v>
      </c>
      <c r="Q64">
        <v>5.1109190069278698</v>
      </c>
    </row>
    <row r="65" spans="2:17">
      <c r="B65" s="1">
        <v>40269</v>
      </c>
      <c r="C65" s="3">
        <v>5.09123686905063</v>
      </c>
      <c r="D65" s="3">
        <v>5.0930792057824501</v>
      </c>
      <c r="E65" s="3">
        <v>5.04898174597266</v>
      </c>
      <c r="F65" s="3">
        <f t="shared" si="0"/>
        <v>-1.8423367318201045E-3</v>
      </c>
      <c r="G65" s="3">
        <f t="shared" si="1"/>
        <v>4.2255123077969969E-2</v>
      </c>
      <c r="H65" s="3">
        <f t="shared" si="2"/>
        <v>4.4097459809790074E-2</v>
      </c>
      <c r="I65" s="3"/>
      <c r="J65" s="2">
        <v>201004</v>
      </c>
      <c r="K65" s="3">
        <v>5.09123686905063</v>
      </c>
      <c r="M65" s="2">
        <v>201005</v>
      </c>
      <c r="N65">
        <v>5.1030579644707501</v>
      </c>
      <c r="P65" s="2">
        <v>201005</v>
      </c>
      <c r="Q65">
        <v>5.0750138173057202</v>
      </c>
    </row>
    <row r="66" spans="2:17">
      <c r="B66" s="1">
        <v>40238</v>
      </c>
      <c r="C66" s="3">
        <v>5.0543228575984998</v>
      </c>
      <c r="D66" s="3">
        <v>5.0033032384244498</v>
      </c>
      <c r="E66" s="3">
        <v>5.0549950271886699</v>
      </c>
      <c r="F66" s="3">
        <f t="shared" si="0"/>
        <v>5.1019619174049957E-2</v>
      </c>
      <c r="G66" s="3">
        <f t="shared" si="1"/>
        <v>-6.7216959017013522E-4</v>
      </c>
      <c r="H66" s="3">
        <f t="shared" si="2"/>
        <v>-5.1691788764220092E-2</v>
      </c>
      <c r="I66" s="3"/>
      <c r="J66" s="2">
        <v>201003</v>
      </c>
      <c r="K66" s="3">
        <v>5.0543228575984998</v>
      </c>
      <c r="M66" s="2">
        <v>201004</v>
      </c>
      <c r="N66">
        <v>5.0930792057824501</v>
      </c>
      <c r="P66" s="2">
        <v>201004</v>
      </c>
      <c r="Q66">
        <v>5.04898174597266</v>
      </c>
    </row>
    <row r="67" spans="2:17">
      <c r="B67" s="1">
        <v>40210</v>
      </c>
      <c r="C67" s="3">
        <v>4.9774019442176396</v>
      </c>
      <c r="D67" s="3">
        <v>5.0162579983151696</v>
      </c>
      <c r="E67" s="3">
        <v>4.9510595416154004</v>
      </c>
      <c r="F67" s="3">
        <f t="shared" si="0"/>
        <v>-3.8856054097530013E-2</v>
      </c>
      <c r="G67" s="3">
        <f t="shared" si="1"/>
        <v>2.634240260223919E-2</v>
      </c>
      <c r="H67" s="3">
        <f t="shared" si="2"/>
        <v>6.5198456699769203E-2</v>
      </c>
      <c r="I67" s="3"/>
      <c r="J67" s="2">
        <v>201002</v>
      </c>
      <c r="K67" s="3">
        <v>4.9774019442176396</v>
      </c>
      <c r="M67" s="2">
        <v>201003</v>
      </c>
      <c r="N67">
        <v>5.0033032384244498</v>
      </c>
      <c r="P67" s="2">
        <v>201003</v>
      </c>
      <c r="Q67">
        <v>5.0549950271886699</v>
      </c>
    </row>
    <row r="68" spans="2:17">
      <c r="B68" s="1">
        <v>40179</v>
      </c>
      <c r="C68" s="3">
        <v>4.9701386240353296</v>
      </c>
      <c r="D68" s="3">
        <v>4.9353516120407699</v>
      </c>
      <c r="E68" s="3">
        <v>4.9300469920806202</v>
      </c>
      <c r="F68" s="3">
        <f t="shared" si="0"/>
        <v>3.4787011994559691E-2</v>
      </c>
      <c r="G68" s="3">
        <f t="shared" si="1"/>
        <v>4.0091631954709328E-2</v>
      </c>
      <c r="H68" s="3">
        <f t="shared" si="2"/>
        <v>5.3046199601496369E-3</v>
      </c>
      <c r="I68" s="3"/>
      <c r="J68" s="2">
        <v>201001</v>
      </c>
      <c r="K68" s="3">
        <v>4.9701386240353296</v>
      </c>
      <c r="M68" s="2">
        <v>201002</v>
      </c>
      <c r="N68">
        <v>5.0162579983151696</v>
      </c>
      <c r="P68" s="2">
        <v>201002</v>
      </c>
      <c r="Q68">
        <v>4.9510595416154004</v>
      </c>
    </row>
    <row r="69" spans="2:17">
      <c r="B69" s="1">
        <v>40148</v>
      </c>
      <c r="C69" s="3">
        <v>4.99333452881101</v>
      </c>
      <c r="D69" s="3">
        <v>5.0398486385929298</v>
      </c>
      <c r="E69" s="3">
        <v>4.9694754699872901</v>
      </c>
      <c r="F69" s="3">
        <f t="shared" ref="F69:F128" si="3">C69-D69</f>
        <v>-4.6514109781919721E-2</v>
      </c>
      <c r="G69" s="3">
        <f t="shared" ref="G69:G128" si="4">C69-E69</f>
        <v>2.385905882371997E-2</v>
      </c>
      <c r="H69" s="3">
        <f t="shared" ref="H69:H128" si="5">D69-E69</f>
        <v>7.0373168605639691E-2</v>
      </c>
      <c r="I69" s="3"/>
      <c r="J69" s="2">
        <v>200912</v>
      </c>
      <c r="K69" s="3">
        <v>4.99333452881101</v>
      </c>
      <c r="M69" s="2">
        <v>201001</v>
      </c>
      <c r="N69">
        <v>4.9353516120407699</v>
      </c>
      <c r="P69" s="2">
        <v>201001</v>
      </c>
      <c r="Q69">
        <v>4.9300469920806202</v>
      </c>
    </row>
    <row r="70" spans="2:17">
      <c r="B70" s="1">
        <v>40118</v>
      </c>
      <c r="C70" s="3">
        <v>4.9993734161874599</v>
      </c>
      <c r="D70" s="3">
        <v>4.9411824885396296</v>
      </c>
      <c r="E70" s="3">
        <v>5.0132530847905503</v>
      </c>
      <c r="F70" s="3">
        <f t="shared" si="3"/>
        <v>5.8190927647830293E-2</v>
      </c>
      <c r="G70" s="3">
        <f t="shared" si="4"/>
        <v>-1.3879668603090423E-2</v>
      </c>
      <c r="H70" s="3">
        <f t="shared" si="5"/>
        <v>-7.2070596250920715E-2</v>
      </c>
      <c r="I70" s="3"/>
      <c r="J70" s="2">
        <v>200911</v>
      </c>
      <c r="K70" s="3">
        <v>4.9993734161874599</v>
      </c>
      <c r="M70" s="2">
        <v>200912</v>
      </c>
      <c r="N70">
        <v>5.0398486385929298</v>
      </c>
      <c r="P70" s="2">
        <v>200912</v>
      </c>
      <c r="Q70">
        <v>4.9694754699872901</v>
      </c>
    </row>
    <row r="71" spans="2:17">
      <c r="B71" s="1">
        <v>40087</v>
      </c>
      <c r="C71" s="3">
        <v>5.0222045158643596</v>
      </c>
      <c r="D71" s="3">
        <v>5.1824411405274597</v>
      </c>
      <c r="E71" s="3">
        <v>5.1543480484206396</v>
      </c>
      <c r="F71" s="3">
        <f t="shared" si="3"/>
        <v>-0.16023662466310018</v>
      </c>
      <c r="G71" s="3">
        <f t="shared" si="4"/>
        <v>-0.13214353255628009</v>
      </c>
      <c r="H71" s="3">
        <f t="shared" si="5"/>
        <v>2.8093092106820095E-2</v>
      </c>
      <c r="I71" s="3"/>
      <c r="J71" s="2">
        <v>200910</v>
      </c>
      <c r="K71" s="3">
        <v>5.0222045158643596</v>
      </c>
      <c r="M71" s="2">
        <v>200911</v>
      </c>
      <c r="N71">
        <v>4.9411824885396296</v>
      </c>
      <c r="P71" s="2">
        <v>200911</v>
      </c>
      <c r="Q71">
        <v>5.0132530847905503</v>
      </c>
    </row>
    <row r="72" spans="2:17">
      <c r="B72" s="1">
        <v>40057</v>
      </c>
      <c r="C72" s="3">
        <v>4.9734131818363103</v>
      </c>
      <c r="D72" s="3">
        <v>5.2377286478678</v>
      </c>
      <c r="E72" s="3">
        <v>5.1739142642388698</v>
      </c>
      <c r="F72" s="3">
        <f t="shared" si="3"/>
        <v>-0.2643154660314897</v>
      </c>
      <c r="G72" s="3">
        <f t="shared" si="4"/>
        <v>-0.20050108240255948</v>
      </c>
      <c r="H72" s="3">
        <f t="shared" si="5"/>
        <v>6.3814383628930216E-2</v>
      </c>
      <c r="I72" s="3"/>
      <c r="J72" s="2">
        <v>200909</v>
      </c>
      <c r="K72" s="3">
        <v>4.9734131818363103</v>
      </c>
      <c r="M72" s="2">
        <v>200910</v>
      </c>
      <c r="N72">
        <v>5.1824411405274597</v>
      </c>
      <c r="P72" s="2">
        <v>200910</v>
      </c>
      <c r="Q72">
        <v>5.1543480484206396</v>
      </c>
    </row>
    <row r="73" spans="2:17">
      <c r="B73" s="1">
        <v>40026</v>
      </c>
      <c r="C73" s="3">
        <v>4.87533872181156</v>
      </c>
      <c r="D73" s="3">
        <v>5.1308400568723904</v>
      </c>
      <c r="E73" s="3">
        <v>5.0485034040849497</v>
      </c>
      <c r="F73" s="3">
        <f t="shared" si="3"/>
        <v>-0.25550133506083039</v>
      </c>
      <c r="G73" s="3">
        <f t="shared" si="4"/>
        <v>-0.17316468227338966</v>
      </c>
      <c r="H73" s="3">
        <f t="shared" si="5"/>
        <v>8.2336652787440734E-2</v>
      </c>
      <c r="I73" s="3"/>
      <c r="J73" s="2">
        <v>200908</v>
      </c>
      <c r="K73" s="3">
        <v>4.87533872181156</v>
      </c>
      <c r="M73" s="2">
        <v>200909</v>
      </c>
      <c r="N73">
        <v>5.2377286478678</v>
      </c>
      <c r="P73" s="2">
        <v>200909</v>
      </c>
      <c r="Q73">
        <v>5.1739142642388698</v>
      </c>
    </row>
    <row r="74" spans="2:17">
      <c r="B74" s="1">
        <v>39995</v>
      </c>
      <c r="C74" s="3">
        <v>4.7931879427430202</v>
      </c>
      <c r="D74" s="3">
        <v>4.8778681047695001</v>
      </c>
      <c r="E74" s="3">
        <v>4.8928508896680096</v>
      </c>
      <c r="F74" s="3">
        <f t="shared" si="3"/>
        <v>-8.4680162026479877E-2</v>
      </c>
      <c r="G74" s="3">
        <f t="shared" si="4"/>
        <v>-9.9662946924989448E-2</v>
      </c>
      <c r="H74" s="3">
        <f t="shared" si="5"/>
        <v>-1.4982784898509571E-2</v>
      </c>
      <c r="I74" s="3"/>
      <c r="J74" s="2">
        <v>200907</v>
      </c>
      <c r="K74" s="3">
        <v>4.7931879427430202</v>
      </c>
      <c r="M74" s="2">
        <v>200908</v>
      </c>
      <c r="N74">
        <v>5.1308400568723904</v>
      </c>
      <c r="P74" s="2">
        <v>200908</v>
      </c>
      <c r="Q74">
        <v>5.0485034040849497</v>
      </c>
    </row>
    <row r="75" spans="2:17">
      <c r="B75" s="1">
        <v>39965</v>
      </c>
      <c r="C75" s="3">
        <v>4.74954296822962</v>
      </c>
      <c r="D75" s="3">
        <v>4.6974013095210196</v>
      </c>
      <c r="E75" s="3">
        <v>4.8263012369527996</v>
      </c>
      <c r="F75" s="3">
        <f t="shared" si="3"/>
        <v>5.2141658708600325E-2</v>
      </c>
      <c r="G75" s="3">
        <f t="shared" si="4"/>
        <v>-7.675826872317959E-2</v>
      </c>
      <c r="H75" s="3">
        <f t="shared" si="5"/>
        <v>-0.12889992743177991</v>
      </c>
      <c r="I75" s="3"/>
      <c r="J75" s="2">
        <v>200906</v>
      </c>
      <c r="K75" s="3">
        <v>4.74954296822962</v>
      </c>
      <c r="M75" s="2">
        <v>200907</v>
      </c>
      <c r="N75">
        <v>4.8778681047695001</v>
      </c>
      <c r="P75" s="2">
        <v>200907</v>
      </c>
      <c r="Q75">
        <v>4.8928508896680096</v>
      </c>
    </row>
    <row r="76" spans="2:17">
      <c r="B76" s="1">
        <v>39934</v>
      </c>
      <c r="C76" s="3">
        <v>4.7673905806620498</v>
      </c>
      <c r="D76" s="3">
        <v>4.5600800310524603</v>
      </c>
      <c r="E76" s="3">
        <v>4.8410301901347896</v>
      </c>
      <c r="F76" s="3">
        <f t="shared" si="3"/>
        <v>0.2073105496095895</v>
      </c>
      <c r="G76" s="3">
        <f t="shared" si="4"/>
        <v>-7.3639609472739842E-2</v>
      </c>
      <c r="H76" s="3">
        <f t="shared" si="5"/>
        <v>-0.28095015908232934</v>
      </c>
      <c r="I76" s="3"/>
      <c r="J76" s="2">
        <v>200905</v>
      </c>
      <c r="K76" s="3">
        <v>4.7673905806620498</v>
      </c>
      <c r="M76" s="2">
        <v>200906</v>
      </c>
      <c r="N76">
        <v>4.6974013095210196</v>
      </c>
      <c r="P76" s="2">
        <v>200906</v>
      </c>
      <c r="Q76">
        <v>4.8263012369527996</v>
      </c>
    </row>
    <row r="77" spans="2:17">
      <c r="B77" s="1">
        <v>39904</v>
      </c>
      <c r="C77" s="3">
        <v>4.8493156883507504</v>
      </c>
      <c r="D77" s="3">
        <v>4.9874446544947997</v>
      </c>
      <c r="E77" s="3">
        <v>4.9222355302905099</v>
      </c>
      <c r="F77" s="3">
        <f t="shared" si="3"/>
        <v>-0.13812896614404924</v>
      </c>
      <c r="G77" s="3">
        <f t="shared" si="4"/>
        <v>-7.2919841939759422E-2</v>
      </c>
      <c r="H77" s="3">
        <f t="shared" si="5"/>
        <v>6.5209124204289814E-2</v>
      </c>
      <c r="I77" s="3"/>
      <c r="J77" s="2">
        <v>200904</v>
      </c>
      <c r="K77" s="3">
        <v>4.8493156883507504</v>
      </c>
      <c r="M77" s="2">
        <v>200905</v>
      </c>
      <c r="N77">
        <v>4.5600800310524603</v>
      </c>
      <c r="P77" s="2">
        <v>200905</v>
      </c>
      <c r="Q77">
        <v>4.8410301901347896</v>
      </c>
    </row>
    <row r="78" spans="2:17">
      <c r="B78" s="1">
        <v>39873</v>
      </c>
      <c r="C78" s="3">
        <v>4.8288602942897496</v>
      </c>
      <c r="D78" s="3">
        <v>4.8899800558284197</v>
      </c>
      <c r="E78" s="3">
        <v>4.8596990352408902</v>
      </c>
      <c r="F78" s="3">
        <f t="shared" si="3"/>
        <v>-6.1119761538670048E-2</v>
      </c>
      <c r="G78" s="3">
        <f t="shared" si="4"/>
        <v>-3.0838740951140586E-2</v>
      </c>
      <c r="H78" s="3">
        <f t="shared" si="5"/>
        <v>3.0281020587529461E-2</v>
      </c>
      <c r="I78" s="3"/>
      <c r="J78" s="2">
        <v>200903</v>
      </c>
      <c r="K78" s="3">
        <v>4.8288602942897496</v>
      </c>
      <c r="M78" s="2">
        <v>200904</v>
      </c>
      <c r="N78">
        <v>4.9874446544947997</v>
      </c>
      <c r="P78" s="2">
        <v>200904</v>
      </c>
      <c r="Q78">
        <v>4.9222355302905099</v>
      </c>
    </row>
    <row r="79" spans="2:17">
      <c r="B79" s="1">
        <v>39845</v>
      </c>
      <c r="C79" s="3">
        <v>4.87396568932341</v>
      </c>
      <c r="D79" s="3">
        <v>4.9100783921274198</v>
      </c>
      <c r="E79" s="3">
        <v>4.85838995279091</v>
      </c>
      <c r="F79" s="3">
        <f t="shared" si="3"/>
        <v>-3.61127028040098E-2</v>
      </c>
      <c r="G79" s="3">
        <f t="shared" si="4"/>
        <v>1.5575736532499995E-2</v>
      </c>
      <c r="H79" s="3">
        <f t="shared" si="5"/>
        <v>5.1688439336509795E-2</v>
      </c>
      <c r="I79" s="3"/>
      <c r="J79" s="2">
        <v>200902</v>
      </c>
      <c r="K79" s="3">
        <v>4.87396568932341</v>
      </c>
      <c r="M79" s="2">
        <v>200903</v>
      </c>
      <c r="N79">
        <v>4.8899800558284197</v>
      </c>
      <c r="P79" s="2">
        <v>200903</v>
      </c>
      <c r="Q79">
        <v>4.8596990352408902</v>
      </c>
    </row>
    <row r="80" spans="2:17">
      <c r="B80" s="1">
        <v>39814</v>
      </c>
      <c r="C80" s="3">
        <v>5.1983110834377202</v>
      </c>
      <c r="D80" s="3">
        <v>5.1059277261200302</v>
      </c>
      <c r="E80" s="3">
        <v>5.2053438143347597</v>
      </c>
      <c r="F80" s="3">
        <f t="shared" si="3"/>
        <v>9.2383357317689985E-2</v>
      </c>
      <c r="G80" s="3">
        <f t="shared" si="4"/>
        <v>-7.0327308970394853E-3</v>
      </c>
      <c r="H80" s="3">
        <f t="shared" si="5"/>
        <v>-9.941608821472947E-2</v>
      </c>
      <c r="I80" s="3"/>
      <c r="J80" s="2">
        <v>200901</v>
      </c>
      <c r="K80" s="3">
        <v>5.1983110834377202</v>
      </c>
      <c r="M80" s="2">
        <v>200902</v>
      </c>
      <c r="N80">
        <v>4.9100783921274198</v>
      </c>
      <c r="P80" s="2">
        <v>200902</v>
      </c>
      <c r="Q80">
        <v>4.85838995279091</v>
      </c>
    </row>
    <row r="81" spans="2:17">
      <c r="B81" s="1">
        <v>39783</v>
      </c>
      <c r="C81" s="3">
        <v>5.9619963430663496</v>
      </c>
      <c r="D81" s="3">
        <v>5.875</v>
      </c>
      <c r="E81" s="3">
        <v>5.9953763294180202</v>
      </c>
      <c r="F81" s="3">
        <f t="shared" si="3"/>
        <v>8.6996343066349624E-2</v>
      </c>
      <c r="G81" s="3">
        <f t="shared" si="4"/>
        <v>-3.337998635167061E-2</v>
      </c>
      <c r="H81" s="3">
        <f t="shared" si="5"/>
        <v>-0.12037632941802023</v>
      </c>
      <c r="I81" s="3"/>
      <c r="J81" s="2">
        <v>200812</v>
      </c>
      <c r="K81" s="3">
        <v>5.9619963430663496</v>
      </c>
      <c r="M81" s="2">
        <v>200901</v>
      </c>
      <c r="N81">
        <v>5.1059277261200302</v>
      </c>
      <c r="P81" s="2">
        <v>200901</v>
      </c>
      <c r="Q81">
        <v>5.2053438143347597</v>
      </c>
    </row>
    <row r="82" spans="2:17">
      <c r="B82" s="1">
        <v>39753</v>
      </c>
      <c r="C82" s="3">
        <v>5.8933863825905997</v>
      </c>
      <c r="D82" s="3">
        <v>5.9640574480148301</v>
      </c>
      <c r="E82" s="3">
        <v>5.9182345866314101</v>
      </c>
      <c r="F82" s="3">
        <f t="shared" si="3"/>
        <v>-7.0671065424230406E-2</v>
      </c>
      <c r="G82" s="3">
        <f t="shared" si="4"/>
        <v>-2.4848204040810451E-2</v>
      </c>
      <c r="H82" s="3">
        <f t="shared" si="5"/>
        <v>4.5822861383419955E-2</v>
      </c>
      <c r="I82" s="3"/>
      <c r="J82" s="2">
        <v>200811</v>
      </c>
      <c r="K82" s="3">
        <v>5.8933863825905997</v>
      </c>
      <c r="M82" s="2">
        <v>200812</v>
      </c>
      <c r="N82">
        <v>5.875</v>
      </c>
      <c r="P82" s="2">
        <v>200812</v>
      </c>
      <c r="Q82">
        <v>5.9953763294180202</v>
      </c>
    </row>
    <row r="83" spans="2:17">
      <c r="B83" s="1">
        <v>39722</v>
      </c>
      <c r="C83" s="3">
        <v>6.0822656928193899</v>
      </c>
      <c r="D83" s="3">
        <v>6.2369303849845998</v>
      </c>
      <c r="E83" s="3">
        <v>6.08967900653579</v>
      </c>
      <c r="F83" s="3">
        <f t="shared" si="3"/>
        <v>-0.15466469216520995</v>
      </c>
      <c r="G83" s="3">
        <f t="shared" si="4"/>
        <v>-7.4133137164000829E-3</v>
      </c>
      <c r="H83" s="3">
        <f t="shared" si="5"/>
        <v>0.14725137844880987</v>
      </c>
      <c r="I83" s="3"/>
      <c r="J83" s="2">
        <v>200810</v>
      </c>
      <c r="K83" s="3">
        <v>6.0822656928193899</v>
      </c>
      <c r="M83" s="2">
        <v>200811</v>
      </c>
      <c r="N83">
        <v>5.9640574480148301</v>
      </c>
      <c r="P83" s="2">
        <v>200811</v>
      </c>
      <c r="Q83">
        <v>5.9182345866314101</v>
      </c>
    </row>
    <row r="84" spans="2:17">
      <c r="B84" s="1">
        <v>39692</v>
      </c>
      <c r="C84" s="3">
        <v>6.4204483470980698</v>
      </c>
      <c r="D84" s="3">
        <v>6.4144272844272798</v>
      </c>
      <c r="E84" s="3">
        <v>6.4337984005909199</v>
      </c>
      <c r="F84" s="3">
        <f t="shared" si="3"/>
        <v>6.0210626707899451E-3</v>
      </c>
      <c r="G84" s="3">
        <f t="shared" si="4"/>
        <v>-1.3350053492850122E-2</v>
      </c>
      <c r="H84" s="3">
        <f t="shared" si="5"/>
        <v>-1.9371116163640067E-2</v>
      </c>
      <c r="I84" s="3"/>
      <c r="J84" s="2">
        <v>200809</v>
      </c>
      <c r="K84" s="3">
        <v>6.4204483470980698</v>
      </c>
      <c r="M84" s="2">
        <v>200810</v>
      </c>
      <c r="N84">
        <v>6.2369303849845998</v>
      </c>
      <c r="P84" s="2">
        <v>200810</v>
      </c>
      <c r="Q84">
        <v>6.08967900653579</v>
      </c>
    </row>
    <row r="85" spans="2:17">
      <c r="B85" s="1">
        <v>39661</v>
      </c>
      <c r="C85" s="3">
        <v>6.3240655492943301</v>
      </c>
      <c r="D85" s="3">
        <v>6.5646607231399603</v>
      </c>
      <c r="E85" s="3">
        <v>6.3000244935377703</v>
      </c>
      <c r="F85" s="3">
        <f t="shared" si="3"/>
        <v>-0.24059517384563023</v>
      </c>
      <c r="G85" s="3">
        <f t="shared" si="4"/>
        <v>2.4041055756559793E-2</v>
      </c>
      <c r="H85" s="3">
        <f t="shared" si="5"/>
        <v>0.26463622960219002</v>
      </c>
      <c r="I85" s="3"/>
      <c r="J85" s="2">
        <v>200808</v>
      </c>
      <c r="K85" s="3">
        <v>6.3240655492943301</v>
      </c>
      <c r="M85" s="2">
        <v>200809</v>
      </c>
      <c r="N85">
        <v>6.4144272844272798</v>
      </c>
      <c r="P85" s="2">
        <v>200809</v>
      </c>
      <c r="Q85">
        <v>6.4337984005909199</v>
      </c>
    </row>
    <row r="86" spans="2:17">
      <c r="B86" s="1">
        <v>39630</v>
      </c>
      <c r="C86" s="3">
        <v>6.0029308486846</v>
      </c>
      <c r="D86" s="3">
        <v>6.1355113407054596</v>
      </c>
      <c r="E86" s="3">
        <v>6.0397158687936097</v>
      </c>
      <c r="F86" s="3">
        <f t="shared" si="3"/>
        <v>-0.13258049202085953</v>
      </c>
      <c r="G86" s="3">
        <f t="shared" si="4"/>
        <v>-3.6785020109009636E-2</v>
      </c>
      <c r="H86" s="3">
        <f t="shared" si="5"/>
        <v>9.5795471911849894E-2</v>
      </c>
      <c r="I86" s="3"/>
      <c r="J86" s="2">
        <v>200807</v>
      </c>
      <c r="K86" s="3">
        <v>6.0029308486846</v>
      </c>
      <c r="M86" s="2">
        <v>200808</v>
      </c>
      <c r="N86">
        <v>6.5646607231399603</v>
      </c>
      <c r="P86" s="2">
        <v>200808</v>
      </c>
      <c r="Q86">
        <v>6.3000244935377703</v>
      </c>
    </row>
    <row r="87" spans="2:17">
      <c r="B87" s="1">
        <v>39600</v>
      </c>
      <c r="C87" s="3">
        <v>5.9213250806722399</v>
      </c>
      <c r="D87" s="3">
        <v>6.0392686203711401</v>
      </c>
      <c r="E87" s="3">
        <v>5.8436612002083104</v>
      </c>
      <c r="F87" s="3">
        <f t="shared" si="3"/>
        <v>-0.11794353969890015</v>
      </c>
      <c r="G87" s="3">
        <f t="shared" si="4"/>
        <v>7.766388046392958E-2</v>
      </c>
      <c r="H87" s="3">
        <f t="shared" si="5"/>
        <v>0.19560742016282973</v>
      </c>
      <c r="I87" s="3"/>
      <c r="J87" s="2">
        <v>200806</v>
      </c>
      <c r="K87" s="3">
        <v>5.9213250806722399</v>
      </c>
      <c r="M87" s="2">
        <v>200807</v>
      </c>
      <c r="N87">
        <v>6.1355113407054596</v>
      </c>
      <c r="P87" s="2">
        <v>200807</v>
      </c>
      <c r="Q87">
        <v>6.0397158687936097</v>
      </c>
    </row>
    <row r="88" spans="2:17">
      <c r="B88" s="1">
        <v>39569</v>
      </c>
      <c r="C88" s="3">
        <v>5.8169697589589697</v>
      </c>
      <c r="D88" s="3">
        <v>5.7946481701635397</v>
      </c>
      <c r="E88" s="3">
        <v>5.7871827480997604</v>
      </c>
      <c r="F88" s="3">
        <f t="shared" si="3"/>
        <v>2.2321588795430003E-2</v>
      </c>
      <c r="G88" s="3">
        <f t="shared" si="4"/>
        <v>2.9787010859209317E-2</v>
      </c>
      <c r="H88" s="3">
        <f t="shared" si="5"/>
        <v>7.4654220637793145E-3</v>
      </c>
      <c r="I88" s="3"/>
      <c r="J88" s="2">
        <v>200805</v>
      </c>
      <c r="K88" s="3">
        <v>5.8169697589589697</v>
      </c>
      <c r="M88" s="2">
        <v>200806</v>
      </c>
      <c r="N88">
        <v>6.0392686203711401</v>
      </c>
      <c r="P88" s="2">
        <v>200806</v>
      </c>
      <c r="Q88">
        <v>5.8436612002083104</v>
      </c>
    </row>
    <row r="89" spans="2:17">
      <c r="B89" s="1">
        <v>39539</v>
      </c>
      <c r="C89" s="3">
        <v>5.7553322883539098</v>
      </c>
      <c r="D89" s="3">
        <v>5.9386735306513696</v>
      </c>
      <c r="E89" s="3">
        <v>5.7611836170899098</v>
      </c>
      <c r="F89" s="3">
        <f t="shared" si="3"/>
        <v>-0.18334124229745985</v>
      </c>
      <c r="G89" s="3">
        <f t="shared" si="4"/>
        <v>-5.8513287360000277E-3</v>
      </c>
      <c r="H89" s="3">
        <f t="shared" si="5"/>
        <v>0.17748991356145982</v>
      </c>
      <c r="I89" s="3"/>
      <c r="J89" s="2">
        <v>200804</v>
      </c>
      <c r="K89" s="3">
        <v>5.7553322883539098</v>
      </c>
      <c r="M89" s="2">
        <v>200805</v>
      </c>
      <c r="N89">
        <v>5.7946481701635397</v>
      </c>
      <c r="P89" s="2">
        <v>200805</v>
      </c>
      <c r="Q89">
        <v>5.7871827480997604</v>
      </c>
    </row>
    <row r="90" spans="2:17">
      <c r="B90" s="1">
        <v>39508</v>
      </c>
      <c r="C90" s="3">
        <v>5.59974686247417</v>
      </c>
      <c r="D90" s="3">
        <v>5.6626788191798996</v>
      </c>
      <c r="E90" s="3">
        <v>5.5831625513869199</v>
      </c>
      <c r="F90" s="3">
        <f t="shared" si="3"/>
        <v>-6.2931956705729597E-2</v>
      </c>
      <c r="G90" s="3">
        <f t="shared" si="4"/>
        <v>1.6584311087250114E-2</v>
      </c>
      <c r="H90" s="3">
        <f t="shared" si="5"/>
        <v>7.9516267792979711E-2</v>
      </c>
      <c r="I90" s="3"/>
      <c r="J90" s="2">
        <v>200803</v>
      </c>
      <c r="K90" s="3">
        <v>5.59974686247417</v>
      </c>
      <c r="M90" s="2">
        <v>200804</v>
      </c>
      <c r="N90">
        <v>5.9386735306513696</v>
      </c>
      <c r="P90" s="2">
        <v>200804</v>
      </c>
      <c r="Q90">
        <v>5.7611836170899098</v>
      </c>
    </row>
    <row r="91" spans="2:17">
      <c r="B91" s="1">
        <v>39479</v>
      </c>
      <c r="C91" s="3">
        <v>5.8675506804778799</v>
      </c>
      <c r="D91" s="3">
        <v>5.9382550548379402</v>
      </c>
      <c r="E91" s="3">
        <v>5.8565984089235998</v>
      </c>
      <c r="F91" s="3">
        <f t="shared" si="3"/>
        <v>-7.0704374360060385E-2</v>
      </c>
      <c r="G91" s="3">
        <f t="shared" si="4"/>
        <v>1.0952271554280024E-2</v>
      </c>
      <c r="H91" s="3">
        <f t="shared" si="5"/>
        <v>8.1656645914340409E-2</v>
      </c>
      <c r="I91" s="3"/>
      <c r="J91" s="2">
        <v>200802</v>
      </c>
      <c r="K91" s="3">
        <v>5.8675506804778799</v>
      </c>
      <c r="M91" s="2">
        <v>200803</v>
      </c>
      <c r="N91">
        <v>5.6626788191798996</v>
      </c>
      <c r="P91" s="2">
        <v>200803</v>
      </c>
      <c r="Q91">
        <v>5.5831625513869199</v>
      </c>
    </row>
    <row r="92" spans="2:17">
      <c r="B92" s="1">
        <v>39448</v>
      </c>
      <c r="C92" s="3">
        <v>6.1110091593399796</v>
      </c>
      <c r="D92" s="3">
        <v>6.3337756925243598</v>
      </c>
      <c r="E92" s="3">
        <v>6.1644542409341199</v>
      </c>
      <c r="F92" s="3">
        <f t="shared" si="3"/>
        <v>-0.22276653318438022</v>
      </c>
      <c r="G92" s="3">
        <f t="shared" si="4"/>
        <v>-5.3445081594140298E-2</v>
      </c>
      <c r="H92" s="3">
        <f t="shared" si="5"/>
        <v>0.16932145159023992</v>
      </c>
      <c r="I92" s="3"/>
      <c r="J92" s="2">
        <v>200801</v>
      </c>
      <c r="K92" s="3">
        <v>6.1110091593399796</v>
      </c>
      <c r="M92" s="2">
        <v>200802</v>
      </c>
      <c r="N92">
        <v>5.9382550548379402</v>
      </c>
      <c r="P92" s="2">
        <v>200802</v>
      </c>
      <c r="Q92">
        <v>5.8565984089235998</v>
      </c>
    </row>
    <row r="93" spans="2:17">
      <c r="B93" s="1">
        <v>39417</v>
      </c>
      <c r="C93" s="3">
        <v>6.3124919391191403</v>
      </c>
      <c r="D93" s="3">
        <v>6.4721562089634199</v>
      </c>
      <c r="E93" s="3">
        <v>6.3334680893234596</v>
      </c>
      <c r="F93" s="3">
        <f t="shared" si="3"/>
        <v>-0.15966426984427962</v>
      </c>
      <c r="G93" s="3">
        <f t="shared" si="4"/>
        <v>-2.097615020431931E-2</v>
      </c>
      <c r="H93" s="3">
        <f t="shared" si="5"/>
        <v>0.13868811963996031</v>
      </c>
      <c r="I93" s="3"/>
      <c r="J93" s="2">
        <v>200712</v>
      </c>
      <c r="K93" s="3">
        <v>6.3124919391191403</v>
      </c>
      <c r="M93" s="2">
        <v>200801</v>
      </c>
      <c r="N93">
        <v>6.3337756925243598</v>
      </c>
      <c r="P93" s="2">
        <v>200801</v>
      </c>
      <c r="Q93">
        <v>6.1644542409341199</v>
      </c>
    </row>
    <row r="94" spans="2:17">
      <c r="B94" s="1">
        <v>39387</v>
      </c>
      <c r="C94" s="3">
        <v>6.4527250274341501</v>
      </c>
      <c r="D94" s="3">
        <v>6.4640508086970296</v>
      </c>
      <c r="E94" s="3">
        <v>6.3856406924408997</v>
      </c>
      <c r="F94" s="3">
        <f t="shared" si="3"/>
        <v>-1.1325781262879531E-2</v>
      </c>
      <c r="G94" s="3">
        <f t="shared" si="4"/>
        <v>6.7084334993250394E-2</v>
      </c>
      <c r="H94" s="3">
        <f t="shared" si="5"/>
        <v>7.8410116256129925E-2</v>
      </c>
      <c r="I94" s="3"/>
      <c r="J94" s="2">
        <v>200711</v>
      </c>
      <c r="K94" s="3">
        <v>6.4527250274341501</v>
      </c>
      <c r="M94" s="2">
        <v>200712</v>
      </c>
      <c r="N94">
        <v>6.4721562089634199</v>
      </c>
      <c r="P94" s="2">
        <v>200712</v>
      </c>
      <c r="Q94">
        <v>6.3334680893234596</v>
      </c>
    </row>
    <row r="95" spans="2:17">
      <c r="B95" s="1">
        <v>39356</v>
      </c>
      <c r="C95" s="3">
        <v>6.5348683303144899</v>
      </c>
      <c r="D95" s="3">
        <v>6.4826944663867199</v>
      </c>
      <c r="E95" s="3">
        <v>6.5197712529279901</v>
      </c>
      <c r="F95" s="3">
        <f t="shared" si="3"/>
        <v>5.2173863927770014E-2</v>
      </c>
      <c r="G95" s="3">
        <f t="shared" si="4"/>
        <v>1.5097077386499791E-2</v>
      </c>
      <c r="H95" s="3">
        <f t="shared" si="5"/>
        <v>-3.7076786541270224E-2</v>
      </c>
      <c r="I95" s="3"/>
      <c r="J95" s="2">
        <v>200710</v>
      </c>
      <c r="K95" s="3">
        <v>6.5348683303144899</v>
      </c>
      <c r="M95" s="2">
        <v>200711</v>
      </c>
      <c r="N95">
        <v>6.4640508086970296</v>
      </c>
      <c r="P95" s="2">
        <v>200711</v>
      </c>
      <c r="Q95">
        <v>6.3856406924408997</v>
      </c>
    </row>
    <row r="96" spans="2:17">
      <c r="B96" s="1">
        <v>39326</v>
      </c>
      <c r="C96" s="3">
        <v>6.6678007935860597</v>
      </c>
      <c r="D96" s="3">
        <v>6.6361594609769696</v>
      </c>
      <c r="E96" s="3">
        <v>6.6714015129844402</v>
      </c>
      <c r="F96" s="3">
        <f t="shared" si="3"/>
        <v>3.1641332609090078E-2</v>
      </c>
      <c r="G96" s="3">
        <f t="shared" si="4"/>
        <v>-3.6007193983804697E-3</v>
      </c>
      <c r="H96" s="3">
        <f t="shared" si="5"/>
        <v>-3.5242052007470548E-2</v>
      </c>
      <c r="I96" s="3"/>
      <c r="J96" s="2">
        <v>200709</v>
      </c>
      <c r="K96" s="3">
        <v>6.6678007935860597</v>
      </c>
      <c r="M96" s="2">
        <v>200710</v>
      </c>
      <c r="N96">
        <v>6.4826944663867199</v>
      </c>
      <c r="P96" s="2">
        <v>200710</v>
      </c>
      <c r="Q96">
        <v>6.5197712529279901</v>
      </c>
    </row>
    <row r="97" spans="2:17">
      <c r="B97" s="1">
        <v>39295</v>
      </c>
      <c r="C97" s="3">
        <v>6.6773063710148302</v>
      </c>
      <c r="D97" s="3">
        <v>6.75706755593803</v>
      </c>
      <c r="E97" s="3">
        <v>6.7430887071841799</v>
      </c>
      <c r="F97" s="3">
        <f t="shared" si="3"/>
        <v>-7.9761184923199835E-2</v>
      </c>
      <c r="G97" s="3">
        <f t="shared" si="4"/>
        <v>-6.5782336169349698E-2</v>
      </c>
      <c r="H97" s="3">
        <f t="shared" si="5"/>
        <v>1.3978848753850137E-2</v>
      </c>
      <c r="I97" s="3"/>
      <c r="J97" s="2">
        <v>200708</v>
      </c>
      <c r="K97" s="3">
        <v>6.6773063710148302</v>
      </c>
      <c r="M97" s="2">
        <v>200709</v>
      </c>
      <c r="N97">
        <v>6.6361594609769696</v>
      </c>
      <c r="P97" s="2">
        <v>200709</v>
      </c>
      <c r="Q97">
        <v>6.6714015129844402</v>
      </c>
    </row>
    <row r="98" spans="2:17">
      <c r="B98" s="1">
        <v>39264</v>
      </c>
      <c r="C98" s="3">
        <v>6.3707306393361796</v>
      </c>
      <c r="D98" s="3">
        <v>6.5128185694447103</v>
      </c>
      <c r="E98" s="3">
        <v>6.3608083404395197</v>
      </c>
      <c r="F98" s="3">
        <f t="shared" si="3"/>
        <v>-0.14208793010853071</v>
      </c>
      <c r="G98" s="3">
        <f t="shared" si="4"/>
        <v>9.9222988966598535E-3</v>
      </c>
      <c r="H98" s="3">
        <f t="shared" si="5"/>
        <v>0.15201022900519057</v>
      </c>
      <c r="I98" s="3"/>
      <c r="J98" s="2">
        <v>200707</v>
      </c>
      <c r="K98" s="3">
        <v>6.3707306393361796</v>
      </c>
      <c r="M98" s="2">
        <v>200708</v>
      </c>
      <c r="N98">
        <v>6.75706755593803</v>
      </c>
      <c r="P98" s="2">
        <v>200708</v>
      </c>
      <c r="Q98">
        <v>6.7430887071841799</v>
      </c>
    </row>
    <row r="99" spans="2:17">
      <c r="B99" s="1">
        <v>39234</v>
      </c>
      <c r="C99" s="3">
        <v>6.2678029406831302</v>
      </c>
      <c r="D99" s="3">
        <v>6.3355453341663699</v>
      </c>
      <c r="E99" s="3">
        <v>6.1716869489849504</v>
      </c>
      <c r="F99" s="3">
        <f t="shared" si="3"/>
        <v>-6.7742393483239738E-2</v>
      </c>
      <c r="G99" s="3">
        <f t="shared" si="4"/>
        <v>9.6115991698179748E-2</v>
      </c>
      <c r="H99" s="3">
        <f t="shared" si="5"/>
        <v>0.16385838518141949</v>
      </c>
      <c r="I99" s="3"/>
      <c r="J99" s="2">
        <v>200706</v>
      </c>
      <c r="K99" s="3">
        <v>6.2678029406831302</v>
      </c>
      <c r="M99" s="2">
        <v>200707</v>
      </c>
      <c r="N99">
        <v>6.5128185694447103</v>
      </c>
      <c r="P99" s="2">
        <v>200707</v>
      </c>
      <c r="Q99">
        <v>6.3608083404395197</v>
      </c>
    </row>
    <row r="100" spans="2:17">
      <c r="B100" s="1">
        <v>39203</v>
      </c>
      <c r="C100" s="3">
        <v>6.1757184931430604</v>
      </c>
      <c r="D100" s="3">
        <v>6.3683854405878799</v>
      </c>
      <c r="E100" s="3">
        <v>6.1235548857975202</v>
      </c>
      <c r="F100" s="3">
        <f t="shared" si="3"/>
        <v>-0.19266694744481949</v>
      </c>
      <c r="G100" s="3">
        <f t="shared" si="4"/>
        <v>5.2163607345540264E-2</v>
      </c>
      <c r="H100" s="3">
        <f t="shared" si="5"/>
        <v>0.24483055479035976</v>
      </c>
      <c r="I100" s="3"/>
      <c r="J100" s="2">
        <v>200705</v>
      </c>
      <c r="K100" s="3">
        <v>6.1757184931430604</v>
      </c>
      <c r="M100" s="2">
        <v>200706</v>
      </c>
      <c r="N100">
        <v>6.3355453341663699</v>
      </c>
      <c r="P100" s="2">
        <v>200706</v>
      </c>
      <c r="Q100">
        <v>6.1716869489849504</v>
      </c>
    </row>
    <row r="101" spans="2:17">
      <c r="B101" s="1">
        <v>39173</v>
      </c>
      <c r="C101" s="3">
        <v>6.1704295704535399</v>
      </c>
      <c r="D101" s="3">
        <v>6.1436940835436102</v>
      </c>
      <c r="E101" s="3">
        <v>6.2021846357639596</v>
      </c>
      <c r="F101" s="3">
        <f t="shared" si="3"/>
        <v>2.6735486909929662E-2</v>
      </c>
      <c r="G101" s="3">
        <f t="shared" si="4"/>
        <v>-3.1755065310419717E-2</v>
      </c>
      <c r="H101" s="3">
        <f t="shared" si="5"/>
        <v>-5.8490552220349379E-2</v>
      </c>
      <c r="I101" s="3"/>
      <c r="J101" s="2">
        <v>200704</v>
      </c>
      <c r="K101" s="3">
        <v>6.1704295704535399</v>
      </c>
      <c r="M101" s="2">
        <v>200705</v>
      </c>
      <c r="N101">
        <v>6.3683854405878799</v>
      </c>
      <c r="P101" s="2">
        <v>200705</v>
      </c>
      <c r="Q101">
        <v>6.1235548857975202</v>
      </c>
    </row>
    <row r="102" spans="2:17">
      <c r="B102" s="1">
        <v>39142</v>
      </c>
      <c r="C102" s="3">
        <v>6.2734794151098203</v>
      </c>
      <c r="D102" s="3">
        <v>6.4917604311467798</v>
      </c>
      <c r="E102" s="3">
        <v>6.2234425216837099</v>
      </c>
      <c r="F102" s="3">
        <f t="shared" si="3"/>
        <v>-0.21828101603695949</v>
      </c>
      <c r="G102" s="3">
        <f t="shared" si="4"/>
        <v>5.0036893426110396E-2</v>
      </c>
      <c r="H102" s="3">
        <f t="shared" si="5"/>
        <v>0.26831790946306988</v>
      </c>
      <c r="I102" s="3"/>
      <c r="J102" s="2">
        <v>200703</v>
      </c>
      <c r="K102" s="3">
        <v>6.2734794151098203</v>
      </c>
      <c r="M102" s="2">
        <v>200704</v>
      </c>
      <c r="N102">
        <v>6.1436940835436102</v>
      </c>
      <c r="P102" s="2">
        <v>200704</v>
      </c>
      <c r="Q102">
        <v>6.2021846357639596</v>
      </c>
    </row>
    <row r="103" spans="2:17">
      <c r="B103" s="1">
        <v>39114</v>
      </c>
      <c r="C103" s="3">
        <v>6.1123327196803396</v>
      </c>
      <c r="D103" s="3">
        <v>6.2247855552195297</v>
      </c>
      <c r="E103" s="3">
        <v>6.1797282938581297</v>
      </c>
      <c r="F103" s="3">
        <f t="shared" si="3"/>
        <v>-0.11245283553919005</v>
      </c>
      <c r="G103" s="3">
        <f t="shared" si="4"/>
        <v>-6.7395574177790074E-2</v>
      </c>
      <c r="H103" s="3">
        <f t="shared" si="5"/>
        <v>4.5057261361399981E-2</v>
      </c>
      <c r="I103" s="3"/>
      <c r="J103" s="2">
        <v>200702</v>
      </c>
      <c r="K103" s="3">
        <v>6.1123327196803396</v>
      </c>
      <c r="M103" s="2">
        <v>200703</v>
      </c>
      <c r="N103">
        <v>6.4917604311467798</v>
      </c>
      <c r="P103" s="2">
        <v>200703</v>
      </c>
      <c r="Q103">
        <v>6.2234425216837099</v>
      </c>
    </row>
    <row r="104" spans="2:17">
      <c r="B104" s="1">
        <v>39083</v>
      </c>
      <c r="C104" s="3">
        <v>6.1368199171769202</v>
      </c>
      <c r="D104" s="3">
        <v>6.5165441798144101</v>
      </c>
      <c r="E104" s="3">
        <v>6.1697818177973396</v>
      </c>
      <c r="F104" s="3">
        <f t="shared" si="3"/>
        <v>-0.37972426263748993</v>
      </c>
      <c r="G104" s="3">
        <f t="shared" si="4"/>
        <v>-3.2961900620419371E-2</v>
      </c>
      <c r="H104" s="3">
        <f t="shared" si="5"/>
        <v>0.34676236201707056</v>
      </c>
      <c r="I104" s="3"/>
      <c r="J104" s="2">
        <v>200701</v>
      </c>
      <c r="K104" s="3">
        <v>6.1368199171769202</v>
      </c>
      <c r="M104" s="2">
        <v>200702</v>
      </c>
      <c r="N104">
        <v>6.2247855552195297</v>
      </c>
      <c r="P104" s="2">
        <v>200702</v>
      </c>
      <c r="Q104">
        <v>6.1797282938581297</v>
      </c>
    </row>
    <row r="105" spans="2:17">
      <c r="B105" s="1">
        <v>39052</v>
      </c>
      <c r="C105" s="3">
        <v>6.2819651938195404</v>
      </c>
      <c r="D105" s="3">
        <v>6.5958002067310204</v>
      </c>
      <c r="E105" s="3">
        <v>6.3642203203070196</v>
      </c>
      <c r="F105" s="3">
        <f t="shared" si="3"/>
        <v>-0.31383501291147997</v>
      </c>
      <c r="G105" s="3">
        <f t="shared" si="4"/>
        <v>-8.2255126487479124E-2</v>
      </c>
      <c r="H105" s="3">
        <f t="shared" si="5"/>
        <v>0.23157988642400085</v>
      </c>
      <c r="I105" s="3"/>
      <c r="J105" s="2">
        <v>200612</v>
      </c>
      <c r="K105" s="3">
        <v>6.2819651938195404</v>
      </c>
      <c r="M105" s="2">
        <v>200701</v>
      </c>
      <c r="N105">
        <v>6.5165441798144101</v>
      </c>
      <c r="P105" s="2">
        <v>200701</v>
      </c>
      <c r="Q105">
        <v>6.1697818177973396</v>
      </c>
    </row>
    <row r="106" spans="2:17">
      <c r="B106" s="1">
        <v>39022</v>
      </c>
      <c r="C106" s="3">
        <v>6.3353850615272398</v>
      </c>
      <c r="D106" s="3">
        <v>6.6562349777040097</v>
      </c>
      <c r="E106" s="3">
        <v>6.4408885469046799</v>
      </c>
      <c r="F106" s="3">
        <f t="shared" si="3"/>
        <v>-0.32084991617676994</v>
      </c>
      <c r="G106" s="3">
        <f t="shared" si="4"/>
        <v>-0.10550348537744014</v>
      </c>
      <c r="H106" s="3">
        <f t="shared" si="5"/>
        <v>0.2153464307993298</v>
      </c>
      <c r="I106" s="3"/>
      <c r="J106" s="2">
        <v>200611</v>
      </c>
      <c r="K106" s="3">
        <v>6.3353850615272398</v>
      </c>
      <c r="M106" s="2">
        <v>200612</v>
      </c>
      <c r="N106">
        <v>6.5958002067310204</v>
      </c>
      <c r="P106" s="2">
        <v>200612</v>
      </c>
      <c r="Q106">
        <v>6.3642203203070196</v>
      </c>
    </row>
    <row r="107" spans="2:17">
      <c r="B107" s="1">
        <v>38991</v>
      </c>
      <c r="C107" s="3">
        <v>6.5067158097515199</v>
      </c>
      <c r="D107" s="3">
        <v>6.7348932639698598</v>
      </c>
      <c r="E107" s="3">
        <v>6.4858387142310603</v>
      </c>
      <c r="F107" s="3">
        <f t="shared" si="3"/>
        <v>-0.2281774542183399</v>
      </c>
      <c r="G107" s="3">
        <f t="shared" si="4"/>
        <v>2.0877095520459577E-2</v>
      </c>
      <c r="H107" s="3">
        <f t="shared" si="5"/>
        <v>0.24905454973879948</v>
      </c>
      <c r="I107" s="3"/>
      <c r="J107" s="2">
        <v>200610</v>
      </c>
      <c r="K107" s="3">
        <v>6.5067158097515199</v>
      </c>
      <c r="M107" s="2">
        <v>200611</v>
      </c>
      <c r="N107">
        <v>6.6562349777040097</v>
      </c>
      <c r="P107" s="2">
        <v>200611</v>
      </c>
      <c r="Q107">
        <v>6.4408885469046799</v>
      </c>
    </row>
    <row r="108" spans="2:17">
      <c r="B108" s="1">
        <v>38961</v>
      </c>
      <c r="C108" s="3">
        <v>6.67055913178298</v>
      </c>
      <c r="D108" s="3">
        <v>6.9650586019254899</v>
      </c>
      <c r="E108" s="3">
        <v>6.7389124751744998</v>
      </c>
      <c r="F108" s="3">
        <f t="shared" si="3"/>
        <v>-0.29449947014250988</v>
      </c>
      <c r="G108" s="3">
        <f t="shared" si="4"/>
        <v>-6.8353343391519772E-2</v>
      </c>
      <c r="H108" s="3">
        <f t="shared" si="5"/>
        <v>0.22614612675099011</v>
      </c>
      <c r="I108" s="3"/>
      <c r="J108" s="2">
        <v>200609</v>
      </c>
      <c r="K108" s="3">
        <v>6.67055913178298</v>
      </c>
      <c r="M108" s="2">
        <v>200610</v>
      </c>
      <c r="N108">
        <v>6.7348932639698598</v>
      </c>
      <c r="P108" s="2">
        <v>200610</v>
      </c>
      <c r="Q108">
        <v>6.4858387142310603</v>
      </c>
    </row>
    <row r="109" spans="2:17">
      <c r="B109" s="1">
        <v>38930</v>
      </c>
      <c r="C109" s="3">
        <v>6.8119379081735802</v>
      </c>
      <c r="D109" s="3">
        <v>6.8968305594185901</v>
      </c>
      <c r="E109" s="3">
        <v>6.7150962626014197</v>
      </c>
      <c r="F109" s="3">
        <f t="shared" si="3"/>
        <v>-8.4892651245009887E-2</v>
      </c>
      <c r="G109" s="3">
        <f t="shared" si="4"/>
        <v>9.6841645572160573E-2</v>
      </c>
      <c r="H109" s="3">
        <f t="shared" si="5"/>
        <v>0.18173429681717046</v>
      </c>
      <c r="I109" s="3"/>
      <c r="J109" s="2">
        <v>200608</v>
      </c>
      <c r="K109" s="3">
        <v>6.8119379081735802</v>
      </c>
      <c r="M109" s="2">
        <v>200609</v>
      </c>
      <c r="N109">
        <v>6.9650586019254899</v>
      </c>
      <c r="P109" s="2">
        <v>200609</v>
      </c>
      <c r="Q109">
        <v>6.7389124751744998</v>
      </c>
    </row>
    <row r="110" spans="2:17">
      <c r="B110" s="1">
        <v>38899</v>
      </c>
      <c r="C110" s="3">
        <v>6.6366539689627402</v>
      </c>
      <c r="D110" s="3">
        <v>6.98660431198478</v>
      </c>
      <c r="E110" s="3">
        <v>6.7226870967189596</v>
      </c>
      <c r="F110" s="3">
        <f t="shared" si="3"/>
        <v>-0.34995034302203987</v>
      </c>
      <c r="G110" s="3">
        <f t="shared" si="4"/>
        <v>-8.6033127756219407E-2</v>
      </c>
      <c r="H110" s="3">
        <f t="shared" si="5"/>
        <v>0.26391721526582046</v>
      </c>
      <c r="I110" s="3"/>
      <c r="J110" s="2">
        <v>200607</v>
      </c>
      <c r="K110" s="3">
        <v>6.6366539689627402</v>
      </c>
      <c r="M110" s="2">
        <v>200608</v>
      </c>
      <c r="N110">
        <v>6.8968305594185901</v>
      </c>
      <c r="P110" s="2">
        <v>200608</v>
      </c>
      <c r="Q110">
        <v>6.7150962626014197</v>
      </c>
    </row>
    <row r="111" spans="2:17">
      <c r="B111" s="1">
        <v>38869</v>
      </c>
      <c r="C111" s="3">
        <v>6.5635318845604997</v>
      </c>
      <c r="D111" s="3">
        <v>6.7190791523839204</v>
      </c>
      <c r="E111" s="3">
        <v>6.5509433453643302</v>
      </c>
      <c r="F111" s="3">
        <f t="shared" si="3"/>
        <v>-0.15554726782342065</v>
      </c>
      <c r="G111" s="3">
        <f t="shared" si="4"/>
        <v>1.2588539196169535E-2</v>
      </c>
      <c r="H111" s="3">
        <f t="shared" si="5"/>
        <v>0.16813580701959019</v>
      </c>
      <c r="I111" s="3"/>
      <c r="J111" s="2">
        <v>200606</v>
      </c>
      <c r="K111" s="3">
        <v>6.5635318845604997</v>
      </c>
      <c r="M111" s="2">
        <v>200607</v>
      </c>
      <c r="N111">
        <v>6.98660431198478</v>
      </c>
      <c r="P111" s="2">
        <v>200607</v>
      </c>
      <c r="Q111">
        <v>6.7226870967189596</v>
      </c>
    </row>
    <row r="112" spans="2:17">
      <c r="B112" s="1">
        <v>38838</v>
      </c>
      <c r="C112" s="3">
        <v>6.4372992201954196</v>
      </c>
      <c r="D112" s="3">
        <v>6.5135909536651102</v>
      </c>
      <c r="E112" s="3">
        <v>6.4289519530610999</v>
      </c>
      <c r="F112" s="3">
        <f t="shared" si="3"/>
        <v>-7.6291733469690648E-2</v>
      </c>
      <c r="G112" s="3">
        <f t="shared" si="4"/>
        <v>8.3472671343196581E-3</v>
      </c>
      <c r="H112" s="3">
        <f t="shared" si="5"/>
        <v>8.4639000604010306E-2</v>
      </c>
      <c r="I112" s="3"/>
      <c r="J112" s="2">
        <v>200605</v>
      </c>
      <c r="K112" s="3">
        <v>6.4372992201954196</v>
      </c>
      <c r="M112" s="2">
        <v>200606</v>
      </c>
      <c r="N112">
        <v>6.7190791523839204</v>
      </c>
      <c r="P112" s="2">
        <v>200606</v>
      </c>
      <c r="Q112">
        <v>6.5509433453643302</v>
      </c>
    </row>
    <row r="113" spans="2:17">
      <c r="B113" s="1">
        <v>38808</v>
      </c>
      <c r="C113" s="3">
        <v>6.2321303315143703</v>
      </c>
      <c r="D113" s="3">
        <v>6.64362864077669</v>
      </c>
      <c r="E113" s="3">
        <v>6.3050788170775798</v>
      </c>
      <c r="F113" s="3">
        <f t="shared" si="3"/>
        <v>-0.41149830926231967</v>
      </c>
      <c r="G113" s="3">
        <f t="shared" si="4"/>
        <v>-7.2948485563209431E-2</v>
      </c>
      <c r="H113" s="3">
        <f t="shared" si="5"/>
        <v>0.33854982369911024</v>
      </c>
      <c r="I113" s="3"/>
      <c r="J113" s="2">
        <v>200604</v>
      </c>
      <c r="K113" s="3">
        <v>6.2321303315143703</v>
      </c>
      <c r="M113" s="2">
        <v>200605</v>
      </c>
      <c r="N113">
        <v>6.5135909536651102</v>
      </c>
      <c r="P113" s="2">
        <v>200605</v>
      </c>
      <c r="Q113">
        <v>6.4289519530610999</v>
      </c>
    </row>
    <row r="114" spans="2:17">
      <c r="B114" s="1">
        <v>38777</v>
      </c>
      <c r="C114" s="3">
        <v>6.1263105164854998</v>
      </c>
      <c r="D114" s="3">
        <v>6.4776459533097004</v>
      </c>
      <c r="E114" s="3">
        <v>6.1967593138514996</v>
      </c>
      <c r="F114" s="3">
        <f t="shared" si="3"/>
        <v>-0.35133543682420054</v>
      </c>
      <c r="G114" s="3">
        <f t="shared" si="4"/>
        <v>-7.0448797365999738E-2</v>
      </c>
      <c r="H114" s="3">
        <f t="shared" si="5"/>
        <v>0.2808866394582008</v>
      </c>
      <c r="I114" s="3"/>
      <c r="J114" s="2">
        <v>200603</v>
      </c>
      <c r="K114" s="3">
        <v>6.1263105164854998</v>
      </c>
      <c r="M114" s="2">
        <v>200604</v>
      </c>
      <c r="N114">
        <v>6.64362864077669</v>
      </c>
      <c r="P114" s="2">
        <v>200604</v>
      </c>
      <c r="Q114">
        <v>6.3050788170775798</v>
      </c>
    </row>
    <row r="115" spans="2:17">
      <c r="B115" s="1">
        <v>38749</v>
      </c>
      <c r="C115" s="3">
        <v>6.13933753944284</v>
      </c>
      <c r="D115" s="3">
        <v>6.6900631510088999</v>
      </c>
      <c r="E115" s="3">
        <v>6.2414171820969697</v>
      </c>
      <c r="F115" s="3">
        <f t="shared" si="3"/>
        <v>-0.55072561156605992</v>
      </c>
      <c r="G115" s="3">
        <f t="shared" si="4"/>
        <v>-0.10207964265412972</v>
      </c>
      <c r="H115" s="3">
        <f t="shared" si="5"/>
        <v>0.4486459689119302</v>
      </c>
      <c r="I115" s="3"/>
      <c r="J115" s="2">
        <v>200602</v>
      </c>
      <c r="K115" s="3">
        <v>6.13933753944284</v>
      </c>
      <c r="M115" s="2">
        <v>200603</v>
      </c>
      <c r="N115">
        <v>6.4776459533097004</v>
      </c>
      <c r="P115" s="2">
        <v>200603</v>
      </c>
      <c r="Q115">
        <v>6.1967593138514996</v>
      </c>
    </row>
    <row r="116" spans="2:17">
      <c r="B116" s="1">
        <v>38718</v>
      </c>
      <c r="C116" s="3">
        <v>6.2208817905574403</v>
      </c>
      <c r="D116" s="3">
        <v>6.4126256872554297</v>
      </c>
      <c r="E116" s="3">
        <v>6.3129080428514399</v>
      </c>
      <c r="F116" s="3">
        <f t="shared" si="3"/>
        <v>-0.19174389669798941</v>
      </c>
      <c r="G116" s="3">
        <f t="shared" si="4"/>
        <v>-9.2026252293999633E-2</v>
      </c>
      <c r="H116" s="3">
        <f t="shared" si="5"/>
        <v>9.971764440398978E-2</v>
      </c>
      <c r="I116" s="3"/>
      <c r="J116" s="2">
        <v>200601</v>
      </c>
      <c r="K116" s="3">
        <v>6.2208817905574403</v>
      </c>
      <c r="M116" s="2">
        <v>200602</v>
      </c>
      <c r="N116">
        <v>6.6900631510088999</v>
      </c>
      <c r="P116" s="2">
        <v>200602</v>
      </c>
      <c r="Q116">
        <v>6.2414171820969697</v>
      </c>
    </row>
    <row r="117" spans="2:17">
      <c r="B117" s="1">
        <v>38687</v>
      </c>
      <c r="C117" s="3">
        <v>6.0583441103025697</v>
      </c>
      <c r="D117" s="3">
        <v>6.4031326034063198</v>
      </c>
      <c r="E117" s="3">
        <v>6.0299715540644403</v>
      </c>
      <c r="F117" s="3">
        <f t="shared" si="3"/>
        <v>-0.34478849310375015</v>
      </c>
      <c r="G117" s="3">
        <f t="shared" si="4"/>
        <v>2.8372556238129398E-2</v>
      </c>
      <c r="H117" s="3">
        <f t="shared" si="5"/>
        <v>0.37316104934187955</v>
      </c>
      <c r="I117" s="3"/>
      <c r="J117" s="2">
        <v>200512</v>
      </c>
      <c r="K117" s="3">
        <v>6.0583441103025697</v>
      </c>
      <c r="M117" s="2">
        <v>200601</v>
      </c>
      <c r="N117">
        <v>6.4126256872554297</v>
      </c>
      <c r="P117" s="2">
        <v>200601</v>
      </c>
      <c r="Q117">
        <v>6.3129080428514399</v>
      </c>
    </row>
    <row r="118" spans="2:17">
      <c r="B118" s="1">
        <v>38657</v>
      </c>
      <c r="C118" s="3">
        <v>5.8415440831293202</v>
      </c>
      <c r="D118" s="3">
        <v>5.8455866197956698</v>
      </c>
      <c r="E118" s="3">
        <v>5.8814607536836601</v>
      </c>
      <c r="F118" s="3">
        <f t="shared" si="3"/>
        <v>-4.0425366663496831E-3</v>
      </c>
      <c r="G118" s="3">
        <f t="shared" si="4"/>
        <v>-3.9916670554339895E-2</v>
      </c>
      <c r="H118" s="3">
        <f t="shared" si="5"/>
        <v>-3.5874133887990212E-2</v>
      </c>
      <c r="I118" s="3"/>
      <c r="J118" s="2">
        <v>200511</v>
      </c>
      <c r="K118" s="3">
        <v>5.8415440831293202</v>
      </c>
      <c r="M118" s="2">
        <v>200512</v>
      </c>
      <c r="N118">
        <v>6.4031326034063198</v>
      </c>
      <c r="P118" s="2">
        <v>200512</v>
      </c>
      <c r="Q118">
        <v>6.0299715540644403</v>
      </c>
    </row>
    <row r="119" spans="2:17">
      <c r="B119" s="1">
        <v>38626</v>
      </c>
      <c r="C119" s="3">
        <v>5.7866769560738298</v>
      </c>
      <c r="D119" s="3">
        <v>5.9591111776646297</v>
      </c>
      <c r="E119" s="3">
        <v>5.8300555283568203</v>
      </c>
      <c r="F119" s="3">
        <f t="shared" si="3"/>
        <v>-0.17243422159079991</v>
      </c>
      <c r="G119" s="3">
        <f t="shared" si="4"/>
        <v>-4.3378572282990469E-2</v>
      </c>
      <c r="H119" s="3">
        <f t="shared" si="5"/>
        <v>0.12905564930780944</v>
      </c>
      <c r="I119" s="3"/>
      <c r="J119" s="2">
        <v>200510</v>
      </c>
      <c r="K119" s="3">
        <v>5.7866769560738298</v>
      </c>
      <c r="M119" s="2">
        <v>200511</v>
      </c>
      <c r="N119">
        <v>5.8455866197956698</v>
      </c>
      <c r="P119" s="2">
        <v>200511</v>
      </c>
      <c r="Q119">
        <v>5.8814607536836601</v>
      </c>
    </row>
    <row r="120" spans="2:17">
      <c r="B120" s="1">
        <v>38596</v>
      </c>
      <c r="C120" s="3">
        <v>5.7856933647298696</v>
      </c>
      <c r="D120" s="3">
        <v>5.8884467208973303</v>
      </c>
      <c r="E120" s="3">
        <v>5.7810129347446599</v>
      </c>
      <c r="F120" s="3">
        <f t="shared" si="3"/>
        <v>-0.10275335616746073</v>
      </c>
      <c r="G120" s="3">
        <f t="shared" si="4"/>
        <v>4.6804299852096776E-3</v>
      </c>
      <c r="H120" s="3">
        <f t="shared" si="5"/>
        <v>0.10743378615267041</v>
      </c>
      <c r="I120" s="3"/>
      <c r="J120" s="2">
        <v>200509</v>
      </c>
      <c r="K120" s="3">
        <v>5.7856933647298696</v>
      </c>
      <c r="M120" s="2">
        <v>200510</v>
      </c>
      <c r="N120">
        <v>5.9591111776646297</v>
      </c>
      <c r="P120" s="2">
        <v>200510</v>
      </c>
      <c r="Q120">
        <v>5.8300555283568203</v>
      </c>
    </row>
    <row r="121" spans="2:17">
      <c r="B121" s="1">
        <v>38565</v>
      </c>
      <c r="C121" s="3">
        <v>5.6548333247895401</v>
      </c>
      <c r="D121" s="3">
        <v>5.6567594424460399</v>
      </c>
      <c r="E121" s="3">
        <v>5.6346392397349101</v>
      </c>
      <c r="F121" s="3">
        <f t="shared" si="3"/>
        <v>-1.9261176564997484E-3</v>
      </c>
      <c r="G121" s="3">
        <f t="shared" si="4"/>
        <v>2.0194085054630051E-2</v>
      </c>
      <c r="H121" s="3">
        <f t="shared" si="5"/>
        <v>2.2120202711129799E-2</v>
      </c>
      <c r="I121" s="3"/>
      <c r="J121" s="2">
        <v>200508</v>
      </c>
      <c r="K121" s="3">
        <v>5.6548333247895401</v>
      </c>
      <c r="M121" s="2">
        <v>200509</v>
      </c>
      <c r="N121">
        <v>5.8884467208973303</v>
      </c>
      <c r="P121" s="2">
        <v>200509</v>
      </c>
      <c r="Q121">
        <v>5.7810129347446599</v>
      </c>
    </row>
    <row r="122" spans="2:17">
      <c r="B122" s="1">
        <v>38534</v>
      </c>
      <c r="C122" s="3">
        <v>5.6930161095548799</v>
      </c>
      <c r="D122" s="3">
        <v>5.8201260525941301</v>
      </c>
      <c r="E122" s="3">
        <v>5.6969807373237904</v>
      </c>
      <c r="F122" s="3">
        <f t="shared" si="3"/>
        <v>-0.12710994303925016</v>
      </c>
      <c r="G122" s="3">
        <f t="shared" si="4"/>
        <v>-3.9646277689104892E-3</v>
      </c>
      <c r="H122" s="3">
        <f t="shared" si="5"/>
        <v>0.12314531527033967</v>
      </c>
      <c r="I122" s="3"/>
      <c r="J122" s="2">
        <v>200507</v>
      </c>
      <c r="K122" s="3">
        <v>5.6930161095548799</v>
      </c>
      <c r="M122" s="2">
        <v>200508</v>
      </c>
      <c r="N122">
        <v>5.6567594424460399</v>
      </c>
      <c r="P122" s="2">
        <v>200508</v>
      </c>
      <c r="Q122">
        <v>5.6346392397349101</v>
      </c>
    </row>
    <row r="123" spans="2:17">
      <c r="B123" s="1">
        <v>38504</v>
      </c>
      <c r="C123" s="3">
        <v>5.8388230199565196</v>
      </c>
      <c r="D123" s="3">
        <v>6.2684407663580304</v>
      </c>
      <c r="E123" s="3">
        <v>5.8114222441047998</v>
      </c>
      <c r="F123" s="3">
        <f t="shared" si="3"/>
        <v>-0.42961774640151074</v>
      </c>
      <c r="G123" s="3">
        <f t="shared" si="4"/>
        <v>2.740077585171985E-2</v>
      </c>
      <c r="H123" s="3">
        <f t="shared" si="5"/>
        <v>0.45701852225323059</v>
      </c>
      <c r="I123" s="3"/>
      <c r="J123" s="2">
        <v>200506</v>
      </c>
      <c r="K123" s="3">
        <v>5.8388230199565196</v>
      </c>
      <c r="M123" s="2">
        <v>200507</v>
      </c>
      <c r="N123">
        <v>5.8201260525941301</v>
      </c>
      <c r="P123" s="2">
        <v>200507</v>
      </c>
      <c r="Q123">
        <v>5.6969807373237904</v>
      </c>
    </row>
    <row r="124" spans="2:17">
      <c r="B124" s="1">
        <v>38473</v>
      </c>
      <c r="C124" s="3">
        <v>5.9082662298694704</v>
      </c>
      <c r="D124" s="3">
        <v>6.0147863908107704</v>
      </c>
      <c r="E124" s="3">
        <v>5.8587221278035599</v>
      </c>
      <c r="F124" s="3">
        <f t="shared" si="3"/>
        <v>-0.10652016094130001</v>
      </c>
      <c r="G124" s="3">
        <f t="shared" si="4"/>
        <v>4.9544102065910423E-2</v>
      </c>
      <c r="H124" s="3">
        <f t="shared" si="5"/>
        <v>0.15606426300721044</v>
      </c>
      <c r="I124" s="3"/>
      <c r="J124" s="2">
        <v>200505</v>
      </c>
      <c r="K124" s="3">
        <v>5.9082662298694704</v>
      </c>
      <c r="M124" s="2">
        <v>200506</v>
      </c>
      <c r="N124">
        <v>6.2684407663580304</v>
      </c>
      <c r="P124" s="2">
        <v>200506</v>
      </c>
      <c r="Q124">
        <v>5.8114222441047998</v>
      </c>
    </row>
    <row r="125" spans="2:17">
      <c r="B125" s="1">
        <v>38443</v>
      </c>
      <c r="C125" s="3">
        <v>5.6835079040144603</v>
      </c>
      <c r="D125" s="3">
        <v>5.9611671497637904</v>
      </c>
      <c r="E125" s="3">
        <v>5.5944230699715503</v>
      </c>
      <c r="F125" s="3">
        <f t="shared" si="3"/>
        <v>-0.2776592457493301</v>
      </c>
      <c r="G125" s="3">
        <f t="shared" si="4"/>
        <v>8.9084834042910011E-2</v>
      </c>
      <c r="H125" s="3">
        <f t="shared" si="5"/>
        <v>0.36674407979224011</v>
      </c>
      <c r="I125" s="3"/>
      <c r="J125" s="2">
        <v>200504</v>
      </c>
      <c r="K125" s="3">
        <v>5.6835079040144603</v>
      </c>
      <c r="M125" s="2">
        <v>200505</v>
      </c>
      <c r="N125">
        <v>6.0147863908107704</v>
      </c>
      <c r="P125" s="2">
        <v>200505</v>
      </c>
      <c r="Q125">
        <v>5.8587221278035599</v>
      </c>
    </row>
    <row r="126" spans="2:17">
      <c r="B126" s="1">
        <v>38412</v>
      </c>
      <c r="C126" s="3">
        <v>5.6253979070136602</v>
      </c>
      <c r="D126" s="3">
        <v>5.7445769250037504</v>
      </c>
      <c r="E126" s="3">
        <v>5.6155496807441203</v>
      </c>
      <c r="F126" s="3">
        <f t="shared" si="3"/>
        <v>-0.11917901799009023</v>
      </c>
      <c r="G126" s="3">
        <f t="shared" si="4"/>
        <v>9.8482262695398504E-3</v>
      </c>
      <c r="H126" s="3">
        <f t="shared" si="5"/>
        <v>0.12902724425963008</v>
      </c>
      <c r="I126" s="3"/>
      <c r="J126" s="2">
        <v>200503</v>
      </c>
      <c r="K126" s="3">
        <v>5.6253979070136602</v>
      </c>
      <c r="M126" s="2">
        <v>200504</v>
      </c>
      <c r="N126">
        <v>5.9611671497637904</v>
      </c>
      <c r="P126" s="2">
        <v>200504</v>
      </c>
      <c r="Q126">
        <v>5.5944230699715503</v>
      </c>
    </row>
    <row r="127" spans="2:17">
      <c r="B127" s="1">
        <v>38384</v>
      </c>
      <c r="C127" s="3">
        <v>5.7240115562483096</v>
      </c>
      <c r="D127" s="3">
        <v>5.7395737877517501</v>
      </c>
      <c r="E127" s="3">
        <v>5.7579616846260597</v>
      </c>
      <c r="F127" s="3">
        <f t="shared" si="3"/>
        <v>-1.5562231503440493E-2</v>
      </c>
      <c r="G127" s="3">
        <f t="shared" si="4"/>
        <v>-3.3950128377750133E-2</v>
      </c>
      <c r="H127" s="3">
        <f t="shared" si="5"/>
        <v>-1.8387896874309639E-2</v>
      </c>
      <c r="I127" s="3"/>
      <c r="J127" s="2">
        <v>200502</v>
      </c>
      <c r="K127" s="3">
        <v>5.7240115562483096</v>
      </c>
      <c r="M127" s="2">
        <v>200503</v>
      </c>
      <c r="N127">
        <v>5.7445769250037504</v>
      </c>
      <c r="P127" s="2">
        <v>200503</v>
      </c>
      <c r="Q127">
        <v>5.6155496807441203</v>
      </c>
    </row>
    <row r="128" spans="2:17">
      <c r="B128" s="1">
        <v>38353</v>
      </c>
      <c r="C128" s="3">
        <v>5.7271914654134202</v>
      </c>
      <c r="D128" s="3">
        <v>5.9099143077895597</v>
      </c>
      <c r="E128" s="3">
        <v>5.7156431524899203</v>
      </c>
      <c r="F128" s="3">
        <f t="shared" si="3"/>
        <v>-0.18272284237613956</v>
      </c>
      <c r="G128" s="3">
        <f t="shared" si="4"/>
        <v>1.1548312923499893E-2</v>
      </c>
      <c r="H128" s="3">
        <f t="shared" si="5"/>
        <v>0.19427115529963945</v>
      </c>
      <c r="J128" s="2">
        <v>200501</v>
      </c>
      <c r="K128" s="3">
        <v>5.7271914654134202</v>
      </c>
      <c r="M128" s="2">
        <v>200502</v>
      </c>
      <c r="N128">
        <v>5.7395737877517501</v>
      </c>
      <c r="P128" s="2">
        <v>200502</v>
      </c>
      <c r="Q128">
        <v>5.7579616846260597</v>
      </c>
    </row>
    <row r="129" spans="3:17">
      <c r="J129" s="3"/>
      <c r="K129" s="3"/>
      <c r="M129" s="2">
        <v>200501</v>
      </c>
      <c r="N129">
        <v>5.9099143077895597</v>
      </c>
      <c r="P129" s="2">
        <v>200501</v>
      </c>
      <c r="Q129">
        <v>5.7156431524899203</v>
      </c>
    </row>
    <row r="130" spans="3:17">
      <c r="C130" s="3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Q130"/>
  <sheetViews>
    <sheetView topLeftCell="H7" workbookViewId="0">
      <selection activeCell="R37" sqref="R37"/>
    </sheetView>
  </sheetViews>
  <sheetFormatPr defaultRowHeight="15"/>
  <cols>
    <col min="2" max="2" width="13.85546875" bestFit="1" customWidth="1"/>
    <col min="3" max="5" width="12.5703125" bestFit="1" customWidth="1"/>
    <col min="6" max="7" width="12.5703125" customWidth="1"/>
    <col min="10" max="10" width="16.7109375" bestFit="1" customWidth="1"/>
    <col min="11" max="11" width="12.5703125" bestFit="1" customWidth="1"/>
    <col min="13" max="13" width="16.7109375" bestFit="1" customWidth="1"/>
    <col min="14" max="14" width="12.5703125" bestFit="1" customWidth="1"/>
    <col min="16" max="16" width="16.7109375" bestFit="1" customWidth="1"/>
    <col min="17" max="17" width="12.5703125" bestFit="1" customWidth="1"/>
  </cols>
  <sheetData>
    <row r="1" spans="2:17">
      <c r="B1" t="s">
        <v>33</v>
      </c>
      <c r="J1" t="s">
        <v>33</v>
      </c>
      <c r="M1" t="s">
        <v>34</v>
      </c>
      <c r="P1" t="s">
        <v>35</v>
      </c>
    </row>
    <row r="3" spans="2:17">
      <c r="B3" t="s">
        <v>40</v>
      </c>
      <c r="C3" t="s">
        <v>33</v>
      </c>
      <c r="D3" t="s">
        <v>34</v>
      </c>
      <c r="E3" t="s">
        <v>35</v>
      </c>
      <c r="F3" s="44" t="s">
        <v>37</v>
      </c>
      <c r="G3" s="38" t="s">
        <v>38</v>
      </c>
      <c r="H3" s="39" t="s">
        <v>39</v>
      </c>
      <c r="J3" t="s">
        <v>45</v>
      </c>
      <c r="K3" t="s">
        <v>44</v>
      </c>
      <c r="M3" t="s">
        <v>45</v>
      </c>
      <c r="N3" t="s">
        <v>44</v>
      </c>
      <c r="P3" t="s">
        <v>45</v>
      </c>
      <c r="Q3" t="s">
        <v>44</v>
      </c>
    </row>
    <row r="4" spans="2:17">
      <c r="B4" s="1">
        <v>42125</v>
      </c>
      <c r="C4" s="3">
        <v>4.0188236404326796</v>
      </c>
      <c r="D4">
        <v>3.9619923265289598</v>
      </c>
      <c r="E4">
        <v>3.8740788140751201</v>
      </c>
      <c r="F4" s="3">
        <f>C4-D4</f>
        <v>5.683131390371976E-2</v>
      </c>
      <c r="G4" s="3">
        <f>C4-E4</f>
        <v>0.14474482635755948</v>
      </c>
      <c r="H4" s="3">
        <f>D4-E4</f>
        <v>8.7913512453839715E-2</v>
      </c>
      <c r="I4" s="3"/>
      <c r="J4" s="2">
        <v>201506</v>
      </c>
      <c r="K4" s="3">
        <v>4.4582674488550298</v>
      </c>
      <c r="M4" s="2">
        <v>201506</v>
      </c>
      <c r="N4">
        <v>3.9207275163201301</v>
      </c>
      <c r="P4" s="2">
        <v>201506</v>
      </c>
      <c r="Q4">
        <v>3.8460121712362101</v>
      </c>
    </row>
    <row r="5" spans="2:17">
      <c r="B5" s="1">
        <v>42095</v>
      </c>
      <c r="C5" s="3">
        <v>3.9064303765328501</v>
      </c>
      <c r="D5">
        <v>3.9222080246684601</v>
      </c>
      <c r="E5">
        <v>3.8145267797199902</v>
      </c>
      <c r="F5" s="3">
        <f t="shared" ref="F5:F68" si="0">C5-D5</f>
        <v>-1.5777648135610001E-2</v>
      </c>
      <c r="G5" s="3">
        <f t="shared" ref="G5:G68" si="1">C5-E5</f>
        <v>9.1903596812859867E-2</v>
      </c>
      <c r="H5" s="3">
        <f t="shared" ref="H5:H68" si="2">D5-E5</f>
        <v>0.10768124494846987</v>
      </c>
      <c r="I5" s="3"/>
      <c r="J5" s="2">
        <v>201505</v>
      </c>
      <c r="K5" s="3">
        <v>4.0188236404326796</v>
      </c>
      <c r="M5" s="2">
        <v>201505</v>
      </c>
      <c r="N5">
        <v>3.9619923265289598</v>
      </c>
      <c r="P5" s="2">
        <v>201505</v>
      </c>
      <c r="Q5">
        <v>3.8740788140751201</v>
      </c>
    </row>
    <row r="6" spans="2:17">
      <c r="B6" s="1">
        <v>42064</v>
      </c>
      <c r="C6" s="3">
        <v>3.8776793403525902</v>
      </c>
      <c r="D6">
        <v>3.9143514852474599</v>
      </c>
      <c r="E6">
        <v>3.7892119589480302</v>
      </c>
      <c r="F6" s="3">
        <f t="shared" si="0"/>
        <v>-3.6672144894869696E-2</v>
      </c>
      <c r="G6" s="3">
        <f t="shared" si="1"/>
        <v>8.8467381404560008E-2</v>
      </c>
      <c r="H6" s="3">
        <f t="shared" si="2"/>
        <v>0.1251395262994297</v>
      </c>
      <c r="I6" s="3"/>
      <c r="J6" s="2">
        <v>201504</v>
      </c>
      <c r="K6" s="3">
        <v>3.9064303765328501</v>
      </c>
      <c r="M6" s="2">
        <v>201504</v>
      </c>
      <c r="N6">
        <v>3.9222080246684601</v>
      </c>
      <c r="P6" s="2">
        <v>201504</v>
      </c>
      <c r="Q6">
        <v>3.8145267797199902</v>
      </c>
    </row>
    <row r="7" spans="2:17">
      <c r="B7" s="1">
        <v>42036</v>
      </c>
      <c r="C7" s="3">
        <v>4.0407399262607004</v>
      </c>
      <c r="D7">
        <v>4.03008257469663</v>
      </c>
      <c r="E7">
        <v>3.9311990792555598</v>
      </c>
      <c r="F7" s="3">
        <f t="shared" si="0"/>
        <v>1.0657351564070439E-2</v>
      </c>
      <c r="G7" s="3">
        <f t="shared" si="1"/>
        <v>0.10954084700514066</v>
      </c>
      <c r="H7" s="3">
        <f t="shared" si="2"/>
        <v>9.8883495441070224E-2</v>
      </c>
      <c r="I7" s="3"/>
      <c r="J7" s="2">
        <v>201503</v>
      </c>
      <c r="K7" s="3">
        <v>3.8776793403525902</v>
      </c>
      <c r="M7" s="2">
        <v>201503</v>
      </c>
      <c r="N7">
        <v>3.9143514852474599</v>
      </c>
      <c r="P7" s="2">
        <v>201503</v>
      </c>
      <c r="Q7">
        <v>3.7892119589480302</v>
      </c>
    </row>
    <row r="8" spans="2:17">
      <c r="B8" s="1">
        <v>42005</v>
      </c>
      <c r="C8" s="3">
        <v>4.1894571015034696</v>
      </c>
      <c r="D8">
        <v>4.1959626826517296</v>
      </c>
      <c r="E8">
        <v>4.0771089131905498</v>
      </c>
      <c r="F8" s="3">
        <f t="shared" si="0"/>
        <v>-6.5055811482599424E-3</v>
      </c>
      <c r="G8" s="3">
        <f t="shared" si="1"/>
        <v>0.11234818831291982</v>
      </c>
      <c r="H8" s="3">
        <f t="shared" si="2"/>
        <v>0.11885376946117976</v>
      </c>
      <c r="I8" s="3"/>
      <c r="J8" s="2">
        <v>201502</v>
      </c>
      <c r="K8" s="3">
        <v>4.0407399262607004</v>
      </c>
      <c r="M8" s="2">
        <v>201502</v>
      </c>
      <c r="N8">
        <v>4.03008257469663</v>
      </c>
      <c r="P8" s="2">
        <v>201502</v>
      </c>
      <c r="Q8">
        <v>3.9311990792555598</v>
      </c>
    </row>
    <row r="9" spans="2:17">
      <c r="B9" s="1">
        <v>41974</v>
      </c>
      <c r="C9" s="3">
        <v>4.2003065647893596</v>
      </c>
      <c r="D9">
        <v>4.2058962848490298</v>
      </c>
      <c r="E9">
        <v>4.1109757237293403</v>
      </c>
      <c r="F9" s="3">
        <f t="shared" si="0"/>
        <v>-5.5897200596701779E-3</v>
      </c>
      <c r="G9" s="3">
        <f t="shared" si="1"/>
        <v>8.9330841060019317E-2</v>
      </c>
      <c r="H9" s="3">
        <f t="shared" si="2"/>
        <v>9.4920561119689495E-2</v>
      </c>
      <c r="I9" s="3"/>
      <c r="J9" s="2">
        <v>201501</v>
      </c>
      <c r="K9" s="3">
        <v>4.1894571015034696</v>
      </c>
      <c r="M9" s="2">
        <v>201501</v>
      </c>
      <c r="N9">
        <v>4.1959626826517296</v>
      </c>
      <c r="P9" s="2">
        <v>201501</v>
      </c>
      <c r="Q9">
        <v>4.0771089131905498</v>
      </c>
    </row>
    <row r="10" spans="2:17">
      <c r="B10" s="1">
        <v>41944</v>
      </c>
      <c r="C10" s="3">
        <v>4.3274368083559898</v>
      </c>
      <c r="D10">
        <v>4.3793927505783996</v>
      </c>
      <c r="E10">
        <v>4.2594292316697704</v>
      </c>
      <c r="F10" s="3">
        <f t="shared" si="0"/>
        <v>-5.1955942222409845E-2</v>
      </c>
      <c r="G10" s="3">
        <f t="shared" si="1"/>
        <v>6.8007576686219373E-2</v>
      </c>
      <c r="H10" s="3">
        <f t="shared" si="2"/>
        <v>0.11996351890862922</v>
      </c>
      <c r="I10" s="3"/>
      <c r="J10" s="2">
        <v>201412</v>
      </c>
      <c r="K10" s="3">
        <v>4.2003065647893596</v>
      </c>
      <c r="M10" s="2">
        <v>201412</v>
      </c>
      <c r="N10">
        <v>4.2058962848490298</v>
      </c>
      <c r="P10" s="2">
        <v>201412</v>
      </c>
      <c r="Q10">
        <v>4.1109757237293403</v>
      </c>
    </row>
    <row r="11" spans="2:17">
      <c r="B11" s="1">
        <v>41913</v>
      </c>
      <c r="C11" s="3">
        <v>4.3421491903041902</v>
      </c>
      <c r="D11">
        <v>4.3838606546644101</v>
      </c>
      <c r="E11">
        <v>4.2880597528310602</v>
      </c>
      <c r="F11" s="3">
        <f t="shared" si="0"/>
        <v>-4.1711464360219885E-2</v>
      </c>
      <c r="G11" s="3">
        <f t="shared" si="1"/>
        <v>5.4089437473129998E-2</v>
      </c>
      <c r="H11" s="3">
        <f t="shared" si="2"/>
        <v>9.5800901833349883E-2</v>
      </c>
      <c r="I11" s="3"/>
      <c r="J11" s="2">
        <v>201411</v>
      </c>
      <c r="K11" s="3">
        <v>4.3274368083559898</v>
      </c>
      <c r="M11" s="2">
        <v>201411</v>
      </c>
      <c r="N11">
        <v>4.3793927505783996</v>
      </c>
      <c r="P11" s="2">
        <v>201411</v>
      </c>
      <c r="Q11">
        <v>4.2594292316697704</v>
      </c>
    </row>
    <row r="12" spans="2:17">
      <c r="B12" s="1">
        <v>41883</v>
      </c>
      <c r="C12" s="3">
        <v>4.3963441655133799</v>
      </c>
      <c r="D12">
        <v>4.4045618085049698</v>
      </c>
      <c r="E12">
        <v>4.2956025735138601</v>
      </c>
      <c r="F12" s="3">
        <f t="shared" si="0"/>
        <v>-8.2176429915898908E-3</v>
      </c>
      <c r="G12" s="3">
        <f t="shared" si="1"/>
        <v>0.10074159199951982</v>
      </c>
      <c r="H12" s="3">
        <f t="shared" si="2"/>
        <v>0.10895923499110971</v>
      </c>
      <c r="I12" s="3"/>
      <c r="J12" s="2">
        <v>201410</v>
      </c>
      <c r="K12" s="3">
        <v>4.3421491903041902</v>
      </c>
      <c r="M12" s="2">
        <v>201410</v>
      </c>
      <c r="N12">
        <v>4.3838606546644101</v>
      </c>
      <c r="P12" s="2">
        <v>201410</v>
      </c>
      <c r="Q12">
        <v>4.2880597528310602</v>
      </c>
    </row>
    <row r="13" spans="2:17">
      <c r="B13" s="1">
        <v>41852</v>
      </c>
      <c r="C13" s="3">
        <v>4.3820098505348097</v>
      </c>
      <c r="D13">
        <v>4.4009047694785997</v>
      </c>
      <c r="E13">
        <v>4.2778189402661901</v>
      </c>
      <c r="F13" s="3">
        <f t="shared" si="0"/>
        <v>-1.8894918943789918E-2</v>
      </c>
      <c r="G13" s="3">
        <f t="shared" si="1"/>
        <v>0.1041909102686196</v>
      </c>
      <c r="H13" s="3">
        <f t="shared" si="2"/>
        <v>0.12308582921240951</v>
      </c>
      <c r="I13" s="3"/>
      <c r="J13" s="2">
        <v>201409</v>
      </c>
      <c r="K13" s="3">
        <v>4.3963441655133799</v>
      </c>
      <c r="M13" s="2">
        <v>201409</v>
      </c>
      <c r="N13">
        <v>4.4045618085049698</v>
      </c>
      <c r="P13" s="2">
        <v>201409</v>
      </c>
      <c r="Q13">
        <v>4.2956025735138601</v>
      </c>
    </row>
    <row r="14" spans="2:17">
      <c r="B14" s="1">
        <v>41821</v>
      </c>
      <c r="C14" s="3">
        <v>4.4153258241703801</v>
      </c>
      <c r="D14">
        <v>4.4029859001785399</v>
      </c>
      <c r="E14">
        <v>4.3266598959485503</v>
      </c>
      <c r="F14" s="3">
        <f t="shared" si="0"/>
        <v>1.2339923991840251E-2</v>
      </c>
      <c r="G14" s="3">
        <f t="shared" si="1"/>
        <v>8.8665928221829837E-2</v>
      </c>
      <c r="H14" s="3">
        <f t="shared" si="2"/>
        <v>7.6326004229989586E-2</v>
      </c>
      <c r="I14" s="3"/>
      <c r="J14" s="2">
        <v>201408</v>
      </c>
      <c r="K14" s="3">
        <v>4.3820098505348097</v>
      </c>
      <c r="M14" s="2">
        <v>201408</v>
      </c>
      <c r="N14">
        <v>4.4009047694785997</v>
      </c>
      <c r="P14" s="2">
        <v>201408</v>
      </c>
      <c r="Q14">
        <v>4.2778189402661901</v>
      </c>
    </row>
    <row r="15" spans="2:17">
      <c r="B15" s="1">
        <v>41791</v>
      </c>
      <c r="C15" s="3">
        <v>4.5541265787680896</v>
      </c>
      <c r="D15">
        <v>4.5346683493221498</v>
      </c>
      <c r="E15">
        <v>4.44213747657985</v>
      </c>
      <c r="F15" s="3">
        <f t="shared" si="0"/>
        <v>1.9458229445939779E-2</v>
      </c>
      <c r="G15" s="3">
        <f t="shared" si="1"/>
        <v>0.11198910218823954</v>
      </c>
      <c r="H15" s="3">
        <f t="shared" si="2"/>
        <v>9.2530872742299763E-2</v>
      </c>
      <c r="I15" s="3"/>
      <c r="J15" s="2">
        <v>201407</v>
      </c>
      <c r="K15" s="3">
        <v>4.4153258241703801</v>
      </c>
      <c r="M15" s="2">
        <v>201407</v>
      </c>
      <c r="N15">
        <v>4.4029859001785399</v>
      </c>
      <c r="P15" s="2">
        <v>201407</v>
      </c>
      <c r="Q15">
        <v>4.3266598959485503</v>
      </c>
    </row>
    <row r="16" spans="2:17">
      <c r="B16" s="1">
        <v>41760</v>
      </c>
      <c r="C16" s="3">
        <v>4.5965060311896702</v>
      </c>
      <c r="D16">
        <v>4.6021674654647304</v>
      </c>
      <c r="E16">
        <v>4.5021224767829704</v>
      </c>
      <c r="F16" s="3">
        <f t="shared" si="0"/>
        <v>-5.6614342750602731E-3</v>
      </c>
      <c r="G16" s="3">
        <f t="shared" si="1"/>
        <v>9.4383554406699766E-2</v>
      </c>
      <c r="H16" s="3">
        <f t="shared" si="2"/>
        <v>0.10004498868176004</v>
      </c>
      <c r="I16" s="3"/>
      <c r="J16" s="2">
        <v>201406</v>
      </c>
      <c r="K16" s="3">
        <v>4.5541265787680896</v>
      </c>
      <c r="M16" s="2">
        <v>201406</v>
      </c>
      <c r="N16">
        <v>4.5346683493221498</v>
      </c>
      <c r="P16" s="2">
        <v>201406</v>
      </c>
      <c r="Q16">
        <v>4.44213747657985</v>
      </c>
    </row>
    <row r="17" spans="2:17">
      <c r="B17" s="1">
        <v>41730</v>
      </c>
      <c r="C17" s="3">
        <v>4.5935903100514599</v>
      </c>
      <c r="D17">
        <v>4.5845237426797301</v>
      </c>
      <c r="E17">
        <v>4.4636492393632503</v>
      </c>
      <c r="F17" s="3">
        <f t="shared" si="0"/>
        <v>9.066567371729839E-3</v>
      </c>
      <c r="G17" s="3">
        <f t="shared" si="1"/>
        <v>0.12994107068820959</v>
      </c>
      <c r="H17" s="3">
        <f t="shared" si="2"/>
        <v>0.12087450331647975</v>
      </c>
      <c r="I17" s="3"/>
      <c r="J17" s="2">
        <v>201405</v>
      </c>
      <c r="K17" s="3">
        <v>4.5965060311896702</v>
      </c>
      <c r="M17" s="2">
        <v>201405</v>
      </c>
      <c r="N17">
        <v>4.6021674654647304</v>
      </c>
      <c r="P17" s="2">
        <v>201405</v>
      </c>
      <c r="Q17">
        <v>4.5021224767829704</v>
      </c>
    </row>
    <row r="18" spans="2:17">
      <c r="B18" s="1">
        <v>41699</v>
      </c>
      <c r="C18" s="3">
        <v>4.6501683568840999</v>
      </c>
      <c r="D18">
        <v>4.6301367353531404</v>
      </c>
      <c r="E18">
        <v>4.5136461979142402</v>
      </c>
      <c r="F18" s="3">
        <f t="shared" si="0"/>
        <v>2.0031621530959498E-2</v>
      </c>
      <c r="G18" s="3">
        <f t="shared" si="1"/>
        <v>0.13652215896985975</v>
      </c>
      <c r="H18" s="3">
        <f t="shared" si="2"/>
        <v>0.11649053743890025</v>
      </c>
      <c r="I18" s="3"/>
      <c r="J18" s="2">
        <v>201404</v>
      </c>
      <c r="K18" s="3">
        <v>4.5935903100514599</v>
      </c>
      <c r="M18" s="2">
        <v>201404</v>
      </c>
      <c r="N18">
        <v>4.5845237426797301</v>
      </c>
      <c r="P18" s="2">
        <v>201404</v>
      </c>
      <c r="Q18">
        <v>4.4636492393632503</v>
      </c>
    </row>
    <row r="19" spans="2:17">
      <c r="B19" s="1">
        <v>41671</v>
      </c>
      <c r="C19" s="3">
        <v>4.6380265864111703</v>
      </c>
      <c r="D19">
        <v>4.6969163914643497</v>
      </c>
      <c r="E19">
        <v>4.5638514448369696</v>
      </c>
      <c r="F19" s="3">
        <f t="shared" si="0"/>
        <v>-5.8889805053179423E-2</v>
      </c>
      <c r="G19" s="3">
        <f t="shared" si="1"/>
        <v>7.4175141574200687E-2</v>
      </c>
      <c r="H19" s="3">
        <f t="shared" si="2"/>
        <v>0.13306494662738011</v>
      </c>
      <c r="I19" s="3"/>
      <c r="J19" s="2">
        <v>201403</v>
      </c>
      <c r="K19" s="3">
        <v>4.6501683568840999</v>
      </c>
      <c r="M19" s="2">
        <v>201403</v>
      </c>
      <c r="N19">
        <v>4.6301367353531404</v>
      </c>
      <c r="P19" s="2">
        <v>201403</v>
      </c>
      <c r="Q19">
        <v>4.5136461979142402</v>
      </c>
    </row>
    <row r="20" spans="2:17">
      <c r="B20" s="1">
        <v>41640</v>
      </c>
      <c r="C20" s="3">
        <v>4.5004666143839502</v>
      </c>
      <c r="D20">
        <v>4.5185053359464096</v>
      </c>
      <c r="E20">
        <v>4.4240419102644299</v>
      </c>
      <c r="F20" s="3">
        <f t="shared" si="0"/>
        <v>-1.8038721562459337E-2</v>
      </c>
      <c r="G20" s="3">
        <f t="shared" si="1"/>
        <v>7.6424704119520293E-2</v>
      </c>
      <c r="H20" s="3">
        <f t="shared" si="2"/>
        <v>9.4463425681979629E-2</v>
      </c>
      <c r="I20" s="3"/>
      <c r="J20" s="2">
        <v>201402</v>
      </c>
      <c r="K20" s="3">
        <v>4.6380265864111703</v>
      </c>
      <c r="M20" s="2">
        <v>201402</v>
      </c>
      <c r="N20">
        <v>4.6969163914643497</v>
      </c>
      <c r="P20" s="2">
        <v>201402</v>
      </c>
      <c r="Q20">
        <v>4.5638514448369696</v>
      </c>
    </row>
    <row r="21" spans="2:17">
      <c r="B21" s="1">
        <v>41609</v>
      </c>
      <c r="C21" s="3">
        <v>4.4778932371259703</v>
      </c>
      <c r="D21">
        <v>4.46507599143162</v>
      </c>
      <c r="E21">
        <v>4.3824344798206303</v>
      </c>
      <c r="F21" s="3">
        <f t="shared" si="0"/>
        <v>1.2817245694350277E-2</v>
      </c>
      <c r="G21" s="3">
        <f t="shared" si="1"/>
        <v>9.5458757305340036E-2</v>
      </c>
      <c r="H21" s="3">
        <f t="shared" si="2"/>
        <v>8.264151161098976E-2</v>
      </c>
      <c r="I21" s="3"/>
      <c r="J21" s="2">
        <v>201401</v>
      </c>
      <c r="K21" s="3">
        <v>4.5004666143839502</v>
      </c>
      <c r="M21" s="2">
        <v>201401</v>
      </c>
      <c r="N21">
        <v>4.5185053359464096</v>
      </c>
      <c r="P21" s="2">
        <v>201401</v>
      </c>
      <c r="Q21">
        <v>4.4240419102644299</v>
      </c>
    </row>
    <row r="22" spans="2:17">
      <c r="B22" s="1">
        <v>41579</v>
      </c>
      <c r="C22" s="3">
        <v>4.5773067623018404</v>
      </c>
      <c r="D22">
        <v>4.6207537146120901</v>
      </c>
      <c r="E22">
        <v>4.5297470307234198</v>
      </c>
      <c r="F22" s="3">
        <f t="shared" si="0"/>
        <v>-4.3446952310249642E-2</v>
      </c>
      <c r="G22" s="3">
        <f t="shared" si="1"/>
        <v>4.7559731578420639E-2</v>
      </c>
      <c r="H22" s="3">
        <f t="shared" si="2"/>
        <v>9.1006683888670281E-2</v>
      </c>
      <c r="I22" s="3"/>
      <c r="J22" s="2">
        <v>201312</v>
      </c>
      <c r="K22" s="3">
        <v>4.4778932371259703</v>
      </c>
      <c r="M22" s="2">
        <v>201312</v>
      </c>
      <c r="N22">
        <v>4.46507599143162</v>
      </c>
      <c r="P22" s="2">
        <v>201312</v>
      </c>
      <c r="Q22">
        <v>4.3824344798206303</v>
      </c>
    </row>
    <row r="23" spans="2:17">
      <c r="B23" s="1">
        <v>41548</v>
      </c>
      <c r="C23" s="3">
        <v>4.6039869758526004</v>
      </c>
      <c r="D23">
        <v>4.6193741299796498</v>
      </c>
      <c r="E23">
        <v>4.6259607989288698</v>
      </c>
      <c r="F23" s="3">
        <f t="shared" si="0"/>
        <v>-1.5387154127049385E-2</v>
      </c>
      <c r="G23" s="3">
        <f t="shared" si="1"/>
        <v>-2.1973823076269383E-2</v>
      </c>
      <c r="H23" s="3">
        <f t="shared" si="2"/>
        <v>-6.5866689492199981E-3</v>
      </c>
      <c r="I23" s="3"/>
      <c r="J23" s="2">
        <v>201311</v>
      </c>
      <c r="K23" s="3">
        <v>4.5773067623018404</v>
      </c>
      <c r="M23" s="2">
        <v>201311</v>
      </c>
      <c r="N23">
        <v>4.6207537146120901</v>
      </c>
      <c r="P23" s="2">
        <v>201311</v>
      </c>
      <c r="Q23">
        <v>4.5297470307234198</v>
      </c>
    </row>
    <row r="24" spans="2:17">
      <c r="B24" s="1">
        <v>41518</v>
      </c>
      <c r="C24" s="3">
        <v>4.3850895181552199</v>
      </c>
      <c r="D24">
        <v>4.4634246669411404</v>
      </c>
      <c r="E24">
        <v>4.4408998235735204</v>
      </c>
      <c r="F24" s="3">
        <f t="shared" si="0"/>
        <v>-7.8335148785920516E-2</v>
      </c>
      <c r="G24" s="3">
        <f t="shared" si="1"/>
        <v>-5.5810305418300565E-2</v>
      </c>
      <c r="H24" s="3">
        <f t="shared" si="2"/>
        <v>2.2524843367619951E-2</v>
      </c>
      <c r="I24" s="3"/>
      <c r="J24" s="2">
        <v>201310</v>
      </c>
      <c r="K24" s="3">
        <v>4.6039869758526004</v>
      </c>
      <c r="M24" s="2">
        <v>201310</v>
      </c>
      <c r="N24">
        <v>4.6193741299796498</v>
      </c>
      <c r="P24" s="2">
        <v>201310</v>
      </c>
      <c r="Q24">
        <v>4.6259607989288698</v>
      </c>
    </row>
    <row r="25" spans="2:17">
      <c r="B25" s="1">
        <v>41487</v>
      </c>
      <c r="C25" s="3">
        <v>4.03909840471424</v>
      </c>
      <c r="D25">
        <v>4.1665876046588997</v>
      </c>
      <c r="E25">
        <v>4.0888446481768002</v>
      </c>
      <c r="F25" s="3">
        <f t="shared" si="0"/>
        <v>-0.12748919994465968</v>
      </c>
      <c r="G25" s="3">
        <f t="shared" si="1"/>
        <v>-4.974624346256018E-2</v>
      </c>
      <c r="H25" s="3">
        <f t="shared" si="2"/>
        <v>7.7742956482099501E-2</v>
      </c>
      <c r="I25" s="3"/>
      <c r="J25" s="2">
        <v>201309</v>
      </c>
      <c r="K25" s="3">
        <v>4.3850895181552199</v>
      </c>
      <c r="M25" s="2">
        <v>201309</v>
      </c>
      <c r="N25">
        <v>4.4634246669411404</v>
      </c>
      <c r="P25" s="2">
        <v>201309</v>
      </c>
      <c r="Q25">
        <v>4.4408998235735204</v>
      </c>
    </row>
    <row r="26" spans="2:17">
      <c r="B26" s="1">
        <v>41456</v>
      </c>
      <c r="C26" s="3">
        <v>3.7713494858115801</v>
      </c>
      <c r="D26">
        <v>3.7989846965123202</v>
      </c>
      <c r="E26">
        <v>3.7427274077863499</v>
      </c>
      <c r="F26" s="3">
        <f t="shared" si="0"/>
        <v>-2.7635210700740043E-2</v>
      </c>
      <c r="G26" s="3">
        <f t="shared" si="1"/>
        <v>2.8622078025230202E-2</v>
      </c>
      <c r="H26" s="3">
        <f t="shared" si="2"/>
        <v>5.6257288725970245E-2</v>
      </c>
      <c r="I26" s="3"/>
      <c r="J26" s="2">
        <v>201308</v>
      </c>
      <c r="K26" s="3">
        <v>4.03909840471424</v>
      </c>
      <c r="M26" s="2">
        <v>201308</v>
      </c>
      <c r="N26">
        <v>4.1665876046588997</v>
      </c>
      <c r="P26" s="2">
        <v>201308</v>
      </c>
      <c r="Q26">
        <v>4.0888446481768002</v>
      </c>
    </row>
    <row r="27" spans="2:17">
      <c r="B27" s="1">
        <v>41426</v>
      </c>
      <c r="C27" s="3">
        <v>3.6945095577584599</v>
      </c>
      <c r="D27">
        <v>3.6802654404695399</v>
      </c>
      <c r="E27">
        <v>3.6266843452280999</v>
      </c>
      <c r="F27" s="3">
        <f t="shared" si="0"/>
        <v>1.4244117288920055E-2</v>
      </c>
      <c r="G27" s="3">
        <f t="shared" si="1"/>
        <v>6.7825212530360002E-2</v>
      </c>
      <c r="H27" s="3">
        <f t="shared" si="2"/>
        <v>5.3581095241439947E-2</v>
      </c>
      <c r="I27" s="3"/>
      <c r="J27" s="2">
        <v>201307</v>
      </c>
      <c r="K27" s="3">
        <v>3.7713494858115801</v>
      </c>
      <c r="M27" s="2">
        <v>201307</v>
      </c>
      <c r="N27">
        <v>3.7989846965123202</v>
      </c>
      <c r="P27" s="2">
        <v>201307</v>
      </c>
      <c r="Q27">
        <v>3.7427274077863499</v>
      </c>
    </row>
    <row r="28" spans="2:17">
      <c r="B28" s="1">
        <v>41395</v>
      </c>
      <c r="C28" s="3">
        <v>3.7432845529066698</v>
      </c>
      <c r="D28">
        <v>3.7292648139340598</v>
      </c>
      <c r="E28">
        <v>3.6863670795783201</v>
      </c>
      <c r="F28" s="3">
        <f t="shared" si="0"/>
        <v>1.4019738972609996E-2</v>
      </c>
      <c r="G28" s="3">
        <f t="shared" si="1"/>
        <v>5.6917473328349732E-2</v>
      </c>
      <c r="H28" s="3">
        <f t="shared" si="2"/>
        <v>4.2897734355739736E-2</v>
      </c>
      <c r="I28" s="3"/>
      <c r="J28" s="2">
        <v>201306</v>
      </c>
      <c r="K28" s="3">
        <v>3.6945095577584599</v>
      </c>
      <c r="M28" s="2">
        <v>201306</v>
      </c>
      <c r="N28">
        <v>3.6802654404695399</v>
      </c>
      <c r="P28" s="2">
        <v>201306</v>
      </c>
      <c r="Q28">
        <v>3.6266843452280999</v>
      </c>
    </row>
    <row r="29" spans="2:17">
      <c r="B29" s="1">
        <v>41365</v>
      </c>
      <c r="C29" s="3">
        <v>3.7187619806635501</v>
      </c>
      <c r="D29">
        <v>3.7073167808423402</v>
      </c>
      <c r="E29">
        <v>3.6526556085319801</v>
      </c>
      <c r="F29" s="3">
        <f t="shared" si="0"/>
        <v>1.144519982120995E-2</v>
      </c>
      <c r="G29" s="3">
        <f t="shared" si="1"/>
        <v>6.6106372131570001E-2</v>
      </c>
      <c r="H29" s="3">
        <f t="shared" si="2"/>
        <v>5.4661172310360051E-2</v>
      </c>
      <c r="I29" s="3"/>
      <c r="J29" s="2">
        <v>201305</v>
      </c>
      <c r="K29" s="3">
        <v>3.7432845529066698</v>
      </c>
      <c r="M29" s="2">
        <v>201305</v>
      </c>
      <c r="N29">
        <v>3.7292648139340598</v>
      </c>
      <c r="P29" s="2">
        <v>201305</v>
      </c>
      <c r="Q29">
        <v>3.6863670795783201</v>
      </c>
    </row>
    <row r="30" spans="2:17">
      <c r="B30" s="1">
        <v>41334</v>
      </c>
      <c r="C30" s="3">
        <v>3.6595182524472198</v>
      </c>
      <c r="D30">
        <v>3.6069163351139899</v>
      </c>
      <c r="E30">
        <v>3.5501833676699799</v>
      </c>
      <c r="F30" s="3">
        <f t="shared" si="0"/>
        <v>5.2601917333229942E-2</v>
      </c>
      <c r="G30" s="3">
        <f t="shared" si="1"/>
        <v>0.10933488477723996</v>
      </c>
      <c r="H30" s="3">
        <f t="shared" si="2"/>
        <v>5.6732967444010018E-2</v>
      </c>
      <c r="I30" s="3"/>
      <c r="J30" s="2">
        <v>201304</v>
      </c>
      <c r="K30" s="3">
        <v>3.7187619806635501</v>
      </c>
      <c r="M30" s="2">
        <v>201304</v>
      </c>
      <c r="N30">
        <v>3.7073167808423402</v>
      </c>
      <c r="P30" s="2">
        <v>201304</v>
      </c>
      <c r="Q30">
        <v>3.6526556085319801</v>
      </c>
    </row>
    <row r="31" spans="2:17">
      <c r="B31" s="1">
        <v>41306</v>
      </c>
      <c r="C31" s="3">
        <v>3.5441222077004899</v>
      </c>
      <c r="D31">
        <v>3.52669362654584</v>
      </c>
      <c r="E31">
        <v>3.4706536904649501</v>
      </c>
      <c r="F31" s="3">
        <f t="shared" si="0"/>
        <v>1.7428581154649958E-2</v>
      </c>
      <c r="G31" s="3">
        <f t="shared" si="1"/>
        <v>7.3468517235539821E-2</v>
      </c>
      <c r="H31" s="3">
        <f t="shared" si="2"/>
        <v>5.6039936080889863E-2</v>
      </c>
      <c r="I31" s="3"/>
      <c r="J31" s="2">
        <v>201303</v>
      </c>
      <c r="K31" s="3">
        <v>3.6595182524472198</v>
      </c>
      <c r="M31" s="2">
        <v>201303</v>
      </c>
      <c r="N31">
        <v>3.6069163351139899</v>
      </c>
      <c r="P31" s="2">
        <v>201303</v>
      </c>
      <c r="Q31">
        <v>3.5501833676699799</v>
      </c>
    </row>
    <row r="32" spans="2:17">
      <c r="B32" s="1">
        <v>41275</v>
      </c>
      <c r="C32" s="3">
        <v>3.5302460904744799</v>
      </c>
      <c r="D32">
        <v>3.50719928278733</v>
      </c>
      <c r="E32">
        <v>3.4617594851175499</v>
      </c>
      <c r="F32" s="3">
        <f t="shared" si="0"/>
        <v>2.3046807687149951E-2</v>
      </c>
      <c r="G32" s="3">
        <f t="shared" si="1"/>
        <v>6.8486605356929964E-2</v>
      </c>
      <c r="H32" s="3">
        <f t="shared" si="2"/>
        <v>4.5439797669780013E-2</v>
      </c>
      <c r="I32" s="3"/>
      <c r="J32" s="2">
        <v>201302</v>
      </c>
      <c r="K32" s="3">
        <v>3.5441222077004899</v>
      </c>
      <c r="M32" s="2">
        <v>201302</v>
      </c>
      <c r="N32">
        <v>3.52669362654584</v>
      </c>
      <c r="P32" s="2">
        <v>201302</v>
      </c>
      <c r="Q32">
        <v>3.4706536904649501</v>
      </c>
    </row>
    <row r="33" spans="2:17">
      <c r="B33" s="1">
        <v>41244</v>
      </c>
      <c r="C33" s="3">
        <v>3.5448481609765601</v>
      </c>
      <c r="D33">
        <v>3.5421345700565099</v>
      </c>
      <c r="E33">
        <v>3.4706136113091999</v>
      </c>
      <c r="F33" s="3">
        <f t="shared" si="0"/>
        <v>2.7135909200501906E-3</v>
      </c>
      <c r="G33" s="3">
        <f t="shared" si="1"/>
        <v>7.4234549667360206E-2</v>
      </c>
      <c r="H33" s="3">
        <f t="shared" si="2"/>
        <v>7.1520958747310015E-2</v>
      </c>
      <c r="I33" s="3"/>
      <c r="J33" s="2">
        <v>201301</v>
      </c>
      <c r="K33" s="3">
        <v>3.5302460904744799</v>
      </c>
      <c r="M33" s="2">
        <v>201301</v>
      </c>
      <c r="N33">
        <v>3.50719928278733</v>
      </c>
      <c r="P33" s="2">
        <v>201301</v>
      </c>
      <c r="Q33">
        <v>3.4617594851175499</v>
      </c>
    </row>
    <row r="34" spans="2:17">
      <c r="B34" s="1">
        <v>41214</v>
      </c>
      <c r="C34" s="3">
        <v>3.6344322946131902</v>
      </c>
      <c r="D34">
        <v>3.6112001136266101</v>
      </c>
      <c r="E34">
        <v>3.53429478094561</v>
      </c>
      <c r="F34" s="3">
        <f t="shared" si="0"/>
        <v>2.3232180986580087E-2</v>
      </c>
      <c r="G34" s="3">
        <f t="shared" si="1"/>
        <v>0.10013751366758017</v>
      </c>
      <c r="H34" s="3">
        <f t="shared" si="2"/>
        <v>7.6905332681000083E-2</v>
      </c>
      <c r="I34" s="3"/>
      <c r="J34" s="2">
        <v>201212</v>
      </c>
      <c r="K34" s="3">
        <v>3.5448481609765601</v>
      </c>
      <c r="M34" s="2">
        <v>201212</v>
      </c>
      <c r="N34">
        <v>3.5421345700565099</v>
      </c>
      <c r="P34" s="2">
        <v>201212</v>
      </c>
      <c r="Q34">
        <v>3.4706136113091999</v>
      </c>
    </row>
    <row r="35" spans="2:17">
      <c r="B35" s="1">
        <v>41183</v>
      </c>
      <c r="C35" s="3">
        <v>3.71543170485227</v>
      </c>
      <c r="D35">
        <v>3.6943353710364</v>
      </c>
      <c r="E35">
        <v>3.6402821920008201</v>
      </c>
      <c r="F35" s="3">
        <f t="shared" si="0"/>
        <v>2.1096333815870061E-2</v>
      </c>
      <c r="G35" s="3">
        <f t="shared" si="1"/>
        <v>7.5149512851449884E-2</v>
      </c>
      <c r="H35" s="3">
        <f t="shared" si="2"/>
        <v>5.4053179035579824E-2</v>
      </c>
      <c r="I35" s="3"/>
      <c r="J35" s="2">
        <v>201211</v>
      </c>
      <c r="K35" s="3">
        <v>3.6344322946131902</v>
      </c>
      <c r="M35" s="2">
        <v>201211</v>
      </c>
      <c r="N35">
        <v>3.6112001136266101</v>
      </c>
      <c r="P35" s="2">
        <v>201211</v>
      </c>
      <c r="Q35">
        <v>3.53429478094561</v>
      </c>
    </row>
    <row r="36" spans="2:17">
      <c r="B36" s="1">
        <v>41153</v>
      </c>
      <c r="C36" s="3">
        <v>3.7306644168779002</v>
      </c>
      <c r="D36">
        <v>3.7240757830785598</v>
      </c>
      <c r="E36">
        <v>3.66981635008894</v>
      </c>
      <c r="F36" s="3">
        <f t="shared" si="0"/>
        <v>6.5886337993403821E-3</v>
      </c>
      <c r="G36" s="3">
        <f t="shared" si="1"/>
        <v>6.0848066788960153E-2</v>
      </c>
      <c r="H36" s="3">
        <f t="shared" si="2"/>
        <v>5.4259432989619771E-2</v>
      </c>
      <c r="I36" s="3"/>
      <c r="J36" s="2">
        <v>201210</v>
      </c>
      <c r="K36" s="3">
        <v>3.71543170485227</v>
      </c>
      <c r="M36" s="2">
        <v>201210</v>
      </c>
      <c r="N36">
        <v>3.6943353710364</v>
      </c>
      <c r="P36" s="2">
        <v>201210</v>
      </c>
      <c r="Q36">
        <v>3.6402821920008201</v>
      </c>
    </row>
    <row r="37" spans="2:17">
      <c r="B37" s="1">
        <v>41122</v>
      </c>
      <c r="C37" s="3">
        <v>3.8156131856244802</v>
      </c>
      <c r="D37">
        <v>3.7873909297830801</v>
      </c>
      <c r="E37">
        <v>3.76562782023941</v>
      </c>
      <c r="F37" s="3">
        <f t="shared" si="0"/>
        <v>2.8222255841400035E-2</v>
      </c>
      <c r="G37" s="3">
        <f t="shared" si="1"/>
        <v>4.9985365385070146E-2</v>
      </c>
      <c r="H37" s="3">
        <f t="shared" si="2"/>
        <v>2.1763109543670112E-2</v>
      </c>
      <c r="I37" s="3"/>
      <c r="J37" s="2">
        <v>201209</v>
      </c>
      <c r="K37" s="3">
        <v>3.7306644168779002</v>
      </c>
      <c r="M37" s="2">
        <v>201209</v>
      </c>
      <c r="N37">
        <v>3.7240757830785598</v>
      </c>
      <c r="P37" s="2">
        <v>201209</v>
      </c>
      <c r="Q37">
        <v>3.66981635008894</v>
      </c>
    </row>
    <row r="38" spans="2:17">
      <c r="B38" s="1">
        <v>41091</v>
      </c>
      <c r="C38" s="3">
        <v>3.9343711178312302</v>
      </c>
      <c r="D38">
        <v>3.8732918215302301</v>
      </c>
      <c r="E38">
        <v>3.87250223322016</v>
      </c>
      <c r="F38" s="3">
        <f t="shared" si="0"/>
        <v>6.1079296301000063E-2</v>
      </c>
      <c r="G38" s="3">
        <f t="shared" si="1"/>
        <v>6.1868884611070207E-2</v>
      </c>
      <c r="H38" s="3">
        <f t="shared" si="2"/>
        <v>7.8958831007014396E-4</v>
      </c>
      <c r="I38" s="3"/>
      <c r="J38" s="2">
        <v>201208</v>
      </c>
      <c r="K38" s="3">
        <v>3.8156131856244802</v>
      </c>
      <c r="M38" s="2">
        <v>201208</v>
      </c>
      <c r="N38">
        <v>3.7873909297830801</v>
      </c>
      <c r="P38" s="2">
        <v>201208</v>
      </c>
      <c r="Q38">
        <v>3.76562782023941</v>
      </c>
    </row>
    <row r="39" spans="2:17">
      <c r="B39" s="1">
        <v>41061</v>
      </c>
      <c r="C39" s="3">
        <v>4.0807261532797501</v>
      </c>
      <c r="D39">
        <v>4.0131221353162303</v>
      </c>
      <c r="E39">
        <v>3.9955164445293199</v>
      </c>
      <c r="F39" s="3">
        <f t="shared" si="0"/>
        <v>6.760401796351978E-2</v>
      </c>
      <c r="G39" s="3">
        <f t="shared" si="1"/>
        <v>8.5209708750430213E-2</v>
      </c>
      <c r="H39" s="3">
        <f t="shared" si="2"/>
        <v>1.7605690786910433E-2</v>
      </c>
      <c r="I39" s="3"/>
      <c r="J39" s="2">
        <v>201207</v>
      </c>
      <c r="K39" s="3">
        <v>3.9343711178312302</v>
      </c>
      <c r="M39" s="2">
        <v>201207</v>
      </c>
      <c r="N39">
        <v>3.8732918215302301</v>
      </c>
      <c r="P39" s="2">
        <v>201207</v>
      </c>
      <c r="Q39">
        <v>3.87250223322016</v>
      </c>
    </row>
    <row r="40" spans="2:17">
      <c r="B40" s="1">
        <v>41030</v>
      </c>
      <c r="C40" s="3">
        <v>4.1003008964526</v>
      </c>
      <c r="D40">
        <v>4.0312222038095804</v>
      </c>
      <c r="E40">
        <v>4.0016950687683703</v>
      </c>
      <c r="F40" s="3">
        <f t="shared" si="0"/>
        <v>6.9078692643019579E-2</v>
      </c>
      <c r="G40" s="3">
        <f t="shared" si="1"/>
        <v>9.8605827684229652E-2</v>
      </c>
      <c r="H40" s="3">
        <f t="shared" si="2"/>
        <v>2.9527135041210073E-2</v>
      </c>
      <c r="I40" s="3"/>
      <c r="J40" s="2">
        <v>201206</v>
      </c>
      <c r="K40" s="3">
        <v>4.0807261532797501</v>
      </c>
      <c r="M40" s="2">
        <v>201206</v>
      </c>
      <c r="N40">
        <v>4.0131221353162303</v>
      </c>
      <c r="P40" s="2">
        <v>201206</v>
      </c>
      <c r="Q40">
        <v>3.9955164445293199</v>
      </c>
    </row>
    <row r="41" spans="2:17">
      <c r="B41" s="1">
        <v>41000</v>
      </c>
      <c r="C41" s="3">
        <v>4.0464330554060801</v>
      </c>
      <c r="D41">
        <v>3.98913374268643</v>
      </c>
      <c r="E41">
        <v>3.9417369029783802</v>
      </c>
      <c r="F41" s="3">
        <f t="shared" si="0"/>
        <v>5.7299312719650164E-2</v>
      </c>
      <c r="G41" s="3">
        <f t="shared" si="1"/>
        <v>0.10469615242769992</v>
      </c>
      <c r="H41" s="3">
        <f t="shared" si="2"/>
        <v>4.7396839708049754E-2</v>
      </c>
      <c r="I41" s="3"/>
      <c r="J41" s="2">
        <v>201205</v>
      </c>
      <c r="K41" s="3">
        <v>4.1003008964526</v>
      </c>
      <c r="M41" s="2">
        <v>201205</v>
      </c>
      <c r="N41">
        <v>4.0312222038095804</v>
      </c>
      <c r="P41" s="2">
        <v>201205</v>
      </c>
      <c r="Q41">
        <v>4.0016950687683703</v>
      </c>
    </row>
    <row r="42" spans="2:17">
      <c r="B42" s="1">
        <v>40969</v>
      </c>
      <c r="C42" s="3">
        <v>4.0440818109932399</v>
      </c>
      <c r="D42">
        <v>4.0169016107810904</v>
      </c>
      <c r="E42">
        <v>3.9523276428813401</v>
      </c>
      <c r="F42" s="3">
        <f t="shared" si="0"/>
        <v>2.7180200212149508E-2</v>
      </c>
      <c r="G42" s="3">
        <f t="shared" si="1"/>
        <v>9.1754168111899848E-2</v>
      </c>
      <c r="H42" s="3">
        <f t="shared" si="2"/>
        <v>6.457396789975034E-2</v>
      </c>
      <c r="I42" s="3"/>
      <c r="J42" s="2">
        <v>201204</v>
      </c>
      <c r="K42" s="3">
        <v>4.0464330554060801</v>
      </c>
      <c r="M42" s="2">
        <v>201204</v>
      </c>
      <c r="N42">
        <v>3.98913374268643</v>
      </c>
      <c r="P42" s="2">
        <v>201204</v>
      </c>
      <c r="Q42">
        <v>3.9417369029783802</v>
      </c>
    </row>
    <row r="43" spans="2:17">
      <c r="B43" s="1">
        <v>40940</v>
      </c>
      <c r="C43" s="3">
        <v>4.0975330094603102</v>
      </c>
      <c r="D43">
        <v>4.0653363232654396</v>
      </c>
      <c r="E43">
        <v>4.0288902628654997</v>
      </c>
      <c r="F43" s="3">
        <f t="shared" si="0"/>
        <v>3.2196686194870594E-2</v>
      </c>
      <c r="G43" s="3">
        <f t="shared" si="1"/>
        <v>6.8642746594810511E-2</v>
      </c>
      <c r="H43" s="3">
        <f t="shared" si="2"/>
        <v>3.6446060399939917E-2</v>
      </c>
      <c r="I43" s="3"/>
      <c r="J43" s="2">
        <v>201203</v>
      </c>
      <c r="K43" s="3">
        <v>4.0440818109932399</v>
      </c>
      <c r="M43" s="2">
        <v>201203</v>
      </c>
      <c r="N43">
        <v>4.0169016107810904</v>
      </c>
      <c r="P43" s="2">
        <v>201203</v>
      </c>
      <c r="Q43">
        <v>3.9523276428813401</v>
      </c>
    </row>
    <row r="44" spans="2:17">
      <c r="B44" s="1">
        <v>40909</v>
      </c>
      <c r="C44" s="3">
        <v>4.1926827180030903</v>
      </c>
      <c r="D44">
        <v>4.1263835215617997</v>
      </c>
      <c r="E44">
        <v>4.1047144188130602</v>
      </c>
      <c r="F44" s="3">
        <f t="shared" si="0"/>
        <v>6.6299196441290675E-2</v>
      </c>
      <c r="G44" s="3">
        <f t="shared" si="1"/>
        <v>8.796829919003013E-2</v>
      </c>
      <c r="H44" s="3">
        <f t="shared" si="2"/>
        <v>2.1669102748739455E-2</v>
      </c>
      <c r="I44" s="3"/>
      <c r="J44" s="2">
        <v>201202</v>
      </c>
      <c r="K44" s="3">
        <v>4.0975330094603102</v>
      </c>
      <c r="M44" s="2">
        <v>201202</v>
      </c>
      <c r="N44">
        <v>4.0653363232654396</v>
      </c>
      <c r="P44" s="2">
        <v>201202</v>
      </c>
      <c r="Q44">
        <v>4.0288902628654997</v>
      </c>
    </row>
    <row r="45" spans="2:17">
      <c r="B45" s="1">
        <v>40878</v>
      </c>
      <c r="C45" s="3">
        <v>4.1929924996765697</v>
      </c>
      <c r="D45">
        <v>4.1501280929391298</v>
      </c>
      <c r="E45">
        <v>4.0935535212387304</v>
      </c>
      <c r="F45" s="3">
        <f t="shared" si="0"/>
        <v>4.2864406737439964E-2</v>
      </c>
      <c r="G45" s="3">
        <f t="shared" si="1"/>
        <v>9.9438978437839332E-2</v>
      </c>
      <c r="H45" s="3">
        <f t="shared" si="2"/>
        <v>5.6574571700399368E-2</v>
      </c>
      <c r="I45" s="3"/>
      <c r="J45" s="2">
        <v>201201</v>
      </c>
      <c r="K45" s="3">
        <v>4.1926827180030903</v>
      </c>
      <c r="M45" s="2">
        <v>201201</v>
      </c>
      <c r="N45">
        <v>4.1263835215617997</v>
      </c>
      <c r="P45" s="2">
        <v>201201</v>
      </c>
      <c r="Q45">
        <v>4.1047144188130602</v>
      </c>
    </row>
    <row r="46" spans="2:17">
      <c r="B46" s="1">
        <v>40848</v>
      </c>
      <c r="C46" s="3">
        <v>4.2262522361651698</v>
      </c>
      <c r="D46">
        <v>4.1578979589012102</v>
      </c>
      <c r="E46">
        <v>4.1410263188936396</v>
      </c>
      <c r="F46" s="3">
        <f t="shared" si="0"/>
        <v>6.8354277263959595E-2</v>
      </c>
      <c r="G46" s="3">
        <f t="shared" si="1"/>
        <v>8.5225917271530172E-2</v>
      </c>
      <c r="H46" s="3">
        <f t="shared" si="2"/>
        <v>1.6871640007570576E-2</v>
      </c>
      <c r="I46" s="3"/>
      <c r="J46" s="2">
        <v>201112</v>
      </c>
      <c r="K46" s="3">
        <v>4.1929924996765697</v>
      </c>
      <c r="M46" s="2">
        <v>201112</v>
      </c>
      <c r="N46">
        <v>4.1501280929391298</v>
      </c>
      <c r="P46" s="2">
        <v>201112</v>
      </c>
      <c r="Q46">
        <v>4.0935535212387304</v>
      </c>
    </row>
    <row r="47" spans="2:17">
      <c r="B47" s="1">
        <v>40817</v>
      </c>
      <c r="C47" s="3">
        <v>4.40363565968432</v>
      </c>
      <c r="D47">
        <v>4.2965342536245101</v>
      </c>
      <c r="E47">
        <v>4.2492348498689596</v>
      </c>
      <c r="F47" s="3">
        <f t="shared" si="0"/>
        <v>0.10710140605980989</v>
      </c>
      <c r="G47" s="3">
        <f t="shared" si="1"/>
        <v>0.15440080981536042</v>
      </c>
      <c r="H47" s="3">
        <f t="shared" si="2"/>
        <v>4.7299403755550529E-2</v>
      </c>
      <c r="I47" s="3"/>
      <c r="J47" s="2">
        <v>201111</v>
      </c>
      <c r="K47" s="3">
        <v>4.2262522361651698</v>
      </c>
      <c r="M47" s="2">
        <v>201111</v>
      </c>
      <c r="N47">
        <v>4.1578979589012102</v>
      </c>
      <c r="P47" s="2">
        <v>201111</v>
      </c>
      <c r="Q47">
        <v>4.1410263188936396</v>
      </c>
    </row>
    <row r="48" spans="2:17">
      <c r="B48" s="1">
        <v>40787</v>
      </c>
      <c r="C48" s="3">
        <v>4.6408405109614002</v>
      </c>
      <c r="D48">
        <v>4.5895405427248397</v>
      </c>
      <c r="E48">
        <v>4.5142366110604799</v>
      </c>
      <c r="F48" s="3">
        <f t="shared" si="0"/>
        <v>5.1299968236560467E-2</v>
      </c>
      <c r="G48" s="3">
        <f t="shared" si="1"/>
        <v>0.12660389990092025</v>
      </c>
      <c r="H48" s="3">
        <f t="shared" si="2"/>
        <v>7.530393166435978E-2</v>
      </c>
      <c r="I48" s="3"/>
      <c r="J48" s="2">
        <v>201110</v>
      </c>
      <c r="K48" s="3">
        <v>4.40363565968432</v>
      </c>
      <c r="M48" s="2">
        <v>201110</v>
      </c>
      <c r="N48">
        <v>4.2965342536245101</v>
      </c>
      <c r="P48" s="2">
        <v>201110</v>
      </c>
      <c r="Q48">
        <v>4.2492348498689596</v>
      </c>
    </row>
    <row r="49" spans="2:17">
      <c r="B49" s="1">
        <v>40756</v>
      </c>
      <c r="C49" s="3">
        <v>4.7621723516673704</v>
      </c>
      <c r="D49">
        <v>4.7171616428415897</v>
      </c>
      <c r="E49">
        <v>4.6920023126203096</v>
      </c>
      <c r="F49" s="3">
        <f t="shared" si="0"/>
        <v>4.5010708825780732E-2</v>
      </c>
      <c r="G49" s="3">
        <f t="shared" si="1"/>
        <v>7.0170039047060762E-2</v>
      </c>
      <c r="H49" s="3">
        <f t="shared" si="2"/>
        <v>2.515933022128003E-2</v>
      </c>
      <c r="I49" s="3"/>
      <c r="J49" s="2">
        <v>201109</v>
      </c>
      <c r="K49" s="3">
        <v>4.6408405109614002</v>
      </c>
      <c r="M49" s="2">
        <v>201109</v>
      </c>
      <c r="N49">
        <v>4.5895405427248397</v>
      </c>
      <c r="P49" s="2">
        <v>201109</v>
      </c>
      <c r="Q49">
        <v>4.5142366110604799</v>
      </c>
    </row>
    <row r="50" spans="2:17">
      <c r="B50" s="1">
        <v>40725</v>
      </c>
      <c r="C50" s="3">
        <v>4.8394284759145902</v>
      </c>
      <c r="D50">
        <v>4.7804618659226801</v>
      </c>
      <c r="E50">
        <v>4.76403948215646</v>
      </c>
      <c r="F50" s="3">
        <f t="shared" si="0"/>
        <v>5.8966609991910168E-2</v>
      </c>
      <c r="G50" s="3">
        <f t="shared" si="1"/>
        <v>7.5388993758130241E-2</v>
      </c>
      <c r="H50" s="3">
        <f t="shared" si="2"/>
        <v>1.6422383766220072E-2</v>
      </c>
      <c r="I50" s="3"/>
      <c r="J50" s="2">
        <v>201108</v>
      </c>
      <c r="K50" s="3">
        <v>4.7621723516673704</v>
      </c>
      <c r="M50" s="2">
        <v>201108</v>
      </c>
      <c r="N50">
        <v>4.7171616428415897</v>
      </c>
      <c r="P50" s="2">
        <v>201108</v>
      </c>
      <c r="Q50">
        <v>4.6920023126203096</v>
      </c>
    </row>
    <row r="51" spans="2:17">
      <c r="B51" s="1">
        <v>40695</v>
      </c>
      <c r="C51" s="3">
        <v>5.0203191734284101</v>
      </c>
      <c r="D51">
        <v>4.9691043965768698</v>
      </c>
      <c r="E51">
        <v>4.9263596355891996</v>
      </c>
      <c r="F51" s="3">
        <f t="shared" si="0"/>
        <v>5.12147768515403E-2</v>
      </c>
      <c r="G51" s="3">
        <f t="shared" si="1"/>
        <v>9.3959537839210405E-2</v>
      </c>
      <c r="H51" s="3">
        <f t="shared" si="2"/>
        <v>4.2744760987670105E-2</v>
      </c>
      <c r="I51" s="3"/>
      <c r="J51" s="2">
        <v>201107</v>
      </c>
      <c r="K51" s="3">
        <v>4.8394284759145902</v>
      </c>
      <c r="M51" s="2">
        <v>201107</v>
      </c>
      <c r="N51">
        <v>4.7804618659226801</v>
      </c>
      <c r="P51" s="2">
        <v>201107</v>
      </c>
      <c r="Q51">
        <v>4.76403948215646</v>
      </c>
    </row>
    <row r="52" spans="2:17">
      <c r="B52" s="1">
        <v>40664</v>
      </c>
      <c r="C52" s="3">
        <v>5.0529203570004304</v>
      </c>
      <c r="D52">
        <v>5.0323481445223601</v>
      </c>
      <c r="E52">
        <v>4.9687213025544903</v>
      </c>
      <c r="F52" s="3">
        <f t="shared" si="0"/>
        <v>2.0572212478070284E-2</v>
      </c>
      <c r="G52" s="3">
        <f t="shared" si="1"/>
        <v>8.4199054445940114E-2</v>
      </c>
      <c r="H52" s="3">
        <f t="shared" si="2"/>
        <v>6.3626841967869829E-2</v>
      </c>
      <c r="I52" s="3"/>
      <c r="J52" s="2">
        <v>201106</v>
      </c>
      <c r="K52" s="3">
        <v>5.0203191734284101</v>
      </c>
      <c r="M52" s="2">
        <v>201106</v>
      </c>
      <c r="N52">
        <v>4.9691043965768698</v>
      </c>
      <c r="P52" s="2">
        <v>201106</v>
      </c>
      <c r="Q52">
        <v>4.9263596355891996</v>
      </c>
    </row>
    <row r="53" spans="2:17">
      <c r="B53" s="1">
        <v>40634</v>
      </c>
      <c r="C53" s="3">
        <v>5.0000383710524501</v>
      </c>
      <c r="D53">
        <v>5.0528870054575803</v>
      </c>
      <c r="E53">
        <v>4.9487438922149396</v>
      </c>
      <c r="F53" s="3">
        <f t="shared" si="0"/>
        <v>-5.2848634405130213E-2</v>
      </c>
      <c r="G53" s="3">
        <f t="shared" si="1"/>
        <v>5.1294478837510482E-2</v>
      </c>
      <c r="H53" s="3">
        <f t="shared" si="2"/>
        <v>0.10414311324264069</v>
      </c>
      <c r="I53" s="3"/>
      <c r="J53" s="2">
        <v>201105</v>
      </c>
      <c r="K53" s="3">
        <v>5.0529203570004304</v>
      </c>
      <c r="M53" s="2">
        <v>201105</v>
      </c>
      <c r="N53">
        <v>5.0323481445223601</v>
      </c>
      <c r="P53" s="2">
        <v>201105</v>
      </c>
      <c r="Q53">
        <v>4.9687213025544903</v>
      </c>
    </row>
    <row r="54" spans="2:17">
      <c r="B54" s="1">
        <v>40603</v>
      </c>
      <c r="C54" s="3">
        <v>4.7892160002137096</v>
      </c>
      <c r="D54">
        <v>4.96562004198785</v>
      </c>
      <c r="E54">
        <v>4.7597244189202996</v>
      </c>
      <c r="F54" s="3">
        <f t="shared" si="0"/>
        <v>-0.17640404177414037</v>
      </c>
      <c r="G54" s="3">
        <f t="shared" si="1"/>
        <v>2.9491581293410007E-2</v>
      </c>
      <c r="H54" s="3">
        <f t="shared" si="2"/>
        <v>0.20589562306755038</v>
      </c>
      <c r="I54" s="3"/>
      <c r="J54" s="2">
        <v>201104</v>
      </c>
      <c r="K54" s="3">
        <v>5.0000383710524501</v>
      </c>
      <c r="M54" s="2">
        <v>201104</v>
      </c>
      <c r="N54">
        <v>5.0528870054575803</v>
      </c>
      <c r="P54" s="2">
        <v>201104</v>
      </c>
      <c r="Q54">
        <v>4.9487438922149396</v>
      </c>
    </row>
    <row r="55" spans="2:17">
      <c r="B55" s="1">
        <v>40575</v>
      </c>
      <c r="C55" s="3">
        <v>4.6046351461284898</v>
      </c>
      <c r="D55">
        <v>4.74216238943721</v>
      </c>
      <c r="E55">
        <v>4.5564746336264301</v>
      </c>
      <c r="F55" s="3">
        <f t="shared" si="0"/>
        <v>-0.13752724330872024</v>
      </c>
      <c r="G55" s="3">
        <f t="shared" si="1"/>
        <v>4.816051250205966E-2</v>
      </c>
      <c r="H55" s="3">
        <f t="shared" si="2"/>
        <v>0.1856877558107799</v>
      </c>
      <c r="I55" s="3"/>
      <c r="J55" s="2">
        <v>201103</v>
      </c>
      <c r="K55" s="3">
        <v>4.7892160002137096</v>
      </c>
      <c r="M55" s="2">
        <v>201103</v>
      </c>
      <c r="N55">
        <v>4.96562004198785</v>
      </c>
      <c r="P55" s="2">
        <v>201103</v>
      </c>
      <c r="Q55">
        <v>4.7597244189202996</v>
      </c>
    </row>
    <row r="56" spans="2:17">
      <c r="B56" s="1">
        <v>40544</v>
      </c>
      <c r="C56" s="3">
        <v>4.4139082685069901</v>
      </c>
      <c r="D56">
        <v>4.4324126048369896</v>
      </c>
      <c r="E56">
        <v>4.3667577714882899</v>
      </c>
      <c r="F56" s="3">
        <f t="shared" si="0"/>
        <v>-1.8504336329999482E-2</v>
      </c>
      <c r="G56" s="3">
        <f t="shared" si="1"/>
        <v>4.7150497018700221E-2</v>
      </c>
      <c r="H56" s="3">
        <f t="shared" si="2"/>
        <v>6.5654833348699704E-2</v>
      </c>
      <c r="I56" s="3"/>
      <c r="J56" s="2">
        <v>201102</v>
      </c>
      <c r="K56" s="3">
        <v>4.6046351461284898</v>
      </c>
      <c r="M56" s="2">
        <v>201102</v>
      </c>
      <c r="N56">
        <v>4.74216238943721</v>
      </c>
      <c r="P56" s="2">
        <v>201102</v>
      </c>
      <c r="Q56">
        <v>4.5564746336264301</v>
      </c>
    </row>
    <row r="57" spans="2:17">
      <c r="B57" s="1">
        <v>40513</v>
      </c>
      <c r="C57" s="3">
        <v>4.3793216070730701</v>
      </c>
      <c r="D57">
        <v>4.2752938789089399</v>
      </c>
      <c r="E57">
        <v>4.3142420052901302</v>
      </c>
      <c r="F57" s="3">
        <f t="shared" si="0"/>
        <v>0.1040277281641302</v>
      </c>
      <c r="G57" s="3">
        <f t="shared" si="1"/>
        <v>6.5079601782939811E-2</v>
      </c>
      <c r="H57" s="3">
        <f t="shared" si="2"/>
        <v>-3.8948126381190384E-2</v>
      </c>
      <c r="I57" s="3"/>
      <c r="J57" s="2">
        <v>201101</v>
      </c>
      <c r="K57" s="3">
        <v>4.4139082685069901</v>
      </c>
      <c r="M57" s="2">
        <v>201101</v>
      </c>
      <c r="N57">
        <v>4.4324126048369896</v>
      </c>
      <c r="P57" s="2">
        <v>201101</v>
      </c>
      <c r="Q57">
        <v>4.3667577714882899</v>
      </c>
    </row>
    <row r="58" spans="2:17">
      <c r="B58" s="1">
        <v>40483</v>
      </c>
      <c r="C58" s="3">
        <v>4.4667650360015303</v>
      </c>
      <c r="D58">
        <v>4.4190151030863802</v>
      </c>
      <c r="E58">
        <v>4.3787749368912996</v>
      </c>
      <c r="F58" s="3">
        <f t="shared" si="0"/>
        <v>4.7749932915150062E-2</v>
      </c>
      <c r="G58" s="3">
        <f t="shared" si="1"/>
        <v>8.7990099110230702E-2</v>
      </c>
      <c r="H58" s="3">
        <f t="shared" si="2"/>
        <v>4.024016619508064E-2</v>
      </c>
      <c r="I58" s="3"/>
      <c r="J58" s="2">
        <v>201012</v>
      </c>
      <c r="K58" s="3">
        <v>4.3793216070730701</v>
      </c>
      <c r="M58" s="2">
        <v>201012</v>
      </c>
      <c r="N58">
        <v>4.2752938789089399</v>
      </c>
      <c r="P58" s="2">
        <v>201012</v>
      </c>
      <c r="Q58">
        <v>4.3142420052901302</v>
      </c>
    </row>
    <row r="59" spans="2:17">
      <c r="B59" s="1">
        <v>40452</v>
      </c>
      <c r="C59" s="3">
        <v>4.5328837842016103</v>
      </c>
      <c r="D59">
        <v>4.515528435507</v>
      </c>
      <c r="E59">
        <v>4.4457012041651298</v>
      </c>
      <c r="F59" s="3">
        <f t="shared" si="0"/>
        <v>1.7355348694610306E-2</v>
      </c>
      <c r="G59" s="3">
        <f t="shared" si="1"/>
        <v>8.7182580036480495E-2</v>
      </c>
      <c r="H59" s="3">
        <f t="shared" si="2"/>
        <v>6.9827231341870188E-2</v>
      </c>
      <c r="I59" s="3"/>
      <c r="J59" s="2">
        <v>201011</v>
      </c>
      <c r="K59" s="3">
        <v>4.4667650360015303</v>
      </c>
      <c r="M59" s="2">
        <v>201011</v>
      </c>
      <c r="N59">
        <v>4.4190151030863802</v>
      </c>
      <c r="P59" s="2">
        <v>201011</v>
      </c>
      <c r="Q59">
        <v>4.3787749368912996</v>
      </c>
    </row>
    <row r="60" spans="2:17">
      <c r="B60" s="1">
        <v>40422</v>
      </c>
      <c r="C60" s="3">
        <v>4.6416834691442803</v>
      </c>
      <c r="D60">
        <v>4.6182423965088102</v>
      </c>
      <c r="E60">
        <v>4.5466457075667899</v>
      </c>
      <c r="F60" s="3">
        <f t="shared" si="0"/>
        <v>2.3441072635470128E-2</v>
      </c>
      <c r="G60" s="3">
        <f t="shared" si="1"/>
        <v>9.5037761577490443E-2</v>
      </c>
      <c r="H60" s="3">
        <f t="shared" si="2"/>
        <v>7.1596688942020315E-2</v>
      </c>
      <c r="I60" s="3"/>
      <c r="J60" s="2">
        <v>201010</v>
      </c>
      <c r="K60" s="3">
        <v>4.5328837842016103</v>
      </c>
      <c r="M60" s="2">
        <v>201010</v>
      </c>
      <c r="N60">
        <v>4.515528435507</v>
      </c>
      <c r="P60" s="2">
        <v>201010</v>
      </c>
      <c r="Q60">
        <v>4.4457012041651298</v>
      </c>
    </row>
    <row r="61" spans="2:17">
      <c r="B61" s="1">
        <v>40391</v>
      </c>
      <c r="C61" s="3">
        <v>4.7870742057965803</v>
      </c>
      <c r="D61">
        <v>4.7956442143931097</v>
      </c>
      <c r="E61">
        <v>4.6969698472769403</v>
      </c>
      <c r="F61" s="3">
        <f t="shared" si="0"/>
        <v>-8.5700085965294548E-3</v>
      </c>
      <c r="G61" s="3">
        <f t="shared" si="1"/>
        <v>9.0104358519639938E-2</v>
      </c>
      <c r="H61" s="3">
        <f t="shared" si="2"/>
        <v>9.8674367116169392E-2</v>
      </c>
      <c r="I61" s="3"/>
      <c r="J61" s="2">
        <v>201009</v>
      </c>
      <c r="K61" s="3">
        <v>4.6416834691442803</v>
      </c>
      <c r="M61" s="2">
        <v>201009</v>
      </c>
      <c r="N61">
        <v>4.6182423965088102</v>
      </c>
      <c r="P61" s="2">
        <v>201009</v>
      </c>
      <c r="Q61">
        <v>4.5466457075667899</v>
      </c>
    </row>
    <row r="62" spans="2:17">
      <c r="B62" s="1">
        <v>40360</v>
      </c>
      <c r="C62" s="3">
        <v>4.9860579030232204</v>
      </c>
      <c r="D62">
        <v>5.0062789630099802</v>
      </c>
      <c r="E62">
        <v>4.9006417532334599</v>
      </c>
      <c r="F62" s="3">
        <f t="shared" si="0"/>
        <v>-2.0221059986759826E-2</v>
      </c>
      <c r="G62" s="3">
        <f t="shared" si="1"/>
        <v>8.5416149789760532E-2</v>
      </c>
      <c r="H62" s="3">
        <f t="shared" si="2"/>
        <v>0.10563720977652036</v>
      </c>
      <c r="I62" s="3"/>
      <c r="J62" s="2">
        <v>201008</v>
      </c>
      <c r="K62" s="3">
        <v>4.7870742057965803</v>
      </c>
      <c r="M62" s="2">
        <v>201008</v>
      </c>
      <c r="N62">
        <v>4.7956442143931097</v>
      </c>
      <c r="P62" s="2">
        <v>201008</v>
      </c>
      <c r="Q62">
        <v>4.6969698472769403</v>
      </c>
    </row>
    <row r="63" spans="2:17">
      <c r="B63" s="1">
        <v>40330</v>
      </c>
      <c r="C63" s="3">
        <v>5.1267410288289996</v>
      </c>
      <c r="D63">
        <v>5.1402696624108302</v>
      </c>
      <c r="E63">
        <v>5.0989236837966798</v>
      </c>
      <c r="F63" s="3">
        <f t="shared" si="0"/>
        <v>-1.352863358183054E-2</v>
      </c>
      <c r="G63" s="3">
        <f t="shared" si="1"/>
        <v>2.7817345032319807E-2</v>
      </c>
      <c r="H63" s="3">
        <f t="shared" si="2"/>
        <v>4.1345978614150347E-2</v>
      </c>
      <c r="I63" s="3"/>
      <c r="J63" s="2">
        <v>201007</v>
      </c>
      <c r="K63" s="3">
        <v>4.9860579030232204</v>
      </c>
      <c r="M63" s="2">
        <v>201007</v>
      </c>
      <c r="N63">
        <v>5.0062789630099802</v>
      </c>
      <c r="P63" s="2">
        <v>201007</v>
      </c>
      <c r="Q63">
        <v>4.9006417532334599</v>
      </c>
    </row>
    <row r="64" spans="2:17">
      <c r="B64" s="1">
        <v>40299</v>
      </c>
      <c r="C64" s="3">
        <v>5.110955513106</v>
      </c>
      <c r="D64">
        <v>5.24143814249698</v>
      </c>
      <c r="E64">
        <v>5.0531429960801297</v>
      </c>
      <c r="F64" s="3">
        <f t="shared" si="0"/>
        <v>-0.13048262939097999</v>
      </c>
      <c r="G64" s="3">
        <f t="shared" si="1"/>
        <v>5.7812517025870314E-2</v>
      </c>
      <c r="H64" s="3">
        <f t="shared" si="2"/>
        <v>0.1882951464168503</v>
      </c>
      <c r="I64" s="3"/>
      <c r="J64" s="2">
        <v>201006</v>
      </c>
      <c r="K64" s="3">
        <v>5.1267410288289996</v>
      </c>
      <c r="M64" s="2">
        <v>201006</v>
      </c>
      <c r="N64">
        <v>5.1402696624108302</v>
      </c>
      <c r="P64" s="2">
        <v>201006</v>
      </c>
      <c r="Q64">
        <v>5.0989236837966798</v>
      </c>
    </row>
    <row r="65" spans="2:17">
      <c r="B65" s="1">
        <v>40269</v>
      </c>
      <c r="C65" s="3">
        <v>5.0794873645458702</v>
      </c>
      <c r="D65">
        <v>4.9852953372121602</v>
      </c>
      <c r="E65">
        <v>5.0357435632926704</v>
      </c>
      <c r="F65" s="3">
        <f t="shared" si="0"/>
        <v>9.4192027333710016E-2</v>
      </c>
      <c r="G65" s="3">
        <f t="shared" si="1"/>
        <v>4.3743801253199877E-2</v>
      </c>
      <c r="H65" s="3">
        <f t="shared" si="2"/>
        <v>-5.0448226080510139E-2</v>
      </c>
      <c r="I65" s="3"/>
      <c r="J65" s="2">
        <v>201005</v>
      </c>
      <c r="K65" s="3">
        <v>5.110955513106</v>
      </c>
      <c r="M65" s="2">
        <v>201005</v>
      </c>
      <c r="N65">
        <v>5.24143814249698</v>
      </c>
      <c r="P65" s="2">
        <v>201005</v>
      </c>
      <c r="Q65">
        <v>5.0531429960801297</v>
      </c>
    </row>
    <row r="66" spans="2:17">
      <c r="B66" s="1">
        <v>40238</v>
      </c>
      <c r="C66" s="3">
        <v>5.0467876198818198</v>
      </c>
      <c r="D66">
        <v>5.1781553852159599</v>
      </c>
      <c r="E66">
        <v>5.0388800375512997</v>
      </c>
      <c r="F66" s="3">
        <f t="shared" si="0"/>
        <v>-0.13136776533414007</v>
      </c>
      <c r="G66" s="3">
        <f t="shared" si="1"/>
        <v>7.9075823305201354E-3</v>
      </c>
      <c r="H66" s="3">
        <f t="shared" si="2"/>
        <v>0.13927534766466021</v>
      </c>
      <c r="I66" s="3"/>
      <c r="J66" s="2">
        <v>201004</v>
      </c>
      <c r="K66" s="3">
        <v>5.0794873645458702</v>
      </c>
      <c r="M66" s="2">
        <v>201004</v>
      </c>
      <c r="N66">
        <v>4.9852953372121602</v>
      </c>
      <c r="P66" s="2">
        <v>201004</v>
      </c>
      <c r="Q66">
        <v>5.0357435632926704</v>
      </c>
    </row>
    <row r="67" spans="2:17">
      <c r="B67" s="1">
        <v>40210</v>
      </c>
      <c r="C67" s="3">
        <v>4.97085457524304</v>
      </c>
      <c r="D67">
        <v>5.0073343820267802</v>
      </c>
      <c r="E67">
        <v>4.9134045369920596</v>
      </c>
      <c r="F67" s="3">
        <f t="shared" si="0"/>
        <v>-3.6479806783740187E-2</v>
      </c>
      <c r="G67" s="3">
        <f t="shared" si="1"/>
        <v>5.7450038250980384E-2</v>
      </c>
      <c r="H67" s="3">
        <f t="shared" si="2"/>
        <v>9.3929845034720572E-2</v>
      </c>
      <c r="I67" s="3"/>
      <c r="J67" s="2">
        <v>201003</v>
      </c>
      <c r="K67" s="3">
        <v>5.0467876198818198</v>
      </c>
      <c r="M67" s="2">
        <v>201003</v>
      </c>
      <c r="N67">
        <v>5.1781553852159599</v>
      </c>
      <c r="P67" s="2">
        <v>201003</v>
      </c>
      <c r="Q67">
        <v>5.0388800375512997</v>
      </c>
    </row>
    <row r="68" spans="2:17">
      <c r="B68" s="1">
        <v>40179</v>
      </c>
      <c r="C68" s="3">
        <v>4.9590133882120799</v>
      </c>
      <c r="D68">
        <v>4.9249834087383499</v>
      </c>
      <c r="E68">
        <v>4.9013329986585097</v>
      </c>
      <c r="F68" s="3">
        <f t="shared" si="0"/>
        <v>3.4029979473729988E-2</v>
      </c>
      <c r="G68" s="3">
        <f t="shared" si="1"/>
        <v>5.7680389553570244E-2</v>
      </c>
      <c r="H68" s="3">
        <f t="shared" si="2"/>
        <v>2.3650410079840256E-2</v>
      </c>
      <c r="I68" s="3"/>
      <c r="J68" s="2">
        <v>201002</v>
      </c>
      <c r="K68" s="3">
        <v>4.97085457524304</v>
      </c>
      <c r="M68" s="2">
        <v>201002</v>
      </c>
      <c r="N68">
        <v>5.0073343820267802</v>
      </c>
      <c r="P68" s="2">
        <v>201002</v>
      </c>
      <c r="Q68">
        <v>4.9134045369920596</v>
      </c>
    </row>
    <row r="69" spans="2:17">
      <c r="B69" s="1">
        <v>40148</v>
      </c>
      <c r="C69" s="3">
        <v>4.9864746009384602</v>
      </c>
      <c r="D69">
        <v>5.0045373649981499</v>
      </c>
      <c r="E69">
        <v>4.9614437248132504</v>
      </c>
      <c r="F69" s="3">
        <f t="shared" ref="F69:F128" si="3">C69-D69</f>
        <v>-1.8062764059689762E-2</v>
      </c>
      <c r="G69" s="3">
        <f t="shared" ref="G69:G128" si="4">C69-E69</f>
        <v>2.5030876125209822E-2</v>
      </c>
      <c r="H69" s="3">
        <f t="shared" ref="H69:H128" si="5">D69-E69</f>
        <v>4.3093640184899584E-2</v>
      </c>
      <c r="I69" s="3"/>
      <c r="J69" s="2">
        <v>201001</v>
      </c>
      <c r="K69" s="3">
        <v>4.9590133882120799</v>
      </c>
      <c r="M69" s="2">
        <v>201001</v>
      </c>
      <c r="N69">
        <v>4.9249834087383499</v>
      </c>
      <c r="P69" s="2">
        <v>201001</v>
      </c>
      <c r="Q69">
        <v>4.9013329986585097</v>
      </c>
    </row>
    <row r="70" spans="2:17">
      <c r="B70" s="1">
        <v>40118</v>
      </c>
      <c r="C70" s="3">
        <v>4.9932457210327996</v>
      </c>
      <c r="D70">
        <v>4.9721326460847504</v>
      </c>
      <c r="E70">
        <v>4.9978252085003101</v>
      </c>
      <c r="F70" s="3">
        <f t="shared" si="3"/>
        <v>2.111307494804926E-2</v>
      </c>
      <c r="G70" s="3">
        <f t="shared" si="4"/>
        <v>-4.579487467510468E-3</v>
      </c>
      <c r="H70" s="3">
        <f t="shared" si="5"/>
        <v>-2.5692562415559728E-2</v>
      </c>
      <c r="I70" s="3"/>
      <c r="J70" s="2">
        <v>200912</v>
      </c>
      <c r="K70" s="3">
        <v>4.9864746009384602</v>
      </c>
      <c r="M70" s="2">
        <v>200912</v>
      </c>
      <c r="N70">
        <v>5.0045373649981499</v>
      </c>
      <c r="P70" s="2">
        <v>200912</v>
      </c>
      <c r="Q70">
        <v>4.9614437248132504</v>
      </c>
    </row>
    <row r="71" spans="2:17">
      <c r="B71" s="1">
        <v>40087</v>
      </c>
      <c r="C71" s="3">
        <v>4.9999316551020403</v>
      </c>
      <c r="D71">
        <v>5.1052651113562799</v>
      </c>
      <c r="E71">
        <v>5.1542748070174804</v>
      </c>
      <c r="F71" s="3">
        <f t="shared" si="3"/>
        <v>-0.10533345625423962</v>
      </c>
      <c r="G71" s="3">
        <f t="shared" si="4"/>
        <v>-0.15434315191544012</v>
      </c>
      <c r="H71" s="3">
        <f t="shared" si="5"/>
        <v>-4.9009695661200503E-2</v>
      </c>
      <c r="I71" s="3"/>
      <c r="J71" s="2">
        <v>200911</v>
      </c>
      <c r="K71" s="3">
        <v>4.9932457210327996</v>
      </c>
      <c r="M71" s="2">
        <v>200911</v>
      </c>
      <c r="N71">
        <v>4.9721326460847504</v>
      </c>
      <c r="P71" s="2">
        <v>200911</v>
      </c>
      <c r="Q71">
        <v>4.9978252085003101</v>
      </c>
    </row>
    <row r="72" spans="2:17">
      <c r="B72" s="1">
        <v>40057</v>
      </c>
      <c r="C72" s="3">
        <v>4.9522263086005696</v>
      </c>
      <c r="D72">
        <v>5.1517724733710804</v>
      </c>
      <c r="E72">
        <v>5.1683926139962901</v>
      </c>
      <c r="F72" s="3">
        <f t="shared" si="3"/>
        <v>-0.19954616477051079</v>
      </c>
      <c r="G72" s="3">
        <f t="shared" si="4"/>
        <v>-0.21616630539572057</v>
      </c>
      <c r="H72" s="3">
        <f t="shared" si="5"/>
        <v>-1.6620140625209778E-2</v>
      </c>
      <c r="I72" s="3"/>
      <c r="J72" s="2">
        <v>200910</v>
      </c>
      <c r="K72" s="3">
        <v>4.9999316551020403</v>
      </c>
      <c r="M72" s="2">
        <v>200910</v>
      </c>
      <c r="N72">
        <v>5.1052651113562799</v>
      </c>
      <c r="P72" s="2">
        <v>200910</v>
      </c>
      <c r="Q72">
        <v>5.1542748070174804</v>
      </c>
    </row>
    <row r="73" spans="2:17">
      <c r="B73" s="1">
        <v>40026</v>
      </c>
      <c r="C73" s="3">
        <v>4.8530032926974203</v>
      </c>
      <c r="D73">
        <v>5.0938781643964504</v>
      </c>
      <c r="E73">
        <v>5.028066636998</v>
      </c>
      <c r="F73" s="3">
        <f t="shared" si="3"/>
        <v>-0.2408748716990301</v>
      </c>
      <c r="G73" s="3">
        <f t="shared" si="4"/>
        <v>-0.17506334430057979</v>
      </c>
      <c r="H73" s="3">
        <f t="shared" si="5"/>
        <v>6.5811527398450309E-2</v>
      </c>
      <c r="I73" s="3"/>
      <c r="J73" s="2">
        <v>200909</v>
      </c>
      <c r="K73" s="3">
        <v>4.9522263086005696</v>
      </c>
      <c r="M73" s="2">
        <v>200909</v>
      </c>
      <c r="N73">
        <v>5.1517724733710804</v>
      </c>
      <c r="P73" s="2">
        <v>200909</v>
      </c>
      <c r="Q73">
        <v>5.1683926139962901</v>
      </c>
    </row>
    <row r="74" spans="2:17">
      <c r="B74" s="1">
        <v>39995</v>
      </c>
      <c r="C74" s="3">
        <v>4.7669609802361697</v>
      </c>
      <c r="D74">
        <v>4.8146010839942699</v>
      </c>
      <c r="E74">
        <v>4.8718786893841299</v>
      </c>
      <c r="F74" s="3">
        <f t="shared" si="3"/>
        <v>-4.7640103758100238E-2</v>
      </c>
      <c r="G74" s="3">
        <f t="shared" si="4"/>
        <v>-0.10491770914796028</v>
      </c>
      <c r="H74" s="3">
        <f t="shared" si="5"/>
        <v>-5.7277605389860042E-2</v>
      </c>
      <c r="I74" s="3"/>
      <c r="J74" s="2">
        <v>200908</v>
      </c>
      <c r="K74" s="3">
        <v>4.8530032926974203</v>
      </c>
      <c r="M74" s="2">
        <v>200908</v>
      </c>
      <c r="N74">
        <v>5.0938781643964504</v>
      </c>
      <c r="P74" s="2">
        <v>200908</v>
      </c>
      <c r="Q74">
        <v>5.028066636998</v>
      </c>
    </row>
    <row r="75" spans="2:17">
      <c r="B75" s="1">
        <v>39965</v>
      </c>
      <c r="C75" s="3">
        <v>4.7292709341566299</v>
      </c>
      <c r="D75">
        <v>4.6755116562757202</v>
      </c>
      <c r="E75">
        <v>4.8090274057737998</v>
      </c>
      <c r="F75" s="3">
        <f t="shared" si="3"/>
        <v>5.3759277880909728E-2</v>
      </c>
      <c r="G75" s="3">
        <f t="shared" si="4"/>
        <v>-7.9756471617169922E-2</v>
      </c>
      <c r="H75" s="3">
        <f t="shared" si="5"/>
        <v>-0.13351574949807965</v>
      </c>
      <c r="I75" s="3"/>
      <c r="J75" s="2">
        <v>200907</v>
      </c>
      <c r="K75" s="3">
        <v>4.7669609802361697</v>
      </c>
      <c r="M75" s="2">
        <v>200907</v>
      </c>
      <c r="N75">
        <v>4.8146010839942699</v>
      </c>
      <c r="P75" s="2">
        <v>200907</v>
      </c>
      <c r="Q75">
        <v>4.8718786893841299</v>
      </c>
    </row>
    <row r="76" spans="2:17">
      <c r="B76" s="1">
        <v>39934</v>
      </c>
      <c r="C76" s="3">
        <v>4.7499506127649198</v>
      </c>
      <c r="D76">
        <v>4.6154274124628998</v>
      </c>
      <c r="E76">
        <v>4.8231001891828198</v>
      </c>
      <c r="F76" s="3">
        <f t="shared" si="3"/>
        <v>0.13452320030202003</v>
      </c>
      <c r="G76" s="3">
        <f t="shared" si="4"/>
        <v>-7.3149576417899986E-2</v>
      </c>
      <c r="H76" s="3">
        <f t="shared" si="5"/>
        <v>-0.20767277671992002</v>
      </c>
      <c r="I76" s="3"/>
      <c r="J76" s="2">
        <v>200906</v>
      </c>
      <c r="K76" s="3">
        <v>4.7292709341566299</v>
      </c>
      <c r="M76" s="2">
        <v>200906</v>
      </c>
      <c r="N76">
        <v>4.6755116562757202</v>
      </c>
      <c r="P76" s="2">
        <v>200906</v>
      </c>
      <c r="Q76">
        <v>4.8090274057737998</v>
      </c>
    </row>
    <row r="77" spans="2:17">
      <c r="B77" s="1">
        <v>39904</v>
      </c>
      <c r="C77" s="3">
        <v>4.8315394832643701</v>
      </c>
      <c r="D77">
        <v>4.9080920457079804</v>
      </c>
      <c r="E77">
        <v>4.8954383354857498</v>
      </c>
      <c r="F77" s="3">
        <f t="shared" si="3"/>
        <v>-7.6552562443610306E-2</v>
      </c>
      <c r="G77" s="3">
        <f t="shared" si="4"/>
        <v>-6.3898852221379698E-2</v>
      </c>
      <c r="H77" s="3">
        <f t="shared" si="5"/>
        <v>1.2653710222230607E-2</v>
      </c>
      <c r="I77" s="3"/>
      <c r="J77" s="2">
        <v>200905</v>
      </c>
      <c r="K77" s="3">
        <v>4.7499506127649198</v>
      </c>
      <c r="M77" s="2">
        <v>200905</v>
      </c>
      <c r="N77">
        <v>4.6154274124628998</v>
      </c>
      <c r="P77" s="2">
        <v>200905</v>
      </c>
      <c r="Q77">
        <v>4.8231001891828198</v>
      </c>
    </row>
    <row r="78" spans="2:17">
      <c r="B78" s="1">
        <v>39873</v>
      </c>
      <c r="C78" s="3">
        <v>4.8173274807665996</v>
      </c>
      <c r="D78">
        <v>4.7672707953448397</v>
      </c>
      <c r="E78">
        <v>4.8457468385071101</v>
      </c>
      <c r="F78" s="3">
        <f t="shared" si="3"/>
        <v>5.0056685421759894E-2</v>
      </c>
      <c r="G78" s="3">
        <f t="shared" si="4"/>
        <v>-2.841935774051052E-2</v>
      </c>
      <c r="H78" s="3">
        <f t="shared" si="5"/>
        <v>-7.8476043162270415E-2</v>
      </c>
      <c r="I78" s="3"/>
      <c r="J78" s="2">
        <v>200904</v>
      </c>
      <c r="K78" s="3">
        <v>4.8315394832643701</v>
      </c>
      <c r="M78" s="2">
        <v>200904</v>
      </c>
      <c r="N78">
        <v>4.9080920457079804</v>
      </c>
      <c r="P78" s="2">
        <v>200904</v>
      </c>
      <c r="Q78">
        <v>4.8954383354857498</v>
      </c>
    </row>
    <row r="79" spans="2:17">
      <c r="B79" s="1">
        <v>39845</v>
      </c>
      <c r="C79" s="3">
        <v>4.8555584954398201</v>
      </c>
      <c r="D79">
        <v>4.8814261934781804</v>
      </c>
      <c r="E79">
        <v>4.8438918129105302</v>
      </c>
      <c r="F79" s="3">
        <f t="shared" si="3"/>
        <v>-2.5867698038360309E-2</v>
      </c>
      <c r="G79" s="3">
        <f t="shared" si="4"/>
        <v>1.1666682529289929E-2</v>
      </c>
      <c r="H79" s="3">
        <f t="shared" si="5"/>
        <v>3.7534380567650238E-2</v>
      </c>
      <c r="I79" s="3"/>
      <c r="J79" s="2">
        <v>200903</v>
      </c>
      <c r="K79" s="3">
        <v>4.8173274807665996</v>
      </c>
      <c r="M79" s="2">
        <v>200903</v>
      </c>
      <c r="N79">
        <v>4.7672707953448397</v>
      </c>
      <c r="P79" s="2">
        <v>200903</v>
      </c>
      <c r="Q79">
        <v>4.8457468385071101</v>
      </c>
    </row>
    <row r="80" spans="2:17">
      <c r="B80" s="1">
        <v>39814</v>
      </c>
      <c r="C80" s="3">
        <v>5.1407447111417097</v>
      </c>
      <c r="D80">
        <v>4.9711223535113698</v>
      </c>
      <c r="E80">
        <v>5.1981956085173797</v>
      </c>
      <c r="F80" s="3">
        <f t="shared" si="3"/>
        <v>0.16962235763033995</v>
      </c>
      <c r="G80" s="3">
        <f t="shared" si="4"/>
        <v>-5.7450897375669996E-2</v>
      </c>
      <c r="H80" s="3">
        <f t="shared" si="5"/>
        <v>-0.22707325500600994</v>
      </c>
      <c r="I80" s="3"/>
      <c r="J80" s="2">
        <v>200902</v>
      </c>
      <c r="K80" s="3">
        <v>4.8555584954398201</v>
      </c>
      <c r="M80" s="2">
        <v>200902</v>
      </c>
      <c r="N80">
        <v>4.8814261934781804</v>
      </c>
      <c r="P80" s="2">
        <v>200902</v>
      </c>
      <c r="Q80">
        <v>4.8438918129105302</v>
      </c>
    </row>
    <row r="81" spans="2:17">
      <c r="B81" s="1">
        <v>39783</v>
      </c>
      <c r="C81" s="3">
        <v>5.9041344069299697</v>
      </c>
      <c r="D81">
        <v>6.0442672998643099</v>
      </c>
      <c r="E81">
        <v>5.9370371357603497</v>
      </c>
      <c r="F81" s="3">
        <f t="shared" si="3"/>
        <v>-0.14013289293434017</v>
      </c>
      <c r="G81" s="3">
        <f t="shared" si="4"/>
        <v>-3.2902728830380035E-2</v>
      </c>
      <c r="H81" s="3">
        <f t="shared" si="5"/>
        <v>0.10723016410396013</v>
      </c>
      <c r="I81" s="3"/>
      <c r="J81" s="2">
        <v>200901</v>
      </c>
      <c r="K81" s="3">
        <v>5.1407447111417097</v>
      </c>
      <c r="M81" s="2">
        <v>200901</v>
      </c>
      <c r="N81">
        <v>4.9711223535113698</v>
      </c>
      <c r="P81" s="2">
        <v>200901</v>
      </c>
      <c r="Q81">
        <v>5.1981956085173797</v>
      </c>
    </row>
    <row r="82" spans="2:17">
      <c r="B82" s="1">
        <v>39753</v>
      </c>
      <c r="C82" s="3">
        <v>5.8827535577872601</v>
      </c>
      <c r="D82">
        <v>5.9969842996074902</v>
      </c>
      <c r="E82">
        <v>5.9188842067943801</v>
      </c>
      <c r="F82" s="3">
        <f t="shared" si="3"/>
        <v>-0.11423074182023019</v>
      </c>
      <c r="G82" s="3">
        <f t="shared" si="4"/>
        <v>-3.6130649007120041E-2</v>
      </c>
      <c r="H82" s="3">
        <f t="shared" si="5"/>
        <v>7.8100092813110145E-2</v>
      </c>
      <c r="I82" s="3"/>
      <c r="J82" s="2">
        <v>200812</v>
      </c>
      <c r="K82" s="3">
        <v>5.9041344069299697</v>
      </c>
      <c r="M82" s="2">
        <v>200812</v>
      </c>
      <c r="N82">
        <v>6.0442672998643099</v>
      </c>
      <c r="P82" s="2">
        <v>200812</v>
      </c>
      <c r="Q82">
        <v>5.9370371357603497</v>
      </c>
    </row>
    <row r="83" spans="2:17">
      <c r="B83" s="1">
        <v>39722</v>
      </c>
      <c r="C83" s="3">
        <v>5.99310601590446</v>
      </c>
      <c r="D83">
        <v>6.3234271273852496</v>
      </c>
      <c r="E83">
        <v>6.1294439953612203</v>
      </c>
      <c r="F83" s="3">
        <f t="shared" si="3"/>
        <v>-0.33032111148078958</v>
      </c>
      <c r="G83" s="3">
        <f t="shared" si="4"/>
        <v>-0.13633797945676029</v>
      </c>
      <c r="H83" s="3">
        <f t="shared" si="5"/>
        <v>0.19398313202402928</v>
      </c>
      <c r="I83" s="3"/>
      <c r="J83" s="2">
        <v>200811</v>
      </c>
      <c r="K83" s="3">
        <v>5.8827535577872601</v>
      </c>
      <c r="M83" s="2">
        <v>200811</v>
      </c>
      <c r="N83">
        <v>5.9969842996074902</v>
      </c>
      <c r="P83" s="2">
        <v>200811</v>
      </c>
      <c r="Q83">
        <v>5.9188842067943801</v>
      </c>
    </row>
    <row r="84" spans="2:17">
      <c r="B84" s="1">
        <v>39692</v>
      </c>
      <c r="C84" s="3">
        <v>6.4367730073810296</v>
      </c>
      <c r="D84">
        <v>6.75774277043912</v>
      </c>
      <c r="E84">
        <v>6.4240577086180597</v>
      </c>
      <c r="F84" s="3">
        <f t="shared" si="3"/>
        <v>-0.32096976305809033</v>
      </c>
      <c r="G84" s="3">
        <f t="shared" si="4"/>
        <v>1.2715298762969951E-2</v>
      </c>
      <c r="H84" s="3">
        <f t="shared" si="5"/>
        <v>0.33368506182106028</v>
      </c>
      <c r="I84" s="3"/>
      <c r="J84" s="2">
        <v>200810</v>
      </c>
      <c r="K84" s="3">
        <v>5.99310601590446</v>
      </c>
      <c r="M84" s="2">
        <v>200810</v>
      </c>
      <c r="N84">
        <v>6.3234271273852496</v>
      </c>
      <c r="P84" s="2">
        <v>200810</v>
      </c>
      <c r="Q84">
        <v>6.1294439953612203</v>
      </c>
    </row>
    <row r="85" spans="2:17">
      <c r="B85" s="1">
        <v>39661</v>
      </c>
      <c r="C85" s="3">
        <v>6.3426262925826604</v>
      </c>
      <c r="D85">
        <v>6.36573914948106</v>
      </c>
      <c r="E85">
        <v>6.2493425392203497</v>
      </c>
      <c r="F85" s="3">
        <f t="shared" si="3"/>
        <v>-2.3112856898399592E-2</v>
      </c>
      <c r="G85" s="3">
        <f t="shared" si="4"/>
        <v>9.3283753362310762E-2</v>
      </c>
      <c r="H85" s="3">
        <f t="shared" si="5"/>
        <v>0.11639661026071035</v>
      </c>
      <c r="I85" s="3"/>
      <c r="J85" s="2">
        <v>200809</v>
      </c>
      <c r="K85" s="3">
        <v>6.4367730073810296</v>
      </c>
      <c r="M85" s="2">
        <v>200809</v>
      </c>
      <c r="N85">
        <v>6.75774277043912</v>
      </c>
      <c r="P85" s="2">
        <v>200809</v>
      </c>
      <c r="Q85">
        <v>6.4240577086180597</v>
      </c>
    </row>
    <row r="86" spans="2:17">
      <c r="B86" s="1">
        <v>39630</v>
      </c>
      <c r="C86" s="3">
        <v>6.0068887791298797</v>
      </c>
      <c r="D86">
        <v>6.38295306923892</v>
      </c>
      <c r="E86">
        <v>6.0186638264139196</v>
      </c>
      <c r="F86" s="3">
        <f t="shared" si="3"/>
        <v>-0.3760642901090403</v>
      </c>
      <c r="G86" s="3">
        <f t="shared" si="4"/>
        <v>-1.1775047284039886E-2</v>
      </c>
      <c r="H86" s="3">
        <f t="shared" si="5"/>
        <v>0.36428924282500041</v>
      </c>
      <c r="I86" s="3"/>
      <c r="J86" s="2">
        <v>200808</v>
      </c>
      <c r="K86" s="3">
        <v>6.3426262925826604</v>
      </c>
      <c r="M86" s="2">
        <v>200808</v>
      </c>
      <c r="N86">
        <v>6.36573914948106</v>
      </c>
      <c r="P86" s="2">
        <v>200808</v>
      </c>
      <c r="Q86">
        <v>6.2493425392203497</v>
      </c>
    </row>
    <row r="87" spans="2:17">
      <c r="B87" s="1">
        <v>39600</v>
      </c>
      <c r="C87" s="3">
        <v>5.8969654268515104</v>
      </c>
      <c r="D87">
        <v>5.9209310175524701</v>
      </c>
      <c r="E87">
        <v>5.82664476824496</v>
      </c>
      <c r="F87" s="3">
        <f t="shared" si="3"/>
        <v>-2.3965590700959716E-2</v>
      </c>
      <c r="G87" s="3">
        <f t="shared" si="4"/>
        <v>7.0320658606550346E-2</v>
      </c>
      <c r="H87" s="3">
        <f t="shared" si="5"/>
        <v>9.4286249307510062E-2</v>
      </c>
      <c r="I87" s="3"/>
      <c r="J87" s="2">
        <v>200807</v>
      </c>
      <c r="K87" s="3">
        <v>6.0068887791298797</v>
      </c>
      <c r="M87" s="2">
        <v>200807</v>
      </c>
      <c r="N87">
        <v>6.38295306923892</v>
      </c>
      <c r="P87" s="2">
        <v>200807</v>
      </c>
      <c r="Q87">
        <v>6.0186638264139196</v>
      </c>
    </row>
    <row r="88" spans="2:17">
      <c r="B88" s="1">
        <v>39569</v>
      </c>
      <c r="C88" s="3">
        <v>5.7975342918871098</v>
      </c>
      <c r="D88">
        <v>5.7759017567704003</v>
      </c>
      <c r="E88">
        <v>5.7810297474735099</v>
      </c>
      <c r="F88" s="3">
        <f t="shared" si="3"/>
        <v>2.1632535116709484E-2</v>
      </c>
      <c r="G88" s="3">
        <f t="shared" si="4"/>
        <v>1.6504544413599831E-2</v>
      </c>
      <c r="H88" s="3">
        <f t="shared" si="5"/>
        <v>-5.1279907031096528E-3</v>
      </c>
      <c r="I88" s="3"/>
      <c r="J88" s="2">
        <v>200806</v>
      </c>
      <c r="K88" s="3">
        <v>5.8969654268515104</v>
      </c>
      <c r="M88" s="2">
        <v>200806</v>
      </c>
      <c r="N88">
        <v>5.9209310175524701</v>
      </c>
      <c r="P88" s="2">
        <v>200806</v>
      </c>
      <c r="Q88">
        <v>5.82664476824496</v>
      </c>
    </row>
    <row r="89" spans="2:17">
      <c r="B89" s="1">
        <v>39539</v>
      </c>
      <c r="C89" s="3">
        <v>5.7378863235849504</v>
      </c>
      <c r="D89">
        <v>5.9673093945254303</v>
      </c>
      <c r="E89">
        <v>5.7076507971124402</v>
      </c>
      <c r="F89" s="3">
        <f t="shared" si="3"/>
        <v>-0.22942307094047987</v>
      </c>
      <c r="G89" s="3">
        <f t="shared" si="4"/>
        <v>3.0235526472510266E-2</v>
      </c>
      <c r="H89" s="3">
        <f t="shared" si="5"/>
        <v>0.25965859741299013</v>
      </c>
      <c r="I89" s="3"/>
      <c r="J89" s="2">
        <v>200805</v>
      </c>
      <c r="K89" s="3">
        <v>5.7975342918871098</v>
      </c>
      <c r="M89" s="2">
        <v>200805</v>
      </c>
      <c r="N89">
        <v>5.7759017567704003</v>
      </c>
      <c r="P89" s="2">
        <v>200805</v>
      </c>
      <c r="Q89">
        <v>5.7810297474735099</v>
      </c>
    </row>
    <row r="90" spans="2:17">
      <c r="B90" s="1">
        <v>39508</v>
      </c>
      <c r="C90" s="3">
        <v>5.6024766853605401</v>
      </c>
      <c r="D90">
        <v>5.6462209045211296</v>
      </c>
      <c r="E90">
        <v>5.5540177979666296</v>
      </c>
      <c r="F90" s="3">
        <f t="shared" si="3"/>
        <v>-4.3744219160589459E-2</v>
      </c>
      <c r="G90" s="3">
        <f t="shared" si="4"/>
        <v>4.8458887393910466E-2</v>
      </c>
      <c r="H90" s="3">
        <f t="shared" si="5"/>
        <v>9.2203106554499925E-2</v>
      </c>
      <c r="I90" s="3"/>
      <c r="J90" s="2">
        <v>200804</v>
      </c>
      <c r="K90" s="3">
        <v>5.7378863235849504</v>
      </c>
      <c r="M90" s="2">
        <v>200804</v>
      </c>
      <c r="N90">
        <v>5.9673093945254303</v>
      </c>
      <c r="P90" s="2">
        <v>200804</v>
      </c>
      <c r="Q90">
        <v>5.7076507971124402</v>
      </c>
    </row>
    <row r="91" spans="2:17">
      <c r="B91" s="1">
        <v>39479</v>
      </c>
      <c r="C91" s="3">
        <v>5.8252670455318301</v>
      </c>
      <c r="D91">
        <v>5.8391431909882598</v>
      </c>
      <c r="E91">
        <v>5.8158506064086497</v>
      </c>
      <c r="F91" s="3">
        <f t="shared" si="3"/>
        <v>-1.3876145456429789E-2</v>
      </c>
      <c r="G91" s="3">
        <f t="shared" si="4"/>
        <v>9.4164391231803535E-3</v>
      </c>
      <c r="H91" s="3">
        <f t="shared" si="5"/>
        <v>2.3292584579610143E-2</v>
      </c>
      <c r="I91" s="3"/>
      <c r="J91" s="2">
        <v>200803</v>
      </c>
      <c r="K91" s="3">
        <v>5.6024766853605401</v>
      </c>
      <c r="M91" s="2">
        <v>200803</v>
      </c>
      <c r="N91">
        <v>5.6462209045211296</v>
      </c>
      <c r="P91" s="2">
        <v>200803</v>
      </c>
      <c r="Q91">
        <v>5.5540177979666296</v>
      </c>
    </row>
    <row r="92" spans="2:17">
      <c r="B92" s="1">
        <v>39448</v>
      </c>
      <c r="C92" s="3">
        <v>6.1264448517610903</v>
      </c>
      <c r="D92">
        <v>6.3737113738640501</v>
      </c>
      <c r="E92">
        <v>6.06995288273278</v>
      </c>
      <c r="F92" s="3">
        <f t="shared" si="3"/>
        <v>-0.24726652210295974</v>
      </c>
      <c r="G92" s="3">
        <f t="shared" si="4"/>
        <v>5.6491969028310329E-2</v>
      </c>
      <c r="H92" s="3">
        <f t="shared" si="5"/>
        <v>0.30375849113127007</v>
      </c>
      <c r="I92" s="3"/>
      <c r="J92" s="2">
        <v>200802</v>
      </c>
      <c r="K92" s="3">
        <v>5.8252670455318301</v>
      </c>
      <c r="M92" s="2">
        <v>200802</v>
      </c>
      <c r="N92">
        <v>5.8391431909882598</v>
      </c>
      <c r="P92" s="2">
        <v>200802</v>
      </c>
      <c r="Q92">
        <v>5.8158506064086497</v>
      </c>
    </row>
    <row r="93" spans="2:17">
      <c r="B93" s="1">
        <v>39417</v>
      </c>
      <c r="C93" s="3">
        <v>6.3072946764313098</v>
      </c>
      <c r="D93">
        <v>6.3725788701393897</v>
      </c>
      <c r="E93">
        <v>6.2789031876112302</v>
      </c>
      <c r="F93" s="3">
        <f t="shared" si="3"/>
        <v>-6.5284193708079918E-2</v>
      </c>
      <c r="G93" s="3">
        <f t="shared" si="4"/>
        <v>2.839148882007958E-2</v>
      </c>
      <c r="H93" s="3">
        <f t="shared" si="5"/>
        <v>9.3675682528159498E-2</v>
      </c>
      <c r="I93" s="3"/>
      <c r="J93" s="2">
        <v>200801</v>
      </c>
      <c r="K93" s="3">
        <v>6.1264448517610903</v>
      </c>
      <c r="M93" s="2">
        <v>200801</v>
      </c>
      <c r="N93">
        <v>6.3737113738640501</v>
      </c>
      <c r="P93" s="2">
        <v>200801</v>
      </c>
      <c r="Q93">
        <v>6.06995288273278</v>
      </c>
    </row>
    <row r="94" spans="2:17">
      <c r="B94" s="1">
        <v>39387</v>
      </c>
      <c r="C94" s="3">
        <v>6.4591768967114103</v>
      </c>
      <c r="D94">
        <v>6.48404030112893</v>
      </c>
      <c r="E94">
        <v>6.3419742960147403</v>
      </c>
      <c r="F94" s="3">
        <f t="shared" si="3"/>
        <v>-2.4863404417519774E-2</v>
      </c>
      <c r="G94" s="3">
        <f t="shared" si="4"/>
        <v>0.11720260069666999</v>
      </c>
      <c r="H94" s="3">
        <f t="shared" si="5"/>
        <v>0.14206600511418976</v>
      </c>
      <c r="I94" s="3"/>
      <c r="J94" s="2">
        <v>200712</v>
      </c>
      <c r="K94" s="3">
        <v>6.3072946764313098</v>
      </c>
      <c r="M94" s="2">
        <v>200712</v>
      </c>
      <c r="N94">
        <v>6.3725788701393897</v>
      </c>
      <c r="P94" s="2">
        <v>200712</v>
      </c>
      <c r="Q94">
        <v>6.2789031876112302</v>
      </c>
    </row>
    <row r="95" spans="2:17">
      <c r="B95" s="1">
        <v>39356</v>
      </c>
      <c r="C95" s="3">
        <v>6.5627678534181797</v>
      </c>
      <c r="D95">
        <v>6.6393808736961599</v>
      </c>
      <c r="E95">
        <v>6.5202976976056597</v>
      </c>
      <c r="F95" s="3">
        <f t="shared" si="3"/>
        <v>-7.6613020277980226E-2</v>
      </c>
      <c r="G95" s="3">
        <f t="shared" si="4"/>
        <v>4.2470155812520005E-2</v>
      </c>
      <c r="H95" s="3">
        <f t="shared" si="5"/>
        <v>0.11908317609050023</v>
      </c>
      <c r="I95" s="3"/>
      <c r="J95" s="2">
        <v>200711</v>
      </c>
      <c r="K95" s="3">
        <v>6.4591768967114103</v>
      </c>
      <c r="M95" s="2">
        <v>200711</v>
      </c>
      <c r="N95">
        <v>6.48404030112893</v>
      </c>
      <c r="P95" s="2">
        <v>200711</v>
      </c>
      <c r="Q95">
        <v>6.3419742960147403</v>
      </c>
    </row>
    <row r="96" spans="2:17">
      <c r="B96" s="1">
        <v>39326</v>
      </c>
      <c r="C96" s="3">
        <v>6.7007015289679801</v>
      </c>
      <c r="D96">
        <v>6.7385501022143499</v>
      </c>
      <c r="E96">
        <v>6.6688127987940904</v>
      </c>
      <c r="F96" s="3">
        <f t="shared" si="3"/>
        <v>-3.784857324636981E-2</v>
      </c>
      <c r="G96" s="3">
        <f t="shared" si="4"/>
        <v>3.1888730173889712E-2</v>
      </c>
      <c r="H96" s="3">
        <f t="shared" si="5"/>
        <v>6.9737303420259522E-2</v>
      </c>
      <c r="I96" s="3"/>
      <c r="J96" s="2">
        <v>200710</v>
      </c>
      <c r="K96" s="3">
        <v>6.5627678534181797</v>
      </c>
      <c r="M96" s="2">
        <v>200710</v>
      </c>
      <c r="N96">
        <v>6.6393808736961599</v>
      </c>
      <c r="P96" s="2">
        <v>200710</v>
      </c>
      <c r="Q96">
        <v>6.5202976976056597</v>
      </c>
    </row>
    <row r="97" spans="2:17">
      <c r="B97" s="1">
        <v>39295</v>
      </c>
      <c r="C97" s="3">
        <v>6.6835591772507099</v>
      </c>
      <c r="D97">
        <v>6.8040457102778698</v>
      </c>
      <c r="E97">
        <v>6.6112238183657599</v>
      </c>
      <c r="F97" s="3">
        <f t="shared" si="3"/>
        <v>-0.12048653302715984</v>
      </c>
      <c r="G97" s="3">
        <f t="shared" si="4"/>
        <v>7.2335358884950018E-2</v>
      </c>
      <c r="H97" s="3">
        <f t="shared" si="5"/>
        <v>0.19282189191210986</v>
      </c>
      <c r="I97" s="3"/>
      <c r="J97" s="2">
        <v>200709</v>
      </c>
      <c r="K97" s="3">
        <v>6.7007015289679801</v>
      </c>
      <c r="M97" s="2">
        <v>200709</v>
      </c>
      <c r="N97">
        <v>6.7385501022143499</v>
      </c>
      <c r="P97" s="2">
        <v>200709</v>
      </c>
      <c r="Q97">
        <v>6.6688127987940904</v>
      </c>
    </row>
    <row r="98" spans="2:17">
      <c r="B98" s="1">
        <v>39264</v>
      </c>
      <c r="C98" s="3">
        <v>6.3861310653960297</v>
      </c>
      <c r="D98">
        <v>6.7479612416652204</v>
      </c>
      <c r="E98">
        <v>6.3220021023790203</v>
      </c>
      <c r="F98" s="3">
        <f t="shared" si="3"/>
        <v>-0.36183017626919067</v>
      </c>
      <c r="G98" s="3">
        <f t="shared" si="4"/>
        <v>6.4128963017009433E-2</v>
      </c>
      <c r="H98" s="3">
        <f t="shared" si="5"/>
        <v>0.42595913928620011</v>
      </c>
      <c r="I98" s="3"/>
      <c r="J98" s="2">
        <v>200708</v>
      </c>
      <c r="K98" s="3">
        <v>6.6835591772507099</v>
      </c>
      <c r="M98" s="2">
        <v>200708</v>
      </c>
      <c r="N98">
        <v>6.8040457102778698</v>
      </c>
      <c r="P98" s="2">
        <v>200708</v>
      </c>
      <c r="Q98">
        <v>6.6112238183657599</v>
      </c>
    </row>
    <row r="99" spans="2:17">
      <c r="B99" s="1">
        <v>39234</v>
      </c>
      <c r="C99" s="3">
        <v>6.2386197022797099</v>
      </c>
      <c r="D99">
        <v>6.2779297272655503</v>
      </c>
      <c r="E99">
        <v>6.1595838894125201</v>
      </c>
      <c r="F99" s="3">
        <f t="shared" si="3"/>
        <v>-3.9310024985840464E-2</v>
      </c>
      <c r="G99" s="3">
        <f t="shared" si="4"/>
        <v>7.9035812867189748E-2</v>
      </c>
      <c r="H99" s="3">
        <f t="shared" si="5"/>
        <v>0.11834583785303021</v>
      </c>
      <c r="I99" s="3"/>
      <c r="J99" s="2">
        <v>200707</v>
      </c>
      <c r="K99" s="3">
        <v>6.3861310653960297</v>
      </c>
      <c r="M99" s="2">
        <v>200707</v>
      </c>
      <c r="N99">
        <v>6.7479612416652204</v>
      </c>
      <c r="P99" s="2">
        <v>200707</v>
      </c>
      <c r="Q99">
        <v>6.3220021023790203</v>
      </c>
    </row>
    <row r="100" spans="2:17">
      <c r="B100" s="1">
        <v>39203</v>
      </c>
      <c r="C100" s="3">
        <v>6.1860299213782302</v>
      </c>
      <c r="D100">
        <v>6.1665206136265898</v>
      </c>
      <c r="E100">
        <v>6.1546106336905098</v>
      </c>
      <c r="F100" s="3">
        <f t="shared" si="3"/>
        <v>1.9509307751640392E-2</v>
      </c>
      <c r="G100" s="3">
        <f t="shared" si="4"/>
        <v>3.1419287687720399E-2</v>
      </c>
      <c r="H100" s="3">
        <f t="shared" si="5"/>
        <v>1.1909979936080006E-2</v>
      </c>
      <c r="I100" s="3"/>
      <c r="J100" s="2">
        <v>200706</v>
      </c>
      <c r="K100" s="3">
        <v>6.2386197022797099</v>
      </c>
      <c r="M100" s="2">
        <v>200706</v>
      </c>
      <c r="N100">
        <v>6.2779297272655503</v>
      </c>
      <c r="P100" s="2">
        <v>200706</v>
      </c>
      <c r="Q100">
        <v>6.1595838894125201</v>
      </c>
    </row>
    <row r="101" spans="2:17">
      <c r="B101" s="1">
        <v>39173</v>
      </c>
      <c r="C101" s="3">
        <v>6.15451126784534</v>
      </c>
      <c r="D101">
        <v>6.1173214541290903</v>
      </c>
      <c r="E101">
        <v>6.2037563479335001</v>
      </c>
      <c r="F101" s="3">
        <f t="shared" si="3"/>
        <v>3.7189813716249631E-2</v>
      </c>
      <c r="G101" s="3">
        <f t="shared" si="4"/>
        <v>-4.9245080088160087E-2</v>
      </c>
      <c r="H101" s="3">
        <f t="shared" si="5"/>
        <v>-8.6434893804409718E-2</v>
      </c>
      <c r="I101" s="3"/>
      <c r="J101" s="2">
        <v>200705</v>
      </c>
      <c r="K101" s="3">
        <v>6.1860299213782302</v>
      </c>
      <c r="M101" s="2">
        <v>200705</v>
      </c>
      <c r="N101">
        <v>6.1665206136265898</v>
      </c>
      <c r="P101" s="2">
        <v>200705</v>
      </c>
      <c r="Q101">
        <v>6.1546106336905098</v>
      </c>
    </row>
    <row r="102" spans="2:17">
      <c r="B102" s="1">
        <v>39142</v>
      </c>
      <c r="C102" s="3">
        <v>6.2660704188391199</v>
      </c>
      <c r="D102">
        <v>6.6946489241223102</v>
      </c>
      <c r="E102">
        <v>6.2589701104176099</v>
      </c>
      <c r="F102" s="3">
        <f t="shared" si="3"/>
        <v>-0.4285785052831903</v>
      </c>
      <c r="G102" s="3">
        <f t="shared" si="4"/>
        <v>7.1003084215099932E-3</v>
      </c>
      <c r="H102" s="3">
        <f t="shared" si="5"/>
        <v>0.4356788137047003</v>
      </c>
      <c r="I102" s="3"/>
      <c r="J102" s="2">
        <v>200704</v>
      </c>
      <c r="K102" s="3">
        <v>6.15451126784534</v>
      </c>
      <c r="M102" s="2">
        <v>200704</v>
      </c>
      <c r="N102">
        <v>6.1173214541290903</v>
      </c>
      <c r="P102" s="2">
        <v>200704</v>
      </c>
      <c r="Q102">
        <v>6.2037563479335001</v>
      </c>
    </row>
    <row r="103" spans="2:17">
      <c r="B103" s="1">
        <v>39114</v>
      </c>
      <c r="C103" s="3">
        <v>6.1058404849777999</v>
      </c>
      <c r="D103">
        <v>6.2963296745619104</v>
      </c>
      <c r="E103">
        <v>6.1102454181069596</v>
      </c>
      <c r="F103" s="3">
        <f t="shared" si="3"/>
        <v>-0.19048918958411054</v>
      </c>
      <c r="G103" s="3">
        <f t="shared" si="4"/>
        <v>-4.4049331291597937E-3</v>
      </c>
      <c r="H103" s="3">
        <f t="shared" si="5"/>
        <v>0.18608425645495075</v>
      </c>
      <c r="I103" s="3"/>
      <c r="J103" s="2">
        <v>200703</v>
      </c>
      <c r="K103" s="3">
        <v>6.2660704188391199</v>
      </c>
      <c r="M103" s="2">
        <v>200703</v>
      </c>
      <c r="N103">
        <v>6.6946489241223102</v>
      </c>
      <c r="P103" s="2">
        <v>200703</v>
      </c>
      <c r="Q103">
        <v>6.2589701104176099</v>
      </c>
    </row>
    <row r="104" spans="2:17">
      <c r="B104" s="1">
        <v>39083</v>
      </c>
      <c r="C104" s="3">
        <v>6.0957281116950197</v>
      </c>
      <c r="D104">
        <v>6.16276393601186</v>
      </c>
      <c r="E104">
        <v>6.1339623479646797</v>
      </c>
      <c r="F104" s="3">
        <f t="shared" si="3"/>
        <v>-6.7035824316840298E-2</v>
      </c>
      <c r="G104" s="3">
        <f t="shared" si="4"/>
        <v>-3.8234236269659938E-2</v>
      </c>
      <c r="H104" s="3">
        <f t="shared" si="5"/>
        <v>2.880158804718036E-2</v>
      </c>
      <c r="I104" s="3"/>
      <c r="J104" s="2">
        <v>200702</v>
      </c>
      <c r="K104" s="3">
        <v>6.1058404849777999</v>
      </c>
      <c r="M104" s="2">
        <v>200702</v>
      </c>
      <c r="N104">
        <v>6.2963296745619104</v>
      </c>
      <c r="P104" s="2">
        <v>200702</v>
      </c>
      <c r="Q104">
        <v>6.1102454181069596</v>
      </c>
    </row>
    <row r="105" spans="2:17">
      <c r="B105" s="1">
        <v>39052</v>
      </c>
      <c r="C105" s="3">
        <v>6.2472623485637797</v>
      </c>
      <c r="D105">
        <v>6.4253726139696603</v>
      </c>
      <c r="E105">
        <v>6.30399405232746</v>
      </c>
      <c r="F105" s="3">
        <f t="shared" si="3"/>
        <v>-0.1781102654058806</v>
      </c>
      <c r="G105" s="3">
        <f t="shared" si="4"/>
        <v>-5.6731703763680308E-2</v>
      </c>
      <c r="H105" s="3">
        <f t="shared" si="5"/>
        <v>0.12137856164220029</v>
      </c>
      <c r="I105" s="3"/>
      <c r="J105" s="2">
        <v>200701</v>
      </c>
      <c r="K105" s="3">
        <v>6.0957281116950197</v>
      </c>
      <c r="M105" s="2">
        <v>200701</v>
      </c>
      <c r="N105">
        <v>6.16276393601186</v>
      </c>
      <c r="P105" s="2">
        <v>200701</v>
      </c>
      <c r="Q105">
        <v>6.1339623479646797</v>
      </c>
    </row>
    <row r="106" spans="2:17">
      <c r="B106" s="1">
        <v>39022</v>
      </c>
      <c r="C106" s="3">
        <v>6.4103836113964796</v>
      </c>
      <c r="D106">
        <v>6.5933016627078302</v>
      </c>
      <c r="E106">
        <v>6.3061866277135801</v>
      </c>
      <c r="F106" s="3">
        <f t="shared" si="3"/>
        <v>-0.18291805131135064</v>
      </c>
      <c r="G106" s="3">
        <f t="shared" si="4"/>
        <v>0.10419698368289954</v>
      </c>
      <c r="H106" s="3">
        <f t="shared" si="5"/>
        <v>0.28711503499425017</v>
      </c>
      <c r="I106" s="3"/>
      <c r="J106" s="2">
        <v>200612</v>
      </c>
      <c r="K106" s="3">
        <v>6.2472623485637797</v>
      </c>
      <c r="M106" s="2">
        <v>200612</v>
      </c>
      <c r="N106">
        <v>6.4253726139696603</v>
      </c>
      <c r="P106" s="2">
        <v>200612</v>
      </c>
      <c r="Q106">
        <v>6.30399405232746</v>
      </c>
    </row>
    <row r="107" spans="2:17">
      <c r="B107" s="1">
        <v>38991</v>
      </c>
      <c r="C107" s="3">
        <v>6.5002837945700103</v>
      </c>
      <c r="D107">
        <v>6.5315024891863196</v>
      </c>
      <c r="E107">
        <v>6.4637933230210196</v>
      </c>
      <c r="F107" s="3">
        <f t="shared" si="3"/>
        <v>-3.1218694616309328E-2</v>
      </c>
      <c r="G107" s="3">
        <f t="shared" si="4"/>
        <v>3.6490471548990655E-2</v>
      </c>
      <c r="H107" s="3">
        <f t="shared" si="5"/>
        <v>6.7709166165299983E-2</v>
      </c>
      <c r="I107" s="3"/>
      <c r="J107" s="2">
        <v>200611</v>
      </c>
      <c r="K107" s="3">
        <v>6.4103836113964796</v>
      </c>
      <c r="M107" s="2">
        <v>200611</v>
      </c>
      <c r="N107">
        <v>6.5933016627078302</v>
      </c>
      <c r="P107" s="2">
        <v>200611</v>
      </c>
      <c r="Q107">
        <v>6.3061866277135801</v>
      </c>
    </row>
    <row r="108" spans="2:17">
      <c r="B108" s="1">
        <v>38961</v>
      </c>
      <c r="C108" s="3">
        <v>6.6398453084460396</v>
      </c>
      <c r="D108">
        <v>6.9733514821536602</v>
      </c>
      <c r="E108">
        <v>6.6707530599462803</v>
      </c>
      <c r="F108" s="3">
        <f t="shared" si="3"/>
        <v>-0.33350617370762059</v>
      </c>
      <c r="G108" s="3">
        <f t="shared" si="4"/>
        <v>-3.0907751500240721E-2</v>
      </c>
      <c r="H108" s="3">
        <f t="shared" si="5"/>
        <v>0.30259842220737987</v>
      </c>
      <c r="I108" s="3"/>
      <c r="J108" s="2">
        <v>200610</v>
      </c>
      <c r="K108" s="3">
        <v>6.5002837945700103</v>
      </c>
      <c r="M108" s="2">
        <v>200610</v>
      </c>
      <c r="N108">
        <v>6.5315024891863196</v>
      </c>
      <c r="P108" s="2">
        <v>200610</v>
      </c>
      <c r="Q108">
        <v>6.4637933230210196</v>
      </c>
    </row>
    <row r="109" spans="2:17">
      <c r="B109" s="1">
        <v>38930</v>
      </c>
      <c r="C109" s="3">
        <v>6.77289661709914</v>
      </c>
      <c r="D109">
        <v>6.87024945338898</v>
      </c>
      <c r="E109">
        <v>6.69628751417501</v>
      </c>
      <c r="F109" s="3">
        <f t="shared" si="3"/>
        <v>-9.7352836289839928E-2</v>
      </c>
      <c r="G109" s="3">
        <f t="shared" si="4"/>
        <v>7.6609102924130035E-2</v>
      </c>
      <c r="H109" s="3">
        <f t="shared" si="5"/>
        <v>0.17396193921396996</v>
      </c>
      <c r="I109" s="3"/>
      <c r="J109" s="2">
        <v>200609</v>
      </c>
      <c r="K109" s="3">
        <v>6.6398453084460396</v>
      </c>
      <c r="M109" s="2">
        <v>200609</v>
      </c>
      <c r="N109">
        <v>6.9733514821536602</v>
      </c>
      <c r="P109" s="2">
        <v>200609</v>
      </c>
      <c r="Q109">
        <v>6.6707530599462803</v>
      </c>
    </row>
    <row r="110" spans="2:17">
      <c r="B110" s="1">
        <v>38899</v>
      </c>
      <c r="C110" s="3">
        <v>6.6793158880929901</v>
      </c>
      <c r="D110">
        <v>6.6020815088202101</v>
      </c>
      <c r="E110">
        <v>6.6477891551454604</v>
      </c>
      <c r="F110" s="3">
        <f t="shared" si="3"/>
        <v>7.7234379272780096E-2</v>
      </c>
      <c r="G110" s="3">
        <f t="shared" si="4"/>
        <v>3.1526732947529723E-2</v>
      </c>
      <c r="H110" s="3">
        <f t="shared" si="5"/>
        <v>-4.5707646325250373E-2</v>
      </c>
      <c r="I110" s="3"/>
      <c r="J110" s="2">
        <v>200608</v>
      </c>
      <c r="K110" s="3">
        <v>6.77289661709914</v>
      </c>
      <c r="M110" s="2">
        <v>200608</v>
      </c>
      <c r="N110">
        <v>6.87024945338898</v>
      </c>
      <c r="P110" s="2">
        <v>200608</v>
      </c>
      <c r="Q110">
        <v>6.69628751417501</v>
      </c>
    </row>
    <row r="111" spans="2:17">
      <c r="B111" s="1">
        <v>38869</v>
      </c>
      <c r="C111" s="3">
        <v>6.5091227212512104</v>
      </c>
      <c r="D111">
        <v>6.6900182931203496</v>
      </c>
      <c r="E111">
        <v>6.5670372641851804</v>
      </c>
      <c r="F111" s="3">
        <f t="shared" si="3"/>
        <v>-0.18089557186913918</v>
      </c>
      <c r="G111" s="3">
        <f t="shared" si="4"/>
        <v>-5.7914542933970026E-2</v>
      </c>
      <c r="H111" s="3">
        <f t="shared" si="5"/>
        <v>0.12298102893516916</v>
      </c>
      <c r="I111" s="3"/>
      <c r="J111" s="2">
        <v>200607</v>
      </c>
      <c r="K111" s="3">
        <v>6.6793158880929901</v>
      </c>
      <c r="M111" s="2">
        <v>200607</v>
      </c>
      <c r="N111">
        <v>6.6020815088202101</v>
      </c>
      <c r="P111" s="2">
        <v>200607</v>
      </c>
      <c r="Q111">
        <v>6.6477891551454604</v>
      </c>
    </row>
    <row r="112" spans="2:17">
      <c r="B112" s="1">
        <v>38838</v>
      </c>
      <c r="C112" s="3">
        <v>6.3845685191338699</v>
      </c>
      <c r="D112">
        <v>6.4959122496252801</v>
      </c>
      <c r="E112">
        <v>6.4282695531649203</v>
      </c>
      <c r="F112" s="3">
        <f t="shared" si="3"/>
        <v>-0.11134373049141022</v>
      </c>
      <c r="G112" s="3">
        <f t="shared" si="4"/>
        <v>-4.3701034031050412E-2</v>
      </c>
      <c r="H112" s="3">
        <f t="shared" si="5"/>
        <v>6.7642696460359808E-2</v>
      </c>
      <c r="I112" s="3"/>
      <c r="J112" s="2">
        <v>200606</v>
      </c>
      <c r="K112" s="3">
        <v>6.5091227212512104</v>
      </c>
      <c r="M112" s="2">
        <v>200606</v>
      </c>
      <c r="N112">
        <v>6.6900182931203496</v>
      </c>
      <c r="P112" s="2">
        <v>200606</v>
      </c>
      <c r="Q112">
        <v>6.5670372641851804</v>
      </c>
    </row>
    <row r="113" spans="2:17">
      <c r="B113" s="1">
        <v>38808</v>
      </c>
      <c r="C113" s="3">
        <v>6.2701715709641404</v>
      </c>
      <c r="D113">
        <v>6.5635768435561603</v>
      </c>
      <c r="E113">
        <v>6.2804828172397302</v>
      </c>
      <c r="F113" s="3">
        <f t="shared" si="3"/>
        <v>-0.29340527259201998</v>
      </c>
      <c r="G113" s="3">
        <f t="shared" si="4"/>
        <v>-1.031124627558988E-2</v>
      </c>
      <c r="H113" s="3">
        <f t="shared" si="5"/>
        <v>0.2830940263164301</v>
      </c>
      <c r="I113" s="3"/>
      <c r="J113" s="2">
        <v>200605</v>
      </c>
      <c r="K113" s="3">
        <v>6.3845685191338699</v>
      </c>
      <c r="M113" s="2">
        <v>200605</v>
      </c>
      <c r="N113">
        <v>6.4959122496252801</v>
      </c>
      <c r="P113" s="2">
        <v>200605</v>
      </c>
      <c r="Q113">
        <v>6.4282695531649203</v>
      </c>
    </row>
    <row r="114" spans="2:17">
      <c r="B114" s="1">
        <v>38777</v>
      </c>
      <c r="C114" s="3">
        <v>6.1562255774608596</v>
      </c>
      <c r="D114">
        <v>6.5291803072273904</v>
      </c>
      <c r="E114">
        <v>6.1639786119456002</v>
      </c>
      <c r="F114" s="3">
        <f t="shared" si="3"/>
        <v>-0.37295472976653077</v>
      </c>
      <c r="G114" s="3">
        <f t="shared" si="4"/>
        <v>-7.7530344847405175E-3</v>
      </c>
      <c r="H114" s="3">
        <f t="shared" si="5"/>
        <v>0.36520169528179025</v>
      </c>
      <c r="I114" s="3"/>
      <c r="J114" s="2">
        <v>200604</v>
      </c>
      <c r="K114" s="3">
        <v>6.2701715709641404</v>
      </c>
      <c r="M114" s="2">
        <v>200604</v>
      </c>
      <c r="N114">
        <v>6.5635768435561603</v>
      </c>
      <c r="P114" s="2">
        <v>200604</v>
      </c>
      <c r="Q114">
        <v>6.2804828172397302</v>
      </c>
    </row>
    <row r="115" spans="2:17">
      <c r="B115" s="1">
        <v>38749</v>
      </c>
      <c r="C115" s="3">
        <v>6.1821195731949796</v>
      </c>
      <c r="D115">
        <v>6.2834499974910898</v>
      </c>
      <c r="E115">
        <v>6.2205305017740304</v>
      </c>
      <c r="F115" s="3">
        <f t="shared" si="3"/>
        <v>-0.10133042429611017</v>
      </c>
      <c r="G115" s="3">
        <f t="shared" si="4"/>
        <v>-3.8410928579050818E-2</v>
      </c>
      <c r="H115" s="3">
        <f t="shared" si="5"/>
        <v>6.2919495717059348E-2</v>
      </c>
      <c r="I115" s="3"/>
      <c r="J115" s="2">
        <v>200603</v>
      </c>
      <c r="K115" s="3">
        <v>6.1562255774608596</v>
      </c>
      <c r="M115" s="2">
        <v>200603</v>
      </c>
      <c r="N115">
        <v>6.5291803072273904</v>
      </c>
      <c r="P115" s="2">
        <v>200603</v>
      </c>
      <c r="Q115">
        <v>6.1639786119456002</v>
      </c>
    </row>
    <row r="116" spans="2:17">
      <c r="B116" s="1">
        <v>38718</v>
      </c>
      <c r="C116" s="3">
        <v>6.2665702575542301</v>
      </c>
      <c r="D116">
        <v>6.3802775605942097</v>
      </c>
      <c r="E116">
        <v>6.2649725344651497</v>
      </c>
      <c r="F116" s="3">
        <f t="shared" si="3"/>
        <v>-0.11370730303997956</v>
      </c>
      <c r="G116" s="3">
        <f t="shared" si="4"/>
        <v>1.5977230890804606E-3</v>
      </c>
      <c r="H116" s="3">
        <f t="shared" si="5"/>
        <v>0.11530502612906002</v>
      </c>
      <c r="I116" s="3"/>
      <c r="J116" s="2">
        <v>200602</v>
      </c>
      <c r="K116" s="3">
        <v>6.1821195731949796</v>
      </c>
      <c r="M116" s="2">
        <v>200602</v>
      </c>
      <c r="N116">
        <v>6.2834499974910898</v>
      </c>
      <c r="P116" s="2">
        <v>200602</v>
      </c>
      <c r="Q116">
        <v>6.2205305017740304</v>
      </c>
    </row>
    <row r="117" spans="2:17">
      <c r="B117" s="1">
        <v>38687</v>
      </c>
      <c r="C117" s="3">
        <v>6.0907000116542003</v>
      </c>
      <c r="D117">
        <v>6.1888872225554801</v>
      </c>
      <c r="E117">
        <v>6.1083737193735796</v>
      </c>
      <c r="F117" s="3">
        <f t="shared" si="3"/>
        <v>-9.8187210901279798E-2</v>
      </c>
      <c r="G117" s="3">
        <f t="shared" si="4"/>
        <v>-1.7673707719379372E-2</v>
      </c>
      <c r="H117" s="3">
        <f t="shared" si="5"/>
        <v>8.0513503181900425E-2</v>
      </c>
      <c r="I117" s="3"/>
      <c r="J117" s="2">
        <v>200601</v>
      </c>
      <c r="K117" s="3">
        <v>6.2665702575542301</v>
      </c>
      <c r="M117" s="2">
        <v>200601</v>
      </c>
      <c r="N117">
        <v>6.3802775605942097</v>
      </c>
      <c r="P117" s="2">
        <v>200601</v>
      </c>
      <c r="Q117">
        <v>6.2649725344651497</v>
      </c>
    </row>
    <row r="118" spans="2:17">
      <c r="B118" s="1">
        <v>38657</v>
      </c>
      <c r="C118" s="3">
        <v>5.8273239926241098</v>
      </c>
      <c r="D118">
        <v>5.69948735189893</v>
      </c>
      <c r="E118">
        <v>5.8126898627570496</v>
      </c>
      <c r="F118" s="3">
        <f t="shared" si="3"/>
        <v>0.12783664072517986</v>
      </c>
      <c r="G118" s="3">
        <f t="shared" si="4"/>
        <v>1.4634129867060253E-2</v>
      </c>
      <c r="H118" s="3">
        <f t="shared" si="5"/>
        <v>-0.11320251085811961</v>
      </c>
      <c r="I118" s="3"/>
      <c r="J118" s="2">
        <v>200512</v>
      </c>
      <c r="K118" s="3">
        <v>6.0907000116542003</v>
      </c>
      <c r="M118" s="2">
        <v>200512</v>
      </c>
      <c r="N118">
        <v>6.1888872225554801</v>
      </c>
      <c r="P118" s="2">
        <v>200512</v>
      </c>
      <c r="Q118">
        <v>6.1083737193735796</v>
      </c>
    </row>
    <row r="119" spans="2:17">
      <c r="B119" s="1">
        <v>38626</v>
      </c>
      <c r="C119" s="3">
        <v>5.8076139073631303</v>
      </c>
      <c r="D119">
        <v>5.8646134429833401</v>
      </c>
      <c r="E119">
        <v>5.8077767272038701</v>
      </c>
      <c r="F119" s="3">
        <f t="shared" si="3"/>
        <v>-5.6999535620209762E-2</v>
      </c>
      <c r="G119" s="3">
        <f t="shared" si="4"/>
        <v>-1.6281984073973632E-4</v>
      </c>
      <c r="H119" s="3">
        <f t="shared" si="5"/>
        <v>5.6836715779470026E-2</v>
      </c>
      <c r="I119" s="3"/>
      <c r="J119" s="2">
        <v>200511</v>
      </c>
      <c r="K119" s="3">
        <v>5.8273239926241098</v>
      </c>
      <c r="M119" s="2">
        <v>200511</v>
      </c>
      <c r="N119">
        <v>5.69948735189893</v>
      </c>
      <c r="P119" s="2">
        <v>200511</v>
      </c>
      <c r="Q119">
        <v>5.8126898627570496</v>
      </c>
    </row>
    <row r="120" spans="2:17">
      <c r="B120" s="1">
        <v>38596</v>
      </c>
      <c r="C120" s="3">
        <v>5.7533483519084001</v>
      </c>
      <c r="D120">
        <v>5.8726856749894196</v>
      </c>
      <c r="E120">
        <v>5.7439702367531504</v>
      </c>
      <c r="F120" s="3">
        <f t="shared" si="3"/>
        <v>-0.11933732308101952</v>
      </c>
      <c r="G120" s="3">
        <f t="shared" si="4"/>
        <v>9.3781151552496667E-3</v>
      </c>
      <c r="H120" s="3">
        <f t="shared" si="5"/>
        <v>0.12871543823626919</v>
      </c>
      <c r="I120" s="3"/>
      <c r="J120" s="2">
        <v>200510</v>
      </c>
      <c r="K120" s="3">
        <v>5.8076139073631303</v>
      </c>
      <c r="M120" s="2">
        <v>200510</v>
      </c>
      <c r="N120">
        <v>5.8646134429833401</v>
      </c>
      <c r="P120" s="2">
        <v>200510</v>
      </c>
      <c r="Q120">
        <v>5.8077767272038701</v>
      </c>
    </row>
    <row r="121" spans="2:17">
      <c r="B121" s="1">
        <v>38565</v>
      </c>
      <c r="C121" s="3">
        <v>5.6172034955747998</v>
      </c>
      <c r="D121">
        <v>5.8015007989043497</v>
      </c>
      <c r="E121">
        <v>5.5866277792308496</v>
      </c>
      <c r="F121" s="3">
        <f t="shared" si="3"/>
        <v>-0.18429730332954986</v>
      </c>
      <c r="G121" s="3">
        <f t="shared" si="4"/>
        <v>3.0575716343950177E-2</v>
      </c>
      <c r="H121" s="3">
        <f t="shared" si="5"/>
        <v>0.21487301967350003</v>
      </c>
      <c r="I121" s="3"/>
      <c r="J121" s="2">
        <v>200509</v>
      </c>
      <c r="K121" s="3">
        <v>5.7533483519084001</v>
      </c>
      <c r="M121" s="2">
        <v>200509</v>
      </c>
      <c r="N121">
        <v>5.8726856749894196</v>
      </c>
      <c r="P121" s="2">
        <v>200509</v>
      </c>
      <c r="Q121">
        <v>5.7439702367531504</v>
      </c>
    </row>
    <row r="122" spans="2:17">
      <c r="B122" s="1">
        <v>38534</v>
      </c>
      <c r="C122" s="3">
        <v>5.6698280760302104</v>
      </c>
      <c r="D122">
        <v>5.6551811072236999</v>
      </c>
      <c r="E122">
        <v>5.6827645622067102</v>
      </c>
      <c r="F122" s="3">
        <f t="shared" si="3"/>
        <v>1.4646968806510507E-2</v>
      </c>
      <c r="G122" s="3">
        <f t="shared" si="4"/>
        <v>-1.2936486176499784E-2</v>
      </c>
      <c r="H122" s="3">
        <f t="shared" si="5"/>
        <v>-2.7583454983010292E-2</v>
      </c>
      <c r="I122" s="3"/>
      <c r="J122" s="2">
        <v>200508</v>
      </c>
      <c r="K122" s="3">
        <v>5.6172034955747998</v>
      </c>
      <c r="M122" s="2">
        <v>200508</v>
      </c>
      <c r="N122">
        <v>5.8015007989043497</v>
      </c>
      <c r="P122" s="2">
        <v>200508</v>
      </c>
      <c r="Q122">
        <v>5.5866277792308496</v>
      </c>
    </row>
    <row r="123" spans="2:17">
      <c r="B123" s="1">
        <v>38504</v>
      </c>
      <c r="C123" s="3">
        <v>5.8309431139401902</v>
      </c>
      <c r="D123">
        <v>6.2641429947038896</v>
      </c>
      <c r="E123">
        <v>5.8453802972007498</v>
      </c>
      <c r="F123" s="3">
        <f t="shared" si="3"/>
        <v>-0.43319988076369942</v>
      </c>
      <c r="G123" s="3">
        <f t="shared" si="4"/>
        <v>-1.443718326055965E-2</v>
      </c>
      <c r="H123" s="3">
        <f t="shared" si="5"/>
        <v>0.41876269750313977</v>
      </c>
      <c r="I123" s="3"/>
      <c r="J123" s="2">
        <v>200507</v>
      </c>
      <c r="K123" s="3">
        <v>5.6698280760302104</v>
      </c>
      <c r="M123" s="2">
        <v>200507</v>
      </c>
      <c r="N123">
        <v>5.6551811072236999</v>
      </c>
      <c r="P123" s="2">
        <v>200507</v>
      </c>
      <c r="Q123">
        <v>5.6827645622067102</v>
      </c>
    </row>
    <row r="124" spans="2:17">
      <c r="B124" s="1">
        <v>38473</v>
      </c>
      <c r="C124" s="3">
        <v>5.8742305098793404</v>
      </c>
      <c r="D124">
        <v>6.1982568069928599</v>
      </c>
      <c r="E124">
        <v>5.8789768959676501</v>
      </c>
      <c r="F124" s="3">
        <f t="shared" si="3"/>
        <v>-0.32402629711351949</v>
      </c>
      <c r="G124" s="3">
        <f t="shared" si="4"/>
        <v>-4.7463860883096842E-3</v>
      </c>
      <c r="H124" s="3">
        <f t="shared" si="5"/>
        <v>0.31927991102520981</v>
      </c>
      <c r="I124" s="3"/>
      <c r="J124" s="2">
        <v>200506</v>
      </c>
      <c r="K124" s="3">
        <v>5.8309431139401902</v>
      </c>
      <c r="M124" s="2">
        <v>200506</v>
      </c>
      <c r="N124">
        <v>6.2641429947038896</v>
      </c>
      <c r="P124" s="2">
        <v>200506</v>
      </c>
      <c r="Q124">
        <v>5.8453802972007498</v>
      </c>
    </row>
    <row r="125" spans="2:17">
      <c r="B125" s="1">
        <v>38443</v>
      </c>
      <c r="C125" s="3">
        <v>5.6990247904808999</v>
      </c>
      <c r="D125">
        <v>6.1572307862925504</v>
      </c>
      <c r="E125">
        <v>5.5846766033930804</v>
      </c>
      <c r="F125" s="3">
        <f t="shared" si="3"/>
        <v>-0.45820599581165045</v>
      </c>
      <c r="G125" s="3">
        <f t="shared" si="4"/>
        <v>0.11434818708781957</v>
      </c>
      <c r="H125" s="3">
        <f t="shared" si="5"/>
        <v>0.57255418289947002</v>
      </c>
      <c r="I125" s="3"/>
      <c r="J125" s="2">
        <v>200505</v>
      </c>
      <c r="K125" s="3">
        <v>5.8742305098793404</v>
      </c>
      <c r="M125" s="2">
        <v>200505</v>
      </c>
      <c r="N125">
        <v>6.1982568069928599</v>
      </c>
      <c r="P125" s="2">
        <v>200505</v>
      </c>
      <c r="Q125">
        <v>5.8789768959676501</v>
      </c>
    </row>
    <row r="126" spans="2:17">
      <c r="B126" s="1">
        <v>38412</v>
      </c>
      <c r="C126" s="3">
        <v>5.6562446576607304</v>
      </c>
      <c r="D126">
        <v>5.7778080382136396</v>
      </c>
      <c r="E126">
        <v>5.61563444470739</v>
      </c>
      <c r="F126" s="3">
        <f t="shared" si="3"/>
        <v>-0.12156338055290927</v>
      </c>
      <c r="G126" s="3">
        <f t="shared" si="4"/>
        <v>4.061021295334033E-2</v>
      </c>
      <c r="H126" s="3">
        <f t="shared" si="5"/>
        <v>0.1621735935062496</v>
      </c>
      <c r="I126" s="3"/>
      <c r="J126" s="2">
        <v>200504</v>
      </c>
      <c r="K126" s="3">
        <v>5.6990247904808999</v>
      </c>
      <c r="M126" s="2">
        <v>200504</v>
      </c>
      <c r="N126">
        <v>6.1572307862925504</v>
      </c>
      <c r="P126" s="2">
        <v>200504</v>
      </c>
      <c r="Q126">
        <v>5.5846766033930804</v>
      </c>
    </row>
    <row r="127" spans="2:17">
      <c r="B127" s="1">
        <v>38384</v>
      </c>
      <c r="C127" s="3">
        <v>5.7265093086174401</v>
      </c>
      <c r="D127">
        <v>5.8336639365241796</v>
      </c>
      <c r="E127">
        <v>5.7369784645246202</v>
      </c>
      <c r="F127" s="3">
        <f t="shared" si="3"/>
        <v>-0.10715462790673946</v>
      </c>
      <c r="G127" s="3">
        <f t="shared" si="4"/>
        <v>-1.0469155907180117E-2</v>
      </c>
      <c r="H127" s="3">
        <f t="shared" si="5"/>
        <v>9.6685471999559347E-2</v>
      </c>
      <c r="I127" s="3"/>
      <c r="J127" s="2">
        <v>200503</v>
      </c>
      <c r="K127" s="3">
        <v>5.6562446576607304</v>
      </c>
      <c r="M127" s="2">
        <v>200503</v>
      </c>
      <c r="N127">
        <v>5.7778080382136396</v>
      </c>
      <c r="P127" s="2">
        <v>200503</v>
      </c>
      <c r="Q127">
        <v>5.61563444470739</v>
      </c>
    </row>
    <row r="128" spans="2:17">
      <c r="B128" s="1">
        <v>38353</v>
      </c>
      <c r="C128" s="3">
        <v>5.7673945633867101</v>
      </c>
      <c r="D128">
        <v>5.8494084710557201</v>
      </c>
      <c r="E128">
        <v>5.69987192444892</v>
      </c>
      <c r="F128" s="3">
        <f t="shared" si="3"/>
        <v>-8.2013907669010067E-2</v>
      </c>
      <c r="G128" s="3">
        <f t="shared" si="4"/>
        <v>6.7522638937790092E-2</v>
      </c>
      <c r="H128" s="3">
        <f t="shared" si="5"/>
        <v>0.14953654660680016</v>
      </c>
      <c r="J128" s="2">
        <v>200502</v>
      </c>
      <c r="K128" s="3">
        <v>5.7265093086174401</v>
      </c>
      <c r="M128" s="2">
        <v>200502</v>
      </c>
      <c r="N128">
        <v>5.8336639365241796</v>
      </c>
      <c r="P128" s="2">
        <v>200502</v>
      </c>
      <c r="Q128">
        <v>5.7369784645246202</v>
      </c>
    </row>
    <row r="129" spans="3:17">
      <c r="J129" s="2">
        <v>200501</v>
      </c>
      <c r="K129" s="3">
        <v>5.7673945633867101</v>
      </c>
      <c r="M129" s="2">
        <v>200501</v>
      </c>
      <c r="N129">
        <v>5.8494084710557201</v>
      </c>
      <c r="P129" s="2">
        <v>200501</v>
      </c>
      <c r="Q129">
        <v>5.69987192444892</v>
      </c>
    </row>
    <row r="130" spans="3:17">
      <c r="C130" s="3"/>
      <c r="J130" s="3"/>
      <c r="K130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35</vt:i4>
      </vt:variant>
    </vt:vector>
  </HeadingPairs>
  <TitlesOfParts>
    <vt:vector size="45" baseType="lpstr">
      <vt:lpstr>Report</vt:lpstr>
      <vt:lpstr>PoolLevel</vt:lpstr>
      <vt:lpstr>LoanLevel</vt:lpstr>
      <vt:lpstr>LLwithCondition</vt:lpstr>
      <vt:lpstr>FICO Dist</vt:lpstr>
      <vt:lpstr>LLwithCondition (2)</vt:lpstr>
      <vt:lpstr>720-740</vt:lpstr>
      <vt:lpstr>740-760</vt:lpstr>
      <vt:lpstr>760-780</vt:lpstr>
      <vt:lpstr>&gt;780</vt:lpstr>
      <vt:lpstr>CurrentCloseDate</vt:lpstr>
      <vt:lpstr>DatabaseEnv</vt:lpstr>
      <vt:lpstr>DateToChangeLag</vt:lpstr>
      <vt:lpstr>PDFReportDir</vt:lpstr>
      <vt:lpstr>PDFReportName</vt:lpstr>
      <vt:lpstr>Report!Print_Area</vt:lpstr>
      <vt:lpstr>SaveRatesToDB</vt:lpstr>
      <vt:lpstr>'&gt;780'!temp</vt:lpstr>
      <vt:lpstr>'720-740'!temp</vt:lpstr>
      <vt:lpstr>'740-760'!temp</vt:lpstr>
      <vt:lpstr>'760-780'!temp</vt:lpstr>
      <vt:lpstr>'FICO Dist'!temp</vt:lpstr>
      <vt:lpstr>LLwithCondition!temp</vt:lpstr>
      <vt:lpstr>'LLwithCondition (2)'!temp</vt:lpstr>
      <vt:lpstr>'&gt;780'!temp_1</vt:lpstr>
      <vt:lpstr>'720-740'!temp_1</vt:lpstr>
      <vt:lpstr>'740-760'!temp_1</vt:lpstr>
      <vt:lpstr>'760-780'!temp_1</vt:lpstr>
      <vt:lpstr>LLwithCondition!temp_1</vt:lpstr>
      <vt:lpstr>'LLwithCondition (2)'!temp_1</vt:lpstr>
      <vt:lpstr>LoanLevel!temp_1</vt:lpstr>
      <vt:lpstr>'&gt;780'!temp_2</vt:lpstr>
      <vt:lpstr>'720-740'!temp_2</vt:lpstr>
      <vt:lpstr>'740-760'!temp_2</vt:lpstr>
      <vt:lpstr>'760-780'!temp_2</vt:lpstr>
      <vt:lpstr>LLwithCondition!temp_2</vt:lpstr>
      <vt:lpstr>'LLwithCondition (2)'!temp_2</vt:lpstr>
      <vt:lpstr>LoanLevel!temp_2</vt:lpstr>
      <vt:lpstr>'&gt;780'!temp_3</vt:lpstr>
      <vt:lpstr>'720-740'!temp_3</vt:lpstr>
      <vt:lpstr>'740-760'!temp_3</vt:lpstr>
      <vt:lpstr>'760-780'!temp_3</vt:lpstr>
      <vt:lpstr>'LLwithCondition (2)'!temp_3</vt:lpstr>
      <vt:lpstr>LoanLevel!temp_3</vt:lpstr>
      <vt:lpstr>LoanLevel!temp_4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2015-05-27T13:56:09Z</cp:lastPrinted>
  <dcterms:created xsi:type="dcterms:W3CDTF">2006-09-16T00:00:00Z</dcterms:created>
  <dcterms:modified xsi:type="dcterms:W3CDTF">2015-06-04T21:31:28Z</dcterms:modified>
</cp:coreProperties>
</file>