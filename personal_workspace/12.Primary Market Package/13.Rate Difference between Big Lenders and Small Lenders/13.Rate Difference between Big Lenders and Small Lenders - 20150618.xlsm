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9" r:id="rId2"/>
    <sheet name="LLwithCondition (2)" sheetId="22" state="hidden" r:id="rId3"/>
  </sheets>
  <functionGroups builtInGroupCount="17"/>
  <externalReferences>
    <externalReference r:id="rId4"/>
    <externalReference r:id="rId5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 localSheetId="2">#REF!</definedName>
    <definedName name="HistoricalMtgRatesDataTable">#REF!</definedName>
    <definedName name="IR" localSheetId="2">#REF!</definedName>
    <definedName name="IR">#REF!</definedName>
    <definedName name="MmExcelLinker_D5EFE7B8_A5AE_4CC6_B628_05FDC84CBEA4" localSheetId="2">Early Market [2]Data!$C$44:$C$44</definedName>
    <definedName name="MmExcelLinker_D5EFE7B8_A5AE_4CC6_B628_05FDC84CBEA4">Early Market [2]Data!$C$44:$C$44</definedName>
    <definedName name="NoLagTopTenDataTable" localSheetId="2">#REF!</definedName>
    <definedName name="NoLagTopTenDataTable">#REF!</definedName>
    <definedName name="OneDayBusDate" localSheetId="2">#REF!</definedName>
    <definedName name="OneDayBusDate">#REF!</definedName>
    <definedName name="OneMonthBusDate" localSheetId="2">#REF!</definedName>
    <definedName name="OneMonthBusDate">#REF!</definedName>
    <definedName name="OneWeekBusDate" localSheetId="2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0">Report!$B$1:$P$56</definedName>
    <definedName name="Query_from_Agency" localSheetId="1" hidden="1">Query!#REF!</definedName>
    <definedName name="Query_from_Agency_1" localSheetId="1" hidden="1">Query!#REF!</definedName>
    <definedName name="Query_from_Agency_10" localSheetId="1" hidden="1">Query!$K$3:$L$129</definedName>
    <definedName name="Query_from_Agency_11" localSheetId="1" hidden="1">Query!#REF!</definedName>
    <definedName name="Query_from_Agency_12" localSheetId="1" hidden="1">Query!$N$3:$O$129</definedName>
    <definedName name="Query_from_Agency_4" localSheetId="1" hidden="1">Query!#REF!</definedName>
    <definedName name="Query_from_Agency_5" localSheetId="1" hidden="1">Query!#REF!</definedName>
    <definedName name="Query_from_Agency_6" localSheetId="1" hidden="1">Query!$B$3:$C$129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Report!$W$1</definedName>
    <definedName name="temp" localSheetId="2">'LLwithCondition (2)'!$B$3:$C$127</definedName>
    <definedName name="temp_1" localSheetId="2">'LLwithCondition (2)'!$M$3:$N$128</definedName>
    <definedName name="temp_13" localSheetId="1">Query!#REF!</definedName>
    <definedName name="temp_14" localSheetId="1">Query!#REF!</definedName>
    <definedName name="temp_17" localSheetId="2">#REF!</definedName>
    <definedName name="temp_17">#REF!</definedName>
    <definedName name="temp_2" localSheetId="2">'LLwithCondition (2)'!$P$3:$Q$128</definedName>
    <definedName name="temp_3" localSheetId="2">'LLwithCondition (2)'!$J$3:$K$128</definedName>
    <definedName name="temp_8">#REF!</definedName>
    <definedName name="temp_9" localSheetId="1">Query!#REF!</definedName>
  </definedNames>
  <calcPr calcId="145621"/>
</workbook>
</file>

<file path=xl/calcChain.xml><?xml version="1.0" encoding="utf-8"?>
<calcChain xmlns="http://schemas.openxmlformats.org/spreadsheetml/2006/main">
  <c r="P18" i="9" l="1"/>
  <c r="P33" i="9"/>
  <c r="P34" i="9"/>
  <c r="P58" i="9"/>
  <c r="P82" i="9"/>
  <c r="P97" i="9"/>
  <c r="P98" i="9"/>
  <c r="P122" i="9"/>
  <c r="Q10" i="9"/>
  <c r="Q11" i="9"/>
  <c r="Q18" i="9"/>
  <c r="Q19" i="9"/>
  <c r="Q26" i="9"/>
  <c r="Q27" i="9"/>
  <c r="Q34" i="9"/>
  <c r="Q35" i="9"/>
  <c r="Q37" i="9"/>
  <c r="Q42" i="9"/>
  <c r="Q43" i="9"/>
  <c r="Q45" i="9"/>
  <c r="Q50" i="9"/>
  <c r="Q58" i="9"/>
  <c r="Q59" i="9"/>
  <c r="Q66" i="9"/>
  <c r="Q67" i="9"/>
  <c r="Q74" i="9"/>
  <c r="Q75" i="9"/>
  <c r="Q82" i="9"/>
  <c r="Q83" i="9"/>
  <c r="Q85" i="9"/>
  <c r="Q90" i="9"/>
  <c r="Q91" i="9"/>
  <c r="Q98" i="9"/>
  <c r="Q99" i="9"/>
  <c r="Q101" i="9"/>
  <c r="Q106" i="9"/>
  <c r="Q107" i="9"/>
  <c r="Q109" i="9"/>
  <c r="Q114" i="9"/>
  <c r="Q122" i="9"/>
  <c r="Q123" i="9"/>
  <c r="D4" i="9"/>
  <c r="F4" i="9" s="1"/>
  <c r="P129" i="9" s="1"/>
  <c r="D5" i="9"/>
  <c r="F5" i="9" s="1"/>
  <c r="P128" i="9" s="1"/>
  <c r="D6" i="9"/>
  <c r="F6" i="9" s="1"/>
  <c r="P127" i="9" s="1"/>
  <c r="D7" i="9"/>
  <c r="F7" i="9" s="1"/>
  <c r="P126" i="9" s="1"/>
  <c r="D8" i="9"/>
  <c r="D9" i="9"/>
  <c r="F9" i="9" s="1"/>
  <c r="P124" i="9" s="1"/>
  <c r="D10" i="9"/>
  <c r="F10" i="9" s="1"/>
  <c r="P123" i="9" s="1"/>
  <c r="D11" i="9"/>
  <c r="D12" i="9"/>
  <c r="D13" i="9"/>
  <c r="H13" i="9" s="1"/>
  <c r="D14" i="9"/>
  <c r="D15" i="9"/>
  <c r="F15" i="9" s="1"/>
  <c r="P118" i="9" s="1"/>
  <c r="D16" i="9"/>
  <c r="D17" i="9"/>
  <c r="F17" i="9" s="1"/>
  <c r="P116" i="9" s="1"/>
  <c r="D18" i="9"/>
  <c r="F18" i="9" s="1"/>
  <c r="P115" i="9" s="1"/>
  <c r="D19" i="9"/>
  <c r="F19" i="9" s="1"/>
  <c r="P114" i="9" s="1"/>
  <c r="D20" i="9"/>
  <c r="F20" i="9" s="1"/>
  <c r="P113" i="9" s="1"/>
  <c r="D21" i="9"/>
  <c r="H21" i="9" s="1"/>
  <c r="D22" i="9"/>
  <c r="D23" i="9"/>
  <c r="F23" i="9" s="1"/>
  <c r="P110" i="9" s="1"/>
  <c r="D24" i="9"/>
  <c r="D25" i="9"/>
  <c r="F25" i="9" s="1"/>
  <c r="P108" i="9" s="1"/>
  <c r="D26" i="9"/>
  <c r="F26" i="9" s="1"/>
  <c r="P107" i="9" s="1"/>
  <c r="D27" i="9"/>
  <c r="D28" i="9"/>
  <c r="F28" i="9" s="1"/>
  <c r="P105" i="9" s="1"/>
  <c r="D29" i="9"/>
  <c r="F29" i="9" s="1"/>
  <c r="P104" i="9" s="1"/>
  <c r="D30" i="9"/>
  <c r="F30" i="9" s="1"/>
  <c r="P103" i="9" s="1"/>
  <c r="D31" i="9"/>
  <c r="F31" i="9" s="1"/>
  <c r="P102" i="9" s="1"/>
  <c r="D32" i="9"/>
  <c r="D33" i="9"/>
  <c r="F33" i="9" s="1"/>
  <c r="P100" i="9" s="1"/>
  <c r="D34" i="9"/>
  <c r="F34" i="9" s="1"/>
  <c r="P99" i="9" s="1"/>
  <c r="D35" i="9"/>
  <c r="D36" i="9"/>
  <c r="D37" i="9"/>
  <c r="H37" i="9" s="1"/>
  <c r="D38" i="9"/>
  <c r="D39" i="9"/>
  <c r="F39" i="9" s="1"/>
  <c r="P94" i="9" s="1"/>
  <c r="D40" i="9"/>
  <c r="D41" i="9"/>
  <c r="F41" i="9" s="1"/>
  <c r="P92" i="9" s="1"/>
  <c r="D42" i="9"/>
  <c r="F42" i="9" s="1"/>
  <c r="P91" i="9" s="1"/>
  <c r="D43" i="9"/>
  <c r="F43" i="9" s="1"/>
  <c r="P90" i="9" s="1"/>
  <c r="D44" i="9"/>
  <c r="F44" i="9" s="1"/>
  <c r="P89" i="9" s="1"/>
  <c r="D45" i="9"/>
  <c r="F45" i="9" s="1"/>
  <c r="P88" i="9" s="1"/>
  <c r="D46" i="9"/>
  <c r="D47" i="9"/>
  <c r="F47" i="9" s="1"/>
  <c r="P86" i="9" s="1"/>
  <c r="D48" i="9"/>
  <c r="D49" i="9"/>
  <c r="F49" i="9" s="1"/>
  <c r="P84" i="9" s="1"/>
  <c r="D50" i="9"/>
  <c r="F50" i="9" s="1"/>
  <c r="P83" i="9" s="1"/>
  <c r="D51" i="9"/>
  <c r="D52" i="9"/>
  <c r="D53" i="9"/>
  <c r="H53" i="9" s="1"/>
  <c r="D54" i="9"/>
  <c r="F54" i="9" s="1"/>
  <c r="P79" i="9" s="1"/>
  <c r="D55" i="9"/>
  <c r="F55" i="9" s="1"/>
  <c r="P78" i="9" s="1"/>
  <c r="D56" i="9"/>
  <c r="D57" i="9"/>
  <c r="F57" i="9" s="1"/>
  <c r="P76" i="9" s="1"/>
  <c r="D58" i="9"/>
  <c r="F58" i="9" s="1"/>
  <c r="P75" i="9" s="1"/>
  <c r="D59" i="9"/>
  <c r="F59" i="9" s="1"/>
  <c r="P74" i="9" s="1"/>
  <c r="D60" i="9"/>
  <c r="F60" i="9" s="1"/>
  <c r="P73" i="9" s="1"/>
  <c r="D61" i="9"/>
  <c r="H61" i="9" s="1"/>
  <c r="D62" i="9"/>
  <c r="D63" i="9"/>
  <c r="F63" i="9" s="1"/>
  <c r="P70" i="9" s="1"/>
  <c r="D64" i="9"/>
  <c r="D65" i="9"/>
  <c r="F65" i="9" s="1"/>
  <c r="P68" i="9" s="1"/>
  <c r="D66" i="9"/>
  <c r="F66" i="9" s="1"/>
  <c r="P67" i="9" s="1"/>
  <c r="D67" i="9"/>
  <c r="F67" i="9" s="1"/>
  <c r="P66" i="9" s="1"/>
  <c r="D68" i="9"/>
  <c r="F68" i="9" s="1"/>
  <c r="P65" i="9" s="1"/>
  <c r="D69" i="9"/>
  <c r="F69" i="9" s="1"/>
  <c r="P64" i="9" s="1"/>
  <c r="D70" i="9"/>
  <c r="F70" i="9" s="1"/>
  <c r="P63" i="9" s="1"/>
  <c r="D71" i="9"/>
  <c r="F71" i="9" s="1"/>
  <c r="P62" i="9" s="1"/>
  <c r="D72" i="9"/>
  <c r="D73" i="9"/>
  <c r="F73" i="9" s="1"/>
  <c r="P60" i="9" s="1"/>
  <c r="D74" i="9"/>
  <c r="F74" i="9" s="1"/>
  <c r="P59" i="9" s="1"/>
  <c r="D75" i="9"/>
  <c r="D76" i="9"/>
  <c r="D77" i="9"/>
  <c r="H77" i="9" s="1"/>
  <c r="D78" i="9"/>
  <c r="D79" i="9"/>
  <c r="F79" i="9" s="1"/>
  <c r="P54" i="9" s="1"/>
  <c r="D80" i="9"/>
  <c r="D81" i="9"/>
  <c r="F81" i="9" s="1"/>
  <c r="P52" i="9" s="1"/>
  <c r="D82" i="9"/>
  <c r="F82" i="9" s="1"/>
  <c r="P51" i="9" s="1"/>
  <c r="D83" i="9"/>
  <c r="F83" i="9" s="1"/>
  <c r="P50" i="9" s="1"/>
  <c r="D84" i="9"/>
  <c r="F84" i="9" s="1"/>
  <c r="P49" i="9" s="1"/>
  <c r="D85" i="9"/>
  <c r="H85" i="9" s="1"/>
  <c r="D86" i="9"/>
  <c r="D87" i="9"/>
  <c r="F87" i="9" s="1"/>
  <c r="P46" i="9" s="1"/>
  <c r="D88" i="9"/>
  <c r="D89" i="9"/>
  <c r="F89" i="9" s="1"/>
  <c r="P44" i="9" s="1"/>
  <c r="D90" i="9"/>
  <c r="F90" i="9" s="1"/>
  <c r="P43" i="9" s="1"/>
  <c r="D91" i="9"/>
  <c r="D92" i="9"/>
  <c r="F92" i="9" s="1"/>
  <c r="P41" i="9" s="1"/>
  <c r="D93" i="9"/>
  <c r="F93" i="9" s="1"/>
  <c r="P40" i="9" s="1"/>
  <c r="D94" i="9"/>
  <c r="F94" i="9" s="1"/>
  <c r="P39" i="9" s="1"/>
  <c r="D95" i="9"/>
  <c r="F95" i="9" s="1"/>
  <c r="P38" i="9" s="1"/>
  <c r="D96" i="9"/>
  <c r="D97" i="9"/>
  <c r="F97" i="9" s="1"/>
  <c r="P36" i="9" s="1"/>
  <c r="D98" i="9"/>
  <c r="F98" i="9" s="1"/>
  <c r="P35" i="9" s="1"/>
  <c r="D99" i="9"/>
  <c r="D100" i="9"/>
  <c r="D101" i="9"/>
  <c r="H101" i="9" s="1"/>
  <c r="D102" i="9"/>
  <c r="D103" i="9"/>
  <c r="F103" i="9" s="1"/>
  <c r="P30" i="9" s="1"/>
  <c r="D104" i="9"/>
  <c r="D105" i="9"/>
  <c r="F105" i="9" s="1"/>
  <c r="P28" i="9" s="1"/>
  <c r="D106" i="9"/>
  <c r="F106" i="9" s="1"/>
  <c r="P27" i="9" s="1"/>
  <c r="D107" i="9"/>
  <c r="F107" i="9" s="1"/>
  <c r="P26" i="9" s="1"/>
  <c r="D108" i="9"/>
  <c r="F108" i="9" s="1"/>
  <c r="P25" i="9" s="1"/>
  <c r="D109" i="9"/>
  <c r="F109" i="9" s="1"/>
  <c r="P24" i="9" s="1"/>
  <c r="D110" i="9"/>
  <c r="D111" i="9"/>
  <c r="F111" i="9" s="1"/>
  <c r="P22" i="9" s="1"/>
  <c r="D112" i="9"/>
  <c r="D113" i="9"/>
  <c r="F113" i="9" s="1"/>
  <c r="P20" i="9" s="1"/>
  <c r="D114" i="9"/>
  <c r="F114" i="9" s="1"/>
  <c r="P19" i="9" s="1"/>
  <c r="D115" i="9"/>
  <c r="D116" i="9"/>
  <c r="D117" i="9"/>
  <c r="H117" i="9" s="1"/>
  <c r="D118" i="9"/>
  <c r="F118" i="9" s="1"/>
  <c r="P15" i="9" s="1"/>
  <c r="D119" i="9"/>
  <c r="F119" i="9" s="1"/>
  <c r="P14" i="9" s="1"/>
  <c r="D120" i="9"/>
  <c r="D121" i="9"/>
  <c r="F121" i="9" s="1"/>
  <c r="P12" i="9" s="1"/>
  <c r="D122" i="9"/>
  <c r="F122" i="9" s="1"/>
  <c r="P11" i="9" s="1"/>
  <c r="D123" i="9"/>
  <c r="F123" i="9" s="1"/>
  <c r="P10" i="9" s="1"/>
  <c r="D124" i="9"/>
  <c r="F124" i="9" s="1"/>
  <c r="P9" i="9" s="1"/>
  <c r="D125" i="9"/>
  <c r="H125" i="9" s="1"/>
  <c r="D126" i="9"/>
  <c r="D127" i="9"/>
  <c r="F127" i="9" s="1"/>
  <c r="P6" i="9" s="1"/>
  <c r="D128" i="9"/>
  <c r="D129" i="9"/>
  <c r="F129" i="9" s="1"/>
  <c r="P4" i="9" s="1"/>
  <c r="E4" i="9"/>
  <c r="E5" i="9"/>
  <c r="E6" i="9"/>
  <c r="E7" i="9"/>
  <c r="G7" i="9" s="1"/>
  <c r="Q126" i="9" s="1"/>
  <c r="E8" i="9"/>
  <c r="H8" i="9" s="1"/>
  <c r="E9" i="9"/>
  <c r="G9" i="9" s="1"/>
  <c r="Q124" i="9" s="1"/>
  <c r="E10" i="9"/>
  <c r="E11" i="9"/>
  <c r="G11" i="9" s="1"/>
  <c r="E12" i="9"/>
  <c r="E13" i="9"/>
  <c r="G13" i="9" s="1"/>
  <c r="Q120" i="9" s="1"/>
  <c r="E14" i="9"/>
  <c r="G14" i="9" s="1"/>
  <c r="Q119" i="9" s="1"/>
  <c r="E15" i="9"/>
  <c r="H15" i="9" s="1"/>
  <c r="E16" i="9"/>
  <c r="H16" i="9" s="1"/>
  <c r="E17" i="9"/>
  <c r="G17" i="9" s="1"/>
  <c r="Q116" i="9" s="1"/>
  <c r="E18" i="9"/>
  <c r="E19" i="9"/>
  <c r="G19" i="9" s="1"/>
  <c r="E20" i="9"/>
  <c r="E21" i="9"/>
  <c r="G21" i="9" s="1"/>
  <c r="Q112" i="9" s="1"/>
  <c r="E22" i="9"/>
  <c r="G22" i="9" s="1"/>
  <c r="Q111" i="9" s="1"/>
  <c r="E23" i="9"/>
  <c r="G23" i="9" s="1"/>
  <c r="Q110" i="9" s="1"/>
  <c r="E24" i="9"/>
  <c r="H24" i="9" s="1"/>
  <c r="E25" i="9"/>
  <c r="G25" i="9" s="1"/>
  <c r="Q108" i="9" s="1"/>
  <c r="E26" i="9"/>
  <c r="E27" i="9"/>
  <c r="G27" i="9" s="1"/>
  <c r="E28" i="9"/>
  <c r="E29" i="9"/>
  <c r="E30" i="9"/>
  <c r="H30" i="9" s="1"/>
  <c r="E31" i="9"/>
  <c r="H31" i="9" s="1"/>
  <c r="E32" i="9"/>
  <c r="H32" i="9" s="1"/>
  <c r="E33" i="9"/>
  <c r="G33" i="9" s="1"/>
  <c r="Q100" i="9" s="1"/>
  <c r="E34" i="9"/>
  <c r="E35" i="9"/>
  <c r="G35" i="9" s="1"/>
  <c r="E36" i="9"/>
  <c r="E37" i="9"/>
  <c r="G37" i="9" s="1"/>
  <c r="Q96" i="9" s="1"/>
  <c r="E38" i="9"/>
  <c r="G38" i="9" s="1"/>
  <c r="Q95" i="9" s="1"/>
  <c r="E39" i="9"/>
  <c r="G39" i="9" s="1"/>
  <c r="Q94" i="9" s="1"/>
  <c r="E40" i="9"/>
  <c r="H40" i="9" s="1"/>
  <c r="E41" i="9"/>
  <c r="G41" i="9" s="1"/>
  <c r="Q92" i="9" s="1"/>
  <c r="E42" i="9"/>
  <c r="E43" i="9"/>
  <c r="G43" i="9" s="1"/>
  <c r="E44" i="9"/>
  <c r="E45" i="9"/>
  <c r="E46" i="9"/>
  <c r="G46" i="9" s="1"/>
  <c r="Q87" i="9" s="1"/>
  <c r="E47" i="9"/>
  <c r="G47" i="9" s="1"/>
  <c r="Q86" i="9" s="1"/>
  <c r="E48" i="9"/>
  <c r="H48" i="9" s="1"/>
  <c r="E49" i="9"/>
  <c r="G49" i="9" s="1"/>
  <c r="Q84" i="9" s="1"/>
  <c r="E50" i="9"/>
  <c r="E51" i="9"/>
  <c r="G51" i="9" s="1"/>
  <c r="E52" i="9"/>
  <c r="E53" i="9"/>
  <c r="G53" i="9" s="1"/>
  <c r="Q80" i="9" s="1"/>
  <c r="E54" i="9"/>
  <c r="G54" i="9" s="1"/>
  <c r="Q79" i="9" s="1"/>
  <c r="E55" i="9"/>
  <c r="H55" i="9" s="1"/>
  <c r="E56" i="9"/>
  <c r="H56" i="9" s="1"/>
  <c r="E57" i="9"/>
  <c r="G57" i="9" s="1"/>
  <c r="Q76" i="9" s="1"/>
  <c r="E58" i="9"/>
  <c r="E59" i="9"/>
  <c r="G59" i="9" s="1"/>
  <c r="E60" i="9"/>
  <c r="E61" i="9"/>
  <c r="E62" i="9"/>
  <c r="G62" i="9" s="1"/>
  <c r="Q71" i="9" s="1"/>
  <c r="E63" i="9"/>
  <c r="G63" i="9" s="1"/>
  <c r="Q70" i="9" s="1"/>
  <c r="E64" i="9"/>
  <c r="H64" i="9" s="1"/>
  <c r="E65" i="9"/>
  <c r="G65" i="9" s="1"/>
  <c r="Q68" i="9" s="1"/>
  <c r="E66" i="9"/>
  <c r="E67" i="9"/>
  <c r="G67" i="9" s="1"/>
  <c r="E68" i="9"/>
  <c r="E69" i="9"/>
  <c r="H69" i="9" s="1"/>
  <c r="E70" i="9"/>
  <c r="E71" i="9"/>
  <c r="G71" i="9" s="1"/>
  <c r="Q62" i="9" s="1"/>
  <c r="E72" i="9"/>
  <c r="H72" i="9" s="1"/>
  <c r="E73" i="9"/>
  <c r="G73" i="9" s="1"/>
  <c r="Q60" i="9" s="1"/>
  <c r="E74" i="9"/>
  <c r="E75" i="9"/>
  <c r="G75" i="9" s="1"/>
  <c r="E76" i="9"/>
  <c r="E77" i="9"/>
  <c r="G77" i="9" s="1"/>
  <c r="Q56" i="9" s="1"/>
  <c r="E78" i="9"/>
  <c r="G78" i="9" s="1"/>
  <c r="Q55" i="9" s="1"/>
  <c r="E79" i="9"/>
  <c r="H79" i="9" s="1"/>
  <c r="E80" i="9"/>
  <c r="H80" i="9" s="1"/>
  <c r="E81" i="9"/>
  <c r="G81" i="9" s="1"/>
  <c r="Q52" i="9" s="1"/>
  <c r="E82" i="9"/>
  <c r="E83" i="9"/>
  <c r="G83" i="9" s="1"/>
  <c r="E84" i="9"/>
  <c r="E85" i="9"/>
  <c r="G85" i="9" s="1"/>
  <c r="Q48" i="9" s="1"/>
  <c r="E86" i="9"/>
  <c r="G86" i="9" s="1"/>
  <c r="Q47" i="9" s="1"/>
  <c r="E87" i="9"/>
  <c r="G87" i="9" s="1"/>
  <c r="Q46" i="9" s="1"/>
  <c r="E88" i="9"/>
  <c r="H88" i="9" s="1"/>
  <c r="E89" i="9"/>
  <c r="G89" i="9" s="1"/>
  <c r="Q44" i="9" s="1"/>
  <c r="E90" i="9"/>
  <c r="E91" i="9"/>
  <c r="G91" i="9" s="1"/>
  <c r="E92" i="9"/>
  <c r="E93" i="9"/>
  <c r="H93" i="9" s="1"/>
  <c r="E94" i="9"/>
  <c r="H94" i="9" s="1"/>
  <c r="E95" i="9"/>
  <c r="H95" i="9" s="1"/>
  <c r="E96" i="9"/>
  <c r="H96" i="9" s="1"/>
  <c r="E97" i="9"/>
  <c r="G97" i="9" s="1"/>
  <c r="Q36" i="9" s="1"/>
  <c r="E98" i="9"/>
  <c r="E99" i="9"/>
  <c r="G99" i="9" s="1"/>
  <c r="E100" i="9"/>
  <c r="E101" i="9"/>
  <c r="G101" i="9" s="1"/>
  <c r="Q32" i="9" s="1"/>
  <c r="E102" i="9"/>
  <c r="G102" i="9" s="1"/>
  <c r="Q31" i="9" s="1"/>
  <c r="E103" i="9"/>
  <c r="G103" i="9" s="1"/>
  <c r="Q30" i="9" s="1"/>
  <c r="E104" i="9"/>
  <c r="H104" i="9" s="1"/>
  <c r="E105" i="9"/>
  <c r="G105" i="9" s="1"/>
  <c r="Q28" i="9" s="1"/>
  <c r="E106" i="9"/>
  <c r="E107" i="9"/>
  <c r="G107" i="9" s="1"/>
  <c r="E108" i="9"/>
  <c r="E109" i="9"/>
  <c r="E110" i="9"/>
  <c r="G110" i="9" s="1"/>
  <c r="Q23" i="9" s="1"/>
  <c r="E111" i="9"/>
  <c r="G111" i="9" s="1"/>
  <c r="Q22" i="9" s="1"/>
  <c r="E112" i="9"/>
  <c r="H112" i="9" s="1"/>
  <c r="E113" i="9"/>
  <c r="G113" i="9" s="1"/>
  <c r="Q20" i="9" s="1"/>
  <c r="E114" i="9"/>
  <c r="E115" i="9"/>
  <c r="G115" i="9" s="1"/>
  <c r="E116" i="9"/>
  <c r="E117" i="9"/>
  <c r="G117" i="9" s="1"/>
  <c r="Q16" i="9" s="1"/>
  <c r="E118" i="9"/>
  <c r="G118" i="9" s="1"/>
  <c r="Q15" i="9" s="1"/>
  <c r="E119" i="9"/>
  <c r="G119" i="9" s="1"/>
  <c r="Q14" i="9" s="1"/>
  <c r="E120" i="9"/>
  <c r="H120" i="9" s="1"/>
  <c r="E121" i="9"/>
  <c r="G121" i="9" s="1"/>
  <c r="Q12" i="9" s="1"/>
  <c r="E122" i="9"/>
  <c r="E123" i="9"/>
  <c r="G123" i="9" s="1"/>
  <c r="E124" i="9"/>
  <c r="E125" i="9"/>
  <c r="E126" i="9"/>
  <c r="G126" i="9" s="1"/>
  <c r="Q7" i="9" s="1"/>
  <c r="E127" i="9"/>
  <c r="H127" i="9" s="1"/>
  <c r="E128" i="9"/>
  <c r="H128" i="9" s="1"/>
  <c r="E129" i="9"/>
  <c r="G129" i="9" s="1"/>
  <c r="Q4" i="9" s="1"/>
  <c r="F8" i="9"/>
  <c r="P125" i="9" s="1"/>
  <c r="F11" i="9"/>
  <c r="F12" i="9"/>
  <c r="P121" i="9" s="1"/>
  <c r="F13" i="9"/>
  <c r="P120" i="9" s="1"/>
  <c r="F16" i="9"/>
  <c r="P117" i="9" s="1"/>
  <c r="F24" i="9"/>
  <c r="P109" i="9" s="1"/>
  <c r="F27" i="9"/>
  <c r="P106" i="9" s="1"/>
  <c r="F32" i="9"/>
  <c r="P101" i="9" s="1"/>
  <c r="F35" i="9"/>
  <c r="F36" i="9"/>
  <c r="F37" i="9"/>
  <c r="P96" i="9" s="1"/>
  <c r="F38" i="9"/>
  <c r="P95" i="9" s="1"/>
  <c r="F40" i="9"/>
  <c r="P93" i="9" s="1"/>
  <c r="F48" i="9"/>
  <c r="P85" i="9" s="1"/>
  <c r="F51" i="9"/>
  <c r="F52" i="9"/>
  <c r="P81" i="9" s="1"/>
  <c r="F56" i="9"/>
  <c r="P77" i="9" s="1"/>
  <c r="F64" i="9"/>
  <c r="P69" i="9" s="1"/>
  <c r="F72" i="9"/>
  <c r="P61" i="9" s="1"/>
  <c r="F75" i="9"/>
  <c r="F76" i="9"/>
  <c r="P57" i="9" s="1"/>
  <c r="F77" i="9"/>
  <c r="P56" i="9" s="1"/>
  <c r="F80" i="9"/>
  <c r="P53" i="9" s="1"/>
  <c r="F88" i="9"/>
  <c r="P45" i="9" s="1"/>
  <c r="F91" i="9"/>
  <c r="P42" i="9" s="1"/>
  <c r="F96" i="9"/>
  <c r="P37" i="9" s="1"/>
  <c r="F99" i="9"/>
  <c r="F100" i="9"/>
  <c r="F101" i="9"/>
  <c r="P32" i="9" s="1"/>
  <c r="F102" i="9"/>
  <c r="P31" i="9" s="1"/>
  <c r="F104" i="9"/>
  <c r="P29" i="9" s="1"/>
  <c r="F112" i="9"/>
  <c r="P21" i="9" s="1"/>
  <c r="F115" i="9"/>
  <c r="F116" i="9"/>
  <c r="P17" i="9" s="1"/>
  <c r="F120" i="9"/>
  <c r="P13" i="9" s="1"/>
  <c r="F128" i="9"/>
  <c r="P5" i="9" s="1"/>
  <c r="G5" i="9"/>
  <c r="Q128" i="9" s="1"/>
  <c r="G6" i="9"/>
  <c r="Q127" i="9" s="1"/>
  <c r="G8" i="9"/>
  <c r="Q125" i="9" s="1"/>
  <c r="G10" i="9"/>
  <c r="G16" i="9"/>
  <c r="Q117" i="9" s="1"/>
  <c r="G18" i="9"/>
  <c r="Q115" i="9" s="1"/>
  <c r="G24" i="9"/>
  <c r="G26" i="9"/>
  <c r="G29" i="9"/>
  <c r="Q104" i="9" s="1"/>
  <c r="G30" i="9"/>
  <c r="Q103" i="9" s="1"/>
  <c r="G31" i="9"/>
  <c r="Q102" i="9" s="1"/>
  <c r="G32" i="9"/>
  <c r="G34" i="9"/>
  <c r="G40" i="9"/>
  <c r="Q93" i="9" s="1"/>
  <c r="G42" i="9"/>
  <c r="G45" i="9"/>
  <c r="Q88" i="9" s="1"/>
  <c r="G48" i="9"/>
  <c r="G50" i="9"/>
  <c r="G56" i="9"/>
  <c r="Q77" i="9" s="1"/>
  <c r="G58" i="9"/>
  <c r="G61" i="9"/>
  <c r="Q72" i="9" s="1"/>
  <c r="G64" i="9"/>
  <c r="Q69" i="9" s="1"/>
  <c r="G66" i="9"/>
  <c r="G69" i="9"/>
  <c r="Q64" i="9" s="1"/>
  <c r="G70" i="9"/>
  <c r="Q63" i="9" s="1"/>
  <c r="G72" i="9"/>
  <c r="Q61" i="9" s="1"/>
  <c r="G74" i="9"/>
  <c r="G80" i="9"/>
  <c r="Q53" i="9" s="1"/>
  <c r="G82" i="9"/>
  <c r="Q51" i="9" s="1"/>
  <c r="G88" i="9"/>
  <c r="G90" i="9"/>
  <c r="G93" i="9"/>
  <c r="Q40" i="9" s="1"/>
  <c r="G94" i="9"/>
  <c r="Q39" i="9" s="1"/>
  <c r="G95" i="9"/>
  <c r="Q38" i="9" s="1"/>
  <c r="G96" i="9"/>
  <c r="G98" i="9"/>
  <c r="G104" i="9"/>
  <c r="Q29" i="9" s="1"/>
  <c r="G106" i="9"/>
  <c r="G109" i="9"/>
  <c r="Q24" i="9" s="1"/>
  <c r="G114" i="9"/>
  <c r="G120" i="9"/>
  <c r="Q13" i="9" s="1"/>
  <c r="G122" i="9"/>
  <c r="G125" i="9"/>
  <c r="Q8" i="9" s="1"/>
  <c r="G128" i="9"/>
  <c r="Q5" i="9" s="1"/>
  <c r="H5" i="9"/>
  <c r="H9" i="9"/>
  <c r="H10" i="9"/>
  <c r="H18" i="9"/>
  <c r="H25" i="9"/>
  <c r="H26" i="9"/>
  <c r="H29" i="9"/>
  <c r="H34" i="9"/>
  <c r="H41" i="9"/>
  <c r="H42" i="9"/>
  <c r="H47" i="9"/>
  <c r="H50" i="9"/>
  <c r="H58" i="9"/>
  <c r="H65" i="9"/>
  <c r="H66" i="9"/>
  <c r="H74" i="9"/>
  <c r="H81" i="9"/>
  <c r="H82" i="9"/>
  <c r="H87" i="9"/>
  <c r="H90" i="9"/>
  <c r="H97" i="9"/>
  <c r="H98" i="9"/>
  <c r="H103" i="9"/>
  <c r="H106" i="9"/>
  <c r="H114" i="9"/>
  <c r="H121" i="9"/>
  <c r="H122" i="9"/>
  <c r="H129" i="9"/>
  <c r="U4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H7" i="9" l="1"/>
  <c r="G55" i="9"/>
  <c r="Q78" i="9" s="1"/>
  <c r="H119" i="9"/>
  <c r="G79" i="9"/>
  <c r="Q54" i="9" s="1"/>
  <c r="G15" i="9"/>
  <c r="Q118" i="9" s="1"/>
  <c r="H39" i="9"/>
  <c r="H113" i="9"/>
  <c r="G127" i="9"/>
  <c r="Q6" i="9" s="1"/>
  <c r="F55" i="16" s="1"/>
  <c r="H63" i="9"/>
  <c r="H23" i="9"/>
  <c r="H57" i="9"/>
  <c r="H111" i="9"/>
  <c r="H73" i="9"/>
  <c r="H33" i="9"/>
  <c r="H17" i="9"/>
  <c r="G112" i="9"/>
  <c r="Q21" i="9" s="1"/>
  <c r="H71" i="9"/>
  <c r="H105" i="9"/>
  <c r="H89" i="9"/>
  <c r="H49" i="9"/>
  <c r="H126" i="9"/>
  <c r="H110" i="9"/>
  <c r="H102" i="9"/>
  <c r="H86" i="9"/>
  <c r="H78" i="9"/>
  <c r="H62" i="9"/>
  <c r="H46" i="9"/>
  <c r="H38" i="9"/>
  <c r="H22" i="9"/>
  <c r="H14" i="9"/>
  <c r="H118" i="9"/>
  <c r="F62" i="9"/>
  <c r="P71" i="9" s="1"/>
  <c r="F61" i="9"/>
  <c r="P72" i="9" s="1"/>
  <c r="F21" i="9"/>
  <c r="P112" i="9" s="1"/>
  <c r="H109" i="9"/>
  <c r="H70" i="9"/>
  <c r="H45" i="9"/>
  <c r="H6" i="9"/>
  <c r="F117" i="9"/>
  <c r="P16" i="9" s="1"/>
  <c r="O54" i="16" s="1"/>
  <c r="F78" i="9"/>
  <c r="P55" i="9" s="1"/>
  <c r="F53" i="9"/>
  <c r="P80" i="9" s="1"/>
  <c r="F14" i="9"/>
  <c r="P119" i="9" s="1"/>
  <c r="H54" i="9"/>
  <c r="F126" i="9"/>
  <c r="P7" i="9" s="1"/>
  <c r="F125" i="9"/>
  <c r="P8" i="9" s="1"/>
  <c r="G54" i="16" s="1"/>
  <c r="F22" i="9"/>
  <c r="P111" i="9" s="1"/>
  <c r="F110" i="9"/>
  <c r="P23" i="9" s="1"/>
  <c r="F46" i="9"/>
  <c r="P87" i="9" s="1"/>
  <c r="H124" i="9"/>
  <c r="H116" i="9"/>
  <c r="H108" i="9"/>
  <c r="H100" i="9"/>
  <c r="H92" i="9"/>
  <c r="H84" i="9"/>
  <c r="H76" i="9"/>
  <c r="H68" i="9"/>
  <c r="H60" i="9"/>
  <c r="H52" i="9"/>
  <c r="H44" i="9"/>
  <c r="H36" i="9"/>
  <c r="H28" i="9"/>
  <c r="H20" i="9"/>
  <c r="H12" i="9"/>
  <c r="H4" i="9"/>
  <c r="F86" i="9"/>
  <c r="P47" i="9" s="1"/>
  <c r="F85" i="9"/>
  <c r="P48" i="9" s="1"/>
  <c r="G108" i="9"/>
  <c r="Q25" i="9" s="1"/>
  <c r="G84" i="9"/>
  <c r="Q49" i="9" s="1"/>
  <c r="G52" i="9"/>
  <c r="Q81" i="9" s="1"/>
  <c r="G20" i="9"/>
  <c r="Q113" i="9" s="1"/>
  <c r="G12" i="9"/>
  <c r="Q121" i="9" s="1"/>
  <c r="H123" i="9"/>
  <c r="H115" i="9"/>
  <c r="H107" i="9"/>
  <c r="H99" i="9"/>
  <c r="H91" i="9"/>
  <c r="H83" i="9"/>
  <c r="H75" i="9"/>
  <c r="H67" i="9"/>
  <c r="H59" i="9"/>
  <c r="H51" i="9"/>
  <c r="H43" i="9"/>
  <c r="H35" i="9"/>
  <c r="H27" i="9"/>
  <c r="H19" i="9"/>
  <c r="H11" i="9"/>
  <c r="G124" i="9"/>
  <c r="Q9" i="9" s="1"/>
  <c r="G92" i="9"/>
  <c r="Q41" i="9" s="1"/>
  <c r="G68" i="9"/>
  <c r="Q65" i="9" s="1"/>
  <c r="G44" i="9"/>
  <c r="Q89" i="9" s="1"/>
  <c r="G28" i="9"/>
  <c r="Q105" i="9" s="1"/>
  <c r="G116" i="9"/>
  <c r="Q17" i="9" s="1"/>
  <c r="G100" i="9"/>
  <c r="Q33" i="9" s="1"/>
  <c r="G76" i="9"/>
  <c r="Q57" i="9" s="1"/>
  <c r="G60" i="9"/>
  <c r="Q73" i="9" s="1"/>
  <c r="G36" i="9"/>
  <c r="Q97" i="9" s="1"/>
  <c r="G4" i="9"/>
  <c r="Q129" i="9" s="1"/>
  <c r="G55" i="16"/>
  <c r="L55" i="16"/>
  <c r="N54" i="16"/>
  <c r="D55" i="16"/>
  <c r="L54" i="16"/>
  <c r="E54" i="16"/>
  <c r="N55" i="16"/>
  <c r="E55" i="16"/>
  <c r="M55" i="16"/>
  <c r="K54" i="16"/>
  <c r="D54" i="16"/>
  <c r="M54" i="16"/>
  <c r="H54" i="16"/>
  <c r="F54" i="16"/>
  <c r="O55" i="16" l="1"/>
  <c r="J55" i="16"/>
  <c r="K55" i="16"/>
  <c r="J54" i="16"/>
  <c r="I54" i="16"/>
  <c r="I55" i="16"/>
  <c r="H55" i="16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U9" i="16"/>
  <c r="U10" i="16" l="1"/>
</calcChain>
</file>

<file path=xl/connections.xml><?xml version="1.0" encoding="utf-8"?>
<connections xmlns="http://schemas.openxmlformats.org/spreadsheetml/2006/main">
  <connection id="1" name="BigBankQuery" type="1" refreshedVersion="4" savePassword="1" saveData="1">
    <dbPr connection="DSN=Agency" command="select calcOrigMonth_LL, sum(origNoteRate * originalLoanAmount)/sum(originalLoanAmount) WANoteRate from fnm.cello_loan where originalServicerName in ('WELLS FARGO','CITI','CHASE','BANK OF AMERICA','CWB','SUNTRUST','PNC','WACHOVIA') and marketTicker in ('FNCL') and origNoteRate &gt; 0 and originalLoanAmount &gt; 0 and cs &gt;= 760 and cs &lt;= 780 and origLTV &gt;= 70 and origLTV &lt;= 80 and loanPurposeType = 'RE-FI' and occType = 'OWNER' and propertyType = 'SF' and calcOrigMonth_LL &gt;= 200501 and calcOrigMonth_LL &lt;= 201506 group by calcOrigMonth_LL order by calcOrigMonth_LL"/>
  </connection>
  <connection id="2" name="BigNonBankQuery1" type="1" refreshedVersion="4" savePassword="1" saveData="1">
    <dbPr connection="DSN=Agency" command="select calcOrigMonth_LL, sum(origNoteRate * originalLoanAmount)/sum(originalLoanAmount) WANoteRate from fnm.cello_loan where originalServicerName in ('QUICKEN','GREEN TREE SERVICING, LLC','FLAGSTAR','PINGORA LOAN SERVICING, INC.','FRANKLIN AMERICAN MORTGAGE COMPANY','FREEDOM','NATIONSTAR','GUILD','HOMESTREET BANK','ROUNDPOINT MORTGAGE SERVICING CORPORATIO') and marketTicker in ('FNCL') and origNoteRate &gt; 0 and originalLoanAmount &gt; 0 and cs &gt;= 760 and cs &lt;= 780 and origLTV &gt;= 70 and origLTV &lt;= 80 and loanPurposeType = 'RE-FI' and occType = 'OWNER' and propertyType = 'SF' and calcOrigMonth_LL &gt;= 200501 and calcOrigMonth_LL &lt;= 201506 group by calcOrigMonth_LL order by calcOrigMonth_LL desc"/>
  </connection>
  <connection id="3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7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8" name="SmallLenderQuery" type="1" refreshedVersion="4" savePassword="1" saveData="1">
    <dbPr connection="DSN=Agency" command="select calcOrigMonth_LL, sum(origNoteRate * originalLoanAmount)/sum(originalLoanAmount) WANoteRate from fnm.cello_loan 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 and marketTicker in ('FNCL') and origNoteRate &gt; 0 and originalLoanAmount &gt; 0 and cs &gt;= 760 and cs &lt;= 780 and origLTV &gt;= 70 and origLTV &lt;= 80 and loanPurposeType = 'RE-FI' and occType = 'OWNER' and propertyType = 'SF' and calcOrigMonth_LL &gt;= 200501 and calcOrigMonth_LL &lt;= 201506 group by calcOrigMonth_LL order by calcOrigMonth_LL desc"/>
  </connection>
  <connection id="9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5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3" name="temp6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4" name="temp7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8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<sst xmlns="http://schemas.openxmlformats.org/spreadsheetml/2006/main" count="47" uniqueCount="24">
  <si>
    <t>Database Env</t>
  </si>
  <si>
    <t>PROD</t>
  </si>
  <si>
    <t>Save Data to DB</t>
  </si>
  <si>
    <t>Yes</t>
  </si>
  <si>
    <t>As of Date</t>
  </si>
  <si>
    <t>Report Name</t>
  </si>
  <si>
    <t>Month</t>
  </si>
  <si>
    <t>Last Month</t>
  </si>
  <si>
    <t>Report Folder</t>
  </si>
  <si>
    <t>Change lag on</t>
  </si>
  <si>
    <t>S:\IT\Production\Daily Reports\Primary Market\tmp\</t>
  </si>
  <si>
    <t>Big Bank</t>
  </si>
  <si>
    <t>Big Non-Bank</t>
  </si>
  <si>
    <t>Small Lender</t>
  </si>
  <si>
    <t>Big Non-Bank Lender</t>
  </si>
  <si>
    <t>1-2</t>
  </si>
  <si>
    <t>1-3</t>
  </si>
  <si>
    <t>2-3</t>
  </si>
  <si>
    <t>poolIssueDate</t>
  </si>
  <si>
    <t>WANoteRate</t>
  </si>
  <si>
    <t>calcOrigMonth_LL</t>
  </si>
  <si>
    <t>Big Bank - Big Non-Bank</t>
  </si>
  <si>
    <t>Big Bank - Small</t>
  </si>
  <si>
    <t>Mortgage Rate Difference (bp)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</si>
</sst>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6">
    <xf numFmtId="0" fontId="0" fillId="0" borderId="0"/>
    <xf numFmtId="0" fontId="5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</cellStyleXfs>
  <cellXfs count="30">
    <xf numFmtId="0" fontId="0" fillId="0" borderId="0" xfId="0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0" fontId="4" fillId="0" borderId="3" xfId="0" applyFont="1" applyBorder="1"/>
    <xf numFmtId="0" fontId="5" fillId="5" borderId="3" xfId="1" applyFont="1" applyBorder="1" applyAlignment="1">
      <alignment horizontal="center"/>
    </xf>
    <xf numFmtId="14" fontId="5" fillId="5" borderId="3" xfId="1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29" fillId="0" borderId="0" xfId="2" applyFont="1"/>
    <xf numFmtId="0" fontId="129" fillId="0" borderId="0" xfId="2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1" applyFont="1" applyBorder="1" applyAlignment="1">
      <alignment horizontal="left"/>
    </xf>
    <xf numFmtId="0" fontId="130" fillId="51" borderId="38" xfId="0" applyFont="1" applyFill="1" applyBorder="1"/>
    <xf numFmtId="0" fontId="130" fillId="51" borderId="39" xfId="0" applyFont="1" applyFill="1" applyBorder="1"/>
    <xf numFmtId="2" fontId="7" fillId="0" borderId="0" xfId="0" applyNumberFormat="1" applyFont="1"/>
    <xf numFmtId="16" fontId="7" fillId="0" borderId="0" xfId="0" quotePrefix="1" applyNumberFormat="1" applyFont="1"/>
    <xf numFmtId="0" fontId="7" fillId="0" borderId="0" xfId="0" quotePrefix="1" applyFont="1"/>
    <xf numFmtId="16" fontId="130" fillId="51" borderId="38" xfId="0" applyNumberFormat="1" applyFont="1" applyFill="1" applyBorder="1"/>
    <xf numFmtId="0" fontId="8" fillId="0" borderId="0" xfId="2"/>
    <xf numFmtId="0" fontId="7" fillId="0" borderId="0" xfId="0" applyNumberFormat="1" applyFont="1"/>
    <xf numFmtId="0" fontId="4" fillId="0" borderId="40" xfId="0" applyFont="1" applyBorder="1" applyAlignment="1">
      <alignment horizontal="center"/>
    </xf>
    <xf numFmtId="0" fontId="7" fillId="39" borderId="40" xfId="0" applyFont="1" applyFill="1" applyBorder="1" applyAlignment="1">
      <alignment horizontal="center"/>
    </xf>
    <xf numFmtId="0" fontId="4" fillId="39" borderId="40" xfId="0" applyFont="1" applyFill="1" applyBorder="1" applyAlignment="1">
      <alignment horizontal="center"/>
    </xf>
    <xf numFmtId="2" fontId="4" fillId="0" borderId="40" xfId="0" applyNumberFormat="1" applyFont="1" applyBorder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9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Big Bank</c:v>
          </c:tx>
          <c:marker>
            <c:symbol val="none"/>
          </c:marker>
          <c:cat>
            <c:numRef>
              <c:f>Query!$B$4:$B$129</c:f>
              <c:numCache>
                <c:formatCode>General</c:formatCode>
                <c:ptCount val="126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</c:numCache>
            </c:numRef>
          </c:cat>
          <c:val>
            <c:numRef>
              <c:f>Query!$C$4:$C$129</c:f>
              <c:numCache>
                <c:formatCode>0.00</c:formatCode>
                <c:ptCount val="126"/>
                <c:pt idx="0">
                  <c:v>5.7271914654134264</c:v>
                </c:pt>
                <c:pt idx="1">
                  <c:v>5.7240115562483167</c:v>
                </c:pt>
                <c:pt idx="2">
                  <c:v>5.6253979070136637</c:v>
                </c:pt>
                <c:pt idx="3">
                  <c:v>5.6835079040144665</c:v>
                </c:pt>
                <c:pt idx="4">
                  <c:v>5.9082662298694792</c:v>
                </c:pt>
                <c:pt idx="5">
                  <c:v>5.8388230199565259</c:v>
                </c:pt>
                <c:pt idx="6">
                  <c:v>5.6930161095548835</c:v>
                </c:pt>
                <c:pt idx="7">
                  <c:v>5.6548333247895437</c:v>
                </c:pt>
                <c:pt idx="8">
                  <c:v>5.7856933647298785</c:v>
                </c:pt>
                <c:pt idx="9">
                  <c:v>5.7866769560738387</c:v>
                </c:pt>
                <c:pt idx="10">
                  <c:v>5.8415440831293246</c:v>
                </c:pt>
                <c:pt idx="11">
                  <c:v>6.0583441103025715</c:v>
                </c:pt>
                <c:pt idx="12">
                  <c:v>6.2208817905574501</c:v>
                </c:pt>
                <c:pt idx="13">
                  <c:v>6.1393375394428409</c:v>
                </c:pt>
                <c:pt idx="14">
                  <c:v>6.1263105164855043</c:v>
                </c:pt>
                <c:pt idx="15">
                  <c:v>6.2321303315143748</c:v>
                </c:pt>
                <c:pt idx="16">
                  <c:v>6.4372992201954213</c:v>
                </c:pt>
                <c:pt idx="17">
                  <c:v>6.5635318845605086</c:v>
                </c:pt>
                <c:pt idx="18">
                  <c:v>6.6366539689627446</c:v>
                </c:pt>
                <c:pt idx="19">
                  <c:v>6.8119379081735882</c:v>
                </c:pt>
                <c:pt idx="20">
                  <c:v>6.6705591317829809</c:v>
                </c:pt>
                <c:pt idx="21">
                  <c:v>6.506715809751527</c:v>
                </c:pt>
                <c:pt idx="22">
                  <c:v>6.3353850615272451</c:v>
                </c:pt>
                <c:pt idx="23">
                  <c:v>6.2819651938195431</c:v>
                </c:pt>
                <c:pt idx="24">
                  <c:v>6.1368199171769255</c:v>
                </c:pt>
                <c:pt idx="25">
                  <c:v>6.1123327196803432</c:v>
                </c:pt>
                <c:pt idx="26">
                  <c:v>6.2734794151098203</c:v>
                </c:pt>
                <c:pt idx="27">
                  <c:v>6.1704295704535417</c:v>
                </c:pt>
                <c:pt idx="28">
                  <c:v>6.175718493143064</c:v>
                </c:pt>
                <c:pt idx="29">
                  <c:v>6.2678029406831373</c:v>
                </c:pt>
                <c:pt idx="30">
                  <c:v>6.3707306393361893</c:v>
                </c:pt>
                <c:pt idx="31">
                  <c:v>6.677306371014831</c:v>
                </c:pt>
                <c:pt idx="32">
                  <c:v>6.6678007935860659</c:v>
                </c:pt>
                <c:pt idx="33">
                  <c:v>6.5348683303144917</c:v>
                </c:pt>
                <c:pt idx="34">
                  <c:v>6.4527250274341563</c:v>
                </c:pt>
                <c:pt idx="35">
                  <c:v>6.3124919391191439</c:v>
                </c:pt>
                <c:pt idx="36">
                  <c:v>6.1110091593399867</c:v>
                </c:pt>
                <c:pt idx="37">
                  <c:v>5.8675506804778834</c:v>
                </c:pt>
                <c:pt idx="38">
                  <c:v>5.5997468624741797</c:v>
                </c:pt>
                <c:pt idx="39">
                  <c:v>5.7553322883539204</c:v>
                </c:pt>
                <c:pt idx="40">
                  <c:v>5.8169697589589697</c:v>
                </c:pt>
                <c:pt idx="41">
                  <c:v>5.9213250806722435</c:v>
                </c:pt>
                <c:pt idx="42">
                  <c:v>6.0029308486846045</c:v>
                </c:pt>
                <c:pt idx="43">
                  <c:v>6.3240655492943301</c:v>
                </c:pt>
                <c:pt idx="44">
                  <c:v>6.4204483470980707</c:v>
                </c:pt>
                <c:pt idx="45">
                  <c:v>6.0822656928193917</c:v>
                </c:pt>
                <c:pt idx="46">
                  <c:v>5.8933863825906005</c:v>
                </c:pt>
                <c:pt idx="47">
                  <c:v>5.9619963430663541</c:v>
                </c:pt>
                <c:pt idx="48">
                  <c:v>5.1983110834377282</c:v>
                </c:pt>
                <c:pt idx="49">
                  <c:v>4.8739656893234162</c:v>
                </c:pt>
                <c:pt idx="50">
                  <c:v>4.8288602942897532</c:v>
                </c:pt>
                <c:pt idx="51">
                  <c:v>4.849315688350754</c:v>
                </c:pt>
                <c:pt idx="52">
                  <c:v>4.7673905806620551</c:v>
                </c:pt>
                <c:pt idx="53">
                  <c:v>4.7495429682296209</c:v>
                </c:pt>
                <c:pt idx="54">
                  <c:v>4.7931879427430264</c:v>
                </c:pt>
                <c:pt idx="55">
                  <c:v>4.8753387218115618</c:v>
                </c:pt>
                <c:pt idx="56">
                  <c:v>4.9734131818363165</c:v>
                </c:pt>
                <c:pt idx="57">
                  <c:v>5.0222045158643613</c:v>
                </c:pt>
                <c:pt idx="58">
                  <c:v>4.9993734161874608</c:v>
                </c:pt>
                <c:pt idx="59">
                  <c:v>4.9933345288110189</c:v>
                </c:pt>
                <c:pt idx="60">
                  <c:v>4.9701386240353322</c:v>
                </c:pt>
                <c:pt idx="61">
                  <c:v>4.9774019442176467</c:v>
                </c:pt>
                <c:pt idx="62">
                  <c:v>5.0543228575985095</c:v>
                </c:pt>
                <c:pt idx="63">
                  <c:v>5.091236869050638</c:v>
                </c:pt>
                <c:pt idx="64">
                  <c:v>5.1100927402786409</c:v>
                </c:pt>
                <c:pt idx="65">
                  <c:v>5.1380396857494128</c:v>
                </c:pt>
                <c:pt idx="66">
                  <c:v>5.0171109521898245</c:v>
                </c:pt>
                <c:pt idx="67">
                  <c:v>4.8204122702152663</c:v>
                </c:pt>
                <c:pt idx="68">
                  <c:v>4.6748877229983581</c:v>
                </c:pt>
                <c:pt idx="69">
                  <c:v>4.5503765586660601</c:v>
                </c:pt>
                <c:pt idx="70">
                  <c:v>4.4863820002727097</c:v>
                </c:pt>
                <c:pt idx="71">
                  <c:v>4.3941822780714448</c:v>
                </c:pt>
                <c:pt idx="72">
                  <c:v>4.4394506312504758</c:v>
                </c:pt>
                <c:pt idx="73">
                  <c:v>4.6101668267854272</c:v>
                </c:pt>
                <c:pt idx="74">
                  <c:v>4.7898500857206114</c:v>
                </c:pt>
                <c:pt idx="75">
                  <c:v>4.9682258006661</c:v>
                </c:pt>
                <c:pt idx="76">
                  <c:v>5.0665489230692025</c:v>
                </c:pt>
                <c:pt idx="77">
                  <c:v>5.0260899490669972</c:v>
                </c:pt>
                <c:pt idx="78">
                  <c:v>4.8584745525635826</c:v>
                </c:pt>
                <c:pt idx="79">
                  <c:v>4.769622503261334</c:v>
                </c:pt>
                <c:pt idx="80">
                  <c:v>4.6580195820918506</c:v>
                </c:pt>
                <c:pt idx="81">
                  <c:v>4.4145291095092656</c:v>
                </c:pt>
                <c:pt idx="82">
                  <c:v>4.2602226653448545</c:v>
                </c:pt>
                <c:pt idx="83">
                  <c:v>4.2195944218469403</c:v>
                </c:pt>
                <c:pt idx="84">
                  <c:v>4.2204672079656005</c:v>
                </c:pt>
                <c:pt idx="85">
                  <c:v>4.1281045175496915</c:v>
                </c:pt>
                <c:pt idx="86">
                  <c:v>4.058052458010506</c:v>
                </c:pt>
                <c:pt idx="87">
                  <c:v>4.0638115545201128</c:v>
                </c:pt>
                <c:pt idx="88">
                  <c:v>4.1210943766330157</c:v>
                </c:pt>
                <c:pt idx="89">
                  <c:v>4.1119502433422781</c:v>
                </c:pt>
                <c:pt idx="90">
                  <c:v>3.9551642557445756</c:v>
                </c:pt>
                <c:pt idx="91">
                  <c:v>3.8303928758033705</c:v>
                </c:pt>
                <c:pt idx="92">
                  <c:v>3.7449296018481903</c:v>
                </c:pt>
                <c:pt idx="93">
                  <c:v>3.7207184283035812</c:v>
                </c:pt>
                <c:pt idx="94">
                  <c:v>3.6465963301767599</c:v>
                </c:pt>
                <c:pt idx="95">
                  <c:v>3.5566548894206491</c:v>
                </c:pt>
                <c:pt idx="96">
                  <c:v>3.5471418925548219</c:v>
                </c:pt>
                <c:pt idx="97">
                  <c:v>3.5651094295422006</c:v>
                </c:pt>
                <c:pt idx="98">
                  <c:v>3.6654210874729585</c:v>
                </c:pt>
                <c:pt idx="99">
                  <c:v>3.715900783869595</c:v>
                </c:pt>
                <c:pt idx="100">
                  <c:v>3.7475370310595753</c:v>
                </c:pt>
                <c:pt idx="101">
                  <c:v>3.7083493964005054</c:v>
                </c:pt>
                <c:pt idx="102">
                  <c:v>3.7897986606484033</c:v>
                </c:pt>
                <c:pt idx="103">
                  <c:v>4.033443712180282</c:v>
                </c:pt>
                <c:pt idx="104">
                  <c:v>4.3809948251733957</c:v>
                </c:pt>
                <c:pt idx="105">
                  <c:v>4.5856403061316904</c:v>
                </c:pt>
                <c:pt idx="106">
                  <c:v>4.6066464093601489</c:v>
                </c:pt>
                <c:pt idx="107">
                  <c:v>4.4803688539129194</c:v>
                </c:pt>
                <c:pt idx="108">
                  <c:v>4.5409899926133432</c:v>
                </c:pt>
                <c:pt idx="109">
                  <c:v>4.6558881394695808</c:v>
                </c:pt>
                <c:pt idx="110">
                  <c:v>4.6431274491244823</c:v>
                </c:pt>
                <c:pt idx="111">
                  <c:v>4.5742148042663908</c:v>
                </c:pt>
                <c:pt idx="112">
                  <c:v>4.6037872201175345</c:v>
                </c:pt>
                <c:pt idx="113">
                  <c:v>4.5466514290573201</c:v>
                </c:pt>
                <c:pt idx="114">
                  <c:v>4.4173502729005962</c:v>
                </c:pt>
                <c:pt idx="115">
                  <c:v>4.3877534547937023</c:v>
                </c:pt>
                <c:pt idx="116">
                  <c:v>4.4049111052620846</c:v>
                </c:pt>
                <c:pt idx="117">
                  <c:v>4.3658803014577297</c:v>
                </c:pt>
                <c:pt idx="118">
                  <c:v>4.3508501381002578</c:v>
                </c:pt>
                <c:pt idx="119">
                  <c:v>4.1795437284848971</c:v>
                </c:pt>
                <c:pt idx="120">
                  <c:v>4.2056166798130885</c:v>
                </c:pt>
                <c:pt idx="121">
                  <c:v>4.0705550921080338</c:v>
                </c:pt>
                <c:pt idx="122">
                  <c:v>3.8908891527601934</c:v>
                </c:pt>
                <c:pt idx="123">
                  <c:v>3.9141917764201182</c:v>
                </c:pt>
                <c:pt idx="124">
                  <c:v>3.9659414073829846</c:v>
                </c:pt>
                <c:pt idx="125">
                  <c:v>3.9897122939019098</c:v>
                </c:pt>
              </c:numCache>
            </c:numRef>
          </c:val>
          <c:smooth val="0"/>
        </c:ser>
        <c:ser>
          <c:idx val="1"/>
          <c:order val="1"/>
          <c:tx>
            <c:v>Big Non-Bank</c:v>
          </c:tx>
          <c:marker>
            <c:symbol val="none"/>
          </c:marker>
          <c:cat>
            <c:numRef>
              <c:f>Query!$B$4:$B$129</c:f>
              <c:numCache>
                <c:formatCode>General</c:formatCode>
                <c:ptCount val="126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</c:numCache>
            </c:numRef>
          </c:cat>
          <c:val>
            <c:numRef>
              <c:f>Query!$D$4:$D$129</c:f>
              <c:numCache>
                <c:formatCode>0.00</c:formatCode>
                <c:ptCount val="126"/>
                <c:pt idx="0">
                  <c:v>5.9099143077895624</c:v>
                </c:pt>
                <c:pt idx="1">
                  <c:v>5.7395737877517599</c:v>
                </c:pt>
                <c:pt idx="2">
                  <c:v>5.7445769250037575</c:v>
                </c:pt>
                <c:pt idx="3">
                  <c:v>5.9611671497637984</c:v>
                </c:pt>
                <c:pt idx="4">
                  <c:v>6.0147863908107748</c:v>
                </c:pt>
                <c:pt idx="5">
                  <c:v>6.2684407663580313</c:v>
                </c:pt>
                <c:pt idx="6">
                  <c:v>5.8201260525941354</c:v>
                </c:pt>
                <c:pt idx="7">
                  <c:v>5.6567594424460435</c:v>
                </c:pt>
                <c:pt idx="8">
                  <c:v>5.8884467208973321</c:v>
                </c:pt>
                <c:pt idx="9">
                  <c:v>5.9591111776646368</c:v>
                </c:pt>
                <c:pt idx="10">
                  <c:v>5.8455866197956716</c:v>
                </c:pt>
                <c:pt idx="11">
                  <c:v>6.4031326034063261</c:v>
                </c:pt>
                <c:pt idx="12">
                  <c:v>6.4126256872554359</c:v>
                </c:pt>
                <c:pt idx="13">
                  <c:v>6.6900631510089061</c:v>
                </c:pt>
                <c:pt idx="14">
                  <c:v>6.4776459533097031</c:v>
                </c:pt>
                <c:pt idx="15">
                  <c:v>6.6436286407766989</c:v>
                </c:pt>
                <c:pt idx="16">
                  <c:v>6.5135909536651138</c:v>
                </c:pt>
                <c:pt idx="17">
                  <c:v>6.7190791523839204</c:v>
                </c:pt>
                <c:pt idx="18">
                  <c:v>6.9866043119847809</c:v>
                </c:pt>
                <c:pt idx="19">
                  <c:v>6.896830559418599</c:v>
                </c:pt>
                <c:pt idx="20">
                  <c:v>6.9650586019254916</c:v>
                </c:pt>
                <c:pt idx="21">
                  <c:v>6.7348932639698624</c:v>
                </c:pt>
                <c:pt idx="22">
                  <c:v>6.6562349777040133</c:v>
                </c:pt>
                <c:pt idx="23">
                  <c:v>6.5958002067310222</c:v>
                </c:pt>
                <c:pt idx="24">
                  <c:v>6.5165441798144146</c:v>
                </c:pt>
                <c:pt idx="25">
                  <c:v>6.2247855552195306</c:v>
                </c:pt>
                <c:pt idx="26">
                  <c:v>6.4917604311467896</c:v>
                </c:pt>
                <c:pt idx="27">
                  <c:v>6.1436940835436173</c:v>
                </c:pt>
                <c:pt idx="28">
                  <c:v>6.3683854405878879</c:v>
                </c:pt>
                <c:pt idx="29">
                  <c:v>6.3355453341663788</c:v>
                </c:pt>
                <c:pt idx="30">
                  <c:v>6.5128185694447165</c:v>
                </c:pt>
                <c:pt idx="31">
                  <c:v>6.757067555938038</c:v>
                </c:pt>
                <c:pt idx="32">
                  <c:v>6.6361594609769794</c:v>
                </c:pt>
                <c:pt idx="33">
                  <c:v>6.4826944663867296</c:v>
                </c:pt>
                <c:pt idx="34">
                  <c:v>6.4640508086970341</c:v>
                </c:pt>
                <c:pt idx="35">
                  <c:v>6.4721562089634279</c:v>
                </c:pt>
                <c:pt idx="36">
                  <c:v>6.3337756925243651</c:v>
                </c:pt>
                <c:pt idx="37">
                  <c:v>5.9382550548379482</c:v>
                </c:pt>
                <c:pt idx="38">
                  <c:v>5.6626788191799058</c:v>
                </c:pt>
                <c:pt idx="39">
                  <c:v>5.9386735306513714</c:v>
                </c:pt>
                <c:pt idx="40">
                  <c:v>5.7946481701635451</c:v>
                </c:pt>
                <c:pt idx="41">
                  <c:v>6.0392686203711481</c:v>
                </c:pt>
                <c:pt idx="42">
                  <c:v>6.1355113407054649</c:v>
                </c:pt>
                <c:pt idx="43">
                  <c:v>6.5646607231399621</c:v>
                </c:pt>
                <c:pt idx="44">
                  <c:v>6.4144272844272843</c:v>
                </c:pt>
                <c:pt idx="45">
                  <c:v>6.2369303849846069</c:v>
                </c:pt>
                <c:pt idx="46">
                  <c:v>5.9640574480148336</c:v>
                </c:pt>
                <c:pt idx="47">
                  <c:v>5.875</c:v>
                </c:pt>
                <c:pt idx="48">
                  <c:v>5.1059277261200338</c:v>
                </c:pt>
                <c:pt idx="49">
                  <c:v>4.9100783921274287</c:v>
                </c:pt>
                <c:pt idx="50">
                  <c:v>4.8899800558284268</c:v>
                </c:pt>
                <c:pt idx="51">
                  <c:v>4.9874446544948015</c:v>
                </c:pt>
                <c:pt idx="52">
                  <c:v>4.5600800310524656</c:v>
                </c:pt>
                <c:pt idx="53">
                  <c:v>4.6974013095210259</c:v>
                </c:pt>
                <c:pt idx="54">
                  <c:v>4.8778681047695018</c:v>
                </c:pt>
                <c:pt idx="55">
                  <c:v>5.130840056872394</c:v>
                </c:pt>
                <c:pt idx="56">
                  <c:v>5.2377286478678045</c:v>
                </c:pt>
                <c:pt idx="57">
                  <c:v>5.1824411405274642</c:v>
                </c:pt>
                <c:pt idx="58">
                  <c:v>4.9411824885396367</c:v>
                </c:pt>
                <c:pt idx="59">
                  <c:v>5.0398486385929306</c:v>
                </c:pt>
                <c:pt idx="60">
                  <c:v>4.9353516120407761</c:v>
                </c:pt>
                <c:pt idx="61">
                  <c:v>5.0162579983151723</c:v>
                </c:pt>
                <c:pt idx="62">
                  <c:v>5.0033032384244516</c:v>
                </c:pt>
                <c:pt idx="63">
                  <c:v>5.093079205782451</c:v>
                </c:pt>
                <c:pt idx="64">
                  <c:v>5.1030579644707563</c:v>
                </c:pt>
                <c:pt idx="65">
                  <c:v>5.1211093900538946</c:v>
                </c:pt>
                <c:pt idx="66">
                  <c:v>4.9184598919129803</c:v>
                </c:pt>
                <c:pt idx="67">
                  <c:v>4.7513173143053642</c:v>
                </c:pt>
                <c:pt idx="68">
                  <c:v>4.6271889599454648</c:v>
                </c:pt>
                <c:pt idx="69">
                  <c:v>4.5075818876402378</c:v>
                </c:pt>
                <c:pt idx="70">
                  <c:v>4.4330866225285526</c:v>
                </c:pt>
                <c:pt idx="71">
                  <c:v>4.2827138265687763</c:v>
                </c:pt>
                <c:pt idx="72">
                  <c:v>4.46205158835643</c:v>
                </c:pt>
                <c:pt idx="73">
                  <c:v>4.7782540653303318</c:v>
                </c:pt>
                <c:pt idx="74">
                  <c:v>4.8784505993763663</c:v>
                </c:pt>
                <c:pt idx="75">
                  <c:v>5.0438830894543774</c:v>
                </c:pt>
                <c:pt idx="76">
                  <c:v>5.1349391360750367</c:v>
                </c:pt>
                <c:pt idx="77">
                  <c:v>4.9949864976510669</c:v>
                </c:pt>
                <c:pt idx="78">
                  <c:v>4.8229856045759059</c:v>
                </c:pt>
                <c:pt idx="79">
                  <c:v>4.6947218186488788</c:v>
                </c:pt>
                <c:pt idx="80">
                  <c:v>4.6876430833502996</c:v>
                </c:pt>
                <c:pt idx="81">
                  <c:v>4.3109516782640247</c:v>
                </c:pt>
                <c:pt idx="82">
                  <c:v>4.2034567692180884</c:v>
                </c:pt>
                <c:pt idx="83">
                  <c:v>4.1634464949843828</c:v>
                </c:pt>
                <c:pt idx="84">
                  <c:v>4.1571822675333134</c:v>
                </c:pt>
                <c:pt idx="85">
                  <c:v>4.0880277900203357</c:v>
                </c:pt>
                <c:pt idx="86">
                  <c:v>4.0554087567918957</c:v>
                </c:pt>
                <c:pt idx="87">
                  <c:v>4.0434365635653133</c:v>
                </c:pt>
                <c:pt idx="88">
                  <c:v>4.0884115861838524</c:v>
                </c:pt>
                <c:pt idx="89">
                  <c:v>4.0291610650154039</c:v>
                </c:pt>
                <c:pt idx="90">
                  <c:v>3.9169104867537654</c:v>
                </c:pt>
                <c:pt idx="91">
                  <c:v>3.8173751839488461</c:v>
                </c:pt>
                <c:pt idx="92">
                  <c:v>3.7599690270473811</c:v>
                </c:pt>
                <c:pt idx="93">
                  <c:v>3.7349146717138493</c:v>
                </c:pt>
                <c:pt idx="94">
                  <c:v>3.6251165970848653</c:v>
                </c:pt>
                <c:pt idx="95">
                  <c:v>3.5599321990530419</c:v>
                </c:pt>
                <c:pt idx="96">
                  <c:v>3.5356738614167749</c:v>
                </c:pt>
                <c:pt idx="97">
                  <c:v>3.5305652798099412</c:v>
                </c:pt>
                <c:pt idx="98">
                  <c:v>3.6336289301730846</c:v>
                </c:pt>
                <c:pt idx="99">
                  <c:v>3.7207630263445588</c:v>
                </c:pt>
                <c:pt idx="100">
                  <c:v>3.734625821568593</c:v>
                </c:pt>
                <c:pt idx="101">
                  <c:v>3.6899981864764606</c:v>
                </c:pt>
                <c:pt idx="102">
                  <c:v>3.809079795446801</c:v>
                </c:pt>
                <c:pt idx="103">
                  <c:v>4.1608061748677532</c:v>
                </c:pt>
                <c:pt idx="104">
                  <c:v>4.4552943473404012</c:v>
                </c:pt>
                <c:pt idx="105">
                  <c:v>4.6016311948725388</c:v>
                </c:pt>
                <c:pt idx="106">
                  <c:v>4.5922804834520283</c:v>
                </c:pt>
                <c:pt idx="107">
                  <c:v>4.4619520967461268</c:v>
                </c:pt>
                <c:pt idx="108">
                  <c:v>4.5334011998603518</c:v>
                </c:pt>
                <c:pt idx="109">
                  <c:v>4.679613685137797</c:v>
                </c:pt>
                <c:pt idx="110">
                  <c:v>4.6279014041330022</c:v>
                </c:pt>
                <c:pt idx="111">
                  <c:v>4.5685571115905752</c:v>
                </c:pt>
                <c:pt idx="112">
                  <c:v>4.6173658552143628</c:v>
                </c:pt>
                <c:pt idx="113">
                  <c:v>4.5536222811850307</c:v>
                </c:pt>
                <c:pt idx="114">
                  <c:v>4.4581707414486509</c:v>
                </c:pt>
                <c:pt idx="115">
                  <c:v>4.3899942408996813</c:v>
                </c:pt>
                <c:pt idx="116">
                  <c:v>4.4309052004051415</c:v>
                </c:pt>
                <c:pt idx="117">
                  <c:v>4.3934433874477827</c:v>
                </c:pt>
                <c:pt idx="118">
                  <c:v>4.3905793648985787</c:v>
                </c:pt>
                <c:pt idx="119">
                  <c:v>4.2148576463730123</c:v>
                </c:pt>
                <c:pt idx="120">
                  <c:v>4.207390907485042</c:v>
                </c:pt>
                <c:pt idx="121">
                  <c:v>4.0734067078240876</c:v>
                </c:pt>
                <c:pt idx="122">
                  <c:v>3.9315463917649915</c:v>
                </c:pt>
                <c:pt idx="123">
                  <c:v>3.932115253662853</c:v>
                </c:pt>
                <c:pt idx="124">
                  <c:v>3.9620768330334606</c:v>
                </c:pt>
                <c:pt idx="125">
                  <c:v>3.950449253802224</c:v>
                </c:pt>
              </c:numCache>
            </c:numRef>
          </c:val>
          <c:smooth val="0"/>
        </c:ser>
        <c:ser>
          <c:idx val="2"/>
          <c:order val="2"/>
          <c:tx>
            <c:v>Small Lender</c:v>
          </c:tx>
          <c:marker>
            <c:symbol val="none"/>
          </c:marker>
          <c:cat>
            <c:numRef>
              <c:f>Query!$B$4:$B$129</c:f>
              <c:numCache>
                <c:formatCode>General</c:formatCode>
                <c:ptCount val="126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</c:numCache>
            </c:numRef>
          </c:cat>
          <c:val>
            <c:numRef>
              <c:f>Query!$E$4:$E$129</c:f>
              <c:numCache>
                <c:formatCode>0.00</c:formatCode>
                <c:ptCount val="126"/>
                <c:pt idx="0">
                  <c:v>5.7156431524899229</c:v>
                </c:pt>
                <c:pt idx="1">
                  <c:v>5.7579616846260633</c:v>
                </c:pt>
                <c:pt idx="2">
                  <c:v>5.6155496807441265</c:v>
                </c:pt>
                <c:pt idx="3">
                  <c:v>5.594423069971552</c:v>
                </c:pt>
                <c:pt idx="4">
                  <c:v>5.8587221278035599</c:v>
                </c:pt>
                <c:pt idx="5">
                  <c:v>5.8114222441048042</c:v>
                </c:pt>
                <c:pt idx="6">
                  <c:v>5.6969807373237984</c:v>
                </c:pt>
                <c:pt idx="7">
                  <c:v>5.634639239734911</c:v>
                </c:pt>
                <c:pt idx="8">
                  <c:v>5.7810129347446617</c:v>
                </c:pt>
                <c:pt idx="9">
                  <c:v>5.8300555283568247</c:v>
                </c:pt>
                <c:pt idx="10">
                  <c:v>5.8814607536836618</c:v>
                </c:pt>
                <c:pt idx="11">
                  <c:v>6.0299715540644474</c:v>
                </c:pt>
                <c:pt idx="12">
                  <c:v>6.3129080428514435</c:v>
                </c:pt>
                <c:pt idx="13">
                  <c:v>6.2414171820969795</c:v>
                </c:pt>
                <c:pt idx="14">
                  <c:v>6.1967593138515076</c:v>
                </c:pt>
                <c:pt idx="15">
                  <c:v>6.3050788170775798</c:v>
                </c:pt>
                <c:pt idx="16">
                  <c:v>6.4289519530611052</c:v>
                </c:pt>
                <c:pt idx="17">
                  <c:v>6.55094334536434</c:v>
                </c:pt>
                <c:pt idx="18">
                  <c:v>6.7226870967189694</c:v>
                </c:pt>
                <c:pt idx="19">
                  <c:v>6.7150962626014259</c:v>
                </c:pt>
                <c:pt idx="20">
                  <c:v>6.7389124751745015</c:v>
                </c:pt>
                <c:pt idx="21">
                  <c:v>6.4858387142310612</c:v>
                </c:pt>
                <c:pt idx="22">
                  <c:v>6.4408885469046879</c:v>
                </c:pt>
                <c:pt idx="23">
                  <c:v>6.364220320307024</c:v>
                </c:pt>
                <c:pt idx="24">
                  <c:v>6.1697818177973414</c:v>
                </c:pt>
                <c:pt idx="25">
                  <c:v>6.1797282938581333</c:v>
                </c:pt>
                <c:pt idx="26">
                  <c:v>6.2234425216837197</c:v>
                </c:pt>
                <c:pt idx="27">
                  <c:v>6.2021846357639685</c:v>
                </c:pt>
                <c:pt idx="28">
                  <c:v>6.1235548857975219</c:v>
                </c:pt>
                <c:pt idx="29">
                  <c:v>6.1716869489849504</c:v>
                </c:pt>
                <c:pt idx="30">
                  <c:v>6.3608083404395233</c:v>
                </c:pt>
                <c:pt idx="31">
                  <c:v>6.7430887071841861</c:v>
                </c:pt>
                <c:pt idx="32">
                  <c:v>6.6714015129844402</c:v>
                </c:pt>
                <c:pt idx="33">
                  <c:v>6.5197712529279972</c:v>
                </c:pt>
                <c:pt idx="34">
                  <c:v>6.3856406924409024</c:v>
                </c:pt>
                <c:pt idx="35">
                  <c:v>6.3334680893234667</c:v>
                </c:pt>
                <c:pt idx="36">
                  <c:v>6.1644542409341296</c:v>
                </c:pt>
                <c:pt idx="37">
                  <c:v>5.8565984089235998</c:v>
                </c:pt>
                <c:pt idx="38">
                  <c:v>5.5831625513869279</c:v>
                </c:pt>
                <c:pt idx="39">
                  <c:v>5.761183617089916</c:v>
                </c:pt>
                <c:pt idx="40">
                  <c:v>5.7871827480997684</c:v>
                </c:pt>
                <c:pt idx="41">
                  <c:v>5.843661200208313</c:v>
                </c:pt>
                <c:pt idx="42">
                  <c:v>6.0397158687936123</c:v>
                </c:pt>
                <c:pt idx="43">
                  <c:v>6.3000244935377712</c:v>
                </c:pt>
                <c:pt idx="44">
                  <c:v>6.4337984005909297</c:v>
                </c:pt>
                <c:pt idx="45">
                  <c:v>6.0896790065357971</c:v>
                </c:pt>
                <c:pt idx="46">
                  <c:v>5.9182345866314154</c:v>
                </c:pt>
                <c:pt idx="47">
                  <c:v>5.9953763294180238</c:v>
                </c:pt>
                <c:pt idx="48">
                  <c:v>5.2053438143347615</c:v>
                </c:pt>
                <c:pt idx="49">
                  <c:v>4.8583899527909136</c:v>
                </c:pt>
                <c:pt idx="50">
                  <c:v>4.8596990352408955</c:v>
                </c:pt>
                <c:pt idx="51">
                  <c:v>4.9222355302905143</c:v>
                </c:pt>
                <c:pt idx="52">
                  <c:v>4.8410301901347985</c:v>
                </c:pt>
                <c:pt idx="53">
                  <c:v>4.8263012369528075</c:v>
                </c:pt>
                <c:pt idx="54">
                  <c:v>4.8928508896680141</c:v>
                </c:pt>
                <c:pt idx="55">
                  <c:v>5.048503404084955</c:v>
                </c:pt>
                <c:pt idx="56">
                  <c:v>5.1739142642388769</c:v>
                </c:pt>
                <c:pt idx="57">
                  <c:v>5.1543480484206476</c:v>
                </c:pt>
                <c:pt idx="58">
                  <c:v>5.013253084790553</c:v>
                </c:pt>
                <c:pt idx="59">
                  <c:v>4.9694754699872963</c:v>
                </c:pt>
                <c:pt idx="60">
                  <c:v>4.9300469920806291</c:v>
                </c:pt>
                <c:pt idx="61">
                  <c:v>4.9510595416154013</c:v>
                </c:pt>
                <c:pt idx="62">
                  <c:v>5.0549950271886752</c:v>
                </c:pt>
                <c:pt idx="63">
                  <c:v>5.0489817459726698</c:v>
                </c:pt>
                <c:pt idx="64">
                  <c:v>5.0750138173057211</c:v>
                </c:pt>
                <c:pt idx="65">
                  <c:v>5.1109190069278725</c:v>
                </c:pt>
                <c:pt idx="66">
                  <c:v>4.9225915958696547</c:v>
                </c:pt>
                <c:pt idx="67">
                  <c:v>4.7138452068571217</c:v>
                </c:pt>
                <c:pt idx="68">
                  <c:v>4.56449726960716</c:v>
                </c:pt>
                <c:pt idx="69">
                  <c:v>4.4556445005338547</c:v>
                </c:pt>
                <c:pt idx="70">
                  <c:v>4.3957463381326125</c:v>
                </c:pt>
                <c:pt idx="71">
                  <c:v>4.333405272917231</c:v>
                </c:pt>
                <c:pt idx="72">
                  <c:v>4.3885698982433423</c:v>
                </c:pt>
                <c:pt idx="73">
                  <c:v>4.5958034391096065</c:v>
                </c:pt>
                <c:pt idx="74">
                  <c:v>4.7711543966721894</c:v>
                </c:pt>
                <c:pt idx="75">
                  <c:v>4.9419898556147306</c:v>
                </c:pt>
                <c:pt idx="76">
                  <c:v>4.9563635506744799</c:v>
                </c:pt>
                <c:pt idx="77">
                  <c:v>4.9315152881865467</c:v>
                </c:pt>
                <c:pt idx="78">
                  <c:v>4.8036687128784106</c:v>
                </c:pt>
                <c:pt idx="79">
                  <c:v>4.6980877011206443</c:v>
                </c:pt>
                <c:pt idx="80">
                  <c:v>4.5556647248416446</c:v>
                </c:pt>
                <c:pt idx="81">
                  <c:v>4.2946674282793431</c:v>
                </c:pt>
                <c:pt idx="82">
                  <c:v>4.1698816799644369</c:v>
                </c:pt>
                <c:pt idx="83">
                  <c:v>4.118895830233563</c:v>
                </c:pt>
                <c:pt idx="84">
                  <c:v>4.1259013998423599</c:v>
                </c:pt>
                <c:pt idx="85">
                  <c:v>4.0486123306079431</c:v>
                </c:pt>
                <c:pt idx="86">
                  <c:v>3.9693919772562452</c:v>
                </c:pt>
                <c:pt idx="87">
                  <c:v>3.9610702730041729</c:v>
                </c:pt>
                <c:pt idx="88">
                  <c:v>4.023797927239662</c:v>
                </c:pt>
                <c:pt idx="89">
                  <c:v>4.0072850818423413</c:v>
                </c:pt>
                <c:pt idx="90">
                  <c:v>3.8869674248049821</c:v>
                </c:pt>
                <c:pt idx="91">
                  <c:v>3.7803988484297024</c:v>
                </c:pt>
                <c:pt idx="92">
                  <c:v>3.6880503208118469</c:v>
                </c:pt>
                <c:pt idx="93">
                  <c:v>3.6570797762038705</c:v>
                </c:pt>
                <c:pt idx="94">
                  <c:v>3.551464761451347</c:v>
                </c:pt>
                <c:pt idx="95">
                  <c:v>3.4891184955937753</c:v>
                </c:pt>
                <c:pt idx="96">
                  <c:v>3.4831545600436118</c:v>
                </c:pt>
                <c:pt idx="97">
                  <c:v>3.480450320057606</c:v>
                </c:pt>
                <c:pt idx="98">
                  <c:v>3.5635432301412018</c:v>
                </c:pt>
                <c:pt idx="99">
                  <c:v>3.6675510999245118</c:v>
                </c:pt>
                <c:pt idx="100">
                  <c:v>3.6883274307926048</c:v>
                </c:pt>
                <c:pt idx="101">
                  <c:v>3.6470250575748029</c:v>
                </c:pt>
                <c:pt idx="102">
                  <c:v>3.7429367460217517</c:v>
                </c:pt>
                <c:pt idx="103">
                  <c:v>4.1224340180553183</c:v>
                </c:pt>
                <c:pt idx="104">
                  <c:v>4.4566747944018079</c:v>
                </c:pt>
                <c:pt idx="105">
                  <c:v>4.6169217113404111</c:v>
                </c:pt>
                <c:pt idx="106">
                  <c:v>4.5428754568186385</c:v>
                </c:pt>
                <c:pt idx="107">
                  <c:v>4.4068790974691607</c:v>
                </c:pt>
                <c:pt idx="108">
                  <c:v>4.4431073587180556</c:v>
                </c:pt>
                <c:pt idx="109">
                  <c:v>4.5839948830699901</c:v>
                </c:pt>
                <c:pt idx="110">
                  <c:v>4.5479784207842107</c:v>
                </c:pt>
                <c:pt idx="111">
                  <c:v>4.5014287636166257</c:v>
                </c:pt>
                <c:pt idx="112">
                  <c:v>4.5012617210399952</c:v>
                </c:pt>
                <c:pt idx="113">
                  <c:v>4.4579895491327095</c:v>
                </c:pt>
                <c:pt idx="114">
                  <c:v>4.348244761535331</c:v>
                </c:pt>
                <c:pt idx="115">
                  <c:v>4.3085176554459528</c:v>
                </c:pt>
                <c:pt idx="116">
                  <c:v>4.3178313732494606</c:v>
                </c:pt>
                <c:pt idx="117">
                  <c:v>4.3101970063312001</c:v>
                </c:pt>
                <c:pt idx="118">
                  <c:v>4.2683505012812422</c:v>
                </c:pt>
                <c:pt idx="119">
                  <c:v>4.1313916115044051</c:v>
                </c:pt>
                <c:pt idx="120">
                  <c:v>4.1008588224409506</c:v>
                </c:pt>
                <c:pt idx="121">
                  <c:v>3.9472757253901527</c:v>
                </c:pt>
                <c:pt idx="122">
                  <c:v>3.8139754588413139</c:v>
                </c:pt>
                <c:pt idx="123">
                  <c:v>3.8311435073952604</c:v>
                </c:pt>
                <c:pt idx="124">
                  <c:v>3.8762184710862826</c:v>
                </c:pt>
                <c:pt idx="125">
                  <c:v>3.8760395868432074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88736"/>
        <c:axId val="335215232"/>
      </c:lineChart>
      <c:catAx>
        <c:axId val="32638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21523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35215232"/>
        <c:scaling>
          <c:orientation val="minMax"/>
          <c:max val="7.5"/>
          <c:min val="3.5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32638873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Big Bank vs Big Non-Bank</c:v>
          </c:tx>
          <c:invertIfNegative val="0"/>
          <c:cat>
            <c:numRef>
              <c:f>Query!$B$4:$B$129</c:f>
              <c:numCache>
                <c:formatCode>General</c:formatCode>
                <c:ptCount val="126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</c:numCache>
            </c:numRef>
          </c:cat>
          <c:val>
            <c:numRef>
              <c:f>Query!$F$4:$F$129</c:f>
              <c:numCache>
                <c:formatCode>0.00</c:formatCode>
                <c:ptCount val="126"/>
                <c:pt idx="0">
                  <c:v>-0.18272284237613601</c:v>
                </c:pt>
                <c:pt idx="1">
                  <c:v>-1.5562231503443158E-2</c:v>
                </c:pt>
                <c:pt idx="2">
                  <c:v>-0.11917901799009378</c:v>
                </c:pt>
                <c:pt idx="3">
                  <c:v>-0.27765924574933187</c:v>
                </c:pt>
                <c:pt idx="4">
                  <c:v>-0.10652016094129557</c:v>
                </c:pt>
                <c:pt idx="5">
                  <c:v>-0.42961774640150541</c:v>
                </c:pt>
                <c:pt idx="6">
                  <c:v>-0.12710994303925194</c:v>
                </c:pt>
                <c:pt idx="7">
                  <c:v>-1.9261176564997484E-3</c:v>
                </c:pt>
                <c:pt idx="8">
                  <c:v>-0.10275335616745362</c:v>
                </c:pt>
                <c:pt idx="9">
                  <c:v>-0.17243422159079813</c:v>
                </c:pt>
                <c:pt idx="10">
                  <c:v>-4.0425366663470186E-3</c:v>
                </c:pt>
                <c:pt idx="11">
                  <c:v>-0.34478849310375459</c:v>
                </c:pt>
                <c:pt idx="12">
                  <c:v>-0.19174389669798586</c:v>
                </c:pt>
                <c:pt idx="13">
                  <c:v>-0.55072561156606525</c:v>
                </c:pt>
                <c:pt idx="14">
                  <c:v>-0.35133543682419877</c:v>
                </c:pt>
                <c:pt idx="15">
                  <c:v>-0.41149830926232411</c:v>
                </c:pt>
                <c:pt idx="16">
                  <c:v>-7.6291733469692424E-2</c:v>
                </c:pt>
                <c:pt idx="17">
                  <c:v>-0.15554726782341177</c:v>
                </c:pt>
                <c:pt idx="18">
                  <c:v>-0.34995034302203631</c:v>
                </c:pt>
                <c:pt idx="19">
                  <c:v>-8.4892651245010775E-2</c:v>
                </c:pt>
                <c:pt idx="20">
                  <c:v>-0.29449947014251077</c:v>
                </c:pt>
                <c:pt idx="21">
                  <c:v>-0.22817745421833546</c:v>
                </c:pt>
                <c:pt idx="22">
                  <c:v>-0.32084991617676817</c:v>
                </c:pt>
                <c:pt idx="23">
                  <c:v>-0.31383501291147908</c:v>
                </c:pt>
                <c:pt idx="24">
                  <c:v>-0.37972426263748904</c:v>
                </c:pt>
                <c:pt idx="25">
                  <c:v>-0.11245283553918739</c:v>
                </c:pt>
                <c:pt idx="26">
                  <c:v>-0.21828101603696926</c:v>
                </c:pt>
                <c:pt idx="27">
                  <c:v>2.6735486909924333E-2</c:v>
                </c:pt>
                <c:pt idx="28">
                  <c:v>-0.19266694744482393</c:v>
                </c:pt>
                <c:pt idx="29">
                  <c:v>-6.7742393483241514E-2</c:v>
                </c:pt>
                <c:pt idx="30">
                  <c:v>-0.14208793010852716</c:v>
                </c:pt>
                <c:pt idx="31">
                  <c:v>-7.976118492320694E-2</c:v>
                </c:pt>
                <c:pt idx="32">
                  <c:v>3.1641332609086525E-2</c:v>
                </c:pt>
                <c:pt idx="33">
                  <c:v>5.2173863927762021E-2</c:v>
                </c:pt>
                <c:pt idx="34">
                  <c:v>-1.1325781262877754E-2</c:v>
                </c:pt>
                <c:pt idx="35">
                  <c:v>-0.15966426984428406</c:v>
                </c:pt>
                <c:pt idx="36">
                  <c:v>-0.22276653318437845</c:v>
                </c:pt>
                <c:pt idx="37">
                  <c:v>-7.0704374360064826E-2</c:v>
                </c:pt>
                <c:pt idx="38">
                  <c:v>-6.2931956705726044E-2</c:v>
                </c:pt>
                <c:pt idx="39">
                  <c:v>-0.18334124229745097</c:v>
                </c:pt>
                <c:pt idx="40">
                  <c:v>2.2321588795424674E-2</c:v>
                </c:pt>
                <c:pt idx="41">
                  <c:v>-0.11794353969890459</c:v>
                </c:pt>
                <c:pt idx="42">
                  <c:v>-0.13258049202086042</c:v>
                </c:pt>
                <c:pt idx="43">
                  <c:v>-0.240595173845632</c:v>
                </c:pt>
                <c:pt idx="44">
                  <c:v>6.0210626707863923E-3</c:v>
                </c:pt>
                <c:pt idx="45">
                  <c:v>-0.15466469216521528</c:v>
                </c:pt>
                <c:pt idx="46">
                  <c:v>-7.067106542423307E-2</c:v>
                </c:pt>
                <c:pt idx="47">
                  <c:v>8.6996343066354065E-2</c:v>
                </c:pt>
                <c:pt idx="48">
                  <c:v>9.2383357317694426E-2</c:v>
                </c:pt>
                <c:pt idx="49">
                  <c:v>-3.6112702804012464E-2</c:v>
                </c:pt>
                <c:pt idx="50">
                  <c:v>-6.11197615386736E-2</c:v>
                </c:pt>
                <c:pt idx="51">
                  <c:v>-0.13812896614404746</c:v>
                </c:pt>
                <c:pt idx="52">
                  <c:v>0.2073105496095895</c:v>
                </c:pt>
                <c:pt idx="53">
                  <c:v>5.2141658708594996E-2</c:v>
                </c:pt>
                <c:pt idx="54">
                  <c:v>-8.4680162026475436E-2</c:v>
                </c:pt>
                <c:pt idx="55">
                  <c:v>-0.25550133506083217</c:v>
                </c:pt>
                <c:pt idx="56">
                  <c:v>-0.26431546603148792</c:v>
                </c:pt>
                <c:pt idx="57">
                  <c:v>-0.16023662466310284</c:v>
                </c:pt>
                <c:pt idx="58">
                  <c:v>5.8190927647824076E-2</c:v>
                </c:pt>
                <c:pt idx="59">
                  <c:v>-4.6514109781911728E-2</c:v>
                </c:pt>
                <c:pt idx="60">
                  <c:v>3.4787011994556138E-2</c:v>
                </c:pt>
                <c:pt idx="61">
                  <c:v>-3.8856054097525572E-2</c:v>
                </c:pt>
                <c:pt idx="62">
                  <c:v>5.1019619174057951E-2</c:v>
                </c:pt>
                <c:pt idx="63">
                  <c:v>-1.8423367318129991E-3</c:v>
                </c:pt>
                <c:pt idx="64">
                  <c:v>7.0347758078845857E-3</c:v>
                </c:pt>
                <c:pt idx="65">
                  <c:v>1.6930295695518183E-2</c:v>
                </c:pt>
                <c:pt idx="66">
                  <c:v>9.8651060276844227E-2</c:v>
                </c:pt>
                <c:pt idx="67">
                  <c:v>6.9094955909902112E-2</c:v>
                </c:pt>
                <c:pt idx="68">
                  <c:v>4.7698763052893334E-2</c:v>
                </c:pt>
                <c:pt idx="69">
                  <c:v>4.279467102582224E-2</c:v>
                </c:pt>
                <c:pt idx="70">
                  <c:v>5.3295377744157157E-2</c:v>
                </c:pt>
                <c:pt idx="71">
                  <c:v>0.11146845150266849</c:v>
                </c:pt>
                <c:pt idx="72">
                  <c:v>-2.2600957105954222E-2</c:v>
                </c:pt>
                <c:pt idx="73">
                  <c:v>-0.16808723854490459</c:v>
                </c:pt>
                <c:pt idx="74">
                  <c:v>-8.8600513655754831E-2</c:v>
                </c:pt>
                <c:pt idx="75">
                  <c:v>-7.5657288788277377E-2</c:v>
                </c:pt>
                <c:pt idx="76">
                  <c:v>-6.8390213005834255E-2</c:v>
                </c:pt>
                <c:pt idx="77">
                  <c:v>3.1103451415930294E-2</c:v>
                </c:pt>
                <c:pt idx="78">
                  <c:v>3.5488947987676767E-2</c:v>
                </c:pt>
                <c:pt idx="79">
                  <c:v>7.4900684612455137E-2</c:v>
                </c:pt>
                <c:pt idx="80">
                  <c:v>-2.9623501258448925E-2</c:v>
                </c:pt>
                <c:pt idx="81">
                  <c:v>0.10357743124524088</c:v>
                </c:pt>
                <c:pt idx="82">
                  <c:v>5.676589612676608E-2</c:v>
                </c:pt>
                <c:pt idx="83">
                  <c:v>5.614792686255754E-2</c:v>
                </c:pt>
                <c:pt idx="84">
                  <c:v>6.3284940432287051E-2</c:v>
                </c:pt>
                <c:pt idx="85">
                  <c:v>4.0076727529355871E-2</c:v>
                </c:pt>
                <c:pt idx="86">
                  <c:v>2.6437012186102393E-3</c:v>
                </c:pt>
                <c:pt idx="87">
                  <c:v>2.0374990954799443E-2</c:v>
                </c:pt>
                <c:pt idx="88">
                  <c:v>3.2682790449163335E-2</c:v>
                </c:pt>
                <c:pt idx="89">
                  <c:v>8.2789178326874158E-2</c:v>
                </c:pt>
                <c:pt idx="90">
                  <c:v>3.8253768990810233E-2</c:v>
                </c:pt>
                <c:pt idx="91">
                  <c:v>1.3017691854524394E-2</c:v>
                </c:pt>
                <c:pt idx="92">
                  <c:v>-1.503942519919077E-2</c:v>
                </c:pt>
                <c:pt idx="93">
                  <c:v>-1.4196243410268039E-2</c:v>
                </c:pt>
                <c:pt idx="94">
                  <c:v>2.1479733091894548E-2</c:v>
                </c:pt>
                <c:pt idx="95">
                  <c:v>-3.2773096323928108E-3</c:v>
                </c:pt>
                <c:pt idx="96">
                  <c:v>1.1468031138047063E-2</c:v>
                </c:pt>
                <c:pt idx="97">
                  <c:v>3.4544149732259388E-2</c:v>
                </c:pt>
                <c:pt idx="98">
                  <c:v>3.1792157299873836E-2</c:v>
                </c:pt>
                <c:pt idx="99">
                  <c:v>-4.8622424749638071E-3</c:v>
                </c:pt>
                <c:pt idx="100">
                  <c:v>1.2911209490982234E-2</c:v>
                </c:pt>
                <c:pt idx="101">
                  <c:v>1.835120992404482E-2</c:v>
                </c:pt>
                <c:pt idx="102">
                  <c:v>-1.9281134798397659E-2</c:v>
                </c:pt>
                <c:pt idx="103">
                  <c:v>-0.1273624626874712</c:v>
                </c:pt>
                <c:pt idx="104">
                  <c:v>-7.4299522167005527E-2</c:v>
                </c:pt>
                <c:pt idx="105">
                  <c:v>-1.5990888740848419E-2</c:v>
                </c:pt>
                <c:pt idx="106">
                  <c:v>1.436592590812058E-2</c:v>
                </c:pt>
                <c:pt idx="107">
                  <c:v>1.8416757166792586E-2</c:v>
                </c:pt>
                <c:pt idx="108">
                  <c:v>7.5887927529914023E-3</c:v>
                </c:pt>
                <c:pt idx="109">
                  <c:v>-2.3725545668216164E-2</c:v>
                </c:pt>
                <c:pt idx="110">
                  <c:v>1.5226044991480059E-2</c:v>
                </c:pt>
                <c:pt idx="111">
                  <c:v>5.6576926758156176E-3</c:v>
                </c:pt>
                <c:pt idx="112">
                  <c:v>-1.3578635096828329E-2</c:v>
                </c:pt>
                <c:pt idx="113">
                  <c:v>-6.9708521277105362E-3</c:v>
                </c:pt>
                <c:pt idx="114">
                  <c:v>-4.0820468548054656E-2</c:v>
                </c:pt>
                <c:pt idx="115">
                  <c:v>-2.240786105978998E-3</c:v>
                </c:pt>
                <c:pt idx="116">
                  <c:v>-2.5994095143056839E-2</c:v>
                </c:pt>
                <c:pt idx="117">
                  <c:v>-2.7563085990053082E-2</c:v>
                </c:pt>
                <c:pt idx="118">
                  <c:v>-3.9729226798320916E-2</c:v>
                </c:pt>
                <c:pt idx="119">
                  <c:v>-3.531391788811522E-2</c:v>
                </c:pt>
                <c:pt idx="120">
                  <c:v>-1.7742276719534544E-3</c:v>
                </c:pt>
                <c:pt idx="121">
                  <c:v>-2.8516157160538569E-3</c:v>
                </c:pt>
                <c:pt idx="122">
                  <c:v>-4.0657239004798118E-2</c:v>
                </c:pt>
                <c:pt idx="123">
                  <c:v>-1.7923477242734798E-2</c:v>
                </c:pt>
                <c:pt idx="124">
                  <c:v>3.8645743495240303E-3</c:v>
                </c:pt>
                <c:pt idx="125">
                  <c:v>3.9263040099685842E-2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301184"/>
        <c:axId val="319491072"/>
      </c:barChart>
      <c:catAx>
        <c:axId val="30630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319491072"/>
        <c:crosses val="autoZero"/>
        <c:auto val="1"/>
        <c:lblAlgn val="ctr"/>
        <c:lblOffset val="100"/>
        <c:tickLblSkip val="12"/>
        <c:tickMarkSkip val="6"/>
        <c:noMultiLvlLbl val="0"/>
      </c:catAx>
      <c:valAx>
        <c:axId val="319491072"/>
        <c:scaling>
          <c:orientation val="minMax"/>
          <c:max val="0.2"/>
          <c:min val="-0.4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306301184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D275C"/>
            </a:solidFill>
          </c:spPr>
          <c:invertIfNegative val="0"/>
          <c:cat>
            <c:numRef>
              <c:f>Query!$B$4:$B$129</c:f>
              <c:numCache>
                <c:formatCode>General</c:formatCode>
                <c:ptCount val="126"/>
                <c:pt idx="0">
                  <c:v>200501</c:v>
                </c:pt>
                <c:pt idx="1">
                  <c:v>200502</c:v>
                </c:pt>
                <c:pt idx="2">
                  <c:v>200503</c:v>
                </c:pt>
                <c:pt idx="3">
                  <c:v>200504</c:v>
                </c:pt>
                <c:pt idx="4">
                  <c:v>200505</c:v>
                </c:pt>
                <c:pt idx="5">
                  <c:v>200506</c:v>
                </c:pt>
                <c:pt idx="6">
                  <c:v>200507</c:v>
                </c:pt>
                <c:pt idx="7">
                  <c:v>200508</c:v>
                </c:pt>
                <c:pt idx="8">
                  <c:v>200509</c:v>
                </c:pt>
                <c:pt idx="9">
                  <c:v>200510</c:v>
                </c:pt>
                <c:pt idx="10">
                  <c:v>200511</c:v>
                </c:pt>
                <c:pt idx="11">
                  <c:v>200512</c:v>
                </c:pt>
                <c:pt idx="12">
                  <c:v>200601</c:v>
                </c:pt>
                <c:pt idx="13">
                  <c:v>200602</c:v>
                </c:pt>
                <c:pt idx="14">
                  <c:v>200603</c:v>
                </c:pt>
                <c:pt idx="15">
                  <c:v>200604</c:v>
                </c:pt>
                <c:pt idx="16">
                  <c:v>200605</c:v>
                </c:pt>
                <c:pt idx="17">
                  <c:v>200606</c:v>
                </c:pt>
                <c:pt idx="18">
                  <c:v>200607</c:v>
                </c:pt>
                <c:pt idx="19">
                  <c:v>200608</c:v>
                </c:pt>
                <c:pt idx="20">
                  <c:v>200609</c:v>
                </c:pt>
                <c:pt idx="21">
                  <c:v>200610</c:v>
                </c:pt>
                <c:pt idx="22">
                  <c:v>200611</c:v>
                </c:pt>
                <c:pt idx="23">
                  <c:v>200612</c:v>
                </c:pt>
                <c:pt idx="24">
                  <c:v>200701</c:v>
                </c:pt>
                <c:pt idx="25">
                  <c:v>200702</c:v>
                </c:pt>
                <c:pt idx="26">
                  <c:v>200703</c:v>
                </c:pt>
                <c:pt idx="27">
                  <c:v>200704</c:v>
                </c:pt>
                <c:pt idx="28">
                  <c:v>200705</c:v>
                </c:pt>
                <c:pt idx="29">
                  <c:v>200706</c:v>
                </c:pt>
                <c:pt idx="30">
                  <c:v>200707</c:v>
                </c:pt>
                <c:pt idx="31">
                  <c:v>200708</c:v>
                </c:pt>
                <c:pt idx="32">
                  <c:v>200709</c:v>
                </c:pt>
                <c:pt idx="33">
                  <c:v>200710</c:v>
                </c:pt>
                <c:pt idx="34">
                  <c:v>200711</c:v>
                </c:pt>
                <c:pt idx="35">
                  <c:v>200712</c:v>
                </c:pt>
                <c:pt idx="36">
                  <c:v>200801</c:v>
                </c:pt>
                <c:pt idx="37">
                  <c:v>200802</c:v>
                </c:pt>
                <c:pt idx="38">
                  <c:v>200803</c:v>
                </c:pt>
                <c:pt idx="39">
                  <c:v>200804</c:v>
                </c:pt>
                <c:pt idx="40">
                  <c:v>200805</c:v>
                </c:pt>
                <c:pt idx="41">
                  <c:v>200806</c:v>
                </c:pt>
                <c:pt idx="42">
                  <c:v>200807</c:v>
                </c:pt>
                <c:pt idx="43">
                  <c:v>200808</c:v>
                </c:pt>
                <c:pt idx="44">
                  <c:v>200809</c:v>
                </c:pt>
                <c:pt idx="45">
                  <c:v>200810</c:v>
                </c:pt>
                <c:pt idx="46">
                  <c:v>200811</c:v>
                </c:pt>
                <c:pt idx="47">
                  <c:v>200812</c:v>
                </c:pt>
                <c:pt idx="48">
                  <c:v>200901</c:v>
                </c:pt>
                <c:pt idx="49">
                  <c:v>200902</c:v>
                </c:pt>
                <c:pt idx="50">
                  <c:v>200903</c:v>
                </c:pt>
                <c:pt idx="51">
                  <c:v>200904</c:v>
                </c:pt>
                <c:pt idx="52">
                  <c:v>200905</c:v>
                </c:pt>
                <c:pt idx="53">
                  <c:v>200906</c:v>
                </c:pt>
                <c:pt idx="54">
                  <c:v>200907</c:v>
                </c:pt>
                <c:pt idx="55">
                  <c:v>200908</c:v>
                </c:pt>
                <c:pt idx="56">
                  <c:v>200909</c:v>
                </c:pt>
                <c:pt idx="57">
                  <c:v>200910</c:v>
                </c:pt>
                <c:pt idx="58">
                  <c:v>200911</c:v>
                </c:pt>
                <c:pt idx="59">
                  <c:v>200912</c:v>
                </c:pt>
                <c:pt idx="60">
                  <c:v>201001</c:v>
                </c:pt>
                <c:pt idx="61">
                  <c:v>201002</c:v>
                </c:pt>
                <c:pt idx="62">
                  <c:v>201003</c:v>
                </c:pt>
                <c:pt idx="63">
                  <c:v>201004</c:v>
                </c:pt>
                <c:pt idx="64">
                  <c:v>201005</c:v>
                </c:pt>
                <c:pt idx="65">
                  <c:v>201006</c:v>
                </c:pt>
                <c:pt idx="66">
                  <c:v>201007</c:v>
                </c:pt>
                <c:pt idx="67">
                  <c:v>201008</c:v>
                </c:pt>
                <c:pt idx="68">
                  <c:v>201009</c:v>
                </c:pt>
                <c:pt idx="69">
                  <c:v>201010</c:v>
                </c:pt>
                <c:pt idx="70">
                  <c:v>201011</c:v>
                </c:pt>
                <c:pt idx="71">
                  <c:v>201012</c:v>
                </c:pt>
                <c:pt idx="72">
                  <c:v>201101</c:v>
                </c:pt>
                <c:pt idx="73">
                  <c:v>201102</c:v>
                </c:pt>
                <c:pt idx="74">
                  <c:v>201103</c:v>
                </c:pt>
                <c:pt idx="75">
                  <c:v>201104</c:v>
                </c:pt>
                <c:pt idx="76">
                  <c:v>201105</c:v>
                </c:pt>
                <c:pt idx="77">
                  <c:v>201106</c:v>
                </c:pt>
                <c:pt idx="78">
                  <c:v>201107</c:v>
                </c:pt>
                <c:pt idx="79">
                  <c:v>201108</c:v>
                </c:pt>
                <c:pt idx="80">
                  <c:v>201109</c:v>
                </c:pt>
                <c:pt idx="81">
                  <c:v>201110</c:v>
                </c:pt>
                <c:pt idx="82">
                  <c:v>201111</c:v>
                </c:pt>
                <c:pt idx="83">
                  <c:v>201112</c:v>
                </c:pt>
                <c:pt idx="84">
                  <c:v>201201</c:v>
                </c:pt>
                <c:pt idx="85">
                  <c:v>201202</c:v>
                </c:pt>
                <c:pt idx="86">
                  <c:v>201203</c:v>
                </c:pt>
                <c:pt idx="87">
                  <c:v>201204</c:v>
                </c:pt>
                <c:pt idx="88">
                  <c:v>201205</c:v>
                </c:pt>
                <c:pt idx="89">
                  <c:v>201206</c:v>
                </c:pt>
                <c:pt idx="90">
                  <c:v>201207</c:v>
                </c:pt>
                <c:pt idx="91">
                  <c:v>201208</c:v>
                </c:pt>
                <c:pt idx="92">
                  <c:v>201209</c:v>
                </c:pt>
                <c:pt idx="93">
                  <c:v>201210</c:v>
                </c:pt>
                <c:pt idx="94">
                  <c:v>201211</c:v>
                </c:pt>
                <c:pt idx="95">
                  <c:v>201212</c:v>
                </c:pt>
                <c:pt idx="96">
                  <c:v>201301</c:v>
                </c:pt>
                <c:pt idx="97">
                  <c:v>201302</c:v>
                </c:pt>
                <c:pt idx="98">
                  <c:v>201303</c:v>
                </c:pt>
                <c:pt idx="99">
                  <c:v>201304</c:v>
                </c:pt>
                <c:pt idx="100">
                  <c:v>201305</c:v>
                </c:pt>
                <c:pt idx="101">
                  <c:v>201306</c:v>
                </c:pt>
                <c:pt idx="102">
                  <c:v>201307</c:v>
                </c:pt>
                <c:pt idx="103">
                  <c:v>201308</c:v>
                </c:pt>
                <c:pt idx="104">
                  <c:v>201309</c:v>
                </c:pt>
                <c:pt idx="105">
                  <c:v>201310</c:v>
                </c:pt>
                <c:pt idx="106">
                  <c:v>201311</c:v>
                </c:pt>
                <c:pt idx="107">
                  <c:v>201312</c:v>
                </c:pt>
                <c:pt idx="108">
                  <c:v>201401</c:v>
                </c:pt>
                <c:pt idx="109">
                  <c:v>201402</c:v>
                </c:pt>
                <c:pt idx="110">
                  <c:v>201403</c:v>
                </c:pt>
                <c:pt idx="111">
                  <c:v>201404</c:v>
                </c:pt>
                <c:pt idx="112">
                  <c:v>201405</c:v>
                </c:pt>
                <c:pt idx="113">
                  <c:v>201406</c:v>
                </c:pt>
                <c:pt idx="114">
                  <c:v>201407</c:v>
                </c:pt>
                <c:pt idx="115">
                  <c:v>201408</c:v>
                </c:pt>
                <c:pt idx="116">
                  <c:v>201409</c:v>
                </c:pt>
                <c:pt idx="117">
                  <c:v>201410</c:v>
                </c:pt>
                <c:pt idx="118">
                  <c:v>201411</c:v>
                </c:pt>
                <c:pt idx="119">
                  <c:v>201412</c:v>
                </c:pt>
                <c:pt idx="120">
                  <c:v>201501</c:v>
                </c:pt>
                <c:pt idx="121">
                  <c:v>201502</c:v>
                </c:pt>
                <c:pt idx="122">
                  <c:v>201503</c:v>
                </c:pt>
                <c:pt idx="123">
                  <c:v>201504</c:v>
                </c:pt>
                <c:pt idx="124">
                  <c:v>201505</c:v>
                </c:pt>
                <c:pt idx="125">
                  <c:v>201506</c:v>
                </c:pt>
              </c:numCache>
            </c:numRef>
          </c:cat>
          <c:val>
            <c:numRef>
              <c:f>Query!$G$4:$G$129</c:f>
              <c:numCache>
                <c:formatCode>0.00</c:formatCode>
                <c:ptCount val="126"/>
                <c:pt idx="0">
                  <c:v>1.1548312923503445E-2</c:v>
                </c:pt>
                <c:pt idx="1">
                  <c:v>-3.395012837774658E-2</c:v>
                </c:pt>
                <c:pt idx="2">
                  <c:v>9.8482262695371858E-3</c:v>
                </c:pt>
                <c:pt idx="3">
                  <c:v>8.9084834042914451E-2</c:v>
                </c:pt>
                <c:pt idx="4">
                  <c:v>4.9544102065919304E-2</c:v>
                </c:pt>
                <c:pt idx="5">
                  <c:v>2.7400775851721626E-2</c:v>
                </c:pt>
                <c:pt idx="6">
                  <c:v>-3.9646277689149301E-3</c:v>
                </c:pt>
                <c:pt idx="7">
                  <c:v>2.0194085054632716E-2</c:v>
                </c:pt>
                <c:pt idx="8">
                  <c:v>4.680429985216783E-3</c:v>
                </c:pt>
                <c:pt idx="9">
                  <c:v>-4.3378572282986028E-2</c:v>
                </c:pt>
                <c:pt idx="10">
                  <c:v>-3.991667055433723E-2</c:v>
                </c:pt>
                <c:pt idx="11">
                  <c:v>2.8372556238124069E-2</c:v>
                </c:pt>
                <c:pt idx="12">
                  <c:v>-9.2026252293993416E-2</c:v>
                </c:pt>
                <c:pt idx="13">
                  <c:v>-0.1020796426541386</c:v>
                </c:pt>
                <c:pt idx="14">
                  <c:v>-7.0448797366003291E-2</c:v>
                </c:pt>
                <c:pt idx="15">
                  <c:v>-7.294848556320499E-2</c:v>
                </c:pt>
                <c:pt idx="16">
                  <c:v>8.3472671343161053E-3</c:v>
                </c:pt>
                <c:pt idx="17">
                  <c:v>1.2588539196168647E-2</c:v>
                </c:pt>
                <c:pt idx="18">
                  <c:v>-8.6033127756224737E-2</c:v>
                </c:pt>
                <c:pt idx="19">
                  <c:v>9.6841645572162349E-2</c:v>
                </c:pt>
                <c:pt idx="20">
                  <c:v>-6.835334339152066E-2</c:v>
                </c:pt>
                <c:pt idx="21">
                  <c:v>2.0877095520465794E-2</c:v>
                </c:pt>
                <c:pt idx="22">
                  <c:v>-0.10550348537744281</c:v>
                </c:pt>
                <c:pt idx="23">
                  <c:v>-8.2255126487480901E-2</c:v>
                </c:pt>
                <c:pt idx="24">
                  <c:v>-3.2961900620415818E-2</c:v>
                </c:pt>
                <c:pt idx="25">
                  <c:v>-6.7395574177790074E-2</c:v>
                </c:pt>
                <c:pt idx="26">
                  <c:v>5.0036893426100626E-2</c:v>
                </c:pt>
                <c:pt idx="27">
                  <c:v>-3.1755065310426822E-2</c:v>
                </c:pt>
                <c:pt idx="28">
                  <c:v>5.216360734554204E-2</c:v>
                </c:pt>
                <c:pt idx="29">
                  <c:v>9.6115991698186853E-2</c:v>
                </c:pt>
                <c:pt idx="30">
                  <c:v>9.9222988966660708E-3</c:v>
                </c:pt>
                <c:pt idx="31">
                  <c:v>-6.5782336169355027E-2</c:v>
                </c:pt>
                <c:pt idx="32">
                  <c:v>-3.6007193983742525E-3</c:v>
                </c:pt>
                <c:pt idx="33">
                  <c:v>1.5097077386494462E-2</c:v>
                </c:pt>
                <c:pt idx="34">
                  <c:v>6.7084334993253947E-2</c:v>
                </c:pt>
                <c:pt idx="35">
                  <c:v>-2.0976150204322863E-2</c:v>
                </c:pt>
                <c:pt idx="36">
                  <c:v>-5.3445081594142962E-2</c:v>
                </c:pt>
                <c:pt idx="37">
                  <c:v>1.0952271554283577E-2</c:v>
                </c:pt>
                <c:pt idx="38">
                  <c:v>1.6584311087251891E-2</c:v>
                </c:pt>
                <c:pt idx="39">
                  <c:v>-5.8513287359955868E-3</c:v>
                </c:pt>
                <c:pt idx="40">
                  <c:v>2.9787010859201324E-2</c:v>
                </c:pt>
                <c:pt idx="41">
                  <c:v>7.7663880463930468E-2</c:v>
                </c:pt>
                <c:pt idx="42">
                  <c:v>-3.678502010900786E-2</c:v>
                </c:pt>
                <c:pt idx="43">
                  <c:v>2.4041055756558904E-2</c:v>
                </c:pt>
                <c:pt idx="44">
                  <c:v>-1.3350053492859004E-2</c:v>
                </c:pt>
                <c:pt idx="45">
                  <c:v>-7.4133137164054119E-3</c:v>
                </c:pt>
                <c:pt idx="46">
                  <c:v>-2.4848204040814892E-2</c:v>
                </c:pt>
                <c:pt idx="47">
                  <c:v>-3.3379986351669722E-2</c:v>
                </c:pt>
                <c:pt idx="48">
                  <c:v>-7.032730897033268E-3</c:v>
                </c:pt>
                <c:pt idx="49">
                  <c:v>1.557573653250266E-2</c:v>
                </c:pt>
                <c:pt idx="50">
                  <c:v>-3.0838740951142363E-2</c:v>
                </c:pt>
                <c:pt idx="51">
                  <c:v>-7.291984193976031E-2</c:v>
                </c:pt>
                <c:pt idx="52">
                  <c:v>-7.3639609472743395E-2</c:v>
                </c:pt>
                <c:pt idx="53">
                  <c:v>-7.6758268723186696E-2</c:v>
                </c:pt>
                <c:pt idx="54">
                  <c:v>-9.9662946924987672E-2</c:v>
                </c:pt>
                <c:pt idx="55">
                  <c:v>-0.17316468227339321</c:v>
                </c:pt>
                <c:pt idx="56">
                  <c:v>-0.20050108240256037</c:v>
                </c:pt>
                <c:pt idx="57">
                  <c:v>-0.1321435325562863</c:v>
                </c:pt>
                <c:pt idx="58">
                  <c:v>-1.3879668603092199E-2</c:v>
                </c:pt>
                <c:pt idx="59">
                  <c:v>2.3859058823722634E-2</c:v>
                </c:pt>
                <c:pt idx="60">
                  <c:v>4.0091631954703111E-2</c:v>
                </c:pt>
                <c:pt idx="61">
                  <c:v>2.6342402602245407E-2</c:v>
                </c:pt>
                <c:pt idx="62">
                  <c:v>-6.7216959016569433E-4</c:v>
                </c:pt>
                <c:pt idx="63">
                  <c:v>4.2255123077968193E-2</c:v>
                </c:pt>
                <c:pt idx="64">
                  <c:v>3.5078922972919813E-2</c:v>
                </c:pt>
                <c:pt idx="65">
                  <c:v>2.7120678821540345E-2</c:v>
                </c:pt>
                <c:pt idx="66">
                  <c:v>9.4519356320169834E-2</c:v>
                </c:pt>
                <c:pt idx="67">
                  <c:v>0.10656706335814459</c:v>
                </c:pt>
                <c:pt idx="68">
                  <c:v>0.11039045339119813</c:v>
                </c:pt>
                <c:pt idx="69">
                  <c:v>9.473205813220531E-2</c:v>
                </c:pt>
                <c:pt idx="70">
                  <c:v>9.0635662140097217E-2</c:v>
                </c:pt>
                <c:pt idx="71">
                  <c:v>6.0777005154213803E-2</c:v>
                </c:pt>
                <c:pt idx="72">
                  <c:v>5.0880733007133472E-2</c:v>
                </c:pt>
                <c:pt idx="73">
                  <c:v>1.4363387675820682E-2</c:v>
                </c:pt>
                <c:pt idx="74">
                  <c:v>1.8695689048422004E-2</c:v>
                </c:pt>
                <c:pt idx="75">
                  <c:v>2.6235945051369391E-2</c:v>
                </c:pt>
                <c:pt idx="76">
                  <c:v>0.11018537239472259</c:v>
                </c:pt>
                <c:pt idx="77">
                  <c:v>9.4574660880450523E-2</c:v>
                </c:pt>
                <c:pt idx="78">
                  <c:v>5.4805839685172053E-2</c:v>
                </c:pt>
                <c:pt idx="79">
                  <c:v>7.1534802140689635E-2</c:v>
                </c:pt>
                <c:pt idx="80">
                  <c:v>0.10235485725020599</c:v>
                </c:pt>
                <c:pt idx="81">
                  <c:v>0.11986168122992247</c:v>
                </c:pt>
                <c:pt idx="82">
                  <c:v>9.0340985380417571E-2</c:v>
                </c:pt>
                <c:pt idx="83">
                  <c:v>0.10069859161337735</c:v>
                </c:pt>
                <c:pt idx="84">
                  <c:v>9.4565808123240558E-2</c:v>
                </c:pt>
                <c:pt idx="85">
                  <c:v>7.9492186941748422E-2</c:v>
                </c:pt>
                <c:pt idx="86">
                  <c:v>8.8660480754260806E-2</c:v>
                </c:pt>
                <c:pt idx="87">
                  <c:v>0.10274128151593986</c:v>
                </c:pt>
                <c:pt idx="88">
                  <c:v>9.729644939335369E-2</c:v>
                </c:pt>
                <c:pt idx="89">
                  <c:v>0.10466516149993677</c:v>
                </c:pt>
                <c:pt idx="90">
                  <c:v>6.81968309395935E-2</c:v>
                </c:pt>
                <c:pt idx="91">
                  <c:v>4.9994027373668093E-2</c:v>
                </c:pt>
                <c:pt idx="92">
                  <c:v>5.6879281036343432E-2</c:v>
                </c:pt>
                <c:pt idx="93">
                  <c:v>6.3638652099710757E-2</c:v>
                </c:pt>
                <c:pt idx="94">
                  <c:v>9.5131568725412841E-2</c:v>
                </c:pt>
                <c:pt idx="95">
                  <c:v>6.753639382687382E-2</c:v>
                </c:pt>
                <c:pt idx="96">
                  <c:v>6.3987332511210138E-2</c:v>
                </c:pt>
                <c:pt idx="97">
                  <c:v>8.4659109484594541E-2</c:v>
                </c:pt>
                <c:pt idx="98">
                  <c:v>0.10187785733175669</c:v>
                </c:pt>
                <c:pt idx="99">
                  <c:v>4.8349683945083211E-2</c:v>
                </c:pt>
                <c:pt idx="100">
                  <c:v>5.9209600266970419E-2</c:v>
                </c:pt>
                <c:pt idx="101">
                  <c:v>6.132433882570254E-2</c:v>
                </c:pt>
                <c:pt idx="102">
                  <c:v>4.6861914626651568E-2</c:v>
                </c:pt>
                <c:pt idx="103">
                  <c:v>-8.8990305875036313E-2</c:v>
                </c:pt>
                <c:pt idx="104">
                  <c:v>-7.5679969228412247E-2</c:v>
                </c:pt>
                <c:pt idx="105">
                  <c:v>-3.1281405208720692E-2</c:v>
                </c:pt>
                <c:pt idx="106">
                  <c:v>6.3770952541510439E-2</c:v>
                </c:pt>
                <c:pt idx="107">
                  <c:v>7.3489756443758658E-2</c:v>
                </c:pt>
                <c:pt idx="108">
                  <c:v>9.7882633895287618E-2</c:v>
                </c:pt>
                <c:pt idx="109">
                  <c:v>7.1893256399590655E-2</c:v>
                </c:pt>
                <c:pt idx="110">
                  <c:v>9.5149028340271613E-2</c:v>
                </c:pt>
                <c:pt idx="111">
                  <c:v>7.2786040649765127E-2</c:v>
                </c:pt>
                <c:pt idx="112">
                  <c:v>0.10252549907753927</c:v>
                </c:pt>
                <c:pt idx="113">
                  <c:v>8.8661879924610609E-2</c:v>
                </c:pt>
                <c:pt idx="114">
                  <c:v>6.9105511365265215E-2</c:v>
                </c:pt>
                <c:pt idx="115">
                  <c:v>7.9235799347749492E-2</c:v>
                </c:pt>
                <c:pt idx="116">
                  <c:v>8.7079732012623978E-2</c:v>
                </c:pt>
                <c:pt idx="117">
                  <c:v>5.5683295126529586E-2</c:v>
                </c:pt>
                <c:pt idx="118">
                  <c:v>8.249963681901562E-2</c:v>
                </c:pt>
                <c:pt idx="119">
                  <c:v>4.8152116980491932E-2</c:v>
                </c:pt>
                <c:pt idx="120">
                  <c:v>0.10475785737213794</c:v>
                </c:pt>
                <c:pt idx="121">
                  <c:v>0.12327936671788109</c:v>
                </c:pt>
                <c:pt idx="122">
                  <c:v>7.6913693918879478E-2</c:v>
                </c:pt>
                <c:pt idx="123">
                  <c:v>8.3048269024857735E-2</c:v>
                </c:pt>
                <c:pt idx="124">
                  <c:v>8.9722936296702027E-2</c:v>
                </c:pt>
                <c:pt idx="125">
                  <c:v>0.11367270705870247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630848"/>
        <c:axId val="310784000"/>
      </c:barChart>
      <c:catAx>
        <c:axId val="30763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310784000"/>
        <c:crosses val="autoZero"/>
        <c:auto val="1"/>
        <c:lblAlgn val="ctr"/>
        <c:lblOffset val="100"/>
        <c:tickLblSkip val="12"/>
        <c:tickMarkSkip val="6"/>
        <c:noMultiLvlLbl val="0"/>
      </c:catAx>
      <c:valAx>
        <c:axId val="310784000"/>
        <c:scaling>
          <c:orientation val="minMax"/>
          <c:max val="0.2"/>
          <c:min val="-0.2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30763084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'LLwithCondition (2)'!$C$3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(2)'!$C$4:$C$127</c:f>
              <c:numCache>
                <c:formatCode>0.00</c:formatCode>
                <c:ptCount val="124"/>
                <c:pt idx="0">
                  <c:v>4.1408234642227697</c:v>
                </c:pt>
                <c:pt idx="1">
                  <c:v>4.0431225152819703</c:v>
                </c:pt>
                <c:pt idx="2">
                  <c:v>4.0260574264414801</c:v>
                </c:pt>
                <c:pt idx="3">
                  <c:v>4.2390909305190698</c:v>
                </c:pt>
                <c:pt idx="4">
                  <c:v>4.3437275644893196</c:v>
                </c:pt>
                <c:pt idx="5">
                  <c:v>4.3732810218535496</c:v>
                </c:pt>
                <c:pt idx="6">
                  <c:v>4.4641653778897901</c:v>
                </c:pt>
                <c:pt idx="7">
                  <c:v>4.4814794240538998</c:v>
                </c:pt>
                <c:pt idx="8">
                  <c:v>4.51286087196321</c:v>
                </c:pt>
                <c:pt idx="9">
                  <c:v>4.4999123420986704</c:v>
                </c:pt>
                <c:pt idx="10">
                  <c:v>4.54408919930147</c:v>
                </c:pt>
                <c:pt idx="11">
                  <c:v>4.6718624361766601</c:v>
                </c:pt>
                <c:pt idx="12">
                  <c:v>4.7228371754791203</c:v>
                </c:pt>
                <c:pt idx="13">
                  <c:v>4.6775163241410898</c:v>
                </c:pt>
                <c:pt idx="14">
                  <c:v>4.7554879132697003</c:v>
                </c:pt>
                <c:pt idx="15">
                  <c:v>4.7490540389099198</c:v>
                </c:pt>
                <c:pt idx="16">
                  <c:v>4.6501895097453403</c:v>
                </c:pt>
                <c:pt idx="17">
                  <c:v>4.6275574428116499</c:v>
                </c:pt>
                <c:pt idx="18">
                  <c:v>4.7265197018410499</c:v>
                </c:pt>
                <c:pt idx="19">
                  <c:v>4.6925822664461503</c:v>
                </c:pt>
                <c:pt idx="20">
                  <c:v>4.4938639061100698</c:v>
                </c:pt>
                <c:pt idx="21">
                  <c:v>4.1524292919247898</c:v>
                </c:pt>
                <c:pt idx="22">
                  <c:v>3.90091271220368</c:v>
                </c:pt>
                <c:pt idx="23">
                  <c:v>3.8339086235834099</c:v>
                </c:pt>
                <c:pt idx="24">
                  <c:v>3.85136938402874</c:v>
                </c:pt>
                <c:pt idx="25">
                  <c:v>3.8223989530828399</c:v>
                </c:pt>
                <c:pt idx="26">
                  <c:v>3.7869995847639601</c:v>
                </c:pt>
                <c:pt idx="27">
                  <c:v>3.7237481234484302</c:v>
                </c:pt>
                <c:pt idx="28">
                  <c:v>3.7171536774760101</c:v>
                </c:pt>
                <c:pt idx="29">
                  <c:v>3.7712943389174498</c:v>
                </c:pt>
                <c:pt idx="30">
                  <c:v>3.8438019152417602</c:v>
                </c:pt>
                <c:pt idx="31">
                  <c:v>3.9068577604733399</c:v>
                </c:pt>
                <c:pt idx="32">
                  <c:v>3.9046640497970602</c:v>
                </c:pt>
                <c:pt idx="33">
                  <c:v>4.0166492504542601</c:v>
                </c:pt>
                <c:pt idx="34">
                  <c:v>4.1134066376003604</c:v>
                </c:pt>
                <c:pt idx="35">
                  <c:v>4.2717858040441303</c:v>
                </c:pt>
                <c:pt idx="36">
                  <c:v>4.2741827274406496</c:v>
                </c:pt>
                <c:pt idx="37">
                  <c:v>4.20685755043512</c:v>
                </c:pt>
                <c:pt idx="38">
                  <c:v>4.2104495801617201</c:v>
                </c:pt>
                <c:pt idx="39">
                  <c:v>4.2929626779714498</c:v>
                </c:pt>
                <c:pt idx="40">
                  <c:v>4.3698797873502997</c:v>
                </c:pt>
                <c:pt idx="41">
                  <c:v>4.3745424452164796</c:v>
                </c:pt>
                <c:pt idx="42">
                  <c:v>4.3907712871102804</c:v>
                </c:pt>
                <c:pt idx="43">
                  <c:v>4.53391876545051</c:v>
                </c:pt>
                <c:pt idx="44">
                  <c:v>4.7813057768307203</c:v>
                </c:pt>
                <c:pt idx="45">
                  <c:v>4.8776134942487097</c:v>
                </c:pt>
                <c:pt idx="46">
                  <c:v>4.9526677145618603</c:v>
                </c:pt>
                <c:pt idx="47">
                  <c:v>5.1199094917600201</c:v>
                </c:pt>
                <c:pt idx="48">
                  <c:v>5.1498995538460202</c:v>
                </c:pt>
                <c:pt idx="49">
                  <c:v>5.08237216688544</c:v>
                </c:pt>
                <c:pt idx="50">
                  <c:v>4.8852068397221498</c:v>
                </c:pt>
                <c:pt idx="51">
                  <c:v>4.7267547163978296</c:v>
                </c:pt>
                <c:pt idx="52">
                  <c:v>4.5506005778449801</c:v>
                </c:pt>
                <c:pt idx="53">
                  <c:v>4.5046216147780003</c:v>
                </c:pt>
                <c:pt idx="54">
                  <c:v>4.5985063249435498</c:v>
                </c:pt>
                <c:pt idx="55">
                  <c:v>4.6682073864181399</c:v>
                </c:pt>
                <c:pt idx="56">
                  <c:v>4.7784968650707302</c:v>
                </c:pt>
                <c:pt idx="57">
                  <c:v>4.9328216324493797</c:v>
                </c:pt>
                <c:pt idx="58">
                  <c:v>5.1273415817818098</c:v>
                </c:pt>
                <c:pt idx="59">
                  <c:v>5.2323143272491004</c:v>
                </c:pt>
                <c:pt idx="60">
                  <c:v>5.2280426826660102</c:v>
                </c:pt>
                <c:pt idx="61">
                  <c:v>5.1672602121717199</c:v>
                </c:pt>
                <c:pt idx="62">
                  <c:v>5.1535795383054701</c:v>
                </c:pt>
                <c:pt idx="63">
                  <c:v>5.0668958419802399</c:v>
                </c:pt>
                <c:pt idx="64">
                  <c:v>5.0828654262246999</c:v>
                </c:pt>
                <c:pt idx="65">
                  <c:v>5.0979775043497098</c:v>
                </c:pt>
                <c:pt idx="66">
                  <c:v>5.1158273945518502</c:v>
                </c:pt>
                <c:pt idx="67">
                  <c:v>5.1294365811269502</c:v>
                </c:pt>
                <c:pt idx="68">
                  <c:v>5.07610629038001</c:v>
                </c:pt>
                <c:pt idx="69">
                  <c:v>4.9899010928015803</c:v>
                </c:pt>
                <c:pt idx="70">
                  <c:v>4.8850537351583103</c:v>
                </c:pt>
                <c:pt idx="71">
                  <c:v>4.8291476491880196</c:v>
                </c:pt>
                <c:pt idx="72">
                  <c:v>4.8616517448230203</c:v>
                </c:pt>
                <c:pt idx="73">
                  <c:v>4.9305946692028497</c:v>
                </c:pt>
                <c:pt idx="74">
                  <c:v>4.92093318410876</c:v>
                </c:pt>
                <c:pt idx="75">
                  <c:v>4.9793708509294596</c:v>
                </c:pt>
                <c:pt idx="76">
                  <c:v>5.3636123567810499</c:v>
                </c:pt>
                <c:pt idx="77">
                  <c:v>6.0946449463674996</c:v>
                </c:pt>
                <c:pt idx="78">
                  <c:v>6.0257912411256402</c:v>
                </c:pt>
                <c:pt idx="79">
                  <c:v>6.2456460090361503</c:v>
                </c:pt>
                <c:pt idx="80">
                  <c:v>6.5355178388102804</c:v>
                </c:pt>
                <c:pt idx="81">
                  <c:v>6.4314010904964398</c:v>
                </c:pt>
                <c:pt idx="82">
                  <c:v>6.1004102201736998</c:v>
                </c:pt>
                <c:pt idx="83">
                  <c:v>5.98891735283466</c:v>
                </c:pt>
                <c:pt idx="84">
                  <c:v>5.9214234409106501</c:v>
                </c:pt>
                <c:pt idx="85">
                  <c:v>5.8593603493655602</c:v>
                </c:pt>
                <c:pt idx="86">
                  <c:v>5.6774549356935502</c:v>
                </c:pt>
                <c:pt idx="87">
                  <c:v>5.96124626318593</c:v>
                </c:pt>
                <c:pt idx="88">
                  <c:v>6.1706702499858102</c:v>
                </c:pt>
                <c:pt idx="89">
                  <c:v>6.3807504989555497</c:v>
                </c:pt>
                <c:pt idx="90">
                  <c:v>6.4629494406595498</c:v>
                </c:pt>
                <c:pt idx="91">
                  <c:v>6.5855148290350298</c:v>
                </c:pt>
                <c:pt idx="92">
                  <c:v>6.6988807648541302</c:v>
                </c:pt>
                <c:pt idx="93">
                  <c:v>6.6904439765656996</c:v>
                </c:pt>
                <c:pt idx="94">
                  <c:v>6.4359670110133198</c:v>
                </c:pt>
                <c:pt idx="95">
                  <c:v>6.30297641601903</c:v>
                </c:pt>
                <c:pt idx="96">
                  <c:v>6.2375534711443903</c:v>
                </c:pt>
                <c:pt idx="97">
                  <c:v>6.24062133219907</c:v>
                </c:pt>
                <c:pt idx="98">
                  <c:v>6.3331205291355799</c:v>
                </c:pt>
                <c:pt idx="99">
                  <c:v>6.2032527957600498</c:v>
                </c:pt>
                <c:pt idx="100">
                  <c:v>6.1960025322102901</c:v>
                </c:pt>
                <c:pt idx="101">
                  <c:v>6.3501989598221602</c:v>
                </c:pt>
                <c:pt idx="102">
                  <c:v>6.4103828987463602</c:v>
                </c:pt>
                <c:pt idx="103">
                  <c:v>6.5457026899159203</c:v>
                </c:pt>
                <c:pt idx="104">
                  <c:v>6.7407898203938998</c:v>
                </c:pt>
                <c:pt idx="105">
                  <c:v>6.81084447131704</c:v>
                </c:pt>
                <c:pt idx="106">
                  <c:v>6.7286751315940201</c:v>
                </c:pt>
                <c:pt idx="107">
                  <c:v>6.6317112999052696</c:v>
                </c:pt>
                <c:pt idx="108">
                  <c:v>6.4424045461078103</c:v>
                </c:pt>
                <c:pt idx="109">
                  <c:v>6.33463422080737</c:v>
                </c:pt>
                <c:pt idx="110">
                  <c:v>6.2517764706958401</c:v>
                </c:pt>
                <c:pt idx="111">
                  <c:v>6.26072411805806</c:v>
                </c:pt>
                <c:pt idx="112">
                  <c:v>6.3457197858094201</c:v>
                </c:pt>
                <c:pt idx="113">
                  <c:v>6.1701049682385101</c:v>
                </c:pt>
                <c:pt idx="114">
                  <c:v>5.9335548859716498</c:v>
                </c:pt>
                <c:pt idx="115">
                  <c:v>5.8721684941883998</c:v>
                </c:pt>
                <c:pt idx="116">
                  <c:v>5.8167964902504403</c:v>
                </c:pt>
                <c:pt idx="117">
                  <c:v>5.6977160723951297</c:v>
                </c:pt>
                <c:pt idx="118">
                  <c:v>5.7299360729962299</c:v>
                </c:pt>
                <c:pt idx="119">
                  <c:v>5.9050738607028403</c:v>
                </c:pt>
                <c:pt idx="120">
                  <c:v>5.9603754873070498</c:v>
                </c:pt>
                <c:pt idx="121">
                  <c:v>5.7399072643357698</c:v>
                </c:pt>
                <c:pt idx="122">
                  <c:v>5.6981602718682396</c:v>
                </c:pt>
                <c:pt idx="123">
                  <c:v>5.76652782146496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'LLwithCondition (2)'!$D$3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(2)'!$D$4:$D$127</c:f>
              <c:numCache>
                <c:formatCode>General</c:formatCode>
                <c:ptCount val="124"/>
                <c:pt idx="0">
                  <c:v>4.1237868443410299</c:v>
                </c:pt>
                <c:pt idx="1">
                  <c:v>4.0724697555473997</c:v>
                </c:pt>
                <c:pt idx="2">
                  <c:v>4.0795742084377498</c:v>
                </c:pt>
                <c:pt idx="3">
                  <c:v>4.2191881107733797</c:v>
                </c:pt>
                <c:pt idx="4">
                  <c:v>4.34046482428821</c:v>
                </c:pt>
                <c:pt idx="5">
                  <c:v>4.3610787823523598</c:v>
                </c:pt>
                <c:pt idx="6">
                  <c:v>4.50163909584204</c:v>
                </c:pt>
                <c:pt idx="7">
                  <c:v>4.5143120295241497</c:v>
                </c:pt>
                <c:pt idx="8">
                  <c:v>4.5467902199024302</c:v>
                </c:pt>
                <c:pt idx="9">
                  <c:v>4.5408042219318796</c:v>
                </c:pt>
                <c:pt idx="10">
                  <c:v>4.5678757972151898</c:v>
                </c:pt>
                <c:pt idx="11">
                  <c:v>4.6707743455494199</c:v>
                </c:pt>
                <c:pt idx="12">
                  <c:v>4.7185250065644802</c:v>
                </c:pt>
                <c:pt idx="13">
                  <c:v>4.7326732559808899</c:v>
                </c:pt>
                <c:pt idx="14">
                  <c:v>4.7781018847115897</c:v>
                </c:pt>
                <c:pt idx="15">
                  <c:v>4.7779020618618597</c:v>
                </c:pt>
                <c:pt idx="16">
                  <c:v>4.6685721450730302</c:v>
                </c:pt>
                <c:pt idx="17">
                  <c:v>4.6117913154848802</c:v>
                </c:pt>
                <c:pt idx="18">
                  <c:v>4.7353231822939996</c:v>
                </c:pt>
                <c:pt idx="19">
                  <c:v>4.75601547548432</c:v>
                </c:pt>
                <c:pt idx="20">
                  <c:v>4.60992628250054</c:v>
                </c:pt>
                <c:pt idx="21">
                  <c:v>4.3204582107282503</c:v>
                </c:pt>
                <c:pt idx="22">
                  <c:v>3.9463716001364602</c:v>
                </c:pt>
                <c:pt idx="23">
                  <c:v>3.8079408823666498</c:v>
                </c:pt>
                <c:pt idx="24">
                  <c:v>3.8725047024987398</c:v>
                </c:pt>
                <c:pt idx="25">
                  <c:v>3.8456884245144201</c:v>
                </c:pt>
                <c:pt idx="26">
                  <c:v>3.7719228011650401</c:v>
                </c:pt>
                <c:pt idx="27">
                  <c:v>3.6462499425197001</c:v>
                </c:pt>
                <c:pt idx="28">
                  <c:v>3.65077505776275</c:v>
                </c:pt>
                <c:pt idx="29">
                  <c:v>3.7067427506511299</c:v>
                </c:pt>
                <c:pt idx="30">
                  <c:v>3.7766769136976399</c:v>
                </c:pt>
                <c:pt idx="31">
                  <c:v>3.8501000264524801</c:v>
                </c:pt>
                <c:pt idx="32">
                  <c:v>3.89321189457148</c:v>
                </c:pt>
                <c:pt idx="33">
                  <c:v>3.9283358679298299</c:v>
                </c:pt>
                <c:pt idx="34">
                  <c:v>4.0673812628740302</c:v>
                </c:pt>
                <c:pt idx="35">
                  <c:v>4.1742711025533499</c:v>
                </c:pt>
                <c:pt idx="36">
                  <c:v>4.1919402122088298</c:v>
                </c:pt>
                <c:pt idx="37">
                  <c:v>4.1755324481387701</c:v>
                </c:pt>
                <c:pt idx="38">
                  <c:v>4.1738846766960496</c:v>
                </c:pt>
                <c:pt idx="39">
                  <c:v>4.2395877951698502</c:v>
                </c:pt>
                <c:pt idx="40">
                  <c:v>4.35415319838045</c:v>
                </c:pt>
                <c:pt idx="41">
                  <c:v>4.3129432381052997</c:v>
                </c:pt>
                <c:pt idx="42">
                  <c:v>4.4128008395489404</c:v>
                </c:pt>
                <c:pt idx="43">
                  <c:v>4.5119397329930804</c:v>
                </c:pt>
                <c:pt idx="44">
                  <c:v>4.8091767391416802</c:v>
                </c:pt>
                <c:pt idx="45">
                  <c:v>4.8216356808009202</c:v>
                </c:pt>
                <c:pt idx="46">
                  <c:v>4.9025409869560699</c:v>
                </c:pt>
                <c:pt idx="47">
                  <c:v>5.1432481699690102</c:v>
                </c:pt>
                <c:pt idx="48">
                  <c:v>5.1698548003222404</c:v>
                </c:pt>
                <c:pt idx="49">
                  <c:v>5.1694034368247701</c:v>
                </c:pt>
                <c:pt idx="50">
                  <c:v>5.0209223847428399</c:v>
                </c:pt>
                <c:pt idx="51">
                  <c:v>4.88279657947872</c:v>
                </c:pt>
                <c:pt idx="52">
                  <c:v>4.5932169000684402</c:v>
                </c:pt>
                <c:pt idx="53">
                  <c:v>4.49979665349173</c:v>
                </c:pt>
                <c:pt idx="54">
                  <c:v>4.5669587406600298</c:v>
                </c:pt>
                <c:pt idx="55">
                  <c:v>4.6855844226563796</c:v>
                </c:pt>
                <c:pt idx="56">
                  <c:v>4.7254740127578598</c:v>
                </c:pt>
                <c:pt idx="57">
                  <c:v>4.9244902601974996</c:v>
                </c:pt>
                <c:pt idx="58">
                  <c:v>5.1503091070801101</c:v>
                </c:pt>
                <c:pt idx="59">
                  <c:v>5.2186106259467904</c:v>
                </c:pt>
                <c:pt idx="60">
                  <c:v>5.2515156491826298</c:v>
                </c:pt>
                <c:pt idx="61">
                  <c:v>5.2474457611100798</c:v>
                </c:pt>
                <c:pt idx="62">
                  <c:v>5.2669806276226199</c:v>
                </c:pt>
                <c:pt idx="63">
                  <c:v>5.1137918316427404</c:v>
                </c:pt>
                <c:pt idx="64">
                  <c:v>5.0409655690044302</c:v>
                </c:pt>
                <c:pt idx="65">
                  <c:v>5.0984261725870903</c:v>
                </c:pt>
                <c:pt idx="66">
                  <c:v>5.1660359038403501</c:v>
                </c:pt>
                <c:pt idx="67">
                  <c:v>5.2300438187300999</c:v>
                </c:pt>
                <c:pt idx="68">
                  <c:v>5.2072534743019201</c:v>
                </c:pt>
                <c:pt idx="69">
                  <c:v>5.2219881356408298</c:v>
                </c:pt>
                <c:pt idx="70">
                  <c:v>4.9723674098418398</c:v>
                </c:pt>
                <c:pt idx="71">
                  <c:v>4.8368962964166302</c:v>
                </c:pt>
                <c:pt idx="72">
                  <c:v>4.7411115537530604</c:v>
                </c:pt>
                <c:pt idx="73">
                  <c:v>5.0937521375365797</c:v>
                </c:pt>
                <c:pt idx="74">
                  <c:v>4.8931688620532601</c:v>
                </c:pt>
                <c:pt idx="75">
                  <c:v>4.9952975166393703</c:v>
                </c:pt>
                <c:pt idx="76">
                  <c:v>5.3354129193465303</c:v>
                </c:pt>
                <c:pt idx="77">
                  <c:v>6.5037957877536101</c:v>
                </c:pt>
                <c:pt idx="78">
                  <c:v>6.16672675634931</c:v>
                </c:pt>
                <c:pt idx="79">
                  <c:v>6.2984570013993402</c:v>
                </c:pt>
                <c:pt idx="80">
                  <c:v>6.7459476407728403</c:v>
                </c:pt>
                <c:pt idx="81">
                  <c:v>6.5921081026291599</c:v>
                </c:pt>
                <c:pt idx="82">
                  <c:v>6.5402375751912603</c:v>
                </c:pt>
                <c:pt idx="83">
                  <c:v>6.1998264338351703</c:v>
                </c:pt>
                <c:pt idx="84">
                  <c:v>6.0124717959694198</c:v>
                </c:pt>
                <c:pt idx="85">
                  <c:v>6.0511932182297903</c:v>
                </c:pt>
                <c:pt idx="86">
                  <c:v>5.8839054724804196</c:v>
                </c:pt>
                <c:pt idx="87">
                  <c:v>6.1525795590864298</c:v>
                </c:pt>
                <c:pt idx="88">
                  <c:v>6.3236240497238896</c:v>
                </c:pt>
                <c:pt idx="89">
                  <c:v>6.5419578960804401</c:v>
                </c:pt>
                <c:pt idx="90">
                  <c:v>6.5326813936650199</c:v>
                </c:pt>
                <c:pt idx="91">
                  <c:v>6.5922320771070098</c:v>
                </c:pt>
                <c:pt idx="92">
                  <c:v>6.8671682503521998</c:v>
                </c:pt>
                <c:pt idx="93">
                  <c:v>6.8104848375659897</c:v>
                </c:pt>
                <c:pt idx="94">
                  <c:v>6.4979813148674603</c:v>
                </c:pt>
                <c:pt idx="95">
                  <c:v>6.4143247060261501</c:v>
                </c:pt>
                <c:pt idx="96">
                  <c:v>6.22618743698931</c:v>
                </c:pt>
                <c:pt idx="97">
                  <c:v>6.4334231965352098</c:v>
                </c:pt>
                <c:pt idx="98">
                  <c:v>6.4439434928325099</c:v>
                </c:pt>
                <c:pt idx="99">
                  <c:v>6.3940170882414202</c:v>
                </c:pt>
                <c:pt idx="100">
                  <c:v>6.4370531580450798</c:v>
                </c:pt>
                <c:pt idx="101">
                  <c:v>6.6467822738161901</c:v>
                </c:pt>
                <c:pt idx="102">
                  <c:v>6.5840078627310197</c:v>
                </c:pt>
                <c:pt idx="103">
                  <c:v>6.7087147982617497</c:v>
                </c:pt>
                <c:pt idx="104">
                  <c:v>6.87626346587773</c:v>
                </c:pt>
                <c:pt idx="105">
                  <c:v>6.9880494808924203</c:v>
                </c:pt>
                <c:pt idx="106">
                  <c:v>6.8033105084861996</c:v>
                </c:pt>
                <c:pt idx="107">
                  <c:v>6.7871632950559997</c:v>
                </c:pt>
                <c:pt idx="108">
                  <c:v>6.7242127375529996</c:v>
                </c:pt>
                <c:pt idx="109">
                  <c:v>6.5950219310896498</c:v>
                </c:pt>
                <c:pt idx="110">
                  <c:v>6.5311291637044597</c:v>
                </c:pt>
                <c:pt idx="111">
                  <c:v>6.5243556051883598</c:v>
                </c:pt>
                <c:pt idx="112">
                  <c:v>6.6992419826455896</c:v>
                </c:pt>
                <c:pt idx="113">
                  <c:v>6.4398390662426701</c:v>
                </c:pt>
                <c:pt idx="114">
                  <c:v>6.0168050603756402</c:v>
                </c:pt>
                <c:pt idx="115">
                  <c:v>6.1644990759963996</c:v>
                </c:pt>
                <c:pt idx="116">
                  <c:v>6.0967228769349804</c:v>
                </c:pt>
                <c:pt idx="117">
                  <c:v>5.9893608987974698</c:v>
                </c:pt>
                <c:pt idx="118">
                  <c:v>5.9383249305757397</c:v>
                </c:pt>
                <c:pt idx="119">
                  <c:v>6.1010741121785399</c:v>
                </c:pt>
                <c:pt idx="120">
                  <c:v>6.1142759738099901</c:v>
                </c:pt>
                <c:pt idx="121">
                  <c:v>5.9901739928278399</c:v>
                </c:pt>
                <c:pt idx="122">
                  <c:v>5.93648297988483</c:v>
                </c:pt>
                <c:pt idx="123">
                  <c:v>5.9528557282850896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'LLwithCondition (2)'!$E$3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(2)'!$E$4:$E$126</c:f>
              <c:numCache>
                <c:formatCode>General</c:formatCode>
                <c:ptCount val="123"/>
                <c:pt idx="0">
                  <c:v>4.0216658215070797</c:v>
                </c:pt>
                <c:pt idx="1">
                  <c:v>3.97261149543866</c:v>
                </c:pt>
                <c:pt idx="2">
                  <c:v>3.9586044216830398</c:v>
                </c:pt>
                <c:pt idx="3">
                  <c:v>4.1180180005584504</c:v>
                </c:pt>
                <c:pt idx="4">
                  <c:v>4.2582992465124399</c:v>
                </c:pt>
                <c:pt idx="5">
                  <c:v>4.29475686841013</c:v>
                </c:pt>
                <c:pt idx="6">
                  <c:v>4.4136730120691601</c:v>
                </c:pt>
                <c:pt idx="7">
                  <c:v>4.42590886999474</c:v>
                </c:pt>
                <c:pt idx="8">
                  <c:v>4.43815557294573</c:v>
                </c:pt>
                <c:pt idx="9">
                  <c:v>4.4495482152197896</c:v>
                </c:pt>
                <c:pt idx="10">
                  <c:v>4.4859244662927598</c:v>
                </c:pt>
                <c:pt idx="11">
                  <c:v>4.5949451576973903</c:v>
                </c:pt>
                <c:pt idx="12">
                  <c:v>4.6406343920420596</c:v>
                </c:pt>
                <c:pt idx="13">
                  <c:v>4.6202204658443096</c:v>
                </c:pt>
                <c:pt idx="14">
                  <c:v>4.66931609027775</c:v>
                </c:pt>
                <c:pt idx="15">
                  <c:v>4.69982779264621</c:v>
                </c:pt>
                <c:pt idx="16">
                  <c:v>4.5749000626968801</c:v>
                </c:pt>
                <c:pt idx="17">
                  <c:v>4.5137567761280604</c:v>
                </c:pt>
                <c:pt idx="18">
                  <c:v>4.6409963259209501</c:v>
                </c:pt>
                <c:pt idx="19">
                  <c:v>4.7418272243009802</c:v>
                </c:pt>
                <c:pt idx="20">
                  <c:v>4.5655049166508599</c:v>
                </c:pt>
                <c:pt idx="21">
                  <c:v>4.2599025030036897</c:v>
                </c:pt>
                <c:pt idx="22">
                  <c:v>3.8951440631579901</c:v>
                </c:pt>
                <c:pt idx="23">
                  <c:v>3.7510885438699</c:v>
                </c:pt>
                <c:pt idx="24">
                  <c:v>3.8099276969790301</c:v>
                </c:pt>
                <c:pt idx="25">
                  <c:v>3.7825415156393598</c:v>
                </c:pt>
                <c:pt idx="26">
                  <c:v>3.6934244230845201</c:v>
                </c:pt>
                <c:pt idx="27">
                  <c:v>3.6033548831439499</c:v>
                </c:pt>
                <c:pt idx="28">
                  <c:v>3.5915199716421098</c:v>
                </c:pt>
                <c:pt idx="29">
                  <c:v>3.6008819534771201</c:v>
                </c:pt>
                <c:pt idx="30">
                  <c:v>3.66600530010186</c:v>
                </c:pt>
                <c:pt idx="31">
                  <c:v>3.76941401476792</c:v>
                </c:pt>
                <c:pt idx="32">
                  <c:v>3.8080130355025599</c:v>
                </c:pt>
                <c:pt idx="33">
                  <c:v>3.8967368952954198</c:v>
                </c:pt>
                <c:pt idx="34">
                  <c:v>4.0212319104949703</c:v>
                </c:pt>
                <c:pt idx="35">
                  <c:v>4.1150808949727002</c:v>
                </c:pt>
                <c:pt idx="36">
                  <c:v>4.1369562999131499</c:v>
                </c:pt>
                <c:pt idx="37">
                  <c:v>4.0808588427727797</c:v>
                </c:pt>
                <c:pt idx="38">
                  <c:v>4.0802734374255003</c:v>
                </c:pt>
                <c:pt idx="39">
                  <c:v>4.1774807779790102</c:v>
                </c:pt>
                <c:pt idx="40">
                  <c:v>4.24263754084759</c:v>
                </c:pt>
                <c:pt idx="41">
                  <c:v>4.2407495593322801</c:v>
                </c:pt>
                <c:pt idx="42">
                  <c:v>4.29695421139927</c:v>
                </c:pt>
                <c:pt idx="43">
                  <c:v>4.4120909451936097</c:v>
                </c:pt>
                <c:pt idx="44">
                  <c:v>4.6637207374316496</c:v>
                </c:pt>
                <c:pt idx="45">
                  <c:v>4.8136284777767102</c:v>
                </c:pt>
                <c:pt idx="46">
                  <c:v>4.8851768254937804</c:v>
                </c:pt>
                <c:pt idx="47">
                  <c:v>5.0104042533752899</c:v>
                </c:pt>
                <c:pt idx="48">
                  <c:v>5.04070405569085</c:v>
                </c:pt>
                <c:pt idx="49">
                  <c:v>5.0454312571468103</c:v>
                </c:pt>
                <c:pt idx="50">
                  <c:v>4.8998185681194801</c:v>
                </c:pt>
                <c:pt idx="51">
                  <c:v>4.7254339496838798</c:v>
                </c:pt>
                <c:pt idx="52">
                  <c:v>4.5108626351101497</c:v>
                </c:pt>
                <c:pt idx="53">
                  <c:v>4.4278496850137898</c:v>
                </c:pt>
                <c:pt idx="54">
                  <c:v>4.4832161092434104</c:v>
                </c:pt>
                <c:pt idx="55">
                  <c:v>4.5471599377957004</c:v>
                </c:pt>
                <c:pt idx="56">
                  <c:v>4.6642806637900396</c:v>
                </c:pt>
                <c:pt idx="57">
                  <c:v>4.8223373259600999</c:v>
                </c:pt>
                <c:pt idx="58">
                  <c:v>5.0418640522823699</c:v>
                </c:pt>
                <c:pt idx="59">
                  <c:v>5.2024558900644298</c:v>
                </c:pt>
                <c:pt idx="60">
                  <c:v>5.1846067204583699</c:v>
                </c:pt>
                <c:pt idx="61">
                  <c:v>5.1418518864171796</c:v>
                </c:pt>
                <c:pt idx="62">
                  <c:v>5.1554862888020097</c:v>
                </c:pt>
                <c:pt idx="63">
                  <c:v>5.0459953534312696</c:v>
                </c:pt>
                <c:pt idx="64">
                  <c:v>5.0034668314839896</c:v>
                </c:pt>
                <c:pt idx="65">
                  <c:v>5.0745215884622699</c:v>
                </c:pt>
                <c:pt idx="66">
                  <c:v>5.1204921572082203</c:v>
                </c:pt>
                <c:pt idx="67">
                  <c:v>5.2747716750026701</c:v>
                </c:pt>
                <c:pt idx="68">
                  <c:v>5.2699170240727398</c:v>
                </c:pt>
                <c:pt idx="69">
                  <c:v>5.1722769856475503</c:v>
                </c:pt>
                <c:pt idx="70">
                  <c:v>4.9910886575345899</c:v>
                </c:pt>
                <c:pt idx="71">
                  <c:v>4.9027724846698</c:v>
                </c:pt>
                <c:pt idx="72">
                  <c:v>4.93204708302087</c:v>
                </c:pt>
                <c:pt idx="73">
                  <c:v>5.0012509211240799</c:v>
                </c:pt>
                <c:pt idx="74">
                  <c:v>4.9537316946706103</c:v>
                </c:pt>
                <c:pt idx="75">
                  <c:v>4.9533708486296302</c:v>
                </c:pt>
                <c:pt idx="76">
                  <c:v>5.4368423516025501</c:v>
                </c:pt>
                <c:pt idx="77">
                  <c:v>6.1386705003220401</c:v>
                </c:pt>
                <c:pt idx="78">
                  <c:v>5.9985760989344197</c:v>
                </c:pt>
                <c:pt idx="79">
                  <c:v>6.2885004859223201</c:v>
                </c:pt>
                <c:pt idx="80">
                  <c:v>6.5796695332617396</c:v>
                </c:pt>
                <c:pt idx="81">
                  <c:v>6.4049571964798897</c:v>
                </c:pt>
                <c:pt idx="82">
                  <c:v>6.1430418277638301</c:v>
                </c:pt>
                <c:pt idx="83">
                  <c:v>5.9986443845008903</c:v>
                </c:pt>
                <c:pt idx="84">
                  <c:v>5.8687923078410398</c:v>
                </c:pt>
                <c:pt idx="85">
                  <c:v>5.8305726079826998</c:v>
                </c:pt>
                <c:pt idx="86">
                  <c:v>5.6320521780893502</c:v>
                </c:pt>
                <c:pt idx="87">
                  <c:v>5.9631281330525399</c:v>
                </c:pt>
                <c:pt idx="88">
                  <c:v>6.2211216471743302</c:v>
                </c:pt>
                <c:pt idx="89">
                  <c:v>6.37529055979177</c:v>
                </c:pt>
                <c:pt idx="90">
                  <c:v>6.4713703597448102</c:v>
                </c:pt>
                <c:pt idx="91">
                  <c:v>6.5607079511412003</c:v>
                </c:pt>
                <c:pt idx="92">
                  <c:v>6.7563362828491798</c:v>
                </c:pt>
                <c:pt idx="93">
                  <c:v>6.73193917192825</c:v>
                </c:pt>
                <c:pt idx="94">
                  <c:v>6.4563831381258003</c:v>
                </c:pt>
                <c:pt idx="95">
                  <c:v>6.2726375714784197</c:v>
                </c:pt>
                <c:pt idx="96">
                  <c:v>6.2288502619522497</c:v>
                </c:pt>
                <c:pt idx="97">
                  <c:v>6.2939282501260703</c:v>
                </c:pt>
                <c:pt idx="98">
                  <c:v>6.3260237800472501</c:v>
                </c:pt>
                <c:pt idx="99">
                  <c:v>6.2365863480721897</c:v>
                </c:pt>
                <c:pt idx="100">
                  <c:v>6.2464346999429301</c:v>
                </c:pt>
                <c:pt idx="101">
                  <c:v>6.4361105389338302</c:v>
                </c:pt>
                <c:pt idx="102">
                  <c:v>6.4756272655495097</c:v>
                </c:pt>
                <c:pt idx="103">
                  <c:v>6.5604863372519802</c:v>
                </c:pt>
                <c:pt idx="104">
                  <c:v>6.7492942628745398</c:v>
                </c:pt>
                <c:pt idx="105">
                  <c:v>6.8092830566186198</c:v>
                </c:pt>
                <c:pt idx="106">
                  <c:v>6.7489460153022502</c:v>
                </c:pt>
                <c:pt idx="107">
                  <c:v>6.6436305483580496</c:v>
                </c:pt>
                <c:pt idx="108">
                  <c:v>6.4804317514348604</c:v>
                </c:pt>
                <c:pt idx="109">
                  <c:v>6.3743951557948098</c:v>
                </c:pt>
                <c:pt idx="110">
                  <c:v>6.33195188933444</c:v>
                </c:pt>
                <c:pt idx="111">
                  <c:v>6.3116811213810102</c:v>
                </c:pt>
                <c:pt idx="112">
                  <c:v>6.3628324641039598</c:v>
                </c:pt>
                <c:pt idx="113">
                  <c:v>6.1565698680312897</c:v>
                </c:pt>
                <c:pt idx="114">
                  <c:v>5.9572198059773998</c:v>
                </c:pt>
                <c:pt idx="115">
                  <c:v>5.9013831029193904</c:v>
                </c:pt>
                <c:pt idx="116">
                  <c:v>5.8503919933745401</c:v>
                </c:pt>
                <c:pt idx="117">
                  <c:v>5.7074410882309099</c:v>
                </c:pt>
                <c:pt idx="118">
                  <c:v>5.7548084648573399</c:v>
                </c:pt>
                <c:pt idx="119">
                  <c:v>5.8839004026215402</c:v>
                </c:pt>
                <c:pt idx="120">
                  <c:v>5.97749479090138</c:v>
                </c:pt>
                <c:pt idx="121">
                  <c:v>5.7249844475824103</c:v>
                </c:pt>
                <c:pt idx="122">
                  <c:v>5.7070362465222102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112320"/>
        <c:axId val="341113856"/>
      </c:lineChart>
      <c:dateAx>
        <c:axId val="341112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1113856"/>
        <c:crosses val="autoZero"/>
        <c:auto val="1"/>
        <c:lblOffset val="100"/>
        <c:baseTimeUnit val="months"/>
        <c:majorUnit val="6"/>
        <c:majorTimeUnit val="months"/>
      </c:dateAx>
      <c:valAx>
        <c:axId val="341113856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41112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(2)'!$F$4:$F$127</c:f>
              <c:numCache>
                <c:formatCode>0.00</c:formatCode>
                <c:ptCount val="124"/>
                <c:pt idx="0">
                  <c:v>1.7036619881739767E-2</c:v>
                </c:pt>
                <c:pt idx="1">
                  <c:v>-2.9347240265429342E-2</c:v>
                </c:pt>
                <c:pt idx="2">
                  <c:v>-5.3516781996269636E-2</c:v>
                </c:pt>
                <c:pt idx="3">
                  <c:v>1.9902819745690081E-2</c:v>
                </c:pt>
                <c:pt idx="4">
                  <c:v>3.2627402011096152E-3</c:v>
                </c:pt>
                <c:pt idx="5">
                  <c:v>1.2202239501189815E-2</c:v>
                </c:pt>
                <c:pt idx="6">
                  <c:v>-3.7473717952249963E-2</c:v>
                </c:pt>
                <c:pt idx="7">
                  <c:v>-3.2832605470249909E-2</c:v>
                </c:pt>
                <c:pt idx="8">
                  <c:v>-3.39293479392202E-2</c:v>
                </c:pt>
                <c:pt idx="9">
                  <c:v>-4.0891879833209188E-2</c:v>
                </c:pt>
                <c:pt idx="10">
                  <c:v>-2.3786597913719731E-2</c:v>
                </c:pt>
                <c:pt idx="11">
                  <c:v>1.0880906272401347E-3</c:v>
                </c:pt>
                <c:pt idx="12">
                  <c:v>4.3121689146401465E-3</c:v>
                </c:pt>
                <c:pt idx="13">
                  <c:v>-5.5156931839800194E-2</c:v>
                </c:pt>
                <c:pt idx="14">
                  <c:v>-2.2613971441889369E-2</c:v>
                </c:pt>
                <c:pt idx="15">
                  <c:v>-2.8848022951939889E-2</c:v>
                </c:pt>
                <c:pt idx="16">
                  <c:v>-1.8382635327689911E-2</c:v>
                </c:pt>
                <c:pt idx="17">
                  <c:v>1.5766127326769741E-2</c:v>
                </c:pt>
                <c:pt idx="18">
                  <c:v>-8.8034804529497634E-3</c:v>
                </c:pt>
                <c:pt idx="19">
                  <c:v>-6.3433209038169736E-2</c:v>
                </c:pt>
                <c:pt idx="20">
                  <c:v>-0.11606237639047023</c:v>
                </c:pt>
                <c:pt idx="21">
                  <c:v>-0.16802891880346049</c:v>
                </c:pt>
                <c:pt idx="22">
                  <c:v>-4.545888793278019E-2</c:v>
                </c:pt>
                <c:pt idx="23">
                  <c:v>2.5967741216760043E-2</c:v>
                </c:pt>
                <c:pt idx="24">
                  <c:v>-2.1135318469999831E-2</c:v>
                </c:pt>
                <c:pt idx="25">
                  <c:v>-2.3289471431580111E-2</c:v>
                </c:pt>
                <c:pt idx="26">
                  <c:v>1.5076783598920063E-2</c:v>
                </c:pt>
                <c:pt idx="27">
                  <c:v>7.7498180928730065E-2</c:v>
                </c:pt>
                <c:pt idx="28">
                  <c:v>6.637861971326009E-2</c:v>
                </c:pt>
                <c:pt idx="29">
                  <c:v>6.4551588266319904E-2</c:v>
                </c:pt>
                <c:pt idx="30">
                  <c:v>6.7125001544120266E-2</c:v>
                </c:pt>
                <c:pt idx="31">
                  <c:v>5.6757734020859818E-2</c:v>
                </c:pt>
                <c:pt idx="32">
                  <c:v>1.1452155225580185E-2</c:v>
                </c:pt>
                <c:pt idx="33">
                  <c:v>8.8313382524430217E-2</c:v>
                </c:pt>
                <c:pt idx="34">
                  <c:v>4.602537472633017E-2</c:v>
                </c:pt>
                <c:pt idx="35">
                  <c:v>9.7514701490780453E-2</c:v>
                </c:pt>
                <c:pt idx="36">
                  <c:v>8.2242515231819802E-2</c:v>
                </c:pt>
                <c:pt idx="37">
                  <c:v>3.1325102296349883E-2</c:v>
                </c:pt>
                <c:pt idx="38">
                  <c:v>3.656490346567054E-2</c:v>
                </c:pt>
                <c:pt idx="39">
                  <c:v>5.3374882801599632E-2</c:v>
                </c:pt>
                <c:pt idx="40">
                  <c:v>1.5726588969849686E-2</c:v>
                </c:pt>
                <c:pt idx="41">
                  <c:v>6.1599207111179943E-2</c:v>
                </c:pt>
                <c:pt idx="42">
                  <c:v>-2.2029552438660005E-2</c:v>
                </c:pt>
                <c:pt idx="43">
                  <c:v>2.1979032457429604E-2</c:v>
                </c:pt>
                <c:pt idx="44">
                  <c:v>-2.7870962310959868E-2</c:v>
                </c:pt>
                <c:pt idx="45">
                  <c:v>5.5977813447789515E-2</c:v>
                </c:pt>
                <c:pt idx="46">
                  <c:v>5.01267276057904E-2</c:v>
                </c:pt>
                <c:pt idx="47">
                  <c:v>-2.333867820899016E-2</c:v>
                </c:pt>
                <c:pt idx="48">
                  <c:v>-1.9955246476220267E-2</c:v>
                </c:pt>
                <c:pt idx="49">
                  <c:v>-8.703126993933008E-2</c:v>
                </c:pt>
                <c:pt idx="50">
                  <c:v>-0.13571554502069016</c:v>
                </c:pt>
                <c:pt idx="51">
                  <c:v>-0.15604186308089041</c:v>
                </c:pt>
                <c:pt idx="52">
                  <c:v>-4.2616322223460124E-2</c:v>
                </c:pt>
                <c:pt idx="53">
                  <c:v>4.8249612862703017E-3</c:v>
                </c:pt>
                <c:pt idx="54">
                  <c:v>3.1547584283520003E-2</c:v>
                </c:pt>
                <c:pt idx="55">
                  <c:v>-1.7377036238239718E-2</c:v>
                </c:pt>
                <c:pt idx="56">
                  <c:v>5.3022852312870405E-2</c:v>
                </c:pt>
                <c:pt idx="57">
                  <c:v>8.3313722518800759E-3</c:v>
                </c:pt>
                <c:pt idx="58">
                  <c:v>-2.2967525298300373E-2</c:v>
                </c:pt>
                <c:pt idx="59">
                  <c:v>1.3703701302310023E-2</c:v>
                </c:pt>
                <c:pt idx="60">
                  <c:v>-2.3472966516619564E-2</c:v>
                </c:pt>
                <c:pt idx="61">
                  <c:v>-8.018554893835983E-2</c:v>
                </c:pt>
                <c:pt idx="62">
                  <c:v>-0.11340108931714976</c:v>
                </c:pt>
                <c:pt idx="63">
                  <c:v>-4.6895989662500526E-2</c:v>
                </c:pt>
                <c:pt idx="64">
                  <c:v>4.1899857220269787E-2</c:v>
                </c:pt>
                <c:pt idx="65">
                  <c:v>-4.4866823738054507E-4</c:v>
                </c:pt>
                <c:pt idx="66">
                  <c:v>-5.0208509288499847E-2</c:v>
                </c:pt>
                <c:pt idx="67">
                  <c:v>-0.10060723760314971</c:v>
                </c:pt>
                <c:pt idx="68">
                  <c:v>-0.13114718392191005</c:v>
                </c:pt>
                <c:pt idx="69">
                  <c:v>-0.23208704283924941</c:v>
                </c:pt>
                <c:pt idx="70">
                  <c:v>-8.7313674683529463E-2</c:v>
                </c:pt>
                <c:pt idx="71">
                  <c:v>-7.7486472286105723E-3</c:v>
                </c:pt>
                <c:pt idx="72">
                  <c:v>0.12054019106995995</c:v>
                </c:pt>
                <c:pt idx="73">
                  <c:v>-0.16315746833373002</c:v>
                </c:pt>
                <c:pt idx="74">
                  <c:v>2.7764322055499946E-2</c:v>
                </c:pt>
                <c:pt idx="75">
                  <c:v>-1.5926665709910637E-2</c:v>
                </c:pt>
                <c:pt idx="76">
                  <c:v>2.8199437434519581E-2</c:v>
                </c:pt>
                <c:pt idx="77">
                  <c:v>-0.40915084138611046</c:v>
                </c:pt>
                <c:pt idx="78">
                  <c:v>-0.14093551522366976</c:v>
                </c:pt>
                <c:pt idx="79">
                  <c:v>-5.2810992363189868E-2</c:v>
                </c:pt>
                <c:pt idx="80">
                  <c:v>-0.21042980196255989</c:v>
                </c:pt>
                <c:pt idx="81">
                  <c:v>-0.1607070121327201</c:v>
                </c:pt>
                <c:pt idx="82">
                  <c:v>-0.43982735501756043</c:v>
                </c:pt>
                <c:pt idx="83">
                  <c:v>-0.21090908100051031</c:v>
                </c:pt>
                <c:pt idx="84">
                  <c:v>-9.1048355058769737E-2</c:v>
                </c:pt>
                <c:pt idx="85">
                  <c:v>-0.19183286886423012</c:v>
                </c:pt>
                <c:pt idx="86">
                  <c:v>-0.20645053678686942</c:v>
                </c:pt>
                <c:pt idx="87">
                  <c:v>-0.19133329590049986</c:v>
                </c:pt>
                <c:pt idx="88">
                  <c:v>-0.15295379973807943</c:v>
                </c:pt>
                <c:pt idx="89">
                  <c:v>-0.16120739712489041</c:v>
                </c:pt>
                <c:pt idx="90">
                  <c:v>-6.9731953005470082E-2</c:v>
                </c:pt>
                <c:pt idx="91">
                  <c:v>-6.717248071979931E-3</c:v>
                </c:pt>
                <c:pt idx="92">
                  <c:v>-0.1682874854980696</c:v>
                </c:pt>
                <c:pt idx="93">
                  <c:v>-0.1200408610002901</c:v>
                </c:pt>
                <c:pt idx="94">
                  <c:v>-6.2014303854140529E-2</c:v>
                </c:pt>
                <c:pt idx="95">
                  <c:v>-0.1113482900071201</c:v>
                </c:pt>
                <c:pt idx="96">
                  <c:v>1.1366034155080307E-2</c:v>
                </c:pt>
                <c:pt idx="97">
                  <c:v>-0.19280186433613977</c:v>
                </c:pt>
                <c:pt idx="98">
                  <c:v>-0.11082296369693001</c:v>
                </c:pt>
                <c:pt idx="99">
                  <c:v>-0.19076429248137039</c:v>
                </c:pt>
                <c:pt idx="100">
                  <c:v>-0.24105062583478976</c:v>
                </c:pt>
                <c:pt idx="101">
                  <c:v>-0.29658331399402993</c:v>
                </c:pt>
                <c:pt idx="102">
                  <c:v>-0.17362496398465943</c:v>
                </c:pt>
                <c:pt idx="103">
                  <c:v>-0.16301210834582935</c:v>
                </c:pt>
                <c:pt idx="104">
                  <c:v>-0.13547364548383012</c:v>
                </c:pt>
                <c:pt idx="105">
                  <c:v>-0.17720500957538032</c:v>
                </c:pt>
                <c:pt idx="106">
                  <c:v>-7.4635376892179472E-2</c:v>
                </c:pt>
                <c:pt idx="107">
                  <c:v>-0.15545199515073005</c:v>
                </c:pt>
                <c:pt idx="108">
                  <c:v>-0.28180819144518932</c:v>
                </c:pt>
                <c:pt idx="109">
                  <c:v>-0.26038771028227981</c:v>
                </c:pt>
                <c:pt idx="110">
                  <c:v>-0.27935269300861965</c:v>
                </c:pt>
                <c:pt idx="111">
                  <c:v>-0.26363148713029982</c:v>
                </c:pt>
                <c:pt idx="112">
                  <c:v>-0.35352219683616948</c:v>
                </c:pt>
                <c:pt idx="113">
                  <c:v>-0.26973409800416004</c:v>
                </c:pt>
                <c:pt idx="114">
                  <c:v>-8.3250174403990407E-2</c:v>
                </c:pt>
                <c:pt idx="115">
                  <c:v>-0.29233058180799976</c:v>
                </c:pt>
                <c:pt idx="116">
                  <c:v>-0.27992638668454006</c:v>
                </c:pt>
                <c:pt idx="117">
                  <c:v>-0.29164482640234013</c:v>
                </c:pt>
                <c:pt idx="118">
                  <c:v>-0.20838885757950987</c:v>
                </c:pt>
                <c:pt idx="119">
                  <c:v>-0.19600025147569955</c:v>
                </c:pt>
                <c:pt idx="120">
                  <c:v>-0.1539004865029403</c:v>
                </c:pt>
                <c:pt idx="121">
                  <c:v>-0.2502667284920701</c:v>
                </c:pt>
                <c:pt idx="122">
                  <c:v>-0.23832270801659039</c:v>
                </c:pt>
                <c:pt idx="123">
                  <c:v>-0.18632790682012956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219968"/>
        <c:axId val="341229952"/>
      </c:barChart>
      <c:dateAx>
        <c:axId val="341219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41229952"/>
        <c:crosses val="autoZero"/>
        <c:auto val="1"/>
        <c:lblOffset val="100"/>
        <c:baseTimeUnit val="months"/>
        <c:majorUnit val="6"/>
        <c:majorTimeUnit val="months"/>
      </c:dateAx>
      <c:valAx>
        <c:axId val="3412299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41219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(2)'!$G$4:$G$127</c:f>
              <c:numCache>
                <c:formatCode>0.00</c:formatCode>
                <c:ptCount val="124"/>
                <c:pt idx="0">
                  <c:v>0.11915764271568996</c:v>
                </c:pt>
                <c:pt idx="1">
                  <c:v>7.0511019843310319E-2</c:v>
                </c:pt>
                <c:pt idx="2">
                  <c:v>6.7453004758440294E-2</c:v>
                </c:pt>
                <c:pt idx="3">
                  <c:v>0.12107292996061947</c:v>
                </c:pt>
                <c:pt idx="4">
                  <c:v>8.5428317976879775E-2</c:v>
                </c:pt>
                <c:pt idx="5">
                  <c:v>7.8524153443419564E-2</c:v>
                </c:pt>
                <c:pt idx="6">
                  <c:v>5.0492365820629992E-2</c:v>
                </c:pt>
                <c:pt idx="7">
                  <c:v>5.5570554059159782E-2</c:v>
                </c:pt>
                <c:pt idx="8">
                  <c:v>7.4705299017479909E-2</c:v>
                </c:pt>
                <c:pt idx="9">
                  <c:v>5.0364126878880811E-2</c:v>
                </c:pt>
                <c:pt idx="10">
                  <c:v>5.8164733008710279E-2</c:v>
                </c:pt>
                <c:pt idx="11">
                  <c:v>7.6917278479269768E-2</c:v>
                </c:pt>
                <c:pt idx="12">
                  <c:v>8.2202783437060667E-2</c:v>
                </c:pt>
                <c:pt idx="13">
                  <c:v>5.7295858296780189E-2</c:v>
                </c:pt>
                <c:pt idx="14">
                  <c:v>8.6171822991950364E-2</c:v>
                </c:pt>
                <c:pt idx="15">
                  <c:v>4.9226246263709861E-2</c:v>
                </c:pt>
                <c:pt idx="16">
                  <c:v>7.528944704846019E-2</c:v>
                </c:pt>
                <c:pt idx="17">
                  <c:v>0.11380066668358957</c:v>
                </c:pt>
                <c:pt idx="18">
                  <c:v>8.5523375920099731E-2</c:v>
                </c:pt>
                <c:pt idx="19">
                  <c:v>-4.9244957854829963E-2</c:v>
                </c:pt>
                <c:pt idx="20">
                  <c:v>-7.1641010540790084E-2</c:v>
                </c:pt>
                <c:pt idx="21">
                  <c:v>-0.10747321107889984</c:v>
                </c:pt>
                <c:pt idx="22">
                  <c:v>5.7686490456898554E-3</c:v>
                </c:pt>
                <c:pt idx="23">
                  <c:v>8.2820079713509909E-2</c:v>
                </c:pt>
                <c:pt idx="24">
                  <c:v>4.1441687049709852E-2</c:v>
                </c:pt>
                <c:pt idx="25">
                  <c:v>3.9857437443480137E-2</c:v>
                </c:pt>
                <c:pt idx="26">
                  <c:v>9.3575161679440022E-2</c:v>
                </c:pt>
                <c:pt idx="27">
                  <c:v>0.12039324030448029</c:v>
                </c:pt>
                <c:pt idx="28">
                  <c:v>0.12563370583390032</c:v>
                </c:pt>
                <c:pt idx="29">
                  <c:v>0.17041238544032966</c:v>
                </c:pt>
                <c:pt idx="30">
                  <c:v>0.17779661513990019</c:v>
                </c:pt>
                <c:pt idx="31">
                  <c:v>0.13744374570541984</c:v>
                </c:pt>
                <c:pt idx="32">
                  <c:v>9.6651014294500293E-2</c:v>
                </c:pt>
                <c:pt idx="33">
                  <c:v>0.11991235515884036</c:v>
                </c:pt>
                <c:pt idx="34">
                  <c:v>9.2174727105390097E-2</c:v>
                </c:pt>
                <c:pt idx="35">
                  <c:v>0.15670490907143009</c:v>
                </c:pt>
                <c:pt idx="36">
                  <c:v>0.13722642752749969</c:v>
                </c:pt>
                <c:pt idx="37">
                  <c:v>0.12599870766234034</c:v>
                </c:pt>
                <c:pt idx="38">
                  <c:v>0.1301761427362198</c:v>
                </c:pt>
                <c:pt idx="39">
                  <c:v>0.11548189999243963</c:v>
                </c:pt>
                <c:pt idx="40">
                  <c:v>0.12724224650270965</c:v>
                </c:pt>
                <c:pt idx="41">
                  <c:v>0.13379288588419946</c:v>
                </c:pt>
                <c:pt idx="42">
                  <c:v>9.3817075711010389E-2</c:v>
                </c:pt>
                <c:pt idx="43">
                  <c:v>0.12182782025690031</c:v>
                </c:pt>
                <c:pt idx="44">
                  <c:v>0.11758503939907072</c:v>
                </c:pt>
                <c:pt idx="45">
                  <c:v>6.3985016471999501E-2</c:v>
                </c:pt>
                <c:pt idx="46">
                  <c:v>6.7490889068079873E-2</c:v>
                </c:pt>
                <c:pt idx="47">
                  <c:v>0.10950523838473014</c:v>
                </c:pt>
                <c:pt idx="48">
                  <c:v>0.10919549815517016</c:v>
                </c:pt>
                <c:pt idx="49">
                  <c:v>3.6940909738629735E-2</c:v>
                </c:pt>
                <c:pt idx="50">
                  <c:v>-1.4611728397330381E-2</c:v>
                </c:pt>
                <c:pt idx="51">
                  <c:v>1.3207667139498724E-3</c:v>
                </c:pt>
                <c:pt idx="52">
                  <c:v>3.9737942734830334E-2</c:v>
                </c:pt>
                <c:pt idx="53">
                  <c:v>7.6771929764210434E-2</c:v>
                </c:pt>
                <c:pt idx="54">
                  <c:v>0.11529021570013942</c:v>
                </c:pt>
                <c:pt idx="55">
                  <c:v>0.12104744862243955</c:v>
                </c:pt>
                <c:pt idx="56">
                  <c:v>0.11421620128069065</c:v>
                </c:pt>
                <c:pt idx="57">
                  <c:v>0.11048430648927976</c:v>
                </c:pt>
                <c:pt idx="58">
                  <c:v>8.5477529499439875E-2</c:v>
                </c:pt>
                <c:pt idx="59">
                  <c:v>2.9858437184670628E-2</c:v>
                </c:pt>
                <c:pt idx="60">
                  <c:v>4.3435962207640344E-2</c:v>
                </c:pt>
                <c:pt idx="61">
                  <c:v>2.5408325754540328E-2</c:v>
                </c:pt>
                <c:pt idx="62">
                  <c:v>-1.9067504965395443E-3</c:v>
                </c:pt>
                <c:pt idx="63">
                  <c:v>2.0900488548970308E-2</c:v>
                </c:pt>
                <c:pt idx="64">
                  <c:v>7.9398594740710315E-2</c:v>
                </c:pt>
                <c:pt idx="65">
                  <c:v>2.3455915887439893E-2</c:v>
                </c:pt>
                <c:pt idx="66">
                  <c:v>-4.6647626563700584E-3</c:v>
                </c:pt>
                <c:pt idx="67">
                  <c:v>-0.14533509387571986</c:v>
                </c:pt>
                <c:pt idx="68">
                  <c:v>-0.19381073369272972</c:v>
                </c:pt>
                <c:pt idx="69">
                  <c:v>-0.18237589284597</c:v>
                </c:pt>
                <c:pt idx="70">
                  <c:v>-0.10603492237627954</c:v>
                </c:pt>
                <c:pt idx="71">
                  <c:v>-7.3624835481780337E-2</c:v>
                </c:pt>
                <c:pt idx="72">
                  <c:v>-7.0395338197849711E-2</c:v>
                </c:pt>
                <c:pt idx="73">
                  <c:v>-7.0656251921230151E-2</c:v>
                </c:pt>
                <c:pt idx="74">
                  <c:v>-3.2798510561850236E-2</c:v>
                </c:pt>
                <c:pt idx="75">
                  <c:v>2.6000002299829461E-2</c:v>
                </c:pt>
                <c:pt idx="76">
                  <c:v>-7.3229994821500277E-2</c:v>
                </c:pt>
                <c:pt idx="77">
                  <c:v>-4.4025553954540442E-2</c:v>
                </c:pt>
                <c:pt idx="78">
                  <c:v>2.7215142191220565E-2</c:v>
                </c:pt>
                <c:pt idx="79">
                  <c:v>-4.2854476886169834E-2</c:v>
                </c:pt>
                <c:pt idx="80">
                  <c:v>-4.4151694451459278E-2</c:v>
                </c:pt>
                <c:pt idx="81">
                  <c:v>2.6443894016550118E-2</c:v>
                </c:pt>
                <c:pt idx="82">
                  <c:v>-4.2631607590130294E-2</c:v>
                </c:pt>
                <c:pt idx="83">
                  <c:v>-9.7270316662303458E-3</c:v>
                </c:pt>
                <c:pt idx="84">
                  <c:v>5.2631133069610314E-2</c:v>
                </c:pt>
                <c:pt idx="85">
                  <c:v>2.8787741382860332E-2</c:v>
                </c:pt>
                <c:pt idx="86">
                  <c:v>4.5402757604199984E-2</c:v>
                </c:pt>
                <c:pt idx="87">
                  <c:v>-1.8818698666098754E-3</c:v>
                </c:pt>
                <c:pt idx="88">
                  <c:v>-5.0451397188520097E-2</c:v>
                </c:pt>
                <c:pt idx="89">
                  <c:v>5.4599391637797368E-3</c:v>
                </c:pt>
                <c:pt idx="90">
                  <c:v>-8.4209190852604365E-3</c:v>
                </c:pt>
                <c:pt idx="91">
                  <c:v>2.4806877893829515E-2</c:v>
                </c:pt>
                <c:pt idx="92">
                  <c:v>-5.7455517995049554E-2</c:v>
                </c:pt>
                <c:pt idx="93">
                  <c:v>-4.1495195362550419E-2</c:v>
                </c:pt>
                <c:pt idx="94">
                  <c:v>-2.0416127112480531E-2</c:v>
                </c:pt>
                <c:pt idx="95">
                  <c:v>3.033884454061031E-2</c:v>
                </c:pt>
                <c:pt idx="96">
                  <c:v>8.7032091921406263E-3</c:v>
                </c:pt>
                <c:pt idx="97">
                  <c:v>-5.3306917927000264E-2</c:v>
                </c:pt>
                <c:pt idx="98">
                  <c:v>7.0967490883298012E-3</c:v>
                </c:pt>
                <c:pt idx="99">
                  <c:v>-3.3333552312139858E-2</c:v>
                </c:pt>
                <c:pt idx="100">
                  <c:v>-5.0432167732640032E-2</c:v>
                </c:pt>
                <c:pt idx="101">
                  <c:v>-8.5911579111670022E-2</c:v>
                </c:pt>
                <c:pt idx="102">
                  <c:v>-6.5244366803149489E-2</c:v>
                </c:pt>
                <c:pt idx="103">
                  <c:v>-1.4783647336059857E-2</c:v>
                </c:pt>
                <c:pt idx="104">
                  <c:v>-8.5044424806399732E-3</c:v>
                </c:pt>
                <c:pt idx="105">
                  <c:v>1.5614146984201938E-3</c:v>
                </c:pt>
                <c:pt idx="106">
                  <c:v>-2.0270883708230159E-2</c:v>
                </c:pt>
                <c:pt idx="107">
                  <c:v>-1.1919248452779918E-2</c:v>
                </c:pt>
                <c:pt idx="108">
                  <c:v>-3.8027205327050062E-2</c:v>
                </c:pt>
                <c:pt idx="109">
                  <c:v>-3.9760934987439711E-2</c:v>
                </c:pt>
                <c:pt idx="110">
                  <c:v>-8.0175418638599893E-2</c:v>
                </c:pt>
                <c:pt idx="111">
                  <c:v>-5.0957003322950278E-2</c:v>
                </c:pt>
                <c:pt idx="112">
                  <c:v>-1.7112678294539663E-2</c:v>
                </c:pt>
                <c:pt idx="113">
                  <c:v>1.3535100207220374E-2</c:v>
                </c:pt>
                <c:pt idx="114">
                  <c:v>-2.3664920005749934E-2</c:v>
                </c:pt>
                <c:pt idx="115">
                  <c:v>-2.9214608730990577E-2</c:v>
                </c:pt>
                <c:pt idx="116">
                  <c:v>-3.3595503124099757E-2</c:v>
                </c:pt>
                <c:pt idx="117">
                  <c:v>-9.7250158357802263E-3</c:v>
                </c:pt>
                <c:pt idx="118">
                  <c:v>-2.487239186111001E-2</c:v>
                </c:pt>
                <c:pt idx="119">
                  <c:v>2.1173458081300112E-2</c:v>
                </c:pt>
                <c:pt idx="120">
                  <c:v>-1.7119303594330226E-2</c:v>
                </c:pt>
                <c:pt idx="121">
                  <c:v>1.4922816753359491E-2</c:v>
                </c:pt>
                <c:pt idx="122">
                  <c:v>-8.8759746539706086E-3</c:v>
                </c:pt>
                <c:pt idx="123">
                  <c:v>-1.5608699914209545E-2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753088"/>
        <c:axId val="343754624"/>
      </c:barChart>
      <c:dateAx>
        <c:axId val="34375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43754624"/>
        <c:crosses val="autoZero"/>
        <c:auto val="1"/>
        <c:lblOffset val="100"/>
        <c:baseTimeUnit val="months"/>
        <c:majorUnit val="6"/>
        <c:majorTimeUnit val="months"/>
      </c:dateAx>
      <c:valAx>
        <c:axId val="3437546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43753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5</xdr:row>
      <xdr:rowOff>77259</xdr:rowOff>
    </xdr:from>
    <xdr:to>
      <xdr:col>23</xdr:col>
      <xdr:colOff>47626</xdr:colOff>
      <xdr:row>7</xdr:row>
      <xdr:rowOff>81069</xdr:rowOff>
    </xdr:to>
    <xdr:sp macro="[1]!CreatePDFReport" textlink="">
      <xdr:nvSpPr>
        <xdr:cNvPr id="3" name="Rounded Rectangle 2"/>
        <xdr:cNvSpPr/>
      </xdr:nvSpPr>
      <xdr:spPr>
        <a:xfrm>
          <a:off x="19156893" y="871009"/>
          <a:ext cx="1380066" cy="32131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25399</xdr:colOff>
      <xdr:row>27</xdr:row>
      <xdr:rowOff>151340</xdr:rowOff>
    </xdr:from>
    <xdr:to>
      <xdr:col>10</xdr:col>
      <xdr:colOff>169332</xdr:colOff>
      <xdr:row>31</xdr:row>
      <xdr:rowOff>42333</xdr:rowOff>
    </xdr:to>
    <xdr:sp macro="" textlink="">
      <xdr:nvSpPr>
        <xdr:cNvPr id="9" name="TextBox 8"/>
        <xdr:cNvSpPr txBox="1"/>
      </xdr:nvSpPr>
      <xdr:spPr>
        <a:xfrm>
          <a:off x="1253066" y="4437590"/>
          <a:ext cx="8525933" cy="525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Note: </a:t>
          </a:r>
          <a:r>
            <a:rPr lang="en-US" sz="900"/>
            <a:t>Big Bank Lenders:           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Citi, Chase ,</a:t>
          </a:r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CWB, SunTrust, PNC, Wachovia</a:t>
          </a:r>
        </a:p>
        <a:p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Big Non-Bank Lenders:  Quicken, Green Tree Servicing, Flagstar, Pingora, Franklin american, Freedom, Nationstar, Guild, Homestreet, Roundpoint</a:t>
          </a:r>
        </a:p>
        <a:p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Small Lenders:                 All Others</a:t>
          </a:r>
          <a:endParaRPr lang="en-US" sz="900"/>
        </a:p>
      </xdr:txBody>
    </xdr:sp>
    <xdr:clientData/>
  </xdr:twoCellAnchor>
  <xdr:twoCellAnchor>
    <xdr:from>
      <xdr:col>1</xdr:col>
      <xdr:colOff>507999</xdr:colOff>
      <xdr:row>9</xdr:row>
      <xdr:rowOff>137583</xdr:rowOff>
    </xdr:from>
    <xdr:to>
      <xdr:col>15</xdr:col>
      <xdr:colOff>781049</xdr:colOff>
      <xdr:row>28</xdr:row>
      <xdr:rowOff>2116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507999</xdr:colOff>
      <xdr:row>31</xdr:row>
      <xdr:rowOff>42333</xdr:rowOff>
    </xdr:from>
    <xdr:to>
      <xdr:col>15</xdr:col>
      <xdr:colOff>781049</xdr:colOff>
      <xdr:row>40</xdr:row>
      <xdr:rowOff>156633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507999</xdr:colOff>
      <xdr:row>41</xdr:row>
      <xdr:rowOff>10584</xdr:rowOff>
    </xdr:from>
    <xdr:to>
      <xdr:col>15</xdr:col>
      <xdr:colOff>781049</xdr:colOff>
      <xdr:row>50</xdr:row>
      <xdr:rowOff>124884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654048</xdr:colOff>
      <xdr:row>27</xdr:row>
      <xdr:rowOff>155574</xdr:rowOff>
    </xdr:from>
    <xdr:to>
      <xdr:col>15</xdr:col>
      <xdr:colOff>592666</xdr:colOff>
      <xdr:row>31</xdr:row>
      <xdr:rowOff>46567</xdr:rowOff>
    </xdr:to>
    <xdr:sp macro="" textlink="">
      <xdr:nvSpPr>
        <xdr:cNvPr id="13" name="TextBox 12"/>
        <xdr:cNvSpPr txBox="1"/>
      </xdr:nvSpPr>
      <xdr:spPr>
        <a:xfrm>
          <a:off x="8993715" y="4441824"/>
          <a:ext cx="3854451" cy="525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Calculation based on Origination Note Rate for FNCL loans with </a:t>
          </a:r>
        </a:p>
        <a:p>
          <a:r>
            <a:rPr lang="en-US" sz="900"/>
            <a:t>FICO: 760 - 780; OLTV:</a:t>
          </a:r>
          <a:r>
            <a:rPr lang="en-US" sz="900" baseline="0"/>
            <a:t> 70 - 80;</a:t>
          </a:r>
        </a:p>
        <a:p>
          <a:r>
            <a:rPr lang="en-US" sz="900" baseline="0"/>
            <a:t>Loan Purpose: Refi; Occupancy Type: Owner</a:t>
          </a:r>
          <a:endParaRPr lang="en-US" sz="900"/>
        </a:p>
      </xdr:txBody>
    </xdr:sp>
    <xdr:clientData/>
  </xdr:twoCellAnchor>
  <xdr:twoCellAnchor>
    <xdr:from>
      <xdr:col>1</xdr:col>
      <xdr:colOff>129631</xdr:colOff>
      <xdr:row>31</xdr:row>
      <xdr:rowOff>185272</xdr:rowOff>
    </xdr:from>
    <xdr:to>
      <xdr:col>1</xdr:col>
      <xdr:colOff>502169</xdr:colOff>
      <xdr:row>38</xdr:row>
      <xdr:rowOff>163974</xdr:rowOff>
    </xdr:to>
    <xdr:sp macro="" textlink="">
      <xdr:nvSpPr>
        <xdr:cNvPr id="14" name="TextBox 3"/>
        <xdr:cNvSpPr txBox="1"/>
      </xdr:nvSpPr>
      <xdr:spPr>
        <a:xfrm rot="10800000">
          <a:off x="743464" y="5106522"/>
          <a:ext cx="372538" cy="1312202"/>
        </a:xfrm>
        <a:prstGeom prst="rect">
          <a:avLst/>
        </a:prstGeom>
        <a:noFill/>
      </xdr:spPr>
      <xdr:txBody>
        <a:bodyPr vert="eaVert" wrap="square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1pPr>
          <a:lvl2pPr marL="507526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2pPr>
          <a:lvl3pPr marL="1016818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3pPr>
          <a:lvl4pPr marL="1526111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4pPr>
          <a:lvl5pPr marL="2035405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5pPr>
          <a:lvl6pPr marL="2546466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6pPr>
          <a:lvl7pPr marL="3055758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7pPr>
          <a:lvl8pPr marL="3565052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8pPr>
          <a:lvl9pPr marL="4074344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9pPr>
        </a:lstStyle>
        <a:p>
          <a:pPr algn="ctr"/>
          <a:r>
            <a:rPr lang="en-US" sz="1200" b="1">
              <a:latin typeface="+mn-lt"/>
            </a:rPr>
            <a:t>Bank vs Non-Bank</a:t>
          </a:r>
        </a:p>
      </xdr:txBody>
    </xdr:sp>
    <xdr:clientData/>
  </xdr:twoCellAnchor>
  <xdr:twoCellAnchor>
    <xdr:from>
      <xdr:col>1</xdr:col>
      <xdr:colOff>129631</xdr:colOff>
      <xdr:row>41</xdr:row>
      <xdr:rowOff>163030</xdr:rowOff>
    </xdr:from>
    <xdr:to>
      <xdr:col>1</xdr:col>
      <xdr:colOff>502169</xdr:colOff>
      <xdr:row>48</xdr:row>
      <xdr:rowOff>141732</xdr:rowOff>
    </xdr:to>
    <xdr:sp macro="" textlink="">
      <xdr:nvSpPr>
        <xdr:cNvPr id="15" name="TextBox 3"/>
        <xdr:cNvSpPr txBox="1"/>
      </xdr:nvSpPr>
      <xdr:spPr>
        <a:xfrm rot="10800000">
          <a:off x="743464" y="6989280"/>
          <a:ext cx="372538" cy="1312202"/>
        </a:xfrm>
        <a:prstGeom prst="rect">
          <a:avLst/>
        </a:prstGeom>
        <a:noFill/>
      </xdr:spPr>
      <xdr:txBody>
        <a:bodyPr vert="eaVert" wrap="square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1pPr>
          <a:lvl2pPr marL="507526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2pPr>
          <a:lvl3pPr marL="1016818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3pPr>
          <a:lvl4pPr marL="1526111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4pPr>
          <a:lvl5pPr marL="2035405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5pPr>
          <a:lvl6pPr marL="2546466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6pPr>
          <a:lvl7pPr marL="3055758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7pPr>
          <a:lvl8pPr marL="3565052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8pPr>
          <a:lvl9pPr marL="4074344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9pPr>
        </a:lstStyle>
        <a:p>
          <a:pPr algn="ctr"/>
          <a:r>
            <a:rPr lang="en-US" sz="1200" b="1">
              <a:latin typeface="+mn-lt"/>
            </a:rPr>
            <a:t>Big Bank vs Small</a:t>
          </a:r>
        </a:p>
      </xdr:txBody>
    </xdr:sp>
    <xdr:clientData/>
  </xdr:twoCellAnchor>
  <xdr:twoCellAnchor>
    <xdr:from>
      <xdr:col>1</xdr:col>
      <xdr:colOff>129630</xdr:colOff>
      <xdr:row>13</xdr:row>
      <xdr:rowOff>47690</xdr:rowOff>
    </xdr:from>
    <xdr:to>
      <xdr:col>1</xdr:col>
      <xdr:colOff>502168</xdr:colOff>
      <xdr:row>21</xdr:row>
      <xdr:rowOff>89892</xdr:rowOff>
    </xdr:to>
    <xdr:sp macro="" textlink="">
      <xdr:nvSpPr>
        <xdr:cNvPr id="16" name="TextBox 3"/>
        <xdr:cNvSpPr txBox="1"/>
      </xdr:nvSpPr>
      <xdr:spPr>
        <a:xfrm rot="10800000">
          <a:off x="743463" y="2111440"/>
          <a:ext cx="372538" cy="1312202"/>
        </a:xfrm>
        <a:prstGeom prst="rect">
          <a:avLst/>
        </a:prstGeom>
        <a:noFill/>
      </xdr:spPr>
      <xdr:txBody>
        <a:bodyPr vert="eaVert" wrap="square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1pPr>
          <a:lvl2pPr marL="507526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2pPr>
          <a:lvl3pPr marL="1016818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3pPr>
          <a:lvl4pPr marL="1526111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4pPr>
          <a:lvl5pPr marL="2035405" indent="176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5pPr>
          <a:lvl6pPr marL="2546466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6pPr>
          <a:lvl7pPr marL="3055758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7pPr>
          <a:lvl8pPr marL="3565052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8pPr>
          <a:lvl9pPr marL="4074344" algn="l" defTabSz="1018586" rtl="0" eaLnBrk="1" latinLnBrk="0" hangingPunct="1">
            <a:defRPr kern="1200">
              <a:solidFill>
                <a:schemeClr val="tx1"/>
              </a:solidFill>
              <a:latin typeface="Cambria" pitchFamily="18" charset="0"/>
              <a:ea typeface="+mn-ea"/>
              <a:cs typeface="+mn-cs"/>
            </a:defRPr>
          </a:lvl9pPr>
        </a:lstStyle>
        <a:p>
          <a:pPr algn="ctr"/>
          <a:r>
            <a:rPr lang="en-US" sz="1200" b="1">
              <a:latin typeface="+mn-lt"/>
            </a:rPr>
            <a:t>Historical Changes</a:t>
          </a:r>
        </a:p>
      </xdr:txBody>
    </xdr:sp>
    <xdr:clientData/>
  </xdr:twoCellAnchor>
  <xdr:twoCellAnchor>
    <xdr:from>
      <xdr:col>1</xdr:col>
      <xdr:colOff>446617</xdr:colOff>
      <xdr:row>10</xdr:row>
      <xdr:rowOff>105833</xdr:rowOff>
    </xdr:from>
    <xdr:to>
      <xdr:col>1</xdr:col>
      <xdr:colOff>446617</xdr:colOff>
      <xdr:row>24</xdr:row>
      <xdr:rowOff>31750</xdr:rowOff>
    </xdr:to>
    <xdr:cxnSp macro="">
      <xdr:nvCxnSpPr>
        <xdr:cNvPr id="18" name="Straight Connector 17"/>
        <xdr:cNvCxnSpPr/>
      </xdr:nvCxnSpPr>
      <xdr:spPr>
        <a:xfrm flipH="1">
          <a:off x="1060450" y="1693333"/>
          <a:ext cx="0" cy="2148417"/>
        </a:xfrm>
        <a:prstGeom prst="line">
          <a:avLst/>
        </a:prstGeom>
        <a:ln w="1905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446617</xdr:colOff>
      <xdr:row>31</xdr:row>
      <xdr:rowOff>155573</xdr:rowOff>
    </xdr:from>
    <xdr:to>
      <xdr:col>1</xdr:col>
      <xdr:colOff>446617</xdr:colOff>
      <xdr:row>39</xdr:row>
      <xdr:rowOff>3173</xdr:rowOff>
    </xdr:to>
    <xdr:cxnSp macro="">
      <xdr:nvCxnSpPr>
        <xdr:cNvPr id="20" name="Straight Connector 19"/>
        <xdr:cNvCxnSpPr/>
      </xdr:nvCxnSpPr>
      <xdr:spPr>
        <a:xfrm flipH="1">
          <a:off x="1060450" y="5076823"/>
          <a:ext cx="0" cy="1371600"/>
        </a:xfrm>
        <a:prstGeom prst="line">
          <a:avLst/>
        </a:prstGeom>
        <a:ln w="1905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446617</xdr:colOff>
      <xdr:row>41</xdr:row>
      <xdr:rowOff>133331</xdr:rowOff>
    </xdr:from>
    <xdr:to>
      <xdr:col>1</xdr:col>
      <xdr:colOff>446617</xdr:colOff>
      <xdr:row>48</xdr:row>
      <xdr:rowOff>171431</xdr:rowOff>
    </xdr:to>
    <xdr:cxnSp macro="">
      <xdr:nvCxnSpPr>
        <xdr:cNvPr id="22" name="Straight Connector 21"/>
        <xdr:cNvCxnSpPr/>
      </xdr:nvCxnSpPr>
      <xdr:spPr>
        <a:xfrm flipH="1">
          <a:off x="1060450" y="6959581"/>
          <a:ext cx="0" cy="1371600"/>
        </a:xfrm>
        <a:prstGeom prst="line">
          <a:avLst/>
        </a:prstGeom>
        <a:ln w="1905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161924</xdr:rowOff>
    </xdr:from>
    <xdr:to>
      <xdr:col>33</xdr:col>
      <xdr:colOff>352425</xdr:colOff>
      <xdr:row>19</xdr:row>
      <xdr:rowOff>76199</xdr:rowOff>
    </xdr:to>
    <xdr:sp macro="" textlink="">
      <xdr:nvSpPr>
        <xdr:cNvPr id="2" name="TextBox 1"/>
        <xdr:cNvSpPr txBox="1"/>
      </xdr:nvSpPr>
      <xdr:spPr>
        <a:xfrm>
          <a:off x="14925675" y="161924"/>
          <a:ext cx="9201150" cy="3533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---------------------------------Mortgage Rate for Small Lenders---------------------------</a:t>
          </a:r>
        </a:p>
        <a:p>
          <a:r>
            <a:rPr lang="en-US" sz="1100"/>
            <a:t>select calcOrigMonth_LL,  </a:t>
          </a:r>
        </a:p>
        <a:p>
          <a:r>
            <a:rPr lang="en-US" sz="1100"/>
            <a:t>       sum(origNoteRate * originalLoanAmount)/sum(originalLoanAmount) WANoteRate</a:t>
          </a:r>
        </a:p>
        <a:p>
          <a:r>
            <a:rPr lang="en-US" sz="1100"/>
            <a:t>from fnm.cello_loan</a:t>
          </a:r>
        </a:p>
        <a:p>
          <a:r>
            <a:rPr lang="en-US" sz="1100"/>
            <a:t>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</a:t>
          </a:r>
        </a:p>
        <a:p>
          <a:r>
            <a:rPr lang="en-US" sz="1100"/>
            <a:t>and marketTicker in ('FNCL')</a:t>
          </a:r>
        </a:p>
        <a:p>
          <a:r>
            <a:rPr lang="en-US" sz="1100"/>
            <a:t>and origNoteRate &gt; 0</a:t>
          </a:r>
        </a:p>
        <a:p>
          <a:r>
            <a:rPr lang="en-US" sz="1100"/>
            <a:t>and originalLoanAmount &gt; 0</a:t>
          </a:r>
        </a:p>
        <a:p>
          <a:r>
            <a:rPr lang="en-US" sz="1100"/>
            <a:t>and cs &gt;= 700</a:t>
          </a:r>
        </a:p>
        <a:p>
          <a:r>
            <a:rPr lang="en-US" sz="1100"/>
            <a:t>and cs &lt;= 740</a:t>
          </a:r>
        </a:p>
        <a:p>
          <a:r>
            <a:rPr lang="en-US" sz="1100"/>
            <a:t>and origLTV &gt;= 70</a:t>
          </a:r>
        </a:p>
        <a:p>
          <a:r>
            <a:rPr lang="en-US" sz="1100"/>
            <a:t>and origLTV &lt;= 80</a:t>
          </a:r>
        </a:p>
        <a:p>
          <a:r>
            <a:rPr lang="en-US" sz="1100"/>
            <a:t>and loanPurposeType = 'RE-FI'</a:t>
          </a:r>
        </a:p>
        <a:p>
          <a:r>
            <a:rPr lang="en-US" sz="1100"/>
            <a:t>and occType = 'OWNER'</a:t>
          </a:r>
        </a:p>
        <a:p>
          <a:r>
            <a:rPr lang="en-US" sz="1100"/>
            <a:t>and propertyType = 'SF'</a:t>
          </a:r>
        </a:p>
        <a:p>
          <a:r>
            <a:rPr lang="en-US" sz="1100"/>
            <a:t>and calcOrigMonth_LL &gt;= 200501</a:t>
          </a:r>
        </a:p>
        <a:p>
          <a:r>
            <a:rPr lang="en-US" sz="1100"/>
            <a:t>group by calcOrigMonth_LL</a:t>
          </a:r>
        </a:p>
        <a:p>
          <a:r>
            <a:rPr lang="en-US" sz="1100"/>
            <a:t>order by calcOrigMonth_LL desc</a:t>
          </a:r>
        </a:p>
      </xdr:txBody>
    </xdr:sp>
    <xdr:clientData/>
  </xdr:twoCellAnchor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ien%20Workspace\12.Primary%20Market%20Package\1.Daily%20Originator%20Mortgage%20Rate\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5">
    <queryTableFields count="7">
      <queryTableField id="69" name="calcOrigMonth_LL" tableColumnId="1"/>
      <queryTableField id="70" name="WANoteRate" tableColumnId="2"/>
      <queryTableField id="63" dataBound="0" tableColumnId="3"/>
      <queryTableField id="64" dataBound="0" tableColumnId="4"/>
      <queryTableField id="65" dataBound="0" tableColumnId="5"/>
      <queryTableField id="66" dataBound="0" tableColumnId="6"/>
      <queryTableField id="67" dataBound="0" tableColumnId="7"/>
    </queryTableFields>
  </queryTableRefresh>
</queryTable>
</file>

<file path=xl/queryTables/queryTable2.xml><?xml version="1.0" encoding="utf-8"?>
<queryTable xmlns="http://schemas.openxmlformats.org/spreadsheetml/2006/main" name="Query from Agency_10" backgroundRefresh="0" adjustColumnWidth="0" connectionId="8" autoFormatId="16" applyNumberFormats="0" applyBorderFormats="0" applyFontFormats="0" applyPatternFormats="0" applyAlignmentFormats="0" applyWidthHeightFormats="0">
  <queryTableRefresh nextId="65">
    <queryTableFields count="2">
      <queryTableField id="63" name="calcOrigMonth_LL" tableColumnId="1"/>
      <queryTableField id="64" name="WANoteRate" tableColumnId="2"/>
    </queryTable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2" autoFormatId="16" applyNumberFormats="0" applyBorderFormats="0" applyFontFormats="0" applyPatternFormats="0" applyAlignmentFormats="0" applyWidthHeightFormats="0">
  <queryTableRefresh nextId="67" unboundColumnsRight="2">
    <queryTableFields count="4">
      <queryTableField id="63" name="calcOrigMonth_LL" tableColumnId="1"/>
      <queryTableField id="64" name="WANoteRate" tableColumnId="2"/>
      <queryTableField id="65" dataBound="0" tableColumnId="3"/>
      <queryTableField id="66" dataBound="0" tableColumnId="4"/>
    </queryTableFields>
  </queryTableRefresh>
</queryTable>
</file>

<file path=xl/queryTables/queryTable4.xml><?xml version="1.0" encoding="utf-8"?>
<queryTable xmlns="http://schemas.openxmlformats.org/spreadsheetml/2006/main" name="temp_1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2" connectionId="1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_3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" displayName="CurrentMtgRatesDataTable82" ref="B3:H129" tableType="queryTable" totalsRowShown="0" headerRowDxfId="18" dataDxfId="17">
  <tableColumns count="7">
    <tableColumn id="1" uniqueName="1" name="calcOrigMonth_LL" queryTableFieldId="69" dataDxfId="12"/>
    <tableColumn id="2" uniqueName="2" name="WANoteRate" queryTableFieldId="70" dataDxfId="11"/>
    <tableColumn id="3" uniqueName="3" name="Big Non-Bank Lender" queryTableFieldId="63" dataDxfId="10">
      <calculatedColumnFormula>VLOOKUP(CurrentMtgRatesDataTable82[[#This Row],[calcOrigMonth_LL]],N:O,2,0)</calculatedColumnFormula>
    </tableColumn>
    <tableColumn id="4" uniqueName="4" name="Small Lender" queryTableFieldId="64" dataDxfId="9">
      <calculatedColumnFormula>VLOOKUP(CurrentMtgRatesDataTable82[[#This Row],[calcOrigMonth_LL]],K:L,2,0)</calculatedColumnFormula>
    </tableColumn>
    <tableColumn id="5" uniqueName="5" name="1-2" queryTableFieldId="65" dataDxfId="8">
      <calculatedColumnFormula>CurrentMtgRatesDataTable82[[#This Row],[WANoteRate]]-CurrentMtgRatesDataTable82[[#This Row],[Big Non-Bank Lender]]</calculatedColumnFormula>
    </tableColumn>
    <tableColumn id="6" uniqueName="6" name="1-3" queryTableFieldId="66" dataDxfId="7">
      <calculatedColumnFormula>CurrentMtgRatesDataTable82[[#This Row],[WANoteRate]]-CurrentMtgRatesDataTable82[[#This Row],[Small Lender]]</calculatedColumnFormula>
    </tableColumn>
    <tableColumn id="7" uniqueName="7" name="2-3" queryTableFieldId="67" dataDxfId="6">
      <calculatedColumnFormula>CurrentMtgRatesDataTable82[[#This Row],[Big Non-Bank Lender]]-CurrentMtgRatesDataTable82[[#This Row],[Small Lender]]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CurrentMtgRatesDataTable8234" displayName="CurrentMtgRatesDataTable8234" ref="K3:L129" tableType="queryTable" totalsRowShown="0" headerRowDxfId="16" dataDxfId="15">
  <tableColumns count="2">
    <tableColumn id="1" uniqueName="1" name="calcOrigMonth_LL" queryTableFieldId="63" dataDxfId="1"/>
    <tableColumn id="2" uniqueName="2" name="WANoteRate" queryTableFieldId="64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CurrentMtgRatesDataTable82345" displayName="CurrentMtgRatesDataTable82345" ref="N3:Q129" tableType="queryTable" totalsRowShown="0" headerRowDxfId="14" dataDxfId="13">
  <tableColumns count="4">
    <tableColumn id="1" uniqueName="1" name="calcOrigMonth_LL" queryTableFieldId="63" dataDxfId="5"/>
    <tableColumn id="2" uniqueName="2" name="WANoteRate" queryTableFieldId="64" dataDxfId="4"/>
    <tableColumn id="3" uniqueName="3" name="1-2" queryTableFieldId="65" dataDxfId="3">
      <calculatedColumnFormula>VLOOKUP(CurrentMtgRatesDataTable82345[[#This Row],[calcOrigMonth_LL]],B:H,5,0)</calculatedColumnFormula>
    </tableColumn>
    <tableColumn id="4" uniqueName="4" name="1-3" queryTableFieldId="66" dataDxfId="2">
      <calculatedColumnFormula>VLOOKUP(CurrentMtgRatesDataTable82345[[#This Row],[calcOrigMonth_LL]],B:G,6,0)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2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101"/>
  <sheetViews>
    <sheetView showGridLines="0" tabSelected="1" zoomScaleNormal="100" workbookViewId="0">
      <selection activeCell="F6" sqref="F6"/>
    </sheetView>
  </sheetViews>
  <sheetFormatPr defaultRowHeight="12.75"/>
  <cols>
    <col min="1" max="1" width="9.140625" style="8" customWidth="1"/>
    <col min="2" max="2" width="9.140625" style="8"/>
    <col min="3" max="3" width="24.42578125" style="8" bestFit="1" customWidth="1"/>
    <col min="4" max="18" width="11.7109375" style="8" customWidth="1"/>
    <col min="19" max="19" width="9.140625" style="8"/>
    <col min="20" max="20" width="14.140625" style="8" customWidth="1"/>
    <col min="21" max="21" width="40.85546875" style="8" bestFit="1" customWidth="1"/>
    <col min="22" max="22" width="14.85546875" style="8" bestFit="1" customWidth="1"/>
    <col min="23" max="16384" width="9.140625" style="8"/>
  </cols>
  <sheetData>
    <row r="1" spans="3:23">
      <c r="T1" s="4" t="s">
        <v>0</v>
      </c>
      <c r="U1" s="5" t="s">
        <v>1</v>
      </c>
      <c r="V1" s="8" t="s">
        <v>2</v>
      </c>
      <c r="W1" s="5" t="s">
        <v>3</v>
      </c>
    </row>
    <row r="2" spans="3:23">
      <c r="T2" s="4" t="s">
        <v>4</v>
      </c>
      <c r="U2" s="6">
        <v>42173</v>
      </c>
    </row>
    <row r="3" spans="3:23">
      <c r="T3" s="4" t="s">
        <v>8</v>
      </c>
      <c r="U3" s="17" t="s">
        <v>10</v>
      </c>
    </row>
    <row r="4" spans="3:23">
      <c r="T4" s="4" t="s">
        <v>5</v>
      </c>
      <c r="U4" s="5" t="str">
        <f>PDFReportDir&amp;"Mortgage Rate Difference Between Big Lenders and Small Lenders " &amp; TEXT(CurrentCloseDate, "yyyy-mm-dd") &amp; ".pdf"</f>
        <v>S:\IT\Production\Daily Reports\Primary Market\tmp\Mortgage Rate Difference Between Big Lenders and Small Lenders 2015-06-18.pdf</v>
      </c>
    </row>
    <row r="5" spans="3:23">
      <c r="T5" s="9"/>
    </row>
    <row r="6" spans="3:23">
      <c r="T6" s="9"/>
    </row>
    <row r="9" spans="3:23" s="10" customFormat="1">
      <c r="C9" s="8"/>
      <c r="D9" s="8"/>
      <c r="E9" s="8"/>
      <c r="F9" s="8"/>
      <c r="G9" s="8"/>
      <c r="H9" s="8"/>
      <c r="I9" s="8"/>
      <c r="J9" s="8"/>
      <c r="K9" s="8"/>
      <c r="L9" s="8"/>
      <c r="M9" s="8"/>
      <c r="Q9" s="8"/>
      <c r="R9" s="8"/>
      <c r="T9" s="10" t="s">
        <v>6</v>
      </c>
      <c r="U9" s="15">
        <f>IF(DAY(CurrentCloseDate)&lt;7,(CurrentCloseDate-DAY(CurrentCloseDate))-DAY((CurrentCloseDate-DAY(CurrentCloseDate)))+1,CurrentCloseDate-DAY(CurrentCloseDate)+1)</f>
        <v>42156</v>
      </c>
    </row>
    <row r="10" spans="3:23" s="11" customFormat="1"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Q10" s="8"/>
      <c r="R10" s="8"/>
      <c r="T10" s="11" t="s">
        <v>7</v>
      </c>
      <c r="U10" s="16">
        <f>(U9-1)-DAY((U9-1))+1</f>
        <v>42125</v>
      </c>
    </row>
    <row r="11" spans="3:23" s="11" customFormat="1"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Q11" s="8"/>
      <c r="R11" s="8"/>
    </row>
    <row r="12" spans="3:23" s="11" customFormat="1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Q12" s="8"/>
      <c r="R12" s="8"/>
      <c r="T12" s="11" t="s">
        <v>9</v>
      </c>
      <c r="U12" s="16">
        <v>37773</v>
      </c>
    </row>
    <row r="13" spans="3:23" s="11" customFormat="1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Q13" s="8"/>
      <c r="R13" s="8"/>
    </row>
    <row r="14" spans="3:23" s="11" customFormat="1"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Q14" s="8"/>
      <c r="R14" s="8"/>
    </row>
    <row r="15" spans="3:23" s="11" customFormat="1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Q15" s="8"/>
      <c r="R15" s="8"/>
    </row>
    <row r="16" spans="3:23" s="11" customFormat="1"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Q16" s="8"/>
      <c r="R16" s="8"/>
    </row>
    <row r="17" spans="3:18" s="11" customFormat="1"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Q17" s="8"/>
      <c r="R17" s="8"/>
    </row>
    <row r="18" spans="3:18" s="11" customFormat="1"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Q18" s="8"/>
      <c r="R18" s="8"/>
    </row>
    <row r="19" spans="3:18" s="11" customFormat="1"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Q19" s="8"/>
      <c r="R19" s="8"/>
    </row>
    <row r="20" spans="3:18" s="11" customFormat="1"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Q20" s="8"/>
      <c r="R20" s="8"/>
    </row>
    <row r="21" spans="3:18" s="11" customFormat="1"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Q21" s="8"/>
      <c r="R21" s="8"/>
    </row>
    <row r="32" spans="3:18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spans="3:15" customFormat="1" ht="15"/>
    <row r="50" spans="3:15" customFormat="1" ht="15"/>
    <row r="51" spans="3:15" customFormat="1" ht="15"/>
    <row r="52" spans="3:15" customFormat="1" ht="15">
      <c r="C52" s="7" t="s">
        <v>23</v>
      </c>
    </row>
    <row r="53" spans="3:15" customFormat="1" ht="15">
      <c r="C53" s="27"/>
      <c r="D53" s="28">
        <f>Query!$N$4</f>
        <v>201506</v>
      </c>
      <c r="E53" s="28">
        <f>Query!$N$5</f>
        <v>201505</v>
      </c>
      <c r="F53" s="28">
        <f>Query!$N$6</f>
        <v>201504</v>
      </c>
      <c r="G53" s="28">
        <f>Query!$N$8</f>
        <v>201502</v>
      </c>
      <c r="H53" s="28">
        <f>Query!$N$9</f>
        <v>201501</v>
      </c>
      <c r="I53" s="28">
        <f>Query!$N$10</f>
        <v>201412</v>
      </c>
      <c r="J53" s="28">
        <f>Query!$N$11</f>
        <v>201411</v>
      </c>
      <c r="K53" s="28">
        <f>Query!$N$12</f>
        <v>201410</v>
      </c>
      <c r="L53" s="28">
        <f>Query!$N$13</f>
        <v>201409</v>
      </c>
      <c r="M53" s="28">
        <f>Query!$N$14</f>
        <v>201408</v>
      </c>
      <c r="N53" s="28">
        <f>Query!$N$15</f>
        <v>201407</v>
      </c>
      <c r="O53" s="28">
        <f>Query!$N$16</f>
        <v>201406</v>
      </c>
    </row>
    <row r="54" spans="3:15" customFormat="1" ht="15">
      <c r="C54" s="26" t="s">
        <v>21</v>
      </c>
      <c r="D54" s="29">
        <f>VLOOKUP(D53,Query!$N:$Q,3,0)*100</f>
        <v>3.9263040099685842</v>
      </c>
      <c r="E54" s="29">
        <f>VLOOKUP(E53,Query!$N:$Q,3,0)*100</f>
        <v>0.38645743495240303</v>
      </c>
      <c r="F54" s="29">
        <f>VLOOKUP(F53,Query!$N:$Q,3,0)*100</f>
        <v>-1.7923477242734798</v>
      </c>
      <c r="G54" s="29">
        <f>VLOOKUP(G53,Query!$N:$Q,3,0)*100</f>
        <v>-0.28516157160538569</v>
      </c>
      <c r="H54" s="29">
        <f>VLOOKUP(H53,Query!$N:$Q,3,0)*100</f>
        <v>-0.17742276719534544</v>
      </c>
      <c r="I54" s="29">
        <f>VLOOKUP(I53,Query!$N:$Q,3,0)*100</f>
        <v>-3.531391788811522</v>
      </c>
      <c r="J54" s="29">
        <f>VLOOKUP(J53,Query!$N:$Q,3,0)*100</f>
        <v>-3.9729226798320916</v>
      </c>
      <c r="K54" s="29">
        <f>VLOOKUP(K53,Query!$N:$Q,3,0)*100</f>
        <v>-2.7563085990053082</v>
      </c>
      <c r="L54" s="29">
        <f>VLOOKUP(L53,Query!$N:$Q,3,0)*100</f>
        <v>-2.5994095143056839</v>
      </c>
      <c r="M54" s="29">
        <f>VLOOKUP(M53,Query!$N:$Q,3,0)*100</f>
        <v>-0.2240786105978998</v>
      </c>
      <c r="N54" s="29">
        <f>VLOOKUP(N53,Query!$N:$Q,3,0)*100</f>
        <v>-4.0820468548054656</v>
      </c>
      <c r="O54" s="29">
        <f>VLOOKUP(O53,Query!$N:$Q,3,0)*100</f>
        <v>-0.69708521277105362</v>
      </c>
    </row>
    <row r="55" spans="3:15" customFormat="1" ht="15">
      <c r="C55" s="26" t="s">
        <v>22</v>
      </c>
      <c r="D55" s="29">
        <f>VLOOKUP(D53,Query!$N:$Q,4,0)*100</f>
        <v>11.367270705870247</v>
      </c>
      <c r="E55" s="29">
        <f>VLOOKUP(E53,Query!$N:$Q,4,0)*100</f>
        <v>8.9722936296702027</v>
      </c>
      <c r="F55" s="29">
        <f>VLOOKUP(F53,Query!$N:$Q,4,0)*100</f>
        <v>8.3048269024857735</v>
      </c>
      <c r="G55" s="29">
        <f>VLOOKUP(G53,Query!$N:$Q,4,0)*100</f>
        <v>12.327936671788109</v>
      </c>
      <c r="H55" s="29">
        <f>VLOOKUP(H53,Query!$N:$Q,4,0)*100</f>
        <v>10.475785737213794</v>
      </c>
      <c r="I55" s="29">
        <f>VLOOKUP(I53,Query!$N:$Q,4,0)*100</f>
        <v>4.8152116980491932</v>
      </c>
      <c r="J55" s="29">
        <f>VLOOKUP(J53,Query!$N:$Q,4,0)*100</f>
        <v>8.249963681901562</v>
      </c>
      <c r="K55" s="29">
        <f>VLOOKUP(K53,Query!$N:$Q,4,0)*100</f>
        <v>5.5683295126529586</v>
      </c>
      <c r="L55" s="29">
        <f>VLOOKUP(L53,Query!$N:$Q,4,0)*100</f>
        <v>8.7079732012623978</v>
      </c>
      <c r="M55" s="29">
        <f>VLOOKUP(M53,Query!$N:$Q,4,0)*100</f>
        <v>7.9235799347749492</v>
      </c>
      <c r="N55" s="29">
        <f>VLOOKUP(N53,Query!$N:$Q,4,0)*100</f>
        <v>6.9105511365265215</v>
      </c>
      <c r="O55" s="29">
        <f>VLOOKUP(O53,Query!$N:$Q,4,0)*100</f>
        <v>8.8661879924610609</v>
      </c>
    </row>
    <row r="56" spans="3:15" customFormat="1" ht="15"/>
    <row r="57" spans="3:15" customFormat="1" ht="15"/>
    <row r="58" spans="3:15" customFormat="1" ht="15"/>
    <row r="59" spans="3:15" customFormat="1" ht="15"/>
    <row r="60" spans="3:15" customFormat="1" ht="15"/>
    <row r="61" spans="3:15" customFormat="1" ht="15"/>
    <row r="62" spans="3:15" customFormat="1" ht="15"/>
    <row r="63" spans="3:15" customFormat="1" ht="15"/>
    <row r="85" spans="2:17">
      <c r="P85" s="12"/>
      <c r="Q85" s="13"/>
    </row>
    <row r="86" spans="2:17">
      <c r="Q86" s="13"/>
    </row>
    <row r="87" spans="2:17" ht="15">
      <c r="B87"/>
      <c r="C87"/>
      <c r="D87"/>
      <c r="E87"/>
      <c r="F87"/>
      <c r="G87"/>
      <c r="Q87" s="13"/>
    </row>
    <row r="88" spans="2:17" ht="15">
      <c r="B88"/>
      <c r="C88"/>
      <c r="D88"/>
      <c r="E88"/>
      <c r="F88"/>
      <c r="G88"/>
      <c r="Q88" s="14"/>
    </row>
    <row r="89" spans="2:17" ht="15">
      <c r="B89"/>
      <c r="C89"/>
      <c r="D89"/>
      <c r="E89"/>
      <c r="F89"/>
      <c r="G89"/>
    </row>
    <row r="90" spans="2:17" ht="15">
      <c r="B90"/>
      <c r="C90"/>
      <c r="D90"/>
      <c r="E90"/>
      <c r="F90"/>
      <c r="G90"/>
    </row>
    <row r="91" spans="2:17" ht="15">
      <c r="B91"/>
      <c r="C91"/>
      <c r="D91"/>
      <c r="E91"/>
      <c r="F91"/>
      <c r="G91"/>
    </row>
    <row r="92" spans="2:17" ht="15">
      <c r="B92"/>
      <c r="C92"/>
      <c r="D92"/>
      <c r="E92"/>
      <c r="F92"/>
      <c r="G92"/>
    </row>
    <row r="93" spans="2:17" ht="15">
      <c r="B93"/>
      <c r="C93"/>
      <c r="D93"/>
      <c r="E93"/>
      <c r="F93"/>
      <c r="G93"/>
    </row>
    <row r="94" spans="2:17" ht="15">
      <c r="B94"/>
      <c r="C94"/>
      <c r="D94"/>
      <c r="E94"/>
      <c r="F94"/>
      <c r="G94"/>
    </row>
    <row r="95" spans="2:17" ht="15">
      <c r="B95"/>
      <c r="C95"/>
      <c r="D95"/>
      <c r="E95"/>
      <c r="F95"/>
      <c r="G95"/>
    </row>
    <row r="96" spans="2:17" ht="15">
      <c r="B96"/>
      <c r="C96"/>
      <c r="D96"/>
      <c r="E96"/>
      <c r="F96"/>
      <c r="G96"/>
    </row>
    <row r="97" spans="2:7" ht="15">
      <c r="B97"/>
      <c r="C97"/>
      <c r="D97"/>
      <c r="E97"/>
      <c r="F97"/>
      <c r="G97"/>
    </row>
    <row r="98" spans="2:7" ht="15">
      <c r="B98"/>
      <c r="C98"/>
      <c r="D98"/>
      <c r="E98"/>
      <c r="F98"/>
      <c r="G98"/>
    </row>
    <row r="99" spans="2:7" ht="15">
      <c r="B99"/>
      <c r="C99"/>
      <c r="D99"/>
      <c r="E99"/>
      <c r="F99"/>
      <c r="G99"/>
    </row>
    <row r="100" spans="2:7" ht="15">
      <c r="B100"/>
      <c r="C100"/>
      <c r="D100"/>
      <c r="E100"/>
      <c r="F100"/>
      <c r="G100"/>
    </row>
    <row r="101" spans="2:7" ht="15">
      <c r="B101"/>
      <c r="C101"/>
      <c r="D101"/>
      <c r="E101"/>
      <c r="F101"/>
      <c r="G101"/>
    </row>
  </sheetData>
  <conditionalFormatting sqref="D54:O54">
    <cfRule type="colorScale" priority="2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</conditionalFormatting>
  <conditionalFormatting sqref="D55:O55">
    <cfRule type="colorScale" priority="1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</conditionalFormatting>
  <dataValidations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71" orientation="landscape" horizontalDpi="1200" verticalDpi="1200" r:id="rId1"/>
  <headerFooter scaleWithDoc="0">
    <oddHeader>&amp;L&amp;G&amp;C&amp;"-,Bold"&amp;15&amp;K2E398A
Mortgage Rate Differences Between Large and Small Lenders&amp;R&amp;"-,Bold"&amp;10&amp;K2E398A
As of 06/18/2015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R129"/>
  <sheetViews>
    <sheetView showGridLines="0" workbookViewId="0">
      <selection activeCell="P3" sqref="P3"/>
    </sheetView>
  </sheetViews>
  <sheetFormatPr defaultRowHeight="15"/>
  <cols>
    <col min="17" max="17" width="8" customWidth="1"/>
  </cols>
  <sheetData>
    <row r="2" spans="2:17">
      <c r="B2" t="s">
        <v>11</v>
      </c>
      <c r="C2">
        <v>1</v>
      </c>
      <c r="D2">
        <v>2</v>
      </c>
      <c r="E2">
        <v>3</v>
      </c>
      <c r="K2" t="s">
        <v>13</v>
      </c>
      <c r="N2" t="s">
        <v>12</v>
      </c>
    </row>
    <row r="3" spans="2:17">
      <c r="B3" s="8" t="s">
        <v>20</v>
      </c>
      <c r="C3" s="8" t="s">
        <v>19</v>
      </c>
      <c r="D3" s="8" t="s">
        <v>14</v>
      </c>
      <c r="E3" s="8" t="s">
        <v>13</v>
      </c>
      <c r="F3" s="21" t="s">
        <v>15</v>
      </c>
      <c r="G3" s="22" t="s">
        <v>16</v>
      </c>
      <c r="H3" s="22" t="s">
        <v>17</v>
      </c>
      <c r="I3" s="22"/>
      <c r="K3" s="8" t="s">
        <v>20</v>
      </c>
      <c r="L3" s="8" t="s">
        <v>19</v>
      </c>
      <c r="N3" s="8" t="s">
        <v>20</v>
      </c>
      <c r="O3" s="8" t="s">
        <v>19</v>
      </c>
      <c r="P3" s="21" t="s">
        <v>15</v>
      </c>
      <c r="Q3" s="22" t="s">
        <v>16</v>
      </c>
    </row>
    <row r="4" spans="2:17">
      <c r="B4" s="25">
        <v>200501</v>
      </c>
      <c r="C4" s="20">
        <v>5.7271914654134264</v>
      </c>
      <c r="D4" s="20">
        <f>VLOOKUP(CurrentMtgRatesDataTable82[[#This Row],[calcOrigMonth_LL]],N:O,2,0)</f>
        <v>5.9099143077895624</v>
      </c>
      <c r="E4" s="20">
        <f>VLOOKUP(CurrentMtgRatesDataTable82[[#This Row],[calcOrigMonth_LL]],K:L,2,0)</f>
        <v>5.7156431524899229</v>
      </c>
      <c r="F4" s="20">
        <f>CurrentMtgRatesDataTable82[[#This Row],[WANoteRate]]-CurrentMtgRatesDataTable82[[#This Row],[Big Non-Bank Lender]]</f>
        <v>-0.18272284237613601</v>
      </c>
      <c r="G4" s="20">
        <f>CurrentMtgRatesDataTable82[[#This Row],[WANoteRate]]-CurrentMtgRatesDataTable82[[#This Row],[Small Lender]]</f>
        <v>1.1548312923503445E-2</v>
      </c>
      <c r="H4" s="20">
        <f>CurrentMtgRatesDataTable82[[#This Row],[Big Non-Bank Lender]]-CurrentMtgRatesDataTable82[[#This Row],[Small Lender]]</f>
        <v>0.19427115529963945</v>
      </c>
      <c r="I4" s="20"/>
      <c r="K4">
        <v>201506</v>
      </c>
      <c r="L4">
        <v>3.8760395868432074</v>
      </c>
      <c r="N4">
        <v>201506</v>
      </c>
      <c r="O4">
        <v>3.950449253802224</v>
      </c>
      <c r="P4" s="20">
        <f>VLOOKUP(CurrentMtgRatesDataTable82345[[#This Row],[calcOrigMonth_LL]],B:H,5,0)</f>
        <v>3.9263040099685842E-2</v>
      </c>
      <c r="Q4" s="20">
        <f>VLOOKUP(CurrentMtgRatesDataTable82345[[#This Row],[calcOrigMonth_LL]],B:G,6,0)</f>
        <v>0.11367270705870247</v>
      </c>
    </row>
    <row r="5" spans="2:17">
      <c r="B5" s="25">
        <v>200502</v>
      </c>
      <c r="C5" s="20">
        <v>5.7240115562483167</v>
      </c>
      <c r="D5" s="20">
        <f>VLOOKUP(CurrentMtgRatesDataTable82[[#This Row],[calcOrigMonth_LL]],N:O,2,0)</f>
        <v>5.7395737877517599</v>
      </c>
      <c r="E5" s="20">
        <f>VLOOKUP(CurrentMtgRatesDataTable82[[#This Row],[calcOrigMonth_LL]],K:L,2,0)</f>
        <v>5.7579616846260633</v>
      </c>
      <c r="F5" s="20">
        <f>CurrentMtgRatesDataTable82[[#This Row],[WANoteRate]]-CurrentMtgRatesDataTable82[[#This Row],[Big Non-Bank Lender]]</f>
        <v>-1.5562231503443158E-2</v>
      </c>
      <c r="G5" s="20">
        <f>CurrentMtgRatesDataTable82[[#This Row],[WANoteRate]]-CurrentMtgRatesDataTable82[[#This Row],[Small Lender]]</f>
        <v>-3.395012837774658E-2</v>
      </c>
      <c r="H5" s="20">
        <f>CurrentMtgRatesDataTable82[[#This Row],[Big Non-Bank Lender]]-CurrentMtgRatesDataTable82[[#This Row],[Small Lender]]</f>
        <v>-1.8387896874303422E-2</v>
      </c>
      <c r="I5" s="20"/>
      <c r="K5">
        <v>201505</v>
      </c>
      <c r="L5">
        <v>3.8762184710862826</v>
      </c>
      <c r="N5">
        <v>201505</v>
      </c>
      <c r="O5">
        <v>3.9620768330334606</v>
      </c>
      <c r="P5" s="20">
        <f>VLOOKUP(CurrentMtgRatesDataTable82345[[#This Row],[calcOrigMonth_LL]],B:H,5,0)</f>
        <v>3.8645743495240303E-3</v>
      </c>
      <c r="Q5" s="20">
        <f>VLOOKUP(CurrentMtgRatesDataTable82345[[#This Row],[calcOrigMonth_LL]],B:G,6,0)</f>
        <v>8.9722936296702027E-2</v>
      </c>
    </row>
    <row r="6" spans="2:17">
      <c r="B6" s="25">
        <v>200503</v>
      </c>
      <c r="C6" s="20">
        <v>5.6253979070136637</v>
      </c>
      <c r="D6" s="20">
        <f>VLOOKUP(CurrentMtgRatesDataTable82[[#This Row],[calcOrigMonth_LL]],N:O,2,0)</f>
        <v>5.7445769250037575</v>
      </c>
      <c r="E6" s="20">
        <f>VLOOKUP(CurrentMtgRatesDataTable82[[#This Row],[calcOrigMonth_LL]],K:L,2,0)</f>
        <v>5.6155496807441265</v>
      </c>
      <c r="F6" s="20">
        <f>CurrentMtgRatesDataTable82[[#This Row],[WANoteRate]]-CurrentMtgRatesDataTable82[[#This Row],[Big Non-Bank Lender]]</f>
        <v>-0.11917901799009378</v>
      </c>
      <c r="G6" s="20">
        <f>CurrentMtgRatesDataTable82[[#This Row],[WANoteRate]]-CurrentMtgRatesDataTable82[[#This Row],[Small Lender]]</f>
        <v>9.8482262695371858E-3</v>
      </c>
      <c r="H6" s="20">
        <f>CurrentMtgRatesDataTable82[[#This Row],[Big Non-Bank Lender]]-CurrentMtgRatesDataTable82[[#This Row],[Small Lender]]</f>
        <v>0.12902724425963097</v>
      </c>
      <c r="I6" s="20"/>
      <c r="K6">
        <v>201504</v>
      </c>
      <c r="L6">
        <v>3.8311435073952604</v>
      </c>
      <c r="N6">
        <v>201504</v>
      </c>
      <c r="O6">
        <v>3.932115253662853</v>
      </c>
      <c r="P6" s="20">
        <f>VLOOKUP(CurrentMtgRatesDataTable82345[[#This Row],[calcOrigMonth_LL]],B:H,5,0)</f>
        <v>-1.7923477242734798E-2</v>
      </c>
      <c r="Q6" s="20">
        <f>VLOOKUP(CurrentMtgRatesDataTable82345[[#This Row],[calcOrigMonth_LL]],B:G,6,0)</f>
        <v>8.3048269024857735E-2</v>
      </c>
    </row>
    <row r="7" spans="2:17">
      <c r="B7" s="25">
        <v>200504</v>
      </c>
      <c r="C7" s="20">
        <v>5.6835079040144665</v>
      </c>
      <c r="D7" s="20">
        <f>VLOOKUP(CurrentMtgRatesDataTable82[[#This Row],[calcOrigMonth_LL]],N:O,2,0)</f>
        <v>5.9611671497637984</v>
      </c>
      <c r="E7" s="20">
        <f>VLOOKUP(CurrentMtgRatesDataTable82[[#This Row],[calcOrigMonth_LL]],K:L,2,0)</f>
        <v>5.594423069971552</v>
      </c>
      <c r="F7" s="20">
        <f>CurrentMtgRatesDataTable82[[#This Row],[WANoteRate]]-CurrentMtgRatesDataTable82[[#This Row],[Big Non-Bank Lender]]</f>
        <v>-0.27765924574933187</v>
      </c>
      <c r="G7" s="20">
        <f>CurrentMtgRatesDataTable82[[#This Row],[WANoteRate]]-CurrentMtgRatesDataTable82[[#This Row],[Small Lender]]</f>
        <v>8.9084834042914451E-2</v>
      </c>
      <c r="H7" s="20">
        <f>CurrentMtgRatesDataTable82[[#This Row],[Big Non-Bank Lender]]-CurrentMtgRatesDataTable82[[#This Row],[Small Lender]]</f>
        <v>0.36674407979224632</v>
      </c>
      <c r="I7" s="20"/>
      <c r="K7">
        <v>201503</v>
      </c>
      <c r="L7">
        <v>3.8139754588413139</v>
      </c>
      <c r="N7">
        <v>201503</v>
      </c>
      <c r="O7">
        <v>3.9315463917649915</v>
      </c>
      <c r="P7" s="20">
        <f>VLOOKUP(CurrentMtgRatesDataTable82345[[#This Row],[calcOrigMonth_LL]],B:H,5,0)</f>
        <v>-4.0657239004798118E-2</v>
      </c>
      <c r="Q7" s="20">
        <f>VLOOKUP(CurrentMtgRatesDataTable82345[[#This Row],[calcOrigMonth_LL]],B:G,6,0)</f>
        <v>7.6913693918879478E-2</v>
      </c>
    </row>
    <row r="8" spans="2:17">
      <c r="B8" s="25">
        <v>200505</v>
      </c>
      <c r="C8" s="20">
        <v>5.9082662298694792</v>
      </c>
      <c r="D8" s="20">
        <f>VLOOKUP(CurrentMtgRatesDataTable82[[#This Row],[calcOrigMonth_LL]],N:O,2,0)</f>
        <v>6.0147863908107748</v>
      </c>
      <c r="E8" s="20">
        <f>VLOOKUP(CurrentMtgRatesDataTable82[[#This Row],[calcOrigMonth_LL]],K:L,2,0)</f>
        <v>5.8587221278035599</v>
      </c>
      <c r="F8" s="20">
        <f>CurrentMtgRatesDataTable82[[#This Row],[WANoteRate]]-CurrentMtgRatesDataTable82[[#This Row],[Big Non-Bank Lender]]</f>
        <v>-0.10652016094129557</v>
      </c>
      <c r="G8" s="20">
        <f>CurrentMtgRatesDataTable82[[#This Row],[WANoteRate]]-CurrentMtgRatesDataTable82[[#This Row],[Small Lender]]</f>
        <v>4.9544102065919304E-2</v>
      </c>
      <c r="H8" s="20">
        <f>CurrentMtgRatesDataTable82[[#This Row],[Big Non-Bank Lender]]-CurrentMtgRatesDataTable82[[#This Row],[Small Lender]]</f>
        <v>0.15606426300721488</v>
      </c>
      <c r="I8" s="20"/>
      <c r="K8">
        <v>201502</v>
      </c>
      <c r="L8">
        <v>3.9472757253901527</v>
      </c>
      <c r="N8">
        <v>201502</v>
      </c>
      <c r="O8">
        <v>4.0734067078240876</v>
      </c>
      <c r="P8" s="20">
        <f>VLOOKUP(CurrentMtgRatesDataTable82345[[#This Row],[calcOrigMonth_LL]],B:H,5,0)</f>
        <v>-2.8516157160538569E-3</v>
      </c>
      <c r="Q8" s="20">
        <f>VLOOKUP(CurrentMtgRatesDataTable82345[[#This Row],[calcOrigMonth_LL]],B:G,6,0)</f>
        <v>0.12327936671788109</v>
      </c>
    </row>
    <row r="9" spans="2:17">
      <c r="B9" s="25">
        <v>200506</v>
      </c>
      <c r="C9" s="20">
        <v>5.8388230199565259</v>
      </c>
      <c r="D9" s="20">
        <f>VLOOKUP(CurrentMtgRatesDataTable82[[#This Row],[calcOrigMonth_LL]],N:O,2,0)</f>
        <v>6.2684407663580313</v>
      </c>
      <c r="E9" s="20">
        <f>VLOOKUP(CurrentMtgRatesDataTable82[[#This Row],[calcOrigMonth_LL]],K:L,2,0)</f>
        <v>5.8114222441048042</v>
      </c>
      <c r="F9" s="20">
        <f>CurrentMtgRatesDataTable82[[#This Row],[WANoteRate]]-CurrentMtgRatesDataTable82[[#This Row],[Big Non-Bank Lender]]</f>
        <v>-0.42961774640150541</v>
      </c>
      <c r="G9" s="20">
        <f>CurrentMtgRatesDataTable82[[#This Row],[WANoteRate]]-CurrentMtgRatesDataTable82[[#This Row],[Small Lender]]</f>
        <v>2.7400775851721626E-2</v>
      </c>
      <c r="H9" s="20">
        <f>CurrentMtgRatesDataTable82[[#This Row],[Big Non-Bank Lender]]-CurrentMtgRatesDataTable82[[#This Row],[Small Lender]]</f>
        <v>0.45701852225322703</v>
      </c>
      <c r="I9" s="20"/>
      <c r="K9">
        <v>201501</v>
      </c>
      <c r="L9">
        <v>4.1008588224409506</v>
      </c>
      <c r="N9">
        <v>201501</v>
      </c>
      <c r="O9">
        <v>4.207390907485042</v>
      </c>
      <c r="P9" s="20">
        <f>VLOOKUP(CurrentMtgRatesDataTable82345[[#This Row],[calcOrigMonth_LL]],B:H,5,0)</f>
        <v>-1.7742276719534544E-3</v>
      </c>
      <c r="Q9" s="20">
        <f>VLOOKUP(CurrentMtgRatesDataTable82345[[#This Row],[calcOrigMonth_LL]],B:G,6,0)</f>
        <v>0.10475785737213794</v>
      </c>
    </row>
    <row r="10" spans="2:17">
      <c r="B10" s="25">
        <v>200507</v>
      </c>
      <c r="C10" s="20">
        <v>5.6930161095548835</v>
      </c>
      <c r="D10" s="20">
        <f>VLOOKUP(CurrentMtgRatesDataTable82[[#This Row],[calcOrigMonth_LL]],N:O,2,0)</f>
        <v>5.8201260525941354</v>
      </c>
      <c r="E10" s="20">
        <f>VLOOKUP(CurrentMtgRatesDataTable82[[#This Row],[calcOrigMonth_LL]],K:L,2,0)</f>
        <v>5.6969807373237984</v>
      </c>
      <c r="F10" s="20">
        <f>CurrentMtgRatesDataTable82[[#This Row],[WANoteRate]]-CurrentMtgRatesDataTable82[[#This Row],[Big Non-Bank Lender]]</f>
        <v>-0.12710994303925194</v>
      </c>
      <c r="G10" s="20">
        <f>CurrentMtgRatesDataTable82[[#This Row],[WANoteRate]]-CurrentMtgRatesDataTable82[[#This Row],[Small Lender]]</f>
        <v>-3.9646277689149301E-3</v>
      </c>
      <c r="H10" s="20">
        <f>CurrentMtgRatesDataTable82[[#This Row],[Big Non-Bank Lender]]-CurrentMtgRatesDataTable82[[#This Row],[Small Lender]]</f>
        <v>0.12314531527033701</v>
      </c>
      <c r="I10" s="20"/>
      <c r="K10">
        <v>201412</v>
      </c>
      <c r="L10">
        <v>4.1313916115044051</v>
      </c>
      <c r="N10">
        <v>201412</v>
      </c>
      <c r="O10">
        <v>4.2148576463730123</v>
      </c>
      <c r="P10" s="20">
        <f>VLOOKUP(CurrentMtgRatesDataTable82345[[#This Row],[calcOrigMonth_LL]],B:H,5,0)</f>
        <v>-3.531391788811522E-2</v>
      </c>
      <c r="Q10" s="20">
        <f>VLOOKUP(CurrentMtgRatesDataTable82345[[#This Row],[calcOrigMonth_LL]],B:G,6,0)</f>
        <v>4.8152116980491932E-2</v>
      </c>
    </row>
    <row r="11" spans="2:17">
      <c r="B11" s="25">
        <v>200508</v>
      </c>
      <c r="C11" s="20">
        <v>5.6548333247895437</v>
      </c>
      <c r="D11" s="20">
        <f>VLOOKUP(CurrentMtgRatesDataTable82[[#This Row],[calcOrigMonth_LL]],N:O,2,0)</f>
        <v>5.6567594424460435</v>
      </c>
      <c r="E11" s="20">
        <f>VLOOKUP(CurrentMtgRatesDataTable82[[#This Row],[calcOrigMonth_LL]],K:L,2,0)</f>
        <v>5.634639239734911</v>
      </c>
      <c r="F11" s="20">
        <f>CurrentMtgRatesDataTable82[[#This Row],[WANoteRate]]-CurrentMtgRatesDataTable82[[#This Row],[Big Non-Bank Lender]]</f>
        <v>-1.9261176564997484E-3</v>
      </c>
      <c r="G11" s="20">
        <f>CurrentMtgRatesDataTable82[[#This Row],[WANoteRate]]-CurrentMtgRatesDataTable82[[#This Row],[Small Lender]]</f>
        <v>2.0194085054632716E-2</v>
      </c>
      <c r="H11" s="20">
        <f>CurrentMtgRatesDataTable82[[#This Row],[Big Non-Bank Lender]]-CurrentMtgRatesDataTable82[[#This Row],[Small Lender]]</f>
        <v>2.2120202711132464E-2</v>
      </c>
      <c r="I11" s="20"/>
      <c r="K11">
        <v>201411</v>
      </c>
      <c r="L11">
        <v>4.2683505012812422</v>
      </c>
      <c r="N11">
        <v>201411</v>
      </c>
      <c r="O11">
        <v>4.3905793648985787</v>
      </c>
      <c r="P11" s="20">
        <f>VLOOKUP(CurrentMtgRatesDataTable82345[[#This Row],[calcOrigMonth_LL]],B:H,5,0)</f>
        <v>-3.9729226798320916E-2</v>
      </c>
      <c r="Q11" s="20">
        <f>VLOOKUP(CurrentMtgRatesDataTable82345[[#This Row],[calcOrigMonth_LL]],B:G,6,0)</f>
        <v>8.249963681901562E-2</v>
      </c>
    </row>
    <row r="12" spans="2:17">
      <c r="B12" s="25">
        <v>200509</v>
      </c>
      <c r="C12" s="20">
        <v>5.7856933647298785</v>
      </c>
      <c r="D12" s="20">
        <f>VLOOKUP(CurrentMtgRatesDataTable82[[#This Row],[calcOrigMonth_LL]],N:O,2,0)</f>
        <v>5.8884467208973321</v>
      </c>
      <c r="E12" s="20">
        <f>VLOOKUP(CurrentMtgRatesDataTable82[[#This Row],[calcOrigMonth_LL]],K:L,2,0)</f>
        <v>5.7810129347446617</v>
      </c>
      <c r="F12" s="20">
        <f>CurrentMtgRatesDataTable82[[#This Row],[WANoteRate]]-CurrentMtgRatesDataTable82[[#This Row],[Big Non-Bank Lender]]</f>
        <v>-0.10275335616745362</v>
      </c>
      <c r="G12" s="20">
        <f>CurrentMtgRatesDataTable82[[#This Row],[WANoteRate]]-CurrentMtgRatesDataTable82[[#This Row],[Small Lender]]</f>
        <v>4.680429985216783E-3</v>
      </c>
      <c r="H12" s="20">
        <f>CurrentMtgRatesDataTable82[[#This Row],[Big Non-Bank Lender]]-CurrentMtgRatesDataTable82[[#This Row],[Small Lender]]</f>
        <v>0.10743378615267041</v>
      </c>
      <c r="I12" s="20"/>
      <c r="K12">
        <v>201410</v>
      </c>
      <c r="L12">
        <v>4.3101970063312001</v>
      </c>
      <c r="N12">
        <v>201410</v>
      </c>
      <c r="O12">
        <v>4.3934433874477827</v>
      </c>
      <c r="P12" s="20">
        <f>VLOOKUP(CurrentMtgRatesDataTable82345[[#This Row],[calcOrigMonth_LL]],B:H,5,0)</f>
        <v>-2.7563085990053082E-2</v>
      </c>
      <c r="Q12" s="20">
        <f>VLOOKUP(CurrentMtgRatesDataTable82345[[#This Row],[calcOrigMonth_LL]],B:G,6,0)</f>
        <v>5.5683295126529586E-2</v>
      </c>
    </row>
    <row r="13" spans="2:17">
      <c r="B13" s="25">
        <v>200510</v>
      </c>
      <c r="C13" s="20">
        <v>5.7866769560738387</v>
      </c>
      <c r="D13" s="20">
        <f>VLOOKUP(CurrentMtgRatesDataTable82[[#This Row],[calcOrigMonth_LL]],N:O,2,0)</f>
        <v>5.9591111776646368</v>
      </c>
      <c r="E13" s="20">
        <f>VLOOKUP(CurrentMtgRatesDataTable82[[#This Row],[calcOrigMonth_LL]],K:L,2,0)</f>
        <v>5.8300555283568247</v>
      </c>
      <c r="F13" s="20">
        <f>CurrentMtgRatesDataTable82[[#This Row],[WANoteRate]]-CurrentMtgRatesDataTable82[[#This Row],[Big Non-Bank Lender]]</f>
        <v>-0.17243422159079813</v>
      </c>
      <c r="G13" s="20">
        <f>CurrentMtgRatesDataTable82[[#This Row],[WANoteRate]]-CurrentMtgRatesDataTable82[[#This Row],[Small Lender]]</f>
        <v>-4.3378572282986028E-2</v>
      </c>
      <c r="H13" s="20">
        <f>CurrentMtgRatesDataTable82[[#This Row],[Big Non-Bank Lender]]-CurrentMtgRatesDataTable82[[#This Row],[Small Lender]]</f>
        <v>0.1290556493078121</v>
      </c>
      <c r="I13" s="20"/>
      <c r="K13">
        <v>201409</v>
      </c>
      <c r="L13">
        <v>4.3178313732494606</v>
      </c>
      <c r="N13">
        <v>201409</v>
      </c>
      <c r="O13">
        <v>4.4309052004051415</v>
      </c>
      <c r="P13" s="20">
        <f>VLOOKUP(CurrentMtgRatesDataTable82345[[#This Row],[calcOrigMonth_LL]],B:H,5,0)</f>
        <v>-2.5994095143056839E-2</v>
      </c>
      <c r="Q13" s="20">
        <f>VLOOKUP(CurrentMtgRatesDataTable82345[[#This Row],[calcOrigMonth_LL]],B:G,6,0)</f>
        <v>8.7079732012623978E-2</v>
      </c>
    </row>
    <row r="14" spans="2:17">
      <c r="B14" s="25">
        <v>200511</v>
      </c>
      <c r="C14" s="20">
        <v>5.8415440831293246</v>
      </c>
      <c r="D14" s="20">
        <f>VLOOKUP(CurrentMtgRatesDataTable82[[#This Row],[calcOrigMonth_LL]],N:O,2,0)</f>
        <v>5.8455866197956716</v>
      </c>
      <c r="E14" s="20">
        <f>VLOOKUP(CurrentMtgRatesDataTable82[[#This Row],[calcOrigMonth_LL]],K:L,2,0)</f>
        <v>5.8814607536836618</v>
      </c>
      <c r="F14" s="20">
        <f>CurrentMtgRatesDataTable82[[#This Row],[WANoteRate]]-CurrentMtgRatesDataTable82[[#This Row],[Big Non-Bank Lender]]</f>
        <v>-4.0425366663470186E-3</v>
      </c>
      <c r="G14" s="20">
        <f>CurrentMtgRatesDataTable82[[#This Row],[WANoteRate]]-CurrentMtgRatesDataTable82[[#This Row],[Small Lender]]</f>
        <v>-3.991667055433723E-2</v>
      </c>
      <c r="H14" s="20">
        <f>CurrentMtgRatesDataTable82[[#This Row],[Big Non-Bank Lender]]-CurrentMtgRatesDataTable82[[#This Row],[Small Lender]]</f>
        <v>-3.5874133887990212E-2</v>
      </c>
      <c r="I14" s="20"/>
      <c r="K14">
        <v>201408</v>
      </c>
      <c r="L14">
        <v>4.3085176554459528</v>
      </c>
      <c r="N14">
        <v>201408</v>
      </c>
      <c r="O14">
        <v>4.3899942408996813</v>
      </c>
      <c r="P14" s="20">
        <f>VLOOKUP(CurrentMtgRatesDataTable82345[[#This Row],[calcOrigMonth_LL]],B:H,5,0)</f>
        <v>-2.240786105978998E-3</v>
      </c>
      <c r="Q14" s="20">
        <f>VLOOKUP(CurrentMtgRatesDataTable82345[[#This Row],[calcOrigMonth_LL]],B:G,6,0)</f>
        <v>7.9235799347749492E-2</v>
      </c>
    </row>
    <row r="15" spans="2:17">
      <c r="B15" s="25">
        <v>200512</v>
      </c>
      <c r="C15" s="20">
        <v>6.0583441103025715</v>
      </c>
      <c r="D15" s="20">
        <f>VLOOKUP(CurrentMtgRatesDataTable82[[#This Row],[calcOrigMonth_LL]],N:O,2,0)</f>
        <v>6.4031326034063261</v>
      </c>
      <c r="E15" s="20">
        <f>VLOOKUP(CurrentMtgRatesDataTable82[[#This Row],[calcOrigMonth_LL]],K:L,2,0)</f>
        <v>6.0299715540644474</v>
      </c>
      <c r="F15" s="20">
        <f>CurrentMtgRatesDataTable82[[#This Row],[WANoteRate]]-CurrentMtgRatesDataTable82[[#This Row],[Big Non-Bank Lender]]</f>
        <v>-0.34478849310375459</v>
      </c>
      <c r="G15" s="20">
        <f>CurrentMtgRatesDataTable82[[#This Row],[WANoteRate]]-CurrentMtgRatesDataTable82[[#This Row],[Small Lender]]</f>
        <v>2.8372556238124069E-2</v>
      </c>
      <c r="H15" s="20">
        <f>CurrentMtgRatesDataTable82[[#This Row],[Big Non-Bank Lender]]-CurrentMtgRatesDataTable82[[#This Row],[Small Lender]]</f>
        <v>0.37316104934187866</v>
      </c>
      <c r="I15" s="20"/>
      <c r="K15">
        <v>201407</v>
      </c>
      <c r="L15">
        <v>4.348244761535331</v>
      </c>
      <c r="N15">
        <v>201407</v>
      </c>
      <c r="O15">
        <v>4.4581707414486509</v>
      </c>
      <c r="P15" s="20">
        <f>VLOOKUP(CurrentMtgRatesDataTable82345[[#This Row],[calcOrigMonth_LL]],B:H,5,0)</f>
        <v>-4.0820468548054656E-2</v>
      </c>
      <c r="Q15" s="20">
        <f>VLOOKUP(CurrentMtgRatesDataTable82345[[#This Row],[calcOrigMonth_LL]],B:G,6,0)</f>
        <v>6.9105511365265215E-2</v>
      </c>
    </row>
    <row r="16" spans="2:17">
      <c r="B16" s="25">
        <v>200601</v>
      </c>
      <c r="C16" s="20">
        <v>6.2208817905574501</v>
      </c>
      <c r="D16" s="20">
        <f>VLOOKUP(CurrentMtgRatesDataTable82[[#This Row],[calcOrigMonth_LL]],N:O,2,0)</f>
        <v>6.4126256872554359</v>
      </c>
      <c r="E16" s="20">
        <f>VLOOKUP(CurrentMtgRatesDataTable82[[#This Row],[calcOrigMonth_LL]],K:L,2,0)</f>
        <v>6.3129080428514435</v>
      </c>
      <c r="F16" s="20">
        <f>CurrentMtgRatesDataTable82[[#This Row],[WANoteRate]]-CurrentMtgRatesDataTable82[[#This Row],[Big Non-Bank Lender]]</f>
        <v>-0.19174389669798586</v>
      </c>
      <c r="G16" s="20">
        <f>CurrentMtgRatesDataTable82[[#This Row],[WANoteRate]]-CurrentMtgRatesDataTable82[[#This Row],[Small Lender]]</f>
        <v>-9.2026252293993416E-2</v>
      </c>
      <c r="H16" s="20">
        <f>CurrentMtgRatesDataTable82[[#This Row],[Big Non-Bank Lender]]-CurrentMtgRatesDataTable82[[#This Row],[Small Lender]]</f>
        <v>9.9717644403992445E-2</v>
      </c>
      <c r="I16" s="20"/>
      <c r="K16">
        <v>201406</v>
      </c>
      <c r="L16">
        <v>4.4579895491327095</v>
      </c>
      <c r="N16">
        <v>201406</v>
      </c>
      <c r="O16">
        <v>4.5536222811850307</v>
      </c>
      <c r="P16" s="20">
        <f>VLOOKUP(CurrentMtgRatesDataTable82345[[#This Row],[calcOrigMonth_LL]],B:H,5,0)</f>
        <v>-6.9708521277105362E-3</v>
      </c>
      <c r="Q16" s="20">
        <f>VLOOKUP(CurrentMtgRatesDataTable82345[[#This Row],[calcOrigMonth_LL]],B:G,6,0)</f>
        <v>8.8661879924610609E-2</v>
      </c>
    </row>
    <row r="17" spans="2:18">
      <c r="B17" s="25">
        <v>200602</v>
      </c>
      <c r="C17" s="20">
        <v>6.1393375394428409</v>
      </c>
      <c r="D17" s="20">
        <f>VLOOKUP(CurrentMtgRatesDataTable82[[#This Row],[calcOrigMonth_LL]],N:O,2,0)</f>
        <v>6.6900631510089061</v>
      </c>
      <c r="E17" s="20">
        <f>VLOOKUP(CurrentMtgRatesDataTable82[[#This Row],[calcOrigMonth_LL]],K:L,2,0)</f>
        <v>6.2414171820969795</v>
      </c>
      <c r="F17" s="20">
        <f>CurrentMtgRatesDataTable82[[#This Row],[WANoteRate]]-CurrentMtgRatesDataTable82[[#This Row],[Big Non-Bank Lender]]</f>
        <v>-0.55072561156606525</v>
      </c>
      <c r="G17" s="20">
        <f>CurrentMtgRatesDataTable82[[#This Row],[WANoteRate]]-CurrentMtgRatesDataTable82[[#This Row],[Small Lender]]</f>
        <v>-0.1020796426541386</v>
      </c>
      <c r="H17" s="20">
        <f>CurrentMtgRatesDataTable82[[#This Row],[Big Non-Bank Lender]]-CurrentMtgRatesDataTable82[[#This Row],[Small Lender]]</f>
        <v>0.44864596891192665</v>
      </c>
      <c r="I17" s="20"/>
      <c r="K17">
        <v>201405</v>
      </c>
      <c r="L17">
        <v>4.5012617210399952</v>
      </c>
      <c r="N17">
        <v>201405</v>
      </c>
      <c r="O17">
        <v>4.6173658552143628</v>
      </c>
      <c r="P17" s="20">
        <f>VLOOKUP(CurrentMtgRatesDataTable82345[[#This Row],[calcOrigMonth_LL]],B:H,5,0)</f>
        <v>-1.3578635096828329E-2</v>
      </c>
      <c r="Q17" s="20">
        <f>VLOOKUP(CurrentMtgRatesDataTable82345[[#This Row],[calcOrigMonth_LL]],B:G,6,0)</f>
        <v>0.10252549907753927</v>
      </c>
    </row>
    <row r="18" spans="2:18">
      <c r="B18" s="25">
        <v>200603</v>
      </c>
      <c r="C18" s="20">
        <v>6.1263105164855043</v>
      </c>
      <c r="D18" s="20">
        <f>VLOOKUP(CurrentMtgRatesDataTable82[[#This Row],[calcOrigMonth_LL]],N:O,2,0)</f>
        <v>6.4776459533097031</v>
      </c>
      <c r="E18" s="20">
        <f>VLOOKUP(CurrentMtgRatesDataTable82[[#This Row],[calcOrigMonth_LL]],K:L,2,0)</f>
        <v>6.1967593138515076</v>
      </c>
      <c r="F18" s="20">
        <f>CurrentMtgRatesDataTable82[[#This Row],[WANoteRate]]-CurrentMtgRatesDataTable82[[#This Row],[Big Non-Bank Lender]]</f>
        <v>-0.35133543682419877</v>
      </c>
      <c r="G18" s="20">
        <f>CurrentMtgRatesDataTable82[[#This Row],[WANoteRate]]-CurrentMtgRatesDataTable82[[#This Row],[Small Lender]]</f>
        <v>-7.0448797366003291E-2</v>
      </c>
      <c r="H18" s="20">
        <f>CurrentMtgRatesDataTable82[[#This Row],[Big Non-Bank Lender]]-CurrentMtgRatesDataTable82[[#This Row],[Small Lender]]</f>
        <v>0.28088663945819548</v>
      </c>
      <c r="I18" s="20"/>
      <c r="K18">
        <v>201404</v>
      </c>
      <c r="L18">
        <v>4.5014287636166257</v>
      </c>
      <c r="N18">
        <v>201404</v>
      </c>
      <c r="O18">
        <v>4.5685571115905752</v>
      </c>
      <c r="P18" s="20">
        <f>VLOOKUP(CurrentMtgRatesDataTable82345[[#This Row],[calcOrigMonth_LL]],B:H,5,0)</f>
        <v>5.6576926758156176E-3</v>
      </c>
      <c r="Q18" s="20">
        <f>VLOOKUP(CurrentMtgRatesDataTable82345[[#This Row],[calcOrigMonth_LL]],B:G,6,0)</f>
        <v>7.2786040649765127E-2</v>
      </c>
    </row>
    <row r="19" spans="2:18">
      <c r="B19" s="25">
        <v>200604</v>
      </c>
      <c r="C19" s="20">
        <v>6.2321303315143748</v>
      </c>
      <c r="D19" s="20">
        <f>VLOOKUP(CurrentMtgRatesDataTable82[[#This Row],[calcOrigMonth_LL]],N:O,2,0)</f>
        <v>6.6436286407766989</v>
      </c>
      <c r="E19" s="20">
        <f>VLOOKUP(CurrentMtgRatesDataTable82[[#This Row],[calcOrigMonth_LL]],K:L,2,0)</f>
        <v>6.3050788170775798</v>
      </c>
      <c r="F19" s="20">
        <f>CurrentMtgRatesDataTable82[[#This Row],[WANoteRate]]-CurrentMtgRatesDataTable82[[#This Row],[Big Non-Bank Lender]]</f>
        <v>-0.41149830926232411</v>
      </c>
      <c r="G19" s="20">
        <f>CurrentMtgRatesDataTable82[[#This Row],[WANoteRate]]-CurrentMtgRatesDataTable82[[#This Row],[Small Lender]]</f>
        <v>-7.294848556320499E-2</v>
      </c>
      <c r="H19" s="20">
        <f>CurrentMtgRatesDataTable82[[#This Row],[Big Non-Bank Lender]]-CurrentMtgRatesDataTable82[[#This Row],[Small Lender]]</f>
        <v>0.33854982369911912</v>
      </c>
      <c r="I19" s="20"/>
      <c r="K19">
        <v>201403</v>
      </c>
      <c r="L19">
        <v>4.5479784207842107</v>
      </c>
      <c r="N19">
        <v>201403</v>
      </c>
      <c r="O19">
        <v>4.6279014041330022</v>
      </c>
      <c r="P19" s="20">
        <f>VLOOKUP(CurrentMtgRatesDataTable82345[[#This Row],[calcOrigMonth_LL]],B:H,5,0)</f>
        <v>1.5226044991480059E-2</v>
      </c>
      <c r="Q19" s="20">
        <f>VLOOKUP(CurrentMtgRatesDataTable82345[[#This Row],[calcOrigMonth_LL]],B:G,6,0)</f>
        <v>9.5149028340271613E-2</v>
      </c>
    </row>
    <row r="20" spans="2:18">
      <c r="B20" s="25">
        <v>200605</v>
      </c>
      <c r="C20" s="20">
        <v>6.4372992201954213</v>
      </c>
      <c r="D20" s="20">
        <f>VLOOKUP(CurrentMtgRatesDataTable82[[#This Row],[calcOrigMonth_LL]],N:O,2,0)</f>
        <v>6.5135909536651138</v>
      </c>
      <c r="E20" s="20">
        <f>VLOOKUP(CurrentMtgRatesDataTable82[[#This Row],[calcOrigMonth_LL]],K:L,2,0)</f>
        <v>6.4289519530611052</v>
      </c>
      <c r="F20" s="20">
        <f>CurrentMtgRatesDataTable82[[#This Row],[WANoteRate]]-CurrentMtgRatesDataTable82[[#This Row],[Big Non-Bank Lender]]</f>
        <v>-7.6291733469692424E-2</v>
      </c>
      <c r="G20" s="20">
        <f>CurrentMtgRatesDataTable82[[#This Row],[WANoteRate]]-CurrentMtgRatesDataTable82[[#This Row],[Small Lender]]</f>
        <v>8.3472671343161053E-3</v>
      </c>
      <c r="H20" s="20">
        <f>CurrentMtgRatesDataTable82[[#This Row],[Big Non-Bank Lender]]-CurrentMtgRatesDataTable82[[#This Row],[Small Lender]]</f>
        <v>8.463900060400853E-2</v>
      </c>
      <c r="I20" s="20"/>
      <c r="K20">
        <v>201402</v>
      </c>
      <c r="L20">
        <v>4.5839948830699901</v>
      </c>
      <c r="N20">
        <v>201402</v>
      </c>
      <c r="O20">
        <v>4.679613685137797</v>
      </c>
      <c r="P20" s="20">
        <f>VLOOKUP(CurrentMtgRatesDataTable82345[[#This Row],[calcOrigMonth_LL]],B:H,5,0)</f>
        <v>-2.3725545668216164E-2</v>
      </c>
      <c r="Q20" s="20">
        <f>VLOOKUP(CurrentMtgRatesDataTable82345[[#This Row],[calcOrigMonth_LL]],B:G,6,0)</f>
        <v>7.1893256399590655E-2</v>
      </c>
    </row>
    <row r="21" spans="2:18">
      <c r="B21" s="25">
        <v>200606</v>
      </c>
      <c r="C21" s="20">
        <v>6.5635318845605086</v>
      </c>
      <c r="D21" s="20">
        <f>VLOOKUP(CurrentMtgRatesDataTable82[[#This Row],[calcOrigMonth_LL]],N:O,2,0)</f>
        <v>6.7190791523839204</v>
      </c>
      <c r="E21" s="20">
        <f>VLOOKUP(CurrentMtgRatesDataTable82[[#This Row],[calcOrigMonth_LL]],K:L,2,0)</f>
        <v>6.55094334536434</v>
      </c>
      <c r="F21" s="20">
        <f>CurrentMtgRatesDataTable82[[#This Row],[WANoteRate]]-CurrentMtgRatesDataTable82[[#This Row],[Big Non-Bank Lender]]</f>
        <v>-0.15554726782341177</v>
      </c>
      <c r="G21" s="20">
        <f>CurrentMtgRatesDataTable82[[#This Row],[WANoteRate]]-CurrentMtgRatesDataTable82[[#This Row],[Small Lender]]</f>
        <v>1.2588539196168647E-2</v>
      </c>
      <c r="H21" s="20">
        <f>CurrentMtgRatesDataTable82[[#This Row],[Big Non-Bank Lender]]-CurrentMtgRatesDataTable82[[#This Row],[Small Lender]]</f>
        <v>0.16813580701958042</v>
      </c>
      <c r="I21" s="20"/>
      <c r="K21">
        <v>201401</v>
      </c>
      <c r="L21">
        <v>4.4431073587180556</v>
      </c>
      <c r="N21">
        <v>201401</v>
      </c>
      <c r="O21">
        <v>4.5334011998603518</v>
      </c>
      <c r="P21" s="20">
        <f>VLOOKUP(CurrentMtgRatesDataTable82345[[#This Row],[calcOrigMonth_LL]],B:H,5,0)</f>
        <v>7.5887927529914023E-3</v>
      </c>
      <c r="Q21" s="20">
        <f>VLOOKUP(CurrentMtgRatesDataTable82345[[#This Row],[calcOrigMonth_LL]],B:G,6,0)</f>
        <v>9.7882633895287618E-2</v>
      </c>
    </row>
    <row r="22" spans="2:18">
      <c r="B22" s="25">
        <v>200607</v>
      </c>
      <c r="C22" s="20">
        <v>6.6366539689627446</v>
      </c>
      <c r="D22" s="20">
        <f>VLOOKUP(CurrentMtgRatesDataTable82[[#This Row],[calcOrigMonth_LL]],N:O,2,0)</f>
        <v>6.9866043119847809</v>
      </c>
      <c r="E22" s="20">
        <f>VLOOKUP(CurrentMtgRatesDataTable82[[#This Row],[calcOrigMonth_LL]],K:L,2,0)</f>
        <v>6.7226870967189694</v>
      </c>
      <c r="F22" s="20">
        <f>CurrentMtgRatesDataTable82[[#This Row],[WANoteRate]]-CurrentMtgRatesDataTable82[[#This Row],[Big Non-Bank Lender]]</f>
        <v>-0.34995034302203631</v>
      </c>
      <c r="G22" s="20">
        <f>CurrentMtgRatesDataTable82[[#This Row],[WANoteRate]]-CurrentMtgRatesDataTable82[[#This Row],[Small Lender]]</f>
        <v>-8.6033127756224737E-2</v>
      </c>
      <c r="H22" s="20">
        <f>CurrentMtgRatesDataTable82[[#This Row],[Big Non-Bank Lender]]-CurrentMtgRatesDataTable82[[#This Row],[Small Lender]]</f>
        <v>0.26391721526581158</v>
      </c>
      <c r="I22" s="20"/>
      <c r="K22">
        <v>201312</v>
      </c>
      <c r="L22">
        <v>4.4068790974691607</v>
      </c>
      <c r="N22">
        <v>201312</v>
      </c>
      <c r="O22">
        <v>4.4619520967461268</v>
      </c>
      <c r="P22" s="20">
        <f>VLOOKUP(CurrentMtgRatesDataTable82345[[#This Row],[calcOrigMonth_LL]],B:H,5,0)</f>
        <v>1.8416757166792586E-2</v>
      </c>
      <c r="Q22" s="20">
        <f>VLOOKUP(CurrentMtgRatesDataTable82345[[#This Row],[calcOrigMonth_LL]],B:G,6,0)</f>
        <v>7.3489756443758658E-2</v>
      </c>
    </row>
    <row r="23" spans="2:18">
      <c r="B23" s="25">
        <v>200608</v>
      </c>
      <c r="C23" s="20">
        <v>6.8119379081735882</v>
      </c>
      <c r="D23" s="20">
        <f>VLOOKUP(CurrentMtgRatesDataTable82[[#This Row],[calcOrigMonth_LL]],N:O,2,0)</f>
        <v>6.896830559418599</v>
      </c>
      <c r="E23" s="20">
        <f>VLOOKUP(CurrentMtgRatesDataTable82[[#This Row],[calcOrigMonth_LL]],K:L,2,0)</f>
        <v>6.7150962626014259</v>
      </c>
      <c r="F23" s="20">
        <f>CurrentMtgRatesDataTable82[[#This Row],[WANoteRate]]-CurrentMtgRatesDataTable82[[#This Row],[Big Non-Bank Lender]]</f>
        <v>-8.4892651245010775E-2</v>
      </c>
      <c r="G23" s="20">
        <f>CurrentMtgRatesDataTable82[[#This Row],[WANoteRate]]-CurrentMtgRatesDataTable82[[#This Row],[Small Lender]]</f>
        <v>9.6841645572162349E-2</v>
      </c>
      <c r="H23" s="20">
        <f>CurrentMtgRatesDataTable82[[#This Row],[Big Non-Bank Lender]]-CurrentMtgRatesDataTable82[[#This Row],[Small Lender]]</f>
        <v>0.18173429681717312</v>
      </c>
      <c r="I23" s="20"/>
      <c r="K23">
        <v>201311</v>
      </c>
      <c r="L23">
        <v>4.5428754568186385</v>
      </c>
      <c r="N23">
        <v>201311</v>
      </c>
      <c r="O23">
        <v>4.5922804834520283</v>
      </c>
      <c r="P23" s="20">
        <f>VLOOKUP(CurrentMtgRatesDataTable82345[[#This Row],[calcOrigMonth_LL]],B:H,5,0)</f>
        <v>1.436592590812058E-2</v>
      </c>
      <c r="Q23" s="20">
        <f>VLOOKUP(CurrentMtgRatesDataTable82345[[#This Row],[calcOrigMonth_LL]],B:G,6,0)</f>
        <v>6.3770952541510439E-2</v>
      </c>
    </row>
    <row r="24" spans="2:18">
      <c r="B24" s="25">
        <v>200609</v>
      </c>
      <c r="C24" s="20">
        <v>6.6705591317829809</v>
      </c>
      <c r="D24" s="20">
        <f>VLOOKUP(CurrentMtgRatesDataTable82[[#This Row],[calcOrigMonth_LL]],N:O,2,0)</f>
        <v>6.9650586019254916</v>
      </c>
      <c r="E24" s="20">
        <f>VLOOKUP(CurrentMtgRatesDataTable82[[#This Row],[calcOrigMonth_LL]],K:L,2,0)</f>
        <v>6.7389124751745015</v>
      </c>
      <c r="F24" s="20">
        <f>CurrentMtgRatesDataTable82[[#This Row],[WANoteRate]]-CurrentMtgRatesDataTable82[[#This Row],[Big Non-Bank Lender]]</f>
        <v>-0.29449947014251077</v>
      </c>
      <c r="G24" s="20">
        <f>CurrentMtgRatesDataTable82[[#This Row],[WANoteRate]]-CurrentMtgRatesDataTable82[[#This Row],[Small Lender]]</f>
        <v>-6.835334339152066E-2</v>
      </c>
      <c r="H24" s="20">
        <f>CurrentMtgRatesDataTable82[[#This Row],[Big Non-Bank Lender]]-CurrentMtgRatesDataTable82[[#This Row],[Small Lender]]</f>
        <v>0.22614612675099011</v>
      </c>
      <c r="I24" s="20"/>
      <c r="K24">
        <v>201310</v>
      </c>
      <c r="L24">
        <v>4.6169217113404111</v>
      </c>
      <c r="N24">
        <v>201310</v>
      </c>
      <c r="O24">
        <v>4.6016311948725388</v>
      </c>
      <c r="P24" s="20">
        <f>VLOOKUP(CurrentMtgRatesDataTable82345[[#This Row],[calcOrigMonth_LL]],B:H,5,0)</f>
        <v>-1.5990888740848419E-2</v>
      </c>
      <c r="Q24" s="20">
        <f>VLOOKUP(CurrentMtgRatesDataTable82345[[#This Row],[calcOrigMonth_LL]],B:G,6,0)</f>
        <v>-3.1281405208720692E-2</v>
      </c>
    </row>
    <row r="25" spans="2:18">
      <c r="B25" s="25">
        <v>200610</v>
      </c>
      <c r="C25" s="20">
        <v>6.506715809751527</v>
      </c>
      <c r="D25" s="20">
        <f>VLOOKUP(CurrentMtgRatesDataTable82[[#This Row],[calcOrigMonth_LL]],N:O,2,0)</f>
        <v>6.7348932639698624</v>
      </c>
      <c r="E25" s="20">
        <f>VLOOKUP(CurrentMtgRatesDataTable82[[#This Row],[calcOrigMonth_LL]],K:L,2,0)</f>
        <v>6.4858387142310612</v>
      </c>
      <c r="F25" s="20">
        <f>CurrentMtgRatesDataTable82[[#This Row],[WANoteRate]]-CurrentMtgRatesDataTable82[[#This Row],[Big Non-Bank Lender]]</f>
        <v>-0.22817745421833546</v>
      </c>
      <c r="G25" s="20">
        <f>CurrentMtgRatesDataTable82[[#This Row],[WANoteRate]]-CurrentMtgRatesDataTable82[[#This Row],[Small Lender]]</f>
        <v>2.0877095520465794E-2</v>
      </c>
      <c r="H25" s="20">
        <f>CurrentMtgRatesDataTable82[[#This Row],[Big Non-Bank Lender]]-CurrentMtgRatesDataTable82[[#This Row],[Small Lender]]</f>
        <v>0.24905454973880126</v>
      </c>
      <c r="I25" s="20"/>
      <c r="K25">
        <v>201309</v>
      </c>
      <c r="L25">
        <v>4.4566747944018079</v>
      </c>
      <c r="N25">
        <v>201309</v>
      </c>
      <c r="O25">
        <v>4.4552943473404012</v>
      </c>
      <c r="P25" s="20">
        <f>VLOOKUP(CurrentMtgRatesDataTable82345[[#This Row],[calcOrigMonth_LL]],B:H,5,0)</f>
        <v>-7.4299522167005527E-2</v>
      </c>
      <c r="Q25" s="20">
        <f>VLOOKUP(CurrentMtgRatesDataTable82345[[#This Row],[calcOrigMonth_LL]],B:G,6,0)</f>
        <v>-7.5679969228412247E-2</v>
      </c>
    </row>
    <row r="26" spans="2:18">
      <c r="B26" s="25">
        <v>200611</v>
      </c>
      <c r="C26" s="20">
        <v>6.3353850615272451</v>
      </c>
      <c r="D26" s="20">
        <f>VLOOKUP(CurrentMtgRatesDataTable82[[#This Row],[calcOrigMonth_LL]],N:O,2,0)</f>
        <v>6.6562349777040133</v>
      </c>
      <c r="E26" s="20">
        <f>VLOOKUP(CurrentMtgRatesDataTable82[[#This Row],[calcOrigMonth_LL]],K:L,2,0)</f>
        <v>6.4408885469046879</v>
      </c>
      <c r="F26" s="20">
        <f>CurrentMtgRatesDataTable82[[#This Row],[WANoteRate]]-CurrentMtgRatesDataTable82[[#This Row],[Big Non-Bank Lender]]</f>
        <v>-0.32084991617676817</v>
      </c>
      <c r="G26" s="20">
        <f>CurrentMtgRatesDataTable82[[#This Row],[WANoteRate]]-CurrentMtgRatesDataTable82[[#This Row],[Small Lender]]</f>
        <v>-0.10550348537744281</v>
      </c>
      <c r="H26" s="20">
        <f>CurrentMtgRatesDataTable82[[#This Row],[Big Non-Bank Lender]]-CurrentMtgRatesDataTable82[[#This Row],[Small Lender]]</f>
        <v>0.21534643079932536</v>
      </c>
      <c r="I26" s="20"/>
      <c r="K26">
        <v>201308</v>
      </c>
      <c r="L26">
        <v>4.1224340180553183</v>
      </c>
      <c r="N26">
        <v>201308</v>
      </c>
      <c r="O26">
        <v>4.1608061748677532</v>
      </c>
      <c r="P26" s="20">
        <f>VLOOKUP(CurrentMtgRatesDataTable82345[[#This Row],[calcOrigMonth_LL]],B:H,5,0)</f>
        <v>-0.1273624626874712</v>
      </c>
      <c r="Q26" s="20">
        <f>VLOOKUP(CurrentMtgRatesDataTable82345[[#This Row],[calcOrigMonth_LL]],B:G,6,0)</f>
        <v>-8.8990305875036313E-2</v>
      </c>
    </row>
    <row r="27" spans="2:18">
      <c r="B27" s="25">
        <v>200612</v>
      </c>
      <c r="C27" s="20">
        <v>6.2819651938195431</v>
      </c>
      <c r="D27" s="20">
        <f>VLOOKUP(CurrentMtgRatesDataTable82[[#This Row],[calcOrigMonth_LL]],N:O,2,0)</f>
        <v>6.5958002067310222</v>
      </c>
      <c r="E27" s="20">
        <f>VLOOKUP(CurrentMtgRatesDataTable82[[#This Row],[calcOrigMonth_LL]],K:L,2,0)</f>
        <v>6.364220320307024</v>
      </c>
      <c r="F27" s="20">
        <f>CurrentMtgRatesDataTable82[[#This Row],[WANoteRate]]-CurrentMtgRatesDataTable82[[#This Row],[Big Non-Bank Lender]]</f>
        <v>-0.31383501291147908</v>
      </c>
      <c r="G27" s="20">
        <f>CurrentMtgRatesDataTable82[[#This Row],[WANoteRate]]-CurrentMtgRatesDataTable82[[#This Row],[Small Lender]]</f>
        <v>-8.2255126487480901E-2</v>
      </c>
      <c r="H27" s="20">
        <f>CurrentMtgRatesDataTable82[[#This Row],[Big Non-Bank Lender]]-CurrentMtgRatesDataTable82[[#This Row],[Small Lender]]</f>
        <v>0.23157988642399818</v>
      </c>
      <c r="I27" s="20"/>
      <c r="K27">
        <v>201307</v>
      </c>
      <c r="L27">
        <v>3.7429367460217517</v>
      </c>
      <c r="N27">
        <v>201307</v>
      </c>
      <c r="O27">
        <v>3.809079795446801</v>
      </c>
      <c r="P27" s="20">
        <f>VLOOKUP(CurrentMtgRatesDataTable82345[[#This Row],[calcOrigMonth_LL]],B:H,5,0)</f>
        <v>-1.9281134798397659E-2</v>
      </c>
      <c r="Q27" s="20">
        <f>VLOOKUP(CurrentMtgRatesDataTable82345[[#This Row],[calcOrigMonth_LL]],B:G,6,0)</f>
        <v>4.6861914626651568E-2</v>
      </c>
    </row>
    <row r="28" spans="2:18">
      <c r="B28" s="25">
        <v>200701</v>
      </c>
      <c r="C28" s="20">
        <v>6.1368199171769255</v>
      </c>
      <c r="D28" s="20">
        <f>VLOOKUP(CurrentMtgRatesDataTable82[[#This Row],[calcOrigMonth_LL]],N:O,2,0)</f>
        <v>6.5165441798144146</v>
      </c>
      <c r="E28" s="20">
        <f>VLOOKUP(CurrentMtgRatesDataTable82[[#This Row],[calcOrigMonth_LL]],K:L,2,0)</f>
        <v>6.1697818177973414</v>
      </c>
      <c r="F28" s="20">
        <f>CurrentMtgRatesDataTable82[[#This Row],[WANoteRate]]-CurrentMtgRatesDataTable82[[#This Row],[Big Non-Bank Lender]]</f>
        <v>-0.37972426263748904</v>
      </c>
      <c r="G28" s="20">
        <f>CurrentMtgRatesDataTable82[[#This Row],[WANoteRate]]-CurrentMtgRatesDataTable82[[#This Row],[Small Lender]]</f>
        <v>-3.2961900620415818E-2</v>
      </c>
      <c r="H28" s="20">
        <f>CurrentMtgRatesDataTable82[[#This Row],[Big Non-Bank Lender]]-CurrentMtgRatesDataTable82[[#This Row],[Small Lender]]</f>
        <v>0.34676236201707322</v>
      </c>
      <c r="I28" s="20"/>
      <c r="K28">
        <v>201306</v>
      </c>
      <c r="L28">
        <v>3.6470250575748029</v>
      </c>
      <c r="N28">
        <v>201306</v>
      </c>
      <c r="O28">
        <v>3.6899981864764606</v>
      </c>
      <c r="P28" s="20">
        <f>VLOOKUP(CurrentMtgRatesDataTable82345[[#This Row],[calcOrigMonth_LL]],B:H,5,0)</f>
        <v>1.835120992404482E-2</v>
      </c>
      <c r="Q28" s="20">
        <f>VLOOKUP(CurrentMtgRatesDataTable82345[[#This Row],[calcOrigMonth_LL]],B:G,6,0)</f>
        <v>6.132433882570254E-2</v>
      </c>
      <c r="R28" s="24"/>
    </row>
    <row r="29" spans="2:18">
      <c r="B29" s="25">
        <v>200702</v>
      </c>
      <c r="C29" s="20">
        <v>6.1123327196803432</v>
      </c>
      <c r="D29" s="20">
        <f>VLOOKUP(CurrentMtgRatesDataTable82[[#This Row],[calcOrigMonth_LL]],N:O,2,0)</f>
        <v>6.2247855552195306</v>
      </c>
      <c r="E29" s="20">
        <f>VLOOKUP(CurrentMtgRatesDataTable82[[#This Row],[calcOrigMonth_LL]],K:L,2,0)</f>
        <v>6.1797282938581333</v>
      </c>
      <c r="F29" s="20">
        <f>CurrentMtgRatesDataTable82[[#This Row],[WANoteRate]]-CurrentMtgRatesDataTable82[[#This Row],[Big Non-Bank Lender]]</f>
        <v>-0.11245283553918739</v>
      </c>
      <c r="G29" s="20">
        <f>CurrentMtgRatesDataTable82[[#This Row],[WANoteRate]]-CurrentMtgRatesDataTable82[[#This Row],[Small Lender]]</f>
        <v>-6.7395574177790074E-2</v>
      </c>
      <c r="H29" s="20">
        <f>CurrentMtgRatesDataTable82[[#This Row],[Big Non-Bank Lender]]-CurrentMtgRatesDataTable82[[#This Row],[Small Lender]]</f>
        <v>4.5057261361397316E-2</v>
      </c>
      <c r="I29" s="20"/>
      <c r="K29">
        <v>201305</v>
      </c>
      <c r="L29">
        <v>3.6883274307926048</v>
      </c>
      <c r="N29">
        <v>201305</v>
      </c>
      <c r="O29">
        <v>3.734625821568593</v>
      </c>
      <c r="P29" s="20">
        <f>VLOOKUP(CurrentMtgRatesDataTable82345[[#This Row],[calcOrigMonth_LL]],B:H,5,0)</f>
        <v>1.2911209490982234E-2</v>
      </c>
      <c r="Q29" s="20">
        <f>VLOOKUP(CurrentMtgRatesDataTable82345[[#This Row],[calcOrigMonth_LL]],B:G,6,0)</f>
        <v>5.9209600266970419E-2</v>
      </c>
    </row>
    <row r="30" spans="2:18">
      <c r="B30" s="25">
        <v>200703</v>
      </c>
      <c r="C30" s="20">
        <v>6.2734794151098203</v>
      </c>
      <c r="D30" s="20">
        <f>VLOOKUP(CurrentMtgRatesDataTable82[[#This Row],[calcOrigMonth_LL]],N:O,2,0)</f>
        <v>6.4917604311467896</v>
      </c>
      <c r="E30" s="20">
        <f>VLOOKUP(CurrentMtgRatesDataTable82[[#This Row],[calcOrigMonth_LL]],K:L,2,0)</f>
        <v>6.2234425216837197</v>
      </c>
      <c r="F30" s="20">
        <f>CurrentMtgRatesDataTable82[[#This Row],[WANoteRate]]-CurrentMtgRatesDataTable82[[#This Row],[Big Non-Bank Lender]]</f>
        <v>-0.21828101603696926</v>
      </c>
      <c r="G30" s="20">
        <f>CurrentMtgRatesDataTable82[[#This Row],[WANoteRate]]-CurrentMtgRatesDataTable82[[#This Row],[Small Lender]]</f>
        <v>5.0036893426100626E-2</v>
      </c>
      <c r="H30" s="20">
        <f>CurrentMtgRatesDataTable82[[#This Row],[Big Non-Bank Lender]]-CurrentMtgRatesDataTable82[[#This Row],[Small Lender]]</f>
        <v>0.26831790946306988</v>
      </c>
      <c r="I30" s="20"/>
      <c r="K30">
        <v>201304</v>
      </c>
      <c r="L30">
        <v>3.6675510999245118</v>
      </c>
      <c r="N30">
        <v>201304</v>
      </c>
      <c r="O30">
        <v>3.7207630263445588</v>
      </c>
      <c r="P30" s="20">
        <f>VLOOKUP(CurrentMtgRatesDataTable82345[[#This Row],[calcOrigMonth_LL]],B:H,5,0)</f>
        <v>-4.8622424749638071E-3</v>
      </c>
      <c r="Q30" s="20">
        <f>VLOOKUP(CurrentMtgRatesDataTable82345[[#This Row],[calcOrigMonth_LL]],B:G,6,0)</f>
        <v>4.8349683945083211E-2</v>
      </c>
    </row>
    <row r="31" spans="2:18">
      <c r="B31" s="25">
        <v>200704</v>
      </c>
      <c r="C31" s="20">
        <v>6.1704295704535417</v>
      </c>
      <c r="D31" s="20">
        <f>VLOOKUP(CurrentMtgRatesDataTable82[[#This Row],[calcOrigMonth_LL]],N:O,2,0)</f>
        <v>6.1436940835436173</v>
      </c>
      <c r="E31" s="20">
        <f>VLOOKUP(CurrentMtgRatesDataTable82[[#This Row],[calcOrigMonth_LL]],K:L,2,0)</f>
        <v>6.2021846357639685</v>
      </c>
      <c r="F31" s="20">
        <f>CurrentMtgRatesDataTable82[[#This Row],[WANoteRate]]-CurrentMtgRatesDataTable82[[#This Row],[Big Non-Bank Lender]]</f>
        <v>2.6735486909924333E-2</v>
      </c>
      <c r="G31" s="20">
        <f>CurrentMtgRatesDataTable82[[#This Row],[WANoteRate]]-CurrentMtgRatesDataTable82[[#This Row],[Small Lender]]</f>
        <v>-3.1755065310426822E-2</v>
      </c>
      <c r="H31" s="20">
        <f>CurrentMtgRatesDataTable82[[#This Row],[Big Non-Bank Lender]]-CurrentMtgRatesDataTable82[[#This Row],[Small Lender]]</f>
        <v>-5.8490552220351155E-2</v>
      </c>
      <c r="I31" s="20"/>
      <c r="K31">
        <v>201303</v>
      </c>
      <c r="L31">
        <v>3.5635432301412018</v>
      </c>
      <c r="N31">
        <v>201303</v>
      </c>
      <c r="O31">
        <v>3.6336289301730846</v>
      </c>
      <c r="P31" s="20">
        <f>VLOOKUP(CurrentMtgRatesDataTable82345[[#This Row],[calcOrigMonth_LL]],B:H,5,0)</f>
        <v>3.1792157299873836E-2</v>
      </c>
      <c r="Q31" s="20">
        <f>VLOOKUP(CurrentMtgRatesDataTable82345[[#This Row],[calcOrigMonth_LL]],B:G,6,0)</f>
        <v>0.10187785733175669</v>
      </c>
    </row>
    <row r="32" spans="2:18">
      <c r="B32" s="25">
        <v>200705</v>
      </c>
      <c r="C32" s="20">
        <v>6.175718493143064</v>
      </c>
      <c r="D32" s="20">
        <f>VLOOKUP(CurrentMtgRatesDataTable82[[#This Row],[calcOrigMonth_LL]],N:O,2,0)</f>
        <v>6.3683854405878879</v>
      </c>
      <c r="E32" s="20">
        <f>VLOOKUP(CurrentMtgRatesDataTable82[[#This Row],[calcOrigMonth_LL]],K:L,2,0)</f>
        <v>6.1235548857975219</v>
      </c>
      <c r="F32" s="20">
        <f>CurrentMtgRatesDataTable82[[#This Row],[WANoteRate]]-CurrentMtgRatesDataTable82[[#This Row],[Big Non-Bank Lender]]</f>
        <v>-0.19266694744482393</v>
      </c>
      <c r="G32" s="20">
        <f>CurrentMtgRatesDataTable82[[#This Row],[WANoteRate]]-CurrentMtgRatesDataTable82[[#This Row],[Small Lender]]</f>
        <v>5.216360734554204E-2</v>
      </c>
      <c r="H32" s="20">
        <f>CurrentMtgRatesDataTable82[[#This Row],[Big Non-Bank Lender]]-CurrentMtgRatesDataTable82[[#This Row],[Small Lender]]</f>
        <v>0.24483055479036597</v>
      </c>
      <c r="I32" s="20"/>
      <c r="K32">
        <v>201302</v>
      </c>
      <c r="L32">
        <v>3.480450320057606</v>
      </c>
      <c r="N32">
        <v>201302</v>
      </c>
      <c r="O32">
        <v>3.5305652798099412</v>
      </c>
      <c r="P32" s="20">
        <f>VLOOKUP(CurrentMtgRatesDataTable82345[[#This Row],[calcOrigMonth_LL]],B:H,5,0)</f>
        <v>3.4544149732259388E-2</v>
      </c>
      <c r="Q32" s="20">
        <f>VLOOKUP(CurrentMtgRatesDataTable82345[[#This Row],[calcOrigMonth_LL]],B:G,6,0)</f>
        <v>8.4659109484594541E-2</v>
      </c>
    </row>
    <row r="33" spans="2:17">
      <c r="B33" s="25">
        <v>200706</v>
      </c>
      <c r="C33" s="20">
        <v>6.2678029406831373</v>
      </c>
      <c r="D33" s="20">
        <f>VLOOKUP(CurrentMtgRatesDataTable82[[#This Row],[calcOrigMonth_LL]],N:O,2,0)</f>
        <v>6.3355453341663788</v>
      </c>
      <c r="E33" s="20">
        <f>VLOOKUP(CurrentMtgRatesDataTable82[[#This Row],[calcOrigMonth_LL]],K:L,2,0)</f>
        <v>6.1716869489849504</v>
      </c>
      <c r="F33" s="20">
        <f>CurrentMtgRatesDataTable82[[#This Row],[WANoteRate]]-CurrentMtgRatesDataTable82[[#This Row],[Big Non-Bank Lender]]</f>
        <v>-6.7742393483241514E-2</v>
      </c>
      <c r="G33" s="20">
        <f>CurrentMtgRatesDataTable82[[#This Row],[WANoteRate]]-CurrentMtgRatesDataTable82[[#This Row],[Small Lender]]</f>
        <v>9.6115991698186853E-2</v>
      </c>
      <c r="H33" s="20">
        <f>CurrentMtgRatesDataTable82[[#This Row],[Big Non-Bank Lender]]-CurrentMtgRatesDataTable82[[#This Row],[Small Lender]]</f>
        <v>0.16385838518142837</v>
      </c>
      <c r="I33" s="20"/>
      <c r="K33">
        <v>201301</v>
      </c>
      <c r="L33">
        <v>3.4831545600436118</v>
      </c>
      <c r="N33">
        <v>201301</v>
      </c>
      <c r="O33">
        <v>3.5356738614167749</v>
      </c>
      <c r="P33" s="20">
        <f>VLOOKUP(CurrentMtgRatesDataTable82345[[#This Row],[calcOrigMonth_LL]],B:H,5,0)</f>
        <v>1.1468031138047063E-2</v>
      </c>
      <c r="Q33" s="20">
        <f>VLOOKUP(CurrentMtgRatesDataTable82345[[#This Row],[calcOrigMonth_LL]],B:G,6,0)</f>
        <v>6.3987332511210138E-2</v>
      </c>
    </row>
    <row r="34" spans="2:17">
      <c r="B34" s="25">
        <v>200707</v>
      </c>
      <c r="C34" s="20">
        <v>6.3707306393361893</v>
      </c>
      <c r="D34" s="20">
        <f>VLOOKUP(CurrentMtgRatesDataTable82[[#This Row],[calcOrigMonth_LL]],N:O,2,0)</f>
        <v>6.5128185694447165</v>
      </c>
      <c r="E34" s="20">
        <f>VLOOKUP(CurrentMtgRatesDataTable82[[#This Row],[calcOrigMonth_LL]],K:L,2,0)</f>
        <v>6.3608083404395233</v>
      </c>
      <c r="F34" s="20">
        <f>CurrentMtgRatesDataTable82[[#This Row],[WANoteRate]]-CurrentMtgRatesDataTable82[[#This Row],[Big Non-Bank Lender]]</f>
        <v>-0.14208793010852716</v>
      </c>
      <c r="G34" s="20">
        <f>CurrentMtgRatesDataTable82[[#This Row],[WANoteRate]]-CurrentMtgRatesDataTable82[[#This Row],[Small Lender]]</f>
        <v>9.9222988966660708E-3</v>
      </c>
      <c r="H34" s="20">
        <f>CurrentMtgRatesDataTable82[[#This Row],[Big Non-Bank Lender]]-CurrentMtgRatesDataTable82[[#This Row],[Small Lender]]</f>
        <v>0.15201022900519323</v>
      </c>
      <c r="I34" s="20"/>
      <c r="K34">
        <v>201212</v>
      </c>
      <c r="L34">
        <v>3.4891184955937753</v>
      </c>
      <c r="N34">
        <v>201212</v>
      </c>
      <c r="O34">
        <v>3.5599321990530419</v>
      </c>
      <c r="P34" s="20">
        <f>VLOOKUP(CurrentMtgRatesDataTable82345[[#This Row],[calcOrigMonth_LL]],B:H,5,0)</f>
        <v>-3.2773096323928108E-3</v>
      </c>
      <c r="Q34" s="20">
        <f>VLOOKUP(CurrentMtgRatesDataTable82345[[#This Row],[calcOrigMonth_LL]],B:G,6,0)</f>
        <v>6.753639382687382E-2</v>
      </c>
    </row>
    <row r="35" spans="2:17">
      <c r="B35" s="25">
        <v>200708</v>
      </c>
      <c r="C35" s="20">
        <v>6.677306371014831</v>
      </c>
      <c r="D35" s="20">
        <f>VLOOKUP(CurrentMtgRatesDataTable82[[#This Row],[calcOrigMonth_LL]],N:O,2,0)</f>
        <v>6.757067555938038</v>
      </c>
      <c r="E35" s="20">
        <f>VLOOKUP(CurrentMtgRatesDataTable82[[#This Row],[calcOrigMonth_LL]],K:L,2,0)</f>
        <v>6.7430887071841861</v>
      </c>
      <c r="F35" s="20">
        <f>CurrentMtgRatesDataTable82[[#This Row],[WANoteRate]]-CurrentMtgRatesDataTable82[[#This Row],[Big Non-Bank Lender]]</f>
        <v>-7.976118492320694E-2</v>
      </c>
      <c r="G35" s="20">
        <f>CurrentMtgRatesDataTable82[[#This Row],[WANoteRate]]-CurrentMtgRatesDataTable82[[#This Row],[Small Lender]]</f>
        <v>-6.5782336169355027E-2</v>
      </c>
      <c r="H35" s="20">
        <f>CurrentMtgRatesDataTable82[[#This Row],[Big Non-Bank Lender]]-CurrentMtgRatesDataTable82[[#This Row],[Small Lender]]</f>
        <v>1.3978848753851914E-2</v>
      </c>
      <c r="I35" s="20"/>
      <c r="K35">
        <v>201211</v>
      </c>
      <c r="L35">
        <v>3.551464761451347</v>
      </c>
      <c r="N35">
        <v>201211</v>
      </c>
      <c r="O35">
        <v>3.6251165970848653</v>
      </c>
      <c r="P35" s="20">
        <f>VLOOKUP(CurrentMtgRatesDataTable82345[[#This Row],[calcOrigMonth_LL]],B:H,5,0)</f>
        <v>2.1479733091894548E-2</v>
      </c>
      <c r="Q35" s="20">
        <f>VLOOKUP(CurrentMtgRatesDataTable82345[[#This Row],[calcOrigMonth_LL]],B:G,6,0)</f>
        <v>9.5131568725412841E-2</v>
      </c>
    </row>
    <row r="36" spans="2:17">
      <c r="B36" s="25">
        <v>200709</v>
      </c>
      <c r="C36" s="20">
        <v>6.6678007935860659</v>
      </c>
      <c r="D36" s="20">
        <f>VLOOKUP(CurrentMtgRatesDataTable82[[#This Row],[calcOrigMonth_LL]],N:O,2,0)</f>
        <v>6.6361594609769794</v>
      </c>
      <c r="E36" s="20">
        <f>VLOOKUP(CurrentMtgRatesDataTable82[[#This Row],[calcOrigMonth_LL]],K:L,2,0)</f>
        <v>6.6714015129844402</v>
      </c>
      <c r="F36" s="20">
        <f>CurrentMtgRatesDataTable82[[#This Row],[WANoteRate]]-CurrentMtgRatesDataTable82[[#This Row],[Big Non-Bank Lender]]</f>
        <v>3.1641332609086525E-2</v>
      </c>
      <c r="G36" s="20">
        <f>CurrentMtgRatesDataTable82[[#This Row],[WANoteRate]]-CurrentMtgRatesDataTable82[[#This Row],[Small Lender]]</f>
        <v>-3.6007193983742525E-3</v>
      </c>
      <c r="H36" s="20">
        <f>CurrentMtgRatesDataTable82[[#This Row],[Big Non-Bank Lender]]-CurrentMtgRatesDataTable82[[#This Row],[Small Lender]]</f>
        <v>-3.5242052007460778E-2</v>
      </c>
      <c r="I36" s="20"/>
      <c r="K36">
        <v>201210</v>
      </c>
      <c r="L36">
        <v>3.6570797762038705</v>
      </c>
      <c r="N36">
        <v>201210</v>
      </c>
      <c r="O36">
        <v>3.7349146717138493</v>
      </c>
      <c r="P36" s="20">
        <f>VLOOKUP(CurrentMtgRatesDataTable82345[[#This Row],[calcOrigMonth_LL]],B:H,5,0)</f>
        <v>-1.4196243410268039E-2</v>
      </c>
      <c r="Q36" s="20">
        <f>VLOOKUP(CurrentMtgRatesDataTable82345[[#This Row],[calcOrigMonth_LL]],B:G,6,0)</f>
        <v>6.3638652099710757E-2</v>
      </c>
    </row>
    <row r="37" spans="2:17">
      <c r="B37" s="25">
        <v>200710</v>
      </c>
      <c r="C37" s="20">
        <v>6.5348683303144917</v>
      </c>
      <c r="D37" s="20">
        <f>VLOOKUP(CurrentMtgRatesDataTable82[[#This Row],[calcOrigMonth_LL]],N:O,2,0)</f>
        <v>6.4826944663867296</v>
      </c>
      <c r="E37" s="20">
        <f>VLOOKUP(CurrentMtgRatesDataTable82[[#This Row],[calcOrigMonth_LL]],K:L,2,0)</f>
        <v>6.5197712529279972</v>
      </c>
      <c r="F37" s="20">
        <f>CurrentMtgRatesDataTable82[[#This Row],[WANoteRate]]-CurrentMtgRatesDataTable82[[#This Row],[Big Non-Bank Lender]]</f>
        <v>5.2173863927762021E-2</v>
      </c>
      <c r="G37" s="20">
        <f>CurrentMtgRatesDataTable82[[#This Row],[WANoteRate]]-CurrentMtgRatesDataTable82[[#This Row],[Small Lender]]</f>
        <v>1.5097077386494462E-2</v>
      </c>
      <c r="H37" s="20">
        <f>CurrentMtgRatesDataTable82[[#This Row],[Big Non-Bank Lender]]-CurrentMtgRatesDataTable82[[#This Row],[Small Lender]]</f>
        <v>-3.7076786541267559E-2</v>
      </c>
      <c r="I37" s="20"/>
      <c r="K37">
        <v>201209</v>
      </c>
      <c r="L37">
        <v>3.6880503208118469</v>
      </c>
      <c r="N37">
        <v>201209</v>
      </c>
      <c r="O37">
        <v>3.7599690270473811</v>
      </c>
      <c r="P37" s="20">
        <f>VLOOKUP(CurrentMtgRatesDataTable82345[[#This Row],[calcOrigMonth_LL]],B:H,5,0)</f>
        <v>-1.503942519919077E-2</v>
      </c>
      <c r="Q37" s="20">
        <f>VLOOKUP(CurrentMtgRatesDataTable82345[[#This Row],[calcOrigMonth_LL]],B:G,6,0)</f>
        <v>5.6879281036343432E-2</v>
      </c>
    </row>
    <row r="38" spans="2:17">
      <c r="B38" s="25">
        <v>200711</v>
      </c>
      <c r="C38" s="20">
        <v>6.4527250274341563</v>
      </c>
      <c r="D38" s="20">
        <f>VLOOKUP(CurrentMtgRatesDataTable82[[#This Row],[calcOrigMonth_LL]],N:O,2,0)</f>
        <v>6.4640508086970341</v>
      </c>
      <c r="E38" s="20">
        <f>VLOOKUP(CurrentMtgRatesDataTable82[[#This Row],[calcOrigMonth_LL]],K:L,2,0)</f>
        <v>6.3856406924409024</v>
      </c>
      <c r="F38" s="20">
        <f>CurrentMtgRatesDataTable82[[#This Row],[WANoteRate]]-CurrentMtgRatesDataTable82[[#This Row],[Big Non-Bank Lender]]</f>
        <v>-1.1325781262877754E-2</v>
      </c>
      <c r="G38" s="20">
        <f>CurrentMtgRatesDataTable82[[#This Row],[WANoteRate]]-CurrentMtgRatesDataTable82[[#This Row],[Small Lender]]</f>
        <v>6.7084334993253947E-2</v>
      </c>
      <c r="H38" s="20">
        <f>CurrentMtgRatesDataTable82[[#This Row],[Big Non-Bank Lender]]-CurrentMtgRatesDataTable82[[#This Row],[Small Lender]]</f>
        <v>7.8410116256131701E-2</v>
      </c>
      <c r="I38" s="20"/>
      <c r="K38">
        <v>201208</v>
      </c>
      <c r="L38">
        <v>3.7803988484297024</v>
      </c>
      <c r="N38">
        <v>201208</v>
      </c>
      <c r="O38">
        <v>3.8173751839488461</v>
      </c>
      <c r="P38" s="20">
        <f>VLOOKUP(CurrentMtgRatesDataTable82345[[#This Row],[calcOrigMonth_LL]],B:H,5,0)</f>
        <v>1.3017691854524394E-2</v>
      </c>
      <c r="Q38" s="20">
        <f>VLOOKUP(CurrentMtgRatesDataTable82345[[#This Row],[calcOrigMonth_LL]],B:G,6,0)</f>
        <v>4.9994027373668093E-2</v>
      </c>
    </row>
    <row r="39" spans="2:17">
      <c r="B39" s="25">
        <v>200712</v>
      </c>
      <c r="C39" s="20">
        <v>6.3124919391191439</v>
      </c>
      <c r="D39" s="20">
        <f>VLOOKUP(CurrentMtgRatesDataTable82[[#This Row],[calcOrigMonth_LL]],N:O,2,0)</f>
        <v>6.4721562089634279</v>
      </c>
      <c r="E39" s="20">
        <f>VLOOKUP(CurrentMtgRatesDataTable82[[#This Row],[calcOrigMonth_LL]],K:L,2,0)</f>
        <v>6.3334680893234667</v>
      </c>
      <c r="F39" s="20">
        <f>CurrentMtgRatesDataTable82[[#This Row],[WANoteRate]]-CurrentMtgRatesDataTable82[[#This Row],[Big Non-Bank Lender]]</f>
        <v>-0.15966426984428406</v>
      </c>
      <c r="G39" s="20">
        <f>CurrentMtgRatesDataTable82[[#This Row],[WANoteRate]]-CurrentMtgRatesDataTable82[[#This Row],[Small Lender]]</f>
        <v>-2.0976150204322863E-2</v>
      </c>
      <c r="H39" s="20">
        <f>CurrentMtgRatesDataTable82[[#This Row],[Big Non-Bank Lender]]-CurrentMtgRatesDataTable82[[#This Row],[Small Lender]]</f>
        <v>0.13868811963996119</v>
      </c>
      <c r="I39" s="20"/>
      <c r="K39">
        <v>201207</v>
      </c>
      <c r="L39">
        <v>3.8869674248049821</v>
      </c>
      <c r="N39">
        <v>201207</v>
      </c>
      <c r="O39">
        <v>3.9169104867537654</v>
      </c>
      <c r="P39" s="20">
        <f>VLOOKUP(CurrentMtgRatesDataTable82345[[#This Row],[calcOrigMonth_LL]],B:H,5,0)</f>
        <v>3.8253768990810233E-2</v>
      </c>
      <c r="Q39" s="20">
        <f>VLOOKUP(CurrentMtgRatesDataTable82345[[#This Row],[calcOrigMonth_LL]],B:G,6,0)</f>
        <v>6.81968309395935E-2</v>
      </c>
    </row>
    <row r="40" spans="2:17">
      <c r="B40" s="25">
        <v>200801</v>
      </c>
      <c r="C40" s="20">
        <v>6.1110091593399867</v>
      </c>
      <c r="D40" s="20">
        <f>VLOOKUP(CurrentMtgRatesDataTable82[[#This Row],[calcOrigMonth_LL]],N:O,2,0)</f>
        <v>6.3337756925243651</v>
      </c>
      <c r="E40" s="20">
        <f>VLOOKUP(CurrentMtgRatesDataTable82[[#This Row],[calcOrigMonth_LL]],K:L,2,0)</f>
        <v>6.1644542409341296</v>
      </c>
      <c r="F40" s="20">
        <f>CurrentMtgRatesDataTable82[[#This Row],[WANoteRate]]-CurrentMtgRatesDataTable82[[#This Row],[Big Non-Bank Lender]]</f>
        <v>-0.22276653318437845</v>
      </c>
      <c r="G40" s="20">
        <f>CurrentMtgRatesDataTable82[[#This Row],[WANoteRate]]-CurrentMtgRatesDataTable82[[#This Row],[Small Lender]]</f>
        <v>-5.3445081594142962E-2</v>
      </c>
      <c r="H40" s="20">
        <f>CurrentMtgRatesDataTable82[[#This Row],[Big Non-Bank Lender]]-CurrentMtgRatesDataTable82[[#This Row],[Small Lender]]</f>
        <v>0.16932145159023548</v>
      </c>
      <c r="I40" s="20"/>
      <c r="K40">
        <v>201206</v>
      </c>
      <c r="L40">
        <v>4.0072850818423413</v>
      </c>
      <c r="N40">
        <v>201206</v>
      </c>
      <c r="O40">
        <v>4.0291610650154039</v>
      </c>
      <c r="P40" s="20">
        <f>VLOOKUP(CurrentMtgRatesDataTable82345[[#This Row],[calcOrigMonth_LL]],B:H,5,0)</f>
        <v>8.2789178326874158E-2</v>
      </c>
      <c r="Q40" s="20">
        <f>VLOOKUP(CurrentMtgRatesDataTable82345[[#This Row],[calcOrigMonth_LL]],B:G,6,0)</f>
        <v>0.10466516149993677</v>
      </c>
    </row>
    <row r="41" spans="2:17">
      <c r="B41" s="25">
        <v>200802</v>
      </c>
      <c r="C41" s="20">
        <v>5.8675506804778834</v>
      </c>
      <c r="D41" s="20">
        <f>VLOOKUP(CurrentMtgRatesDataTable82[[#This Row],[calcOrigMonth_LL]],N:O,2,0)</f>
        <v>5.9382550548379482</v>
      </c>
      <c r="E41" s="20">
        <f>VLOOKUP(CurrentMtgRatesDataTable82[[#This Row],[calcOrigMonth_LL]],K:L,2,0)</f>
        <v>5.8565984089235998</v>
      </c>
      <c r="F41" s="20">
        <f>CurrentMtgRatesDataTable82[[#This Row],[WANoteRate]]-CurrentMtgRatesDataTable82[[#This Row],[Big Non-Bank Lender]]</f>
        <v>-7.0704374360064826E-2</v>
      </c>
      <c r="G41" s="20">
        <f>CurrentMtgRatesDataTable82[[#This Row],[WANoteRate]]-CurrentMtgRatesDataTable82[[#This Row],[Small Lender]]</f>
        <v>1.0952271554283577E-2</v>
      </c>
      <c r="H41" s="20">
        <f>CurrentMtgRatesDataTable82[[#This Row],[Big Non-Bank Lender]]-CurrentMtgRatesDataTable82[[#This Row],[Small Lender]]</f>
        <v>8.1656645914348402E-2</v>
      </c>
      <c r="I41" s="20"/>
      <c r="K41">
        <v>201205</v>
      </c>
      <c r="L41">
        <v>4.023797927239662</v>
      </c>
      <c r="N41">
        <v>201205</v>
      </c>
      <c r="O41">
        <v>4.0884115861838524</v>
      </c>
      <c r="P41" s="20">
        <f>VLOOKUP(CurrentMtgRatesDataTable82345[[#This Row],[calcOrigMonth_LL]],B:H,5,0)</f>
        <v>3.2682790449163335E-2</v>
      </c>
      <c r="Q41" s="20">
        <f>VLOOKUP(CurrentMtgRatesDataTable82345[[#This Row],[calcOrigMonth_LL]],B:G,6,0)</f>
        <v>9.729644939335369E-2</v>
      </c>
    </row>
    <row r="42" spans="2:17">
      <c r="B42" s="25">
        <v>200803</v>
      </c>
      <c r="C42" s="20">
        <v>5.5997468624741797</v>
      </c>
      <c r="D42" s="20">
        <f>VLOOKUP(CurrentMtgRatesDataTable82[[#This Row],[calcOrigMonth_LL]],N:O,2,0)</f>
        <v>5.6626788191799058</v>
      </c>
      <c r="E42" s="20">
        <f>VLOOKUP(CurrentMtgRatesDataTable82[[#This Row],[calcOrigMonth_LL]],K:L,2,0)</f>
        <v>5.5831625513869279</v>
      </c>
      <c r="F42" s="20">
        <f>CurrentMtgRatesDataTable82[[#This Row],[WANoteRate]]-CurrentMtgRatesDataTable82[[#This Row],[Big Non-Bank Lender]]</f>
        <v>-6.2931956705726044E-2</v>
      </c>
      <c r="G42" s="20">
        <f>CurrentMtgRatesDataTable82[[#This Row],[WANoteRate]]-CurrentMtgRatesDataTable82[[#This Row],[Small Lender]]</f>
        <v>1.6584311087251891E-2</v>
      </c>
      <c r="H42" s="20">
        <f>CurrentMtgRatesDataTable82[[#This Row],[Big Non-Bank Lender]]-CurrentMtgRatesDataTable82[[#This Row],[Small Lender]]</f>
        <v>7.9516267792977935E-2</v>
      </c>
      <c r="I42" s="20"/>
      <c r="K42">
        <v>201204</v>
      </c>
      <c r="L42">
        <v>3.9610702730041729</v>
      </c>
      <c r="N42">
        <v>201204</v>
      </c>
      <c r="O42">
        <v>4.0434365635653133</v>
      </c>
      <c r="P42" s="20">
        <f>VLOOKUP(CurrentMtgRatesDataTable82345[[#This Row],[calcOrigMonth_LL]],B:H,5,0)</f>
        <v>2.0374990954799443E-2</v>
      </c>
      <c r="Q42" s="20">
        <f>VLOOKUP(CurrentMtgRatesDataTable82345[[#This Row],[calcOrigMonth_LL]],B:G,6,0)</f>
        <v>0.10274128151593986</v>
      </c>
    </row>
    <row r="43" spans="2:17">
      <c r="B43" s="25">
        <v>200804</v>
      </c>
      <c r="C43" s="20">
        <v>5.7553322883539204</v>
      </c>
      <c r="D43" s="20">
        <f>VLOOKUP(CurrentMtgRatesDataTable82[[#This Row],[calcOrigMonth_LL]],N:O,2,0)</f>
        <v>5.9386735306513714</v>
      </c>
      <c r="E43" s="20">
        <f>VLOOKUP(CurrentMtgRatesDataTable82[[#This Row],[calcOrigMonth_LL]],K:L,2,0)</f>
        <v>5.761183617089916</v>
      </c>
      <c r="F43" s="20">
        <f>CurrentMtgRatesDataTable82[[#This Row],[WANoteRate]]-CurrentMtgRatesDataTable82[[#This Row],[Big Non-Bank Lender]]</f>
        <v>-0.18334124229745097</v>
      </c>
      <c r="G43" s="20">
        <f>CurrentMtgRatesDataTable82[[#This Row],[WANoteRate]]-CurrentMtgRatesDataTable82[[#This Row],[Small Lender]]</f>
        <v>-5.8513287359955868E-3</v>
      </c>
      <c r="H43" s="20">
        <f>CurrentMtgRatesDataTable82[[#This Row],[Big Non-Bank Lender]]-CurrentMtgRatesDataTable82[[#This Row],[Small Lender]]</f>
        <v>0.17748991356145538</v>
      </c>
      <c r="I43" s="20"/>
      <c r="K43">
        <v>201203</v>
      </c>
      <c r="L43">
        <v>3.9693919772562452</v>
      </c>
      <c r="N43">
        <v>201203</v>
      </c>
      <c r="O43">
        <v>4.0554087567918957</v>
      </c>
      <c r="P43" s="20">
        <f>VLOOKUP(CurrentMtgRatesDataTable82345[[#This Row],[calcOrigMonth_LL]],B:H,5,0)</f>
        <v>2.6437012186102393E-3</v>
      </c>
      <c r="Q43" s="20">
        <f>VLOOKUP(CurrentMtgRatesDataTable82345[[#This Row],[calcOrigMonth_LL]],B:G,6,0)</f>
        <v>8.8660480754260806E-2</v>
      </c>
    </row>
    <row r="44" spans="2:17">
      <c r="B44" s="25">
        <v>200805</v>
      </c>
      <c r="C44" s="20">
        <v>5.8169697589589697</v>
      </c>
      <c r="D44" s="20">
        <f>VLOOKUP(CurrentMtgRatesDataTable82[[#This Row],[calcOrigMonth_LL]],N:O,2,0)</f>
        <v>5.7946481701635451</v>
      </c>
      <c r="E44" s="20">
        <f>VLOOKUP(CurrentMtgRatesDataTable82[[#This Row],[calcOrigMonth_LL]],K:L,2,0)</f>
        <v>5.7871827480997684</v>
      </c>
      <c r="F44" s="20">
        <f>CurrentMtgRatesDataTable82[[#This Row],[WANoteRate]]-CurrentMtgRatesDataTable82[[#This Row],[Big Non-Bank Lender]]</f>
        <v>2.2321588795424674E-2</v>
      </c>
      <c r="G44" s="20">
        <f>CurrentMtgRatesDataTable82[[#This Row],[WANoteRate]]-CurrentMtgRatesDataTable82[[#This Row],[Small Lender]]</f>
        <v>2.9787010859201324E-2</v>
      </c>
      <c r="H44" s="20">
        <f>CurrentMtgRatesDataTable82[[#This Row],[Big Non-Bank Lender]]-CurrentMtgRatesDataTable82[[#This Row],[Small Lender]]</f>
        <v>7.46542206377665E-3</v>
      </c>
      <c r="I44" s="20"/>
      <c r="K44">
        <v>201202</v>
      </c>
      <c r="L44">
        <v>4.0486123306079431</v>
      </c>
      <c r="N44">
        <v>201202</v>
      </c>
      <c r="O44">
        <v>4.0880277900203357</v>
      </c>
      <c r="P44" s="20">
        <f>VLOOKUP(CurrentMtgRatesDataTable82345[[#This Row],[calcOrigMonth_LL]],B:H,5,0)</f>
        <v>4.0076727529355871E-2</v>
      </c>
      <c r="Q44" s="20">
        <f>VLOOKUP(CurrentMtgRatesDataTable82345[[#This Row],[calcOrigMonth_LL]],B:G,6,0)</f>
        <v>7.9492186941748422E-2</v>
      </c>
    </row>
    <row r="45" spans="2:17">
      <c r="B45" s="25">
        <v>200806</v>
      </c>
      <c r="C45" s="20">
        <v>5.9213250806722435</v>
      </c>
      <c r="D45" s="20">
        <f>VLOOKUP(CurrentMtgRatesDataTable82[[#This Row],[calcOrigMonth_LL]],N:O,2,0)</f>
        <v>6.0392686203711481</v>
      </c>
      <c r="E45" s="20">
        <f>VLOOKUP(CurrentMtgRatesDataTable82[[#This Row],[calcOrigMonth_LL]],K:L,2,0)</f>
        <v>5.843661200208313</v>
      </c>
      <c r="F45" s="20">
        <f>CurrentMtgRatesDataTable82[[#This Row],[WANoteRate]]-CurrentMtgRatesDataTable82[[#This Row],[Big Non-Bank Lender]]</f>
        <v>-0.11794353969890459</v>
      </c>
      <c r="G45" s="20">
        <f>CurrentMtgRatesDataTable82[[#This Row],[WANoteRate]]-CurrentMtgRatesDataTable82[[#This Row],[Small Lender]]</f>
        <v>7.7663880463930468E-2</v>
      </c>
      <c r="H45" s="20">
        <f>CurrentMtgRatesDataTable82[[#This Row],[Big Non-Bank Lender]]-CurrentMtgRatesDataTable82[[#This Row],[Small Lender]]</f>
        <v>0.19560742016283506</v>
      </c>
      <c r="I45" s="20"/>
      <c r="K45">
        <v>201201</v>
      </c>
      <c r="L45">
        <v>4.1259013998423599</v>
      </c>
      <c r="N45">
        <v>201201</v>
      </c>
      <c r="O45">
        <v>4.1571822675333134</v>
      </c>
      <c r="P45" s="20">
        <f>VLOOKUP(CurrentMtgRatesDataTable82345[[#This Row],[calcOrigMonth_LL]],B:H,5,0)</f>
        <v>6.3284940432287051E-2</v>
      </c>
      <c r="Q45" s="20">
        <f>VLOOKUP(CurrentMtgRatesDataTable82345[[#This Row],[calcOrigMonth_LL]],B:G,6,0)</f>
        <v>9.4565808123240558E-2</v>
      </c>
    </row>
    <row r="46" spans="2:17">
      <c r="B46" s="25">
        <v>200807</v>
      </c>
      <c r="C46" s="20">
        <v>6.0029308486846045</v>
      </c>
      <c r="D46" s="20">
        <f>VLOOKUP(CurrentMtgRatesDataTable82[[#This Row],[calcOrigMonth_LL]],N:O,2,0)</f>
        <v>6.1355113407054649</v>
      </c>
      <c r="E46" s="20">
        <f>VLOOKUP(CurrentMtgRatesDataTable82[[#This Row],[calcOrigMonth_LL]],K:L,2,0)</f>
        <v>6.0397158687936123</v>
      </c>
      <c r="F46" s="20">
        <f>CurrentMtgRatesDataTable82[[#This Row],[WANoteRate]]-CurrentMtgRatesDataTable82[[#This Row],[Big Non-Bank Lender]]</f>
        <v>-0.13258049202086042</v>
      </c>
      <c r="G46" s="20">
        <f>CurrentMtgRatesDataTable82[[#This Row],[WANoteRate]]-CurrentMtgRatesDataTable82[[#This Row],[Small Lender]]</f>
        <v>-3.678502010900786E-2</v>
      </c>
      <c r="H46" s="20">
        <f>CurrentMtgRatesDataTable82[[#This Row],[Big Non-Bank Lender]]-CurrentMtgRatesDataTable82[[#This Row],[Small Lender]]</f>
        <v>9.5795471911852559E-2</v>
      </c>
      <c r="I46" s="20"/>
      <c r="K46">
        <v>201112</v>
      </c>
      <c r="L46">
        <v>4.118895830233563</v>
      </c>
      <c r="N46">
        <v>201112</v>
      </c>
      <c r="O46">
        <v>4.1634464949843828</v>
      </c>
      <c r="P46" s="20">
        <f>VLOOKUP(CurrentMtgRatesDataTable82345[[#This Row],[calcOrigMonth_LL]],B:H,5,0)</f>
        <v>5.614792686255754E-2</v>
      </c>
      <c r="Q46" s="20">
        <f>VLOOKUP(CurrentMtgRatesDataTable82345[[#This Row],[calcOrigMonth_LL]],B:G,6,0)</f>
        <v>0.10069859161337735</v>
      </c>
    </row>
    <row r="47" spans="2:17">
      <c r="B47" s="25">
        <v>200808</v>
      </c>
      <c r="C47" s="20">
        <v>6.3240655492943301</v>
      </c>
      <c r="D47" s="20">
        <f>VLOOKUP(CurrentMtgRatesDataTable82[[#This Row],[calcOrigMonth_LL]],N:O,2,0)</f>
        <v>6.5646607231399621</v>
      </c>
      <c r="E47" s="20">
        <f>VLOOKUP(CurrentMtgRatesDataTable82[[#This Row],[calcOrigMonth_LL]],K:L,2,0)</f>
        <v>6.3000244935377712</v>
      </c>
      <c r="F47" s="20">
        <f>CurrentMtgRatesDataTable82[[#This Row],[WANoteRate]]-CurrentMtgRatesDataTable82[[#This Row],[Big Non-Bank Lender]]</f>
        <v>-0.240595173845632</v>
      </c>
      <c r="G47" s="20">
        <f>CurrentMtgRatesDataTable82[[#This Row],[WANoteRate]]-CurrentMtgRatesDataTable82[[#This Row],[Small Lender]]</f>
        <v>2.4041055756558904E-2</v>
      </c>
      <c r="H47" s="20">
        <f>CurrentMtgRatesDataTable82[[#This Row],[Big Non-Bank Lender]]-CurrentMtgRatesDataTable82[[#This Row],[Small Lender]]</f>
        <v>0.26463622960219091</v>
      </c>
      <c r="I47" s="20"/>
      <c r="K47">
        <v>201111</v>
      </c>
      <c r="L47">
        <v>4.1698816799644369</v>
      </c>
      <c r="N47">
        <v>201111</v>
      </c>
      <c r="O47">
        <v>4.2034567692180884</v>
      </c>
      <c r="P47" s="20">
        <f>VLOOKUP(CurrentMtgRatesDataTable82345[[#This Row],[calcOrigMonth_LL]],B:H,5,0)</f>
        <v>5.676589612676608E-2</v>
      </c>
      <c r="Q47" s="20">
        <f>VLOOKUP(CurrentMtgRatesDataTable82345[[#This Row],[calcOrigMonth_LL]],B:G,6,0)</f>
        <v>9.0340985380417571E-2</v>
      </c>
    </row>
    <row r="48" spans="2:17">
      <c r="B48" s="25">
        <v>200809</v>
      </c>
      <c r="C48" s="20">
        <v>6.4204483470980707</v>
      </c>
      <c r="D48" s="20">
        <f>VLOOKUP(CurrentMtgRatesDataTable82[[#This Row],[calcOrigMonth_LL]],N:O,2,0)</f>
        <v>6.4144272844272843</v>
      </c>
      <c r="E48" s="20">
        <f>VLOOKUP(CurrentMtgRatesDataTable82[[#This Row],[calcOrigMonth_LL]],K:L,2,0)</f>
        <v>6.4337984005909297</v>
      </c>
      <c r="F48" s="20">
        <f>CurrentMtgRatesDataTable82[[#This Row],[WANoteRate]]-CurrentMtgRatesDataTable82[[#This Row],[Big Non-Bank Lender]]</f>
        <v>6.0210626707863923E-3</v>
      </c>
      <c r="G48" s="20">
        <f>CurrentMtgRatesDataTable82[[#This Row],[WANoteRate]]-CurrentMtgRatesDataTable82[[#This Row],[Small Lender]]</f>
        <v>-1.3350053492859004E-2</v>
      </c>
      <c r="H48" s="20">
        <f>CurrentMtgRatesDataTable82[[#This Row],[Big Non-Bank Lender]]-CurrentMtgRatesDataTable82[[#This Row],[Small Lender]]</f>
        <v>-1.9371116163645397E-2</v>
      </c>
      <c r="I48" s="20"/>
      <c r="K48">
        <v>201110</v>
      </c>
      <c r="L48">
        <v>4.2946674282793431</v>
      </c>
      <c r="N48">
        <v>201110</v>
      </c>
      <c r="O48">
        <v>4.3109516782640247</v>
      </c>
      <c r="P48" s="20">
        <f>VLOOKUP(CurrentMtgRatesDataTable82345[[#This Row],[calcOrigMonth_LL]],B:H,5,0)</f>
        <v>0.10357743124524088</v>
      </c>
      <c r="Q48" s="20">
        <f>VLOOKUP(CurrentMtgRatesDataTable82345[[#This Row],[calcOrigMonth_LL]],B:G,6,0)</f>
        <v>0.11986168122992247</v>
      </c>
    </row>
    <row r="49" spans="2:17">
      <c r="B49" s="25">
        <v>200810</v>
      </c>
      <c r="C49" s="20">
        <v>6.0822656928193917</v>
      </c>
      <c r="D49" s="20">
        <f>VLOOKUP(CurrentMtgRatesDataTable82[[#This Row],[calcOrigMonth_LL]],N:O,2,0)</f>
        <v>6.2369303849846069</v>
      </c>
      <c r="E49" s="20">
        <f>VLOOKUP(CurrentMtgRatesDataTable82[[#This Row],[calcOrigMonth_LL]],K:L,2,0)</f>
        <v>6.0896790065357971</v>
      </c>
      <c r="F49" s="20">
        <f>CurrentMtgRatesDataTable82[[#This Row],[WANoteRate]]-CurrentMtgRatesDataTable82[[#This Row],[Big Non-Bank Lender]]</f>
        <v>-0.15466469216521528</v>
      </c>
      <c r="G49" s="20">
        <f>CurrentMtgRatesDataTable82[[#This Row],[WANoteRate]]-CurrentMtgRatesDataTable82[[#This Row],[Small Lender]]</f>
        <v>-7.4133137164054119E-3</v>
      </c>
      <c r="H49" s="20">
        <f>CurrentMtgRatesDataTable82[[#This Row],[Big Non-Bank Lender]]-CurrentMtgRatesDataTable82[[#This Row],[Small Lender]]</f>
        <v>0.14725137844880987</v>
      </c>
      <c r="I49" s="20"/>
      <c r="K49">
        <v>201109</v>
      </c>
      <c r="L49">
        <v>4.5556647248416446</v>
      </c>
      <c r="N49">
        <v>201109</v>
      </c>
      <c r="O49">
        <v>4.6876430833502996</v>
      </c>
      <c r="P49" s="20">
        <f>VLOOKUP(CurrentMtgRatesDataTable82345[[#This Row],[calcOrigMonth_LL]],B:H,5,0)</f>
        <v>-2.9623501258448925E-2</v>
      </c>
      <c r="Q49" s="20">
        <f>VLOOKUP(CurrentMtgRatesDataTable82345[[#This Row],[calcOrigMonth_LL]],B:G,6,0)</f>
        <v>0.10235485725020599</v>
      </c>
    </row>
    <row r="50" spans="2:17">
      <c r="B50" s="25">
        <v>200811</v>
      </c>
      <c r="C50" s="20">
        <v>5.8933863825906005</v>
      </c>
      <c r="D50" s="20">
        <f>VLOOKUP(CurrentMtgRatesDataTable82[[#This Row],[calcOrigMonth_LL]],N:O,2,0)</f>
        <v>5.9640574480148336</v>
      </c>
      <c r="E50" s="20">
        <f>VLOOKUP(CurrentMtgRatesDataTable82[[#This Row],[calcOrigMonth_LL]],K:L,2,0)</f>
        <v>5.9182345866314154</v>
      </c>
      <c r="F50" s="20">
        <f>CurrentMtgRatesDataTable82[[#This Row],[WANoteRate]]-CurrentMtgRatesDataTable82[[#This Row],[Big Non-Bank Lender]]</f>
        <v>-7.067106542423307E-2</v>
      </c>
      <c r="G50" s="20">
        <f>CurrentMtgRatesDataTable82[[#This Row],[WANoteRate]]-CurrentMtgRatesDataTable82[[#This Row],[Small Lender]]</f>
        <v>-2.4848204040814892E-2</v>
      </c>
      <c r="H50" s="20">
        <f>CurrentMtgRatesDataTable82[[#This Row],[Big Non-Bank Lender]]-CurrentMtgRatesDataTable82[[#This Row],[Small Lender]]</f>
        <v>4.5822861383418179E-2</v>
      </c>
      <c r="I50" s="20"/>
      <c r="K50">
        <v>201108</v>
      </c>
      <c r="L50">
        <v>4.6980877011206443</v>
      </c>
      <c r="N50">
        <v>201108</v>
      </c>
      <c r="O50">
        <v>4.6947218186488788</v>
      </c>
      <c r="P50" s="20">
        <f>VLOOKUP(CurrentMtgRatesDataTable82345[[#This Row],[calcOrigMonth_LL]],B:H,5,0)</f>
        <v>7.4900684612455137E-2</v>
      </c>
      <c r="Q50" s="20">
        <f>VLOOKUP(CurrentMtgRatesDataTable82345[[#This Row],[calcOrigMonth_LL]],B:G,6,0)</f>
        <v>7.1534802140689635E-2</v>
      </c>
    </row>
    <row r="51" spans="2:17">
      <c r="B51" s="25">
        <v>200812</v>
      </c>
      <c r="C51" s="20">
        <v>5.9619963430663541</v>
      </c>
      <c r="D51" s="20">
        <f>VLOOKUP(CurrentMtgRatesDataTable82[[#This Row],[calcOrigMonth_LL]],N:O,2,0)</f>
        <v>5.875</v>
      </c>
      <c r="E51" s="20">
        <f>VLOOKUP(CurrentMtgRatesDataTable82[[#This Row],[calcOrigMonth_LL]],K:L,2,0)</f>
        <v>5.9953763294180238</v>
      </c>
      <c r="F51" s="20">
        <f>CurrentMtgRatesDataTable82[[#This Row],[WANoteRate]]-CurrentMtgRatesDataTable82[[#This Row],[Big Non-Bank Lender]]</f>
        <v>8.6996343066354065E-2</v>
      </c>
      <c r="G51" s="20">
        <f>CurrentMtgRatesDataTable82[[#This Row],[WANoteRate]]-CurrentMtgRatesDataTable82[[#This Row],[Small Lender]]</f>
        <v>-3.3379986351669722E-2</v>
      </c>
      <c r="H51" s="20">
        <f>CurrentMtgRatesDataTable82[[#This Row],[Big Non-Bank Lender]]-CurrentMtgRatesDataTable82[[#This Row],[Small Lender]]</f>
        <v>-0.12037632941802379</v>
      </c>
      <c r="I51" s="20"/>
      <c r="K51">
        <v>201107</v>
      </c>
      <c r="L51">
        <v>4.8036687128784106</v>
      </c>
      <c r="N51">
        <v>201107</v>
      </c>
      <c r="O51">
        <v>4.8229856045759059</v>
      </c>
      <c r="P51" s="20">
        <f>VLOOKUP(CurrentMtgRatesDataTable82345[[#This Row],[calcOrigMonth_LL]],B:H,5,0)</f>
        <v>3.5488947987676767E-2</v>
      </c>
      <c r="Q51" s="20">
        <f>VLOOKUP(CurrentMtgRatesDataTable82345[[#This Row],[calcOrigMonth_LL]],B:G,6,0)</f>
        <v>5.4805839685172053E-2</v>
      </c>
    </row>
    <row r="52" spans="2:17">
      <c r="B52" s="25">
        <v>200901</v>
      </c>
      <c r="C52" s="20">
        <v>5.1983110834377282</v>
      </c>
      <c r="D52" s="20">
        <f>VLOOKUP(CurrentMtgRatesDataTable82[[#This Row],[calcOrigMonth_LL]],N:O,2,0)</f>
        <v>5.1059277261200338</v>
      </c>
      <c r="E52" s="20">
        <f>VLOOKUP(CurrentMtgRatesDataTable82[[#This Row],[calcOrigMonth_LL]],K:L,2,0)</f>
        <v>5.2053438143347615</v>
      </c>
      <c r="F52" s="20">
        <f>CurrentMtgRatesDataTable82[[#This Row],[WANoteRate]]-CurrentMtgRatesDataTable82[[#This Row],[Big Non-Bank Lender]]</f>
        <v>9.2383357317694426E-2</v>
      </c>
      <c r="G52" s="20">
        <f>CurrentMtgRatesDataTable82[[#This Row],[WANoteRate]]-CurrentMtgRatesDataTable82[[#This Row],[Small Lender]]</f>
        <v>-7.032730897033268E-3</v>
      </c>
      <c r="H52" s="20">
        <f>CurrentMtgRatesDataTable82[[#This Row],[Big Non-Bank Lender]]-CurrentMtgRatesDataTable82[[#This Row],[Small Lender]]</f>
        <v>-9.9416088214727694E-2</v>
      </c>
      <c r="I52" s="20"/>
      <c r="K52">
        <v>201106</v>
      </c>
      <c r="L52">
        <v>4.9315152881865467</v>
      </c>
      <c r="N52">
        <v>201106</v>
      </c>
      <c r="O52">
        <v>4.9949864976510669</v>
      </c>
      <c r="P52" s="20">
        <f>VLOOKUP(CurrentMtgRatesDataTable82345[[#This Row],[calcOrigMonth_LL]],B:H,5,0)</f>
        <v>3.1103451415930294E-2</v>
      </c>
      <c r="Q52" s="20">
        <f>VLOOKUP(CurrentMtgRatesDataTable82345[[#This Row],[calcOrigMonth_LL]],B:G,6,0)</f>
        <v>9.4574660880450523E-2</v>
      </c>
    </row>
    <row r="53" spans="2:17">
      <c r="B53" s="25">
        <v>200902</v>
      </c>
      <c r="C53" s="20">
        <v>4.8739656893234162</v>
      </c>
      <c r="D53" s="20">
        <f>VLOOKUP(CurrentMtgRatesDataTable82[[#This Row],[calcOrigMonth_LL]],N:O,2,0)</f>
        <v>4.9100783921274287</v>
      </c>
      <c r="E53" s="20">
        <f>VLOOKUP(CurrentMtgRatesDataTable82[[#This Row],[calcOrigMonth_LL]],K:L,2,0)</f>
        <v>4.8583899527909136</v>
      </c>
      <c r="F53" s="20">
        <f>CurrentMtgRatesDataTable82[[#This Row],[WANoteRate]]-CurrentMtgRatesDataTable82[[#This Row],[Big Non-Bank Lender]]</f>
        <v>-3.6112702804012464E-2</v>
      </c>
      <c r="G53" s="20">
        <f>CurrentMtgRatesDataTable82[[#This Row],[WANoteRate]]-CurrentMtgRatesDataTable82[[#This Row],[Small Lender]]</f>
        <v>1.557573653250266E-2</v>
      </c>
      <c r="H53" s="20">
        <f>CurrentMtgRatesDataTable82[[#This Row],[Big Non-Bank Lender]]-CurrentMtgRatesDataTable82[[#This Row],[Small Lender]]</f>
        <v>5.1688439336515124E-2</v>
      </c>
      <c r="I53" s="20"/>
      <c r="K53">
        <v>201105</v>
      </c>
      <c r="L53">
        <v>4.9563635506744799</v>
      </c>
      <c r="N53">
        <v>201105</v>
      </c>
      <c r="O53">
        <v>5.1349391360750367</v>
      </c>
      <c r="P53" s="20">
        <f>VLOOKUP(CurrentMtgRatesDataTable82345[[#This Row],[calcOrigMonth_LL]],B:H,5,0)</f>
        <v>-6.8390213005834255E-2</v>
      </c>
      <c r="Q53" s="20">
        <f>VLOOKUP(CurrentMtgRatesDataTable82345[[#This Row],[calcOrigMonth_LL]],B:G,6,0)</f>
        <v>0.11018537239472259</v>
      </c>
    </row>
    <row r="54" spans="2:17">
      <c r="B54" s="25">
        <v>200903</v>
      </c>
      <c r="C54" s="20">
        <v>4.8288602942897532</v>
      </c>
      <c r="D54" s="20">
        <f>VLOOKUP(CurrentMtgRatesDataTable82[[#This Row],[calcOrigMonth_LL]],N:O,2,0)</f>
        <v>4.8899800558284268</v>
      </c>
      <c r="E54" s="20">
        <f>VLOOKUP(CurrentMtgRatesDataTable82[[#This Row],[calcOrigMonth_LL]],K:L,2,0)</f>
        <v>4.8596990352408955</v>
      </c>
      <c r="F54" s="20">
        <f>CurrentMtgRatesDataTable82[[#This Row],[WANoteRate]]-CurrentMtgRatesDataTable82[[#This Row],[Big Non-Bank Lender]]</f>
        <v>-6.11197615386736E-2</v>
      </c>
      <c r="G54" s="20">
        <f>CurrentMtgRatesDataTable82[[#This Row],[WANoteRate]]-CurrentMtgRatesDataTable82[[#This Row],[Small Lender]]</f>
        <v>-3.0838740951142363E-2</v>
      </c>
      <c r="H54" s="20">
        <f>CurrentMtgRatesDataTable82[[#This Row],[Big Non-Bank Lender]]-CurrentMtgRatesDataTable82[[#This Row],[Small Lender]]</f>
        <v>3.0281020587531238E-2</v>
      </c>
      <c r="I54" s="20"/>
      <c r="K54">
        <v>201104</v>
      </c>
      <c r="L54">
        <v>4.9419898556147306</v>
      </c>
      <c r="N54">
        <v>201104</v>
      </c>
      <c r="O54">
        <v>5.0438830894543774</v>
      </c>
      <c r="P54" s="20">
        <f>VLOOKUP(CurrentMtgRatesDataTable82345[[#This Row],[calcOrigMonth_LL]],B:H,5,0)</f>
        <v>-7.5657288788277377E-2</v>
      </c>
      <c r="Q54" s="20">
        <f>VLOOKUP(CurrentMtgRatesDataTable82345[[#This Row],[calcOrigMonth_LL]],B:G,6,0)</f>
        <v>2.6235945051369391E-2</v>
      </c>
    </row>
    <row r="55" spans="2:17">
      <c r="B55" s="25">
        <v>200904</v>
      </c>
      <c r="C55" s="20">
        <v>4.849315688350754</v>
      </c>
      <c r="D55" s="20">
        <f>VLOOKUP(CurrentMtgRatesDataTable82[[#This Row],[calcOrigMonth_LL]],N:O,2,0)</f>
        <v>4.9874446544948015</v>
      </c>
      <c r="E55" s="20">
        <f>VLOOKUP(CurrentMtgRatesDataTable82[[#This Row],[calcOrigMonth_LL]],K:L,2,0)</f>
        <v>4.9222355302905143</v>
      </c>
      <c r="F55" s="20">
        <f>CurrentMtgRatesDataTable82[[#This Row],[WANoteRate]]-CurrentMtgRatesDataTable82[[#This Row],[Big Non-Bank Lender]]</f>
        <v>-0.13812896614404746</v>
      </c>
      <c r="G55" s="20">
        <f>CurrentMtgRatesDataTable82[[#This Row],[WANoteRate]]-CurrentMtgRatesDataTable82[[#This Row],[Small Lender]]</f>
        <v>-7.291984193976031E-2</v>
      </c>
      <c r="H55" s="20">
        <f>CurrentMtgRatesDataTable82[[#This Row],[Big Non-Bank Lender]]-CurrentMtgRatesDataTable82[[#This Row],[Small Lender]]</f>
        <v>6.520912420428715E-2</v>
      </c>
      <c r="I55" s="20"/>
      <c r="K55">
        <v>201103</v>
      </c>
      <c r="L55">
        <v>4.7711543966721894</v>
      </c>
      <c r="N55">
        <v>201103</v>
      </c>
      <c r="O55">
        <v>4.8784505993763663</v>
      </c>
      <c r="P55" s="20">
        <f>VLOOKUP(CurrentMtgRatesDataTable82345[[#This Row],[calcOrigMonth_LL]],B:H,5,0)</f>
        <v>-8.8600513655754831E-2</v>
      </c>
      <c r="Q55" s="20">
        <f>VLOOKUP(CurrentMtgRatesDataTable82345[[#This Row],[calcOrigMonth_LL]],B:G,6,0)</f>
        <v>1.8695689048422004E-2</v>
      </c>
    </row>
    <row r="56" spans="2:17">
      <c r="B56" s="25">
        <v>200905</v>
      </c>
      <c r="C56" s="20">
        <v>4.7673905806620551</v>
      </c>
      <c r="D56" s="20">
        <f>VLOOKUP(CurrentMtgRatesDataTable82[[#This Row],[calcOrigMonth_LL]],N:O,2,0)</f>
        <v>4.5600800310524656</v>
      </c>
      <c r="E56" s="20">
        <f>VLOOKUP(CurrentMtgRatesDataTable82[[#This Row],[calcOrigMonth_LL]],K:L,2,0)</f>
        <v>4.8410301901347985</v>
      </c>
      <c r="F56" s="20">
        <f>CurrentMtgRatesDataTable82[[#This Row],[WANoteRate]]-CurrentMtgRatesDataTable82[[#This Row],[Big Non-Bank Lender]]</f>
        <v>0.2073105496095895</v>
      </c>
      <c r="G56" s="20">
        <f>CurrentMtgRatesDataTable82[[#This Row],[WANoteRate]]-CurrentMtgRatesDataTable82[[#This Row],[Small Lender]]</f>
        <v>-7.3639609472743395E-2</v>
      </c>
      <c r="H56" s="20">
        <f>CurrentMtgRatesDataTable82[[#This Row],[Big Non-Bank Lender]]-CurrentMtgRatesDataTable82[[#This Row],[Small Lender]]</f>
        <v>-0.2809501590823329</v>
      </c>
      <c r="I56" s="20"/>
      <c r="K56">
        <v>201102</v>
      </c>
      <c r="L56">
        <v>4.5958034391096065</v>
      </c>
      <c r="N56">
        <v>201102</v>
      </c>
      <c r="O56">
        <v>4.7782540653303318</v>
      </c>
      <c r="P56" s="20">
        <f>VLOOKUP(CurrentMtgRatesDataTable82345[[#This Row],[calcOrigMonth_LL]],B:H,5,0)</f>
        <v>-0.16808723854490459</v>
      </c>
      <c r="Q56" s="20">
        <f>VLOOKUP(CurrentMtgRatesDataTable82345[[#This Row],[calcOrigMonth_LL]],B:G,6,0)</f>
        <v>1.4363387675820682E-2</v>
      </c>
    </row>
    <row r="57" spans="2:17">
      <c r="B57" s="25">
        <v>200906</v>
      </c>
      <c r="C57" s="20">
        <v>4.7495429682296209</v>
      </c>
      <c r="D57" s="20">
        <f>VLOOKUP(CurrentMtgRatesDataTable82[[#This Row],[calcOrigMonth_LL]],N:O,2,0)</f>
        <v>4.6974013095210259</v>
      </c>
      <c r="E57" s="20">
        <f>VLOOKUP(CurrentMtgRatesDataTable82[[#This Row],[calcOrigMonth_LL]],K:L,2,0)</f>
        <v>4.8263012369528075</v>
      </c>
      <c r="F57" s="20">
        <f>CurrentMtgRatesDataTable82[[#This Row],[WANoteRate]]-CurrentMtgRatesDataTable82[[#This Row],[Big Non-Bank Lender]]</f>
        <v>5.2141658708594996E-2</v>
      </c>
      <c r="G57" s="20">
        <f>CurrentMtgRatesDataTable82[[#This Row],[WANoteRate]]-CurrentMtgRatesDataTable82[[#This Row],[Small Lender]]</f>
        <v>-7.6758268723186696E-2</v>
      </c>
      <c r="H57" s="20">
        <f>CurrentMtgRatesDataTable82[[#This Row],[Big Non-Bank Lender]]-CurrentMtgRatesDataTable82[[#This Row],[Small Lender]]</f>
        <v>-0.12889992743178169</v>
      </c>
      <c r="I57" s="20"/>
      <c r="K57">
        <v>201101</v>
      </c>
      <c r="L57">
        <v>4.3885698982433423</v>
      </c>
      <c r="N57">
        <v>201101</v>
      </c>
      <c r="O57">
        <v>4.46205158835643</v>
      </c>
      <c r="P57" s="20">
        <f>VLOOKUP(CurrentMtgRatesDataTable82345[[#This Row],[calcOrigMonth_LL]],B:H,5,0)</f>
        <v>-2.2600957105954222E-2</v>
      </c>
      <c r="Q57" s="20">
        <f>VLOOKUP(CurrentMtgRatesDataTable82345[[#This Row],[calcOrigMonth_LL]],B:G,6,0)</f>
        <v>5.0880733007133472E-2</v>
      </c>
    </row>
    <row r="58" spans="2:17">
      <c r="B58" s="25">
        <v>200907</v>
      </c>
      <c r="C58" s="20">
        <v>4.7931879427430264</v>
      </c>
      <c r="D58" s="20">
        <f>VLOOKUP(CurrentMtgRatesDataTable82[[#This Row],[calcOrigMonth_LL]],N:O,2,0)</f>
        <v>4.8778681047695018</v>
      </c>
      <c r="E58" s="20">
        <f>VLOOKUP(CurrentMtgRatesDataTable82[[#This Row],[calcOrigMonth_LL]],K:L,2,0)</f>
        <v>4.8928508896680141</v>
      </c>
      <c r="F58" s="20">
        <f>CurrentMtgRatesDataTable82[[#This Row],[WANoteRate]]-CurrentMtgRatesDataTable82[[#This Row],[Big Non-Bank Lender]]</f>
        <v>-8.4680162026475436E-2</v>
      </c>
      <c r="G58" s="20">
        <f>CurrentMtgRatesDataTable82[[#This Row],[WANoteRate]]-CurrentMtgRatesDataTable82[[#This Row],[Small Lender]]</f>
        <v>-9.9662946924987672E-2</v>
      </c>
      <c r="H58" s="20">
        <f>CurrentMtgRatesDataTable82[[#This Row],[Big Non-Bank Lender]]-CurrentMtgRatesDataTable82[[#This Row],[Small Lender]]</f>
        <v>-1.4982784898512236E-2</v>
      </c>
      <c r="I58" s="20"/>
      <c r="K58">
        <v>201012</v>
      </c>
      <c r="L58">
        <v>4.333405272917231</v>
      </c>
      <c r="N58">
        <v>201012</v>
      </c>
      <c r="O58">
        <v>4.2827138265687763</v>
      </c>
      <c r="P58" s="20">
        <f>VLOOKUP(CurrentMtgRatesDataTable82345[[#This Row],[calcOrigMonth_LL]],B:H,5,0)</f>
        <v>0.11146845150266849</v>
      </c>
      <c r="Q58" s="20">
        <f>VLOOKUP(CurrentMtgRatesDataTable82345[[#This Row],[calcOrigMonth_LL]],B:G,6,0)</f>
        <v>6.0777005154213803E-2</v>
      </c>
    </row>
    <row r="59" spans="2:17">
      <c r="B59" s="25">
        <v>200908</v>
      </c>
      <c r="C59" s="20">
        <v>4.8753387218115618</v>
      </c>
      <c r="D59" s="20">
        <f>VLOOKUP(CurrentMtgRatesDataTable82[[#This Row],[calcOrigMonth_LL]],N:O,2,0)</f>
        <v>5.130840056872394</v>
      </c>
      <c r="E59" s="20">
        <f>VLOOKUP(CurrentMtgRatesDataTable82[[#This Row],[calcOrigMonth_LL]],K:L,2,0)</f>
        <v>5.048503404084955</v>
      </c>
      <c r="F59" s="20">
        <f>CurrentMtgRatesDataTable82[[#This Row],[WANoteRate]]-CurrentMtgRatesDataTable82[[#This Row],[Big Non-Bank Lender]]</f>
        <v>-0.25550133506083217</v>
      </c>
      <c r="G59" s="20">
        <f>CurrentMtgRatesDataTable82[[#This Row],[WANoteRate]]-CurrentMtgRatesDataTable82[[#This Row],[Small Lender]]</f>
        <v>-0.17316468227339321</v>
      </c>
      <c r="H59" s="20">
        <f>CurrentMtgRatesDataTable82[[#This Row],[Big Non-Bank Lender]]-CurrentMtgRatesDataTable82[[#This Row],[Small Lender]]</f>
        <v>8.2336652787438958E-2</v>
      </c>
      <c r="I59" s="20"/>
      <c r="K59">
        <v>201011</v>
      </c>
      <c r="L59">
        <v>4.3957463381326125</v>
      </c>
      <c r="N59">
        <v>201011</v>
      </c>
      <c r="O59">
        <v>4.4330866225285526</v>
      </c>
      <c r="P59" s="20">
        <f>VLOOKUP(CurrentMtgRatesDataTable82345[[#This Row],[calcOrigMonth_LL]],B:H,5,0)</f>
        <v>5.3295377744157157E-2</v>
      </c>
      <c r="Q59" s="20">
        <f>VLOOKUP(CurrentMtgRatesDataTable82345[[#This Row],[calcOrigMonth_LL]],B:G,6,0)</f>
        <v>9.0635662140097217E-2</v>
      </c>
    </row>
    <row r="60" spans="2:17">
      <c r="B60" s="25">
        <v>200909</v>
      </c>
      <c r="C60" s="20">
        <v>4.9734131818363165</v>
      </c>
      <c r="D60" s="20">
        <f>VLOOKUP(CurrentMtgRatesDataTable82[[#This Row],[calcOrigMonth_LL]],N:O,2,0)</f>
        <v>5.2377286478678045</v>
      </c>
      <c r="E60" s="20">
        <f>VLOOKUP(CurrentMtgRatesDataTable82[[#This Row],[calcOrigMonth_LL]],K:L,2,0)</f>
        <v>5.1739142642388769</v>
      </c>
      <c r="F60" s="20">
        <f>CurrentMtgRatesDataTable82[[#This Row],[WANoteRate]]-CurrentMtgRatesDataTable82[[#This Row],[Big Non-Bank Lender]]</f>
        <v>-0.26431546603148792</v>
      </c>
      <c r="G60" s="20">
        <f>CurrentMtgRatesDataTable82[[#This Row],[WANoteRate]]-CurrentMtgRatesDataTable82[[#This Row],[Small Lender]]</f>
        <v>-0.20050108240256037</v>
      </c>
      <c r="H60" s="20">
        <f>CurrentMtgRatesDataTable82[[#This Row],[Big Non-Bank Lender]]-CurrentMtgRatesDataTable82[[#This Row],[Small Lender]]</f>
        <v>6.3814383628927551E-2</v>
      </c>
      <c r="I60" s="20"/>
      <c r="K60">
        <v>201010</v>
      </c>
      <c r="L60">
        <v>4.4556445005338547</v>
      </c>
      <c r="N60">
        <v>201010</v>
      </c>
      <c r="O60">
        <v>4.5075818876402378</v>
      </c>
      <c r="P60" s="20">
        <f>VLOOKUP(CurrentMtgRatesDataTable82345[[#This Row],[calcOrigMonth_LL]],B:H,5,0)</f>
        <v>4.279467102582224E-2</v>
      </c>
      <c r="Q60" s="20">
        <f>VLOOKUP(CurrentMtgRatesDataTable82345[[#This Row],[calcOrigMonth_LL]],B:G,6,0)</f>
        <v>9.473205813220531E-2</v>
      </c>
    </row>
    <row r="61" spans="2:17">
      <c r="B61" s="25">
        <v>200910</v>
      </c>
      <c r="C61" s="20">
        <v>5.0222045158643613</v>
      </c>
      <c r="D61" s="20">
        <f>VLOOKUP(CurrentMtgRatesDataTable82[[#This Row],[calcOrigMonth_LL]],N:O,2,0)</f>
        <v>5.1824411405274642</v>
      </c>
      <c r="E61" s="20">
        <f>VLOOKUP(CurrentMtgRatesDataTable82[[#This Row],[calcOrigMonth_LL]],K:L,2,0)</f>
        <v>5.1543480484206476</v>
      </c>
      <c r="F61" s="20">
        <f>CurrentMtgRatesDataTable82[[#This Row],[WANoteRate]]-CurrentMtgRatesDataTable82[[#This Row],[Big Non-Bank Lender]]</f>
        <v>-0.16023662466310284</v>
      </c>
      <c r="G61" s="20">
        <f>CurrentMtgRatesDataTable82[[#This Row],[WANoteRate]]-CurrentMtgRatesDataTable82[[#This Row],[Small Lender]]</f>
        <v>-0.1321435325562863</v>
      </c>
      <c r="H61" s="20">
        <f>CurrentMtgRatesDataTable82[[#This Row],[Big Non-Bank Lender]]-CurrentMtgRatesDataTable82[[#This Row],[Small Lender]]</f>
        <v>2.8093092106816542E-2</v>
      </c>
      <c r="I61" s="20"/>
      <c r="K61">
        <v>201009</v>
      </c>
      <c r="L61">
        <v>4.56449726960716</v>
      </c>
      <c r="N61">
        <v>201009</v>
      </c>
      <c r="O61">
        <v>4.6271889599454648</v>
      </c>
      <c r="P61" s="20">
        <f>VLOOKUP(CurrentMtgRatesDataTable82345[[#This Row],[calcOrigMonth_LL]],B:H,5,0)</f>
        <v>4.7698763052893334E-2</v>
      </c>
      <c r="Q61" s="20">
        <f>VLOOKUP(CurrentMtgRatesDataTable82345[[#This Row],[calcOrigMonth_LL]],B:G,6,0)</f>
        <v>0.11039045339119813</v>
      </c>
    </row>
    <row r="62" spans="2:17">
      <c r="B62" s="25">
        <v>200911</v>
      </c>
      <c r="C62" s="20">
        <v>4.9993734161874608</v>
      </c>
      <c r="D62" s="20">
        <f>VLOOKUP(CurrentMtgRatesDataTable82[[#This Row],[calcOrigMonth_LL]],N:O,2,0)</f>
        <v>4.9411824885396367</v>
      </c>
      <c r="E62" s="20">
        <f>VLOOKUP(CurrentMtgRatesDataTable82[[#This Row],[calcOrigMonth_LL]],K:L,2,0)</f>
        <v>5.013253084790553</v>
      </c>
      <c r="F62" s="20">
        <f>CurrentMtgRatesDataTable82[[#This Row],[WANoteRate]]-CurrentMtgRatesDataTable82[[#This Row],[Big Non-Bank Lender]]</f>
        <v>5.8190927647824076E-2</v>
      </c>
      <c r="G62" s="20">
        <f>CurrentMtgRatesDataTable82[[#This Row],[WANoteRate]]-CurrentMtgRatesDataTable82[[#This Row],[Small Lender]]</f>
        <v>-1.3879668603092199E-2</v>
      </c>
      <c r="H62" s="20">
        <f>CurrentMtgRatesDataTable82[[#This Row],[Big Non-Bank Lender]]-CurrentMtgRatesDataTable82[[#This Row],[Small Lender]]</f>
        <v>-7.2070596250916275E-2</v>
      </c>
      <c r="I62" s="20"/>
      <c r="K62">
        <v>201008</v>
      </c>
      <c r="L62">
        <v>4.7138452068571217</v>
      </c>
      <c r="N62">
        <v>201008</v>
      </c>
      <c r="O62">
        <v>4.7513173143053642</v>
      </c>
      <c r="P62" s="20">
        <f>VLOOKUP(CurrentMtgRatesDataTable82345[[#This Row],[calcOrigMonth_LL]],B:H,5,0)</f>
        <v>6.9094955909902112E-2</v>
      </c>
      <c r="Q62" s="20">
        <f>VLOOKUP(CurrentMtgRatesDataTable82345[[#This Row],[calcOrigMonth_LL]],B:G,6,0)</f>
        <v>0.10656706335814459</v>
      </c>
    </row>
    <row r="63" spans="2:17">
      <c r="B63" s="25">
        <v>200912</v>
      </c>
      <c r="C63" s="20">
        <v>4.9933345288110189</v>
      </c>
      <c r="D63" s="20">
        <f>VLOOKUP(CurrentMtgRatesDataTable82[[#This Row],[calcOrigMonth_LL]],N:O,2,0)</f>
        <v>5.0398486385929306</v>
      </c>
      <c r="E63" s="20">
        <f>VLOOKUP(CurrentMtgRatesDataTable82[[#This Row],[calcOrigMonth_LL]],K:L,2,0)</f>
        <v>4.9694754699872963</v>
      </c>
      <c r="F63" s="20">
        <f>CurrentMtgRatesDataTable82[[#This Row],[WANoteRate]]-CurrentMtgRatesDataTable82[[#This Row],[Big Non-Bank Lender]]</f>
        <v>-4.6514109781911728E-2</v>
      </c>
      <c r="G63" s="20">
        <f>CurrentMtgRatesDataTable82[[#This Row],[WANoteRate]]-CurrentMtgRatesDataTable82[[#This Row],[Small Lender]]</f>
        <v>2.3859058823722634E-2</v>
      </c>
      <c r="H63" s="20">
        <f>CurrentMtgRatesDataTable82[[#This Row],[Big Non-Bank Lender]]-CurrentMtgRatesDataTable82[[#This Row],[Small Lender]]</f>
        <v>7.0373168605634362E-2</v>
      </c>
      <c r="I63" s="20"/>
      <c r="K63">
        <v>201007</v>
      </c>
      <c r="L63">
        <v>4.9225915958696547</v>
      </c>
      <c r="N63">
        <v>201007</v>
      </c>
      <c r="O63">
        <v>4.9184598919129803</v>
      </c>
      <c r="P63" s="20">
        <f>VLOOKUP(CurrentMtgRatesDataTable82345[[#This Row],[calcOrigMonth_LL]],B:H,5,0)</f>
        <v>9.8651060276844227E-2</v>
      </c>
      <c r="Q63" s="20">
        <f>VLOOKUP(CurrentMtgRatesDataTable82345[[#This Row],[calcOrigMonth_LL]],B:G,6,0)</f>
        <v>9.4519356320169834E-2</v>
      </c>
    </row>
    <row r="64" spans="2:17">
      <c r="B64" s="25">
        <v>201001</v>
      </c>
      <c r="C64" s="20">
        <v>4.9701386240353322</v>
      </c>
      <c r="D64" s="20">
        <f>VLOOKUP(CurrentMtgRatesDataTable82[[#This Row],[calcOrigMonth_LL]],N:O,2,0)</f>
        <v>4.9353516120407761</v>
      </c>
      <c r="E64" s="20">
        <f>VLOOKUP(CurrentMtgRatesDataTable82[[#This Row],[calcOrigMonth_LL]],K:L,2,0)</f>
        <v>4.9300469920806291</v>
      </c>
      <c r="F64" s="20">
        <f>CurrentMtgRatesDataTable82[[#This Row],[WANoteRate]]-CurrentMtgRatesDataTable82[[#This Row],[Big Non-Bank Lender]]</f>
        <v>3.4787011994556138E-2</v>
      </c>
      <c r="G64" s="20">
        <f>CurrentMtgRatesDataTable82[[#This Row],[WANoteRate]]-CurrentMtgRatesDataTable82[[#This Row],[Small Lender]]</f>
        <v>4.0091631954703111E-2</v>
      </c>
      <c r="H64" s="20">
        <f>CurrentMtgRatesDataTable82[[#This Row],[Big Non-Bank Lender]]-CurrentMtgRatesDataTable82[[#This Row],[Small Lender]]</f>
        <v>5.3046199601469723E-3</v>
      </c>
      <c r="I64" s="20"/>
      <c r="K64">
        <v>201006</v>
      </c>
      <c r="L64">
        <v>5.1109190069278725</v>
      </c>
      <c r="N64">
        <v>201006</v>
      </c>
      <c r="O64">
        <v>5.1211093900538946</v>
      </c>
      <c r="P64" s="20">
        <f>VLOOKUP(CurrentMtgRatesDataTable82345[[#This Row],[calcOrigMonth_LL]],B:H,5,0)</f>
        <v>1.6930295695518183E-2</v>
      </c>
      <c r="Q64" s="20">
        <f>VLOOKUP(CurrentMtgRatesDataTable82345[[#This Row],[calcOrigMonth_LL]],B:G,6,0)</f>
        <v>2.7120678821540345E-2</v>
      </c>
    </row>
    <row r="65" spans="2:17">
      <c r="B65" s="25">
        <v>201002</v>
      </c>
      <c r="C65" s="20">
        <v>4.9774019442176467</v>
      </c>
      <c r="D65" s="20">
        <f>VLOOKUP(CurrentMtgRatesDataTable82[[#This Row],[calcOrigMonth_LL]],N:O,2,0)</f>
        <v>5.0162579983151723</v>
      </c>
      <c r="E65" s="20">
        <f>VLOOKUP(CurrentMtgRatesDataTable82[[#This Row],[calcOrigMonth_LL]],K:L,2,0)</f>
        <v>4.9510595416154013</v>
      </c>
      <c r="F65" s="20">
        <f>CurrentMtgRatesDataTable82[[#This Row],[WANoteRate]]-CurrentMtgRatesDataTable82[[#This Row],[Big Non-Bank Lender]]</f>
        <v>-3.8856054097525572E-2</v>
      </c>
      <c r="G65" s="20">
        <f>CurrentMtgRatesDataTable82[[#This Row],[WANoteRate]]-CurrentMtgRatesDataTable82[[#This Row],[Small Lender]]</f>
        <v>2.6342402602245407E-2</v>
      </c>
      <c r="H65" s="20">
        <f>CurrentMtgRatesDataTable82[[#This Row],[Big Non-Bank Lender]]-CurrentMtgRatesDataTable82[[#This Row],[Small Lender]]</f>
        <v>6.5198456699770979E-2</v>
      </c>
      <c r="I65" s="20"/>
      <c r="K65">
        <v>201005</v>
      </c>
      <c r="L65">
        <v>5.0750138173057211</v>
      </c>
      <c r="N65">
        <v>201005</v>
      </c>
      <c r="O65">
        <v>5.1030579644707563</v>
      </c>
      <c r="P65" s="20">
        <f>VLOOKUP(CurrentMtgRatesDataTable82345[[#This Row],[calcOrigMonth_LL]],B:H,5,0)</f>
        <v>7.0347758078845857E-3</v>
      </c>
      <c r="Q65" s="20">
        <f>VLOOKUP(CurrentMtgRatesDataTable82345[[#This Row],[calcOrigMonth_LL]],B:G,6,0)</f>
        <v>3.5078922972919813E-2</v>
      </c>
    </row>
    <row r="66" spans="2:17">
      <c r="B66" s="25">
        <v>201003</v>
      </c>
      <c r="C66" s="20">
        <v>5.0543228575985095</v>
      </c>
      <c r="D66" s="20">
        <f>VLOOKUP(CurrentMtgRatesDataTable82[[#This Row],[calcOrigMonth_LL]],N:O,2,0)</f>
        <v>5.0033032384244516</v>
      </c>
      <c r="E66" s="20">
        <f>VLOOKUP(CurrentMtgRatesDataTable82[[#This Row],[calcOrigMonth_LL]],K:L,2,0)</f>
        <v>5.0549950271886752</v>
      </c>
      <c r="F66" s="20">
        <f>CurrentMtgRatesDataTable82[[#This Row],[WANoteRate]]-CurrentMtgRatesDataTable82[[#This Row],[Big Non-Bank Lender]]</f>
        <v>5.1019619174057951E-2</v>
      </c>
      <c r="G66" s="20">
        <f>CurrentMtgRatesDataTable82[[#This Row],[WANoteRate]]-CurrentMtgRatesDataTable82[[#This Row],[Small Lender]]</f>
        <v>-6.7216959016569433E-4</v>
      </c>
      <c r="H66" s="20">
        <f>CurrentMtgRatesDataTable82[[#This Row],[Big Non-Bank Lender]]-CurrentMtgRatesDataTable82[[#This Row],[Small Lender]]</f>
        <v>-5.1691788764223645E-2</v>
      </c>
      <c r="I66" s="20"/>
      <c r="K66">
        <v>201004</v>
      </c>
      <c r="L66">
        <v>5.0489817459726698</v>
      </c>
      <c r="N66">
        <v>201004</v>
      </c>
      <c r="O66">
        <v>5.093079205782451</v>
      </c>
      <c r="P66" s="20">
        <f>VLOOKUP(CurrentMtgRatesDataTable82345[[#This Row],[calcOrigMonth_LL]],B:H,5,0)</f>
        <v>-1.8423367318129991E-3</v>
      </c>
      <c r="Q66" s="20">
        <f>VLOOKUP(CurrentMtgRatesDataTable82345[[#This Row],[calcOrigMonth_LL]],B:G,6,0)</f>
        <v>4.2255123077968193E-2</v>
      </c>
    </row>
    <row r="67" spans="2:17">
      <c r="B67" s="25">
        <v>201004</v>
      </c>
      <c r="C67" s="20">
        <v>5.091236869050638</v>
      </c>
      <c r="D67" s="20">
        <f>VLOOKUP(CurrentMtgRatesDataTable82[[#This Row],[calcOrigMonth_LL]],N:O,2,0)</f>
        <v>5.093079205782451</v>
      </c>
      <c r="E67" s="20">
        <f>VLOOKUP(CurrentMtgRatesDataTable82[[#This Row],[calcOrigMonth_LL]],K:L,2,0)</f>
        <v>5.0489817459726698</v>
      </c>
      <c r="F67" s="20">
        <f>CurrentMtgRatesDataTable82[[#This Row],[WANoteRate]]-CurrentMtgRatesDataTable82[[#This Row],[Big Non-Bank Lender]]</f>
        <v>-1.8423367318129991E-3</v>
      </c>
      <c r="G67" s="20">
        <f>CurrentMtgRatesDataTable82[[#This Row],[WANoteRate]]-CurrentMtgRatesDataTable82[[#This Row],[Small Lender]]</f>
        <v>4.2255123077968193E-2</v>
      </c>
      <c r="H67" s="20">
        <f>CurrentMtgRatesDataTable82[[#This Row],[Big Non-Bank Lender]]-CurrentMtgRatesDataTable82[[#This Row],[Small Lender]]</f>
        <v>4.4097459809781192E-2</v>
      </c>
      <c r="I67" s="20"/>
      <c r="K67">
        <v>201003</v>
      </c>
      <c r="L67">
        <v>5.0549950271886752</v>
      </c>
      <c r="N67">
        <v>201003</v>
      </c>
      <c r="O67">
        <v>5.0033032384244516</v>
      </c>
      <c r="P67" s="20">
        <f>VLOOKUP(CurrentMtgRatesDataTable82345[[#This Row],[calcOrigMonth_LL]],B:H,5,0)</f>
        <v>5.1019619174057951E-2</v>
      </c>
      <c r="Q67" s="20">
        <f>VLOOKUP(CurrentMtgRatesDataTable82345[[#This Row],[calcOrigMonth_LL]],B:G,6,0)</f>
        <v>-6.7216959016569433E-4</v>
      </c>
    </row>
    <row r="68" spans="2:17">
      <c r="B68" s="25">
        <v>201005</v>
      </c>
      <c r="C68" s="20">
        <v>5.1100927402786409</v>
      </c>
      <c r="D68" s="20">
        <f>VLOOKUP(CurrentMtgRatesDataTable82[[#This Row],[calcOrigMonth_LL]],N:O,2,0)</f>
        <v>5.1030579644707563</v>
      </c>
      <c r="E68" s="20">
        <f>VLOOKUP(CurrentMtgRatesDataTable82[[#This Row],[calcOrigMonth_LL]],K:L,2,0)</f>
        <v>5.0750138173057211</v>
      </c>
      <c r="F68" s="20">
        <f>CurrentMtgRatesDataTable82[[#This Row],[WANoteRate]]-CurrentMtgRatesDataTable82[[#This Row],[Big Non-Bank Lender]]</f>
        <v>7.0347758078845857E-3</v>
      </c>
      <c r="G68" s="20">
        <f>CurrentMtgRatesDataTable82[[#This Row],[WANoteRate]]-CurrentMtgRatesDataTable82[[#This Row],[Small Lender]]</f>
        <v>3.5078922972919813E-2</v>
      </c>
      <c r="H68" s="20">
        <f>CurrentMtgRatesDataTable82[[#This Row],[Big Non-Bank Lender]]-CurrentMtgRatesDataTable82[[#This Row],[Small Lender]]</f>
        <v>2.8044147165035227E-2</v>
      </c>
      <c r="I68" s="20"/>
      <c r="K68">
        <v>201002</v>
      </c>
      <c r="L68">
        <v>4.9510595416154013</v>
      </c>
      <c r="N68">
        <v>201002</v>
      </c>
      <c r="O68">
        <v>5.0162579983151723</v>
      </c>
      <c r="P68" s="20">
        <f>VLOOKUP(CurrentMtgRatesDataTable82345[[#This Row],[calcOrigMonth_LL]],B:H,5,0)</f>
        <v>-3.8856054097525572E-2</v>
      </c>
      <c r="Q68" s="20">
        <f>VLOOKUP(CurrentMtgRatesDataTable82345[[#This Row],[calcOrigMonth_LL]],B:G,6,0)</f>
        <v>2.6342402602245407E-2</v>
      </c>
    </row>
    <row r="69" spans="2:17">
      <c r="B69" s="25">
        <v>201006</v>
      </c>
      <c r="C69" s="20">
        <v>5.1380396857494128</v>
      </c>
      <c r="D69" s="20">
        <f>VLOOKUP(CurrentMtgRatesDataTable82[[#This Row],[calcOrigMonth_LL]],N:O,2,0)</f>
        <v>5.1211093900538946</v>
      </c>
      <c r="E69" s="20">
        <f>VLOOKUP(CurrentMtgRatesDataTable82[[#This Row],[calcOrigMonth_LL]],K:L,2,0)</f>
        <v>5.1109190069278725</v>
      </c>
      <c r="F69" s="20">
        <f>CurrentMtgRatesDataTable82[[#This Row],[WANoteRate]]-CurrentMtgRatesDataTable82[[#This Row],[Big Non-Bank Lender]]</f>
        <v>1.6930295695518183E-2</v>
      </c>
      <c r="G69" s="20">
        <f>CurrentMtgRatesDataTable82[[#This Row],[WANoteRate]]-CurrentMtgRatesDataTable82[[#This Row],[Small Lender]]</f>
        <v>2.7120678821540345E-2</v>
      </c>
      <c r="H69" s="20">
        <f>CurrentMtgRatesDataTable82[[#This Row],[Big Non-Bank Lender]]-CurrentMtgRatesDataTable82[[#This Row],[Small Lender]]</f>
        <v>1.0190383126022162E-2</v>
      </c>
      <c r="I69" s="20"/>
      <c r="K69">
        <v>201001</v>
      </c>
      <c r="L69">
        <v>4.9300469920806291</v>
      </c>
      <c r="N69">
        <v>201001</v>
      </c>
      <c r="O69">
        <v>4.9353516120407761</v>
      </c>
      <c r="P69" s="20">
        <f>VLOOKUP(CurrentMtgRatesDataTable82345[[#This Row],[calcOrigMonth_LL]],B:H,5,0)</f>
        <v>3.4787011994556138E-2</v>
      </c>
      <c r="Q69" s="20">
        <f>VLOOKUP(CurrentMtgRatesDataTable82345[[#This Row],[calcOrigMonth_LL]],B:G,6,0)</f>
        <v>4.0091631954703111E-2</v>
      </c>
    </row>
    <row r="70" spans="2:17">
      <c r="B70" s="25">
        <v>201007</v>
      </c>
      <c r="C70" s="20">
        <v>5.0171109521898245</v>
      </c>
      <c r="D70" s="20">
        <f>VLOOKUP(CurrentMtgRatesDataTable82[[#This Row],[calcOrigMonth_LL]],N:O,2,0)</f>
        <v>4.9184598919129803</v>
      </c>
      <c r="E70" s="20">
        <f>VLOOKUP(CurrentMtgRatesDataTable82[[#This Row],[calcOrigMonth_LL]],K:L,2,0)</f>
        <v>4.9225915958696547</v>
      </c>
      <c r="F70" s="20">
        <f>CurrentMtgRatesDataTable82[[#This Row],[WANoteRate]]-CurrentMtgRatesDataTable82[[#This Row],[Big Non-Bank Lender]]</f>
        <v>9.8651060276844227E-2</v>
      </c>
      <c r="G70" s="20">
        <f>CurrentMtgRatesDataTable82[[#This Row],[WANoteRate]]-CurrentMtgRatesDataTable82[[#This Row],[Small Lender]]</f>
        <v>9.4519356320169834E-2</v>
      </c>
      <c r="H70" s="20">
        <f>CurrentMtgRatesDataTable82[[#This Row],[Big Non-Bank Lender]]-CurrentMtgRatesDataTable82[[#This Row],[Small Lender]]</f>
        <v>-4.1317039566743929E-3</v>
      </c>
      <c r="I70" s="20"/>
      <c r="K70">
        <v>200912</v>
      </c>
      <c r="L70">
        <v>4.9694754699872963</v>
      </c>
      <c r="N70">
        <v>200912</v>
      </c>
      <c r="O70">
        <v>5.0398486385929306</v>
      </c>
      <c r="P70" s="20">
        <f>VLOOKUP(CurrentMtgRatesDataTable82345[[#This Row],[calcOrigMonth_LL]],B:H,5,0)</f>
        <v>-4.6514109781911728E-2</v>
      </c>
      <c r="Q70" s="20">
        <f>VLOOKUP(CurrentMtgRatesDataTable82345[[#This Row],[calcOrigMonth_LL]],B:G,6,0)</f>
        <v>2.3859058823722634E-2</v>
      </c>
    </row>
    <row r="71" spans="2:17">
      <c r="B71" s="25">
        <v>201008</v>
      </c>
      <c r="C71" s="20">
        <v>4.8204122702152663</v>
      </c>
      <c r="D71" s="20">
        <f>VLOOKUP(CurrentMtgRatesDataTable82[[#This Row],[calcOrigMonth_LL]],N:O,2,0)</f>
        <v>4.7513173143053642</v>
      </c>
      <c r="E71" s="20">
        <f>VLOOKUP(CurrentMtgRatesDataTable82[[#This Row],[calcOrigMonth_LL]],K:L,2,0)</f>
        <v>4.7138452068571217</v>
      </c>
      <c r="F71" s="20">
        <f>CurrentMtgRatesDataTable82[[#This Row],[WANoteRate]]-CurrentMtgRatesDataTable82[[#This Row],[Big Non-Bank Lender]]</f>
        <v>6.9094955909902112E-2</v>
      </c>
      <c r="G71" s="20">
        <f>CurrentMtgRatesDataTable82[[#This Row],[WANoteRate]]-CurrentMtgRatesDataTable82[[#This Row],[Small Lender]]</f>
        <v>0.10656706335814459</v>
      </c>
      <c r="H71" s="20">
        <f>CurrentMtgRatesDataTable82[[#This Row],[Big Non-Bank Lender]]-CurrentMtgRatesDataTable82[[#This Row],[Small Lender]]</f>
        <v>3.7472107448242475E-2</v>
      </c>
      <c r="I71" s="20"/>
      <c r="K71">
        <v>200911</v>
      </c>
      <c r="L71">
        <v>5.013253084790553</v>
      </c>
      <c r="N71">
        <v>200911</v>
      </c>
      <c r="O71">
        <v>4.9411824885396367</v>
      </c>
      <c r="P71" s="20">
        <f>VLOOKUP(CurrentMtgRatesDataTable82345[[#This Row],[calcOrigMonth_LL]],B:H,5,0)</f>
        <v>5.8190927647824076E-2</v>
      </c>
      <c r="Q71" s="20">
        <f>VLOOKUP(CurrentMtgRatesDataTable82345[[#This Row],[calcOrigMonth_LL]],B:G,6,0)</f>
        <v>-1.3879668603092199E-2</v>
      </c>
    </row>
    <row r="72" spans="2:17">
      <c r="B72" s="25">
        <v>201009</v>
      </c>
      <c r="C72" s="20">
        <v>4.6748877229983581</v>
      </c>
      <c r="D72" s="20">
        <f>VLOOKUP(CurrentMtgRatesDataTable82[[#This Row],[calcOrigMonth_LL]],N:O,2,0)</f>
        <v>4.6271889599454648</v>
      </c>
      <c r="E72" s="20">
        <f>VLOOKUP(CurrentMtgRatesDataTable82[[#This Row],[calcOrigMonth_LL]],K:L,2,0)</f>
        <v>4.56449726960716</v>
      </c>
      <c r="F72" s="20">
        <f>CurrentMtgRatesDataTable82[[#This Row],[WANoteRate]]-CurrentMtgRatesDataTable82[[#This Row],[Big Non-Bank Lender]]</f>
        <v>4.7698763052893334E-2</v>
      </c>
      <c r="G72" s="20">
        <f>CurrentMtgRatesDataTable82[[#This Row],[WANoteRate]]-CurrentMtgRatesDataTable82[[#This Row],[Small Lender]]</f>
        <v>0.11039045339119813</v>
      </c>
      <c r="H72" s="20">
        <f>CurrentMtgRatesDataTable82[[#This Row],[Big Non-Bank Lender]]-CurrentMtgRatesDataTable82[[#This Row],[Small Lender]]</f>
        <v>6.2691690338304795E-2</v>
      </c>
      <c r="I72" s="20"/>
      <c r="K72">
        <v>200910</v>
      </c>
      <c r="L72">
        <v>5.1543480484206476</v>
      </c>
      <c r="N72">
        <v>200910</v>
      </c>
      <c r="O72">
        <v>5.1824411405274642</v>
      </c>
      <c r="P72" s="20">
        <f>VLOOKUP(CurrentMtgRatesDataTable82345[[#This Row],[calcOrigMonth_LL]],B:H,5,0)</f>
        <v>-0.16023662466310284</v>
      </c>
      <c r="Q72" s="20">
        <f>VLOOKUP(CurrentMtgRatesDataTable82345[[#This Row],[calcOrigMonth_LL]],B:G,6,0)</f>
        <v>-0.1321435325562863</v>
      </c>
    </row>
    <row r="73" spans="2:17">
      <c r="B73" s="25">
        <v>201010</v>
      </c>
      <c r="C73" s="20">
        <v>4.5503765586660601</v>
      </c>
      <c r="D73" s="20">
        <f>VLOOKUP(CurrentMtgRatesDataTable82[[#This Row],[calcOrigMonth_LL]],N:O,2,0)</f>
        <v>4.5075818876402378</v>
      </c>
      <c r="E73" s="20">
        <f>VLOOKUP(CurrentMtgRatesDataTable82[[#This Row],[calcOrigMonth_LL]],K:L,2,0)</f>
        <v>4.4556445005338547</v>
      </c>
      <c r="F73" s="20">
        <f>CurrentMtgRatesDataTable82[[#This Row],[WANoteRate]]-CurrentMtgRatesDataTable82[[#This Row],[Big Non-Bank Lender]]</f>
        <v>4.279467102582224E-2</v>
      </c>
      <c r="G73" s="20">
        <f>CurrentMtgRatesDataTable82[[#This Row],[WANoteRate]]-CurrentMtgRatesDataTable82[[#This Row],[Small Lender]]</f>
        <v>9.473205813220531E-2</v>
      </c>
      <c r="H73" s="20">
        <f>CurrentMtgRatesDataTable82[[#This Row],[Big Non-Bank Lender]]-CurrentMtgRatesDataTable82[[#This Row],[Small Lender]]</f>
        <v>5.1937387106383071E-2</v>
      </c>
      <c r="I73" s="20"/>
      <c r="K73">
        <v>200909</v>
      </c>
      <c r="L73">
        <v>5.1739142642388769</v>
      </c>
      <c r="N73">
        <v>200909</v>
      </c>
      <c r="O73">
        <v>5.2377286478678045</v>
      </c>
      <c r="P73" s="20">
        <f>VLOOKUP(CurrentMtgRatesDataTable82345[[#This Row],[calcOrigMonth_LL]],B:H,5,0)</f>
        <v>-0.26431546603148792</v>
      </c>
      <c r="Q73" s="20">
        <f>VLOOKUP(CurrentMtgRatesDataTable82345[[#This Row],[calcOrigMonth_LL]],B:G,6,0)</f>
        <v>-0.20050108240256037</v>
      </c>
    </row>
    <row r="74" spans="2:17">
      <c r="B74" s="25">
        <v>201011</v>
      </c>
      <c r="C74" s="20">
        <v>4.4863820002727097</v>
      </c>
      <c r="D74" s="20">
        <f>VLOOKUP(CurrentMtgRatesDataTable82[[#This Row],[calcOrigMonth_LL]],N:O,2,0)</f>
        <v>4.4330866225285526</v>
      </c>
      <c r="E74" s="20">
        <f>VLOOKUP(CurrentMtgRatesDataTable82[[#This Row],[calcOrigMonth_LL]],K:L,2,0)</f>
        <v>4.3957463381326125</v>
      </c>
      <c r="F74" s="20">
        <f>CurrentMtgRatesDataTable82[[#This Row],[WANoteRate]]-CurrentMtgRatesDataTable82[[#This Row],[Big Non-Bank Lender]]</f>
        <v>5.3295377744157157E-2</v>
      </c>
      <c r="G74" s="20">
        <f>CurrentMtgRatesDataTable82[[#This Row],[WANoteRate]]-CurrentMtgRatesDataTable82[[#This Row],[Small Lender]]</f>
        <v>9.0635662140097217E-2</v>
      </c>
      <c r="H74" s="20">
        <f>CurrentMtgRatesDataTable82[[#This Row],[Big Non-Bank Lender]]-CurrentMtgRatesDataTable82[[#This Row],[Small Lender]]</f>
        <v>3.734028439594006E-2</v>
      </c>
      <c r="I74" s="20"/>
      <c r="K74">
        <v>200908</v>
      </c>
      <c r="L74">
        <v>5.048503404084955</v>
      </c>
      <c r="N74">
        <v>200908</v>
      </c>
      <c r="O74">
        <v>5.130840056872394</v>
      </c>
      <c r="P74" s="20">
        <f>VLOOKUP(CurrentMtgRatesDataTable82345[[#This Row],[calcOrigMonth_LL]],B:H,5,0)</f>
        <v>-0.25550133506083217</v>
      </c>
      <c r="Q74" s="20">
        <f>VLOOKUP(CurrentMtgRatesDataTable82345[[#This Row],[calcOrigMonth_LL]],B:G,6,0)</f>
        <v>-0.17316468227339321</v>
      </c>
    </row>
    <row r="75" spans="2:17">
      <c r="B75" s="25">
        <v>201012</v>
      </c>
      <c r="C75" s="20">
        <v>4.3941822780714448</v>
      </c>
      <c r="D75" s="20">
        <f>VLOOKUP(CurrentMtgRatesDataTable82[[#This Row],[calcOrigMonth_LL]],N:O,2,0)</f>
        <v>4.2827138265687763</v>
      </c>
      <c r="E75" s="20">
        <f>VLOOKUP(CurrentMtgRatesDataTable82[[#This Row],[calcOrigMonth_LL]],K:L,2,0)</f>
        <v>4.333405272917231</v>
      </c>
      <c r="F75" s="20">
        <f>CurrentMtgRatesDataTable82[[#This Row],[WANoteRate]]-CurrentMtgRatesDataTable82[[#This Row],[Big Non-Bank Lender]]</f>
        <v>0.11146845150266849</v>
      </c>
      <c r="G75" s="20">
        <f>CurrentMtgRatesDataTable82[[#This Row],[WANoteRate]]-CurrentMtgRatesDataTable82[[#This Row],[Small Lender]]</f>
        <v>6.0777005154213803E-2</v>
      </c>
      <c r="H75" s="20">
        <f>CurrentMtgRatesDataTable82[[#This Row],[Big Non-Bank Lender]]-CurrentMtgRatesDataTable82[[#This Row],[Small Lender]]</f>
        <v>-5.0691446348454683E-2</v>
      </c>
      <c r="I75" s="20"/>
      <c r="K75">
        <v>200907</v>
      </c>
      <c r="L75">
        <v>4.8928508896680141</v>
      </c>
      <c r="N75">
        <v>200907</v>
      </c>
      <c r="O75">
        <v>4.8778681047695018</v>
      </c>
      <c r="P75" s="20">
        <f>VLOOKUP(CurrentMtgRatesDataTable82345[[#This Row],[calcOrigMonth_LL]],B:H,5,0)</f>
        <v>-8.4680162026475436E-2</v>
      </c>
      <c r="Q75" s="20">
        <f>VLOOKUP(CurrentMtgRatesDataTable82345[[#This Row],[calcOrigMonth_LL]],B:G,6,0)</f>
        <v>-9.9662946924987672E-2</v>
      </c>
    </row>
    <row r="76" spans="2:17">
      <c r="B76" s="25">
        <v>201101</v>
      </c>
      <c r="C76" s="20">
        <v>4.4394506312504758</v>
      </c>
      <c r="D76" s="20">
        <f>VLOOKUP(CurrentMtgRatesDataTable82[[#This Row],[calcOrigMonth_LL]],N:O,2,0)</f>
        <v>4.46205158835643</v>
      </c>
      <c r="E76" s="20">
        <f>VLOOKUP(CurrentMtgRatesDataTable82[[#This Row],[calcOrigMonth_LL]],K:L,2,0)</f>
        <v>4.3885698982433423</v>
      </c>
      <c r="F76" s="20">
        <f>CurrentMtgRatesDataTable82[[#This Row],[WANoteRate]]-CurrentMtgRatesDataTable82[[#This Row],[Big Non-Bank Lender]]</f>
        <v>-2.2600957105954222E-2</v>
      </c>
      <c r="G76" s="20">
        <f>CurrentMtgRatesDataTable82[[#This Row],[WANoteRate]]-CurrentMtgRatesDataTable82[[#This Row],[Small Lender]]</f>
        <v>5.0880733007133472E-2</v>
      </c>
      <c r="H76" s="20">
        <f>CurrentMtgRatesDataTable82[[#This Row],[Big Non-Bank Lender]]-CurrentMtgRatesDataTable82[[#This Row],[Small Lender]]</f>
        <v>7.3481690113087694E-2</v>
      </c>
      <c r="I76" s="20"/>
      <c r="K76">
        <v>200906</v>
      </c>
      <c r="L76">
        <v>4.8263012369528075</v>
      </c>
      <c r="N76">
        <v>200906</v>
      </c>
      <c r="O76">
        <v>4.6974013095210259</v>
      </c>
      <c r="P76" s="20">
        <f>VLOOKUP(CurrentMtgRatesDataTable82345[[#This Row],[calcOrigMonth_LL]],B:H,5,0)</f>
        <v>5.2141658708594996E-2</v>
      </c>
      <c r="Q76" s="20">
        <f>VLOOKUP(CurrentMtgRatesDataTable82345[[#This Row],[calcOrigMonth_LL]],B:G,6,0)</f>
        <v>-7.6758268723186696E-2</v>
      </c>
    </row>
    <row r="77" spans="2:17">
      <c r="B77" s="25">
        <v>201102</v>
      </c>
      <c r="C77" s="20">
        <v>4.6101668267854272</v>
      </c>
      <c r="D77" s="20">
        <f>VLOOKUP(CurrentMtgRatesDataTable82[[#This Row],[calcOrigMonth_LL]],N:O,2,0)</f>
        <v>4.7782540653303318</v>
      </c>
      <c r="E77" s="20">
        <f>VLOOKUP(CurrentMtgRatesDataTable82[[#This Row],[calcOrigMonth_LL]],K:L,2,0)</f>
        <v>4.5958034391096065</v>
      </c>
      <c r="F77" s="20">
        <f>CurrentMtgRatesDataTable82[[#This Row],[WANoteRate]]-CurrentMtgRatesDataTable82[[#This Row],[Big Non-Bank Lender]]</f>
        <v>-0.16808723854490459</v>
      </c>
      <c r="G77" s="20">
        <f>CurrentMtgRatesDataTable82[[#This Row],[WANoteRate]]-CurrentMtgRatesDataTable82[[#This Row],[Small Lender]]</f>
        <v>1.4363387675820682E-2</v>
      </c>
      <c r="H77" s="20">
        <f>CurrentMtgRatesDataTable82[[#This Row],[Big Non-Bank Lender]]-CurrentMtgRatesDataTable82[[#This Row],[Small Lender]]</f>
        <v>0.18245062622072528</v>
      </c>
      <c r="I77" s="20"/>
      <c r="K77">
        <v>200905</v>
      </c>
      <c r="L77">
        <v>4.8410301901347985</v>
      </c>
      <c r="N77">
        <v>200905</v>
      </c>
      <c r="O77">
        <v>4.5600800310524656</v>
      </c>
      <c r="P77" s="20">
        <f>VLOOKUP(CurrentMtgRatesDataTable82345[[#This Row],[calcOrigMonth_LL]],B:H,5,0)</f>
        <v>0.2073105496095895</v>
      </c>
      <c r="Q77" s="20">
        <f>VLOOKUP(CurrentMtgRatesDataTable82345[[#This Row],[calcOrigMonth_LL]],B:G,6,0)</f>
        <v>-7.3639609472743395E-2</v>
      </c>
    </row>
    <row r="78" spans="2:17">
      <c r="B78" s="25">
        <v>201103</v>
      </c>
      <c r="C78" s="20">
        <v>4.7898500857206114</v>
      </c>
      <c r="D78" s="20">
        <f>VLOOKUP(CurrentMtgRatesDataTable82[[#This Row],[calcOrigMonth_LL]],N:O,2,0)</f>
        <v>4.8784505993763663</v>
      </c>
      <c r="E78" s="20">
        <f>VLOOKUP(CurrentMtgRatesDataTable82[[#This Row],[calcOrigMonth_LL]],K:L,2,0)</f>
        <v>4.7711543966721894</v>
      </c>
      <c r="F78" s="20">
        <f>CurrentMtgRatesDataTable82[[#This Row],[WANoteRate]]-CurrentMtgRatesDataTable82[[#This Row],[Big Non-Bank Lender]]</f>
        <v>-8.8600513655754831E-2</v>
      </c>
      <c r="G78" s="20">
        <f>CurrentMtgRatesDataTable82[[#This Row],[WANoteRate]]-CurrentMtgRatesDataTable82[[#This Row],[Small Lender]]</f>
        <v>1.8695689048422004E-2</v>
      </c>
      <c r="H78" s="20">
        <f>CurrentMtgRatesDataTable82[[#This Row],[Big Non-Bank Lender]]-CurrentMtgRatesDataTable82[[#This Row],[Small Lender]]</f>
        <v>0.10729620270417684</v>
      </c>
      <c r="I78" s="20"/>
      <c r="K78">
        <v>200904</v>
      </c>
      <c r="L78">
        <v>4.9222355302905143</v>
      </c>
      <c r="N78">
        <v>200904</v>
      </c>
      <c r="O78">
        <v>4.9874446544948015</v>
      </c>
      <c r="P78" s="20">
        <f>VLOOKUP(CurrentMtgRatesDataTable82345[[#This Row],[calcOrigMonth_LL]],B:H,5,0)</f>
        <v>-0.13812896614404746</v>
      </c>
      <c r="Q78" s="20">
        <f>VLOOKUP(CurrentMtgRatesDataTable82345[[#This Row],[calcOrigMonth_LL]],B:G,6,0)</f>
        <v>-7.291984193976031E-2</v>
      </c>
    </row>
    <row r="79" spans="2:17">
      <c r="B79" s="25">
        <v>201104</v>
      </c>
      <c r="C79" s="20">
        <v>4.9682258006661</v>
      </c>
      <c r="D79" s="20">
        <f>VLOOKUP(CurrentMtgRatesDataTable82[[#This Row],[calcOrigMonth_LL]],N:O,2,0)</f>
        <v>5.0438830894543774</v>
      </c>
      <c r="E79" s="20">
        <f>VLOOKUP(CurrentMtgRatesDataTable82[[#This Row],[calcOrigMonth_LL]],K:L,2,0)</f>
        <v>4.9419898556147306</v>
      </c>
      <c r="F79" s="20">
        <f>CurrentMtgRatesDataTable82[[#This Row],[WANoteRate]]-CurrentMtgRatesDataTable82[[#This Row],[Big Non-Bank Lender]]</f>
        <v>-7.5657288788277377E-2</v>
      </c>
      <c r="G79" s="20">
        <f>CurrentMtgRatesDataTable82[[#This Row],[WANoteRate]]-CurrentMtgRatesDataTable82[[#This Row],[Small Lender]]</f>
        <v>2.6235945051369391E-2</v>
      </c>
      <c r="H79" s="20">
        <f>CurrentMtgRatesDataTable82[[#This Row],[Big Non-Bank Lender]]-CurrentMtgRatesDataTable82[[#This Row],[Small Lender]]</f>
        <v>0.10189323383964677</v>
      </c>
      <c r="I79" s="20"/>
      <c r="K79">
        <v>200903</v>
      </c>
      <c r="L79">
        <v>4.8596990352408955</v>
      </c>
      <c r="N79">
        <v>200903</v>
      </c>
      <c r="O79">
        <v>4.8899800558284268</v>
      </c>
      <c r="P79" s="20">
        <f>VLOOKUP(CurrentMtgRatesDataTable82345[[#This Row],[calcOrigMonth_LL]],B:H,5,0)</f>
        <v>-6.11197615386736E-2</v>
      </c>
      <c r="Q79" s="20">
        <f>VLOOKUP(CurrentMtgRatesDataTable82345[[#This Row],[calcOrigMonth_LL]],B:G,6,0)</f>
        <v>-3.0838740951142363E-2</v>
      </c>
    </row>
    <row r="80" spans="2:17">
      <c r="B80" s="25">
        <v>201105</v>
      </c>
      <c r="C80" s="20">
        <v>5.0665489230692025</v>
      </c>
      <c r="D80" s="20">
        <f>VLOOKUP(CurrentMtgRatesDataTable82[[#This Row],[calcOrigMonth_LL]],N:O,2,0)</f>
        <v>5.1349391360750367</v>
      </c>
      <c r="E80" s="20">
        <f>VLOOKUP(CurrentMtgRatesDataTable82[[#This Row],[calcOrigMonth_LL]],K:L,2,0)</f>
        <v>4.9563635506744799</v>
      </c>
      <c r="F80" s="20">
        <f>CurrentMtgRatesDataTable82[[#This Row],[WANoteRate]]-CurrentMtgRatesDataTable82[[#This Row],[Big Non-Bank Lender]]</f>
        <v>-6.8390213005834255E-2</v>
      </c>
      <c r="G80" s="20">
        <f>CurrentMtgRatesDataTable82[[#This Row],[WANoteRate]]-CurrentMtgRatesDataTable82[[#This Row],[Small Lender]]</f>
        <v>0.11018537239472259</v>
      </c>
      <c r="H80" s="20">
        <f>CurrentMtgRatesDataTable82[[#This Row],[Big Non-Bank Lender]]-CurrentMtgRatesDataTable82[[#This Row],[Small Lender]]</f>
        <v>0.17857558540055685</v>
      </c>
      <c r="I80" s="20"/>
      <c r="K80">
        <v>200902</v>
      </c>
      <c r="L80">
        <v>4.8583899527909136</v>
      </c>
      <c r="N80">
        <v>200902</v>
      </c>
      <c r="O80">
        <v>4.9100783921274287</v>
      </c>
      <c r="P80" s="20">
        <f>VLOOKUP(CurrentMtgRatesDataTable82345[[#This Row],[calcOrigMonth_LL]],B:H,5,0)</f>
        <v>-3.6112702804012464E-2</v>
      </c>
      <c r="Q80" s="20">
        <f>VLOOKUP(CurrentMtgRatesDataTable82345[[#This Row],[calcOrigMonth_LL]],B:G,6,0)</f>
        <v>1.557573653250266E-2</v>
      </c>
    </row>
    <row r="81" spans="2:17">
      <c r="B81" s="25">
        <v>201106</v>
      </c>
      <c r="C81" s="20">
        <v>5.0260899490669972</v>
      </c>
      <c r="D81" s="20">
        <f>VLOOKUP(CurrentMtgRatesDataTable82[[#This Row],[calcOrigMonth_LL]],N:O,2,0)</f>
        <v>4.9949864976510669</v>
      </c>
      <c r="E81" s="20">
        <f>VLOOKUP(CurrentMtgRatesDataTable82[[#This Row],[calcOrigMonth_LL]],K:L,2,0)</f>
        <v>4.9315152881865467</v>
      </c>
      <c r="F81" s="20">
        <f>CurrentMtgRatesDataTable82[[#This Row],[WANoteRate]]-CurrentMtgRatesDataTable82[[#This Row],[Big Non-Bank Lender]]</f>
        <v>3.1103451415930294E-2</v>
      </c>
      <c r="G81" s="20">
        <f>CurrentMtgRatesDataTable82[[#This Row],[WANoteRate]]-CurrentMtgRatesDataTable82[[#This Row],[Small Lender]]</f>
        <v>9.4574660880450523E-2</v>
      </c>
      <c r="H81" s="20">
        <f>CurrentMtgRatesDataTable82[[#This Row],[Big Non-Bank Lender]]-CurrentMtgRatesDataTable82[[#This Row],[Small Lender]]</f>
        <v>6.3471209464520228E-2</v>
      </c>
      <c r="I81" s="20"/>
      <c r="K81">
        <v>200901</v>
      </c>
      <c r="L81">
        <v>5.2053438143347615</v>
      </c>
      <c r="N81">
        <v>200901</v>
      </c>
      <c r="O81">
        <v>5.1059277261200338</v>
      </c>
      <c r="P81" s="20">
        <f>VLOOKUP(CurrentMtgRatesDataTable82345[[#This Row],[calcOrigMonth_LL]],B:H,5,0)</f>
        <v>9.2383357317694426E-2</v>
      </c>
      <c r="Q81" s="20">
        <f>VLOOKUP(CurrentMtgRatesDataTable82345[[#This Row],[calcOrigMonth_LL]],B:G,6,0)</f>
        <v>-7.032730897033268E-3</v>
      </c>
    </row>
    <row r="82" spans="2:17">
      <c r="B82" s="25">
        <v>201107</v>
      </c>
      <c r="C82" s="20">
        <v>4.8584745525635826</v>
      </c>
      <c r="D82" s="20">
        <f>VLOOKUP(CurrentMtgRatesDataTable82[[#This Row],[calcOrigMonth_LL]],N:O,2,0)</f>
        <v>4.8229856045759059</v>
      </c>
      <c r="E82" s="20">
        <f>VLOOKUP(CurrentMtgRatesDataTable82[[#This Row],[calcOrigMonth_LL]],K:L,2,0)</f>
        <v>4.8036687128784106</v>
      </c>
      <c r="F82" s="20">
        <f>CurrentMtgRatesDataTable82[[#This Row],[WANoteRate]]-CurrentMtgRatesDataTable82[[#This Row],[Big Non-Bank Lender]]</f>
        <v>3.5488947987676767E-2</v>
      </c>
      <c r="G82" s="20">
        <f>CurrentMtgRatesDataTable82[[#This Row],[WANoteRate]]-CurrentMtgRatesDataTable82[[#This Row],[Small Lender]]</f>
        <v>5.4805839685172053E-2</v>
      </c>
      <c r="H82" s="20">
        <f>CurrentMtgRatesDataTable82[[#This Row],[Big Non-Bank Lender]]-CurrentMtgRatesDataTable82[[#This Row],[Small Lender]]</f>
        <v>1.9316891697495286E-2</v>
      </c>
      <c r="I82" s="20"/>
      <c r="K82">
        <v>200812</v>
      </c>
      <c r="L82">
        <v>5.9953763294180238</v>
      </c>
      <c r="N82">
        <v>200812</v>
      </c>
      <c r="O82">
        <v>5.875</v>
      </c>
      <c r="P82" s="20">
        <f>VLOOKUP(CurrentMtgRatesDataTable82345[[#This Row],[calcOrigMonth_LL]],B:H,5,0)</f>
        <v>8.6996343066354065E-2</v>
      </c>
      <c r="Q82" s="20">
        <f>VLOOKUP(CurrentMtgRatesDataTable82345[[#This Row],[calcOrigMonth_LL]],B:G,6,0)</f>
        <v>-3.3379986351669722E-2</v>
      </c>
    </row>
    <row r="83" spans="2:17">
      <c r="B83" s="25">
        <v>201108</v>
      </c>
      <c r="C83" s="20">
        <v>4.769622503261334</v>
      </c>
      <c r="D83" s="20">
        <f>VLOOKUP(CurrentMtgRatesDataTable82[[#This Row],[calcOrigMonth_LL]],N:O,2,0)</f>
        <v>4.6947218186488788</v>
      </c>
      <c r="E83" s="20">
        <f>VLOOKUP(CurrentMtgRatesDataTable82[[#This Row],[calcOrigMonth_LL]],K:L,2,0)</f>
        <v>4.6980877011206443</v>
      </c>
      <c r="F83" s="20">
        <f>CurrentMtgRatesDataTable82[[#This Row],[WANoteRate]]-CurrentMtgRatesDataTable82[[#This Row],[Big Non-Bank Lender]]</f>
        <v>7.4900684612455137E-2</v>
      </c>
      <c r="G83" s="20">
        <f>CurrentMtgRatesDataTable82[[#This Row],[WANoteRate]]-CurrentMtgRatesDataTable82[[#This Row],[Small Lender]]</f>
        <v>7.1534802140689635E-2</v>
      </c>
      <c r="H83" s="20">
        <f>CurrentMtgRatesDataTable82[[#This Row],[Big Non-Bank Lender]]-CurrentMtgRatesDataTable82[[#This Row],[Small Lender]]</f>
        <v>-3.3658824717655023E-3</v>
      </c>
      <c r="I83" s="20"/>
      <c r="K83">
        <v>200811</v>
      </c>
      <c r="L83">
        <v>5.9182345866314154</v>
      </c>
      <c r="N83">
        <v>200811</v>
      </c>
      <c r="O83">
        <v>5.9640574480148336</v>
      </c>
      <c r="P83" s="20">
        <f>VLOOKUP(CurrentMtgRatesDataTable82345[[#This Row],[calcOrigMonth_LL]],B:H,5,0)</f>
        <v>-7.067106542423307E-2</v>
      </c>
      <c r="Q83" s="20">
        <f>VLOOKUP(CurrentMtgRatesDataTable82345[[#This Row],[calcOrigMonth_LL]],B:G,6,0)</f>
        <v>-2.4848204040814892E-2</v>
      </c>
    </row>
    <row r="84" spans="2:17">
      <c r="B84" s="25">
        <v>201109</v>
      </c>
      <c r="C84" s="20">
        <v>4.6580195820918506</v>
      </c>
      <c r="D84" s="20">
        <f>VLOOKUP(CurrentMtgRatesDataTable82[[#This Row],[calcOrigMonth_LL]],N:O,2,0)</f>
        <v>4.6876430833502996</v>
      </c>
      <c r="E84" s="20">
        <f>VLOOKUP(CurrentMtgRatesDataTable82[[#This Row],[calcOrigMonth_LL]],K:L,2,0)</f>
        <v>4.5556647248416446</v>
      </c>
      <c r="F84" s="20">
        <f>CurrentMtgRatesDataTable82[[#This Row],[WANoteRate]]-CurrentMtgRatesDataTable82[[#This Row],[Big Non-Bank Lender]]</f>
        <v>-2.9623501258448925E-2</v>
      </c>
      <c r="G84" s="20">
        <f>CurrentMtgRatesDataTable82[[#This Row],[WANoteRate]]-CurrentMtgRatesDataTable82[[#This Row],[Small Lender]]</f>
        <v>0.10235485725020599</v>
      </c>
      <c r="H84" s="20">
        <f>CurrentMtgRatesDataTable82[[#This Row],[Big Non-Bank Lender]]-CurrentMtgRatesDataTable82[[#This Row],[Small Lender]]</f>
        <v>0.13197835850865491</v>
      </c>
      <c r="I84" s="20"/>
      <c r="K84">
        <v>200810</v>
      </c>
      <c r="L84">
        <v>6.0896790065357971</v>
      </c>
      <c r="N84">
        <v>200810</v>
      </c>
      <c r="O84">
        <v>6.2369303849846069</v>
      </c>
      <c r="P84" s="20">
        <f>VLOOKUP(CurrentMtgRatesDataTable82345[[#This Row],[calcOrigMonth_LL]],B:H,5,0)</f>
        <v>-0.15466469216521528</v>
      </c>
      <c r="Q84" s="20">
        <f>VLOOKUP(CurrentMtgRatesDataTable82345[[#This Row],[calcOrigMonth_LL]],B:G,6,0)</f>
        <v>-7.4133137164054119E-3</v>
      </c>
    </row>
    <row r="85" spans="2:17">
      <c r="B85" s="25">
        <v>201110</v>
      </c>
      <c r="C85" s="20">
        <v>4.4145291095092656</v>
      </c>
      <c r="D85" s="20">
        <f>VLOOKUP(CurrentMtgRatesDataTable82[[#This Row],[calcOrigMonth_LL]],N:O,2,0)</f>
        <v>4.3109516782640247</v>
      </c>
      <c r="E85" s="20">
        <f>VLOOKUP(CurrentMtgRatesDataTable82[[#This Row],[calcOrigMonth_LL]],K:L,2,0)</f>
        <v>4.2946674282793431</v>
      </c>
      <c r="F85" s="20">
        <f>CurrentMtgRatesDataTable82[[#This Row],[WANoteRate]]-CurrentMtgRatesDataTable82[[#This Row],[Big Non-Bank Lender]]</f>
        <v>0.10357743124524088</v>
      </c>
      <c r="G85" s="20">
        <f>CurrentMtgRatesDataTable82[[#This Row],[WANoteRate]]-CurrentMtgRatesDataTable82[[#This Row],[Small Lender]]</f>
        <v>0.11986168122992247</v>
      </c>
      <c r="H85" s="20">
        <f>CurrentMtgRatesDataTable82[[#This Row],[Big Non-Bank Lender]]-CurrentMtgRatesDataTable82[[#This Row],[Small Lender]]</f>
        <v>1.6284249984681587E-2</v>
      </c>
      <c r="I85" s="20"/>
      <c r="K85">
        <v>200809</v>
      </c>
      <c r="L85">
        <v>6.4337984005909297</v>
      </c>
      <c r="N85">
        <v>200809</v>
      </c>
      <c r="O85">
        <v>6.4144272844272843</v>
      </c>
      <c r="P85" s="20">
        <f>VLOOKUP(CurrentMtgRatesDataTable82345[[#This Row],[calcOrigMonth_LL]],B:H,5,0)</f>
        <v>6.0210626707863923E-3</v>
      </c>
      <c r="Q85" s="20">
        <f>VLOOKUP(CurrentMtgRatesDataTable82345[[#This Row],[calcOrigMonth_LL]],B:G,6,0)</f>
        <v>-1.3350053492859004E-2</v>
      </c>
    </row>
    <row r="86" spans="2:17">
      <c r="B86" s="25">
        <v>201111</v>
      </c>
      <c r="C86" s="20">
        <v>4.2602226653448545</v>
      </c>
      <c r="D86" s="20">
        <f>VLOOKUP(CurrentMtgRatesDataTable82[[#This Row],[calcOrigMonth_LL]],N:O,2,0)</f>
        <v>4.2034567692180884</v>
      </c>
      <c r="E86" s="20">
        <f>VLOOKUP(CurrentMtgRatesDataTable82[[#This Row],[calcOrigMonth_LL]],K:L,2,0)</f>
        <v>4.1698816799644369</v>
      </c>
      <c r="F86" s="20">
        <f>CurrentMtgRatesDataTable82[[#This Row],[WANoteRate]]-CurrentMtgRatesDataTable82[[#This Row],[Big Non-Bank Lender]]</f>
        <v>5.676589612676608E-2</v>
      </c>
      <c r="G86" s="20">
        <f>CurrentMtgRatesDataTable82[[#This Row],[WANoteRate]]-CurrentMtgRatesDataTable82[[#This Row],[Small Lender]]</f>
        <v>9.0340985380417571E-2</v>
      </c>
      <c r="H86" s="20">
        <f>CurrentMtgRatesDataTable82[[#This Row],[Big Non-Bank Lender]]-CurrentMtgRatesDataTable82[[#This Row],[Small Lender]]</f>
        <v>3.3575089253651491E-2</v>
      </c>
      <c r="I86" s="20"/>
      <c r="K86">
        <v>200808</v>
      </c>
      <c r="L86">
        <v>6.3000244935377712</v>
      </c>
      <c r="N86">
        <v>200808</v>
      </c>
      <c r="O86">
        <v>6.5646607231399621</v>
      </c>
      <c r="P86" s="20">
        <f>VLOOKUP(CurrentMtgRatesDataTable82345[[#This Row],[calcOrigMonth_LL]],B:H,5,0)</f>
        <v>-0.240595173845632</v>
      </c>
      <c r="Q86" s="20">
        <f>VLOOKUP(CurrentMtgRatesDataTable82345[[#This Row],[calcOrigMonth_LL]],B:G,6,0)</f>
        <v>2.4041055756558904E-2</v>
      </c>
    </row>
    <row r="87" spans="2:17">
      <c r="B87" s="25">
        <v>201112</v>
      </c>
      <c r="C87" s="20">
        <v>4.2195944218469403</v>
      </c>
      <c r="D87" s="20">
        <f>VLOOKUP(CurrentMtgRatesDataTable82[[#This Row],[calcOrigMonth_LL]],N:O,2,0)</f>
        <v>4.1634464949843828</v>
      </c>
      <c r="E87" s="20">
        <f>VLOOKUP(CurrentMtgRatesDataTable82[[#This Row],[calcOrigMonth_LL]],K:L,2,0)</f>
        <v>4.118895830233563</v>
      </c>
      <c r="F87" s="20">
        <f>CurrentMtgRatesDataTable82[[#This Row],[WANoteRate]]-CurrentMtgRatesDataTable82[[#This Row],[Big Non-Bank Lender]]</f>
        <v>5.614792686255754E-2</v>
      </c>
      <c r="G87" s="20">
        <f>CurrentMtgRatesDataTable82[[#This Row],[WANoteRate]]-CurrentMtgRatesDataTable82[[#This Row],[Small Lender]]</f>
        <v>0.10069859161337735</v>
      </c>
      <c r="H87" s="20">
        <f>CurrentMtgRatesDataTable82[[#This Row],[Big Non-Bank Lender]]-CurrentMtgRatesDataTable82[[#This Row],[Small Lender]]</f>
        <v>4.4550664750819813E-2</v>
      </c>
      <c r="I87" s="20"/>
      <c r="K87">
        <v>200807</v>
      </c>
      <c r="L87">
        <v>6.0397158687936123</v>
      </c>
      <c r="N87">
        <v>200807</v>
      </c>
      <c r="O87">
        <v>6.1355113407054649</v>
      </c>
      <c r="P87" s="20">
        <f>VLOOKUP(CurrentMtgRatesDataTable82345[[#This Row],[calcOrigMonth_LL]],B:H,5,0)</f>
        <v>-0.13258049202086042</v>
      </c>
      <c r="Q87" s="20">
        <f>VLOOKUP(CurrentMtgRatesDataTable82345[[#This Row],[calcOrigMonth_LL]],B:G,6,0)</f>
        <v>-3.678502010900786E-2</v>
      </c>
    </row>
    <row r="88" spans="2:17">
      <c r="B88" s="25">
        <v>201201</v>
      </c>
      <c r="C88" s="20">
        <v>4.2204672079656005</v>
      </c>
      <c r="D88" s="20">
        <f>VLOOKUP(CurrentMtgRatesDataTable82[[#This Row],[calcOrigMonth_LL]],N:O,2,0)</f>
        <v>4.1571822675333134</v>
      </c>
      <c r="E88" s="20">
        <f>VLOOKUP(CurrentMtgRatesDataTable82[[#This Row],[calcOrigMonth_LL]],K:L,2,0)</f>
        <v>4.1259013998423599</v>
      </c>
      <c r="F88" s="20">
        <f>CurrentMtgRatesDataTable82[[#This Row],[WANoteRate]]-CurrentMtgRatesDataTable82[[#This Row],[Big Non-Bank Lender]]</f>
        <v>6.3284940432287051E-2</v>
      </c>
      <c r="G88" s="20">
        <f>CurrentMtgRatesDataTable82[[#This Row],[WANoteRate]]-CurrentMtgRatesDataTable82[[#This Row],[Small Lender]]</f>
        <v>9.4565808123240558E-2</v>
      </c>
      <c r="H88" s="20">
        <f>CurrentMtgRatesDataTable82[[#This Row],[Big Non-Bank Lender]]-CurrentMtgRatesDataTable82[[#This Row],[Small Lender]]</f>
        <v>3.1280867690953507E-2</v>
      </c>
      <c r="I88" s="20"/>
      <c r="K88">
        <v>200806</v>
      </c>
      <c r="L88">
        <v>5.843661200208313</v>
      </c>
      <c r="N88">
        <v>200806</v>
      </c>
      <c r="O88">
        <v>6.0392686203711481</v>
      </c>
      <c r="P88" s="20">
        <f>VLOOKUP(CurrentMtgRatesDataTable82345[[#This Row],[calcOrigMonth_LL]],B:H,5,0)</f>
        <v>-0.11794353969890459</v>
      </c>
      <c r="Q88" s="20">
        <f>VLOOKUP(CurrentMtgRatesDataTable82345[[#This Row],[calcOrigMonth_LL]],B:G,6,0)</f>
        <v>7.7663880463930468E-2</v>
      </c>
    </row>
    <row r="89" spans="2:17">
      <c r="B89" s="25">
        <v>201202</v>
      </c>
      <c r="C89" s="20">
        <v>4.1281045175496915</v>
      </c>
      <c r="D89" s="20">
        <f>VLOOKUP(CurrentMtgRatesDataTable82[[#This Row],[calcOrigMonth_LL]],N:O,2,0)</f>
        <v>4.0880277900203357</v>
      </c>
      <c r="E89" s="20">
        <f>VLOOKUP(CurrentMtgRatesDataTable82[[#This Row],[calcOrigMonth_LL]],K:L,2,0)</f>
        <v>4.0486123306079431</v>
      </c>
      <c r="F89" s="20">
        <f>CurrentMtgRatesDataTable82[[#This Row],[WANoteRate]]-CurrentMtgRatesDataTable82[[#This Row],[Big Non-Bank Lender]]</f>
        <v>4.0076727529355871E-2</v>
      </c>
      <c r="G89" s="20">
        <f>CurrentMtgRatesDataTable82[[#This Row],[WANoteRate]]-CurrentMtgRatesDataTable82[[#This Row],[Small Lender]]</f>
        <v>7.9492186941748422E-2</v>
      </c>
      <c r="H89" s="20">
        <f>CurrentMtgRatesDataTable82[[#This Row],[Big Non-Bank Lender]]-CurrentMtgRatesDataTable82[[#This Row],[Small Lender]]</f>
        <v>3.9415459412392551E-2</v>
      </c>
      <c r="I89" s="20"/>
      <c r="K89">
        <v>200805</v>
      </c>
      <c r="L89">
        <v>5.7871827480997684</v>
      </c>
      <c r="N89">
        <v>200805</v>
      </c>
      <c r="O89">
        <v>5.7946481701635451</v>
      </c>
      <c r="P89" s="20">
        <f>VLOOKUP(CurrentMtgRatesDataTable82345[[#This Row],[calcOrigMonth_LL]],B:H,5,0)</f>
        <v>2.2321588795424674E-2</v>
      </c>
      <c r="Q89" s="20">
        <f>VLOOKUP(CurrentMtgRatesDataTable82345[[#This Row],[calcOrigMonth_LL]],B:G,6,0)</f>
        <v>2.9787010859201324E-2</v>
      </c>
    </row>
    <row r="90" spans="2:17">
      <c r="B90" s="25">
        <v>201203</v>
      </c>
      <c r="C90" s="20">
        <v>4.058052458010506</v>
      </c>
      <c r="D90" s="20">
        <f>VLOOKUP(CurrentMtgRatesDataTable82[[#This Row],[calcOrigMonth_LL]],N:O,2,0)</f>
        <v>4.0554087567918957</v>
      </c>
      <c r="E90" s="20">
        <f>VLOOKUP(CurrentMtgRatesDataTable82[[#This Row],[calcOrigMonth_LL]],K:L,2,0)</f>
        <v>3.9693919772562452</v>
      </c>
      <c r="F90" s="20">
        <f>CurrentMtgRatesDataTable82[[#This Row],[WANoteRate]]-CurrentMtgRatesDataTable82[[#This Row],[Big Non-Bank Lender]]</f>
        <v>2.6437012186102393E-3</v>
      </c>
      <c r="G90" s="20">
        <f>CurrentMtgRatesDataTable82[[#This Row],[WANoteRate]]-CurrentMtgRatesDataTable82[[#This Row],[Small Lender]]</f>
        <v>8.8660480754260806E-2</v>
      </c>
      <c r="H90" s="20">
        <f>CurrentMtgRatesDataTable82[[#This Row],[Big Non-Bank Lender]]-CurrentMtgRatesDataTable82[[#This Row],[Small Lender]]</f>
        <v>8.6016779535650567E-2</v>
      </c>
      <c r="I90" s="20"/>
      <c r="K90">
        <v>200804</v>
      </c>
      <c r="L90">
        <v>5.761183617089916</v>
      </c>
      <c r="N90">
        <v>200804</v>
      </c>
      <c r="O90">
        <v>5.9386735306513714</v>
      </c>
      <c r="P90" s="20">
        <f>VLOOKUP(CurrentMtgRatesDataTable82345[[#This Row],[calcOrigMonth_LL]],B:H,5,0)</f>
        <v>-0.18334124229745097</v>
      </c>
      <c r="Q90" s="20">
        <f>VLOOKUP(CurrentMtgRatesDataTable82345[[#This Row],[calcOrigMonth_LL]],B:G,6,0)</f>
        <v>-5.8513287359955868E-3</v>
      </c>
    </row>
    <row r="91" spans="2:17">
      <c r="B91" s="25">
        <v>201204</v>
      </c>
      <c r="C91" s="20">
        <v>4.0638115545201128</v>
      </c>
      <c r="D91" s="20">
        <f>VLOOKUP(CurrentMtgRatesDataTable82[[#This Row],[calcOrigMonth_LL]],N:O,2,0)</f>
        <v>4.0434365635653133</v>
      </c>
      <c r="E91" s="20">
        <f>VLOOKUP(CurrentMtgRatesDataTable82[[#This Row],[calcOrigMonth_LL]],K:L,2,0)</f>
        <v>3.9610702730041729</v>
      </c>
      <c r="F91" s="20">
        <f>CurrentMtgRatesDataTable82[[#This Row],[WANoteRate]]-CurrentMtgRatesDataTable82[[#This Row],[Big Non-Bank Lender]]</f>
        <v>2.0374990954799443E-2</v>
      </c>
      <c r="G91" s="20">
        <f>CurrentMtgRatesDataTable82[[#This Row],[WANoteRate]]-CurrentMtgRatesDataTable82[[#This Row],[Small Lender]]</f>
        <v>0.10274128151593986</v>
      </c>
      <c r="H91" s="20">
        <f>CurrentMtgRatesDataTable82[[#This Row],[Big Non-Bank Lender]]-CurrentMtgRatesDataTable82[[#This Row],[Small Lender]]</f>
        <v>8.2366290561140421E-2</v>
      </c>
      <c r="I91" s="20"/>
      <c r="K91">
        <v>200803</v>
      </c>
      <c r="L91">
        <v>5.5831625513869279</v>
      </c>
      <c r="N91">
        <v>200803</v>
      </c>
      <c r="O91">
        <v>5.6626788191799058</v>
      </c>
      <c r="P91" s="20">
        <f>VLOOKUP(CurrentMtgRatesDataTable82345[[#This Row],[calcOrigMonth_LL]],B:H,5,0)</f>
        <v>-6.2931956705726044E-2</v>
      </c>
      <c r="Q91" s="20">
        <f>VLOOKUP(CurrentMtgRatesDataTable82345[[#This Row],[calcOrigMonth_LL]],B:G,6,0)</f>
        <v>1.6584311087251891E-2</v>
      </c>
    </row>
    <row r="92" spans="2:17">
      <c r="B92" s="25">
        <v>201205</v>
      </c>
      <c r="C92" s="20">
        <v>4.1210943766330157</v>
      </c>
      <c r="D92" s="20">
        <f>VLOOKUP(CurrentMtgRatesDataTable82[[#This Row],[calcOrigMonth_LL]],N:O,2,0)</f>
        <v>4.0884115861838524</v>
      </c>
      <c r="E92" s="20">
        <f>VLOOKUP(CurrentMtgRatesDataTable82[[#This Row],[calcOrigMonth_LL]],K:L,2,0)</f>
        <v>4.023797927239662</v>
      </c>
      <c r="F92" s="20">
        <f>CurrentMtgRatesDataTable82[[#This Row],[WANoteRate]]-CurrentMtgRatesDataTable82[[#This Row],[Big Non-Bank Lender]]</f>
        <v>3.2682790449163335E-2</v>
      </c>
      <c r="G92" s="20">
        <f>CurrentMtgRatesDataTable82[[#This Row],[WANoteRate]]-CurrentMtgRatesDataTable82[[#This Row],[Small Lender]]</f>
        <v>9.729644939335369E-2</v>
      </c>
      <c r="H92" s="20">
        <f>CurrentMtgRatesDataTable82[[#This Row],[Big Non-Bank Lender]]-CurrentMtgRatesDataTable82[[#This Row],[Small Lender]]</f>
        <v>6.4613658944190355E-2</v>
      </c>
      <c r="I92" s="20"/>
      <c r="K92">
        <v>200802</v>
      </c>
      <c r="L92">
        <v>5.8565984089235998</v>
      </c>
      <c r="N92">
        <v>200802</v>
      </c>
      <c r="O92">
        <v>5.9382550548379482</v>
      </c>
      <c r="P92" s="20">
        <f>VLOOKUP(CurrentMtgRatesDataTable82345[[#This Row],[calcOrigMonth_LL]],B:H,5,0)</f>
        <v>-7.0704374360064826E-2</v>
      </c>
      <c r="Q92" s="20">
        <f>VLOOKUP(CurrentMtgRatesDataTable82345[[#This Row],[calcOrigMonth_LL]],B:G,6,0)</f>
        <v>1.0952271554283577E-2</v>
      </c>
    </row>
    <row r="93" spans="2:17">
      <c r="B93" s="25">
        <v>201206</v>
      </c>
      <c r="C93" s="20">
        <v>4.1119502433422781</v>
      </c>
      <c r="D93" s="20">
        <f>VLOOKUP(CurrentMtgRatesDataTable82[[#This Row],[calcOrigMonth_LL]],N:O,2,0)</f>
        <v>4.0291610650154039</v>
      </c>
      <c r="E93" s="20">
        <f>VLOOKUP(CurrentMtgRatesDataTable82[[#This Row],[calcOrigMonth_LL]],K:L,2,0)</f>
        <v>4.0072850818423413</v>
      </c>
      <c r="F93" s="20">
        <f>CurrentMtgRatesDataTable82[[#This Row],[WANoteRate]]-CurrentMtgRatesDataTable82[[#This Row],[Big Non-Bank Lender]]</f>
        <v>8.2789178326874158E-2</v>
      </c>
      <c r="G93" s="20">
        <f>CurrentMtgRatesDataTable82[[#This Row],[WANoteRate]]-CurrentMtgRatesDataTable82[[#This Row],[Small Lender]]</f>
        <v>0.10466516149993677</v>
      </c>
      <c r="H93" s="20">
        <f>CurrentMtgRatesDataTable82[[#This Row],[Big Non-Bank Lender]]-CurrentMtgRatesDataTable82[[#This Row],[Small Lender]]</f>
        <v>2.1875983173062608E-2</v>
      </c>
      <c r="I93" s="20"/>
      <c r="K93">
        <v>200801</v>
      </c>
      <c r="L93">
        <v>6.1644542409341296</v>
      </c>
      <c r="N93">
        <v>200801</v>
      </c>
      <c r="O93">
        <v>6.3337756925243651</v>
      </c>
      <c r="P93" s="20">
        <f>VLOOKUP(CurrentMtgRatesDataTable82345[[#This Row],[calcOrigMonth_LL]],B:H,5,0)</f>
        <v>-0.22276653318437845</v>
      </c>
      <c r="Q93" s="20">
        <f>VLOOKUP(CurrentMtgRatesDataTable82345[[#This Row],[calcOrigMonth_LL]],B:G,6,0)</f>
        <v>-5.3445081594142962E-2</v>
      </c>
    </row>
    <row r="94" spans="2:17">
      <c r="B94" s="25">
        <v>201207</v>
      </c>
      <c r="C94" s="20">
        <v>3.9551642557445756</v>
      </c>
      <c r="D94" s="20">
        <f>VLOOKUP(CurrentMtgRatesDataTable82[[#This Row],[calcOrigMonth_LL]],N:O,2,0)</f>
        <v>3.9169104867537654</v>
      </c>
      <c r="E94" s="20">
        <f>VLOOKUP(CurrentMtgRatesDataTable82[[#This Row],[calcOrigMonth_LL]],K:L,2,0)</f>
        <v>3.8869674248049821</v>
      </c>
      <c r="F94" s="20">
        <f>CurrentMtgRatesDataTable82[[#This Row],[WANoteRate]]-CurrentMtgRatesDataTable82[[#This Row],[Big Non-Bank Lender]]</f>
        <v>3.8253768990810233E-2</v>
      </c>
      <c r="G94" s="20">
        <f>CurrentMtgRatesDataTable82[[#This Row],[WANoteRate]]-CurrentMtgRatesDataTable82[[#This Row],[Small Lender]]</f>
        <v>6.81968309395935E-2</v>
      </c>
      <c r="H94" s="20">
        <f>CurrentMtgRatesDataTable82[[#This Row],[Big Non-Bank Lender]]-CurrentMtgRatesDataTable82[[#This Row],[Small Lender]]</f>
        <v>2.9943061948783267E-2</v>
      </c>
      <c r="I94" s="20"/>
      <c r="K94">
        <v>200712</v>
      </c>
      <c r="L94">
        <v>6.3334680893234667</v>
      </c>
      <c r="N94">
        <v>200712</v>
      </c>
      <c r="O94">
        <v>6.4721562089634279</v>
      </c>
      <c r="P94" s="20">
        <f>VLOOKUP(CurrentMtgRatesDataTable82345[[#This Row],[calcOrigMonth_LL]],B:H,5,0)</f>
        <v>-0.15966426984428406</v>
      </c>
      <c r="Q94" s="20">
        <f>VLOOKUP(CurrentMtgRatesDataTable82345[[#This Row],[calcOrigMonth_LL]],B:G,6,0)</f>
        <v>-2.0976150204322863E-2</v>
      </c>
    </row>
    <row r="95" spans="2:17">
      <c r="B95" s="25">
        <v>201208</v>
      </c>
      <c r="C95" s="20">
        <v>3.8303928758033705</v>
      </c>
      <c r="D95" s="20">
        <f>VLOOKUP(CurrentMtgRatesDataTable82[[#This Row],[calcOrigMonth_LL]],N:O,2,0)</f>
        <v>3.8173751839488461</v>
      </c>
      <c r="E95" s="20">
        <f>VLOOKUP(CurrentMtgRatesDataTable82[[#This Row],[calcOrigMonth_LL]],K:L,2,0)</f>
        <v>3.7803988484297024</v>
      </c>
      <c r="F95" s="20">
        <f>CurrentMtgRatesDataTable82[[#This Row],[WANoteRate]]-CurrentMtgRatesDataTable82[[#This Row],[Big Non-Bank Lender]]</f>
        <v>1.3017691854524394E-2</v>
      </c>
      <c r="G95" s="20">
        <f>CurrentMtgRatesDataTable82[[#This Row],[WANoteRate]]-CurrentMtgRatesDataTable82[[#This Row],[Small Lender]]</f>
        <v>4.9994027373668093E-2</v>
      </c>
      <c r="H95" s="20">
        <f>CurrentMtgRatesDataTable82[[#This Row],[Big Non-Bank Lender]]-CurrentMtgRatesDataTable82[[#This Row],[Small Lender]]</f>
        <v>3.6976335519143699E-2</v>
      </c>
      <c r="I95" s="20"/>
      <c r="K95">
        <v>200711</v>
      </c>
      <c r="L95">
        <v>6.3856406924409024</v>
      </c>
      <c r="N95">
        <v>200711</v>
      </c>
      <c r="O95">
        <v>6.4640508086970341</v>
      </c>
      <c r="P95" s="20">
        <f>VLOOKUP(CurrentMtgRatesDataTable82345[[#This Row],[calcOrigMonth_LL]],B:H,5,0)</f>
        <v>-1.1325781262877754E-2</v>
      </c>
      <c r="Q95" s="20">
        <f>VLOOKUP(CurrentMtgRatesDataTable82345[[#This Row],[calcOrigMonth_LL]],B:G,6,0)</f>
        <v>6.7084334993253947E-2</v>
      </c>
    </row>
    <row r="96" spans="2:17">
      <c r="B96" s="25">
        <v>201209</v>
      </c>
      <c r="C96" s="20">
        <v>3.7449296018481903</v>
      </c>
      <c r="D96" s="20">
        <f>VLOOKUP(CurrentMtgRatesDataTable82[[#This Row],[calcOrigMonth_LL]],N:O,2,0)</f>
        <v>3.7599690270473811</v>
      </c>
      <c r="E96" s="20">
        <f>VLOOKUP(CurrentMtgRatesDataTable82[[#This Row],[calcOrigMonth_LL]],K:L,2,0)</f>
        <v>3.6880503208118469</v>
      </c>
      <c r="F96" s="20">
        <f>CurrentMtgRatesDataTable82[[#This Row],[WANoteRate]]-CurrentMtgRatesDataTable82[[#This Row],[Big Non-Bank Lender]]</f>
        <v>-1.503942519919077E-2</v>
      </c>
      <c r="G96" s="20">
        <f>CurrentMtgRatesDataTable82[[#This Row],[WANoteRate]]-CurrentMtgRatesDataTable82[[#This Row],[Small Lender]]</f>
        <v>5.6879281036343432E-2</v>
      </c>
      <c r="H96" s="20">
        <f>CurrentMtgRatesDataTable82[[#This Row],[Big Non-Bank Lender]]-CurrentMtgRatesDataTable82[[#This Row],[Small Lender]]</f>
        <v>7.1918706235534202E-2</v>
      </c>
      <c r="I96" s="20"/>
      <c r="K96">
        <v>200710</v>
      </c>
      <c r="L96">
        <v>6.5197712529279972</v>
      </c>
      <c r="N96">
        <v>200710</v>
      </c>
      <c r="O96">
        <v>6.4826944663867296</v>
      </c>
      <c r="P96" s="20">
        <f>VLOOKUP(CurrentMtgRatesDataTable82345[[#This Row],[calcOrigMonth_LL]],B:H,5,0)</f>
        <v>5.2173863927762021E-2</v>
      </c>
      <c r="Q96" s="20">
        <f>VLOOKUP(CurrentMtgRatesDataTable82345[[#This Row],[calcOrigMonth_LL]],B:G,6,0)</f>
        <v>1.5097077386494462E-2</v>
      </c>
    </row>
    <row r="97" spans="2:17">
      <c r="B97" s="25">
        <v>201210</v>
      </c>
      <c r="C97" s="20">
        <v>3.7207184283035812</v>
      </c>
      <c r="D97" s="20">
        <f>VLOOKUP(CurrentMtgRatesDataTable82[[#This Row],[calcOrigMonth_LL]],N:O,2,0)</f>
        <v>3.7349146717138493</v>
      </c>
      <c r="E97" s="20">
        <f>VLOOKUP(CurrentMtgRatesDataTable82[[#This Row],[calcOrigMonth_LL]],K:L,2,0)</f>
        <v>3.6570797762038705</v>
      </c>
      <c r="F97" s="20">
        <f>CurrentMtgRatesDataTable82[[#This Row],[WANoteRate]]-CurrentMtgRatesDataTable82[[#This Row],[Big Non-Bank Lender]]</f>
        <v>-1.4196243410268039E-2</v>
      </c>
      <c r="G97" s="20">
        <f>CurrentMtgRatesDataTable82[[#This Row],[WANoteRate]]-CurrentMtgRatesDataTable82[[#This Row],[Small Lender]]</f>
        <v>6.3638652099710757E-2</v>
      </c>
      <c r="H97" s="20">
        <f>CurrentMtgRatesDataTable82[[#This Row],[Big Non-Bank Lender]]-CurrentMtgRatesDataTable82[[#This Row],[Small Lender]]</f>
        <v>7.7834895509978796E-2</v>
      </c>
      <c r="I97" s="20"/>
      <c r="K97">
        <v>200709</v>
      </c>
      <c r="L97">
        <v>6.6714015129844402</v>
      </c>
      <c r="N97">
        <v>200709</v>
      </c>
      <c r="O97">
        <v>6.6361594609769794</v>
      </c>
      <c r="P97" s="20">
        <f>VLOOKUP(CurrentMtgRatesDataTable82345[[#This Row],[calcOrigMonth_LL]],B:H,5,0)</f>
        <v>3.1641332609086525E-2</v>
      </c>
      <c r="Q97" s="20">
        <f>VLOOKUP(CurrentMtgRatesDataTable82345[[#This Row],[calcOrigMonth_LL]],B:G,6,0)</f>
        <v>-3.6007193983742525E-3</v>
      </c>
    </row>
    <row r="98" spans="2:17">
      <c r="B98" s="25">
        <v>201211</v>
      </c>
      <c r="C98" s="20">
        <v>3.6465963301767599</v>
      </c>
      <c r="D98" s="20">
        <f>VLOOKUP(CurrentMtgRatesDataTable82[[#This Row],[calcOrigMonth_LL]],N:O,2,0)</f>
        <v>3.6251165970848653</v>
      </c>
      <c r="E98" s="20">
        <f>VLOOKUP(CurrentMtgRatesDataTable82[[#This Row],[calcOrigMonth_LL]],K:L,2,0)</f>
        <v>3.551464761451347</v>
      </c>
      <c r="F98" s="20">
        <f>CurrentMtgRatesDataTable82[[#This Row],[WANoteRate]]-CurrentMtgRatesDataTable82[[#This Row],[Big Non-Bank Lender]]</f>
        <v>2.1479733091894548E-2</v>
      </c>
      <c r="G98" s="20">
        <f>CurrentMtgRatesDataTable82[[#This Row],[WANoteRate]]-CurrentMtgRatesDataTable82[[#This Row],[Small Lender]]</f>
        <v>9.5131568725412841E-2</v>
      </c>
      <c r="H98" s="20">
        <f>CurrentMtgRatesDataTable82[[#This Row],[Big Non-Bank Lender]]-CurrentMtgRatesDataTable82[[#This Row],[Small Lender]]</f>
        <v>7.3651835633518292E-2</v>
      </c>
      <c r="I98" s="20"/>
      <c r="K98">
        <v>200708</v>
      </c>
      <c r="L98">
        <v>6.7430887071841861</v>
      </c>
      <c r="N98">
        <v>200708</v>
      </c>
      <c r="O98">
        <v>6.757067555938038</v>
      </c>
      <c r="P98" s="20">
        <f>VLOOKUP(CurrentMtgRatesDataTable82345[[#This Row],[calcOrigMonth_LL]],B:H,5,0)</f>
        <v>-7.976118492320694E-2</v>
      </c>
      <c r="Q98" s="20">
        <f>VLOOKUP(CurrentMtgRatesDataTable82345[[#This Row],[calcOrigMonth_LL]],B:G,6,0)</f>
        <v>-6.5782336169355027E-2</v>
      </c>
    </row>
    <row r="99" spans="2:17">
      <c r="B99" s="25">
        <v>201212</v>
      </c>
      <c r="C99" s="20">
        <v>3.5566548894206491</v>
      </c>
      <c r="D99" s="20">
        <f>VLOOKUP(CurrentMtgRatesDataTable82[[#This Row],[calcOrigMonth_LL]],N:O,2,0)</f>
        <v>3.5599321990530419</v>
      </c>
      <c r="E99" s="20">
        <f>VLOOKUP(CurrentMtgRatesDataTable82[[#This Row],[calcOrigMonth_LL]],K:L,2,0)</f>
        <v>3.4891184955937753</v>
      </c>
      <c r="F99" s="20">
        <f>CurrentMtgRatesDataTable82[[#This Row],[WANoteRate]]-CurrentMtgRatesDataTable82[[#This Row],[Big Non-Bank Lender]]</f>
        <v>-3.2773096323928108E-3</v>
      </c>
      <c r="G99" s="20">
        <f>CurrentMtgRatesDataTable82[[#This Row],[WANoteRate]]-CurrentMtgRatesDataTable82[[#This Row],[Small Lender]]</f>
        <v>6.753639382687382E-2</v>
      </c>
      <c r="H99" s="20">
        <f>CurrentMtgRatesDataTable82[[#This Row],[Big Non-Bank Lender]]-CurrentMtgRatesDataTable82[[#This Row],[Small Lender]]</f>
        <v>7.081370345926663E-2</v>
      </c>
      <c r="I99" s="20"/>
      <c r="K99">
        <v>200707</v>
      </c>
      <c r="L99">
        <v>6.3608083404395233</v>
      </c>
      <c r="N99">
        <v>200707</v>
      </c>
      <c r="O99">
        <v>6.5128185694447165</v>
      </c>
      <c r="P99" s="20">
        <f>VLOOKUP(CurrentMtgRatesDataTable82345[[#This Row],[calcOrigMonth_LL]],B:H,5,0)</f>
        <v>-0.14208793010852716</v>
      </c>
      <c r="Q99" s="20">
        <f>VLOOKUP(CurrentMtgRatesDataTable82345[[#This Row],[calcOrigMonth_LL]],B:G,6,0)</f>
        <v>9.9222988966660708E-3</v>
      </c>
    </row>
    <row r="100" spans="2:17">
      <c r="B100" s="25">
        <v>201301</v>
      </c>
      <c r="C100" s="20">
        <v>3.5471418925548219</v>
      </c>
      <c r="D100" s="20">
        <f>VLOOKUP(CurrentMtgRatesDataTable82[[#This Row],[calcOrigMonth_LL]],N:O,2,0)</f>
        <v>3.5356738614167749</v>
      </c>
      <c r="E100" s="20">
        <f>VLOOKUP(CurrentMtgRatesDataTable82[[#This Row],[calcOrigMonth_LL]],K:L,2,0)</f>
        <v>3.4831545600436118</v>
      </c>
      <c r="F100" s="20">
        <f>CurrentMtgRatesDataTable82[[#This Row],[WANoteRate]]-CurrentMtgRatesDataTable82[[#This Row],[Big Non-Bank Lender]]</f>
        <v>1.1468031138047063E-2</v>
      </c>
      <c r="G100" s="20">
        <f>CurrentMtgRatesDataTable82[[#This Row],[WANoteRate]]-CurrentMtgRatesDataTable82[[#This Row],[Small Lender]]</f>
        <v>6.3987332511210138E-2</v>
      </c>
      <c r="H100" s="20">
        <f>CurrentMtgRatesDataTable82[[#This Row],[Big Non-Bank Lender]]-CurrentMtgRatesDataTable82[[#This Row],[Small Lender]]</f>
        <v>5.2519301373163074E-2</v>
      </c>
      <c r="I100" s="20"/>
      <c r="K100">
        <v>200706</v>
      </c>
      <c r="L100">
        <v>6.1716869489849504</v>
      </c>
      <c r="N100">
        <v>200706</v>
      </c>
      <c r="O100">
        <v>6.3355453341663788</v>
      </c>
      <c r="P100" s="20">
        <f>VLOOKUP(CurrentMtgRatesDataTable82345[[#This Row],[calcOrigMonth_LL]],B:H,5,0)</f>
        <v>-6.7742393483241514E-2</v>
      </c>
      <c r="Q100" s="20">
        <f>VLOOKUP(CurrentMtgRatesDataTable82345[[#This Row],[calcOrigMonth_LL]],B:G,6,0)</f>
        <v>9.6115991698186853E-2</v>
      </c>
    </row>
    <row r="101" spans="2:17">
      <c r="B101" s="25">
        <v>201302</v>
      </c>
      <c r="C101" s="20">
        <v>3.5651094295422006</v>
      </c>
      <c r="D101" s="20">
        <f>VLOOKUP(CurrentMtgRatesDataTable82[[#This Row],[calcOrigMonth_LL]],N:O,2,0)</f>
        <v>3.5305652798099412</v>
      </c>
      <c r="E101" s="20">
        <f>VLOOKUP(CurrentMtgRatesDataTable82[[#This Row],[calcOrigMonth_LL]],K:L,2,0)</f>
        <v>3.480450320057606</v>
      </c>
      <c r="F101" s="20">
        <f>CurrentMtgRatesDataTable82[[#This Row],[WANoteRate]]-CurrentMtgRatesDataTable82[[#This Row],[Big Non-Bank Lender]]</f>
        <v>3.4544149732259388E-2</v>
      </c>
      <c r="G101" s="20">
        <f>CurrentMtgRatesDataTable82[[#This Row],[WANoteRate]]-CurrentMtgRatesDataTable82[[#This Row],[Small Lender]]</f>
        <v>8.4659109484594541E-2</v>
      </c>
      <c r="H101" s="20">
        <f>CurrentMtgRatesDataTable82[[#This Row],[Big Non-Bank Lender]]-CurrentMtgRatesDataTable82[[#This Row],[Small Lender]]</f>
        <v>5.0114959752335153E-2</v>
      </c>
      <c r="I101" s="20"/>
      <c r="K101">
        <v>200705</v>
      </c>
      <c r="L101">
        <v>6.1235548857975219</v>
      </c>
      <c r="N101">
        <v>200705</v>
      </c>
      <c r="O101">
        <v>6.3683854405878879</v>
      </c>
      <c r="P101" s="20">
        <f>VLOOKUP(CurrentMtgRatesDataTable82345[[#This Row],[calcOrigMonth_LL]],B:H,5,0)</f>
        <v>-0.19266694744482393</v>
      </c>
      <c r="Q101" s="20">
        <f>VLOOKUP(CurrentMtgRatesDataTable82345[[#This Row],[calcOrigMonth_LL]],B:G,6,0)</f>
        <v>5.216360734554204E-2</v>
      </c>
    </row>
    <row r="102" spans="2:17">
      <c r="B102" s="25">
        <v>201303</v>
      </c>
      <c r="C102" s="20">
        <v>3.6654210874729585</v>
      </c>
      <c r="D102" s="20">
        <f>VLOOKUP(CurrentMtgRatesDataTable82[[#This Row],[calcOrigMonth_LL]],N:O,2,0)</f>
        <v>3.6336289301730846</v>
      </c>
      <c r="E102" s="20">
        <f>VLOOKUP(CurrentMtgRatesDataTable82[[#This Row],[calcOrigMonth_LL]],K:L,2,0)</f>
        <v>3.5635432301412018</v>
      </c>
      <c r="F102" s="20">
        <f>CurrentMtgRatesDataTable82[[#This Row],[WANoteRate]]-CurrentMtgRatesDataTable82[[#This Row],[Big Non-Bank Lender]]</f>
        <v>3.1792157299873836E-2</v>
      </c>
      <c r="G102" s="20">
        <f>CurrentMtgRatesDataTable82[[#This Row],[WANoteRate]]-CurrentMtgRatesDataTable82[[#This Row],[Small Lender]]</f>
        <v>0.10187785733175669</v>
      </c>
      <c r="H102" s="20">
        <f>CurrentMtgRatesDataTable82[[#This Row],[Big Non-Bank Lender]]-CurrentMtgRatesDataTable82[[#This Row],[Small Lender]]</f>
        <v>7.0085700031882858E-2</v>
      </c>
      <c r="I102" s="20"/>
      <c r="K102">
        <v>200704</v>
      </c>
      <c r="L102">
        <v>6.2021846357639685</v>
      </c>
      <c r="N102">
        <v>200704</v>
      </c>
      <c r="O102">
        <v>6.1436940835436173</v>
      </c>
      <c r="P102" s="20">
        <f>VLOOKUP(CurrentMtgRatesDataTable82345[[#This Row],[calcOrigMonth_LL]],B:H,5,0)</f>
        <v>2.6735486909924333E-2</v>
      </c>
      <c r="Q102" s="20">
        <f>VLOOKUP(CurrentMtgRatesDataTable82345[[#This Row],[calcOrigMonth_LL]],B:G,6,0)</f>
        <v>-3.1755065310426822E-2</v>
      </c>
    </row>
    <row r="103" spans="2:17">
      <c r="B103" s="25">
        <v>201304</v>
      </c>
      <c r="C103" s="20">
        <v>3.715900783869595</v>
      </c>
      <c r="D103" s="20">
        <f>VLOOKUP(CurrentMtgRatesDataTable82[[#This Row],[calcOrigMonth_LL]],N:O,2,0)</f>
        <v>3.7207630263445588</v>
      </c>
      <c r="E103" s="20">
        <f>VLOOKUP(CurrentMtgRatesDataTable82[[#This Row],[calcOrigMonth_LL]],K:L,2,0)</f>
        <v>3.6675510999245118</v>
      </c>
      <c r="F103" s="20">
        <f>CurrentMtgRatesDataTable82[[#This Row],[WANoteRate]]-CurrentMtgRatesDataTable82[[#This Row],[Big Non-Bank Lender]]</f>
        <v>-4.8622424749638071E-3</v>
      </c>
      <c r="G103" s="20">
        <f>CurrentMtgRatesDataTable82[[#This Row],[WANoteRate]]-CurrentMtgRatesDataTable82[[#This Row],[Small Lender]]</f>
        <v>4.8349683945083211E-2</v>
      </c>
      <c r="H103" s="20">
        <f>CurrentMtgRatesDataTable82[[#This Row],[Big Non-Bank Lender]]-CurrentMtgRatesDataTable82[[#This Row],[Small Lender]]</f>
        <v>5.3211926420047018E-2</v>
      </c>
      <c r="I103" s="20"/>
      <c r="K103">
        <v>200703</v>
      </c>
      <c r="L103">
        <v>6.2234425216837197</v>
      </c>
      <c r="N103">
        <v>200703</v>
      </c>
      <c r="O103">
        <v>6.4917604311467896</v>
      </c>
      <c r="P103" s="20">
        <f>VLOOKUP(CurrentMtgRatesDataTable82345[[#This Row],[calcOrigMonth_LL]],B:H,5,0)</f>
        <v>-0.21828101603696926</v>
      </c>
      <c r="Q103" s="20">
        <f>VLOOKUP(CurrentMtgRatesDataTable82345[[#This Row],[calcOrigMonth_LL]],B:G,6,0)</f>
        <v>5.0036893426100626E-2</v>
      </c>
    </row>
    <row r="104" spans="2:17">
      <c r="B104" s="25">
        <v>201305</v>
      </c>
      <c r="C104" s="20">
        <v>3.7475370310595753</v>
      </c>
      <c r="D104" s="20">
        <f>VLOOKUP(CurrentMtgRatesDataTable82[[#This Row],[calcOrigMonth_LL]],N:O,2,0)</f>
        <v>3.734625821568593</v>
      </c>
      <c r="E104" s="20">
        <f>VLOOKUP(CurrentMtgRatesDataTable82[[#This Row],[calcOrigMonth_LL]],K:L,2,0)</f>
        <v>3.6883274307926048</v>
      </c>
      <c r="F104" s="20">
        <f>CurrentMtgRatesDataTable82[[#This Row],[WANoteRate]]-CurrentMtgRatesDataTable82[[#This Row],[Big Non-Bank Lender]]</f>
        <v>1.2911209490982234E-2</v>
      </c>
      <c r="G104" s="20">
        <f>CurrentMtgRatesDataTable82[[#This Row],[WANoteRate]]-CurrentMtgRatesDataTable82[[#This Row],[Small Lender]]</f>
        <v>5.9209600266970419E-2</v>
      </c>
      <c r="H104" s="20">
        <f>CurrentMtgRatesDataTable82[[#This Row],[Big Non-Bank Lender]]-CurrentMtgRatesDataTable82[[#This Row],[Small Lender]]</f>
        <v>4.6298390775988185E-2</v>
      </c>
      <c r="I104" s="20"/>
      <c r="K104">
        <v>200702</v>
      </c>
      <c r="L104">
        <v>6.1797282938581333</v>
      </c>
      <c r="N104">
        <v>200702</v>
      </c>
      <c r="O104">
        <v>6.2247855552195306</v>
      </c>
      <c r="P104" s="20">
        <f>VLOOKUP(CurrentMtgRatesDataTable82345[[#This Row],[calcOrigMonth_LL]],B:H,5,0)</f>
        <v>-0.11245283553918739</v>
      </c>
      <c r="Q104" s="20">
        <f>VLOOKUP(CurrentMtgRatesDataTable82345[[#This Row],[calcOrigMonth_LL]],B:G,6,0)</f>
        <v>-6.7395574177790074E-2</v>
      </c>
    </row>
    <row r="105" spans="2:17">
      <c r="B105" s="25">
        <v>201306</v>
      </c>
      <c r="C105" s="20">
        <v>3.7083493964005054</v>
      </c>
      <c r="D105" s="20">
        <f>VLOOKUP(CurrentMtgRatesDataTable82[[#This Row],[calcOrigMonth_LL]],N:O,2,0)</f>
        <v>3.6899981864764606</v>
      </c>
      <c r="E105" s="20">
        <f>VLOOKUP(CurrentMtgRatesDataTable82[[#This Row],[calcOrigMonth_LL]],K:L,2,0)</f>
        <v>3.6470250575748029</v>
      </c>
      <c r="F105" s="20">
        <f>CurrentMtgRatesDataTable82[[#This Row],[WANoteRate]]-CurrentMtgRatesDataTable82[[#This Row],[Big Non-Bank Lender]]</f>
        <v>1.835120992404482E-2</v>
      </c>
      <c r="G105" s="20">
        <f>CurrentMtgRatesDataTable82[[#This Row],[WANoteRate]]-CurrentMtgRatesDataTable82[[#This Row],[Small Lender]]</f>
        <v>6.132433882570254E-2</v>
      </c>
      <c r="H105" s="20">
        <f>CurrentMtgRatesDataTable82[[#This Row],[Big Non-Bank Lender]]-CurrentMtgRatesDataTable82[[#This Row],[Small Lender]]</f>
        <v>4.297312890165772E-2</v>
      </c>
      <c r="I105" s="20"/>
      <c r="K105">
        <v>200701</v>
      </c>
      <c r="L105">
        <v>6.1697818177973414</v>
      </c>
      <c r="N105">
        <v>200701</v>
      </c>
      <c r="O105">
        <v>6.5165441798144146</v>
      </c>
      <c r="P105" s="20">
        <f>VLOOKUP(CurrentMtgRatesDataTable82345[[#This Row],[calcOrigMonth_LL]],B:H,5,0)</f>
        <v>-0.37972426263748904</v>
      </c>
      <c r="Q105" s="20">
        <f>VLOOKUP(CurrentMtgRatesDataTable82345[[#This Row],[calcOrigMonth_LL]],B:G,6,0)</f>
        <v>-3.2961900620415818E-2</v>
      </c>
    </row>
    <row r="106" spans="2:17">
      <c r="B106" s="25">
        <v>201307</v>
      </c>
      <c r="C106" s="20">
        <v>3.7897986606484033</v>
      </c>
      <c r="D106" s="20">
        <f>VLOOKUP(CurrentMtgRatesDataTable82[[#This Row],[calcOrigMonth_LL]],N:O,2,0)</f>
        <v>3.809079795446801</v>
      </c>
      <c r="E106" s="20">
        <f>VLOOKUP(CurrentMtgRatesDataTable82[[#This Row],[calcOrigMonth_LL]],K:L,2,0)</f>
        <v>3.7429367460217517</v>
      </c>
      <c r="F106" s="20">
        <f>CurrentMtgRatesDataTable82[[#This Row],[WANoteRate]]-CurrentMtgRatesDataTable82[[#This Row],[Big Non-Bank Lender]]</f>
        <v>-1.9281134798397659E-2</v>
      </c>
      <c r="G106" s="20">
        <f>CurrentMtgRatesDataTable82[[#This Row],[WANoteRate]]-CurrentMtgRatesDataTable82[[#This Row],[Small Lender]]</f>
        <v>4.6861914626651568E-2</v>
      </c>
      <c r="H106" s="20">
        <f>CurrentMtgRatesDataTable82[[#This Row],[Big Non-Bank Lender]]-CurrentMtgRatesDataTable82[[#This Row],[Small Lender]]</f>
        <v>6.6143049425049227E-2</v>
      </c>
      <c r="I106" s="20"/>
      <c r="K106">
        <v>200612</v>
      </c>
      <c r="L106">
        <v>6.364220320307024</v>
      </c>
      <c r="N106">
        <v>200612</v>
      </c>
      <c r="O106">
        <v>6.5958002067310222</v>
      </c>
      <c r="P106" s="20">
        <f>VLOOKUP(CurrentMtgRatesDataTable82345[[#This Row],[calcOrigMonth_LL]],B:H,5,0)</f>
        <v>-0.31383501291147908</v>
      </c>
      <c r="Q106" s="20">
        <f>VLOOKUP(CurrentMtgRatesDataTable82345[[#This Row],[calcOrigMonth_LL]],B:G,6,0)</f>
        <v>-8.2255126487480901E-2</v>
      </c>
    </row>
    <row r="107" spans="2:17">
      <c r="B107" s="25">
        <v>201308</v>
      </c>
      <c r="C107" s="20">
        <v>4.033443712180282</v>
      </c>
      <c r="D107" s="20">
        <f>VLOOKUP(CurrentMtgRatesDataTable82[[#This Row],[calcOrigMonth_LL]],N:O,2,0)</f>
        <v>4.1608061748677532</v>
      </c>
      <c r="E107" s="20">
        <f>VLOOKUP(CurrentMtgRatesDataTable82[[#This Row],[calcOrigMonth_LL]],K:L,2,0)</f>
        <v>4.1224340180553183</v>
      </c>
      <c r="F107" s="20">
        <f>CurrentMtgRatesDataTable82[[#This Row],[WANoteRate]]-CurrentMtgRatesDataTable82[[#This Row],[Big Non-Bank Lender]]</f>
        <v>-0.1273624626874712</v>
      </c>
      <c r="G107" s="20">
        <f>CurrentMtgRatesDataTable82[[#This Row],[WANoteRate]]-CurrentMtgRatesDataTable82[[#This Row],[Small Lender]]</f>
        <v>-8.8990305875036313E-2</v>
      </c>
      <c r="H107" s="20">
        <f>CurrentMtgRatesDataTable82[[#This Row],[Big Non-Bank Lender]]-CurrentMtgRatesDataTable82[[#This Row],[Small Lender]]</f>
        <v>3.8372156812434888E-2</v>
      </c>
      <c r="I107" s="20"/>
      <c r="K107">
        <v>200611</v>
      </c>
      <c r="L107">
        <v>6.4408885469046879</v>
      </c>
      <c r="N107">
        <v>200611</v>
      </c>
      <c r="O107">
        <v>6.6562349777040133</v>
      </c>
      <c r="P107" s="20">
        <f>VLOOKUP(CurrentMtgRatesDataTable82345[[#This Row],[calcOrigMonth_LL]],B:H,5,0)</f>
        <v>-0.32084991617676817</v>
      </c>
      <c r="Q107" s="20">
        <f>VLOOKUP(CurrentMtgRatesDataTable82345[[#This Row],[calcOrigMonth_LL]],B:G,6,0)</f>
        <v>-0.10550348537744281</v>
      </c>
    </row>
    <row r="108" spans="2:17">
      <c r="B108" s="25">
        <v>201309</v>
      </c>
      <c r="C108" s="20">
        <v>4.3809948251733957</v>
      </c>
      <c r="D108" s="20">
        <f>VLOOKUP(CurrentMtgRatesDataTable82[[#This Row],[calcOrigMonth_LL]],N:O,2,0)</f>
        <v>4.4552943473404012</v>
      </c>
      <c r="E108" s="20">
        <f>VLOOKUP(CurrentMtgRatesDataTable82[[#This Row],[calcOrigMonth_LL]],K:L,2,0)</f>
        <v>4.4566747944018079</v>
      </c>
      <c r="F108" s="20">
        <f>CurrentMtgRatesDataTable82[[#This Row],[WANoteRate]]-CurrentMtgRatesDataTable82[[#This Row],[Big Non-Bank Lender]]</f>
        <v>-7.4299522167005527E-2</v>
      </c>
      <c r="G108" s="20">
        <f>CurrentMtgRatesDataTable82[[#This Row],[WANoteRate]]-CurrentMtgRatesDataTable82[[#This Row],[Small Lender]]</f>
        <v>-7.5679969228412247E-2</v>
      </c>
      <c r="H108" s="20">
        <f>CurrentMtgRatesDataTable82[[#This Row],[Big Non-Bank Lender]]-CurrentMtgRatesDataTable82[[#This Row],[Small Lender]]</f>
        <v>-1.3804470614067199E-3</v>
      </c>
      <c r="I108" s="20"/>
      <c r="K108">
        <v>200610</v>
      </c>
      <c r="L108">
        <v>6.4858387142310612</v>
      </c>
      <c r="N108">
        <v>200610</v>
      </c>
      <c r="O108">
        <v>6.7348932639698624</v>
      </c>
      <c r="P108" s="20">
        <f>VLOOKUP(CurrentMtgRatesDataTable82345[[#This Row],[calcOrigMonth_LL]],B:H,5,0)</f>
        <v>-0.22817745421833546</v>
      </c>
      <c r="Q108" s="20">
        <f>VLOOKUP(CurrentMtgRatesDataTable82345[[#This Row],[calcOrigMonth_LL]],B:G,6,0)</f>
        <v>2.0877095520465794E-2</v>
      </c>
    </row>
    <row r="109" spans="2:17">
      <c r="B109" s="25">
        <v>201310</v>
      </c>
      <c r="C109" s="20">
        <v>4.5856403061316904</v>
      </c>
      <c r="D109" s="20">
        <f>VLOOKUP(CurrentMtgRatesDataTable82[[#This Row],[calcOrigMonth_LL]],N:O,2,0)</f>
        <v>4.6016311948725388</v>
      </c>
      <c r="E109" s="20">
        <f>VLOOKUP(CurrentMtgRatesDataTable82[[#This Row],[calcOrigMonth_LL]],K:L,2,0)</f>
        <v>4.6169217113404111</v>
      </c>
      <c r="F109" s="20">
        <f>CurrentMtgRatesDataTable82[[#This Row],[WANoteRate]]-CurrentMtgRatesDataTable82[[#This Row],[Big Non-Bank Lender]]</f>
        <v>-1.5990888740848419E-2</v>
      </c>
      <c r="G109" s="20">
        <f>CurrentMtgRatesDataTable82[[#This Row],[WANoteRate]]-CurrentMtgRatesDataTable82[[#This Row],[Small Lender]]</f>
        <v>-3.1281405208720692E-2</v>
      </c>
      <c r="H109" s="20">
        <f>CurrentMtgRatesDataTable82[[#This Row],[Big Non-Bank Lender]]-CurrentMtgRatesDataTable82[[#This Row],[Small Lender]]</f>
        <v>-1.5290516467872273E-2</v>
      </c>
      <c r="I109" s="20"/>
      <c r="K109">
        <v>200609</v>
      </c>
      <c r="L109">
        <v>6.7389124751745015</v>
      </c>
      <c r="N109">
        <v>200609</v>
      </c>
      <c r="O109">
        <v>6.9650586019254916</v>
      </c>
      <c r="P109" s="20">
        <f>VLOOKUP(CurrentMtgRatesDataTable82345[[#This Row],[calcOrigMonth_LL]],B:H,5,0)</f>
        <v>-0.29449947014251077</v>
      </c>
      <c r="Q109" s="20">
        <f>VLOOKUP(CurrentMtgRatesDataTable82345[[#This Row],[calcOrigMonth_LL]],B:G,6,0)</f>
        <v>-6.835334339152066E-2</v>
      </c>
    </row>
    <row r="110" spans="2:17">
      <c r="B110" s="25">
        <v>201311</v>
      </c>
      <c r="C110" s="20">
        <v>4.6066464093601489</v>
      </c>
      <c r="D110" s="20">
        <f>VLOOKUP(CurrentMtgRatesDataTable82[[#This Row],[calcOrigMonth_LL]],N:O,2,0)</f>
        <v>4.5922804834520283</v>
      </c>
      <c r="E110" s="20">
        <f>VLOOKUP(CurrentMtgRatesDataTable82[[#This Row],[calcOrigMonth_LL]],K:L,2,0)</f>
        <v>4.5428754568186385</v>
      </c>
      <c r="F110" s="20">
        <f>CurrentMtgRatesDataTable82[[#This Row],[WANoteRate]]-CurrentMtgRatesDataTable82[[#This Row],[Big Non-Bank Lender]]</f>
        <v>1.436592590812058E-2</v>
      </c>
      <c r="G110" s="20">
        <f>CurrentMtgRatesDataTable82[[#This Row],[WANoteRate]]-CurrentMtgRatesDataTable82[[#This Row],[Small Lender]]</f>
        <v>6.3770952541510439E-2</v>
      </c>
      <c r="H110" s="20">
        <f>CurrentMtgRatesDataTable82[[#This Row],[Big Non-Bank Lender]]-CurrentMtgRatesDataTable82[[#This Row],[Small Lender]]</f>
        <v>4.9405026633389859E-2</v>
      </c>
      <c r="I110" s="20"/>
      <c r="K110">
        <v>200608</v>
      </c>
      <c r="L110">
        <v>6.7150962626014259</v>
      </c>
      <c r="N110">
        <v>200608</v>
      </c>
      <c r="O110">
        <v>6.896830559418599</v>
      </c>
      <c r="P110" s="20">
        <f>VLOOKUP(CurrentMtgRatesDataTable82345[[#This Row],[calcOrigMonth_LL]],B:H,5,0)</f>
        <v>-8.4892651245010775E-2</v>
      </c>
      <c r="Q110" s="20">
        <f>VLOOKUP(CurrentMtgRatesDataTable82345[[#This Row],[calcOrigMonth_LL]],B:G,6,0)</f>
        <v>9.6841645572162349E-2</v>
      </c>
    </row>
    <row r="111" spans="2:17">
      <c r="B111" s="25">
        <v>201312</v>
      </c>
      <c r="C111" s="20">
        <v>4.4803688539129194</v>
      </c>
      <c r="D111" s="20">
        <f>VLOOKUP(CurrentMtgRatesDataTable82[[#This Row],[calcOrigMonth_LL]],N:O,2,0)</f>
        <v>4.4619520967461268</v>
      </c>
      <c r="E111" s="20">
        <f>VLOOKUP(CurrentMtgRatesDataTable82[[#This Row],[calcOrigMonth_LL]],K:L,2,0)</f>
        <v>4.4068790974691607</v>
      </c>
      <c r="F111" s="20">
        <f>CurrentMtgRatesDataTable82[[#This Row],[WANoteRate]]-CurrentMtgRatesDataTable82[[#This Row],[Big Non-Bank Lender]]</f>
        <v>1.8416757166792586E-2</v>
      </c>
      <c r="G111" s="20">
        <f>CurrentMtgRatesDataTable82[[#This Row],[WANoteRate]]-CurrentMtgRatesDataTable82[[#This Row],[Small Lender]]</f>
        <v>7.3489756443758658E-2</v>
      </c>
      <c r="H111" s="20">
        <f>CurrentMtgRatesDataTable82[[#This Row],[Big Non-Bank Lender]]-CurrentMtgRatesDataTable82[[#This Row],[Small Lender]]</f>
        <v>5.5072999276966073E-2</v>
      </c>
      <c r="I111" s="20"/>
      <c r="K111">
        <v>200607</v>
      </c>
      <c r="L111">
        <v>6.7226870967189694</v>
      </c>
      <c r="N111">
        <v>200607</v>
      </c>
      <c r="O111">
        <v>6.9866043119847809</v>
      </c>
      <c r="P111" s="20">
        <f>VLOOKUP(CurrentMtgRatesDataTable82345[[#This Row],[calcOrigMonth_LL]],B:H,5,0)</f>
        <v>-0.34995034302203631</v>
      </c>
      <c r="Q111" s="20">
        <f>VLOOKUP(CurrentMtgRatesDataTable82345[[#This Row],[calcOrigMonth_LL]],B:G,6,0)</f>
        <v>-8.6033127756224737E-2</v>
      </c>
    </row>
    <row r="112" spans="2:17">
      <c r="B112" s="25">
        <v>201401</v>
      </c>
      <c r="C112" s="20">
        <v>4.5409899926133432</v>
      </c>
      <c r="D112" s="20">
        <f>VLOOKUP(CurrentMtgRatesDataTable82[[#This Row],[calcOrigMonth_LL]],N:O,2,0)</f>
        <v>4.5334011998603518</v>
      </c>
      <c r="E112" s="20">
        <f>VLOOKUP(CurrentMtgRatesDataTable82[[#This Row],[calcOrigMonth_LL]],K:L,2,0)</f>
        <v>4.4431073587180556</v>
      </c>
      <c r="F112" s="20">
        <f>CurrentMtgRatesDataTable82[[#This Row],[WANoteRate]]-CurrentMtgRatesDataTable82[[#This Row],[Big Non-Bank Lender]]</f>
        <v>7.5887927529914023E-3</v>
      </c>
      <c r="G112" s="20">
        <f>CurrentMtgRatesDataTable82[[#This Row],[WANoteRate]]-CurrentMtgRatesDataTable82[[#This Row],[Small Lender]]</f>
        <v>9.7882633895287618E-2</v>
      </c>
      <c r="H112" s="20">
        <f>CurrentMtgRatesDataTable82[[#This Row],[Big Non-Bank Lender]]-CurrentMtgRatesDataTable82[[#This Row],[Small Lender]]</f>
        <v>9.0293841142296216E-2</v>
      </c>
      <c r="I112" s="20"/>
      <c r="K112">
        <v>200606</v>
      </c>
      <c r="L112">
        <v>6.55094334536434</v>
      </c>
      <c r="N112">
        <v>200606</v>
      </c>
      <c r="O112">
        <v>6.7190791523839204</v>
      </c>
      <c r="P112" s="20">
        <f>VLOOKUP(CurrentMtgRatesDataTable82345[[#This Row],[calcOrigMonth_LL]],B:H,5,0)</f>
        <v>-0.15554726782341177</v>
      </c>
      <c r="Q112" s="20">
        <f>VLOOKUP(CurrentMtgRatesDataTable82345[[#This Row],[calcOrigMonth_LL]],B:G,6,0)</f>
        <v>1.2588539196168647E-2</v>
      </c>
    </row>
    <row r="113" spans="2:17">
      <c r="B113" s="25">
        <v>201402</v>
      </c>
      <c r="C113" s="20">
        <v>4.6558881394695808</v>
      </c>
      <c r="D113" s="20">
        <f>VLOOKUP(CurrentMtgRatesDataTable82[[#This Row],[calcOrigMonth_LL]],N:O,2,0)</f>
        <v>4.679613685137797</v>
      </c>
      <c r="E113" s="20">
        <f>VLOOKUP(CurrentMtgRatesDataTable82[[#This Row],[calcOrigMonth_LL]],K:L,2,0)</f>
        <v>4.5839948830699901</v>
      </c>
      <c r="F113" s="20">
        <f>CurrentMtgRatesDataTable82[[#This Row],[WANoteRate]]-CurrentMtgRatesDataTable82[[#This Row],[Big Non-Bank Lender]]</f>
        <v>-2.3725545668216164E-2</v>
      </c>
      <c r="G113" s="20">
        <f>CurrentMtgRatesDataTable82[[#This Row],[WANoteRate]]-CurrentMtgRatesDataTable82[[#This Row],[Small Lender]]</f>
        <v>7.1893256399590655E-2</v>
      </c>
      <c r="H113" s="20">
        <f>CurrentMtgRatesDataTable82[[#This Row],[Big Non-Bank Lender]]-CurrentMtgRatesDataTable82[[#This Row],[Small Lender]]</f>
        <v>9.5618802067806818E-2</v>
      </c>
      <c r="I113" s="20"/>
      <c r="K113">
        <v>200605</v>
      </c>
      <c r="L113">
        <v>6.4289519530611052</v>
      </c>
      <c r="N113">
        <v>200605</v>
      </c>
      <c r="O113">
        <v>6.5135909536651138</v>
      </c>
      <c r="P113" s="20">
        <f>VLOOKUP(CurrentMtgRatesDataTable82345[[#This Row],[calcOrigMonth_LL]],B:H,5,0)</f>
        <v>-7.6291733469692424E-2</v>
      </c>
      <c r="Q113" s="20">
        <f>VLOOKUP(CurrentMtgRatesDataTable82345[[#This Row],[calcOrigMonth_LL]],B:G,6,0)</f>
        <v>8.3472671343161053E-3</v>
      </c>
    </row>
    <row r="114" spans="2:17">
      <c r="B114" s="25">
        <v>201403</v>
      </c>
      <c r="C114" s="20">
        <v>4.6431274491244823</v>
      </c>
      <c r="D114" s="20">
        <f>VLOOKUP(CurrentMtgRatesDataTable82[[#This Row],[calcOrigMonth_LL]],N:O,2,0)</f>
        <v>4.6279014041330022</v>
      </c>
      <c r="E114" s="20">
        <f>VLOOKUP(CurrentMtgRatesDataTable82[[#This Row],[calcOrigMonth_LL]],K:L,2,0)</f>
        <v>4.5479784207842107</v>
      </c>
      <c r="F114" s="20">
        <f>CurrentMtgRatesDataTable82[[#This Row],[WANoteRate]]-CurrentMtgRatesDataTable82[[#This Row],[Big Non-Bank Lender]]</f>
        <v>1.5226044991480059E-2</v>
      </c>
      <c r="G114" s="20">
        <f>CurrentMtgRatesDataTable82[[#This Row],[WANoteRate]]-CurrentMtgRatesDataTable82[[#This Row],[Small Lender]]</f>
        <v>9.5149028340271613E-2</v>
      </c>
      <c r="H114" s="20">
        <f>CurrentMtgRatesDataTable82[[#This Row],[Big Non-Bank Lender]]-CurrentMtgRatesDataTable82[[#This Row],[Small Lender]]</f>
        <v>7.9922983348791554E-2</v>
      </c>
      <c r="I114" s="20"/>
      <c r="K114">
        <v>200604</v>
      </c>
      <c r="L114">
        <v>6.3050788170775798</v>
      </c>
      <c r="N114">
        <v>200604</v>
      </c>
      <c r="O114">
        <v>6.6436286407766989</v>
      </c>
      <c r="P114" s="20">
        <f>VLOOKUP(CurrentMtgRatesDataTable82345[[#This Row],[calcOrigMonth_LL]],B:H,5,0)</f>
        <v>-0.41149830926232411</v>
      </c>
      <c r="Q114" s="20">
        <f>VLOOKUP(CurrentMtgRatesDataTable82345[[#This Row],[calcOrigMonth_LL]],B:G,6,0)</f>
        <v>-7.294848556320499E-2</v>
      </c>
    </row>
    <row r="115" spans="2:17">
      <c r="B115" s="25">
        <v>201404</v>
      </c>
      <c r="C115" s="20">
        <v>4.5742148042663908</v>
      </c>
      <c r="D115" s="20">
        <f>VLOOKUP(CurrentMtgRatesDataTable82[[#This Row],[calcOrigMonth_LL]],N:O,2,0)</f>
        <v>4.5685571115905752</v>
      </c>
      <c r="E115" s="20">
        <f>VLOOKUP(CurrentMtgRatesDataTable82[[#This Row],[calcOrigMonth_LL]],K:L,2,0)</f>
        <v>4.5014287636166257</v>
      </c>
      <c r="F115" s="20">
        <f>CurrentMtgRatesDataTable82[[#This Row],[WANoteRate]]-CurrentMtgRatesDataTable82[[#This Row],[Big Non-Bank Lender]]</f>
        <v>5.6576926758156176E-3</v>
      </c>
      <c r="G115" s="20">
        <f>CurrentMtgRatesDataTable82[[#This Row],[WANoteRate]]-CurrentMtgRatesDataTable82[[#This Row],[Small Lender]]</f>
        <v>7.2786040649765127E-2</v>
      </c>
      <c r="H115" s="20">
        <f>CurrentMtgRatesDataTable82[[#This Row],[Big Non-Bank Lender]]-CurrentMtgRatesDataTable82[[#This Row],[Small Lender]]</f>
        <v>6.7128347973949509E-2</v>
      </c>
      <c r="I115" s="20"/>
      <c r="K115">
        <v>200603</v>
      </c>
      <c r="L115">
        <v>6.1967593138515076</v>
      </c>
      <c r="N115">
        <v>200603</v>
      </c>
      <c r="O115">
        <v>6.4776459533097031</v>
      </c>
      <c r="P115" s="20">
        <f>VLOOKUP(CurrentMtgRatesDataTable82345[[#This Row],[calcOrigMonth_LL]],B:H,5,0)</f>
        <v>-0.35133543682419877</v>
      </c>
      <c r="Q115" s="20">
        <f>VLOOKUP(CurrentMtgRatesDataTable82345[[#This Row],[calcOrigMonth_LL]],B:G,6,0)</f>
        <v>-7.0448797366003291E-2</v>
      </c>
    </row>
    <row r="116" spans="2:17">
      <c r="B116" s="25">
        <v>201405</v>
      </c>
      <c r="C116" s="20">
        <v>4.6037872201175345</v>
      </c>
      <c r="D116" s="20">
        <f>VLOOKUP(CurrentMtgRatesDataTable82[[#This Row],[calcOrigMonth_LL]],N:O,2,0)</f>
        <v>4.6173658552143628</v>
      </c>
      <c r="E116" s="20">
        <f>VLOOKUP(CurrentMtgRatesDataTable82[[#This Row],[calcOrigMonth_LL]],K:L,2,0)</f>
        <v>4.5012617210399952</v>
      </c>
      <c r="F116" s="20">
        <f>CurrentMtgRatesDataTable82[[#This Row],[WANoteRate]]-CurrentMtgRatesDataTable82[[#This Row],[Big Non-Bank Lender]]</f>
        <v>-1.3578635096828329E-2</v>
      </c>
      <c r="G116" s="20">
        <f>CurrentMtgRatesDataTable82[[#This Row],[WANoteRate]]-CurrentMtgRatesDataTable82[[#This Row],[Small Lender]]</f>
        <v>0.10252549907753927</v>
      </c>
      <c r="H116" s="20">
        <f>CurrentMtgRatesDataTable82[[#This Row],[Big Non-Bank Lender]]-CurrentMtgRatesDataTable82[[#This Row],[Small Lender]]</f>
        <v>0.1161041341743676</v>
      </c>
      <c r="I116" s="20"/>
      <c r="K116">
        <v>200602</v>
      </c>
      <c r="L116">
        <v>6.2414171820969795</v>
      </c>
      <c r="N116">
        <v>200602</v>
      </c>
      <c r="O116">
        <v>6.6900631510089061</v>
      </c>
      <c r="P116" s="20">
        <f>VLOOKUP(CurrentMtgRatesDataTable82345[[#This Row],[calcOrigMonth_LL]],B:H,5,0)</f>
        <v>-0.55072561156606525</v>
      </c>
      <c r="Q116" s="20">
        <f>VLOOKUP(CurrentMtgRatesDataTable82345[[#This Row],[calcOrigMonth_LL]],B:G,6,0)</f>
        <v>-0.1020796426541386</v>
      </c>
    </row>
    <row r="117" spans="2:17">
      <c r="B117" s="25">
        <v>201406</v>
      </c>
      <c r="C117" s="20">
        <v>4.5466514290573201</v>
      </c>
      <c r="D117" s="20">
        <f>VLOOKUP(CurrentMtgRatesDataTable82[[#This Row],[calcOrigMonth_LL]],N:O,2,0)</f>
        <v>4.5536222811850307</v>
      </c>
      <c r="E117" s="20">
        <f>VLOOKUP(CurrentMtgRatesDataTable82[[#This Row],[calcOrigMonth_LL]],K:L,2,0)</f>
        <v>4.4579895491327095</v>
      </c>
      <c r="F117" s="20">
        <f>CurrentMtgRatesDataTable82[[#This Row],[WANoteRate]]-CurrentMtgRatesDataTable82[[#This Row],[Big Non-Bank Lender]]</f>
        <v>-6.9708521277105362E-3</v>
      </c>
      <c r="G117" s="20">
        <f>CurrentMtgRatesDataTable82[[#This Row],[WANoteRate]]-CurrentMtgRatesDataTable82[[#This Row],[Small Lender]]</f>
        <v>8.8661879924610609E-2</v>
      </c>
      <c r="H117" s="20">
        <f>CurrentMtgRatesDataTable82[[#This Row],[Big Non-Bank Lender]]-CurrentMtgRatesDataTable82[[#This Row],[Small Lender]]</f>
        <v>9.5632732052321145E-2</v>
      </c>
      <c r="I117" s="20"/>
      <c r="K117">
        <v>200601</v>
      </c>
      <c r="L117">
        <v>6.3129080428514435</v>
      </c>
      <c r="N117">
        <v>200601</v>
      </c>
      <c r="O117">
        <v>6.4126256872554359</v>
      </c>
      <c r="P117" s="20">
        <f>VLOOKUP(CurrentMtgRatesDataTable82345[[#This Row],[calcOrigMonth_LL]],B:H,5,0)</f>
        <v>-0.19174389669798586</v>
      </c>
      <c r="Q117" s="20">
        <f>VLOOKUP(CurrentMtgRatesDataTable82345[[#This Row],[calcOrigMonth_LL]],B:G,6,0)</f>
        <v>-9.2026252293993416E-2</v>
      </c>
    </row>
    <row r="118" spans="2:17">
      <c r="B118" s="25">
        <v>201407</v>
      </c>
      <c r="C118" s="20">
        <v>4.4173502729005962</v>
      </c>
      <c r="D118" s="20">
        <f>VLOOKUP(CurrentMtgRatesDataTable82[[#This Row],[calcOrigMonth_LL]],N:O,2,0)</f>
        <v>4.4581707414486509</v>
      </c>
      <c r="E118" s="20">
        <f>VLOOKUP(CurrentMtgRatesDataTable82[[#This Row],[calcOrigMonth_LL]],K:L,2,0)</f>
        <v>4.348244761535331</v>
      </c>
      <c r="F118" s="20">
        <f>CurrentMtgRatesDataTable82[[#This Row],[WANoteRate]]-CurrentMtgRatesDataTable82[[#This Row],[Big Non-Bank Lender]]</f>
        <v>-4.0820468548054656E-2</v>
      </c>
      <c r="G118" s="20">
        <f>CurrentMtgRatesDataTable82[[#This Row],[WANoteRate]]-CurrentMtgRatesDataTable82[[#This Row],[Small Lender]]</f>
        <v>6.9105511365265215E-2</v>
      </c>
      <c r="H118" s="20">
        <f>CurrentMtgRatesDataTable82[[#This Row],[Big Non-Bank Lender]]-CurrentMtgRatesDataTable82[[#This Row],[Small Lender]]</f>
        <v>0.10992597991331987</v>
      </c>
      <c r="I118" s="20"/>
      <c r="K118">
        <v>200512</v>
      </c>
      <c r="L118">
        <v>6.0299715540644474</v>
      </c>
      <c r="N118">
        <v>200512</v>
      </c>
      <c r="O118">
        <v>6.4031326034063261</v>
      </c>
      <c r="P118" s="20">
        <f>VLOOKUP(CurrentMtgRatesDataTable82345[[#This Row],[calcOrigMonth_LL]],B:H,5,0)</f>
        <v>-0.34478849310375459</v>
      </c>
      <c r="Q118" s="20">
        <f>VLOOKUP(CurrentMtgRatesDataTable82345[[#This Row],[calcOrigMonth_LL]],B:G,6,0)</f>
        <v>2.8372556238124069E-2</v>
      </c>
    </row>
    <row r="119" spans="2:17">
      <c r="B119" s="25">
        <v>201408</v>
      </c>
      <c r="C119" s="20">
        <v>4.3877534547937023</v>
      </c>
      <c r="D119" s="20">
        <f>VLOOKUP(CurrentMtgRatesDataTable82[[#This Row],[calcOrigMonth_LL]],N:O,2,0)</f>
        <v>4.3899942408996813</v>
      </c>
      <c r="E119" s="20">
        <f>VLOOKUP(CurrentMtgRatesDataTable82[[#This Row],[calcOrigMonth_LL]],K:L,2,0)</f>
        <v>4.3085176554459528</v>
      </c>
      <c r="F119" s="20">
        <f>CurrentMtgRatesDataTable82[[#This Row],[WANoteRate]]-CurrentMtgRatesDataTable82[[#This Row],[Big Non-Bank Lender]]</f>
        <v>-2.240786105978998E-3</v>
      </c>
      <c r="G119" s="20">
        <f>CurrentMtgRatesDataTable82[[#This Row],[WANoteRate]]-CurrentMtgRatesDataTable82[[#This Row],[Small Lender]]</f>
        <v>7.9235799347749492E-2</v>
      </c>
      <c r="H119" s="20">
        <f>CurrentMtgRatesDataTable82[[#This Row],[Big Non-Bank Lender]]-CurrentMtgRatesDataTable82[[#This Row],[Small Lender]]</f>
        <v>8.1476585453728489E-2</v>
      </c>
      <c r="I119" s="20"/>
      <c r="K119">
        <v>200511</v>
      </c>
      <c r="L119">
        <v>5.8814607536836618</v>
      </c>
      <c r="N119">
        <v>200511</v>
      </c>
      <c r="O119">
        <v>5.8455866197956716</v>
      </c>
      <c r="P119" s="20">
        <f>VLOOKUP(CurrentMtgRatesDataTable82345[[#This Row],[calcOrigMonth_LL]],B:H,5,0)</f>
        <v>-4.0425366663470186E-3</v>
      </c>
      <c r="Q119" s="20">
        <f>VLOOKUP(CurrentMtgRatesDataTable82345[[#This Row],[calcOrigMonth_LL]],B:G,6,0)</f>
        <v>-3.991667055433723E-2</v>
      </c>
    </row>
    <row r="120" spans="2:17">
      <c r="B120" s="25">
        <v>201409</v>
      </c>
      <c r="C120" s="20">
        <v>4.4049111052620846</v>
      </c>
      <c r="D120" s="20">
        <f>VLOOKUP(CurrentMtgRatesDataTable82[[#This Row],[calcOrigMonth_LL]],N:O,2,0)</f>
        <v>4.4309052004051415</v>
      </c>
      <c r="E120" s="20">
        <f>VLOOKUP(CurrentMtgRatesDataTable82[[#This Row],[calcOrigMonth_LL]],K:L,2,0)</f>
        <v>4.3178313732494606</v>
      </c>
      <c r="F120" s="20">
        <f>CurrentMtgRatesDataTable82[[#This Row],[WANoteRate]]-CurrentMtgRatesDataTable82[[#This Row],[Big Non-Bank Lender]]</f>
        <v>-2.5994095143056839E-2</v>
      </c>
      <c r="G120" s="20">
        <f>CurrentMtgRatesDataTable82[[#This Row],[WANoteRate]]-CurrentMtgRatesDataTable82[[#This Row],[Small Lender]]</f>
        <v>8.7079732012623978E-2</v>
      </c>
      <c r="H120" s="20">
        <f>CurrentMtgRatesDataTable82[[#This Row],[Big Non-Bank Lender]]-CurrentMtgRatesDataTable82[[#This Row],[Small Lender]]</f>
        <v>0.11307382715568082</v>
      </c>
      <c r="I120" s="20"/>
      <c r="K120">
        <v>200510</v>
      </c>
      <c r="L120">
        <v>5.8300555283568247</v>
      </c>
      <c r="N120">
        <v>200510</v>
      </c>
      <c r="O120">
        <v>5.9591111776646368</v>
      </c>
      <c r="P120" s="20">
        <f>VLOOKUP(CurrentMtgRatesDataTable82345[[#This Row],[calcOrigMonth_LL]],B:H,5,0)</f>
        <v>-0.17243422159079813</v>
      </c>
      <c r="Q120" s="20">
        <f>VLOOKUP(CurrentMtgRatesDataTable82345[[#This Row],[calcOrigMonth_LL]],B:G,6,0)</f>
        <v>-4.3378572282986028E-2</v>
      </c>
    </row>
    <row r="121" spans="2:17">
      <c r="B121" s="25">
        <v>201410</v>
      </c>
      <c r="C121" s="20">
        <v>4.3658803014577297</v>
      </c>
      <c r="D121" s="20">
        <f>VLOOKUP(CurrentMtgRatesDataTable82[[#This Row],[calcOrigMonth_LL]],N:O,2,0)</f>
        <v>4.3934433874477827</v>
      </c>
      <c r="E121" s="20">
        <f>VLOOKUP(CurrentMtgRatesDataTable82[[#This Row],[calcOrigMonth_LL]],K:L,2,0)</f>
        <v>4.3101970063312001</v>
      </c>
      <c r="F121" s="20">
        <f>CurrentMtgRatesDataTable82[[#This Row],[WANoteRate]]-CurrentMtgRatesDataTable82[[#This Row],[Big Non-Bank Lender]]</f>
        <v>-2.7563085990053082E-2</v>
      </c>
      <c r="G121" s="20">
        <f>CurrentMtgRatesDataTable82[[#This Row],[WANoteRate]]-CurrentMtgRatesDataTable82[[#This Row],[Small Lender]]</f>
        <v>5.5683295126529586E-2</v>
      </c>
      <c r="H121" s="20">
        <f>CurrentMtgRatesDataTable82[[#This Row],[Big Non-Bank Lender]]-CurrentMtgRatesDataTable82[[#This Row],[Small Lender]]</f>
        <v>8.3246381116582668E-2</v>
      </c>
      <c r="I121" s="20"/>
      <c r="K121">
        <v>200509</v>
      </c>
      <c r="L121">
        <v>5.7810129347446617</v>
      </c>
      <c r="N121">
        <v>200509</v>
      </c>
      <c r="O121">
        <v>5.8884467208973321</v>
      </c>
      <c r="P121" s="20">
        <f>VLOOKUP(CurrentMtgRatesDataTable82345[[#This Row],[calcOrigMonth_LL]],B:H,5,0)</f>
        <v>-0.10275335616745362</v>
      </c>
      <c r="Q121" s="20">
        <f>VLOOKUP(CurrentMtgRatesDataTable82345[[#This Row],[calcOrigMonth_LL]],B:G,6,0)</f>
        <v>4.680429985216783E-3</v>
      </c>
    </row>
    <row r="122" spans="2:17">
      <c r="B122" s="25">
        <v>201411</v>
      </c>
      <c r="C122" s="20">
        <v>4.3508501381002578</v>
      </c>
      <c r="D122" s="20">
        <f>VLOOKUP(CurrentMtgRatesDataTable82[[#This Row],[calcOrigMonth_LL]],N:O,2,0)</f>
        <v>4.3905793648985787</v>
      </c>
      <c r="E122" s="20">
        <f>VLOOKUP(CurrentMtgRatesDataTable82[[#This Row],[calcOrigMonth_LL]],K:L,2,0)</f>
        <v>4.2683505012812422</v>
      </c>
      <c r="F122" s="20">
        <f>CurrentMtgRatesDataTable82[[#This Row],[WANoteRate]]-CurrentMtgRatesDataTable82[[#This Row],[Big Non-Bank Lender]]</f>
        <v>-3.9729226798320916E-2</v>
      </c>
      <c r="G122" s="20">
        <f>CurrentMtgRatesDataTable82[[#This Row],[WANoteRate]]-CurrentMtgRatesDataTable82[[#This Row],[Small Lender]]</f>
        <v>8.249963681901562E-2</v>
      </c>
      <c r="H122" s="20">
        <f>CurrentMtgRatesDataTable82[[#This Row],[Big Non-Bank Lender]]-CurrentMtgRatesDataTable82[[#This Row],[Small Lender]]</f>
        <v>0.12222886361733654</v>
      </c>
      <c r="I122" s="20"/>
      <c r="K122">
        <v>200508</v>
      </c>
      <c r="L122">
        <v>5.634639239734911</v>
      </c>
      <c r="N122">
        <v>200508</v>
      </c>
      <c r="O122">
        <v>5.6567594424460435</v>
      </c>
      <c r="P122" s="20">
        <f>VLOOKUP(CurrentMtgRatesDataTable82345[[#This Row],[calcOrigMonth_LL]],B:H,5,0)</f>
        <v>-1.9261176564997484E-3</v>
      </c>
      <c r="Q122" s="20">
        <f>VLOOKUP(CurrentMtgRatesDataTable82345[[#This Row],[calcOrigMonth_LL]],B:G,6,0)</f>
        <v>2.0194085054632716E-2</v>
      </c>
    </row>
    <row r="123" spans="2:17">
      <c r="B123" s="25">
        <v>201412</v>
      </c>
      <c r="C123" s="20">
        <v>4.1795437284848971</v>
      </c>
      <c r="D123" s="20">
        <f>VLOOKUP(CurrentMtgRatesDataTable82[[#This Row],[calcOrigMonth_LL]],N:O,2,0)</f>
        <v>4.2148576463730123</v>
      </c>
      <c r="E123" s="20">
        <f>VLOOKUP(CurrentMtgRatesDataTable82[[#This Row],[calcOrigMonth_LL]],K:L,2,0)</f>
        <v>4.1313916115044051</v>
      </c>
      <c r="F123" s="20">
        <f>CurrentMtgRatesDataTable82[[#This Row],[WANoteRate]]-CurrentMtgRatesDataTable82[[#This Row],[Big Non-Bank Lender]]</f>
        <v>-3.531391788811522E-2</v>
      </c>
      <c r="G123" s="20">
        <f>CurrentMtgRatesDataTable82[[#This Row],[WANoteRate]]-CurrentMtgRatesDataTable82[[#This Row],[Small Lender]]</f>
        <v>4.8152116980491932E-2</v>
      </c>
      <c r="H123" s="20">
        <f>CurrentMtgRatesDataTable82[[#This Row],[Big Non-Bank Lender]]-CurrentMtgRatesDataTable82[[#This Row],[Small Lender]]</f>
        <v>8.3466034868607153E-2</v>
      </c>
      <c r="I123" s="20"/>
      <c r="K123">
        <v>200507</v>
      </c>
      <c r="L123">
        <v>5.6969807373237984</v>
      </c>
      <c r="N123">
        <v>200507</v>
      </c>
      <c r="O123">
        <v>5.8201260525941354</v>
      </c>
      <c r="P123" s="20">
        <f>VLOOKUP(CurrentMtgRatesDataTable82345[[#This Row],[calcOrigMonth_LL]],B:H,5,0)</f>
        <v>-0.12710994303925194</v>
      </c>
      <c r="Q123" s="20">
        <f>VLOOKUP(CurrentMtgRatesDataTable82345[[#This Row],[calcOrigMonth_LL]],B:G,6,0)</f>
        <v>-3.9646277689149301E-3</v>
      </c>
    </row>
    <row r="124" spans="2:17">
      <c r="B124" s="25">
        <v>201501</v>
      </c>
      <c r="C124" s="20">
        <v>4.2056166798130885</v>
      </c>
      <c r="D124" s="20">
        <f>VLOOKUP(CurrentMtgRatesDataTable82[[#This Row],[calcOrigMonth_LL]],N:O,2,0)</f>
        <v>4.207390907485042</v>
      </c>
      <c r="E124" s="20">
        <f>VLOOKUP(CurrentMtgRatesDataTable82[[#This Row],[calcOrigMonth_LL]],K:L,2,0)</f>
        <v>4.1008588224409506</v>
      </c>
      <c r="F124" s="20">
        <f>CurrentMtgRatesDataTable82[[#This Row],[WANoteRate]]-CurrentMtgRatesDataTable82[[#This Row],[Big Non-Bank Lender]]</f>
        <v>-1.7742276719534544E-3</v>
      </c>
      <c r="G124" s="20">
        <f>CurrentMtgRatesDataTable82[[#This Row],[WANoteRate]]-CurrentMtgRatesDataTable82[[#This Row],[Small Lender]]</f>
        <v>0.10475785737213794</v>
      </c>
      <c r="H124" s="20">
        <f>CurrentMtgRatesDataTable82[[#This Row],[Big Non-Bank Lender]]-CurrentMtgRatesDataTable82[[#This Row],[Small Lender]]</f>
        <v>0.1065320850440914</v>
      </c>
      <c r="K124" s="8">
        <v>200506</v>
      </c>
      <c r="L124" s="8">
        <v>5.8114222441048042</v>
      </c>
      <c r="N124" s="8">
        <v>200506</v>
      </c>
      <c r="O124" s="8">
        <v>6.2684407663580313</v>
      </c>
      <c r="P124" s="20">
        <f>VLOOKUP(CurrentMtgRatesDataTable82345[[#This Row],[calcOrigMonth_LL]],B:H,5,0)</f>
        <v>-0.42961774640150541</v>
      </c>
      <c r="Q124" s="20">
        <f>VLOOKUP(CurrentMtgRatesDataTable82345[[#This Row],[calcOrigMonth_LL]],B:G,6,0)</f>
        <v>2.7400775851721626E-2</v>
      </c>
    </row>
    <row r="125" spans="2:17">
      <c r="B125" s="25">
        <v>201502</v>
      </c>
      <c r="C125" s="20">
        <v>4.0705550921080338</v>
      </c>
      <c r="D125" s="20">
        <f>VLOOKUP(CurrentMtgRatesDataTable82[[#This Row],[calcOrigMonth_LL]],N:O,2,0)</f>
        <v>4.0734067078240876</v>
      </c>
      <c r="E125" s="20">
        <f>VLOOKUP(CurrentMtgRatesDataTable82[[#This Row],[calcOrigMonth_LL]],K:L,2,0)</f>
        <v>3.9472757253901527</v>
      </c>
      <c r="F125" s="20">
        <f>CurrentMtgRatesDataTable82[[#This Row],[WANoteRate]]-CurrentMtgRatesDataTable82[[#This Row],[Big Non-Bank Lender]]</f>
        <v>-2.8516157160538569E-3</v>
      </c>
      <c r="G125" s="20">
        <f>CurrentMtgRatesDataTable82[[#This Row],[WANoteRate]]-CurrentMtgRatesDataTable82[[#This Row],[Small Lender]]</f>
        <v>0.12327936671788109</v>
      </c>
      <c r="H125" s="20">
        <f>CurrentMtgRatesDataTable82[[#This Row],[Big Non-Bank Lender]]-CurrentMtgRatesDataTable82[[#This Row],[Small Lender]]</f>
        <v>0.12613098243393495</v>
      </c>
      <c r="K125" s="8">
        <v>200505</v>
      </c>
      <c r="L125" s="8">
        <v>5.8587221278035599</v>
      </c>
      <c r="N125" s="8">
        <v>200505</v>
      </c>
      <c r="O125" s="8">
        <v>6.0147863908107748</v>
      </c>
      <c r="P125" s="20">
        <f>VLOOKUP(CurrentMtgRatesDataTable82345[[#This Row],[calcOrigMonth_LL]],B:H,5,0)</f>
        <v>-0.10652016094129557</v>
      </c>
      <c r="Q125" s="20">
        <f>VLOOKUP(CurrentMtgRatesDataTable82345[[#This Row],[calcOrigMonth_LL]],B:G,6,0)</f>
        <v>4.9544102065919304E-2</v>
      </c>
    </row>
    <row r="126" spans="2:17">
      <c r="B126" s="25">
        <v>201503</v>
      </c>
      <c r="C126" s="20">
        <v>3.8908891527601934</v>
      </c>
      <c r="D126" s="20">
        <f>VLOOKUP(CurrentMtgRatesDataTable82[[#This Row],[calcOrigMonth_LL]],N:O,2,0)</f>
        <v>3.9315463917649915</v>
      </c>
      <c r="E126" s="20">
        <f>VLOOKUP(CurrentMtgRatesDataTable82[[#This Row],[calcOrigMonth_LL]],K:L,2,0)</f>
        <v>3.8139754588413139</v>
      </c>
      <c r="F126" s="20">
        <f>CurrentMtgRatesDataTable82[[#This Row],[WANoteRate]]-CurrentMtgRatesDataTable82[[#This Row],[Big Non-Bank Lender]]</f>
        <v>-4.0657239004798118E-2</v>
      </c>
      <c r="G126" s="20">
        <f>CurrentMtgRatesDataTable82[[#This Row],[WANoteRate]]-CurrentMtgRatesDataTable82[[#This Row],[Small Lender]]</f>
        <v>7.6913693918879478E-2</v>
      </c>
      <c r="H126" s="20">
        <f>CurrentMtgRatesDataTable82[[#This Row],[Big Non-Bank Lender]]-CurrentMtgRatesDataTable82[[#This Row],[Small Lender]]</f>
        <v>0.1175709329236776</v>
      </c>
      <c r="K126" s="8">
        <v>200504</v>
      </c>
      <c r="L126" s="8">
        <v>5.594423069971552</v>
      </c>
      <c r="N126" s="8">
        <v>200504</v>
      </c>
      <c r="O126" s="8">
        <v>5.9611671497637984</v>
      </c>
      <c r="P126" s="20">
        <f>VLOOKUP(CurrentMtgRatesDataTable82345[[#This Row],[calcOrigMonth_LL]],B:H,5,0)</f>
        <v>-0.27765924574933187</v>
      </c>
      <c r="Q126" s="20">
        <f>VLOOKUP(CurrentMtgRatesDataTable82345[[#This Row],[calcOrigMonth_LL]],B:G,6,0)</f>
        <v>8.9084834042914451E-2</v>
      </c>
    </row>
    <row r="127" spans="2:17">
      <c r="B127" s="25">
        <v>201504</v>
      </c>
      <c r="C127" s="20">
        <v>3.9141917764201182</v>
      </c>
      <c r="D127" s="20">
        <f>VLOOKUP(CurrentMtgRatesDataTable82[[#This Row],[calcOrigMonth_LL]],N:O,2,0)</f>
        <v>3.932115253662853</v>
      </c>
      <c r="E127" s="20">
        <f>VLOOKUP(CurrentMtgRatesDataTable82[[#This Row],[calcOrigMonth_LL]],K:L,2,0)</f>
        <v>3.8311435073952604</v>
      </c>
      <c r="F127" s="20">
        <f>CurrentMtgRatesDataTable82[[#This Row],[WANoteRate]]-CurrentMtgRatesDataTable82[[#This Row],[Big Non-Bank Lender]]</f>
        <v>-1.7923477242734798E-2</v>
      </c>
      <c r="G127" s="20">
        <f>CurrentMtgRatesDataTable82[[#This Row],[WANoteRate]]-CurrentMtgRatesDataTable82[[#This Row],[Small Lender]]</f>
        <v>8.3048269024857735E-2</v>
      </c>
      <c r="H127" s="20">
        <f>CurrentMtgRatesDataTable82[[#This Row],[Big Non-Bank Lender]]-CurrentMtgRatesDataTable82[[#This Row],[Small Lender]]</f>
        <v>0.10097174626759253</v>
      </c>
      <c r="K127" s="8">
        <v>200503</v>
      </c>
      <c r="L127" s="8">
        <v>5.6155496807441265</v>
      </c>
      <c r="N127" s="8">
        <v>200503</v>
      </c>
      <c r="O127" s="8">
        <v>5.7445769250037575</v>
      </c>
      <c r="P127" s="20">
        <f>VLOOKUP(CurrentMtgRatesDataTable82345[[#This Row],[calcOrigMonth_LL]],B:H,5,0)</f>
        <v>-0.11917901799009378</v>
      </c>
      <c r="Q127" s="20">
        <f>VLOOKUP(CurrentMtgRatesDataTable82345[[#This Row],[calcOrigMonth_LL]],B:G,6,0)</f>
        <v>9.8482262695371858E-3</v>
      </c>
    </row>
    <row r="128" spans="2:17">
      <c r="B128" s="25">
        <v>201505</v>
      </c>
      <c r="C128" s="20">
        <v>3.9659414073829846</v>
      </c>
      <c r="D128" s="20">
        <f>VLOOKUP(CurrentMtgRatesDataTable82[[#This Row],[calcOrigMonth_LL]],N:O,2,0)</f>
        <v>3.9620768330334606</v>
      </c>
      <c r="E128" s="20">
        <f>VLOOKUP(CurrentMtgRatesDataTable82[[#This Row],[calcOrigMonth_LL]],K:L,2,0)</f>
        <v>3.8762184710862826</v>
      </c>
      <c r="F128" s="20">
        <f>CurrentMtgRatesDataTable82[[#This Row],[WANoteRate]]-CurrentMtgRatesDataTable82[[#This Row],[Big Non-Bank Lender]]</f>
        <v>3.8645743495240303E-3</v>
      </c>
      <c r="G128" s="20">
        <f>CurrentMtgRatesDataTable82[[#This Row],[WANoteRate]]-CurrentMtgRatesDataTable82[[#This Row],[Small Lender]]</f>
        <v>8.9722936296702027E-2</v>
      </c>
      <c r="H128" s="20">
        <f>CurrentMtgRatesDataTable82[[#This Row],[Big Non-Bank Lender]]-CurrentMtgRatesDataTable82[[#This Row],[Small Lender]]</f>
        <v>8.5858361947177997E-2</v>
      </c>
      <c r="K128" s="8">
        <v>200502</v>
      </c>
      <c r="L128" s="8">
        <v>5.7579616846260633</v>
      </c>
      <c r="N128" s="8">
        <v>200502</v>
      </c>
      <c r="O128" s="8">
        <v>5.7395737877517599</v>
      </c>
      <c r="P128" s="20">
        <f>VLOOKUP(CurrentMtgRatesDataTable82345[[#This Row],[calcOrigMonth_LL]],B:H,5,0)</f>
        <v>-1.5562231503443158E-2</v>
      </c>
      <c r="Q128" s="20">
        <f>VLOOKUP(CurrentMtgRatesDataTable82345[[#This Row],[calcOrigMonth_LL]],B:G,6,0)</f>
        <v>-3.395012837774658E-2</v>
      </c>
    </row>
    <row r="129" spans="2:17">
      <c r="B129" s="25">
        <v>201506</v>
      </c>
      <c r="C129" s="20">
        <v>3.9897122939019098</v>
      </c>
      <c r="D129" s="20">
        <f>VLOOKUP(CurrentMtgRatesDataTable82[[#This Row],[calcOrigMonth_LL]],N:O,2,0)</f>
        <v>3.950449253802224</v>
      </c>
      <c r="E129" s="20">
        <f>VLOOKUP(CurrentMtgRatesDataTable82[[#This Row],[calcOrigMonth_LL]],K:L,2,0)</f>
        <v>3.8760395868432074</v>
      </c>
      <c r="F129" s="20">
        <f>CurrentMtgRatesDataTable82[[#This Row],[WANoteRate]]-CurrentMtgRatesDataTable82[[#This Row],[Big Non-Bank Lender]]</f>
        <v>3.9263040099685842E-2</v>
      </c>
      <c r="G129" s="20">
        <f>CurrentMtgRatesDataTable82[[#This Row],[WANoteRate]]-CurrentMtgRatesDataTable82[[#This Row],[Small Lender]]</f>
        <v>0.11367270705870247</v>
      </c>
      <c r="H129" s="20">
        <f>CurrentMtgRatesDataTable82[[#This Row],[Big Non-Bank Lender]]-CurrentMtgRatesDataTable82[[#This Row],[Small Lender]]</f>
        <v>7.4409666959016629E-2</v>
      </c>
      <c r="K129" s="8">
        <v>200501</v>
      </c>
      <c r="L129" s="8">
        <v>5.7156431524899229</v>
      </c>
      <c r="N129" s="8">
        <v>200501</v>
      </c>
      <c r="O129" s="8">
        <v>5.9099143077895624</v>
      </c>
      <c r="P129" s="20">
        <f>VLOOKUP(CurrentMtgRatesDataTable82345[[#This Row],[calcOrigMonth_LL]],B:H,5,0)</f>
        <v>-0.18272284237613601</v>
      </c>
      <c r="Q129" s="20">
        <f>VLOOKUP(CurrentMtgRatesDataTable82345[[#This Row],[calcOrigMonth_LL]],B:G,6,0)</f>
        <v>1.1548312923503445E-2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129"/>
  <sheetViews>
    <sheetView workbookViewId="0">
      <selection activeCell="C58" sqref="C58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11</v>
      </c>
      <c r="J1" t="s">
        <v>11</v>
      </c>
      <c r="M1" t="s">
        <v>12</v>
      </c>
      <c r="P1" t="s">
        <v>13</v>
      </c>
    </row>
    <row r="3" spans="2:17">
      <c r="B3" t="s">
        <v>18</v>
      </c>
      <c r="C3" t="s">
        <v>11</v>
      </c>
      <c r="D3" t="s">
        <v>12</v>
      </c>
      <c r="E3" t="s">
        <v>13</v>
      </c>
      <c r="F3" s="23" t="s">
        <v>15</v>
      </c>
      <c r="G3" s="18" t="s">
        <v>16</v>
      </c>
      <c r="H3" s="19" t="s">
        <v>17</v>
      </c>
      <c r="J3" t="s">
        <v>20</v>
      </c>
      <c r="K3" t="s">
        <v>19</v>
      </c>
      <c r="M3" t="s">
        <v>20</v>
      </c>
      <c r="N3" t="s">
        <v>19</v>
      </c>
      <c r="P3" t="s">
        <v>20</v>
      </c>
      <c r="Q3" t="s">
        <v>19</v>
      </c>
    </row>
    <row r="4" spans="2:17">
      <c r="B4" s="1">
        <v>42125</v>
      </c>
      <c r="C4" s="3">
        <v>4.1408234642227697</v>
      </c>
      <c r="D4">
        <v>4.1237868443410299</v>
      </c>
      <c r="E4">
        <v>4.0216658215070797</v>
      </c>
      <c r="F4" s="3">
        <f t="shared" ref="F4:F66" si="0">C4-D4</f>
        <v>1.7036619881739767E-2</v>
      </c>
      <c r="G4" s="3">
        <f t="shared" ref="G4:G67" si="1">C4-E4</f>
        <v>0.11915764271568996</v>
      </c>
      <c r="H4" s="3">
        <f t="shared" ref="H4:H67" si="2">D4-E4</f>
        <v>0.10212102283395019</v>
      </c>
      <c r="I4" s="3"/>
      <c r="J4" s="2">
        <v>201505</v>
      </c>
      <c r="K4" s="3">
        <v>4.1408234642227697</v>
      </c>
      <c r="M4" s="2">
        <v>201505</v>
      </c>
      <c r="N4">
        <v>4.1237868443410299</v>
      </c>
      <c r="P4" s="2">
        <v>201505</v>
      </c>
      <c r="Q4">
        <v>4.0216658215070797</v>
      </c>
    </row>
    <row r="5" spans="2:17">
      <c r="B5" s="1">
        <v>42095</v>
      </c>
      <c r="C5" s="3">
        <v>4.0431225152819703</v>
      </c>
      <c r="D5">
        <v>4.0724697555473997</v>
      </c>
      <c r="E5">
        <v>3.97261149543866</v>
      </c>
      <c r="F5" s="3">
        <f t="shared" si="0"/>
        <v>-2.9347240265429342E-2</v>
      </c>
      <c r="G5" s="3">
        <f t="shared" si="1"/>
        <v>7.0511019843310319E-2</v>
      </c>
      <c r="H5" s="3">
        <f t="shared" si="2"/>
        <v>9.985826010873966E-2</v>
      </c>
      <c r="I5" s="3"/>
      <c r="J5" s="2">
        <v>201504</v>
      </c>
      <c r="K5" s="3">
        <v>4.0431225152819703</v>
      </c>
      <c r="M5" s="2">
        <v>201504</v>
      </c>
      <c r="N5">
        <v>4.0724697555473997</v>
      </c>
      <c r="P5" s="2">
        <v>201504</v>
      </c>
      <c r="Q5">
        <v>3.97261149543866</v>
      </c>
    </row>
    <row r="6" spans="2:17">
      <c r="B6" s="1">
        <v>42064</v>
      </c>
      <c r="C6" s="3">
        <v>4.0260574264414801</v>
      </c>
      <c r="D6">
        <v>4.0795742084377498</v>
      </c>
      <c r="E6">
        <v>3.9586044216830398</v>
      </c>
      <c r="F6" s="3">
        <f t="shared" si="0"/>
        <v>-5.3516781996269636E-2</v>
      </c>
      <c r="G6" s="3">
        <f t="shared" si="1"/>
        <v>6.7453004758440294E-2</v>
      </c>
      <c r="H6" s="3">
        <f t="shared" si="2"/>
        <v>0.12096978675470993</v>
      </c>
      <c r="I6" s="3"/>
      <c r="J6" s="2">
        <v>201503</v>
      </c>
      <c r="K6" s="3">
        <v>4.0260574264414801</v>
      </c>
      <c r="M6" s="2">
        <v>201503</v>
      </c>
      <c r="N6">
        <v>4.0795742084377498</v>
      </c>
      <c r="P6" s="2">
        <v>201503</v>
      </c>
      <c r="Q6">
        <v>3.9586044216830398</v>
      </c>
    </row>
    <row r="7" spans="2:17">
      <c r="B7" s="1">
        <v>42036</v>
      </c>
      <c r="C7" s="3">
        <v>4.2390909305190698</v>
      </c>
      <c r="D7">
        <v>4.2191881107733797</v>
      </c>
      <c r="E7">
        <v>4.1180180005584504</v>
      </c>
      <c r="F7" s="3">
        <f t="shared" si="0"/>
        <v>1.9902819745690081E-2</v>
      </c>
      <c r="G7" s="3">
        <f t="shared" si="1"/>
        <v>0.12107292996061947</v>
      </c>
      <c r="H7" s="3">
        <f t="shared" si="2"/>
        <v>0.10117011021492939</v>
      </c>
      <c r="I7" s="3"/>
      <c r="J7" s="2">
        <v>201502</v>
      </c>
      <c r="K7" s="3">
        <v>4.2390909305190698</v>
      </c>
      <c r="M7" s="2">
        <v>201502</v>
      </c>
      <c r="N7">
        <v>4.2191881107733797</v>
      </c>
      <c r="P7" s="2">
        <v>201502</v>
      </c>
      <c r="Q7">
        <v>4.1180180005584504</v>
      </c>
    </row>
    <row r="8" spans="2:17">
      <c r="B8" s="1">
        <v>42005</v>
      </c>
      <c r="C8" s="3">
        <v>4.3437275644893196</v>
      </c>
      <c r="D8">
        <v>4.34046482428821</v>
      </c>
      <c r="E8">
        <v>4.2582992465124399</v>
      </c>
      <c r="F8" s="3">
        <f t="shared" si="0"/>
        <v>3.2627402011096152E-3</v>
      </c>
      <c r="G8" s="3">
        <f t="shared" si="1"/>
        <v>8.5428317976879775E-2</v>
      </c>
      <c r="H8" s="3">
        <f t="shared" si="2"/>
        <v>8.216557777577016E-2</v>
      </c>
      <c r="I8" s="3"/>
      <c r="J8" s="2">
        <v>201501</v>
      </c>
      <c r="K8" s="3">
        <v>4.3437275644893196</v>
      </c>
      <c r="M8" s="2">
        <v>201501</v>
      </c>
      <c r="N8">
        <v>4.34046482428821</v>
      </c>
      <c r="P8" s="2">
        <v>201501</v>
      </c>
      <c r="Q8">
        <v>4.2582992465124399</v>
      </c>
    </row>
    <row r="9" spans="2:17">
      <c r="B9" s="1">
        <v>41974</v>
      </c>
      <c r="C9" s="3">
        <v>4.3732810218535496</v>
      </c>
      <c r="D9">
        <v>4.3610787823523598</v>
      </c>
      <c r="E9">
        <v>4.29475686841013</v>
      </c>
      <c r="F9" s="3">
        <f t="shared" si="0"/>
        <v>1.2202239501189815E-2</v>
      </c>
      <c r="G9" s="3">
        <f t="shared" si="1"/>
        <v>7.8524153443419564E-2</v>
      </c>
      <c r="H9" s="3">
        <f t="shared" si="2"/>
        <v>6.6321913942229749E-2</v>
      </c>
      <c r="I9" s="3"/>
      <c r="J9" s="2">
        <v>201412</v>
      </c>
      <c r="K9" s="3">
        <v>4.3732810218535496</v>
      </c>
      <c r="M9" s="2">
        <v>201412</v>
      </c>
      <c r="N9">
        <v>4.3610787823523598</v>
      </c>
      <c r="P9" s="2">
        <v>201412</v>
      </c>
      <c r="Q9">
        <v>4.29475686841013</v>
      </c>
    </row>
    <row r="10" spans="2:17">
      <c r="B10" s="1">
        <v>41944</v>
      </c>
      <c r="C10" s="3">
        <v>4.4641653778897901</v>
      </c>
      <c r="D10">
        <v>4.50163909584204</v>
      </c>
      <c r="E10">
        <v>4.4136730120691601</v>
      </c>
      <c r="F10" s="3">
        <f t="shared" si="0"/>
        <v>-3.7473717952249963E-2</v>
      </c>
      <c r="G10" s="3">
        <f t="shared" si="1"/>
        <v>5.0492365820629992E-2</v>
      </c>
      <c r="H10" s="3">
        <f t="shared" si="2"/>
        <v>8.7966083772879955E-2</v>
      </c>
      <c r="I10" s="3"/>
      <c r="J10" s="2">
        <v>201411</v>
      </c>
      <c r="K10" s="3">
        <v>4.4641653778897901</v>
      </c>
      <c r="M10" s="2">
        <v>201411</v>
      </c>
      <c r="N10">
        <v>4.50163909584204</v>
      </c>
      <c r="P10" s="2">
        <v>201411</v>
      </c>
      <c r="Q10">
        <v>4.4136730120691601</v>
      </c>
    </row>
    <row r="11" spans="2:17">
      <c r="B11" s="1">
        <v>41913</v>
      </c>
      <c r="C11" s="3">
        <v>4.4814794240538998</v>
      </c>
      <c r="D11">
        <v>4.5143120295241497</v>
      </c>
      <c r="E11">
        <v>4.42590886999474</v>
      </c>
      <c r="F11" s="3">
        <f t="shared" si="0"/>
        <v>-3.2832605470249909E-2</v>
      </c>
      <c r="G11" s="3">
        <f t="shared" si="1"/>
        <v>5.5570554059159782E-2</v>
      </c>
      <c r="H11" s="3">
        <f t="shared" si="2"/>
        <v>8.8403159529409692E-2</v>
      </c>
      <c r="I11" s="3"/>
      <c r="J11" s="2">
        <v>201410</v>
      </c>
      <c r="K11" s="3">
        <v>4.4814794240538998</v>
      </c>
      <c r="M11" s="2">
        <v>201410</v>
      </c>
      <c r="N11">
        <v>4.5143120295241497</v>
      </c>
      <c r="P11" s="2">
        <v>201410</v>
      </c>
      <c r="Q11">
        <v>4.42590886999474</v>
      </c>
    </row>
    <row r="12" spans="2:17">
      <c r="B12" s="1">
        <v>41883</v>
      </c>
      <c r="C12" s="3">
        <v>4.51286087196321</v>
      </c>
      <c r="D12">
        <v>4.5467902199024302</v>
      </c>
      <c r="E12">
        <v>4.43815557294573</v>
      </c>
      <c r="F12" s="3">
        <f t="shared" si="0"/>
        <v>-3.39293479392202E-2</v>
      </c>
      <c r="G12" s="3">
        <f t="shared" si="1"/>
        <v>7.4705299017479909E-2</v>
      </c>
      <c r="H12" s="3">
        <f t="shared" si="2"/>
        <v>0.10863464695670011</v>
      </c>
      <c r="I12" s="3"/>
      <c r="J12" s="2">
        <v>201409</v>
      </c>
      <c r="K12" s="3">
        <v>4.51286087196321</v>
      </c>
      <c r="M12" s="2">
        <v>201409</v>
      </c>
      <c r="N12">
        <v>4.5467902199024302</v>
      </c>
      <c r="P12" s="2">
        <v>201409</v>
      </c>
      <c r="Q12">
        <v>4.43815557294573</v>
      </c>
    </row>
    <row r="13" spans="2:17">
      <c r="B13" s="1">
        <v>41852</v>
      </c>
      <c r="C13" s="3">
        <v>4.4999123420986704</v>
      </c>
      <c r="D13">
        <v>4.5408042219318796</v>
      </c>
      <c r="E13">
        <v>4.4495482152197896</v>
      </c>
      <c r="F13" s="3">
        <f t="shared" si="0"/>
        <v>-4.0891879833209188E-2</v>
      </c>
      <c r="G13" s="3">
        <f t="shared" si="1"/>
        <v>5.0364126878880811E-2</v>
      </c>
      <c r="H13" s="3">
        <f t="shared" si="2"/>
        <v>9.1256006712089999E-2</v>
      </c>
      <c r="I13" s="3"/>
      <c r="J13" s="2">
        <v>201408</v>
      </c>
      <c r="K13" s="3">
        <v>4.4999123420986704</v>
      </c>
      <c r="M13" s="2">
        <v>201408</v>
      </c>
      <c r="N13">
        <v>4.5408042219318796</v>
      </c>
      <c r="P13" s="2">
        <v>201408</v>
      </c>
      <c r="Q13">
        <v>4.4495482152197896</v>
      </c>
    </row>
    <row r="14" spans="2:17">
      <c r="B14" s="1">
        <v>41821</v>
      </c>
      <c r="C14" s="3">
        <v>4.54408919930147</v>
      </c>
      <c r="D14">
        <v>4.5678757972151898</v>
      </c>
      <c r="E14">
        <v>4.4859244662927598</v>
      </c>
      <c r="F14" s="3">
        <f t="shared" si="0"/>
        <v>-2.3786597913719731E-2</v>
      </c>
      <c r="G14" s="3">
        <f t="shared" si="1"/>
        <v>5.8164733008710279E-2</v>
      </c>
      <c r="H14" s="3">
        <f t="shared" si="2"/>
        <v>8.195133092243001E-2</v>
      </c>
      <c r="I14" s="3"/>
      <c r="J14" s="2">
        <v>201407</v>
      </c>
      <c r="K14" s="3">
        <v>4.54408919930147</v>
      </c>
      <c r="M14" s="2">
        <v>201407</v>
      </c>
      <c r="N14">
        <v>4.5678757972151898</v>
      </c>
      <c r="P14" s="2">
        <v>201407</v>
      </c>
      <c r="Q14">
        <v>4.4859244662927598</v>
      </c>
    </row>
    <row r="15" spans="2:17">
      <c r="B15" s="1">
        <v>41791</v>
      </c>
      <c r="C15" s="3">
        <v>4.6718624361766601</v>
      </c>
      <c r="D15">
        <v>4.6707743455494199</v>
      </c>
      <c r="E15">
        <v>4.5949451576973903</v>
      </c>
      <c r="F15" s="3">
        <f t="shared" si="0"/>
        <v>1.0880906272401347E-3</v>
      </c>
      <c r="G15" s="3">
        <f t="shared" si="1"/>
        <v>7.6917278479269768E-2</v>
      </c>
      <c r="H15" s="3">
        <f t="shared" si="2"/>
        <v>7.5829187852029634E-2</v>
      </c>
      <c r="I15" s="3"/>
      <c r="J15" s="2">
        <v>201406</v>
      </c>
      <c r="K15" s="3">
        <v>4.6718624361766601</v>
      </c>
      <c r="M15" s="2">
        <v>201406</v>
      </c>
      <c r="N15">
        <v>4.6707743455494199</v>
      </c>
      <c r="P15" s="2">
        <v>201406</v>
      </c>
      <c r="Q15">
        <v>4.5949451576973903</v>
      </c>
    </row>
    <row r="16" spans="2:17">
      <c r="B16" s="1">
        <v>41760</v>
      </c>
      <c r="C16" s="3">
        <v>4.7228371754791203</v>
      </c>
      <c r="D16">
        <v>4.7185250065644802</v>
      </c>
      <c r="E16">
        <v>4.6406343920420596</v>
      </c>
      <c r="F16" s="3">
        <f t="shared" si="0"/>
        <v>4.3121689146401465E-3</v>
      </c>
      <c r="G16" s="3">
        <f t="shared" si="1"/>
        <v>8.2202783437060667E-2</v>
      </c>
      <c r="H16" s="3">
        <f t="shared" si="2"/>
        <v>7.789061452242052E-2</v>
      </c>
      <c r="I16" s="3"/>
      <c r="J16" s="2">
        <v>201405</v>
      </c>
      <c r="K16" s="3">
        <v>4.7228371754791203</v>
      </c>
      <c r="M16" s="2">
        <v>201405</v>
      </c>
      <c r="N16">
        <v>4.7185250065644802</v>
      </c>
      <c r="P16" s="2">
        <v>201405</v>
      </c>
      <c r="Q16">
        <v>4.6406343920420596</v>
      </c>
    </row>
    <row r="17" spans="2:17">
      <c r="B17" s="1">
        <v>41730</v>
      </c>
      <c r="C17" s="3">
        <v>4.6775163241410898</v>
      </c>
      <c r="D17">
        <v>4.7326732559808899</v>
      </c>
      <c r="E17">
        <v>4.6202204658443096</v>
      </c>
      <c r="F17" s="3">
        <f t="shared" si="0"/>
        <v>-5.5156931839800194E-2</v>
      </c>
      <c r="G17" s="3">
        <f t="shared" si="1"/>
        <v>5.7295858296780189E-2</v>
      </c>
      <c r="H17" s="3">
        <f t="shared" si="2"/>
        <v>0.11245279013658038</v>
      </c>
      <c r="I17" s="3"/>
      <c r="J17" s="2">
        <v>201404</v>
      </c>
      <c r="K17" s="3">
        <v>4.6775163241410898</v>
      </c>
      <c r="M17" s="2">
        <v>201404</v>
      </c>
      <c r="N17">
        <v>4.7326732559808899</v>
      </c>
      <c r="P17" s="2">
        <v>201404</v>
      </c>
      <c r="Q17">
        <v>4.6202204658443096</v>
      </c>
    </row>
    <row r="18" spans="2:17">
      <c r="B18" s="1">
        <v>41699</v>
      </c>
      <c r="C18" s="3">
        <v>4.7554879132697003</v>
      </c>
      <c r="D18">
        <v>4.7781018847115897</v>
      </c>
      <c r="E18">
        <v>4.66931609027775</v>
      </c>
      <c r="F18" s="3">
        <f t="shared" si="0"/>
        <v>-2.2613971441889369E-2</v>
      </c>
      <c r="G18" s="3">
        <f t="shared" si="1"/>
        <v>8.6171822991950364E-2</v>
      </c>
      <c r="H18" s="3">
        <f t="shared" si="2"/>
        <v>0.10878579443383973</v>
      </c>
      <c r="I18" s="3"/>
      <c r="J18" s="2">
        <v>201403</v>
      </c>
      <c r="K18" s="3">
        <v>4.7554879132697003</v>
      </c>
      <c r="M18" s="2">
        <v>201403</v>
      </c>
      <c r="N18">
        <v>4.7781018847115897</v>
      </c>
      <c r="P18" s="2">
        <v>201403</v>
      </c>
      <c r="Q18">
        <v>4.66931609027775</v>
      </c>
    </row>
    <row r="19" spans="2:17">
      <c r="B19" s="1">
        <v>41671</v>
      </c>
      <c r="C19" s="3">
        <v>4.7490540389099198</v>
      </c>
      <c r="D19">
        <v>4.7779020618618597</v>
      </c>
      <c r="E19">
        <v>4.69982779264621</v>
      </c>
      <c r="F19" s="3">
        <f t="shared" si="0"/>
        <v>-2.8848022951939889E-2</v>
      </c>
      <c r="G19" s="3">
        <f t="shared" si="1"/>
        <v>4.9226246263709861E-2</v>
      </c>
      <c r="H19" s="3">
        <f t="shared" si="2"/>
        <v>7.807426921564975E-2</v>
      </c>
      <c r="I19" s="3"/>
      <c r="J19" s="2">
        <v>201402</v>
      </c>
      <c r="K19" s="3">
        <v>4.7490540389099198</v>
      </c>
      <c r="M19" s="2">
        <v>201402</v>
      </c>
      <c r="N19">
        <v>4.7779020618618597</v>
      </c>
      <c r="P19" s="2">
        <v>201402</v>
      </c>
      <c r="Q19">
        <v>4.69982779264621</v>
      </c>
    </row>
    <row r="20" spans="2:17">
      <c r="B20" s="1">
        <v>41640</v>
      </c>
      <c r="C20" s="3">
        <v>4.6501895097453403</v>
      </c>
      <c r="D20">
        <v>4.6685721450730302</v>
      </c>
      <c r="E20">
        <v>4.5749000626968801</v>
      </c>
      <c r="F20" s="3">
        <f t="shared" si="0"/>
        <v>-1.8382635327689911E-2</v>
      </c>
      <c r="G20" s="3">
        <f t="shared" si="1"/>
        <v>7.528944704846019E-2</v>
      </c>
      <c r="H20" s="3">
        <f t="shared" si="2"/>
        <v>9.3672082376150101E-2</v>
      </c>
      <c r="I20" s="3"/>
      <c r="J20" s="2">
        <v>201401</v>
      </c>
      <c r="K20" s="3">
        <v>4.6501895097453403</v>
      </c>
      <c r="M20" s="2">
        <v>201401</v>
      </c>
      <c r="N20">
        <v>4.6685721450730302</v>
      </c>
      <c r="P20" s="2">
        <v>201401</v>
      </c>
      <c r="Q20">
        <v>4.5749000626968801</v>
      </c>
    </row>
    <row r="21" spans="2:17">
      <c r="B21" s="1">
        <v>41609</v>
      </c>
      <c r="C21" s="3">
        <v>4.6275574428116499</v>
      </c>
      <c r="D21">
        <v>4.6117913154848802</v>
      </c>
      <c r="E21">
        <v>4.5137567761280604</v>
      </c>
      <c r="F21" s="3">
        <f t="shared" si="0"/>
        <v>1.5766127326769741E-2</v>
      </c>
      <c r="G21" s="3">
        <f t="shared" si="1"/>
        <v>0.11380066668358957</v>
      </c>
      <c r="H21" s="3">
        <f t="shared" si="2"/>
        <v>9.8034539356819828E-2</v>
      </c>
      <c r="I21" s="3"/>
      <c r="J21" s="2">
        <v>201312</v>
      </c>
      <c r="K21" s="3">
        <v>4.6275574428116499</v>
      </c>
      <c r="M21" s="2">
        <v>201312</v>
      </c>
      <c r="N21">
        <v>4.6117913154848802</v>
      </c>
      <c r="P21" s="2">
        <v>201312</v>
      </c>
      <c r="Q21">
        <v>4.5137567761280604</v>
      </c>
    </row>
    <row r="22" spans="2:17">
      <c r="B22" s="1">
        <v>41579</v>
      </c>
      <c r="C22" s="3">
        <v>4.7265197018410499</v>
      </c>
      <c r="D22">
        <v>4.7353231822939996</v>
      </c>
      <c r="E22">
        <v>4.6409963259209501</v>
      </c>
      <c r="F22" s="3">
        <f t="shared" si="0"/>
        <v>-8.8034804529497634E-3</v>
      </c>
      <c r="G22" s="3">
        <f t="shared" si="1"/>
        <v>8.5523375920099731E-2</v>
      </c>
      <c r="H22" s="3">
        <f t="shared" si="2"/>
        <v>9.4326856373049495E-2</v>
      </c>
      <c r="I22" s="3"/>
      <c r="J22" s="2">
        <v>201311</v>
      </c>
      <c r="K22" s="3">
        <v>4.7265197018410499</v>
      </c>
      <c r="M22" s="2">
        <v>201311</v>
      </c>
      <c r="N22">
        <v>4.7353231822939996</v>
      </c>
      <c r="P22" s="2">
        <v>201311</v>
      </c>
      <c r="Q22">
        <v>4.6409963259209501</v>
      </c>
    </row>
    <row r="23" spans="2:17">
      <c r="B23" s="1">
        <v>41548</v>
      </c>
      <c r="C23" s="3">
        <v>4.6925822664461503</v>
      </c>
      <c r="D23">
        <v>4.75601547548432</v>
      </c>
      <c r="E23">
        <v>4.7418272243009802</v>
      </c>
      <c r="F23" s="3">
        <f t="shared" si="0"/>
        <v>-6.3433209038169736E-2</v>
      </c>
      <c r="G23" s="3">
        <f t="shared" si="1"/>
        <v>-4.9244957854829963E-2</v>
      </c>
      <c r="H23" s="3">
        <f t="shared" si="2"/>
        <v>1.4188251183339773E-2</v>
      </c>
      <c r="I23" s="3"/>
      <c r="J23" s="2">
        <v>201310</v>
      </c>
      <c r="K23" s="3">
        <v>4.6925822664461503</v>
      </c>
      <c r="M23" s="2">
        <v>201310</v>
      </c>
      <c r="N23">
        <v>4.75601547548432</v>
      </c>
      <c r="P23" s="2">
        <v>201310</v>
      </c>
      <c r="Q23">
        <v>4.7418272243009802</v>
      </c>
    </row>
    <row r="24" spans="2:17">
      <c r="B24" s="1">
        <v>41518</v>
      </c>
      <c r="C24" s="3">
        <v>4.4938639061100698</v>
      </c>
      <c r="D24">
        <v>4.60992628250054</v>
      </c>
      <c r="E24">
        <v>4.5655049166508599</v>
      </c>
      <c r="F24" s="3">
        <f t="shared" si="0"/>
        <v>-0.11606237639047023</v>
      </c>
      <c r="G24" s="3">
        <f t="shared" si="1"/>
        <v>-7.1641010540790084E-2</v>
      </c>
      <c r="H24" s="3">
        <f t="shared" si="2"/>
        <v>4.442136584968015E-2</v>
      </c>
      <c r="I24" s="3"/>
      <c r="J24" s="2">
        <v>201309</v>
      </c>
      <c r="K24" s="3">
        <v>4.4938639061100698</v>
      </c>
      <c r="M24" s="2">
        <v>201309</v>
      </c>
      <c r="N24">
        <v>4.60992628250054</v>
      </c>
      <c r="P24" s="2">
        <v>201309</v>
      </c>
      <c r="Q24">
        <v>4.5655049166508599</v>
      </c>
    </row>
    <row r="25" spans="2:17">
      <c r="B25" s="1">
        <v>41487</v>
      </c>
      <c r="C25" s="3">
        <v>4.1524292919247898</v>
      </c>
      <c r="D25">
        <v>4.3204582107282503</v>
      </c>
      <c r="E25">
        <v>4.2599025030036897</v>
      </c>
      <c r="F25" s="3">
        <f t="shared" si="0"/>
        <v>-0.16802891880346049</v>
      </c>
      <c r="G25" s="3">
        <f t="shared" si="1"/>
        <v>-0.10747321107889984</v>
      </c>
      <c r="H25" s="3">
        <f t="shared" si="2"/>
        <v>6.0555707724560648E-2</v>
      </c>
      <c r="I25" s="3"/>
      <c r="J25" s="2">
        <v>201308</v>
      </c>
      <c r="K25" s="3">
        <v>4.1524292919247898</v>
      </c>
      <c r="M25" s="2">
        <v>201308</v>
      </c>
      <c r="N25">
        <v>4.3204582107282503</v>
      </c>
      <c r="P25" s="2">
        <v>201308</v>
      </c>
      <c r="Q25">
        <v>4.2599025030036897</v>
      </c>
    </row>
    <row r="26" spans="2:17">
      <c r="B26" s="1">
        <v>41456</v>
      </c>
      <c r="C26" s="3">
        <v>3.90091271220368</v>
      </c>
      <c r="D26">
        <v>3.9463716001364602</v>
      </c>
      <c r="E26">
        <v>3.8951440631579901</v>
      </c>
      <c r="F26" s="3">
        <f t="shared" si="0"/>
        <v>-4.545888793278019E-2</v>
      </c>
      <c r="G26" s="3">
        <f t="shared" si="1"/>
        <v>5.7686490456898554E-3</v>
      </c>
      <c r="H26" s="3">
        <f t="shared" si="2"/>
        <v>5.1227536978470045E-2</v>
      </c>
      <c r="I26" s="3"/>
      <c r="J26" s="2">
        <v>201307</v>
      </c>
      <c r="K26" s="3">
        <v>3.90091271220368</v>
      </c>
      <c r="M26" s="2">
        <v>201307</v>
      </c>
      <c r="N26">
        <v>3.9463716001364602</v>
      </c>
      <c r="P26" s="2">
        <v>201307</v>
      </c>
      <c r="Q26">
        <v>3.8951440631579901</v>
      </c>
    </row>
    <row r="27" spans="2:17">
      <c r="B27" s="1">
        <v>41426</v>
      </c>
      <c r="C27" s="3">
        <v>3.8339086235834099</v>
      </c>
      <c r="D27">
        <v>3.8079408823666498</v>
      </c>
      <c r="E27">
        <v>3.7510885438699</v>
      </c>
      <c r="F27" s="3">
        <f t="shared" si="0"/>
        <v>2.5967741216760043E-2</v>
      </c>
      <c r="G27" s="3">
        <f t="shared" si="1"/>
        <v>8.2820079713509909E-2</v>
      </c>
      <c r="H27" s="3">
        <f t="shared" si="2"/>
        <v>5.6852338496749866E-2</v>
      </c>
      <c r="I27" s="3"/>
      <c r="J27" s="2">
        <v>201306</v>
      </c>
      <c r="K27" s="3">
        <v>3.8339086235834099</v>
      </c>
      <c r="M27" s="2">
        <v>201306</v>
      </c>
      <c r="N27">
        <v>3.8079408823666498</v>
      </c>
      <c r="P27" s="2">
        <v>201306</v>
      </c>
      <c r="Q27">
        <v>3.7510885438699</v>
      </c>
    </row>
    <row r="28" spans="2:17">
      <c r="B28" s="1">
        <v>41395</v>
      </c>
      <c r="C28" s="3">
        <v>3.85136938402874</v>
      </c>
      <c r="D28">
        <v>3.8725047024987398</v>
      </c>
      <c r="E28">
        <v>3.8099276969790301</v>
      </c>
      <c r="F28" s="3">
        <f t="shared" si="0"/>
        <v>-2.1135318469999831E-2</v>
      </c>
      <c r="G28" s="3">
        <f t="shared" si="1"/>
        <v>4.1441687049709852E-2</v>
      </c>
      <c r="H28" s="3">
        <f t="shared" si="2"/>
        <v>6.2577005519709683E-2</v>
      </c>
      <c r="I28" s="3"/>
      <c r="J28" s="2">
        <v>201305</v>
      </c>
      <c r="K28" s="3">
        <v>3.85136938402874</v>
      </c>
      <c r="M28" s="2">
        <v>201305</v>
      </c>
      <c r="N28">
        <v>3.8725047024987398</v>
      </c>
      <c r="P28" s="2">
        <v>201305</v>
      </c>
      <c r="Q28">
        <v>3.8099276969790301</v>
      </c>
    </row>
    <row r="29" spans="2:17">
      <c r="B29" s="1">
        <v>41365</v>
      </c>
      <c r="C29" s="3">
        <v>3.8223989530828399</v>
      </c>
      <c r="D29">
        <v>3.8456884245144201</v>
      </c>
      <c r="E29">
        <v>3.7825415156393598</v>
      </c>
      <c r="F29" s="3">
        <f t="shared" si="0"/>
        <v>-2.3289471431580111E-2</v>
      </c>
      <c r="G29" s="3">
        <f t="shared" si="1"/>
        <v>3.9857437443480137E-2</v>
      </c>
      <c r="H29" s="3">
        <f t="shared" si="2"/>
        <v>6.3146908875060248E-2</v>
      </c>
      <c r="I29" s="3"/>
      <c r="J29" s="2">
        <v>201304</v>
      </c>
      <c r="K29" s="3">
        <v>3.8223989530828399</v>
      </c>
      <c r="M29" s="2">
        <v>201304</v>
      </c>
      <c r="N29">
        <v>3.8456884245144201</v>
      </c>
      <c r="P29" s="2">
        <v>201304</v>
      </c>
      <c r="Q29">
        <v>3.7825415156393598</v>
      </c>
    </row>
    <row r="30" spans="2:17">
      <c r="B30" s="1">
        <v>41334</v>
      </c>
      <c r="C30" s="3">
        <v>3.7869995847639601</v>
      </c>
      <c r="D30">
        <v>3.7719228011650401</v>
      </c>
      <c r="E30">
        <v>3.6934244230845201</v>
      </c>
      <c r="F30" s="3">
        <f t="shared" si="0"/>
        <v>1.5076783598920063E-2</v>
      </c>
      <c r="G30" s="3">
        <f t="shared" si="1"/>
        <v>9.3575161679440022E-2</v>
      </c>
      <c r="H30" s="3">
        <f t="shared" si="2"/>
        <v>7.8498378080519959E-2</v>
      </c>
      <c r="I30" s="3"/>
      <c r="J30" s="2">
        <v>201303</v>
      </c>
      <c r="K30" s="3">
        <v>3.7869995847639601</v>
      </c>
      <c r="M30" s="2">
        <v>201303</v>
      </c>
      <c r="N30">
        <v>3.7719228011650401</v>
      </c>
      <c r="P30" s="2">
        <v>201303</v>
      </c>
      <c r="Q30">
        <v>3.6934244230845201</v>
      </c>
    </row>
    <row r="31" spans="2:17">
      <c r="B31" s="1">
        <v>41306</v>
      </c>
      <c r="C31" s="3">
        <v>3.7237481234484302</v>
      </c>
      <c r="D31">
        <v>3.6462499425197001</v>
      </c>
      <c r="E31">
        <v>3.6033548831439499</v>
      </c>
      <c r="F31" s="3">
        <f t="shared" si="0"/>
        <v>7.7498180928730065E-2</v>
      </c>
      <c r="G31" s="3">
        <f t="shared" si="1"/>
        <v>0.12039324030448029</v>
      </c>
      <c r="H31" s="3">
        <f t="shared" si="2"/>
        <v>4.2895059375750222E-2</v>
      </c>
      <c r="I31" s="3"/>
      <c r="J31" s="2">
        <v>201302</v>
      </c>
      <c r="K31" s="3">
        <v>3.7237481234484302</v>
      </c>
      <c r="M31" s="2">
        <v>201302</v>
      </c>
      <c r="N31">
        <v>3.6462499425197001</v>
      </c>
      <c r="P31" s="2">
        <v>201302</v>
      </c>
      <c r="Q31">
        <v>3.6033548831439499</v>
      </c>
    </row>
    <row r="32" spans="2:17">
      <c r="B32" s="1">
        <v>41275</v>
      </c>
      <c r="C32" s="3">
        <v>3.7171536774760101</v>
      </c>
      <c r="D32">
        <v>3.65077505776275</v>
      </c>
      <c r="E32">
        <v>3.5915199716421098</v>
      </c>
      <c r="F32" s="3">
        <f t="shared" si="0"/>
        <v>6.637861971326009E-2</v>
      </c>
      <c r="G32" s="3">
        <f t="shared" si="1"/>
        <v>0.12563370583390032</v>
      </c>
      <c r="H32" s="3">
        <f t="shared" si="2"/>
        <v>5.9255086120640232E-2</v>
      </c>
      <c r="I32" s="3"/>
      <c r="J32" s="2">
        <v>201301</v>
      </c>
      <c r="K32" s="3">
        <v>3.7171536774760101</v>
      </c>
      <c r="M32" s="2">
        <v>201301</v>
      </c>
      <c r="N32">
        <v>3.65077505776275</v>
      </c>
      <c r="P32" s="2">
        <v>201301</v>
      </c>
      <c r="Q32">
        <v>3.5915199716421098</v>
      </c>
    </row>
    <row r="33" spans="2:17">
      <c r="B33" s="1">
        <v>41244</v>
      </c>
      <c r="C33" s="3">
        <v>3.7712943389174498</v>
      </c>
      <c r="D33">
        <v>3.7067427506511299</v>
      </c>
      <c r="E33">
        <v>3.6008819534771201</v>
      </c>
      <c r="F33" s="3">
        <f t="shared" si="0"/>
        <v>6.4551588266319904E-2</v>
      </c>
      <c r="G33" s="3">
        <f t="shared" si="1"/>
        <v>0.17041238544032966</v>
      </c>
      <c r="H33" s="3">
        <f t="shared" si="2"/>
        <v>0.10586079717400976</v>
      </c>
      <c r="I33" s="3"/>
      <c r="J33" s="2">
        <v>201212</v>
      </c>
      <c r="K33" s="3">
        <v>3.7712943389174498</v>
      </c>
      <c r="M33" s="2">
        <v>201212</v>
      </c>
      <c r="N33">
        <v>3.7067427506511299</v>
      </c>
      <c r="P33" s="2">
        <v>201212</v>
      </c>
      <c r="Q33">
        <v>3.6008819534771201</v>
      </c>
    </row>
    <row r="34" spans="2:17">
      <c r="B34" s="1">
        <v>41214</v>
      </c>
      <c r="C34" s="3">
        <v>3.8438019152417602</v>
      </c>
      <c r="D34">
        <v>3.7766769136976399</v>
      </c>
      <c r="E34">
        <v>3.66600530010186</v>
      </c>
      <c r="F34" s="3">
        <f t="shared" si="0"/>
        <v>6.7125001544120266E-2</v>
      </c>
      <c r="G34" s="3">
        <f t="shared" si="1"/>
        <v>0.17779661513990019</v>
      </c>
      <c r="H34" s="3">
        <f t="shared" si="2"/>
        <v>0.11067161359577993</v>
      </c>
      <c r="I34" s="3"/>
      <c r="J34" s="2">
        <v>201211</v>
      </c>
      <c r="K34" s="3">
        <v>3.8438019152417602</v>
      </c>
      <c r="M34" s="2">
        <v>201211</v>
      </c>
      <c r="N34">
        <v>3.7766769136976399</v>
      </c>
      <c r="P34" s="2">
        <v>201211</v>
      </c>
      <c r="Q34">
        <v>3.66600530010186</v>
      </c>
    </row>
    <row r="35" spans="2:17">
      <c r="B35" s="1">
        <v>41183</v>
      </c>
      <c r="C35" s="3">
        <v>3.9068577604733399</v>
      </c>
      <c r="D35">
        <v>3.8501000264524801</v>
      </c>
      <c r="E35">
        <v>3.76941401476792</v>
      </c>
      <c r="F35" s="3">
        <f t="shared" si="0"/>
        <v>5.6757734020859818E-2</v>
      </c>
      <c r="G35" s="3">
        <f t="shared" si="1"/>
        <v>0.13744374570541984</v>
      </c>
      <c r="H35" s="3">
        <f t="shared" si="2"/>
        <v>8.0686011684560022E-2</v>
      </c>
      <c r="I35" s="3"/>
      <c r="J35" s="2">
        <v>201210</v>
      </c>
      <c r="K35" s="3">
        <v>3.9068577604733399</v>
      </c>
      <c r="M35" s="2">
        <v>201210</v>
      </c>
      <c r="N35">
        <v>3.8501000264524801</v>
      </c>
      <c r="P35" s="2">
        <v>201210</v>
      </c>
      <c r="Q35">
        <v>3.76941401476792</v>
      </c>
    </row>
    <row r="36" spans="2:17">
      <c r="B36" s="1">
        <v>41153</v>
      </c>
      <c r="C36" s="3">
        <v>3.9046640497970602</v>
      </c>
      <c r="D36">
        <v>3.89321189457148</v>
      </c>
      <c r="E36">
        <v>3.8080130355025599</v>
      </c>
      <c r="F36" s="3">
        <f t="shared" si="0"/>
        <v>1.1452155225580185E-2</v>
      </c>
      <c r="G36" s="3">
        <f t="shared" si="1"/>
        <v>9.6651014294500293E-2</v>
      </c>
      <c r="H36" s="3">
        <f t="shared" si="2"/>
        <v>8.5198859068920108E-2</v>
      </c>
      <c r="I36" s="3"/>
      <c r="J36" s="2">
        <v>201209</v>
      </c>
      <c r="K36" s="3">
        <v>3.9046640497970602</v>
      </c>
      <c r="M36" s="2">
        <v>201209</v>
      </c>
      <c r="N36">
        <v>3.89321189457148</v>
      </c>
      <c r="P36" s="2">
        <v>201209</v>
      </c>
      <c r="Q36">
        <v>3.8080130355025599</v>
      </c>
    </row>
    <row r="37" spans="2:17">
      <c r="B37" s="1">
        <v>41122</v>
      </c>
      <c r="C37" s="3">
        <v>4.0166492504542601</v>
      </c>
      <c r="D37">
        <v>3.9283358679298299</v>
      </c>
      <c r="E37">
        <v>3.8967368952954198</v>
      </c>
      <c r="F37" s="3">
        <f t="shared" si="0"/>
        <v>8.8313382524430217E-2</v>
      </c>
      <c r="G37" s="3">
        <f t="shared" si="1"/>
        <v>0.11991235515884036</v>
      </c>
      <c r="H37" s="3">
        <f t="shared" si="2"/>
        <v>3.1598972634410138E-2</v>
      </c>
      <c r="I37" s="3"/>
      <c r="J37" s="2">
        <v>201208</v>
      </c>
      <c r="K37" s="3">
        <v>4.0166492504542601</v>
      </c>
      <c r="M37" s="2">
        <v>201208</v>
      </c>
      <c r="N37">
        <v>3.9283358679298299</v>
      </c>
      <c r="P37" s="2">
        <v>201208</v>
      </c>
      <c r="Q37">
        <v>3.8967368952954198</v>
      </c>
    </row>
    <row r="38" spans="2:17">
      <c r="B38" s="1">
        <v>41091</v>
      </c>
      <c r="C38" s="3">
        <v>4.1134066376003604</v>
      </c>
      <c r="D38">
        <v>4.0673812628740302</v>
      </c>
      <c r="E38">
        <v>4.0212319104949703</v>
      </c>
      <c r="F38" s="3">
        <f t="shared" si="0"/>
        <v>4.602537472633017E-2</v>
      </c>
      <c r="G38" s="3">
        <f t="shared" si="1"/>
        <v>9.2174727105390097E-2</v>
      </c>
      <c r="H38" s="3">
        <f t="shared" si="2"/>
        <v>4.6149352379059927E-2</v>
      </c>
      <c r="I38" s="3"/>
      <c r="J38" s="2">
        <v>201207</v>
      </c>
      <c r="K38" s="3">
        <v>4.1134066376003604</v>
      </c>
      <c r="M38" s="2">
        <v>201207</v>
      </c>
      <c r="N38">
        <v>4.0673812628740302</v>
      </c>
      <c r="P38" s="2">
        <v>201207</v>
      </c>
      <c r="Q38">
        <v>4.0212319104949703</v>
      </c>
    </row>
    <row r="39" spans="2:17">
      <c r="B39" s="1">
        <v>41061</v>
      </c>
      <c r="C39" s="3">
        <v>4.2717858040441303</v>
      </c>
      <c r="D39">
        <v>4.1742711025533499</v>
      </c>
      <c r="E39">
        <v>4.1150808949727002</v>
      </c>
      <c r="F39" s="3">
        <f t="shared" si="0"/>
        <v>9.7514701490780453E-2</v>
      </c>
      <c r="G39" s="3">
        <f t="shared" si="1"/>
        <v>0.15670490907143009</v>
      </c>
      <c r="H39" s="3">
        <f t="shared" si="2"/>
        <v>5.9190207580649634E-2</v>
      </c>
      <c r="I39" s="3"/>
      <c r="J39" s="2">
        <v>201206</v>
      </c>
      <c r="K39" s="3">
        <v>4.2717858040441303</v>
      </c>
      <c r="M39" s="2">
        <v>201206</v>
      </c>
      <c r="N39">
        <v>4.1742711025533499</v>
      </c>
      <c r="P39" s="2">
        <v>201206</v>
      </c>
      <c r="Q39">
        <v>4.1150808949727002</v>
      </c>
    </row>
    <row r="40" spans="2:17">
      <c r="B40" s="1">
        <v>41030</v>
      </c>
      <c r="C40" s="3">
        <v>4.2741827274406496</v>
      </c>
      <c r="D40">
        <v>4.1919402122088298</v>
      </c>
      <c r="E40">
        <v>4.1369562999131499</v>
      </c>
      <c r="F40" s="3">
        <f t="shared" si="0"/>
        <v>8.2242515231819802E-2</v>
      </c>
      <c r="G40" s="3">
        <f t="shared" si="1"/>
        <v>0.13722642752749969</v>
      </c>
      <c r="H40" s="3">
        <f t="shared" si="2"/>
        <v>5.4983912295679893E-2</v>
      </c>
      <c r="I40" s="3"/>
      <c r="J40" s="2">
        <v>201205</v>
      </c>
      <c r="K40" s="3">
        <v>4.2741827274406496</v>
      </c>
      <c r="M40" s="2">
        <v>201205</v>
      </c>
      <c r="N40">
        <v>4.1919402122088298</v>
      </c>
      <c r="P40" s="2">
        <v>201205</v>
      </c>
      <c r="Q40">
        <v>4.1369562999131499</v>
      </c>
    </row>
    <row r="41" spans="2:17">
      <c r="B41" s="1">
        <v>41000</v>
      </c>
      <c r="C41" s="3">
        <v>4.20685755043512</v>
      </c>
      <c r="D41">
        <v>4.1755324481387701</v>
      </c>
      <c r="E41">
        <v>4.0808588427727797</v>
      </c>
      <c r="F41" s="3">
        <f t="shared" si="0"/>
        <v>3.1325102296349883E-2</v>
      </c>
      <c r="G41" s="3">
        <f t="shared" si="1"/>
        <v>0.12599870766234034</v>
      </c>
      <c r="H41" s="3">
        <f t="shared" si="2"/>
        <v>9.4673605365990454E-2</v>
      </c>
      <c r="I41" s="3"/>
      <c r="J41" s="2">
        <v>201204</v>
      </c>
      <c r="K41" s="3">
        <v>4.20685755043512</v>
      </c>
      <c r="M41" s="2">
        <v>201204</v>
      </c>
      <c r="N41">
        <v>4.1755324481387701</v>
      </c>
      <c r="P41" s="2">
        <v>201204</v>
      </c>
      <c r="Q41">
        <v>4.0808588427727797</v>
      </c>
    </row>
    <row r="42" spans="2:17">
      <c r="B42" s="1">
        <v>40969</v>
      </c>
      <c r="C42" s="3">
        <v>4.2104495801617201</v>
      </c>
      <c r="D42">
        <v>4.1738846766960496</v>
      </c>
      <c r="E42">
        <v>4.0802734374255003</v>
      </c>
      <c r="F42" s="3">
        <f t="shared" si="0"/>
        <v>3.656490346567054E-2</v>
      </c>
      <c r="G42" s="3">
        <f t="shared" si="1"/>
        <v>0.1301761427362198</v>
      </c>
      <c r="H42" s="3">
        <f t="shared" si="2"/>
        <v>9.3611239270549262E-2</v>
      </c>
      <c r="I42" s="3"/>
      <c r="J42" s="2">
        <v>201203</v>
      </c>
      <c r="K42" s="3">
        <v>4.2104495801617201</v>
      </c>
      <c r="M42" s="2">
        <v>201203</v>
      </c>
      <c r="N42">
        <v>4.1738846766960496</v>
      </c>
      <c r="P42" s="2">
        <v>201203</v>
      </c>
      <c r="Q42">
        <v>4.0802734374255003</v>
      </c>
    </row>
    <row r="43" spans="2:17">
      <c r="B43" s="1">
        <v>40940</v>
      </c>
      <c r="C43" s="3">
        <v>4.2929626779714498</v>
      </c>
      <c r="D43">
        <v>4.2395877951698502</v>
      </c>
      <c r="E43">
        <v>4.1774807779790102</v>
      </c>
      <c r="F43" s="3">
        <f t="shared" si="0"/>
        <v>5.3374882801599632E-2</v>
      </c>
      <c r="G43" s="3">
        <f t="shared" si="1"/>
        <v>0.11548189999243963</v>
      </c>
      <c r="H43" s="3">
        <f t="shared" si="2"/>
        <v>6.2107017190839997E-2</v>
      </c>
      <c r="I43" s="3"/>
      <c r="J43" s="2">
        <v>201202</v>
      </c>
      <c r="K43" s="3">
        <v>4.2929626779714498</v>
      </c>
      <c r="M43" s="2">
        <v>201202</v>
      </c>
      <c r="N43">
        <v>4.2395877951698502</v>
      </c>
      <c r="P43" s="2">
        <v>201202</v>
      </c>
      <c r="Q43">
        <v>4.1774807779790102</v>
      </c>
    </row>
    <row r="44" spans="2:17">
      <c r="B44" s="1">
        <v>40909</v>
      </c>
      <c r="C44" s="3">
        <v>4.3698797873502997</v>
      </c>
      <c r="D44">
        <v>4.35415319838045</v>
      </c>
      <c r="E44">
        <v>4.24263754084759</v>
      </c>
      <c r="F44" s="3">
        <f t="shared" si="0"/>
        <v>1.5726588969849686E-2</v>
      </c>
      <c r="G44" s="3">
        <f t="shared" si="1"/>
        <v>0.12724224650270965</v>
      </c>
      <c r="H44" s="3">
        <f t="shared" si="2"/>
        <v>0.11151565753285997</v>
      </c>
      <c r="I44" s="3"/>
      <c r="J44" s="2">
        <v>201201</v>
      </c>
      <c r="K44" s="3">
        <v>4.3698797873502997</v>
      </c>
      <c r="M44" s="2">
        <v>201201</v>
      </c>
      <c r="N44">
        <v>4.35415319838045</v>
      </c>
      <c r="P44" s="2">
        <v>201201</v>
      </c>
      <c r="Q44">
        <v>4.24263754084759</v>
      </c>
    </row>
    <row r="45" spans="2:17">
      <c r="B45" s="1">
        <v>40878</v>
      </c>
      <c r="C45" s="3">
        <v>4.3745424452164796</v>
      </c>
      <c r="D45">
        <v>4.3129432381052997</v>
      </c>
      <c r="E45">
        <v>4.2407495593322801</v>
      </c>
      <c r="F45" s="3">
        <f t="shared" si="0"/>
        <v>6.1599207111179943E-2</v>
      </c>
      <c r="G45" s="3">
        <f t="shared" si="1"/>
        <v>0.13379288588419946</v>
      </c>
      <c r="H45" s="3">
        <f t="shared" si="2"/>
        <v>7.2193678773019521E-2</v>
      </c>
      <c r="I45" s="3"/>
      <c r="J45" s="2">
        <v>201112</v>
      </c>
      <c r="K45" s="3">
        <v>4.3745424452164796</v>
      </c>
      <c r="M45" s="2">
        <v>201112</v>
      </c>
      <c r="N45">
        <v>4.3129432381052997</v>
      </c>
      <c r="P45" s="2">
        <v>201112</v>
      </c>
      <c r="Q45">
        <v>4.2407495593322801</v>
      </c>
    </row>
    <row r="46" spans="2:17">
      <c r="B46" s="1">
        <v>40848</v>
      </c>
      <c r="C46" s="3">
        <v>4.3907712871102804</v>
      </c>
      <c r="D46">
        <v>4.4128008395489404</v>
      </c>
      <c r="E46">
        <v>4.29695421139927</v>
      </c>
      <c r="F46" s="3">
        <f t="shared" si="0"/>
        <v>-2.2029552438660005E-2</v>
      </c>
      <c r="G46" s="3">
        <f t="shared" si="1"/>
        <v>9.3817075711010389E-2</v>
      </c>
      <c r="H46" s="3">
        <f t="shared" si="2"/>
        <v>0.11584662814967039</v>
      </c>
      <c r="I46" s="3"/>
      <c r="J46" s="2">
        <v>201111</v>
      </c>
      <c r="K46" s="3">
        <v>4.3907712871102804</v>
      </c>
      <c r="M46" s="2">
        <v>201111</v>
      </c>
      <c r="N46">
        <v>4.4128008395489404</v>
      </c>
      <c r="P46" s="2">
        <v>201111</v>
      </c>
      <c r="Q46">
        <v>4.29695421139927</v>
      </c>
    </row>
    <row r="47" spans="2:17">
      <c r="B47" s="1">
        <v>40817</v>
      </c>
      <c r="C47" s="3">
        <v>4.53391876545051</v>
      </c>
      <c r="D47">
        <v>4.5119397329930804</v>
      </c>
      <c r="E47">
        <v>4.4120909451936097</v>
      </c>
      <c r="F47" s="3">
        <f t="shared" si="0"/>
        <v>2.1979032457429604E-2</v>
      </c>
      <c r="G47" s="3">
        <f t="shared" si="1"/>
        <v>0.12182782025690031</v>
      </c>
      <c r="H47" s="3">
        <f t="shared" si="2"/>
        <v>9.9848787799470706E-2</v>
      </c>
      <c r="I47" s="3"/>
      <c r="J47" s="2">
        <v>201110</v>
      </c>
      <c r="K47" s="3">
        <v>4.53391876545051</v>
      </c>
      <c r="M47" s="2">
        <v>201110</v>
      </c>
      <c r="N47">
        <v>4.5119397329930804</v>
      </c>
      <c r="P47" s="2">
        <v>201110</v>
      </c>
      <c r="Q47">
        <v>4.4120909451936097</v>
      </c>
    </row>
    <row r="48" spans="2:17">
      <c r="B48" s="1">
        <v>40787</v>
      </c>
      <c r="C48" s="3">
        <v>4.7813057768307203</v>
      </c>
      <c r="D48">
        <v>4.8091767391416802</v>
      </c>
      <c r="E48">
        <v>4.6637207374316496</v>
      </c>
      <c r="F48" s="3">
        <f t="shared" si="0"/>
        <v>-2.7870962310959868E-2</v>
      </c>
      <c r="G48" s="3">
        <f t="shared" si="1"/>
        <v>0.11758503939907072</v>
      </c>
      <c r="H48" s="3">
        <f t="shared" si="2"/>
        <v>0.14545600171003059</v>
      </c>
      <c r="I48" s="3"/>
      <c r="J48" s="2">
        <v>201109</v>
      </c>
      <c r="K48" s="3">
        <v>4.7813057768307203</v>
      </c>
      <c r="M48" s="2">
        <v>201109</v>
      </c>
      <c r="N48">
        <v>4.8091767391416802</v>
      </c>
      <c r="P48" s="2">
        <v>201109</v>
      </c>
      <c r="Q48">
        <v>4.6637207374316496</v>
      </c>
    </row>
    <row r="49" spans="2:17">
      <c r="B49" s="1">
        <v>40756</v>
      </c>
      <c r="C49" s="3">
        <v>4.8776134942487097</v>
      </c>
      <c r="D49">
        <v>4.8216356808009202</v>
      </c>
      <c r="E49">
        <v>4.8136284777767102</v>
      </c>
      <c r="F49" s="3">
        <f t="shared" si="0"/>
        <v>5.5977813447789515E-2</v>
      </c>
      <c r="G49" s="3">
        <f t="shared" si="1"/>
        <v>6.3985016471999501E-2</v>
      </c>
      <c r="H49" s="3">
        <f t="shared" si="2"/>
        <v>8.0072030242099856E-3</v>
      </c>
      <c r="I49" s="3"/>
      <c r="J49" s="2">
        <v>201108</v>
      </c>
      <c r="K49" s="3">
        <v>4.8776134942487097</v>
      </c>
      <c r="M49" s="2">
        <v>201108</v>
      </c>
      <c r="N49">
        <v>4.8216356808009202</v>
      </c>
      <c r="P49" s="2">
        <v>201108</v>
      </c>
      <c r="Q49">
        <v>4.8136284777767102</v>
      </c>
    </row>
    <row r="50" spans="2:17">
      <c r="B50" s="1">
        <v>40725</v>
      </c>
      <c r="C50" s="3">
        <v>4.9526677145618603</v>
      </c>
      <c r="D50">
        <v>4.9025409869560699</v>
      </c>
      <c r="E50">
        <v>4.8851768254937804</v>
      </c>
      <c r="F50" s="3">
        <f t="shared" si="0"/>
        <v>5.01267276057904E-2</v>
      </c>
      <c r="G50" s="3">
        <f t="shared" si="1"/>
        <v>6.7490889068079873E-2</v>
      </c>
      <c r="H50" s="3">
        <f t="shared" si="2"/>
        <v>1.7364161462289474E-2</v>
      </c>
      <c r="I50" s="3"/>
      <c r="J50" s="2">
        <v>201107</v>
      </c>
      <c r="K50" s="3">
        <v>4.9526677145618603</v>
      </c>
      <c r="M50" s="2">
        <v>201107</v>
      </c>
      <c r="N50">
        <v>4.9025409869560699</v>
      </c>
      <c r="P50" s="2">
        <v>201107</v>
      </c>
      <c r="Q50">
        <v>4.8851768254937804</v>
      </c>
    </row>
    <row r="51" spans="2:17">
      <c r="B51" s="1">
        <v>40695</v>
      </c>
      <c r="C51" s="3">
        <v>5.1199094917600201</v>
      </c>
      <c r="D51">
        <v>5.1432481699690102</v>
      </c>
      <c r="E51">
        <v>5.0104042533752899</v>
      </c>
      <c r="F51" s="3">
        <f t="shared" si="0"/>
        <v>-2.333867820899016E-2</v>
      </c>
      <c r="G51" s="3">
        <f t="shared" si="1"/>
        <v>0.10950523838473014</v>
      </c>
      <c r="H51" s="3">
        <f t="shared" si="2"/>
        <v>0.1328439165937203</v>
      </c>
      <c r="I51" s="3"/>
      <c r="J51" s="2">
        <v>201106</v>
      </c>
      <c r="K51" s="3">
        <v>5.1199094917600201</v>
      </c>
      <c r="M51" s="2">
        <v>201106</v>
      </c>
      <c r="N51">
        <v>5.1432481699690102</v>
      </c>
      <c r="P51" s="2">
        <v>201106</v>
      </c>
      <c r="Q51">
        <v>5.0104042533752899</v>
      </c>
    </row>
    <row r="52" spans="2:17">
      <c r="B52" s="1">
        <v>40664</v>
      </c>
      <c r="C52" s="3">
        <v>5.1498995538460202</v>
      </c>
      <c r="D52">
        <v>5.1698548003222404</v>
      </c>
      <c r="E52">
        <v>5.04070405569085</v>
      </c>
      <c r="F52" s="3">
        <f t="shared" si="0"/>
        <v>-1.9955246476220267E-2</v>
      </c>
      <c r="G52" s="3">
        <f t="shared" si="1"/>
        <v>0.10919549815517016</v>
      </c>
      <c r="H52" s="3">
        <f t="shared" si="2"/>
        <v>0.12915074463139042</v>
      </c>
      <c r="I52" s="3"/>
      <c r="J52" s="2">
        <v>201105</v>
      </c>
      <c r="K52" s="3">
        <v>5.1498995538460202</v>
      </c>
      <c r="M52" s="2">
        <v>201105</v>
      </c>
      <c r="N52">
        <v>5.1698548003222404</v>
      </c>
      <c r="P52" s="2">
        <v>201105</v>
      </c>
      <c r="Q52">
        <v>5.04070405569085</v>
      </c>
    </row>
    <row r="53" spans="2:17">
      <c r="B53" s="1">
        <v>40634</v>
      </c>
      <c r="C53" s="3">
        <v>5.08237216688544</v>
      </c>
      <c r="D53">
        <v>5.1694034368247701</v>
      </c>
      <c r="E53">
        <v>5.0454312571468103</v>
      </c>
      <c r="F53" s="3">
        <f t="shared" si="0"/>
        <v>-8.703126993933008E-2</v>
      </c>
      <c r="G53" s="3">
        <f t="shared" si="1"/>
        <v>3.6940909738629735E-2</v>
      </c>
      <c r="H53" s="3">
        <f t="shared" si="2"/>
        <v>0.12397217967795982</v>
      </c>
      <c r="I53" s="3"/>
      <c r="J53" s="2">
        <v>201104</v>
      </c>
      <c r="K53" s="3">
        <v>5.08237216688544</v>
      </c>
      <c r="M53" s="2">
        <v>201104</v>
      </c>
      <c r="N53">
        <v>5.1694034368247701</v>
      </c>
      <c r="P53" s="2">
        <v>201104</v>
      </c>
      <c r="Q53">
        <v>5.0454312571468103</v>
      </c>
    </row>
    <row r="54" spans="2:17">
      <c r="B54" s="1">
        <v>40603</v>
      </c>
      <c r="C54" s="3">
        <v>4.8852068397221498</v>
      </c>
      <c r="D54">
        <v>5.0209223847428399</v>
      </c>
      <c r="E54">
        <v>4.8998185681194801</v>
      </c>
      <c r="F54" s="3">
        <f t="shared" si="0"/>
        <v>-0.13571554502069016</v>
      </c>
      <c r="G54" s="3">
        <f t="shared" si="1"/>
        <v>-1.4611728397330381E-2</v>
      </c>
      <c r="H54" s="3">
        <f t="shared" si="2"/>
        <v>0.12110381662335978</v>
      </c>
      <c r="I54" s="3"/>
      <c r="J54" s="2">
        <v>201103</v>
      </c>
      <c r="K54" s="3">
        <v>4.8852068397221498</v>
      </c>
      <c r="M54" s="2">
        <v>201103</v>
      </c>
      <c r="N54">
        <v>5.0209223847428399</v>
      </c>
      <c r="P54" s="2">
        <v>201103</v>
      </c>
      <c r="Q54">
        <v>4.8998185681194801</v>
      </c>
    </row>
    <row r="55" spans="2:17">
      <c r="B55" s="1">
        <v>40575</v>
      </c>
      <c r="C55" s="3">
        <v>4.7267547163978296</v>
      </c>
      <c r="D55">
        <v>4.88279657947872</v>
      </c>
      <c r="E55">
        <v>4.7254339496838798</v>
      </c>
      <c r="F55" s="3">
        <f t="shared" si="0"/>
        <v>-0.15604186308089041</v>
      </c>
      <c r="G55" s="3">
        <f t="shared" si="1"/>
        <v>1.3207667139498724E-3</v>
      </c>
      <c r="H55" s="3">
        <f t="shared" si="2"/>
        <v>0.15736262979484028</v>
      </c>
      <c r="I55" s="3"/>
      <c r="J55" s="2">
        <v>201102</v>
      </c>
      <c r="K55" s="3">
        <v>4.7267547163978296</v>
      </c>
      <c r="M55" s="2">
        <v>201102</v>
      </c>
      <c r="N55">
        <v>4.88279657947872</v>
      </c>
      <c r="P55" s="2">
        <v>201102</v>
      </c>
      <c r="Q55">
        <v>4.7254339496838798</v>
      </c>
    </row>
    <row r="56" spans="2:17">
      <c r="B56" s="1">
        <v>40544</v>
      </c>
      <c r="C56" s="3">
        <v>4.5506005778449801</v>
      </c>
      <c r="D56">
        <v>4.5932169000684402</v>
      </c>
      <c r="E56">
        <v>4.5108626351101497</v>
      </c>
      <c r="F56" s="3">
        <f t="shared" si="0"/>
        <v>-4.2616322223460124E-2</v>
      </c>
      <c r="G56" s="3">
        <f t="shared" si="1"/>
        <v>3.9737942734830334E-2</v>
      </c>
      <c r="H56" s="3">
        <f t="shared" si="2"/>
        <v>8.2354264958290457E-2</v>
      </c>
      <c r="I56" s="3"/>
      <c r="J56" s="2">
        <v>201101</v>
      </c>
      <c r="K56" s="3">
        <v>4.5506005778449801</v>
      </c>
      <c r="M56" s="2">
        <v>201101</v>
      </c>
      <c r="N56">
        <v>4.5932169000684402</v>
      </c>
      <c r="P56" s="2">
        <v>201101</v>
      </c>
      <c r="Q56">
        <v>4.5108626351101497</v>
      </c>
    </row>
    <row r="57" spans="2:17">
      <c r="B57" s="1">
        <v>40513</v>
      </c>
      <c r="C57" s="3">
        <v>4.5046216147780003</v>
      </c>
      <c r="D57">
        <v>4.49979665349173</v>
      </c>
      <c r="E57">
        <v>4.4278496850137898</v>
      </c>
      <c r="F57" s="3">
        <f t="shared" si="0"/>
        <v>4.8249612862703017E-3</v>
      </c>
      <c r="G57" s="3">
        <f t="shared" si="1"/>
        <v>7.6771929764210434E-2</v>
      </c>
      <c r="H57" s="3">
        <f t="shared" si="2"/>
        <v>7.1946968477940132E-2</v>
      </c>
      <c r="I57" s="3"/>
      <c r="J57" s="2">
        <v>201012</v>
      </c>
      <c r="K57" s="3">
        <v>4.5046216147780003</v>
      </c>
      <c r="M57" s="2">
        <v>201012</v>
      </c>
      <c r="N57">
        <v>4.49979665349173</v>
      </c>
      <c r="P57" s="2">
        <v>201012</v>
      </c>
      <c r="Q57">
        <v>4.4278496850137898</v>
      </c>
    </row>
    <row r="58" spans="2:17">
      <c r="B58" s="1">
        <v>40483</v>
      </c>
      <c r="C58" s="3">
        <v>4.5985063249435498</v>
      </c>
      <c r="D58">
        <v>4.5669587406600298</v>
      </c>
      <c r="E58">
        <v>4.4832161092434104</v>
      </c>
      <c r="F58" s="3">
        <f t="shared" si="0"/>
        <v>3.1547584283520003E-2</v>
      </c>
      <c r="G58" s="3">
        <f t="shared" si="1"/>
        <v>0.11529021570013942</v>
      </c>
      <c r="H58" s="3">
        <f t="shared" si="2"/>
        <v>8.3742631416619417E-2</v>
      </c>
      <c r="I58" s="3"/>
      <c r="J58" s="2">
        <v>201011</v>
      </c>
      <c r="K58" s="3">
        <v>4.5985063249435498</v>
      </c>
      <c r="M58" s="2">
        <v>201011</v>
      </c>
      <c r="N58">
        <v>4.5669587406600298</v>
      </c>
      <c r="P58" s="2">
        <v>201011</v>
      </c>
      <c r="Q58">
        <v>4.4832161092434104</v>
      </c>
    </row>
    <row r="59" spans="2:17">
      <c r="B59" s="1">
        <v>40452</v>
      </c>
      <c r="C59" s="3">
        <v>4.6682073864181399</v>
      </c>
      <c r="D59">
        <v>4.6855844226563796</v>
      </c>
      <c r="E59">
        <v>4.5471599377957004</v>
      </c>
      <c r="F59" s="3">
        <f t="shared" si="0"/>
        <v>-1.7377036238239718E-2</v>
      </c>
      <c r="G59" s="3">
        <f t="shared" si="1"/>
        <v>0.12104744862243955</v>
      </c>
      <c r="H59" s="3">
        <f t="shared" si="2"/>
        <v>0.13842448486067926</v>
      </c>
      <c r="I59" s="3"/>
      <c r="J59" s="2">
        <v>201010</v>
      </c>
      <c r="K59" s="3">
        <v>4.6682073864181399</v>
      </c>
      <c r="M59" s="2">
        <v>201010</v>
      </c>
      <c r="N59">
        <v>4.6855844226563796</v>
      </c>
      <c r="P59" s="2">
        <v>201010</v>
      </c>
      <c r="Q59">
        <v>4.5471599377957004</v>
      </c>
    </row>
    <row r="60" spans="2:17">
      <c r="B60" s="1">
        <v>40422</v>
      </c>
      <c r="C60" s="3">
        <v>4.7784968650707302</v>
      </c>
      <c r="D60">
        <v>4.7254740127578598</v>
      </c>
      <c r="E60">
        <v>4.6642806637900396</v>
      </c>
      <c r="F60" s="3">
        <f t="shared" si="0"/>
        <v>5.3022852312870405E-2</v>
      </c>
      <c r="G60" s="3">
        <f t="shared" si="1"/>
        <v>0.11421620128069065</v>
      </c>
      <c r="H60" s="3">
        <f t="shared" si="2"/>
        <v>6.1193348967820249E-2</v>
      </c>
      <c r="I60" s="3"/>
      <c r="J60" s="2">
        <v>201009</v>
      </c>
      <c r="K60" s="3">
        <v>4.7784968650707302</v>
      </c>
      <c r="M60" s="2">
        <v>201009</v>
      </c>
      <c r="N60">
        <v>4.7254740127578598</v>
      </c>
      <c r="P60" s="2">
        <v>201009</v>
      </c>
      <c r="Q60">
        <v>4.6642806637900396</v>
      </c>
    </row>
    <row r="61" spans="2:17">
      <c r="B61" s="1">
        <v>40391</v>
      </c>
      <c r="C61" s="3">
        <v>4.9328216324493797</v>
      </c>
      <c r="D61">
        <v>4.9244902601974996</v>
      </c>
      <c r="E61">
        <v>4.8223373259600999</v>
      </c>
      <c r="F61" s="3">
        <f t="shared" si="0"/>
        <v>8.3313722518800759E-3</v>
      </c>
      <c r="G61" s="3">
        <f t="shared" si="1"/>
        <v>0.11048430648927976</v>
      </c>
      <c r="H61" s="3">
        <f t="shared" si="2"/>
        <v>0.10215293423739968</v>
      </c>
      <c r="I61" s="3"/>
      <c r="J61" s="2">
        <v>201008</v>
      </c>
      <c r="K61" s="3">
        <v>4.9328216324493797</v>
      </c>
      <c r="M61" s="2">
        <v>201008</v>
      </c>
      <c r="N61">
        <v>4.9244902601974996</v>
      </c>
      <c r="P61" s="2">
        <v>201008</v>
      </c>
      <c r="Q61">
        <v>4.8223373259600999</v>
      </c>
    </row>
    <row r="62" spans="2:17">
      <c r="B62" s="1">
        <v>40360</v>
      </c>
      <c r="C62" s="3">
        <v>5.1273415817818098</v>
      </c>
      <c r="D62">
        <v>5.1503091070801101</v>
      </c>
      <c r="E62">
        <v>5.0418640522823699</v>
      </c>
      <c r="F62" s="3">
        <f t="shared" si="0"/>
        <v>-2.2967525298300373E-2</v>
      </c>
      <c r="G62" s="3">
        <f t="shared" si="1"/>
        <v>8.5477529499439875E-2</v>
      </c>
      <c r="H62" s="3">
        <f t="shared" si="2"/>
        <v>0.10844505479774025</v>
      </c>
      <c r="I62" s="3"/>
      <c r="J62" s="2">
        <v>201007</v>
      </c>
      <c r="K62" s="3">
        <v>5.1273415817818098</v>
      </c>
      <c r="M62" s="2">
        <v>201007</v>
      </c>
      <c r="N62">
        <v>5.1503091070801101</v>
      </c>
      <c r="P62" s="2">
        <v>201007</v>
      </c>
      <c r="Q62">
        <v>5.0418640522823699</v>
      </c>
    </row>
    <row r="63" spans="2:17">
      <c r="B63" s="1">
        <v>40330</v>
      </c>
      <c r="C63" s="3">
        <v>5.2323143272491004</v>
      </c>
      <c r="D63">
        <v>5.2186106259467904</v>
      </c>
      <c r="E63">
        <v>5.2024558900644298</v>
      </c>
      <c r="F63" s="3">
        <f t="shared" si="0"/>
        <v>1.3703701302310023E-2</v>
      </c>
      <c r="G63" s="3">
        <f t="shared" si="1"/>
        <v>2.9858437184670628E-2</v>
      </c>
      <c r="H63" s="3">
        <f t="shared" si="2"/>
        <v>1.6154735882360605E-2</v>
      </c>
      <c r="I63" s="3"/>
      <c r="J63" s="2">
        <v>201006</v>
      </c>
      <c r="K63" s="3">
        <v>5.2323143272491004</v>
      </c>
      <c r="M63" s="2">
        <v>201006</v>
      </c>
      <c r="N63">
        <v>5.2186106259467904</v>
      </c>
      <c r="P63" s="2">
        <v>201006</v>
      </c>
      <c r="Q63">
        <v>5.2024558900644298</v>
      </c>
    </row>
    <row r="64" spans="2:17">
      <c r="B64" s="1">
        <v>40299</v>
      </c>
      <c r="C64" s="3">
        <v>5.2280426826660102</v>
      </c>
      <c r="D64">
        <v>5.2515156491826298</v>
      </c>
      <c r="E64">
        <v>5.1846067204583699</v>
      </c>
      <c r="F64" s="3">
        <f t="shared" si="0"/>
        <v>-2.3472966516619564E-2</v>
      </c>
      <c r="G64" s="3">
        <f t="shared" si="1"/>
        <v>4.3435962207640344E-2</v>
      </c>
      <c r="H64" s="3">
        <f t="shared" si="2"/>
        <v>6.6908928724259908E-2</v>
      </c>
      <c r="I64" s="3"/>
      <c r="J64" s="2">
        <v>201005</v>
      </c>
      <c r="K64" s="3">
        <v>5.2280426826660102</v>
      </c>
      <c r="M64" s="2">
        <v>201005</v>
      </c>
      <c r="N64">
        <v>5.2515156491826298</v>
      </c>
      <c r="P64" s="2">
        <v>201005</v>
      </c>
      <c r="Q64">
        <v>5.1846067204583699</v>
      </c>
    </row>
    <row r="65" spans="2:17">
      <c r="B65" s="1">
        <v>40269</v>
      </c>
      <c r="C65" s="3">
        <v>5.1672602121717199</v>
      </c>
      <c r="D65">
        <v>5.2474457611100798</v>
      </c>
      <c r="E65">
        <v>5.1418518864171796</v>
      </c>
      <c r="F65" s="3">
        <f t="shared" si="0"/>
        <v>-8.018554893835983E-2</v>
      </c>
      <c r="G65" s="3">
        <f t="shared" si="1"/>
        <v>2.5408325754540328E-2</v>
      </c>
      <c r="H65" s="3">
        <f t="shared" si="2"/>
        <v>0.10559387469290016</v>
      </c>
      <c r="I65" s="3"/>
      <c r="J65" s="2">
        <v>201004</v>
      </c>
      <c r="K65" s="3">
        <v>5.1672602121717199</v>
      </c>
      <c r="M65" s="2">
        <v>201004</v>
      </c>
      <c r="N65">
        <v>5.2474457611100798</v>
      </c>
      <c r="P65" s="2">
        <v>201004</v>
      </c>
      <c r="Q65">
        <v>5.1418518864171796</v>
      </c>
    </row>
    <row r="66" spans="2:17">
      <c r="B66" s="1">
        <v>40238</v>
      </c>
      <c r="C66" s="3">
        <v>5.1535795383054701</v>
      </c>
      <c r="D66">
        <v>5.2669806276226199</v>
      </c>
      <c r="E66">
        <v>5.1554862888020097</v>
      </c>
      <c r="F66" s="3">
        <f t="shared" si="0"/>
        <v>-0.11340108931714976</v>
      </c>
      <c r="G66" s="3">
        <f t="shared" si="1"/>
        <v>-1.9067504965395443E-3</v>
      </c>
      <c r="H66" s="3">
        <f t="shared" si="2"/>
        <v>0.11149433882061022</v>
      </c>
      <c r="I66" s="3"/>
      <c r="J66" s="2">
        <v>201003</v>
      </c>
      <c r="K66" s="3">
        <v>5.1535795383054701</v>
      </c>
      <c r="M66" s="2">
        <v>201003</v>
      </c>
      <c r="N66">
        <v>5.2669806276226199</v>
      </c>
      <c r="P66" s="2">
        <v>201003</v>
      </c>
      <c r="Q66">
        <v>5.1554862888020097</v>
      </c>
    </row>
    <row r="67" spans="2:17">
      <c r="B67" s="1">
        <v>40210</v>
      </c>
      <c r="C67" s="3">
        <v>5.0668958419802399</v>
      </c>
      <c r="D67">
        <v>5.1137918316427404</v>
      </c>
      <c r="E67">
        <v>5.0459953534312696</v>
      </c>
      <c r="F67" s="3">
        <f t="shared" ref="F67:F127" si="3">C67-D67</f>
        <v>-4.6895989662500526E-2</v>
      </c>
      <c r="G67" s="3">
        <f t="shared" si="1"/>
        <v>2.0900488548970308E-2</v>
      </c>
      <c r="H67" s="3">
        <f t="shared" si="2"/>
        <v>6.7796478211470834E-2</v>
      </c>
      <c r="I67" s="3"/>
      <c r="J67" s="2">
        <v>201002</v>
      </c>
      <c r="K67" s="3">
        <v>5.0668958419802399</v>
      </c>
      <c r="M67" s="2">
        <v>201002</v>
      </c>
      <c r="N67">
        <v>5.1137918316427404</v>
      </c>
      <c r="P67" s="2">
        <v>201002</v>
      </c>
      <c r="Q67">
        <v>5.0459953534312696</v>
      </c>
    </row>
    <row r="68" spans="2:17">
      <c r="B68" s="1">
        <v>40179</v>
      </c>
      <c r="C68" s="3">
        <v>5.0828654262246999</v>
      </c>
      <c r="D68">
        <v>5.0409655690044302</v>
      </c>
      <c r="E68">
        <v>5.0034668314839896</v>
      </c>
      <c r="F68" s="3">
        <f t="shared" si="3"/>
        <v>4.1899857220269787E-2</v>
      </c>
      <c r="G68" s="3">
        <f t="shared" ref="G68:G127" si="4">C68-E68</f>
        <v>7.9398594740710315E-2</v>
      </c>
      <c r="H68" s="3">
        <f t="shared" ref="H68:H127" si="5">D68-E68</f>
        <v>3.7498737520440528E-2</v>
      </c>
      <c r="I68" s="3"/>
      <c r="J68" s="2">
        <v>201001</v>
      </c>
      <c r="K68" s="3">
        <v>5.0828654262246999</v>
      </c>
      <c r="M68" s="2">
        <v>201001</v>
      </c>
      <c r="N68">
        <v>5.0409655690044302</v>
      </c>
      <c r="P68" s="2">
        <v>201001</v>
      </c>
      <c r="Q68">
        <v>5.0034668314839896</v>
      </c>
    </row>
    <row r="69" spans="2:17">
      <c r="B69" s="1">
        <v>40148</v>
      </c>
      <c r="C69" s="3">
        <v>5.0979775043497098</v>
      </c>
      <c r="D69">
        <v>5.0984261725870903</v>
      </c>
      <c r="E69">
        <v>5.0745215884622699</v>
      </c>
      <c r="F69" s="3">
        <f t="shared" si="3"/>
        <v>-4.4866823738054507E-4</v>
      </c>
      <c r="G69" s="3">
        <f t="shared" si="4"/>
        <v>2.3455915887439893E-2</v>
      </c>
      <c r="H69" s="3">
        <f t="shared" si="5"/>
        <v>2.3904584124820438E-2</v>
      </c>
      <c r="I69" s="3"/>
      <c r="J69" s="2">
        <v>200912</v>
      </c>
      <c r="K69" s="3">
        <v>5.0979775043497098</v>
      </c>
      <c r="M69" s="2">
        <v>200912</v>
      </c>
      <c r="N69">
        <v>5.0984261725870903</v>
      </c>
      <c r="P69" s="2">
        <v>200912</v>
      </c>
      <c r="Q69">
        <v>5.0745215884622699</v>
      </c>
    </row>
    <row r="70" spans="2:17">
      <c r="B70" s="1">
        <v>40118</v>
      </c>
      <c r="C70" s="3">
        <v>5.1158273945518502</v>
      </c>
      <c r="D70">
        <v>5.1660359038403501</v>
      </c>
      <c r="E70">
        <v>5.1204921572082203</v>
      </c>
      <c r="F70" s="3">
        <f t="shared" si="3"/>
        <v>-5.0208509288499847E-2</v>
      </c>
      <c r="G70" s="3">
        <f t="shared" si="4"/>
        <v>-4.6647626563700584E-3</v>
      </c>
      <c r="H70" s="3">
        <f t="shared" si="5"/>
        <v>4.5543746632129789E-2</v>
      </c>
      <c r="I70" s="3"/>
      <c r="J70" s="2">
        <v>200911</v>
      </c>
      <c r="K70" s="3">
        <v>5.1158273945518502</v>
      </c>
      <c r="M70" s="2">
        <v>200911</v>
      </c>
      <c r="N70">
        <v>5.1660359038403501</v>
      </c>
      <c r="P70" s="2">
        <v>200911</v>
      </c>
      <c r="Q70">
        <v>5.1204921572082203</v>
      </c>
    </row>
    <row r="71" spans="2:17">
      <c r="B71" s="1">
        <v>40087</v>
      </c>
      <c r="C71" s="3">
        <v>5.1294365811269502</v>
      </c>
      <c r="D71">
        <v>5.2300438187300999</v>
      </c>
      <c r="E71">
        <v>5.2747716750026701</v>
      </c>
      <c r="F71" s="3">
        <f t="shared" si="3"/>
        <v>-0.10060723760314971</v>
      </c>
      <c r="G71" s="3">
        <f t="shared" si="4"/>
        <v>-0.14533509387571986</v>
      </c>
      <c r="H71" s="3">
        <f t="shared" si="5"/>
        <v>-4.4727856272570143E-2</v>
      </c>
      <c r="I71" s="3"/>
      <c r="J71" s="2">
        <v>200910</v>
      </c>
      <c r="K71" s="3">
        <v>5.1294365811269502</v>
      </c>
      <c r="M71" s="2">
        <v>200910</v>
      </c>
      <c r="N71">
        <v>5.2300438187300999</v>
      </c>
      <c r="P71" s="2">
        <v>200910</v>
      </c>
      <c r="Q71">
        <v>5.2747716750026701</v>
      </c>
    </row>
    <row r="72" spans="2:17">
      <c r="B72" s="1">
        <v>40057</v>
      </c>
      <c r="C72" s="3">
        <v>5.07610629038001</v>
      </c>
      <c r="D72">
        <v>5.2072534743019201</v>
      </c>
      <c r="E72">
        <v>5.2699170240727398</v>
      </c>
      <c r="F72" s="3">
        <f t="shared" si="3"/>
        <v>-0.13114718392191005</v>
      </c>
      <c r="G72" s="3">
        <f t="shared" si="4"/>
        <v>-0.19381073369272972</v>
      </c>
      <c r="H72" s="3">
        <f t="shared" si="5"/>
        <v>-6.2663549770819671E-2</v>
      </c>
      <c r="I72" s="3"/>
      <c r="J72" s="2">
        <v>200909</v>
      </c>
      <c r="K72" s="3">
        <v>5.07610629038001</v>
      </c>
      <c r="M72" s="2">
        <v>200909</v>
      </c>
      <c r="N72">
        <v>5.2072534743019201</v>
      </c>
      <c r="P72" s="2">
        <v>200909</v>
      </c>
      <c r="Q72">
        <v>5.2699170240727398</v>
      </c>
    </row>
    <row r="73" spans="2:17">
      <c r="B73" s="1">
        <v>40026</v>
      </c>
      <c r="C73" s="3">
        <v>4.9899010928015803</v>
      </c>
      <c r="D73">
        <v>5.2219881356408298</v>
      </c>
      <c r="E73">
        <v>5.1722769856475503</v>
      </c>
      <c r="F73" s="3">
        <f t="shared" si="3"/>
        <v>-0.23208704283924941</v>
      </c>
      <c r="G73" s="3">
        <f t="shared" si="4"/>
        <v>-0.18237589284597</v>
      </c>
      <c r="H73" s="3">
        <f t="shared" si="5"/>
        <v>4.9711149993279413E-2</v>
      </c>
      <c r="I73" s="3"/>
      <c r="J73" s="2">
        <v>200908</v>
      </c>
      <c r="K73" s="3">
        <v>4.9899010928015803</v>
      </c>
      <c r="M73" s="2">
        <v>200908</v>
      </c>
      <c r="N73">
        <v>5.2219881356408298</v>
      </c>
      <c r="P73" s="2">
        <v>200908</v>
      </c>
      <c r="Q73">
        <v>5.1722769856475503</v>
      </c>
    </row>
    <row r="74" spans="2:17">
      <c r="B74" s="1">
        <v>39995</v>
      </c>
      <c r="C74" s="3">
        <v>4.8850537351583103</v>
      </c>
      <c r="D74">
        <v>4.9723674098418398</v>
      </c>
      <c r="E74">
        <v>4.9910886575345899</v>
      </c>
      <c r="F74" s="3">
        <f t="shared" si="3"/>
        <v>-8.7313674683529463E-2</v>
      </c>
      <c r="G74" s="3">
        <f t="shared" si="4"/>
        <v>-0.10603492237627954</v>
      </c>
      <c r="H74" s="3">
        <f t="shared" si="5"/>
        <v>-1.8721247692750076E-2</v>
      </c>
      <c r="I74" s="3"/>
      <c r="J74" s="2">
        <v>200907</v>
      </c>
      <c r="K74" s="3">
        <v>4.8850537351583103</v>
      </c>
      <c r="M74" s="2">
        <v>200907</v>
      </c>
      <c r="N74">
        <v>4.9723674098418398</v>
      </c>
      <c r="P74" s="2">
        <v>200907</v>
      </c>
      <c r="Q74">
        <v>4.9910886575345899</v>
      </c>
    </row>
    <row r="75" spans="2:17">
      <c r="B75" s="1">
        <v>39965</v>
      </c>
      <c r="C75" s="3">
        <v>4.8291476491880196</v>
      </c>
      <c r="D75">
        <v>4.8368962964166302</v>
      </c>
      <c r="E75">
        <v>4.9027724846698</v>
      </c>
      <c r="F75" s="3">
        <f t="shared" si="3"/>
        <v>-7.7486472286105723E-3</v>
      </c>
      <c r="G75" s="3">
        <f t="shared" si="4"/>
        <v>-7.3624835481780337E-2</v>
      </c>
      <c r="H75" s="3">
        <f t="shared" si="5"/>
        <v>-6.5876188253169765E-2</v>
      </c>
      <c r="I75" s="3"/>
      <c r="J75" s="2">
        <v>200906</v>
      </c>
      <c r="K75" s="3">
        <v>4.8291476491880196</v>
      </c>
      <c r="M75" s="2">
        <v>200906</v>
      </c>
      <c r="N75">
        <v>4.8368962964166302</v>
      </c>
      <c r="P75" s="2">
        <v>200906</v>
      </c>
      <c r="Q75">
        <v>4.9027724846698</v>
      </c>
    </row>
    <row r="76" spans="2:17">
      <c r="B76" s="1">
        <v>39934</v>
      </c>
      <c r="C76" s="3">
        <v>4.8616517448230203</v>
      </c>
      <c r="D76">
        <v>4.7411115537530604</v>
      </c>
      <c r="E76">
        <v>4.93204708302087</v>
      </c>
      <c r="F76" s="3">
        <f t="shared" si="3"/>
        <v>0.12054019106995995</v>
      </c>
      <c r="G76" s="3">
        <f t="shared" si="4"/>
        <v>-7.0395338197849711E-2</v>
      </c>
      <c r="H76" s="3">
        <f t="shared" si="5"/>
        <v>-0.19093552926780966</v>
      </c>
      <c r="I76" s="3"/>
      <c r="J76" s="2">
        <v>200905</v>
      </c>
      <c r="K76" s="3">
        <v>4.8616517448230203</v>
      </c>
      <c r="M76" s="2">
        <v>200905</v>
      </c>
      <c r="N76">
        <v>4.7411115537530604</v>
      </c>
      <c r="P76" s="2">
        <v>200905</v>
      </c>
      <c r="Q76">
        <v>4.93204708302087</v>
      </c>
    </row>
    <row r="77" spans="2:17">
      <c r="B77" s="1">
        <v>39904</v>
      </c>
      <c r="C77" s="3">
        <v>4.9305946692028497</v>
      </c>
      <c r="D77">
        <v>5.0937521375365797</v>
      </c>
      <c r="E77">
        <v>5.0012509211240799</v>
      </c>
      <c r="F77" s="3">
        <f t="shared" si="3"/>
        <v>-0.16315746833373002</v>
      </c>
      <c r="G77" s="3">
        <f t="shared" si="4"/>
        <v>-7.0656251921230151E-2</v>
      </c>
      <c r="H77" s="3">
        <f t="shared" si="5"/>
        <v>9.2501216412499865E-2</v>
      </c>
      <c r="I77" s="3"/>
      <c r="J77" s="2">
        <v>200904</v>
      </c>
      <c r="K77" s="3">
        <v>4.9305946692028497</v>
      </c>
      <c r="M77" s="2">
        <v>200904</v>
      </c>
      <c r="N77">
        <v>5.0937521375365797</v>
      </c>
      <c r="P77" s="2">
        <v>200904</v>
      </c>
      <c r="Q77">
        <v>5.0012509211240799</v>
      </c>
    </row>
    <row r="78" spans="2:17">
      <c r="B78" s="1">
        <v>39873</v>
      </c>
      <c r="C78" s="3">
        <v>4.92093318410876</v>
      </c>
      <c r="D78">
        <v>4.8931688620532601</v>
      </c>
      <c r="E78">
        <v>4.9537316946706103</v>
      </c>
      <c r="F78" s="3">
        <f t="shared" si="3"/>
        <v>2.7764322055499946E-2</v>
      </c>
      <c r="G78" s="3">
        <f t="shared" si="4"/>
        <v>-3.2798510561850236E-2</v>
      </c>
      <c r="H78" s="3">
        <f t="shared" si="5"/>
        <v>-6.0562832617350182E-2</v>
      </c>
      <c r="I78" s="3"/>
      <c r="J78" s="2">
        <v>200903</v>
      </c>
      <c r="K78" s="3">
        <v>4.92093318410876</v>
      </c>
      <c r="M78" s="2">
        <v>200903</v>
      </c>
      <c r="N78">
        <v>4.8931688620532601</v>
      </c>
      <c r="P78" s="2">
        <v>200903</v>
      </c>
      <c r="Q78">
        <v>4.9537316946706103</v>
      </c>
    </row>
    <row r="79" spans="2:17">
      <c r="B79" s="1">
        <v>39845</v>
      </c>
      <c r="C79" s="3">
        <v>4.9793708509294596</v>
      </c>
      <c r="D79">
        <v>4.9952975166393703</v>
      </c>
      <c r="E79">
        <v>4.9533708486296302</v>
      </c>
      <c r="F79" s="3">
        <f t="shared" si="3"/>
        <v>-1.5926665709910637E-2</v>
      </c>
      <c r="G79" s="3">
        <f t="shared" si="4"/>
        <v>2.6000002299829461E-2</v>
      </c>
      <c r="H79" s="3">
        <f t="shared" si="5"/>
        <v>4.1926668009740098E-2</v>
      </c>
      <c r="I79" s="3"/>
      <c r="J79" s="2">
        <v>200902</v>
      </c>
      <c r="K79" s="3">
        <v>4.9793708509294596</v>
      </c>
      <c r="M79" s="2">
        <v>200902</v>
      </c>
      <c r="N79">
        <v>4.9952975166393703</v>
      </c>
      <c r="P79" s="2">
        <v>200902</v>
      </c>
      <c r="Q79">
        <v>4.9533708486296302</v>
      </c>
    </row>
    <row r="80" spans="2:17">
      <c r="B80" s="1">
        <v>39814</v>
      </c>
      <c r="C80" s="3">
        <v>5.3636123567810499</v>
      </c>
      <c r="D80">
        <v>5.3354129193465303</v>
      </c>
      <c r="E80">
        <v>5.4368423516025501</v>
      </c>
      <c r="F80" s="3">
        <f t="shared" si="3"/>
        <v>2.8199437434519581E-2</v>
      </c>
      <c r="G80" s="3">
        <f t="shared" si="4"/>
        <v>-7.3229994821500277E-2</v>
      </c>
      <c r="H80" s="3">
        <f t="shared" si="5"/>
        <v>-0.10142943225601986</v>
      </c>
      <c r="I80" s="3"/>
      <c r="J80" s="2">
        <v>200901</v>
      </c>
      <c r="K80" s="3">
        <v>5.3636123567810499</v>
      </c>
      <c r="M80" s="2">
        <v>200901</v>
      </c>
      <c r="N80">
        <v>5.3354129193465303</v>
      </c>
      <c r="P80" s="2">
        <v>200901</v>
      </c>
      <c r="Q80">
        <v>5.4368423516025501</v>
      </c>
    </row>
    <row r="81" spans="2:17">
      <c r="B81" s="1">
        <v>39783</v>
      </c>
      <c r="C81" s="3">
        <v>6.0946449463674996</v>
      </c>
      <c r="D81">
        <v>6.5037957877536101</v>
      </c>
      <c r="E81">
        <v>6.1386705003220401</v>
      </c>
      <c r="F81" s="3">
        <f t="shared" si="3"/>
        <v>-0.40915084138611046</v>
      </c>
      <c r="G81" s="3">
        <f t="shared" si="4"/>
        <v>-4.4025553954540442E-2</v>
      </c>
      <c r="H81" s="3">
        <f t="shared" si="5"/>
        <v>0.36512528743157002</v>
      </c>
      <c r="I81" s="3"/>
      <c r="J81" s="2">
        <v>200812</v>
      </c>
      <c r="K81" s="3">
        <v>6.0946449463674996</v>
      </c>
      <c r="M81" s="2">
        <v>200812</v>
      </c>
      <c r="N81">
        <v>6.5037957877536101</v>
      </c>
      <c r="P81" s="2">
        <v>200812</v>
      </c>
      <c r="Q81">
        <v>6.1386705003220401</v>
      </c>
    </row>
    <row r="82" spans="2:17">
      <c r="B82" s="1">
        <v>39753</v>
      </c>
      <c r="C82" s="3">
        <v>6.0257912411256402</v>
      </c>
      <c r="D82">
        <v>6.16672675634931</v>
      </c>
      <c r="E82">
        <v>5.9985760989344197</v>
      </c>
      <c r="F82" s="3">
        <f t="shared" si="3"/>
        <v>-0.14093551522366976</v>
      </c>
      <c r="G82" s="3">
        <f t="shared" si="4"/>
        <v>2.7215142191220565E-2</v>
      </c>
      <c r="H82" s="3">
        <f t="shared" si="5"/>
        <v>0.16815065741489033</v>
      </c>
      <c r="I82" s="3"/>
      <c r="J82" s="2">
        <v>200811</v>
      </c>
      <c r="K82" s="3">
        <v>6.0257912411256402</v>
      </c>
      <c r="M82" s="2">
        <v>200811</v>
      </c>
      <c r="N82">
        <v>6.16672675634931</v>
      </c>
      <c r="P82" s="2">
        <v>200811</v>
      </c>
      <c r="Q82">
        <v>5.9985760989344197</v>
      </c>
    </row>
    <row r="83" spans="2:17">
      <c r="B83" s="1">
        <v>39722</v>
      </c>
      <c r="C83" s="3">
        <v>6.2456460090361503</v>
      </c>
      <c r="D83">
        <v>6.2984570013993402</v>
      </c>
      <c r="E83">
        <v>6.2885004859223201</v>
      </c>
      <c r="F83" s="3">
        <f t="shared" si="3"/>
        <v>-5.2810992363189868E-2</v>
      </c>
      <c r="G83" s="3">
        <f t="shared" si="4"/>
        <v>-4.2854476886169834E-2</v>
      </c>
      <c r="H83" s="3">
        <f t="shared" si="5"/>
        <v>9.9565154770200337E-3</v>
      </c>
      <c r="I83" s="3"/>
      <c r="J83" s="2">
        <v>200810</v>
      </c>
      <c r="K83" s="3">
        <v>6.2456460090361503</v>
      </c>
      <c r="M83" s="2">
        <v>200810</v>
      </c>
      <c r="N83">
        <v>6.2984570013993402</v>
      </c>
      <c r="P83" s="2">
        <v>200810</v>
      </c>
      <c r="Q83">
        <v>6.2885004859223201</v>
      </c>
    </row>
    <row r="84" spans="2:17">
      <c r="B84" s="1">
        <v>39692</v>
      </c>
      <c r="C84" s="3">
        <v>6.5355178388102804</v>
      </c>
      <c r="D84">
        <v>6.7459476407728403</v>
      </c>
      <c r="E84">
        <v>6.5796695332617396</v>
      </c>
      <c r="F84" s="3">
        <f t="shared" si="3"/>
        <v>-0.21042980196255989</v>
      </c>
      <c r="G84" s="3">
        <f t="shared" si="4"/>
        <v>-4.4151694451459278E-2</v>
      </c>
      <c r="H84" s="3">
        <f t="shared" si="5"/>
        <v>0.16627810751110061</v>
      </c>
      <c r="I84" s="3"/>
      <c r="J84" s="2">
        <v>200809</v>
      </c>
      <c r="K84" s="3">
        <v>6.5355178388102804</v>
      </c>
      <c r="M84" s="2">
        <v>200809</v>
      </c>
      <c r="N84">
        <v>6.7459476407728403</v>
      </c>
      <c r="P84" s="2">
        <v>200809</v>
      </c>
      <c r="Q84">
        <v>6.5796695332617396</v>
      </c>
    </row>
    <row r="85" spans="2:17">
      <c r="B85" s="1">
        <v>39661</v>
      </c>
      <c r="C85" s="3">
        <v>6.4314010904964398</v>
      </c>
      <c r="D85">
        <v>6.5921081026291599</v>
      </c>
      <c r="E85">
        <v>6.4049571964798897</v>
      </c>
      <c r="F85" s="3">
        <f t="shared" si="3"/>
        <v>-0.1607070121327201</v>
      </c>
      <c r="G85" s="3">
        <f t="shared" si="4"/>
        <v>2.6443894016550118E-2</v>
      </c>
      <c r="H85" s="3">
        <f t="shared" si="5"/>
        <v>0.18715090614927021</v>
      </c>
      <c r="I85" s="3"/>
      <c r="J85" s="2">
        <v>200808</v>
      </c>
      <c r="K85" s="3">
        <v>6.4314010904964398</v>
      </c>
      <c r="M85" s="2">
        <v>200808</v>
      </c>
      <c r="N85">
        <v>6.5921081026291599</v>
      </c>
      <c r="P85" s="2">
        <v>200808</v>
      </c>
      <c r="Q85">
        <v>6.4049571964798897</v>
      </c>
    </row>
    <row r="86" spans="2:17">
      <c r="B86" s="1">
        <v>39630</v>
      </c>
      <c r="C86" s="3">
        <v>6.1004102201736998</v>
      </c>
      <c r="D86">
        <v>6.5402375751912603</v>
      </c>
      <c r="E86">
        <v>6.1430418277638301</v>
      </c>
      <c r="F86" s="3">
        <f t="shared" si="3"/>
        <v>-0.43982735501756043</v>
      </c>
      <c r="G86" s="3">
        <f t="shared" si="4"/>
        <v>-4.2631607590130294E-2</v>
      </c>
      <c r="H86" s="3">
        <f t="shared" si="5"/>
        <v>0.39719574742743013</v>
      </c>
      <c r="I86" s="3"/>
      <c r="J86" s="2">
        <v>200807</v>
      </c>
      <c r="K86" s="3">
        <v>6.1004102201736998</v>
      </c>
      <c r="M86" s="2">
        <v>200807</v>
      </c>
      <c r="N86">
        <v>6.5402375751912603</v>
      </c>
      <c r="P86" s="2">
        <v>200807</v>
      </c>
      <c r="Q86">
        <v>6.1430418277638301</v>
      </c>
    </row>
    <row r="87" spans="2:17">
      <c r="B87" s="1">
        <v>39600</v>
      </c>
      <c r="C87" s="3">
        <v>5.98891735283466</v>
      </c>
      <c r="D87">
        <v>6.1998264338351703</v>
      </c>
      <c r="E87">
        <v>5.9986443845008903</v>
      </c>
      <c r="F87" s="3">
        <f t="shared" si="3"/>
        <v>-0.21090908100051031</v>
      </c>
      <c r="G87" s="3">
        <f t="shared" si="4"/>
        <v>-9.7270316662303458E-3</v>
      </c>
      <c r="H87" s="3">
        <f t="shared" si="5"/>
        <v>0.20118204933427997</v>
      </c>
      <c r="I87" s="3"/>
      <c r="J87" s="2">
        <v>200806</v>
      </c>
      <c r="K87" s="3">
        <v>5.98891735283466</v>
      </c>
      <c r="M87" s="2">
        <v>200806</v>
      </c>
      <c r="N87">
        <v>6.1998264338351703</v>
      </c>
      <c r="P87" s="2">
        <v>200806</v>
      </c>
      <c r="Q87">
        <v>5.9986443845008903</v>
      </c>
    </row>
    <row r="88" spans="2:17">
      <c r="B88" s="1">
        <v>39569</v>
      </c>
      <c r="C88" s="3">
        <v>5.9214234409106501</v>
      </c>
      <c r="D88">
        <v>6.0124717959694198</v>
      </c>
      <c r="E88">
        <v>5.8687923078410398</v>
      </c>
      <c r="F88" s="3">
        <f t="shared" si="3"/>
        <v>-9.1048355058769737E-2</v>
      </c>
      <c r="G88" s="3">
        <f t="shared" si="4"/>
        <v>5.2631133069610314E-2</v>
      </c>
      <c r="H88" s="3">
        <f t="shared" si="5"/>
        <v>0.14367948812838005</v>
      </c>
      <c r="I88" s="3"/>
      <c r="J88" s="2">
        <v>200805</v>
      </c>
      <c r="K88" s="3">
        <v>5.9214234409106501</v>
      </c>
      <c r="M88" s="2">
        <v>200805</v>
      </c>
      <c r="N88">
        <v>6.0124717959694198</v>
      </c>
      <c r="P88" s="2">
        <v>200805</v>
      </c>
      <c r="Q88">
        <v>5.8687923078410398</v>
      </c>
    </row>
    <row r="89" spans="2:17">
      <c r="B89" s="1">
        <v>39539</v>
      </c>
      <c r="C89" s="3">
        <v>5.8593603493655602</v>
      </c>
      <c r="D89">
        <v>6.0511932182297903</v>
      </c>
      <c r="E89">
        <v>5.8305726079826998</v>
      </c>
      <c r="F89" s="3">
        <f t="shared" si="3"/>
        <v>-0.19183286886423012</v>
      </c>
      <c r="G89" s="3">
        <f t="shared" si="4"/>
        <v>2.8787741382860332E-2</v>
      </c>
      <c r="H89" s="3">
        <f t="shared" si="5"/>
        <v>0.22062061024709045</v>
      </c>
      <c r="I89" s="3"/>
      <c r="J89" s="2">
        <v>200804</v>
      </c>
      <c r="K89" s="3">
        <v>5.8593603493655602</v>
      </c>
      <c r="M89" s="2">
        <v>200804</v>
      </c>
      <c r="N89">
        <v>6.0511932182297903</v>
      </c>
      <c r="P89" s="2">
        <v>200804</v>
      </c>
      <c r="Q89">
        <v>5.8305726079826998</v>
      </c>
    </row>
    <row r="90" spans="2:17">
      <c r="B90" s="1">
        <v>39508</v>
      </c>
      <c r="C90" s="3">
        <v>5.6774549356935502</v>
      </c>
      <c r="D90">
        <v>5.8839054724804196</v>
      </c>
      <c r="E90">
        <v>5.6320521780893502</v>
      </c>
      <c r="F90" s="3">
        <f t="shared" si="3"/>
        <v>-0.20645053678686942</v>
      </c>
      <c r="G90" s="3">
        <f t="shared" si="4"/>
        <v>4.5402757604199984E-2</v>
      </c>
      <c r="H90" s="3">
        <f t="shared" si="5"/>
        <v>0.2518532943910694</v>
      </c>
      <c r="I90" s="3"/>
      <c r="J90" s="2">
        <v>200803</v>
      </c>
      <c r="K90" s="3">
        <v>5.6774549356935502</v>
      </c>
      <c r="M90" s="2">
        <v>200803</v>
      </c>
      <c r="N90">
        <v>5.8839054724804196</v>
      </c>
      <c r="P90" s="2">
        <v>200803</v>
      </c>
      <c r="Q90">
        <v>5.6320521780893502</v>
      </c>
    </row>
    <row r="91" spans="2:17">
      <c r="B91" s="1">
        <v>39479</v>
      </c>
      <c r="C91" s="3">
        <v>5.96124626318593</v>
      </c>
      <c r="D91">
        <v>6.1525795590864298</v>
      </c>
      <c r="E91">
        <v>5.9631281330525399</v>
      </c>
      <c r="F91" s="3">
        <f t="shared" si="3"/>
        <v>-0.19133329590049986</v>
      </c>
      <c r="G91" s="3">
        <f t="shared" si="4"/>
        <v>-1.8818698666098754E-3</v>
      </c>
      <c r="H91" s="3">
        <f t="shared" si="5"/>
        <v>0.18945142603388998</v>
      </c>
      <c r="I91" s="3"/>
      <c r="J91" s="2">
        <v>200802</v>
      </c>
      <c r="K91" s="3">
        <v>5.96124626318593</v>
      </c>
      <c r="M91" s="2">
        <v>200802</v>
      </c>
      <c r="N91">
        <v>6.1525795590864298</v>
      </c>
      <c r="P91" s="2">
        <v>200802</v>
      </c>
      <c r="Q91">
        <v>5.9631281330525399</v>
      </c>
    </row>
    <row r="92" spans="2:17">
      <c r="B92" s="1">
        <v>39448</v>
      </c>
      <c r="C92" s="3">
        <v>6.1706702499858102</v>
      </c>
      <c r="D92">
        <v>6.3236240497238896</v>
      </c>
      <c r="E92">
        <v>6.2211216471743302</v>
      </c>
      <c r="F92" s="3">
        <f t="shared" si="3"/>
        <v>-0.15295379973807943</v>
      </c>
      <c r="G92" s="3">
        <f t="shared" si="4"/>
        <v>-5.0451397188520097E-2</v>
      </c>
      <c r="H92" s="3">
        <f t="shared" si="5"/>
        <v>0.10250240254955933</v>
      </c>
      <c r="I92" s="3"/>
      <c r="J92" s="2">
        <v>200801</v>
      </c>
      <c r="K92" s="3">
        <v>6.1706702499858102</v>
      </c>
      <c r="M92" s="2">
        <v>200801</v>
      </c>
      <c r="N92">
        <v>6.3236240497238896</v>
      </c>
      <c r="P92" s="2">
        <v>200801</v>
      </c>
      <c r="Q92">
        <v>6.2211216471743302</v>
      </c>
    </row>
    <row r="93" spans="2:17">
      <c r="B93" s="1">
        <v>39417</v>
      </c>
      <c r="C93" s="3">
        <v>6.3807504989555497</v>
      </c>
      <c r="D93">
        <v>6.5419578960804401</v>
      </c>
      <c r="E93">
        <v>6.37529055979177</v>
      </c>
      <c r="F93" s="3">
        <f t="shared" si="3"/>
        <v>-0.16120739712489041</v>
      </c>
      <c r="G93" s="3">
        <f t="shared" si="4"/>
        <v>5.4599391637797368E-3</v>
      </c>
      <c r="H93" s="3">
        <f t="shared" si="5"/>
        <v>0.16666733628867014</v>
      </c>
      <c r="I93" s="3"/>
      <c r="J93" s="2">
        <v>200712</v>
      </c>
      <c r="K93" s="3">
        <v>6.3807504989555497</v>
      </c>
      <c r="M93" s="2">
        <v>200712</v>
      </c>
      <c r="N93">
        <v>6.5419578960804401</v>
      </c>
      <c r="P93" s="2">
        <v>200712</v>
      </c>
      <c r="Q93">
        <v>6.37529055979177</v>
      </c>
    </row>
    <row r="94" spans="2:17">
      <c r="B94" s="1">
        <v>39387</v>
      </c>
      <c r="C94" s="3">
        <v>6.4629494406595498</v>
      </c>
      <c r="D94">
        <v>6.5326813936650199</v>
      </c>
      <c r="E94">
        <v>6.4713703597448102</v>
      </c>
      <c r="F94" s="3">
        <f t="shared" si="3"/>
        <v>-6.9731953005470082E-2</v>
      </c>
      <c r="G94" s="3">
        <f t="shared" si="4"/>
        <v>-8.4209190852604365E-3</v>
      </c>
      <c r="H94" s="3">
        <f t="shared" si="5"/>
        <v>6.1311033920209645E-2</v>
      </c>
      <c r="I94" s="3"/>
      <c r="J94" s="2">
        <v>200711</v>
      </c>
      <c r="K94" s="3">
        <v>6.4629494406595498</v>
      </c>
      <c r="M94" s="2">
        <v>200711</v>
      </c>
      <c r="N94">
        <v>6.5326813936650199</v>
      </c>
      <c r="P94" s="2">
        <v>200711</v>
      </c>
      <c r="Q94">
        <v>6.4713703597448102</v>
      </c>
    </row>
    <row r="95" spans="2:17">
      <c r="B95" s="1">
        <v>39356</v>
      </c>
      <c r="C95" s="3">
        <v>6.5855148290350298</v>
      </c>
      <c r="D95">
        <v>6.5922320771070098</v>
      </c>
      <c r="E95">
        <v>6.5607079511412003</v>
      </c>
      <c r="F95" s="3">
        <f t="shared" si="3"/>
        <v>-6.717248071979931E-3</v>
      </c>
      <c r="G95" s="3">
        <f t="shared" si="4"/>
        <v>2.4806877893829515E-2</v>
      </c>
      <c r="H95" s="3">
        <f t="shared" si="5"/>
        <v>3.1524125965809446E-2</v>
      </c>
      <c r="I95" s="3"/>
      <c r="J95" s="2">
        <v>200710</v>
      </c>
      <c r="K95" s="3">
        <v>6.5855148290350298</v>
      </c>
      <c r="M95" s="2">
        <v>200710</v>
      </c>
      <c r="N95">
        <v>6.5922320771070098</v>
      </c>
      <c r="P95" s="2">
        <v>200710</v>
      </c>
      <c r="Q95">
        <v>6.5607079511412003</v>
      </c>
    </row>
    <row r="96" spans="2:17">
      <c r="B96" s="1">
        <v>39326</v>
      </c>
      <c r="C96" s="3">
        <v>6.6988807648541302</v>
      </c>
      <c r="D96">
        <v>6.8671682503521998</v>
      </c>
      <c r="E96">
        <v>6.7563362828491798</v>
      </c>
      <c r="F96" s="3">
        <f t="shared" si="3"/>
        <v>-0.1682874854980696</v>
      </c>
      <c r="G96" s="3">
        <f t="shared" si="4"/>
        <v>-5.7455517995049554E-2</v>
      </c>
      <c r="H96" s="3">
        <f t="shared" si="5"/>
        <v>0.11083196750302005</v>
      </c>
      <c r="I96" s="3"/>
      <c r="J96" s="2">
        <v>200709</v>
      </c>
      <c r="K96" s="3">
        <v>6.6988807648541302</v>
      </c>
      <c r="M96" s="2">
        <v>200709</v>
      </c>
      <c r="N96">
        <v>6.8671682503521998</v>
      </c>
      <c r="P96" s="2">
        <v>200709</v>
      </c>
      <c r="Q96">
        <v>6.7563362828491798</v>
      </c>
    </row>
    <row r="97" spans="2:17">
      <c r="B97" s="1">
        <v>39295</v>
      </c>
      <c r="C97" s="3">
        <v>6.6904439765656996</v>
      </c>
      <c r="D97">
        <v>6.8104848375659897</v>
      </c>
      <c r="E97">
        <v>6.73193917192825</v>
      </c>
      <c r="F97" s="3">
        <f t="shared" si="3"/>
        <v>-0.1200408610002901</v>
      </c>
      <c r="G97" s="3">
        <f t="shared" si="4"/>
        <v>-4.1495195362550419E-2</v>
      </c>
      <c r="H97" s="3">
        <f t="shared" si="5"/>
        <v>7.8545665637739681E-2</v>
      </c>
      <c r="I97" s="3"/>
      <c r="J97" s="2">
        <v>200708</v>
      </c>
      <c r="K97" s="3">
        <v>6.6904439765656996</v>
      </c>
      <c r="M97" s="2">
        <v>200708</v>
      </c>
      <c r="N97">
        <v>6.8104848375659897</v>
      </c>
      <c r="P97" s="2">
        <v>200708</v>
      </c>
      <c r="Q97">
        <v>6.73193917192825</v>
      </c>
    </row>
    <row r="98" spans="2:17">
      <c r="B98" s="1">
        <v>39264</v>
      </c>
      <c r="C98" s="3">
        <v>6.4359670110133198</v>
      </c>
      <c r="D98">
        <v>6.4979813148674603</v>
      </c>
      <c r="E98">
        <v>6.4563831381258003</v>
      </c>
      <c r="F98" s="3">
        <f t="shared" si="3"/>
        <v>-6.2014303854140529E-2</v>
      </c>
      <c r="G98" s="3">
        <f t="shared" si="4"/>
        <v>-2.0416127112480531E-2</v>
      </c>
      <c r="H98" s="3">
        <f t="shared" si="5"/>
        <v>4.1598176741659998E-2</v>
      </c>
      <c r="I98" s="3"/>
      <c r="J98" s="2">
        <v>200707</v>
      </c>
      <c r="K98" s="3">
        <v>6.4359670110133198</v>
      </c>
      <c r="M98" s="2">
        <v>200707</v>
      </c>
      <c r="N98">
        <v>6.4979813148674603</v>
      </c>
      <c r="P98" s="2">
        <v>200707</v>
      </c>
      <c r="Q98">
        <v>6.4563831381258003</v>
      </c>
    </row>
    <row r="99" spans="2:17">
      <c r="B99" s="1">
        <v>39234</v>
      </c>
      <c r="C99" s="3">
        <v>6.30297641601903</v>
      </c>
      <c r="D99">
        <v>6.4143247060261501</v>
      </c>
      <c r="E99">
        <v>6.2726375714784197</v>
      </c>
      <c r="F99" s="3">
        <f t="shared" si="3"/>
        <v>-0.1113482900071201</v>
      </c>
      <c r="G99" s="3">
        <f t="shared" si="4"/>
        <v>3.033884454061031E-2</v>
      </c>
      <c r="H99" s="3">
        <f t="shared" si="5"/>
        <v>0.14168713454773041</v>
      </c>
      <c r="I99" s="3"/>
      <c r="J99" s="2">
        <v>200706</v>
      </c>
      <c r="K99" s="3">
        <v>6.30297641601903</v>
      </c>
      <c r="M99" s="2">
        <v>200706</v>
      </c>
      <c r="N99">
        <v>6.4143247060261501</v>
      </c>
      <c r="P99" s="2">
        <v>200706</v>
      </c>
      <c r="Q99">
        <v>6.2726375714784197</v>
      </c>
    </row>
    <row r="100" spans="2:17">
      <c r="B100" s="1">
        <v>39203</v>
      </c>
      <c r="C100" s="3">
        <v>6.2375534711443903</v>
      </c>
      <c r="D100">
        <v>6.22618743698931</v>
      </c>
      <c r="E100">
        <v>6.2288502619522497</v>
      </c>
      <c r="F100" s="3">
        <f t="shared" si="3"/>
        <v>1.1366034155080307E-2</v>
      </c>
      <c r="G100" s="3">
        <f t="shared" si="4"/>
        <v>8.7032091921406263E-3</v>
      </c>
      <c r="H100" s="3">
        <f t="shared" si="5"/>
        <v>-2.6628249629396805E-3</v>
      </c>
      <c r="I100" s="3"/>
      <c r="J100" s="2">
        <v>200705</v>
      </c>
      <c r="K100" s="3">
        <v>6.2375534711443903</v>
      </c>
      <c r="M100" s="2">
        <v>200705</v>
      </c>
      <c r="N100">
        <v>6.22618743698931</v>
      </c>
      <c r="P100" s="2">
        <v>200705</v>
      </c>
      <c r="Q100">
        <v>6.2288502619522497</v>
      </c>
    </row>
    <row r="101" spans="2:17">
      <c r="B101" s="1">
        <v>39173</v>
      </c>
      <c r="C101" s="3">
        <v>6.24062133219907</v>
      </c>
      <c r="D101">
        <v>6.4334231965352098</v>
      </c>
      <c r="E101">
        <v>6.2939282501260703</v>
      </c>
      <c r="F101" s="3">
        <f t="shared" si="3"/>
        <v>-0.19280186433613977</v>
      </c>
      <c r="G101" s="3">
        <f t="shared" si="4"/>
        <v>-5.3306917927000264E-2</v>
      </c>
      <c r="H101" s="3">
        <f t="shared" si="5"/>
        <v>0.13949494640913951</v>
      </c>
      <c r="I101" s="3"/>
      <c r="J101" s="2">
        <v>200704</v>
      </c>
      <c r="K101" s="3">
        <v>6.24062133219907</v>
      </c>
      <c r="M101" s="2">
        <v>200704</v>
      </c>
      <c r="N101">
        <v>6.4334231965352098</v>
      </c>
      <c r="P101" s="2">
        <v>200704</v>
      </c>
      <c r="Q101">
        <v>6.2939282501260703</v>
      </c>
    </row>
    <row r="102" spans="2:17">
      <c r="B102" s="1">
        <v>39142</v>
      </c>
      <c r="C102" s="3">
        <v>6.3331205291355799</v>
      </c>
      <c r="D102">
        <v>6.4439434928325099</v>
      </c>
      <c r="E102">
        <v>6.3260237800472501</v>
      </c>
      <c r="F102" s="3">
        <f t="shared" si="3"/>
        <v>-0.11082296369693001</v>
      </c>
      <c r="G102" s="3">
        <f t="shared" si="4"/>
        <v>7.0967490883298012E-3</v>
      </c>
      <c r="H102" s="3">
        <f t="shared" si="5"/>
        <v>0.11791971278525981</v>
      </c>
      <c r="I102" s="3"/>
      <c r="J102" s="2">
        <v>200703</v>
      </c>
      <c r="K102" s="3">
        <v>6.3331205291355799</v>
      </c>
      <c r="M102" s="2">
        <v>200703</v>
      </c>
      <c r="N102">
        <v>6.4439434928325099</v>
      </c>
      <c r="P102" s="2">
        <v>200703</v>
      </c>
      <c r="Q102">
        <v>6.3260237800472501</v>
      </c>
    </row>
    <row r="103" spans="2:17">
      <c r="B103" s="1">
        <v>39114</v>
      </c>
      <c r="C103" s="3">
        <v>6.2032527957600498</v>
      </c>
      <c r="D103">
        <v>6.3940170882414202</v>
      </c>
      <c r="E103">
        <v>6.2365863480721897</v>
      </c>
      <c r="F103" s="3">
        <f t="shared" si="3"/>
        <v>-0.19076429248137039</v>
      </c>
      <c r="G103" s="3">
        <f t="shared" si="4"/>
        <v>-3.3333552312139858E-2</v>
      </c>
      <c r="H103" s="3">
        <f t="shared" si="5"/>
        <v>0.15743074016923053</v>
      </c>
      <c r="I103" s="3"/>
      <c r="J103" s="2">
        <v>200702</v>
      </c>
      <c r="K103" s="3">
        <v>6.2032527957600498</v>
      </c>
      <c r="M103" s="2">
        <v>200702</v>
      </c>
      <c r="N103">
        <v>6.3940170882414202</v>
      </c>
      <c r="P103" s="2">
        <v>200702</v>
      </c>
      <c r="Q103">
        <v>6.2365863480721897</v>
      </c>
    </row>
    <row r="104" spans="2:17">
      <c r="B104" s="1">
        <v>39083</v>
      </c>
      <c r="C104" s="3">
        <v>6.1960025322102901</v>
      </c>
      <c r="D104">
        <v>6.4370531580450798</v>
      </c>
      <c r="E104">
        <v>6.2464346999429301</v>
      </c>
      <c r="F104" s="3">
        <f t="shared" si="3"/>
        <v>-0.24105062583478976</v>
      </c>
      <c r="G104" s="3">
        <f t="shared" si="4"/>
        <v>-5.0432167732640032E-2</v>
      </c>
      <c r="H104" s="3">
        <f t="shared" si="5"/>
        <v>0.19061845810214972</v>
      </c>
      <c r="I104" s="3"/>
      <c r="J104" s="2">
        <v>200701</v>
      </c>
      <c r="K104" s="3">
        <v>6.1960025322102901</v>
      </c>
      <c r="M104" s="2">
        <v>200701</v>
      </c>
      <c r="N104">
        <v>6.4370531580450798</v>
      </c>
      <c r="P104" s="2">
        <v>200701</v>
      </c>
      <c r="Q104">
        <v>6.2464346999429301</v>
      </c>
    </row>
    <row r="105" spans="2:17">
      <c r="B105" s="1">
        <v>39052</v>
      </c>
      <c r="C105" s="3">
        <v>6.3501989598221602</v>
      </c>
      <c r="D105">
        <v>6.6467822738161901</v>
      </c>
      <c r="E105">
        <v>6.4361105389338302</v>
      </c>
      <c r="F105" s="3">
        <f t="shared" si="3"/>
        <v>-0.29658331399402993</v>
      </c>
      <c r="G105" s="3">
        <f t="shared" si="4"/>
        <v>-8.5911579111670022E-2</v>
      </c>
      <c r="H105" s="3">
        <f t="shared" si="5"/>
        <v>0.21067173488235991</v>
      </c>
      <c r="I105" s="3"/>
      <c r="J105" s="2">
        <v>200612</v>
      </c>
      <c r="K105" s="3">
        <v>6.3501989598221602</v>
      </c>
      <c r="M105" s="2">
        <v>200612</v>
      </c>
      <c r="N105">
        <v>6.6467822738161901</v>
      </c>
      <c r="P105" s="2">
        <v>200612</v>
      </c>
      <c r="Q105">
        <v>6.4361105389338302</v>
      </c>
    </row>
    <row r="106" spans="2:17">
      <c r="B106" s="1">
        <v>39022</v>
      </c>
      <c r="C106" s="3">
        <v>6.4103828987463602</v>
      </c>
      <c r="D106">
        <v>6.5840078627310197</v>
      </c>
      <c r="E106">
        <v>6.4756272655495097</v>
      </c>
      <c r="F106" s="3">
        <f t="shared" si="3"/>
        <v>-0.17362496398465943</v>
      </c>
      <c r="G106" s="3">
        <f t="shared" si="4"/>
        <v>-6.5244366803149489E-2</v>
      </c>
      <c r="H106" s="3">
        <f t="shared" si="5"/>
        <v>0.10838059718150994</v>
      </c>
      <c r="I106" s="3"/>
      <c r="J106" s="2">
        <v>200611</v>
      </c>
      <c r="K106" s="3">
        <v>6.4103828987463602</v>
      </c>
      <c r="M106" s="2">
        <v>200611</v>
      </c>
      <c r="N106">
        <v>6.5840078627310197</v>
      </c>
      <c r="P106" s="2">
        <v>200611</v>
      </c>
      <c r="Q106">
        <v>6.4756272655495097</v>
      </c>
    </row>
    <row r="107" spans="2:17">
      <c r="B107" s="1">
        <v>38991</v>
      </c>
      <c r="C107" s="3">
        <v>6.5457026899159203</v>
      </c>
      <c r="D107">
        <v>6.7087147982617497</v>
      </c>
      <c r="E107">
        <v>6.5604863372519802</v>
      </c>
      <c r="F107" s="3">
        <f t="shared" si="3"/>
        <v>-0.16301210834582935</v>
      </c>
      <c r="G107" s="3">
        <f t="shared" si="4"/>
        <v>-1.4783647336059857E-2</v>
      </c>
      <c r="H107" s="3">
        <f t="shared" si="5"/>
        <v>0.1482284610097695</v>
      </c>
      <c r="I107" s="3"/>
      <c r="J107" s="2">
        <v>200610</v>
      </c>
      <c r="K107" s="3">
        <v>6.5457026899159203</v>
      </c>
      <c r="M107" s="2">
        <v>200610</v>
      </c>
      <c r="N107">
        <v>6.7087147982617497</v>
      </c>
      <c r="P107" s="2">
        <v>200610</v>
      </c>
      <c r="Q107">
        <v>6.5604863372519802</v>
      </c>
    </row>
    <row r="108" spans="2:17">
      <c r="B108" s="1">
        <v>38961</v>
      </c>
      <c r="C108" s="3">
        <v>6.7407898203938998</v>
      </c>
      <c r="D108">
        <v>6.87626346587773</v>
      </c>
      <c r="E108">
        <v>6.7492942628745398</v>
      </c>
      <c r="F108" s="3">
        <f t="shared" si="3"/>
        <v>-0.13547364548383012</v>
      </c>
      <c r="G108" s="3">
        <f t="shared" si="4"/>
        <v>-8.5044424806399732E-3</v>
      </c>
      <c r="H108" s="3">
        <f t="shared" si="5"/>
        <v>0.12696920300319015</v>
      </c>
      <c r="I108" s="3"/>
      <c r="J108" s="2">
        <v>200609</v>
      </c>
      <c r="K108" s="3">
        <v>6.7407898203938998</v>
      </c>
      <c r="M108" s="2">
        <v>200609</v>
      </c>
      <c r="N108">
        <v>6.87626346587773</v>
      </c>
      <c r="P108" s="2">
        <v>200609</v>
      </c>
      <c r="Q108">
        <v>6.7492942628745398</v>
      </c>
    </row>
    <row r="109" spans="2:17">
      <c r="B109" s="1">
        <v>38930</v>
      </c>
      <c r="C109" s="3">
        <v>6.81084447131704</v>
      </c>
      <c r="D109">
        <v>6.9880494808924203</v>
      </c>
      <c r="E109">
        <v>6.8092830566186198</v>
      </c>
      <c r="F109" s="3">
        <f t="shared" si="3"/>
        <v>-0.17720500957538032</v>
      </c>
      <c r="G109" s="3">
        <f t="shared" si="4"/>
        <v>1.5614146984201938E-3</v>
      </c>
      <c r="H109" s="3">
        <f t="shared" si="5"/>
        <v>0.17876642427380052</v>
      </c>
      <c r="I109" s="3"/>
      <c r="J109" s="2">
        <v>200608</v>
      </c>
      <c r="K109" s="3">
        <v>6.81084447131704</v>
      </c>
      <c r="M109" s="2">
        <v>200608</v>
      </c>
      <c r="N109">
        <v>6.9880494808924203</v>
      </c>
      <c r="P109" s="2">
        <v>200608</v>
      </c>
      <c r="Q109">
        <v>6.8092830566186198</v>
      </c>
    </row>
    <row r="110" spans="2:17">
      <c r="B110" s="1">
        <v>38899</v>
      </c>
      <c r="C110" s="3">
        <v>6.7286751315940201</v>
      </c>
      <c r="D110">
        <v>6.8033105084861996</v>
      </c>
      <c r="E110">
        <v>6.7489460153022502</v>
      </c>
      <c r="F110" s="3">
        <f t="shared" si="3"/>
        <v>-7.4635376892179472E-2</v>
      </c>
      <c r="G110" s="3">
        <f t="shared" si="4"/>
        <v>-2.0270883708230159E-2</v>
      </c>
      <c r="H110" s="3">
        <f t="shared" si="5"/>
        <v>5.4364493183949314E-2</v>
      </c>
      <c r="I110" s="3"/>
      <c r="J110" s="2">
        <v>200607</v>
      </c>
      <c r="K110" s="3">
        <v>6.7286751315940201</v>
      </c>
      <c r="M110" s="2">
        <v>200607</v>
      </c>
      <c r="N110">
        <v>6.8033105084861996</v>
      </c>
      <c r="P110" s="2">
        <v>200607</v>
      </c>
      <c r="Q110">
        <v>6.7489460153022502</v>
      </c>
    </row>
    <row r="111" spans="2:17">
      <c r="B111" s="1">
        <v>38869</v>
      </c>
      <c r="C111" s="3">
        <v>6.6317112999052696</v>
      </c>
      <c r="D111">
        <v>6.7871632950559997</v>
      </c>
      <c r="E111">
        <v>6.6436305483580496</v>
      </c>
      <c r="F111" s="3">
        <f t="shared" si="3"/>
        <v>-0.15545199515073005</v>
      </c>
      <c r="G111" s="3">
        <f t="shared" si="4"/>
        <v>-1.1919248452779918E-2</v>
      </c>
      <c r="H111" s="3">
        <f t="shared" si="5"/>
        <v>0.14353274669795013</v>
      </c>
      <c r="I111" s="3"/>
      <c r="J111" s="2">
        <v>200606</v>
      </c>
      <c r="K111" s="3">
        <v>6.6317112999052696</v>
      </c>
      <c r="M111" s="2">
        <v>200606</v>
      </c>
      <c r="N111">
        <v>6.7871632950559997</v>
      </c>
      <c r="P111" s="2">
        <v>200606</v>
      </c>
      <c r="Q111">
        <v>6.6436305483580496</v>
      </c>
    </row>
    <row r="112" spans="2:17">
      <c r="B112" s="1">
        <v>38838</v>
      </c>
      <c r="C112" s="3">
        <v>6.4424045461078103</v>
      </c>
      <c r="D112">
        <v>6.7242127375529996</v>
      </c>
      <c r="E112">
        <v>6.4804317514348604</v>
      </c>
      <c r="F112" s="3">
        <f t="shared" si="3"/>
        <v>-0.28180819144518932</v>
      </c>
      <c r="G112" s="3">
        <f t="shared" si="4"/>
        <v>-3.8027205327050062E-2</v>
      </c>
      <c r="H112" s="3">
        <f t="shared" si="5"/>
        <v>0.24378098611813925</v>
      </c>
      <c r="I112" s="3"/>
      <c r="J112" s="2">
        <v>200605</v>
      </c>
      <c r="K112" s="3">
        <v>6.4424045461078103</v>
      </c>
      <c r="M112" s="2">
        <v>200605</v>
      </c>
      <c r="N112">
        <v>6.7242127375529996</v>
      </c>
      <c r="P112" s="2">
        <v>200605</v>
      </c>
      <c r="Q112">
        <v>6.4804317514348604</v>
      </c>
    </row>
    <row r="113" spans="2:17">
      <c r="B113" s="1">
        <v>38808</v>
      </c>
      <c r="C113" s="3">
        <v>6.33463422080737</v>
      </c>
      <c r="D113">
        <v>6.5950219310896498</v>
      </c>
      <c r="E113">
        <v>6.3743951557948098</v>
      </c>
      <c r="F113" s="3">
        <f t="shared" si="3"/>
        <v>-0.26038771028227981</v>
      </c>
      <c r="G113" s="3">
        <f t="shared" si="4"/>
        <v>-3.9760934987439711E-2</v>
      </c>
      <c r="H113" s="3">
        <f t="shared" si="5"/>
        <v>0.22062677529484009</v>
      </c>
      <c r="I113" s="3"/>
      <c r="J113" s="2">
        <v>200604</v>
      </c>
      <c r="K113" s="3">
        <v>6.33463422080737</v>
      </c>
      <c r="M113" s="2">
        <v>200604</v>
      </c>
      <c r="N113">
        <v>6.5950219310896498</v>
      </c>
      <c r="P113" s="2">
        <v>200604</v>
      </c>
      <c r="Q113">
        <v>6.3743951557948098</v>
      </c>
    </row>
    <row r="114" spans="2:17">
      <c r="B114" s="1">
        <v>38777</v>
      </c>
      <c r="C114" s="3">
        <v>6.2517764706958401</v>
      </c>
      <c r="D114">
        <v>6.5311291637044597</v>
      </c>
      <c r="E114">
        <v>6.33195188933444</v>
      </c>
      <c r="F114" s="3">
        <f t="shared" si="3"/>
        <v>-0.27935269300861965</v>
      </c>
      <c r="G114" s="3">
        <f t="shared" si="4"/>
        <v>-8.0175418638599893E-2</v>
      </c>
      <c r="H114" s="3">
        <f t="shared" si="5"/>
        <v>0.19917727437001975</v>
      </c>
      <c r="I114" s="3"/>
      <c r="J114" s="2">
        <v>200603</v>
      </c>
      <c r="K114" s="3">
        <v>6.2517764706958401</v>
      </c>
      <c r="M114" s="2">
        <v>200603</v>
      </c>
      <c r="N114">
        <v>6.5311291637044597</v>
      </c>
      <c r="P114" s="2">
        <v>200603</v>
      </c>
      <c r="Q114">
        <v>6.33195188933444</v>
      </c>
    </row>
    <row r="115" spans="2:17">
      <c r="B115" s="1">
        <v>38749</v>
      </c>
      <c r="C115" s="3">
        <v>6.26072411805806</v>
      </c>
      <c r="D115">
        <v>6.5243556051883598</v>
      </c>
      <c r="E115">
        <v>6.3116811213810102</v>
      </c>
      <c r="F115" s="3">
        <f t="shared" si="3"/>
        <v>-0.26363148713029982</v>
      </c>
      <c r="G115" s="3">
        <f t="shared" si="4"/>
        <v>-5.0957003322950278E-2</v>
      </c>
      <c r="H115" s="3">
        <f t="shared" si="5"/>
        <v>0.21267448380734955</v>
      </c>
      <c r="I115" s="3"/>
      <c r="J115" s="2">
        <v>200602</v>
      </c>
      <c r="K115" s="3">
        <v>6.26072411805806</v>
      </c>
      <c r="M115" s="2">
        <v>200602</v>
      </c>
      <c r="N115">
        <v>6.5243556051883598</v>
      </c>
      <c r="P115" s="2">
        <v>200602</v>
      </c>
      <c r="Q115">
        <v>6.3116811213810102</v>
      </c>
    </row>
    <row r="116" spans="2:17">
      <c r="B116" s="1">
        <v>38718</v>
      </c>
      <c r="C116" s="3">
        <v>6.3457197858094201</v>
      </c>
      <c r="D116">
        <v>6.6992419826455896</v>
      </c>
      <c r="E116">
        <v>6.3628324641039598</v>
      </c>
      <c r="F116" s="3">
        <f t="shared" si="3"/>
        <v>-0.35352219683616948</v>
      </c>
      <c r="G116" s="3">
        <f t="shared" si="4"/>
        <v>-1.7112678294539663E-2</v>
      </c>
      <c r="H116" s="3">
        <f t="shared" si="5"/>
        <v>0.33640951854162982</v>
      </c>
      <c r="I116" s="3"/>
      <c r="J116" s="2">
        <v>200601</v>
      </c>
      <c r="K116" s="3">
        <v>6.3457197858094201</v>
      </c>
      <c r="M116" s="2">
        <v>200601</v>
      </c>
      <c r="N116">
        <v>6.6992419826455896</v>
      </c>
      <c r="P116" s="2">
        <v>200601</v>
      </c>
      <c r="Q116">
        <v>6.3628324641039598</v>
      </c>
    </row>
    <row r="117" spans="2:17">
      <c r="B117" s="1">
        <v>38687</v>
      </c>
      <c r="C117" s="3">
        <v>6.1701049682385101</v>
      </c>
      <c r="D117">
        <v>6.4398390662426701</v>
      </c>
      <c r="E117">
        <v>6.1565698680312897</v>
      </c>
      <c r="F117" s="3">
        <f t="shared" si="3"/>
        <v>-0.26973409800416004</v>
      </c>
      <c r="G117" s="3">
        <f t="shared" si="4"/>
        <v>1.3535100207220374E-2</v>
      </c>
      <c r="H117" s="3">
        <f t="shared" si="5"/>
        <v>0.28326919821138041</v>
      </c>
      <c r="I117" s="3"/>
      <c r="J117" s="2">
        <v>200512</v>
      </c>
      <c r="K117" s="3">
        <v>6.1701049682385101</v>
      </c>
      <c r="M117" s="2">
        <v>200512</v>
      </c>
      <c r="N117">
        <v>6.4398390662426701</v>
      </c>
      <c r="P117" s="2">
        <v>200512</v>
      </c>
      <c r="Q117">
        <v>6.1565698680312897</v>
      </c>
    </row>
    <row r="118" spans="2:17">
      <c r="B118" s="1">
        <v>38657</v>
      </c>
      <c r="C118" s="3">
        <v>5.9335548859716498</v>
      </c>
      <c r="D118">
        <v>6.0168050603756402</v>
      </c>
      <c r="E118">
        <v>5.9572198059773998</v>
      </c>
      <c r="F118" s="3">
        <f t="shared" si="3"/>
        <v>-8.3250174403990407E-2</v>
      </c>
      <c r="G118" s="3">
        <f t="shared" si="4"/>
        <v>-2.3664920005749934E-2</v>
      </c>
      <c r="H118" s="3">
        <f t="shared" si="5"/>
        <v>5.9585254398240473E-2</v>
      </c>
      <c r="I118" s="3"/>
      <c r="J118" s="2">
        <v>200511</v>
      </c>
      <c r="K118" s="3">
        <v>5.9335548859716498</v>
      </c>
      <c r="M118" s="2">
        <v>200511</v>
      </c>
      <c r="N118">
        <v>6.0168050603756402</v>
      </c>
      <c r="P118" s="2">
        <v>200511</v>
      </c>
      <c r="Q118">
        <v>5.9572198059773998</v>
      </c>
    </row>
    <row r="119" spans="2:17">
      <c r="B119" s="1">
        <v>38626</v>
      </c>
      <c r="C119" s="3">
        <v>5.8721684941883998</v>
      </c>
      <c r="D119">
        <v>6.1644990759963996</v>
      </c>
      <c r="E119">
        <v>5.9013831029193904</v>
      </c>
      <c r="F119" s="3">
        <f t="shared" si="3"/>
        <v>-0.29233058180799976</v>
      </c>
      <c r="G119" s="3">
        <f t="shared" si="4"/>
        <v>-2.9214608730990577E-2</v>
      </c>
      <c r="H119" s="3">
        <f t="shared" si="5"/>
        <v>0.26311597307700918</v>
      </c>
      <c r="I119" s="3"/>
      <c r="J119" s="2">
        <v>200510</v>
      </c>
      <c r="K119" s="3">
        <v>5.8721684941883998</v>
      </c>
      <c r="M119" s="2">
        <v>200510</v>
      </c>
      <c r="N119">
        <v>6.1644990759963996</v>
      </c>
      <c r="P119" s="2">
        <v>200510</v>
      </c>
      <c r="Q119">
        <v>5.9013831029193904</v>
      </c>
    </row>
    <row r="120" spans="2:17">
      <c r="B120" s="1">
        <v>38596</v>
      </c>
      <c r="C120" s="3">
        <v>5.8167964902504403</v>
      </c>
      <c r="D120">
        <v>6.0967228769349804</v>
      </c>
      <c r="E120">
        <v>5.8503919933745401</v>
      </c>
      <c r="F120" s="3">
        <f t="shared" si="3"/>
        <v>-0.27992638668454006</v>
      </c>
      <c r="G120" s="3">
        <f t="shared" si="4"/>
        <v>-3.3595503124099757E-2</v>
      </c>
      <c r="H120" s="3">
        <f t="shared" si="5"/>
        <v>0.24633088356044031</v>
      </c>
      <c r="I120" s="3"/>
      <c r="J120" s="2">
        <v>200509</v>
      </c>
      <c r="K120" s="3">
        <v>5.8167964902504403</v>
      </c>
      <c r="M120" s="2">
        <v>200509</v>
      </c>
      <c r="N120">
        <v>6.0967228769349804</v>
      </c>
      <c r="P120" s="2">
        <v>200509</v>
      </c>
      <c r="Q120">
        <v>5.8503919933745401</v>
      </c>
    </row>
    <row r="121" spans="2:17">
      <c r="B121" s="1">
        <v>38565</v>
      </c>
      <c r="C121" s="3">
        <v>5.6977160723951297</v>
      </c>
      <c r="D121">
        <v>5.9893608987974698</v>
      </c>
      <c r="E121">
        <v>5.7074410882309099</v>
      </c>
      <c r="F121" s="3">
        <f t="shared" si="3"/>
        <v>-0.29164482640234013</v>
      </c>
      <c r="G121" s="3">
        <f t="shared" si="4"/>
        <v>-9.7250158357802263E-3</v>
      </c>
      <c r="H121" s="3">
        <f t="shared" si="5"/>
        <v>0.2819198105665599</v>
      </c>
      <c r="I121" s="3"/>
      <c r="J121" s="2">
        <v>200508</v>
      </c>
      <c r="K121" s="3">
        <v>5.6977160723951297</v>
      </c>
      <c r="M121" s="2">
        <v>200508</v>
      </c>
      <c r="N121">
        <v>5.9893608987974698</v>
      </c>
      <c r="P121" s="2">
        <v>200508</v>
      </c>
      <c r="Q121">
        <v>5.7074410882309099</v>
      </c>
    </row>
    <row r="122" spans="2:17">
      <c r="B122" s="1">
        <v>38534</v>
      </c>
      <c r="C122" s="3">
        <v>5.7299360729962299</v>
      </c>
      <c r="D122">
        <v>5.9383249305757397</v>
      </c>
      <c r="E122">
        <v>5.7548084648573399</v>
      </c>
      <c r="F122" s="3">
        <f t="shared" si="3"/>
        <v>-0.20838885757950987</v>
      </c>
      <c r="G122" s="3">
        <f t="shared" si="4"/>
        <v>-2.487239186111001E-2</v>
      </c>
      <c r="H122" s="3">
        <f t="shared" si="5"/>
        <v>0.18351646571839986</v>
      </c>
      <c r="I122" s="3"/>
      <c r="J122" s="2">
        <v>200507</v>
      </c>
      <c r="K122" s="3">
        <v>5.7299360729962299</v>
      </c>
      <c r="M122" s="2">
        <v>200507</v>
      </c>
      <c r="N122">
        <v>5.9383249305757397</v>
      </c>
      <c r="P122" s="2">
        <v>200507</v>
      </c>
      <c r="Q122">
        <v>5.7548084648573399</v>
      </c>
    </row>
    <row r="123" spans="2:17">
      <c r="B123" s="1">
        <v>38504</v>
      </c>
      <c r="C123" s="3">
        <v>5.9050738607028403</v>
      </c>
      <c r="D123">
        <v>6.1010741121785399</v>
      </c>
      <c r="E123">
        <v>5.8839004026215402</v>
      </c>
      <c r="F123" s="3">
        <f t="shared" si="3"/>
        <v>-0.19600025147569955</v>
      </c>
      <c r="G123" s="3">
        <f t="shared" si="4"/>
        <v>2.1173458081300112E-2</v>
      </c>
      <c r="H123" s="3">
        <f t="shared" si="5"/>
        <v>0.21717370955699966</v>
      </c>
      <c r="I123" s="3"/>
      <c r="J123" s="2">
        <v>200506</v>
      </c>
      <c r="K123" s="3">
        <v>5.9050738607028403</v>
      </c>
      <c r="M123" s="2">
        <v>200506</v>
      </c>
      <c r="N123">
        <v>6.1010741121785399</v>
      </c>
      <c r="P123" s="2">
        <v>200506</v>
      </c>
      <c r="Q123">
        <v>5.8839004026215402</v>
      </c>
    </row>
    <row r="124" spans="2:17">
      <c r="B124" s="1">
        <v>38473</v>
      </c>
      <c r="C124" s="3">
        <v>5.9603754873070498</v>
      </c>
      <c r="D124">
        <v>6.1142759738099901</v>
      </c>
      <c r="E124">
        <v>5.97749479090138</v>
      </c>
      <c r="F124" s="3">
        <f t="shared" si="3"/>
        <v>-0.1539004865029403</v>
      </c>
      <c r="G124" s="3">
        <f t="shared" si="4"/>
        <v>-1.7119303594330226E-2</v>
      </c>
      <c r="H124" s="3">
        <f t="shared" si="5"/>
        <v>0.13678118290861008</v>
      </c>
      <c r="I124" s="3"/>
      <c r="J124" s="2">
        <v>200505</v>
      </c>
      <c r="K124" s="3">
        <v>5.9603754873070498</v>
      </c>
      <c r="M124" s="2">
        <v>200505</v>
      </c>
      <c r="N124">
        <v>6.1142759738099901</v>
      </c>
      <c r="P124" s="2">
        <v>200505</v>
      </c>
      <c r="Q124">
        <v>5.97749479090138</v>
      </c>
    </row>
    <row r="125" spans="2:17">
      <c r="B125" s="1">
        <v>38443</v>
      </c>
      <c r="C125" s="3">
        <v>5.7399072643357698</v>
      </c>
      <c r="D125">
        <v>5.9901739928278399</v>
      </c>
      <c r="E125">
        <v>5.7249844475824103</v>
      </c>
      <c r="F125" s="3">
        <f t="shared" si="3"/>
        <v>-0.2502667284920701</v>
      </c>
      <c r="G125" s="3">
        <f t="shared" si="4"/>
        <v>1.4922816753359491E-2</v>
      </c>
      <c r="H125" s="3">
        <f t="shared" si="5"/>
        <v>0.26518954524542959</v>
      </c>
      <c r="I125" s="3"/>
      <c r="J125" s="2">
        <v>200504</v>
      </c>
      <c r="K125" s="3">
        <v>5.7399072643357698</v>
      </c>
      <c r="M125" s="2">
        <v>200504</v>
      </c>
      <c r="N125">
        <v>5.9901739928278399</v>
      </c>
      <c r="P125" s="2">
        <v>200504</v>
      </c>
      <c r="Q125">
        <v>5.7249844475824103</v>
      </c>
    </row>
    <row r="126" spans="2:17">
      <c r="B126" s="1">
        <v>38412</v>
      </c>
      <c r="C126" s="3">
        <v>5.6981602718682396</v>
      </c>
      <c r="D126">
        <v>5.93648297988483</v>
      </c>
      <c r="E126">
        <v>5.7070362465222102</v>
      </c>
      <c r="F126" s="3">
        <f t="shared" si="3"/>
        <v>-0.23832270801659039</v>
      </c>
      <c r="G126" s="3">
        <f t="shared" si="4"/>
        <v>-8.8759746539706086E-3</v>
      </c>
      <c r="H126" s="3">
        <f t="shared" si="5"/>
        <v>0.22944673336261978</v>
      </c>
      <c r="I126" s="3"/>
      <c r="J126" s="2">
        <v>200503</v>
      </c>
      <c r="K126" s="3">
        <v>5.6981602718682396</v>
      </c>
      <c r="M126" s="2">
        <v>200503</v>
      </c>
      <c r="N126">
        <v>5.93648297988483</v>
      </c>
      <c r="P126" s="2">
        <v>200503</v>
      </c>
      <c r="Q126">
        <v>5.7070362465222102</v>
      </c>
    </row>
    <row r="127" spans="2:17">
      <c r="B127" s="1">
        <v>38384</v>
      </c>
      <c r="C127" s="3">
        <v>5.76652782146496</v>
      </c>
      <c r="D127">
        <v>5.9528557282850896</v>
      </c>
      <c r="E127">
        <v>5.7821365213791696</v>
      </c>
      <c r="F127" s="3">
        <f t="shared" si="3"/>
        <v>-0.18632790682012956</v>
      </c>
      <c r="G127" s="3">
        <f t="shared" si="4"/>
        <v>-1.5608699914209545E-2</v>
      </c>
      <c r="H127" s="3">
        <f t="shared" si="5"/>
        <v>0.17071920690592002</v>
      </c>
      <c r="I127" s="3"/>
      <c r="J127" s="2">
        <v>200502</v>
      </c>
      <c r="K127" s="3">
        <v>5.76652782146496</v>
      </c>
      <c r="M127" s="2">
        <v>200502</v>
      </c>
      <c r="N127">
        <v>5.9528557282850896</v>
      </c>
      <c r="P127" s="2">
        <v>200502</v>
      </c>
      <c r="Q127">
        <v>5.7821365213791696</v>
      </c>
    </row>
    <row r="128" spans="2:17">
      <c r="B128" s="1">
        <v>38353</v>
      </c>
      <c r="C128" s="3">
        <v>5.8032417300236796</v>
      </c>
      <c r="D128">
        <v>6.0407426245425802</v>
      </c>
      <c r="E128">
        <v>5.7926575338044497</v>
      </c>
      <c r="J128" s="2">
        <v>200501</v>
      </c>
      <c r="K128" s="3">
        <v>5.8032417300236796</v>
      </c>
      <c r="M128" s="2">
        <v>200501</v>
      </c>
      <c r="N128">
        <v>6.0407426245425802</v>
      </c>
      <c r="P128" s="2">
        <v>200501</v>
      </c>
      <c r="Q128">
        <v>5.7926575338044497</v>
      </c>
    </row>
    <row r="129" spans="3:11">
      <c r="C129" s="3"/>
      <c r="J129" s="3"/>
      <c r="K129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Report</vt:lpstr>
      <vt:lpstr>Query</vt:lpstr>
      <vt:lpstr>LLwithCondition (2)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  <vt:lpstr>'LLwithCondition (2)'!temp</vt:lpstr>
      <vt:lpstr>'LLwithCondition (2)'!temp_1</vt:lpstr>
      <vt:lpstr>'LLwithCondition (2)'!temp_2</vt:lpstr>
      <vt:lpstr>'LLwithCondition (2)'!temp_3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2015-06-19T17:17:57Z</cp:lastPrinted>
  <dcterms:created xsi:type="dcterms:W3CDTF">2006-09-16T00:00:00Z</dcterms:created>
  <dcterms:modified xsi:type="dcterms:W3CDTF">2015-06-19T18:05:44Z</dcterms:modified>
</cp:coreProperties>
</file>