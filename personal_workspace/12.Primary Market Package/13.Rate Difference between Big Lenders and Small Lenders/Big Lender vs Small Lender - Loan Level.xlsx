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390" windowWidth="30435" windowHeight="17400"/>
  </bookViews>
  <sheets>
    <sheet name="LLwithCondition" sheetId="4" r:id="rId1"/>
    <sheet name="Sheet1" sheetId="1" r:id="rId2"/>
    <sheet name="Sheet2" sheetId="2" r:id="rId3"/>
    <sheet name="Sheet3" sheetId="3" r:id="rId4"/>
  </sheets>
  <externalReferences>
    <externalReference r:id="rId5"/>
    <externalReference r:id="rId6"/>
    <externalReference r:id="rId7"/>
  </externalReferences>
  <definedNames>
    <definedName name="CAPR">'[2]Wells - Conventional'!$C$5</definedName>
    <definedName name="CIR">'[2]Wells - Conventional'!$C$4</definedName>
    <definedName name="CP">'[2]Wells - Conventional'!$C$6</definedName>
    <definedName name="CurrentCloseDate">[1]Report!$U$2</definedName>
    <definedName name="DateToChangeLag">[1]Report!$U$12</definedName>
    <definedName name="HistoricalMtgRatesDataTable">#REF!</definedName>
    <definedName name="IR">#REF!</definedName>
    <definedName name="MmExcelLinker_D5EFE7B8_A5AE_4CC6_B628_05FDC84CBEA4">Early Market [3]Data!$C$44:$C$44</definedName>
    <definedName name="NoLagTopTenDataTable">#REF!</definedName>
    <definedName name="OneDayBusDate">#REF!</definedName>
    <definedName name="OneMonthBusDate">#REF!</definedName>
    <definedName name="OneWeekBusDate">#REF!</definedName>
    <definedName name="PDFReportDir">[1]Report!$U$3</definedName>
    <definedName name="PivotTable10">#REF!</definedName>
    <definedName name="PivotTable11">#REF!</definedName>
    <definedName name="PivotTable12">#REF!</definedName>
    <definedName name="temp" localSheetId="0">LLwithCondition!$B$3:$C$129</definedName>
    <definedName name="temp_1" localSheetId="0">LLwithCondition!$J$3:$K$129</definedName>
    <definedName name="temp_17">#REF!</definedName>
    <definedName name="temp_2" localSheetId="0">LLwithCondition!$M$3:$N$129</definedName>
    <definedName name="temp_8">#REF!</definedName>
  </definedNames>
  <calcPr calcId="145621"/>
</workbook>
</file>

<file path=xl/calcChain.xml><?xml version="1.0" encoding="utf-8"?>
<calcChain xmlns="http://schemas.openxmlformats.org/spreadsheetml/2006/main">
  <c r="H129" i="4" l="1"/>
  <c r="G129" i="4"/>
  <c r="F129" i="4"/>
  <c r="H128" i="4"/>
  <c r="G128" i="4"/>
  <c r="F128" i="4"/>
  <c r="H127" i="4"/>
  <c r="G127" i="4"/>
  <c r="F127" i="4"/>
  <c r="H126" i="4"/>
  <c r="G126" i="4"/>
  <c r="F126" i="4"/>
  <c r="H125" i="4"/>
  <c r="G125" i="4"/>
  <c r="F125" i="4"/>
  <c r="H124" i="4"/>
  <c r="G124" i="4"/>
  <c r="F124" i="4"/>
  <c r="H123" i="4"/>
  <c r="G123" i="4"/>
  <c r="F123" i="4"/>
  <c r="H122" i="4"/>
  <c r="G122" i="4"/>
  <c r="F122" i="4"/>
  <c r="H121" i="4"/>
  <c r="G121" i="4"/>
  <c r="F121" i="4"/>
  <c r="H120" i="4"/>
  <c r="G120" i="4"/>
  <c r="F120" i="4"/>
  <c r="H119" i="4"/>
  <c r="G119" i="4"/>
  <c r="F119" i="4"/>
  <c r="H118" i="4"/>
  <c r="G118" i="4"/>
  <c r="F118" i="4"/>
  <c r="H117" i="4"/>
  <c r="G117" i="4"/>
  <c r="F117" i="4"/>
  <c r="H116" i="4"/>
  <c r="G116" i="4"/>
  <c r="F116" i="4"/>
  <c r="H115" i="4"/>
  <c r="G115" i="4"/>
  <c r="F115" i="4"/>
  <c r="H114" i="4"/>
  <c r="G114" i="4"/>
  <c r="F114" i="4"/>
  <c r="H113" i="4"/>
  <c r="G113" i="4"/>
  <c r="F113" i="4"/>
  <c r="H112" i="4"/>
  <c r="G112" i="4"/>
  <c r="F112" i="4"/>
  <c r="H111" i="4"/>
  <c r="G111" i="4"/>
  <c r="F111" i="4"/>
  <c r="H110" i="4"/>
  <c r="G110" i="4"/>
  <c r="F110" i="4"/>
  <c r="H109" i="4"/>
  <c r="G109" i="4"/>
  <c r="F109" i="4"/>
  <c r="H108" i="4"/>
  <c r="G108" i="4"/>
  <c r="F108" i="4"/>
  <c r="H107" i="4"/>
  <c r="G107" i="4"/>
  <c r="F107" i="4"/>
  <c r="H106" i="4"/>
  <c r="G106" i="4"/>
  <c r="F106" i="4"/>
  <c r="H105" i="4"/>
  <c r="G105" i="4"/>
  <c r="F105" i="4"/>
  <c r="H104" i="4"/>
  <c r="G104" i="4"/>
  <c r="F104" i="4"/>
  <c r="H103" i="4"/>
  <c r="G103" i="4"/>
  <c r="F103" i="4"/>
  <c r="H102" i="4"/>
  <c r="G102" i="4"/>
  <c r="F102" i="4"/>
  <c r="H101" i="4"/>
  <c r="G101" i="4"/>
  <c r="F101" i="4"/>
  <c r="H100" i="4"/>
  <c r="G100" i="4"/>
  <c r="F100" i="4"/>
  <c r="H99" i="4"/>
  <c r="G99" i="4"/>
  <c r="F99" i="4"/>
  <c r="H98" i="4"/>
  <c r="G98" i="4"/>
  <c r="F98" i="4"/>
  <c r="H97" i="4"/>
  <c r="G97" i="4"/>
  <c r="F97" i="4"/>
  <c r="H96" i="4"/>
  <c r="G96" i="4"/>
  <c r="F96" i="4"/>
  <c r="H95" i="4"/>
  <c r="G95" i="4"/>
  <c r="F95" i="4"/>
  <c r="H94" i="4"/>
  <c r="G94" i="4"/>
  <c r="F94" i="4"/>
  <c r="H93" i="4"/>
  <c r="G93" i="4"/>
  <c r="F93" i="4"/>
  <c r="H92" i="4"/>
  <c r="G92" i="4"/>
  <c r="F92" i="4"/>
  <c r="H91" i="4"/>
  <c r="G91" i="4"/>
  <c r="F91" i="4"/>
  <c r="H90" i="4"/>
  <c r="G90" i="4"/>
  <c r="F90" i="4"/>
  <c r="H89" i="4"/>
  <c r="G89" i="4"/>
  <c r="F89" i="4"/>
  <c r="H88" i="4"/>
  <c r="G88" i="4"/>
  <c r="F88" i="4"/>
  <c r="H87" i="4"/>
  <c r="G87" i="4"/>
  <c r="F87" i="4"/>
  <c r="H86" i="4"/>
  <c r="G86" i="4"/>
  <c r="F86" i="4"/>
  <c r="H85" i="4"/>
  <c r="G85" i="4"/>
  <c r="F85" i="4"/>
  <c r="H84" i="4"/>
  <c r="G84" i="4"/>
  <c r="F84" i="4"/>
  <c r="H83" i="4"/>
  <c r="G83" i="4"/>
  <c r="F83" i="4"/>
  <c r="H82" i="4"/>
  <c r="G82" i="4"/>
  <c r="F82" i="4"/>
  <c r="H81" i="4"/>
  <c r="G81" i="4"/>
  <c r="F81" i="4"/>
  <c r="H80" i="4"/>
  <c r="G80" i="4"/>
  <c r="F80" i="4"/>
  <c r="H79" i="4"/>
  <c r="G79" i="4"/>
  <c r="F79" i="4"/>
  <c r="H78" i="4"/>
  <c r="G78" i="4"/>
  <c r="F78" i="4"/>
  <c r="H77" i="4"/>
  <c r="G77" i="4"/>
  <c r="F77" i="4"/>
  <c r="H76" i="4"/>
  <c r="G76" i="4"/>
  <c r="F76" i="4"/>
  <c r="H75" i="4"/>
  <c r="G75" i="4"/>
  <c r="F75" i="4"/>
  <c r="H74" i="4"/>
  <c r="G74" i="4"/>
  <c r="F74" i="4"/>
  <c r="H73" i="4"/>
  <c r="G73" i="4"/>
  <c r="F73" i="4"/>
  <c r="H72" i="4"/>
  <c r="G72" i="4"/>
  <c r="F72" i="4"/>
  <c r="H71" i="4"/>
  <c r="G71" i="4"/>
  <c r="F71" i="4"/>
  <c r="H70" i="4"/>
  <c r="G70" i="4"/>
  <c r="F70" i="4"/>
  <c r="H69" i="4"/>
  <c r="G69" i="4"/>
  <c r="F69" i="4"/>
  <c r="H68" i="4"/>
  <c r="G68" i="4"/>
  <c r="F68" i="4"/>
  <c r="H67" i="4"/>
  <c r="G67" i="4"/>
  <c r="F67" i="4"/>
  <c r="H66" i="4"/>
  <c r="G66" i="4"/>
  <c r="F66" i="4"/>
  <c r="H65" i="4"/>
  <c r="G65" i="4"/>
  <c r="F65" i="4"/>
  <c r="H64" i="4"/>
  <c r="G64" i="4"/>
  <c r="F64" i="4"/>
  <c r="H63" i="4"/>
  <c r="G63" i="4"/>
  <c r="F63" i="4"/>
  <c r="H62" i="4"/>
  <c r="G62" i="4"/>
  <c r="F62" i="4"/>
  <c r="H61" i="4"/>
  <c r="G61" i="4"/>
  <c r="F61" i="4"/>
  <c r="H60" i="4"/>
  <c r="G60" i="4"/>
  <c r="F60" i="4"/>
  <c r="H59" i="4"/>
  <c r="G59" i="4"/>
  <c r="F59" i="4"/>
  <c r="H58" i="4"/>
  <c r="G58" i="4"/>
  <c r="F58" i="4"/>
  <c r="H57" i="4"/>
  <c r="G57" i="4"/>
  <c r="F57" i="4"/>
  <c r="H56" i="4"/>
  <c r="G56" i="4"/>
  <c r="F56" i="4"/>
  <c r="H55" i="4"/>
  <c r="G55" i="4"/>
  <c r="F55" i="4"/>
  <c r="H54" i="4"/>
  <c r="G54" i="4"/>
  <c r="F54" i="4"/>
  <c r="H53" i="4"/>
  <c r="G53" i="4"/>
  <c r="F53" i="4"/>
  <c r="H52" i="4"/>
  <c r="G52" i="4"/>
  <c r="F52" i="4"/>
  <c r="H51" i="4"/>
  <c r="G51" i="4"/>
  <c r="F51" i="4"/>
  <c r="H50" i="4"/>
  <c r="G50" i="4"/>
  <c r="F50" i="4"/>
  <c r="H49" i="4"/>
  <c r="G49" i="4"/>
  <c r="F49" i="4"/>
  <c r="H48" i="4"/>
  <c r="G48" i="4"/>
  <c r="F48" i="4"/>
  <c r="H47" i="4"/>
  <c r="G47" i="4"/>
  <c r="F47" i="4"/>
  <c r="H46" i="4"/>
  <c r="G46" i="4"/>
  <c r="F46" i="4"/>
  <c r="H45" i="4"/>
  <c r="G45" i="4"/>
  <c r="F45" i="4"/>
  <c r="H44" i="4"/>
  <c r="G44" i="4"/>
  <c r="F44" i="4"/>
  <c r="H43" i="4"/>
  <c r="G43" i="4"/>
  <c r="F43" i="4"/>
  <c r="H42" i="4"/>
  <c r="G42" i="4"/>
  <c r="F42" i="4"/>
  <c r="H41" i="4"/>
  <c r="G41" i="4"/>
  <c r="F41" i="4"/>
  <c r="H40" i="4"/>
  <c r="G40" i="4"/>
  <c r="F40" i="4"/>
  <c r="H39" i="4"/>
  <c r="G39" i="4"/>
  <c r="F39" i="4"/>
  <c r="H38" i="4"/>
  <c r="G38" i="4"/>
  <c r="F38" i="4"/>
  <c r="H37" i="4"/>
  <c r="G37" i="4"/>
  <c r="F37" i="4"/>
  <c r="H36" i="4"/>
  <c r="G36" i="4"/>
  <c r="F36" i="4"/>
  <c r="H35" i="4"/>
  <c r="G35" i="4"/>
  <c r="F35" i="4"/>
  <c r="H34" i="4"/>
  <c r="G34" i="4"/>
  <c r="F34" i="4"/>
  <c r="H33" i="4"/>
  <c r="G33" i="4"/>
  <c r="F33" i="4"/>
  <c r="H32" i="4"/>
  <c r="G32" i="4"/>
  <c r="F32" i="4"/>
  <c r="H31" i="4"/>
  <c r="G31" i="4"/>
  <c r="F31" i="4"/>
  <c r="H30" i="4"/>
  <c r="G30" i="4"/>
  <c r="F30" i="4"/>
  <c r="H29" i="4"/>
  <c r="G29" i="4"/>
  <c r="F29" i="4"/>
  <c r="H28" i="4"/>
  <c r="G28" i="4"/>
  <c r="F28" i="4"/>
  <c r="H27" i="4"/>
  <c r="G27" i="4"/>
  <c r="F27" i="4"/>
  <c r="H26" i="4"/>
  <c r="G26" i="4"/>
  <c r="F26" i="4"/>
  <c r="H25" i="4"/>
  <c r="G25" i="4"/>
  <c r="F25" i="4"/>
  <c r="H24" i="4"/>
  <c r="G24" i="4"/>
  <c r="F24" i="4"/>
  <c r="H23" i="4"/>
  <c r="G23" i="4"/>
  <c r="F23" i="4"/>
  <c r="H22" i="4"/>
  <c r="G22" i="4"/>
  <c r="F22" i="4"/>
  <c r="H21" i="4"/>
  <c r="G21" i="4"/>
  <c r="F21" i="4"/>
  <c r="H20" i="4"/>
  <c r="G20" i="4"/>
  <c r="F20" i="4"/>
  <c r="H19" i="4"/>
  <c r="G19" i="4"/>
  <c r="F19" i="4"/>
  <c r="H18" i="4"/>
  <c r="G18" i="4"/>
  <c r="F18" i="4"/>
  <c r="H17" i="4"/>
  <c r="G17" i="4"/>
  <c r="F17" i="4"/>
  <c r="H16" i="4"/>
  <c r="G16" i="4"/>
  <c r="F16" i="4"/>
  <c r="H15" i="4"/>
  <c r="G15" i="4"/>
  <c r="F15" i="4"/>
  <c r="H14" i="4"/>
  <c r="G14" i="4"/>
  <c r="F14" i="4"/>
  <c r="H13" i="4"/>
  <c r="G13" i="4"/>
  <c r="F13" i="4"/>
  <c r="H12" i="4"/>
  <c r="G12" i="4"/>
  <c r="F12" i="4"/>
  <c r="H11" i="4"/>
  <c r="G11" i="4"/>
  <c r="F11" i="4"/>
  <c r="H10" i="4"/>
  <c r="G10" i="4"/>
  <c r="F10" i="4"/>
  <c r="H9" i="4"/>
  <c r="G9" i="4"/>
  <c r="F9" i="4"/>
  <c r="H8" i="4"/>
  <c r="G8" i="4"/>
  <c r="F8" i="4"/>
  <c r="H7" i="4"/>
  <c r="G7" i="4"/>
  <c r="F7" i="4"/>
  <c r="H6" i="4"/>
  <c r="G6" i="4"/>
  <c r="F6" i="4"/>
  <c r="H5" i="4"/>
  <c r="G5" i="4"/>
  <c r="F5" i="4"/>
  <c r="H4" i="4"/>
  <c r="G4" i="4"/>
  <c r="F4" i="4"/>
</calcChain>
</file>

<file path=xl/connections.xml><?xml version="1.0" encoding="utf-8"?>
<connections xmlns="http://schemas.openxmlformats.org/spreadsheetml/2006/main">
  <connection id="1" name="temp5" type="6" refreshedVersion="4" background="1" saveData="1">
    <textPr codePage="437" sourceFile="C:\Users\lien.chen\Desktop\temp.csv" space="1" comma="1" consecutive="1" qualifier="singleQuote">
      <textFields count="2">
        <textField/>
        <textField/>
      </textFields>
    </textPr>
  </connection>
  <connection id="2" name="temp6" type="6" refreshedVersion="4" background="1" saveData="1">
    <textPr codePage="437" sourceFile="C:\Users\lien.chen\Desktop\temp.csv" space="1" comma="1" consecutive="1" qualifier="singleQuote">
      <textFields count="2">
        <textField/>
        <textField/>
      </textFields>
    </textPr>
  </connection>
  <connection id="3" name="temp7" type="6" refreshedVersion="4" background="1" saveData="1">
    <textPr codePage="437" sourceFile="C:\Users\lien.chen\Desktop\temp.csv" space="1" comma="1" consecutive="1" qualifier="singleQuote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<sst xmlns="http://schemas.openxmlformats.org/spreadsheetml/2006/main" count="14" uniqueCount="7">
  <si>
    <t>Big Bank</t>
  </si>
  <si>
    <t>Big Non-Bank</t>
  </si>
  <si>
    <t>Small Lender</t>
  </si>
  <si>
    <t>poolIssueDate</t>
  </si>
  <si>
    <t>1-2</t>
  </si>
  <si>
    <t>1-3</t>
  </si>
  <si>
    <t>2-3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</si>
</sst>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4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\£\ #,##0_);[Red]\(\£\ #,##0\)"/>
    <numFmt numFmtId="165" formatCode="\¥\ #,##0_);[Red]\(\¥\ #,##0\)"/>
    <numFmt numFmtId="166" formatCode="\•\ \ @"/>
    <numFmt numFmtId="167" formatCode="_(&quot;$&quot;* #,##0_);_(&quot;$&quot;* \(#,##0.0\);_(&quot;$&quot;* &quot;-&quot;??_);_(@_)"/>
    <numFmt numFmtId="168" formatCode="&quot;$&quot;#,##0.000"/>
    <numFmt numFmtId="169" formatCode="&quot;$&quot;#,##0.000000_);\(&quot;$&quot;#,##0.000000\)"/>
    <numFmt numFmtId="170" formatCode="#,##0.0_);[Red]\(&quot;$&quot;#,##0.0\)"/>
    <numFmt numFmtId="171" formatCode="0.000_)"/>
    <numFmt numFmtId="172" formatCode="\ \ _•\–\ \ \ \ @"/>
    <numFmt numFmtId="173" formatCode="0.00&quot;%&quot;"/>
    <numFmt numFmtId="174" formatCode="0&quot;%&quot;"/>
    <numFmt numFmtId="175" formatCode="mmmm\ d\,\ yyyy"/>
    <numFmt numFmtId="176" formatCode="0.000"/>
    <numFmt numFmtId="177" formatCode="0.0000000"/>
    <numFmt numFmtId="178" formatCode="_([$€-2]* #,##0.00_);_([$€-2]* \(#,##0.00\);_([$€-2]* &quot;-&quot;??_)"/>
    <numFmt numFmtId="179" formatCode="dd\-mmm\-yy\ hh:mm:ss"/>
    <numFmt numFmtId="180" formatCode="0.00_)"/>
    <numFmt numFmtId="181" formatCode="0.0#\%;\-0.0#\%"/>
    <numFmt numFmtId="182" formatCode="#,##0.0\ ;\(#,##0.0\)"/>
    <numFmt numFmtId="183" formatCode="#,##0\ \ \ ;\(#,##0\)\ \ "/>
    <numFmt numFmtId="184" formatCode="0.0"/>
    <numFmt numFmtId="185" formatCode="0.0000_)"/>
    <numFmt numFmtId="186" formatCode="0.000;\-0.000"/>
    <numFmt numFmtId="187" formatCode="0.00;\-0.00"/>
    <numFmt numFmtId="188" formatCode="#,##0.0_);\(#,##0.0\)"/>
    <numFmt numFmtId="189" formatCode="mm/dd/yy"/>
    <numFmt numFmtId="190" formatCode="#,###\ &quot;Months&quot;"/>
    <numFmt numFmtId="191" formatCode="##########.###"/>
    <numFmt numFmtId="192" formatCode="0.0#%"/>
    <numFmt numFmtId="193" formatCode="0.0;\-0.0"/>
  </numFmts>
  <fonts count="1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9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0"/>
      <color indexed="20"/>
      <name val="Calibri"/>
      <family val="2"/>
    </font>
    <font>
      <sz val="10"/>
      <color indexed="10"/>
      <name val="Arial"/>
      <family val="2"/>
    </font>
    <font>
      <sz val="11"/>
      <color indexed="20"/>
      <name val="Calibri"/>
      <family val="2"/>
    </font>
    <font>
      <b/>
      <sz val="10"/>
      <color indexed="8"/>
      <name val="Arial"/>
      <family val="2"/>
    </font>
    <font>
      <sz val="8"/>
      <color indexed="12"/>
      <name val="Tms Rmn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2"/>
      <name val="Tms Rmn"/>
    </font>
    <font>
      <b/>
      <sz val="12"/>
      <name val="Times New Roman"/>
      <family val="1"/>
    </font>
    <font>
      <sz val="9"/>
      <name val="Arial"/>
      <family val="2"/>
    </font>
    <font>
      <sz val="10"/>
      <name val="Century Schoolbook"/>
      <family val="1"/>
    </font>
    <font>
      <b/>
      <sz val="10"/>
      <color indexed="52"/>
      <name val="Calibri"/>
      <family val="2"/>
    </font>
    <font>
      <b/>
      <sz val="10"/>
      <color indexed="52"/>
      <name val="Arial"/>
      <family val="2"/>
    </font>
    <font>
      <b/>
      <sz val="11"/>
      <color indexed="52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rgb="FFFA7D00"/>
      <name val="Calibri"/>
      <family val="2"/>
      <scheme val="minor"/>
    </font>
    <font>
      <sz val="10"/>
      <color theme="4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0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indexed="9"/>
      <name val="Calibri"/>
      <family val="2"/>
    </font>
    <font>
      <sz val="8"/>
      <name val="Arial"/>
      <family val="2"/>
    </font>
    <font>
      <sz val="11"/>
      <name val="Tms Rmn"/>
      <family val="1"/>
    </font>
    <font>
      <sz val="11"/>
      <name val="Tms Rmn"/>
    </font>
    <font>
      <sz val="10"/>
      <name val="Helv"/>
    </font>
    <font>
      <sz val="10"/>
      <name val="MS Serif"/>
      <family val="1"/>
    </font>
    <font>
      <b/>
      <sz val="8"/>
      <name val="Arial"/>
      <family val="2"/>
    </font>
    <font>
      <sz val="11"/>
      <color indexed="12"/>
      <name val="Book Antiqua"/>
      <family val="1"/>
    </font>
    <font>
      <sz val="10"/>
      <name val="Times New Roman"/>
      <family val="1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MS Sans Serif"/>
      <family val="2"/>
    </font>
    <font>
      <sz val="10"/>
      <color indexed="16"/>
      <name val="MS Serif"/>
      <family val="1"/>
    </font>
    <font>
      <b/>
      <sz val="9.5"/>
      <color indexed="10"/>
      <name val="Arial"/>
      <family val="2"/>
    </font>
    <font>
      <i/>
      <sz val="10"/>
      <color indexed="23"/>
      <name val="Calibri"/>
      <family val="2"/>
    </font>
    <font>
      <i/>
      <sz val="10"/>
      <color indexed="23"/>
      <name val="Arial"/>
      <family val="2"/>
    </font>
    <font>
      <i/>
      <sz val="11"/>
      <color indexed="23"/>
      <name val="Calibri"/>
      <family val="2"/>
    </font>
    <font>
      <sz val="10"/>
      <color indexed="17"/>
      <name val="Calibri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b/>
      <sz val="9"/>
      <color indexed="23"/>
      <name val="Arial"/>
      <family val="2"/>
    </font>
    <font>
      <b/>
      <sz val="12"/>
      <name val="Arial"/>
      <family val="2"/>
    </font>
    <font>
      <b/>
      <sz val="11"/>
      <name val="Book Antiqua"/>
      <family val="1"/>
    </font>
    <font>
      <b/>
      <sz val="15"/>
      <color indexed="62"/>
      <name val="Calibri"/>
      <family val="2"/>
    </font>
    <font>
      <b/>
      <sz val="15"/>
      <color indexed="56"/>
      <name val="Arial"/>
      <family val="2"/>
    </font>
    <font>
      <b/>
      <sz val="10"/>
      <name val="Times New Roman"/>
      <family val="1"/>
    </font>
    <font>
      <b/>
      <sz val="18"/>
      <name val="Arial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Arial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Arial"/>
      <family val="2"/>
    </font>
    <font>
      <b/>
      <sz val="11"/>
      <color indexed="56"/>
      <name val="Calibri"/>
      <family val="2"/>
    </font>
    <font>
      <b/>
      <sz val="16"/>
      <color indexed="8"/>
      <name val="Arial"/>
      <family val="2"/>
    </font>
    <font>
      <u/>
      <sz val="9"/>
      <color theme="10"/>
      <name val="Arial"/>
      <family val="2"/>
    </font>
    <font>
      <sz val="10"/>
      <color indexed="12"/>
      <name val="MS Sans Serif"/>
      <family val="2"/>
    </font>
    <font>
      <sz val="10"/>
      <color indexed="56"/>
      <name val="Arial"/>
      <family val="2"/>
    </font>
    <font>
      <sz val="10"/>
      <color indexed="12"/>
      <name val="Arial"/>
      <family val="2"/>
    </font>
    <font>
      <b/>
      <sz val="10"/>
      <name val="Book Antiqua"/>
      <family val="1"/>
    </font>
    <font>
      <sz val="10"/>
      <color indexed="52"/>
      <name val="Calibri"/>
      <family val="2"/>
    </font>
    <font>
      <sz val="10"/>
      <color indexed="52"/>
      <name val="Arial"/>
      <family val="2"/>
    </font>
    <font>
      <sz val="11"/>
      <color indexed="52"/>
      <name val="Calibri"/>
      <family val="2"/>
    </font>
    <font>
      <sz val="10"/>
      <color indexed="60"/>
      <name val="Calibri"/>
      <family val="2"/>
    </font>
    <font>
      <sz val="10"/>
      <color indexed="60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9"/>
      <color theme="1"/>
      <name val="Arial"/>
      <family val="2"/>
    </font>
    <font>
      <b/>
      <sz val="11"/>
      <name val="Arial"/>
      <family val="2"/>
    </font>
    <font>
      <b/>
      <i/>
      <sz val="8"/>
      <name val="Book Antiqua"/>
      <family val="1"/>
    </font>
    <font>
      <sz val="10"/>
      <name val="Book Antiqua"/>
      <family val="1"/>
    </font>
    <font>
      <b/>
      <sz val="9"/>
      <color indexed="52"/>
      <name val="Arial"/>
      <family val="2"/>
    </font>
    <font>
      <b/>
      <sz val="10"/>
      <color indexed="63"/>
      <name val="Calibri"/>
      <family val="2"/>
    </font>
    <font>
      <b/>
      <sz val="10"/>
      <color indexed="63"/>
      <name val="Arial"/>
      <family val="2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9"/>
      <name val="Times New Roman"/>
      <family val="1"/>
    </font>
    <font>
      <b/>
      <sz val="9"/>
      <name val="Arial"/>
      <family val="2"/>
    </font>
    <font>
      <b/>
      <sz val="10"/>
      <color indexed="8"/>
      <name val="Arial Narrow"/>
      <family val="2"/>
    </font>
    <font>
      <b/>
      <sz val="10"/>
      <name val="MS Sans Serif"/>
      <family val="2"/>
    </font>
    <font>
      <sz val="8"/>
      <name val="Helv"/>
    </font>
    <font>
      <b/>
      <sz val="14"/>
      <name val="Arial Narrow"/>
      <family val="2"/>
    </font>
    <font>
      <sz val="9"/>
      <color indexed="10"/>
      <name val="Arial"/>
      <family val="2"/>
    </font>
    <font>
      <sz val="9"/>
      <color indexed="8"/>
      <name val="Times New Roman"/>
      <family val="1"/>
    </font>
    <font>
      <b/>
      <sz val="8"/>
      <color indexed="12"/>
      <name val="Arial"/>
      <family val="2"/>
    </font>
    <font>
      <b/>
      <sz val="8"/>
      <color indexed="8"/>
      <name val="Helv"/>
    </font>
    <font>
      <b/>
      <i/>
      <sz val="9"/>
      <name val="Arial"/>
      <family val="2"/>
    </font>
    <font>
      <sz val="9"/>
      <color indexed="9"/>
      <name val="Arial"/>
      <family val="2"/>
    </font>
    <font>
      <b/>
      <u/>
      <sz val="8"/>
      <name val="Arial"/>
      <family val="2"/>
    </font>
    <font>
      <sz val="8"/>
      <name val="Book Antiqua"/>
      <family val="1"/>
    </font>
    <font>
      <sz val="10"/>
      <name val="Courier New"/>
      <family val="3"/>
    </font>
    <font>
      <sz val="10"/>
      <color indexed="12"/>
      <name val="Courier New"/>
      <family val="3"/>
    </font>
    <font>
      <b/>
      <u/>
      <sz val="9"/>
      <name val="Arial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10"/>
      <name val="Arial"/>
      <family val="2"/>
    </font>
    <font>
      <sz val="10"/>
      <color indexed="10"/>
      <name val="Calibri"/>
      <family val="2"/>
    </font>
    <font>
      <sz val="10"/>
      <color indexed="53"/>
      <name val="Arial"/>
      <family val="2"/>
    </font>
    <font>
      <sz val="11"/>
      <color indexed="10"/>
      <name val="Calibri"/>
      <family val="2"/>
    </font>
    <font>
      <sz val="10"/>
      <color theme="6" tint="-0.24994659260841701"/>
      <name val="Calibri"/>
      <family val="2"/>
      <scheme val="minor"/>
    </font>
    <font>
      <sz val="11"/>
      <color theme="5"/>
      <name val="Calibri"/>
      <family val="2"/>
      <scheme val="minor"/>
    </font>
    <font>
      <sz val="10"/>
      <color theme="2" tint="-0.499984740745262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theme="7" tint="-0.24994659260841701"/>
      <name val="Calibri"/>
      <family val="2"/>
      <scheme val="minor"/>
    </font>
    <font>
      <sz val="11"/>
      <color theme="6" tint="-0.24994659260841701"/>
      <name val="Calibri"/>
      <family val="2"/>
      <scheme val="minor"/>
    </font>
  </fonts>
  <fills count="52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/>
        <bgColor theme="4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13"/>
      </patternFill>
    </fill>
    <fill>
      <patternFill patternType="solid">
        <fgColor indexed="22"/>
      </patternFill>
    </fill>
    <fill>
      <patternFill patternType="solid">
        <fgColor indexed="40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15"/>
      </patternFill>
    </fill>
    <fill>
      <patternFill patternType="solid">
        <fgColor indexed="30"/>
      </patternFill>
    </fill>
    <fill>
      <patternFill patternType="solid">
        <fgColor indexed="18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6F9FC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EFEBE4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8"/>
      </patternFill>
    </fill>
    <fill>
      <patternFill patternType="solid">
        <fgColor rgb="FFEFF3E5"/>
        <bgColor indexed="64"/>
      </patternFill>
    </fill>
    <fill>
      <patternFill patternType="solid">
        <fgColor rgb="FFF2F1EA"/>
        <bgColor indexed="64"/>
      </patternFill>
    </fill>
    <fill>
      <patternFill patternType="solid">
        <fgColor rgb="FFE5F4F7"/>
        <bgColor indexed="64"/>
      </patternFill>
    </fill>
    <fill>
      <patternFill patternType="solid">
        <fgColor theme="8" tint="0.79998168889431442"/>
        <bgColor indexed="64"/>
      </patternFill>
    </fill>
  </fills>
  <borders count="4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hair">
        <color rgb="FF7F7F7F"/>
      </top>
      <bottom style="hair">
        <color rgb="FF7F7F7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rgb="FF3F3F3F"/>
      </top>
      <bottom style="hair">
        <color rgb="FF3F3F3F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15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15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tted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25">
    <xf numFmtId="0" fontId="0" fillId="0" borderId="0"/>
    <xf numFmtId="0" fontId="5" fillId="0" borderId="0" applyNumberFormat="0" applyFill="0" applyBorder="0" applyAlignment="0" applyProtection="0">
      <alignment horizontal="left" wrapText="1"/>
    </xf>
    <xf numFmtId="0" fontId="5" fillId="0" borderId="0" applyNumberFormat="0" applyFill="0" applyBorder="0" applyAlignment="0" applyProtection="0">
      <alignment horizontal="left" wrapText="1"/>
    </xf>
    <xf numFmtId="0" fontId="5" fillId="0" borderId="0" applyNumberFormat="0" applyFill="0" applyBorder="0" applyAlignment="0" applyProtection="0">
      <alignment horizontal="left" wrapText="1"/>
    </xf>
    <xf numFmtId="0" fontId="5" fillId="0" borderId="0" applyNumberFormat="0" applyFill="0" applyBorder="0" applyAlignment="0" applyProtection="0">
      <alignment horizontal="left" wrapText="1"/>
    </xf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0" applyNumberFormat="0" applyBorder="0" applyAlignment="0" applyProtection="0"/>
    <xf numFmtId="0" fontId="8" fillId="8" borderId="0" applyNumberFormat="0" applyBorder="0" applyAlignment="0" applyProtection="0"/>
    <xf numFmtId="0" fontId="9" fillId="8" borderId="0" applyNumberFormat="0" applyBorder="0" applyAlignment="0" applyProtection="0"/>
    <xf numFmtId="0" fontId="10" fillId="9" borderId="0" applyNumberFormat="0" applyBorder="0" applyAlignment="0" applyProtection="0"/>
    <xf numFmtId="0" fontId="8" fillId="10" borderId="0" applyNumberFormat="0" applyBorder="0" applyAlignment="0" applyProtection="0"/>
    <xf numFmtId="0" fontId="9" fillId="9" borderId="0" applyNumberFormat="0" applyBorder="0" applyAlignment="0" applyProtection="0"/>
    <xf numFmtId="0" fontId="10" fillId="11" borderId="0" applyNumberFormat="0" applyBorder="0" applyAlignment="0" applyProtection="0"/>
    <xf numFmtId="0" fontId="8" fillId="12" borderId="0" applyNumberFormat="0" applyBorder="0" applyAlignment="0" applyProtection="0"/>
    <xf numFmtId="0" fontId="9" fillId="13" borderId="0" applyNumberFormat="0" applyBorder="0" applyAlignment="0" applyProtection="0"/>
    <xf numFmtId="0" fontId="10" fillId="12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0" fillId="6" borderId="0" applyNumberFormat="0" applyBorder="0" applyAlignment="0" applyProtection="0"/>
    <xf numFmtId="0" fontId="8" fillId="14" borderId="0" applyNumberFormat="0" applyBorder="0" applyAlignment="0" applyProtection="0"/>
    <xf numFmtId="0" fontId="9" fillId="15" borderId="0" applyNumberFormat="0" applyBorder="0" applyAlignment="0" applyProtection="0"/>
    <xf numFmtId="0" fontId="10" fillId="16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0" fillId="17" borderId="0" applyNumberFormat="0" applyBorder="0" applyAlignment="0" applyProtection="0"/>
    <xf numFmtId="0" fontId="8" fillId="8" borderId="0" applyNumberFormat="0" applyBorder="0" applyAlignment="0" applyProtection="0"/>
    <xf numFmtId="0" fontId="9" fillId="11" borderId="0" applyNumberFormat="0" applyBorder="0" applyAlignment="0" applyProtection="0"/>
    <xf numFmtId="0" fontId="10" fillId="18" borderId="0" applyNumberFormat="0" applyBorder="0" applyAlignment="0" applyProtection="0"/>
    <xf numFmtId="0" fontId="8" fillId="14" borderId="0" applyNumberFormat="0" applyBorder="0" applyAlignment="0" applyProtection="0"/>
    <xf numFmtId="0" fontId="9" fillId="19" borderId="0" applyNumberFormat="0" applyBorder="0" applyAlignment="0" applyProtection="0"/>
    <xf numFmtId="0" fontId="10" fillId="11" borderId="0" applyNumberFormat="0" applyBorder="0" applyAlignment="0" applyProtection="0"/>
    <xf numFmtId="0" fontId="8" fillId="16" borderId="0" applyNumberFormat="0" applyBorder="0" applyAlignment="0" applyProtection="0"/>
    <xf numFmtId="0" fontId="9" fillId="13" borderId="0" applyNumberFormat="0" applyBorder="0" applyAlignment="0" applyProtection="0"/>
    <xf numFmtId="0" fontId="10" fillId="1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0" applyNumberFormat="0" applyBorder="0" applyAlignment="0" applyProtection="0"/>
    <xf numFmtId="0" fontId="11" fillId="17" borderId="0" applyNumberFormat="0" applyBorder="0" applyAlignment="0" applyProtection="0"/>
    <xf numFmtId="0" fontId="12" fillId="17" borderId="0" applyNumberFormat="0" applyBorder="0" applyAlignment="0" applyProtection="0"/>
    <xf numFmtId="0" fontId="13" fillId="17" borderId="0" applyNumberFormat="0" applyBorder="0" applyAlignment="0" applyProtection="0"/>
    <xf numFmtId="0" fontId="11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18" borderId="0" applyNumberFormat="0" applyBorder="0" applyAlignment="0" applyProtection="0"/>
    <xf numFmtId="0" fontId="11" fillId="14" borderId="0" applyNumberFormat="0" applyBorder="0" applyAlignment="0" applyProtection="0"/>
    <xf numFmtId="0" fontId="12" fillId="24" borderId="0" applyNumberFormat="0" applyBorder="0" applyAlignment="0" applyProtection="0"/>
    <xf numFmtId="0" fontId="13" fillId="25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1" borderId="0" applyNumberFormat="0" applyBorder="0" applyAlignment="0" applyProtection="0"/>
    <xf numFmtId="0" fontId="11" fillId="6" borderId="0" applyNumberFormat="0" applyBorder="0" applyAlignment="0" applyProtection="0"/>
    <xf numFmtId="0" fontId="12" fillId="6" borderId="0" applyNumberFormat="0" applyBorder="0" applyAlignment="0" applyProtection="0"/>
    <xf numFmtId="0" fontId="13" fillId="26" borderId="0" applyNumberFormat="0" applyBorder="0" applyAlignment="0" applyProtection="0"/>
    <xf numFmtId="0" fontId="11" fillId="21" borderId="0" applyNumberFormat="0" applyBorder="0" applyAlignment="0" applyProtection="0"/>
    <xf numFmtId="0" fontId="12" fillId="27" borderId="0" applyNumberFormat="0" applyBorder="0" applyAlignment="0" applyProtection="0"/>
    <xf numFmtId="0" fontId="13" fillId="28" borderId="0" applyNumberFormat="0" applyBorder="0" applyAlignment="0" applyProtection="0"/>
    <xf numFmtId="0" fontId="11" fillId="29" borderId="0" applyNumberFormat="0" applyBorder="0" applyAlignment="0" applyProtection="0"/>
    <xf numFmtId="0" fontId="12" fillId="30" borderId="0" applyNumberFormat="0" applyBorder="0" applyAlignment="0" applyProtection="0"/>
    <xf numFmtId="0" fontId="13" fillId="29" borderId="0" applyNumberFormat="0" applyBorder="0" applyAlignment="0" applyProtection="0"/>
    <xf numFmtId="0" fontId="11" fillId="31" borderId="0" applyNumberFormat="0" applyBorder="0" applyAlignment="0" applyProtection="0"/>
    <xf numFmtId="0" fontId="12" fillId="30" borderId="0" applyNumberFormat="0" applyBorder="0" applyAlignment="0" applyProtection="0"/>
    <xf numFmtId="0" fontId="13" fillId="31" borderId="0" applyNumberFormat="0" applyBorder="0" applyAlignment="0" applyProtection="0"/>
    <xf numFmtId="0" fontId="11" fillId="27" borderId="0" applyNumberFormat="0" applyBorder="0" applyAlignment="0" applyProtection="0"/>
    <xf numFmtId="0" fontId="12" fillId="27" borderId="0" applyNumberFormat="0" applyBorder="0" applyAlignment="0" applyProtection="0"/>
    <xf numFmtId="0" fontId="13" fillId="25" borderId="0" applyNumberFormat="0" applyBorder="0" applyAlignment="0" applyProtection="0"/>
    <xf numFmtId="0" fontId="11" fillId="21" borderId="0" applyNumberFormat="0" applyBorder="0" applyAlignment="0" applyProtection="0"/>
    <xf numFmtId="0" fontId="12" fillId="31" borderId="0" applyNumberFormat="0" applyBorder="0" applyAlignment="0" applyProtection="0"/>
    <xf numFmtId="0" fontId="13" fillId="21" borderId="0" applyNumberFormat="0" applyBorder="0" applyAlignment="0" applyProtection="0"/>
    <xf numFmtId="0" fontId="11" fillId="32" borderId="0" applyNumberFormat="0" applyBorder="0" applyAlignment="0" applyProtection="0"/>
    <xf numFmtId="0" fontId="12" fillId="32" borderId="0" applyNumberFormat="0" applyBorder="0" applyAlignment="0" applyProtection="0"/>
    <xf numFmtId="0" fontId="13" fillId="32" borderId="0" applyNumberFormat="0" applyBorder="0" applyAlignment="0" applyProtection="0"/>
    <xf numFmtId="0" fontId="5" fillId="0" borderId="0"/>
    <xf numFmtId="17" fontId="5" fillId="0" borderId="0" applyFont="0" applyFill="0" applyBorder="0" applyProtection="0">
      <alignment horizontal="left"/>
    </xf>
    <xf numFmtId="0" fontId="5" fillId="0" borderId="0" applyFont="0" applyFill="0" applyBorder="0" applyProtection="0">
      <alignment horizontal="left"/>
    </xf>
    <xf numFmtId="0" fontId="14" fillId="7" borderId="0" applyNumberFormat="0" applyBorder="0" applyAlignment="0" applyProtection="0"/>
    <xf numFmtId="0" fontId="15" fillId="7" borderId="0" applyNumberFormat="0" applyBorder="0" applyAlignment="0" applyProtection="0"/>
    <xf numFmtId="0" fontId="16" fillId="7" borderId="0" applyNumberFormat="0" applyBorder="0" applyAlignment="0" applyProtection="0"/>
    <xf numFmtId="38" fontId="17" fillId="10" borderId="0"/>
    <xf numFmtId="0" fontId="18" fillId="0" borderId="0" applyNumberFormat="0" applyFill="0" applyBorder="0" applyAlignment="0" applyProtection="0"/>
    <xf numFmtId="0" fontId="19" fillId="33" borderId="0">
      <alignment horizontal="left"/>
    </xf>
    <xf numFmtId="2" fontId="20" fillId="34" borderId="5" applyProtection="0">
      <alignment horizontal="left"/>
      <protection locked="0"/>
    </xf>
    <xf numFmtId="0" fontId="21" fillId="0" borderId="0" applyNumberFormat="0" applyFill="0" applyBorder="0" applyAlignment="0" applyProtection="0"/>
    <xf numFmtId="0" fontId="22" fillId="0" borderId="6" applyNumberFormat="0" applyFill="0" applyAlignment="0" applyProtection="0"/>
    <xf numFmtId="0" fontId="5" fillId="35" borderId="0"/>
    <xf numFmtId="166" fontId="6" fillId="0" borderId="0" applyFont="0" applyFill="0" applyBorder="0" applyAlignment="0" applyProtection="0"/>
    <xf numFmtId="0" fontId="23" fillId="0" borderId="0" applyFill="0" applyBorder="0" applyAlignment="0"/>
    <xf numFmtId="167" fontId="5" fillId="0" borderId="0" applyFill="0" applyBorder="0" applyAlignment="0"/>
    <xf numFmtId="0" fontId="23" fillId="0" borderId="0" applyFill="0" applyBorder="0" applyAlignment="0"/>
    <xf numFmtId="168" fontId="5" fillId="0" borderId="0" applyFill="0" applyBorder="0" applyAlignment="0"/>
    <xf numFmtId="0" fontId="5" fillId="0" borderId="0" applyFill="0" applyBorder="0" applyAlignment="0"/>
    <xf numFmtId="169" fontId="5" fillId="0" borderId="0" applyFill="0" applyBorder="0" applyAlignment="0"/>
    <xf numFmtId="0" fontId="5" fillId="0" borderId="0" applyFill="0" applyBorder="0" applyAlignment="0"/>
    <xf numFmtId="167" fontId="24" fillId="0" borderId="0" applyFill="0" applyBorder="0" applyAlignment="0"/>
    <xf numFmtId="0" fontId="5" fillId="0" borderId="0" applyFill="0" applyBorder="0" applyAlignment="0"/>
    <xf numFmtId="170" fontId="5" fillId="0" borderId="0" applyFill="0" applyBorder="0" applyAlignment="0"/>
    <xf numFmtId="0" fontId="23" fillId="0" borderId="0" applyFill="0" applyBorder="0" applyAlignment="0"/>
    <xf numFmtId="167" fontId="5" fillId="0" borderId="0" applyFill="0" applyBorder="0" applyAlignment="0"/>
    <xf numFmtId="0" fontId="23" fillId="0" borderId="0" applyFill="0" applyBorder="0" applyAlignment="0"/>
    <xf numFmtId="167" fontId="5" fillId="0" borderId="0" applyFill="0" applyBorder="0" applyAlignment="0"/>
    <xf numFmtId="0" fontId="23" fillId="0" borderId="0" applyFill="0" applyBorder="0" applyAlignment="0"/>
    <xf numFmtId="168" fontId="5" fillId="0" borderId="0" applyFill="0" applyBorder="0" applyAlignment="0"/>
    <xf numFmtId="0" fontId="25" fillId="10" borderId="7" applyNumberFormat="0" applyAlignment="0" applyProtection="0"/>
    <xf numFmtId="0" fontId="26" fillId="12" borderId="7" applyNumberFormat="0" applyAlignment="0" applyProtection="0"/>
    <xf numFmtId="0" fontId="27" fillId="14" borderId="7" applyNumberFormat="0" applyAlignment="0" applyProtection="0"/>
    <xf numFmtId="0" fontId="28" fillId="36" borderId="8" applyNumberFormat="0"/>
    <xf numFmtId="0" fontId="29" fillId="37" borderId="9" applyBorder="0">
      <alignment horizontal="center" wrapText="1"/>
    </xf>
    <xf numFmtId="0" fontId="29" fillId="38" borderId="9" applyBorder="0">
      <alignment horizontal="center" wrapText="1"/>
    </xf>
    <xf numFmtId="0" fontId="30" fillId="39" borderId="8" applyNumberFormat="0"/>
    <xf numFmtId="0" fontId="31" fillId="40" borderId="8" applyNumberFormat="0"/>
    <xf numFmtId="0" fontId="3" fillId="40" borderId="8" applyNumberFormat="0"/>
    <xf numFmtId="0" fontId="30" fillId="39" borderId="8" applyNumberFormat="0"/>
    <xf numFmtId="0" fontId="31" fillId="39" borderId="8" applyNumberFormat="0"/>
    <xf numFmtId="0" fontId="32" fillId="41" borderId="10" applyNumberFormat="0"/>
    <xf numFmtId="0" fontId="30" fillId="36" borderId="8" applyNumberFormat="0"/>
    <xf numFmtId="0" fontId="28" fillId="36" borderId="8" applyNumberFormat="0"/>
    <xf numFmtId="0" fontId="32" fillId="41" borderId="10" applyNumberFormat="0" applyBorder="0"/>
    <xf numFmtId="0" fontId="32" fillId="41" borderId="10" applyNumberFormat="0" applyBorder="0"/>
    <xf numFmtId="0" fontId="32" fillId="41" borderId="10" applyNumberFormat="0"/>
    <xf numFmtId="0" fontId="32" fillId="41" borderId="10" applyNumberFormat="0" applyBorder="0"/>
    <xf numFmtId="14" fontId="33" fillId="39" borderId="11" applyNumberFormat="0" applyAlignment="0"/>
    <xf numFmtId="14" fontId="33" fillId="40" borderId="11" applyNumberFormat="0" applyAlignment="0"/>
    <xf numFmtId="14" fontId="34" fillId="40" borderId="11" applyNumberFormat="0" applyAlignment="0"/>
    <xf numFmtId="0" fontId="35" fillId="42" borderId="12" applyNumberFormat="0" applyAlignment="0" applyProtection="0"/>
    <xf numFmtId="0" fontId="36" fillId="42" borderId="12" applyNumberFormat="0" applyAlignment="0" applyProtection="0"/>
    <xf numFmtId="0" fontId="37" fillId="42" borderId="12" applyNumberFormat="0" applyAlignment="0" applyProtection="0"/>
    <xf numFmtId="0" fontId="38" fillId="0" borderId="0" applyNumberFormat="0" applyFill="0" applyBorder="0" applyAlignment="0" applyProtection="0"/>
    <xf numFmtId="171" fontId="39" fillId="0" borderId="0"/>
    <xf numFmtId="171" fontId="40" fillId="0" borderId="0"/>
    <xf numFmtId="171" fontId="39" fillId="0" borderId="0"/>
    <xf numFmtId="171" fontId="40" fillId="0" borderId="0"/>
    <xf numFmtId="171" fontId="39" fillId="0" borderId="0"/>
    <xf numFmtId="171" fontId="40" fillId="0" borderId="0"/>
    <xf numFmtId="171" fontId="39" fillId="0" borderId="0"/>
    <xf numFmtId="171" fontId="40" fillId="0" borderId="0"/>
    <xf numFmtId="171" fontId="39" fillId="0" borderId="0"/>
    <xf numFmtId="171" fontId="40" fillId="0" borderId="0"/>
    <xf numFmtId="171" fontId="39" fillId="0" borderId="0"/>
    <xf numFmtId="171" fontId="40" fillId="0" borderId="0"/>
    <xf numFmtId="171" fontId="39" fillId="0" borderId="0"/>
    <xf numFmtId="171" fontId="40" fillId="0" borderId="0"/>
    <xf numFmtId="171" fontId="39" fillId="0" borderId="0"/>
    <xf numFmtId="171" fontId="40" fillId="0" borderId="0"/>
    <xf numFmtId="0" fontId="23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3" fontId="5" fillId="0" borderId="0" applyFill="0" applyBorder="0" applyAlignment="0" applyProtection="0"/>
    <xf numFmtId="0" fontId="41" fillId="0" borderId="0"/>
    <xf numFmtId="0" fontId="42" fillId="0" borderId="0" applyNumberFormat="0" applyAlignment="0">
      <alignment horizontal="left"/>
    </xf>
    <xf numFmtId="0" fontId="43" fillId="0" borderId="0">
      <alignment horizontal="center"/>
    </xf>
    <xf numFmtId="0" fontId="41" fillId="0" borderId="0"/>
    <xf numFmtId="0" fontId="23" fillId="0" borderId="0" applyFont="0" applyFill="0" applyBorder="0" applyAlignment="0" applyProtection="0"/>
    <xf numFmtId="168" fontId="5" fillId="0" borderId="0" applyFont="0" applyFill="0" applyBorder="0" applyAlignment="0" applyProtection="0"/>
    <xf numFmtId="8" fontId="44" fillId="0" borderId="13">
      <protection locked="0"/>
    </xf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5" fontId="5" fillId="0" borderId="0" applyFill="0" applyBorder="0" applyAlignment="0" applyProtection="0"/>
    <xf numFmtId="172" fontId="6" fillId="0" borderId="0" applyFont="0" applyFill="0" applyBorder="0" applyAlignment="0" applyProtection="0"/>
    <xf numFmtId="10" fontId="5" fillId="0" borderId="0" applyFont="0" applyFill="0" applyBorder="0" applyProtection="0">
      <alignment horizontal="center"/>
    </xf>
    <xf numFmtId="173" fontId="5" fillId="0" borderId="0" applyFont="0" applyFill="0" applyBorder="0" applyProtection="0"/>
    <xf numFmtId="174" fontId="5" fillId="0" borderId="0" applyFont="0" applyFill="0" applyBorder="0" applyProtection="0"/>
    <xf numFmtId="15" fontId="45" fillId="0" borderId="0" applyFont="0" applyFill="0" applyBorder="0" applyAlignment="0" applyProtection="0"/>
    <xf numFmtId="0" fontId="41" fillId="0" borderId="0"/>
    <xf numFmtId="175" fontId="5" fillId="0" borderId="0" applyFill="0" applyBorder="0" applyAlignment="0" applyProtection="0"/>
    <xf numFmtId="175" fontId="5" fillId="0" borderId="0" applyFill="0" applyBorder="0" applyAlignment="0" applyProtection="0"/>
    <xf numFmtId="175" fontId="5" fillId="0" borderId="0" applyFill="0" applyBorder="0" applyAlignment="0" applyProtection="0"/>
    <xf numFmtId="175" fontId="5" fillId="0" borderId="0" applyFill="0" applyBorder="0" applyAlignment="0" applyProtection="0"/>
    <xf numFmtId="175" fontId="5" fillId="0" borderId="0" applyFill="0" applyBorder="0" applyAlignment="0" applyProtection="0"/>
    <xf numFmtId="15" fontId="9" fillId="10" borderId="0"/>
    <xf numFmtId="14" fontId="9" fillId="0" borderId="0" applyFill="0" applyBorder="0" applyAlignment="0"/>
    <xf numFmtId="0" fontId="43" fillId="34" borderId="0">
      <alignment horizontal="left"/>
    </xf>
    <xf numFmtId="175" fontId="5" fillId="0" borderId="0" applyFill="0" applyBorder="0" applyAlignment="0" applyProtection="0"/>
    <xf numFmtId="14" fontId="5" fillId="0" borderId="0"/>
    <xf numFmtId="0" fontId="46" fillId="17" borderId="0">
      <alignment horizontal="left"/>
    </xf>
    <xf numFmtId="0" fontId="47" fillId="0" borderId="0">
      <alignment horizontal="left"/>
    </xf>
    <xf numFmtId="38" fontId="48" fillId="0" borderId="14">
      <alignment vertical="center"/>
    </xf>
    <xf numFmtId="176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77" fontId="5" fillId="0" borderId="0">
      <alignment horizontal="righ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right"/>
    </xf>
    <xf numFmtId="14" fontId="5" fillId="0" borderId="0">
      <alignment horizontal="left"/>
    </xf>
    <xf numFmtId="0" fontId="23" fillId="0" borderId="0" applyFill="0" applyBorder="0" applyAlignment="0"/>
    <xf numFmtId="167" fontId="5" fillId="0" borderId="0" applyFill="0" applyBorder="0" applyAlignment="0"/>
    <xf numFmtId="0" fontId="23" fillId="0" borderId="0" applyFill="0" applyBorder="0" applyAlignment="0"/>
    <xf numFmtId="168" fontId="5" fillId="0" borderId="0" applyFill="0" applyBorder="0" applyAlignment="0"/>
    <xf numFmtId="0" fontId="23" fillId="0" borderId="0" applyFill="0" applyBorder="0" applyAlignment="0"/>
    <xf numFmtId="167" fontId="5" fillId="0" borderId="0" applyFill="0" applyBorder="0" applyAlignment="0"/>
    <xf numFmtId="0" fontId="23" fillId="0" borderId="0" applyFill="0" applyBorder="0" applyAlignment="0"/>
    <xf numFmtId="167" fontId="5" fillId="0" borderId="0" applyFill="0" applyBorder="0" applyAlignment="0"/>
    <xf numFmtId="0" fontId="23" fillId="0" borderId="0" applyFill="0" applyBorder="0" applyAlignment="0"/>
    <xf numFmtId="168" fontId="5" fillId="0" borderId="0" applyFill="0" applyBorder="0" applyAlignment="0"/>
    <xf numFmtId="0" fontId="49" fillId="0" borderId="0" applyNumberFormat="0" applyAlignment="0">
      <alignment horizontal="left"/>
    </xf>
    <xf numFmtId="9" fontId="50" fillId="0" borderId="15" applyNumberFormat="0" applyBorder="0" applyAlignment="0">
      <protection locked="0"/>
    </xf>
    <xf numFmtId="178" fontId="5" fillId="0" borderId="0" applyFon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2" fontId="5" fillId="0" borderId="0" applyFill="0" applyBorder="0" applyAlignment="0" applyProtection="0"/>
    <xf numFmtId="179" fontId="5" fillId="0" borderId="0" applyFont="0" applyFill="0" applyBorder="0" applyAlignment="0" applyProtection="0"/>
    <xf numFmtId="0" fontId="9" fillId="10" borderId="0"/>
    <xf numFmtId="0" fontId="54" fillId="9" borderId="0" applyNumberFormat="0" applyBorder="0" applyAlignment="0" applyProtection="0"/>
    <xf numFmtId="0" fontId="55" fillId="13" borderId="0" applyNumberFormat="0" applyBorder="0" applyAlignment="0" applyProtection="0"/>
    <xf numFmtId="0" fontId="56" fillId="9" borderId="0" applyNumberFormat="0" applyBorder="0" applyAlignment="0" applyProtection="0"/>
    <xf numFmtId="2" fontId="57" fillId="34" borderId="5" applyProtection="0">
      <alignment horizontal="left"/>
      <protection locked="0"/>
    </xf>
    <xf numFmtId="38" fontId="38" fillId="43" borderId="0" applyNumberFormat="0" applyBorder="0" applyAlignment="0" applyProtection="0"/>
    <xf numFmtId="0" fontId="58" fillId="0" borderId="16" applyNumberFormat="0" applyAlignment="0" applyProtection="0">
      <alignment horizontal="left" vertical="center"/>
    </xf>
    <xf numFmtId="0" fontId="58" fillId="0" borderId="17">
      <alignment horizontal="left" vertical="center"/>
    </xf>
    <xf numFmtId="0" fontId="59" fillId="14" borderId="15">
      <alignment horizontal="centerContinuous"/>
    </xf>
    <xf numFmtId="0" fontId="60" fillId="0" borderId="18" applyNumberFormat="0" applyFill="0" applyAlignment="0" applyProtection="0"/>
    <xf numFmtId="0" fontId="61" fillId="0" borderId="19" applyNumberFormat="0" applyFill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20" applyNumberFormat="0" applyFill="0" applyAlignment="0" applyProtection="0"/>
    <xf numFmtId="0" fontId="65" fillId="0" borderId="21" applyNumberFormat="0" applyFill="0" applyAlignment="0" applyProtection="0"/>
    <xf numFmtId="0" fontId="66" fillId="0" borderId="22" applyNumberFormat="0" applyFill="0" applyAlignment="0" applyProtection="0"/>
    <xf numFmtId="0" fontId="46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67" fillId="0" borderId="21" applyNumberFormat="0" applyFill="0" applyAlignment="0" applyProtection="0"/>
    <xf numFmtId="0" fontId="68" fillId="0" borderId="23" applyNumberFormat="0" applyFill="0" applyAlignment="0" applyProtection="0"/>
    <xf numFmtId="0" fontId="69" fillId="0" borderId="24" applyNumberFormat="0" applyFill="0" applyAlignment="0" applyProtection="0"/>
    <xf numFmtId="0" fontId="70" fillId="0" borderId="25" applyNumberFormat="0" applyFill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1" fillId="10" borderId="0"/>
    <xf numFmtId="0" fontId="63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72" fillId="0" borderId="0" applyNumberFormat="0" applyFill="0" applyBorder="0" applyAlignment="0" applyProtection="0">
      <alignment vertical="top"/>
      <protection locked="0"/>
    </xf>
    <xf numFmtId="10" fontId="38" fillId="44" borderId="15" applyNumberFormat="0" applyBorder="0" applyAlignment="0" applyProtection="0"/>
    <xf numFmtId="2" fontId="73" fillId="0" borderId="26" applyNumberFormat="0" applyFill="0" applyBorder="0" applyAlignment="0">
      <alignment horizontal="center"/>
      <protection locked="0"/>
    </xf>
    <xf numFmtId="2" fontId="73" fillId="0" borderId="26" applyNumberFormat="0" applyFill="0" applyBorder="0" applyAlignment="0">
      <alignment horizontal="center"/>
      <protection locked="0"/>
    </xf>
    <xf numFmtId="0" fontId="2" fillId="2" borderId="1" applyNumberFormat="0" applyAlignment="0" applyProtection="0"/>
    <xf numFmtId="0" fontId="74" fillId="6" borderId="7" applyNumberFormat="0" applyAlignment="0" applyProtection="0"/>
    <xf numFmtId="0" fontId="74" fillId="6" borderId="7" applyNumberFormat="0" applyAlignment="0" applyProtection="0"/>
    <xf numFmtId="0" fontId="74" fillId="6" borderId="7" applyNumberFormat="0" applyAlignment="0" applyProtection="0"/>
    <xf numFmtId="0" fontId="74" fillId="6" borderId="7" applyNumberFormat="0" applyAlignment="0" applyProtection="0"/>
    <xf numFmtId="37" fontId="75" fillId="0" borderId="0" applyNumberFormat="0" applyAlignment="0">
      <protection locked="0"/>
    </xf>
    <xf numFmtId="0" fontId="76" fillId="0" borderId="0"/>
    <xf numFmtId="0" fontId="23" fillId="0" borderId="0" applyFill="0" applyBorder="0" applyAlignment="0"/>
    <xf numFmtId="167" fontId="5" fillId="0" borderId="0" applyFill="0" applyBorder="0" applyAlignment="0"/>
    <xf numFmtId="0" fontId="23" fillId="0" borderId="0" applyFill="0" applyBorder="0" applyAlignment="0"/>
    <xf numFmtId="168" fontId="5" fillId="0" borderId="0" applyFill="0" applyBorder="0" applyAlignment="0"/>
    <xf numFmtId="0" fontId="23" fillId="0" borderId="0" applyFill="0" applyBorder="0" applyAlignment="0"/>
    <xf numFmtId="167" fontId="5" fillId="0" borderId="0" applyFill="0" applyBorder="0" applyAlignment="0"/>
    <xf numFmtId="0" fontId="23" fillId="0" borderId="0" applyFill="0" applyBorder="0" applyAlignment="0"/>
    <xf numFmtId="167" fontId="5" fillId="0" borderId="0" applyFill="0" applyBorder="0" applyAlignment="0"/>
    <xf numFmtId="0" fontId="23" fillId="0" borderId="0" applyFill="0" applyBorder="0" applyAlignment="0"/>
    <xf numFmtId="168" fontId="5" fillId="0" borderId="0" applyFill="0" applyBorder="0" applyAlignment="0"/>
    <xf numFmtId="0" fontId="77" fillId="0" borderId="27" applyNumberFormat="0" applyFill="0" applyAlignment="0" applyProtection="0"/>
    <xf numFmtId="0" fontId="78" fillId="0" borderId="27" applyNumberFormat="0" applyFill="0" applyAlignment="0" applyProtection="0"/>
    <xf numFmtId="0" fontId="79" fillId="0" borderId="27" applyNumberFormat="0" applyFill="0" applyAlignment="0" applyProtection="0"/>
    <xf numFmtId="0" fontId="5" fillId="43" borderId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38" fontId="9" fillId="10" borderId="0"/>
    <xf numFmtId="0" fontId="80" fillId="6" borderId="0" applyNumberFormat="0" applyBorder="0" applyAlignment="0" applyProtection="0"/>
    <xf numFmtId="0" fontId="81" fillId="11" borderId="0" applyNumberFormat="0" applyBorder="0" applyAlignment="0" applyProtection="0"/>
    <xf numFmtId="0" fontId="82" fillId="35" borderId="0" applyNumberFormat="0" applyBorder="0" applyAlignment="0" applyProtection="0"/>
    <xf numFmtId="37" fontId="83" fillId="0" borderId="0"/>
    <xf numFmtId="0" fontId="46" fillId="10" borderId="0" applyNumberFormat="0" applyFont="0" applyFill="0" applyBorder="0" applyAlignment="0"/>
    <xf numFmtId="10" fontId="9" fillId="10" borderId="0"/>
    <xf numFmtId="180" fontId="84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39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40" borderId="0"/>
    <xf numFmtId="0" fontId="5" fillId="40" borderId="0"/>
    <xf numFmtId="0" fontId="5" fillId="0" borderId="0"/>
    <xf numFmtId="0" fontId="5" fillId="0" borderId="0"/>
    <xf numFmtId="0" fontId="30" fillId="39" borderId="0"/>
    <xf numFmtId="0" fontId="30" fillId="39" borderId="0"/>
    <xf numFmtId="0" fontId="30" fillId="39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39" borderId="0"/>
    <xf numFmtId="0" fontId="5" fillId="0" borderId="0"/>
    <xf numFmtId="0" fontId="5" fillId="0" borderId="0"/>
    <xf numFmtId="0" fontId="30" fillId="39" borderId="0"/>
    <xf numFmtId="0" fontId="1" fillId="0" borderId="0"/>
    <xf numFmtId="0" fontId="1" fillId="0" borderId="0"/>
    <xf numFmtId="0" fontId="5" fillId="0" borderId="0">
      <alignment vertical="top"/>
    </xf>
    <xf numFmtId="0" fontId="5" fillId="0" borderId="0">
      <alignment vertical="top"/>
    </xf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5" fillId="0" borderId="0"/>
    <xf numFmtId="0" fontId="5" fillId="0" borderId="0"/>
    <xf numFmtId="0" fontId="5" fillId="0" borderId="0"/>
    <xf numFmtId="0" fontId="30" fillId="3" borderId="2" applyNumberFormat="0" applyFont="0" applyAlignment="0" applyProtection="0"/>
    <xf numFmtId="0" fontId="9" fillId="8" borderId="28" applyNumberFormat="0" applyFont="0" applyAlignment="0" applyProtection="0"/>
    <xf numFmtId="0" fontId="86" fillId="8" borderId="28" applyNumberFormat="0" applyFont="0" applyAlignment="0" applyProtection="0"/>
    <xf numFmtId="0" fontId="30" fillId="3" borderId="2" applyNumberFormat="0" applyFont="0" applyAlignment="0" applyProtection="0"/>
    <xf numFmtId="0" fontId="87" fillId="0" borderId="0"/>
    <xf numFmtId="0" fontId="10" fillId="8" borderId="28" applyNumberFormat="0" applyFont="0" applyAlignment="0" applyProtection="0"/>
    <xf numFmtId="0" fontId="30" fillId="3" borderId="2" applyNumberFormat="0" applyFont="0" applyAlignment="0" applyProtection="0"/>
    <xf numFmtId="0" fontId="30" fillId="3" borderId="2" applyNumberFormat="0" applyFont="0" applyAlignment="0" applyProtection="0"/>
    <xf numFmtId="0" fontId="1" fillId="3" borderId="2" applyNumberFormat="0" applyFont="0" applyAlignment="0" applyProtection="0"/>
    <xf numFmtId="0" fontId="1" fillId="3" borderId="2" applyNumberFormat="0" applyFont="0" applyAlignment="0" applyProtection="0"/>
    <xf numFmtId="0" fontId="1" fillId="3" borderId="2" applyNumberFormat="0" applyFont="0" applyAlignment="0" applyProtection="0"/>
    <xf numFmtId="181" fontId="23" fillId="0" borderId="0">
      <alignment horizontal="center"/>
    </xf>
    <xf numFmtId="37" fontId="5" fillId="0" borderId="0"/>
    <xf numFmtId="182" fontId="38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183" fontId="88" fillId="0" borderId="0" applyNumberFormat="0" applyFill="0" applyBorder="0" applyAlignment="0" applyProtection="0"/>
    <xf numFmtId="184" fontId="23" fillId="0" borderId="0">
      <alignment horizontal="center"/>
    </xf>
    <xf numFmtId="0" fontId="30" fillId="45" borderId="0" applyNumberFormat="0" applyFont="0" applyBorder="0" applyAlignment="0" applyProtection="0"/>
    <xf numFmtId="0" fontId="88" fillId="0" borderId="29"/>
    <xf numFmtId="2" fontId="89" fillId="34" borderId="5">
      <alignment horizontal="left"/>
    </xf>
    <xf numFmtId="0" fontId="90" fillId="10" borderId="30" applyNumberFormat="0" applyAlignment="0" applyProtection="0"/>
    <xf numFmtId="0" fontId="91" fillId="12" borderId="30" applyNumberFormat="0" applyAlignment="0" applyProtection="0"/>
    <xf numFmtId="0" fontId="92" fillId="14" borderId="30" applyNumberFormat="0" applyAlignment="0" applyProtection="0"/>
    <xf numFmtId="40" fontId="9" fillId="34" borderId="0">
      <alignment horizontal="right"/>
    </xf>
    <xf numFmtId="0" fontId="93" fillId="44" borderId="0">
      <alignment horizontal="center"/>
    </xf>
    <xf numFmtId="0" fontId="36" fillId="46" borderId="5"/>
    <xf numFmtId="0" fontId="94" fillId="0" borderId="0" applyBorder="0">
      <alignment horizontal="centerContinuous"/>
    </xf>
    <xf numFmtId="0" fontId="95" fillId="0" borderId="0" applyBorder="0">
      <alignment horizontal="centerContinuous"/>
    </xf>
    <xf numFmtId="0" fontId="58" fillId="0" borderId="0"/>
    <xf numFmtId="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0" fontId="96" fillId="0" borderId="0" applyFont="0" applyFill="0" applyBorder="0" applyAlignment="0" applyProtection="0"/>
    <xf numFmtId="185" fontId="24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8" fillId="0" borderId="0"/>
    <xf numFmtId="0" fontId="23" fillId="0" borderId="0" applyFill="0" applyBorder="0" applyAlignment="0"/>
    <xf numFmtId="167" fontId="5" fillId="0" borderId="0" applyFill="0" applyBorder="0" applyAlignment="0"/>
    <xf numFmtId="0" fontId="23" fillId="0" borderId="0" applyFill="0" applyBorder="0" applyAlignment="0"/>
    <xf numFmtId="168" fontId="5" fillId="0" borderId="0" applyFill="0" applyBorder="0" applyAlignment="0"/>
    <xf numFmtId="0" fontId="23" fillId="0" borderId="0" applyFill="0" applyBorder="0" applyAlignment="0"/>
    <xf numFmtId="167" fontId="5" fillId="0" borderId="0" applyFill="0" applyBorder="0" applyAlignment="0"/>
    <xf numFmtId="0" fontId="23" fillId="0" borderId="0" applyFill="0" applyBorder="0" applyAlignment="0"/>
    <xf numFmtId="167" fontId="5" fillId="0" borderId="0" applyFill="0" applyBorder="0" applyAlignment="0"/>
    <xf numFmtId="0" fontId="23" fillId="0" borderId="0" applyFill="0" applyBorder="0" applyAlignment="0"/>
    <xf numFmtId="168" fontId="5" fillId="0" borderId="0" applyFill="0" applyBorder="0" applyAlignment="0"/>
    <xf numFmtId="186" fontId="23" fillId="0" borderId="0">
      <alignment horizontal="center"/>
    </xf>
    <xf numFmtId="187" fontId="23" fillId="0" borderId="15">
      <alignment horizontal="center"/>
    </xf>
    <xf numFmtId="0" fontId="97" fillId="0" borderId="31" applyAlignment="0">
      <alignment horizontal="center"/>
    </xf>
    <xf numFmtId="0" fontId="98" fillId="43" borderId="0"/>
    <xf numFmtId="0" fontId="48" fillId="0" borderId="0" applyNumberFormat="0" applyFont="0" applyFill="0" applyBorder="0" applyAlignment="0" applyProtection="0">
      <alignment horizontal="left"/>
    </xf>
    <xf numFmtId="0" fontId="99" fillId="0" borderId="32">
      <alignment horizontal="center"/>
    </xf>
    <xf numFmtId="0" fontId="45" fillId="0" borderId="0">
      <alignment vertical="top"/>
    </xf>
    <xf numFmtId="188" fontId="45" fillId="0" borderId="0">
      <alignment vertical="top"/>
    </xf>
    <xf numFmtId="0" fontId="97" fillId="0" borderId="0">
      <alignment horizontal="left"/>
    </xf>
    <xf numFmtId="0" fontId="97" fillId="0" borderId="0">
      <alignment horizontal="right"/>
    </xf>
    <xf numFmtId="0" fontId="9" fillId="0" borderId="5" applyNumberFormat="0" applyBorder="0" applyAlignment="0"/>
    <xf numFmtId="189" fontId="100" fillId="0" borderId="0" applyNumberFormat="0" applyFill="0" applyBorder="0" applyAlignment="0" applyProtection="0">
      <alignment horizontal="left"/>
    </xf>
    <xf numFmtId="0" fontId="46" fillId="31" borderId="0">
      <alignment horizontal="left"/>
    </xf>
    <xf numFmtId="0" fontId="101" fillId="0" borderId="33"/>
    <xf numFmtId="187" fontId="20" fillId="8" borderId="0">
      <alignment horizontal="center"/>
    </xf>
    <xf numFmtId="187" fontId="102" fillId="8" borderId="0">
      <alignment horizontal="center"/>
    </xf>
    <xf numFmtId="187" fontId="20" fillId="9" borderId="0">
      <alignment horizontal="center"/>
    </xf>
    <xf numFmtId="0" fontId="20" fillId="8" borderId="0">
      <alignment horizontal="left"/>
    </xf>
    <xf numFmtId="0" fontId="103" fillId="0" borderId="0" applyFont="0" applyFill="0" applyBorder="0" applyAlignment="0" applyProtection="0"/>
    <xf numFmtId="190" fontId="24" fillId="0" borderId="0" applyFont="0" applyFill="0" applyBorder="0" applyAlignment="0" applyProtection="0"/>
    <xf numFmtId="191" fontId="5" fillId="0" borderId="0"/>
    <xf numFmtId="0" fontId="5" fillId="0" borderId="0"/>
    <xf numFmtId="0" fontId="5" fillId="0" borderId="0">
      <alignment horizontal="left" wrapText="1"/>
    </xf>
    <xf numFmtId="0" fontId="20" fillId="8" borderId="0">
      <alignment horizontal="center"/>
    </xf>
    <xf numFmtId="0" fontId="97" fillId="0" borderId="0"/>
    <xf numFmtId="0" fontId="104" fillId="0" borderId="0"/>
    <xf numFmtId="40" fontId="105" fillId="0" borderId="0" applyBorder="0">
      <alignment horizontal="right"/>
    </xf>
    <xf numFmtId="0" fontId="5" fillId="34" borderId="28"/>
    <xf numFmtId="0" fontId="23" fillId="0" borderId="0">
      <alignment horizontal="center"/>
    </xf>
    <xf numFmtId="15" fontId="23" fillId="0" borderId="0">
      <alignment horizontal="center"/>
    </xf>
    <xf numFmtId="0" fontId="106" fillId="0" borderId="0">
      <alignment horizontal="center"/>
    </xf>
    <xf numFmtId="3" fontId="23" fillId="0" borderId="0">
      <alignment horizontal="center"/>
    </xf>
    <xf numFmtId="192" fontId="23" fillId="0" borderId="0">
      <alignment horizontal="center"/>
    </xf>
    <xf numFmtId="187" fontId="23" fillId="0" borderId="0">
      <alignment horizontal="center"/>
    </xf>
    <xf numFmtId="0" fontId="107" fillId="47" borderId="0"/>
    <xf numFmtId="193" fontId="23" fillId="0" borderId="0">
      <alignment horizontal="center"/>
    </xf>
    <xf numFmtId="193" fontId="23" fillId="0" borderId="34">
      <alignment horizontal="center"/>
    </xf>
    <xf numFmtId="0" fontId="23" fillId="0" borderId="0">
      <alignment horizontal="left"/>
    </xf>
    <xf numFmtId="0" fontId="108" fillId="0" borderId="0">
      <alignment horizontal="center"/>
    </xf>
    <xf numFmtId="0" fontId="109" fillId="0" borderId="0" applyNumberFormat="0" applyFill="0" applyBorder="0"/>
    <xf numFmtId="0" fontId="9" fillId="10" borderId="0"/>
    <xf numFmtId="49" fontId="9" fillId="0" borderId="0" applyFill="0" applyBorder="0" applyAlignment="0"/>
    <xf numFmtId="0" fontId="23" fillId="0" borderId="0" applyFill="0" applyBorder="0" applyAlignment="0"/>
    <xf numFmtId="168" fontId="5" fillId="0" borderId="0" applyFill="0" applyBorder="0" applyAlignment="0"/>
    <xf numFmtId="0" fontId="5" fillId="0" borderId="0" applyFill="0" applyBorder="0" applyAlignment="0"/>
    <xf numFmtId="170" fontId="5" fillId="0" borderId="0" applyFill="0" applyBorder="0" applyAlignment="0"/>
    <xf numFmtId="49" fontId="5" fillId="0" borderId="0"/>
    <xf numFmtId="0" fontId="110" fillId="0" borderId="0">
      <alignment horizontal="right"/>
    </xf>
    <xf numFmtId="0" fontId="111" fillId="0" borderId="0">
      <alignment horizontal="right"/>
      <protection locked="0"/>
    </xf>
    <xf numFmtId="0" fontId="112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7" fillId="10" borderId="0"/>
    <xf numFmtId="0" fontId="30" fillId="48" borderId="35" applyBorder="0">
      <alignment horizontal="center" wrapText="1"/>
    </xf>
    <xf numFmtId="0" fontId="29" fillId="37" borderId="9" applyBorder="0">
      <alignment horizontal="center" wrapText="1"/>
    </xf>
    <xf numFmtId="0" fontId="30" fillId="49" borderId="9" applyBorder="0">
      <alignment horizontal="center" wrapText="1"/>
    </xf>
    <xf numFmtId="0" fontId="29" fillId="38" borderId="9" applyBorder="0">
      <alignment horizontal="center" wrapText="1"/>
    </xf>
    <xf numFmtId="0" fontId="7" fillId="50" borderId="9" applyBorder="0">
      <alignment horizontal="center" wrapText="1"/>
    </xf>
    <xf numFmtId="0" fontId="29" fillId="51" borderId="9" applyBorder="0">
      <alignment horizontal="center" wrapText="1"/>
    </xf>
    <xf numFmtId="0" fontId="29" fillId="51" borderId="9" applyBorder="0">
      <alignment horizontal="center" wrapText="1"/>
    </xf>
    <xf numFmtId="0" fontId="7" fillId="50" borderId="9" applyBorder="0">
      <alignment horizontal="center" wrapText="1"/>
    </xf>
    <xf numFmtId="0" fontId="7" fillId="50" borderId="9" applyBorder="0">
      <alignment horizontal="center" wrapText="1"/>
    </xf>
    <xf numFmtId="0" fontId="7" fillId="50" borderId="9" applyBorder="0">
      <alignment horizontal="center" wrapText="1"/>
    </xf>
    <xf numFmtId="0" fontId="7" fillId="50" borderId="9" applyBorder="0">
      <alignment horizontal="center" wrapText="1"/>
    </xf>
    <xf numFmtId="0" fontId="97" fillId="0" borderId="0" applyNumberFormat="0" applyFill="0" applyBorder="0" applyAlignment="0" applyProtection="0"/>
    <xf numFmtId="0" fontId="115" fillId="0" borderId="36" applyNumberFormat="0" applyFill="0" applyAlignment="0" applyProtection="0"/>
    <xf numFmtId="0" fontId="17" fillId="0" borderId="37" applyNumberFormat="0" applyFill="0" applyAlignment="0" applyProtection="0"/>
    <xf numFmtId="0" fontId="5" fillId="0" borderId="38" applyNumberFormat="0" applyFill="0" applyAlignment="0" applyProtection="0"/>
    <xf numFmtId="0" fontId="116" fillId="0" borderId="39" applyNumberFormat="0" applyFill="0" applyAlignment="0" applyProtection="0"/>
    <xf numFmtId="0" fontId="117" fillId="10" borderId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1" fontId="121" fillId="39" borderId="11"/>
    <xf numFmtId="1" fontId="121" fillId="40" borderId="11"/>
    <xf numFmtId="2" fontId="122" fillId="40" borderId="11"/>
    <xf numFmtId="0" fontId="123" fillId="39" borderId="10" applyNumberFormat="0" applyAlignment="0"/>
    <xf numFmtId="0" fontId="124" fillId="40" borderId="10" applyNumberFormat="0" applyAlignment="0"/>
    <xf numFmtId="1" fontId="125" fillId="40" borderId="11" applyNumberFormat="0"/>
    <xf numFmtId="176" fontId="126" fillId="40" borderId="11" applyNumberFormat="0"/>
    <xf numFmtId="0" fontId="5" fillId="0" borderId="0"/>
  </cellStyleXfs>
  <cellXfs count="6">
    <xf numFmtId="0" fontId="0" fillId="0" borderId="0" xfId="0"/>
    <xf numFmtId="16" fontId="4" fillId="5" borderId="3" xfId="0" applyNumberFormat="1" applyFont="1" applyFill="1" applyBorder="1"/>
    <xf numFmtId="0" fontId="4" fillId="5" borderId="3" xfId="0" applyFont="1" applyFill="1" applyBorder="1"/>
    <xf numFmtId="0" fontId="4" fillId="5" borderId="4" xfId="0" applyFont="1" applyFill="1" applyBorder="1"/>
    <xf numFmtId="14" fontId="0" fillId="0" borderId="0" xfId="0" applyNumberFormat="1"/>
    <xf numFmtId="2" fontId="0" fillId="0" borderId="0" xfId="0" applyNumberFormat="1"/>
  </cellXfs>
  <cellStyles count="525">
    <cellStyle name="_Bonds" xfId="1"/>
    <cellStyle name="_Bonds 2" xfId="2"/>
    <cellStyle name="_Offering" xfId="3"/>
    <cellStyle name="_Offering 2" xfId="4"/>
    <cellStyle name="£ BP" xfId="5"/>
    <cellStyle name="¥ JY" xfId="6"/>
    <cellStyle name="20% - Accent1 2" xfId="7"/>
    <cellStyle name="20% - Accent1 2 2" xfId="8"/>
    <cellStyle name="20% - Accent1 2 3" xfId="9"/>
    <cellStyle name="20% - Accent1 3" xfId="10"/>
    <cellStyle name="20% - Accent1 3 2" xfId="11"/>
    <cellStyle name="20% - Accent1 3 3" xfId="12"/>
    <cellStyle name="20% - Accent1 4" xfId="13"/>
    <cellStyle name="20% - Accent1 5" xfId="14"/>
    <cellStyle name="20% - Accent2 2" xfId="15"/>
    <cellStyle name="20% - Accent2 3" xfId="16"/>
    <cellStyle name="20% - Accent2 4" xfId="17"/>
    <cellStyle name="20% - Accent3 2" xfId="18"/>
    <cellStyle name="20% - Accent3 3" xfId="19"/>
    <cellStyle name="20% - Accent3 4" xfId="20"/>
    <cellStyle name="20% - Accent4 2" xfId="21"/>
    <cellStyle name="20% - Accent4 3" xfId="22"/>
    <cellStyle name="20% - Accent4 4" xfId="23"/>
    <cellStyle name="20% - Accent5 2" xfId="24"/>
    <cellStyle name="20% - Accent5 3" xfId="25"/>
    <cellStyle name="20% - Accent5 4" xfId="26"/>
    <cellStyle name="20% - Accent6 2" xfId="27"/>
    <cellStyle name="20% - Accent6 3" xfId="28"/>
    <cellStyle name="20% - Accent6 4" xfId="29"/>
    <cellStyle name="40% - Accent1 2" xfId="30"/>
    <cellStyle name="40% - Accent1 3" xfId="31"/>
    <cellStyle name="40% - Accent1 4" xfId="32"/>
    <cellStyle name="40% - Accent2 2" xfId="33"/>
    <cellStyle name="40% - Accent2 3" xfId="34"/>
    <cellStyle name="40% - Accent2 4" xfId="35"/>
    <cellStyle name="40% - Accent3 2" xfId="36"/>
    <cellStyle name="40% - Accent3 3" xfId="37"/>
    <cellStyle name="40% - Accent3 4" xfId="38"/>
    <cellStyle name="40% - Accent4 2" xfId="39"/>
    <cellStyle name="40% - Accent4 3" xfId="40"/>
    <cellStyle name="40% - Accent4 4" xfId="41"/>
    <cellStyle name="40% - Accent5 2" xfId="42"/>
    <cellStyle name="40% - Accent5 3" xfId="43"/>
    <cellStyle name="40% - Accent5 4" xfId="44"/>
    <cellStyle name="40% - Accent6 2" xfId="45"/>
    <cellStyle name="40% - Accent6 3" xfId="46"/>
    <cellStyle name="40% - Accent6 4" xfId="47"/>
    <cellStyle name="60% - Accent1 2" xfId="48"/>
    <cellStyle name="60% - Accent1 3" xfId="49"/>
    <cellStyle name="60% - Accent1 4" xfId="50"/>
    <cellStyle name="60% - Accent2 2" xfId="51"/>
    <cellStyle name="60% - Accent2 3" xfId="52"/>
    <cellStyle name="60% - Accent2 4" xfId="53"/>
    <cellStyle name="60% - Accent3 2" xfId="54"/>
    <cellStyle name="60% - Accent3 3" xfId="55"/>
    <cellStyle name="60% - Accent3 4" xfId="56"/>
    <cellStyle name="60% - Accent4 2" xfId="57"/>
    <cellStyle name="60% - Accent4 3" xfId="58"/>
    <cellStyle name="60% - Accent4 4" xfId="59"/>
    <cellStyle name="60% - Accent5 2" xfId="60"/>
    <cellStyle name="60% - Accent5 3" xfId="61"/>
    <cellStyle name="60% - Accent5 4" xfId="62"/>
    <cellStyle name="60% - Accent6 2" xfId="63"/>
    <cellStyle name="60% - Accent6 3" xfId="64"/>
    <cellStyle name="60% - Accent6 4" xfId="65"/>
    <cellStyle name="Accent1 2" xfId="66"/>
    <cellStyle name="Accent1 3" xfId="67"/>
    <cellStyle name="Accent1 4" xfId="68"/>
    <cellStyle name="Accent2 2" xfId="69"/>
    <cellStyle name="Accent2 3" xfId="70"/>
    <cellStyle name="Accent2 4" xfId="71"/>
    <cellStyle name="Accent3 2" xfId="72"/>
    <cellStyle name="Accent3 3" xfId="73"/>
    <cellStyle name="Accent3 4" xfId="74"/>
    <cellStyle name="Accent4 2" xfId="75"/>
    <cellStyle name="Accent4 3" xfId="76"/>
    <cellStyle name="Accent4 4" xfId="77"/>
    <cellStyle name="Accent5 2" xfId="78"/>
    <cellStyle name="Accent5 3" xfId="79"/>
    <cellStyle name="Accent5 4" xfId="80"/>
    <cellStyle name="Accent6 2" xfId="81"/>
    <cellStyle name="Accent6 3" xfId="82"/>
    <cellStyle name="Accent6 4" xfId="83"/>
    <cellStyle name="Auto_OpenAuto_CloseExtractD_Sheet1" xfId="84"/>
    <cellStyle name="Axis.EffectiveDate" xfId="85"/>
    <cellStyle name="Axis.Seasoning" xfId="86"/>
    <cellStyle name="Bad 2" xfId="87"/>
    <cellStyle name="Bad 3" xfId="88"/>
    <cellStyle name="Bad 4" xfId="89"/>
    <cellStyle name="Big Money" xfId="90"/>
    <cellStyle name="Blue" xfId="91"/>
    <cellStyle name="blue axis cells" xfId="92"/>
    <cellStyle name="blue text cells" xfId="93"/>
    <cellStyle name="Body" xfId="94"/>
    <cellStyle name="Bold/Border" xfId="95"/>
    <cellStyle name="Border" xfId="96"/>
    <cellStyle name="Bullet" xfId="97"/>
    <cellStyle name="Calc Currency (0)" xfId="98"/>
    <cellStyle name="Calc Currency (0) 2" xfId="99"/>
    <cellStyle name="Calc Currency (2)" xfId="100"/>
    <cellStyle name="Calc Currency (2) 2" xfId="101"/>
    <cellStyle name="Calc Percent (0)" xfId="102"/>
    <cellStyle name="Calc Percent (0) 2" xfId="103"/>
    <cellStyle name="Calc Percent (1)" xfId="104"/>
    <cellStyle name="Calc Percent (1) 2" xfId="105"/>
    <cellStyle name="Calc Percent (2)" xfId="106"/>
    <cellStyle name="Calc Percent (2) 2" xfId="107"/>
    <cellStyle name="Calc Units (0)" xfId="108"/>
    <cellStyle name="Calc Units (0) 2" xfId="109"/>
    <cellStyle name="Calc Units (1)" xfId="110"/>
    <cellStyle name="Calc Units (1) 2" xfId="111"/>
    <cellStyle name="Calc Units (2)" xfId="112"/>
    <cellStyle name="Calc Units (2) 2" xfId="113"/>
    <cellStyle name="Calculation 2" xfId="114"/>
    <cellStyle name="Calculation 3" xfId="115"/>
    <cellStyle name="Calculation 4" xfId="116"/>
    <cellStyle name="CCM Input" xfId="117"/>
    <cellStyle name="CCM Title Calculations" xfId="118"/>
    <cellStyle name="CCM Title Indicative" xfId="119"/>
    <cellStyle name="Cello Calculation" xfId="120"/>
    <cellStyle name="Cello Calculation 2" xfId="121"/>
    <cellStyle name="Cello Calculation 2 2" xfId="122"/>
    <cellStyle name="Cello Calculation 3" xfId="123"/>
    <cellStyle name="Cello Calculation 4" xfId="124"/>
    <cellStyle name="Cello Input" xfId="125"/>
    <cellStyle name="Cello Input 2" xfId="126"/>
    <cellStyle name="Cello Input 2 2" xfId="127"/>
    <cellStyle name="Cello Input 2 3" xfId="128"/>
    <cellStyle name="Cello Input 2 5" xfId="129"/>
    <cellStyle name="Cello Input 3" xfId="130"/>
    <cellStyle name="Cello Input 4" xfId="131"/>
    <cellStyle name="Cello Linked Cell" xfId="132"/>
    <cellStyle name="Cello Linked Cell 2" xfId="133"/>
    <cellStyle name="Cello Linked Cell 2 2" xfId="134"/>
    <cellStyle name="Check Cell 2" xfId="135"/>
    <cellStyle name="Check Cell 3" xfId="136"/>
    <cellStyle name="Check Cell 4" xfId="137"/>
    <cellStyle name="Co. Names" xfId="138"/>
    <cellStyle name="Comma  - Style1" xfId="139"/>
    <cellStyle name="Comma  - Style1 2" xfId="140"/>
    <cellStyle name="Comma  - Style2" xfId="141"/>
    <cellStyle name="Comma  - Style2 2" xfId="142"/>
    <cellStyle name="Comma  - Style3" xfId="143"/>
    <cellStyle name="Comma  - Style3 2" xfId="144"/>
    <cellStyle name="Comma  - Style4" xfId="145"/>
    <cellStyle name="Comma  - Style4 2" xfId="146"/>
    <cellStyle name="Comma  - Style5" xfId="147"/>
    <cellStyle name="Comma  - Style5 2" xfId="148"/>
    <cellStyle name="Comma  - Style6" xfId="149"/>
    <cellStyle name="Comma  - Style6 2" xfId="150"/>
    <cellStyle name="Comma  - Style7" xfId="151"/>
    <cellStyle name="Comma  - Style7 2" xfId="152"/>
    <cellStyle name="Comma  - Style8" xfId="153"/>
    <cellStyle name="Comma  - Style8 2" xfId="154"/>
    <cellStyle name="Comma [00]" xfId="155"/>
    <cellStyle name="Comma [00] 2" xfId="156"/>
    <cellStyle name="Comma 10" xfId="157"/>
    <cellStyle name="Comma 11" xfId="158"/>
    <cellStyle name="Comma 12" xfId="159"/>
    <cellStyle name="Comma 13" xfId="160"/>
    <cellStyle name="Comma 14" xfId="161"/>
    <cellStyle name="Comma 15" xfId="162"/>
    <cellStyle name="Comma 16" xfId="163"/>
    <cellStyle name="Comma 16 2" xfId="164"/>
    <cellStyle name="Comma 17" xfId="165"/>
    <cellStyle name="Comma 18" xfId="166"/>
    <cellStyle name="Comma 19" xfId="167"/>
    <cellStyle name="Comma 2" xfId="168"/>
    <cellStyle name="Comma 20" xfId="169"/>
    <cellStyle name="Comma 21" xfId="170"/>
    <cellStyle name="Comma 22" xfId="171"/>
    <cellStyle name="Comma 23" xfId="172"/>
    <cellStyle name="Comma 24" xfId="173"/>
    <cellStyle name="Comma 25" xfId="174"/>
    <cellStyle name="Comma 26" xfId="175"/>
    <cellStyle name="Comma 27" xfId="176"/>
    <cellStyle name="Comma 28" xfId="177"/>
    <cellStyle name="Comma 29" xfId="178"/>
    <cellStyle name="Comma 29 2" xfId="179"/>
    <cellStyle name="Comma 3" xfId="180"/>
    <cellStyle name="Comma 30" xfId="181"/>
    <cellStyle name="Comma 4" xfId="182"/>
    <cellStyle name="Comma 4 2" xfId="183"/>
    <cellStyle name="Comma 5" xfId="184"/>
    <cellStyle name="Comma 6" xfId="185"/>
    <cellStyle name="Comma 7" xfId="186"/>
    <cellStyle name="Comma 8" xfId="187"/>
    <cellStyle name="Comma 9" xfId="188"/>
    <cellStyle name="Comma0" xfId="189"/>
    <cellStyle name="Comma1 - Style1" xfId="190"/>
    <cellStyle name="Copied" xfId="191"/>
    <cellStyle name="CTDSwitchAnalysisHeader" xfId="192"/>
    <cellStyle name="Curren - Style2" xfId="193"/>
    <cellStyle name="Currency [00]" xfId="194"/>
    <cellStyle name="Currency [00] 2" xfId="195"/>
    <cellStyle name="Currency [2]" xfId="196"/>
    <cellStyle name="Currency 10" xfId="197"/>
    <cellStyle name="Currency 11" xfId="198"/>
    <cellStyle name="Currency 12" xfId="199"/>
    <cellStyle name="Currency 13" xfId="200"/>
    <cellStyle name="Currency 14" xfId="201"/>
    <cellStyle name="Currency 15" xfId="202"/>
    <cellStyle name="Currency 2" xfId="203"/>
    <cellStyle name="Currency 3" xfId="204"/>
    <cellStyle name="Currency 4" xfId="205"/>
    <cellStyle name="Currency 5" xfId="206"/>
    <cellStyle name="Currency 6" xfId="207"/>
    <cellStyle name="Currency 7" xfId="208"/>
    <cellStyle name="Currency 8" xfId="209"/>
    <cellStyle name="Currency 9" xfId="210"/>
    <cellStyle name="Currency0" xfId="211"/>
    <cellStyle name="Dash" xfId="212"/>
    <cellStyle name="Data.LongPercent" xfId="213"/>
    <cellStyle name="Data.NumPercent" xfId="214"/>
    <cellStyle name="Data.NumShortPercent" xfId="215"/>
    <cellStyle name="date" xfId="216"/>
    <cellStyle name="Date - Style3" xfId="217"/>
    <cellStyle name="Date 2" xfId="218"/>
    <cellStyle name="Date 3" xfId="219"/>
    <cellStyle name="Date 4" xfId="220"/>
    <cellStyle name="Date 5" xfId="221"/>
    <cellStyle name="Date 6" xfId="222"/>
    <cellStyle name="Date 7" xfId="223"/>
    <cellStyle name="Date Short" xfId="224"/>
    <cellStyle name="date title" xfId="225"/>
    <cellStyle name="Date_DV01" xfId="226"/>
    <cellStyle name="DateFormat" xfId="227"/>
    <cellStyle name="DBAHandle" xfId="228"/>
    <cellStyle name="DBAParameter" xfId="229"/>
    <cellStyle name="DELTA" xfId="230"/>
    <cellStyle name="DS 0" xfId="231"/>
    <cellStyle name="DS 1" xfId="232"/>
    <cellStyle name="DS 2" xfId="233"/>
    <cellStyle name="DS 3" xfId="234"/>
    <cellStyle name="DS 4" xfId="235"/>
    <cellStyle name="DS 5" xfId="236"/>
    <cellStyle name="DS 5 2" xfId="237"/>
    <cellStyle name="DS 6" xfId="238"/>
    <cellStyle name="Enter Currency (0)" xfId="239"/>
    <cellStyle name="Enter Currency (0) 2" xfId="240"/>
    <cellStyle name="Enter Currency (2)" xfId="241"/>
    <cellStyle name="Enter Currency (2) 2" xfId="242"/>
    <cellStyle name="Enter Units (0)" xfId="243"/>
    <cellStyle name="Enter Units (0) 2" xfId="244"/>
    <cellStyle name="Enter Units (1)" xfId="245"/>
    <cellStyle name="Enter Units (1) 2" xfId="246"/>
    <cellStyle name="Enter Units (2)" xfId="247"/>
    <cellStyle name="Enter Units (2) 2" xfId="248"/>
    <cellStyle name="Entered" xfId="249"/>
    <cellStyle name="Entries" xfId="250"/>
    <cellStyle name="Euro" xfId="251"/>
    <cellStyle name="Explanatory Text 2" xfId="252"/>
    <cellStyle name="Explanatory Text 3" xfId="253"/>
    <cellStyle name="Explanatory Text 4" xfId="254"/>
    <cellStyle name="Fixed" xfId="255"/>
    <cellStyle name="FullTime" xfId="256"/>
    <cellStyle name="General" xfId="257"/>
    <cellStyle name="Good 2" xfId="258"/>
    <cellStyle name="Good 3" xfId="259"/>
    <cellStyle name="Good 4" xfId="260"/>
    <cellStyle name="gray text cells" xfId="261"/>
    <cellStyle name="Grey" xfId="262"/>
    <cellStyle name="Header1" xfId="263"/>
    <cellStyle name="Header2" xfId="264"/>
    <cellStyle name="Heading" xfId="265"/>
    <cellStyle name="Heading 1 2" xfId="266"/>
    <cellStyle name="Heading 1 2 2" xfId="267"/>
    <cellStyle name="Heading 1 3" xfId="268"/>
    <cellStyle name="Heading 1 4" xfId="269"/>
    <cellStyle name="Heading 1 5" xfId="270"/>
    <cellStyle name="Heading 2 2" xfId="271"/>
    <cellStyle name="Heading 2 2 2" xfId="272"/>
    <cellStyle name="Heading 2 3" xfId="273"/>
    <cellStyle name="Heading 2 4" xfId="274"/>
    <cellStyle name="Heading 2 5" xfId="275"/>
    <cellStyle name="Heading 3 2" xfId="276"/>
    <cellStyle name="Heading 3 3" xfId="277"/>
    <cellStyle name="Heading 3 4" xfId="278"/>
    <cellStyle name="Heading 4 2" xfId="279"/>
    <cellStyle name="Heading 4 3" xfId="280"/>
    <cellStyle name="Heading 4 4" xfId="281"/>
    <cellStyle name="Heading 5" xfId="282"/>
    <cellStyle name="HEADING1" xfId="283"/>
    <cellStyle name="HEADING2" xfId="284"/>
    <cellStyle name="Hyperlink 2" xfId="285"/>
    <cellStyle name="Input [yellow]" xfId="286"/>
    <cellStyle name="Input 2" xfId="287"/>
    <cellStyle name="Input 2 2" xfId="288"/>
    <cellStyle name="Input 2 3" xfId="289"/>
    <cellStyle name="Input 3" xfId="290"/>
    <cellStyle name="Input 4" xfId="291"/>
    <cellStyle name="Input 5" xfId="292"/>
    <cellStyle name="Input 6" xfId="293"/>
    <cellStyle name="Input 7" xfId="294"/>
    <cellStyle name="Item" xfId="295"/>
    <cellStyle name="Link Currency (0)" xfId="296"/>
    <cellStyle name="Link Currency (0) 2" xfId="297"/>
    <cellStyle name="Link Currency (2)" xfId="298"/>
    <cellStyle name="Link Currency (2) 2" xfId="299"/>
    <cellStyle name="Link Units (0)" xfId="300"/>
    <cellStyle name="Link Units (0) 2" xfId="301"/>
    <cellStyle name="Link Units (1)" xfId="302"/>
    <cellStyle name="Link Units (1) 2" xfId="303"/>
    <cellStyle name="Link Units (2)" xfId="304"/>
    <cellStyle name="Link Units (2) 2" xfId="305"/>
    <cellStyle name="Linked Cell 2" xfId="306"/>
    <cellStyle name="Linked Cell 3" xfId="307"/>
    <cellStyle name="Linked Cell 4" xfId="308"/>
    <cellStyle name="Lookup" xfId="309"/>
    <cellStyle name="Milliers [0]_Basis" xfId="310"/>
    <cellStyle name="Milliers_Basis" xfId="311"/>
    <cellStyle name="Monétaire [0]_Basis" xfId="312"/>
    <cellStyle name="Monétaire_Basis" xfId="313"/>
    <cellStyle name="Money" xfId="314"/>
    <cellStyle name="Neutral 2" xfId="315"/>
    <cellStyle name="Neutral 3" xfId="316"/>
    <cellStyle name="Neutral 4" xfId="317"/>
    <cellStyle name="no dec" xfId="318"/>
    <cellStyle name="NoChange" xfId="319"/>
    <cellStyle name="Non Zero" xfId="320"/>
    <cellStyle name="Normal" xfId="0" builtinId="0"/>
    <cellStyle name="Normal - Style1" xfId="321"/>
    <cellStyle name="Normal 10" xfId="322"/>
    <cellStyle name="Normal 10 2" xfId="323"/>
    <cellStyle name="Normal 107" xfId="324"/>
    <cellStyle name="Normal 11" xfId="325"/>
    <cellStyle name="Normal 11 2" xfId="326"/>
    <cellStyle name="Normal 12" xfId="327"/>
    <cellStyle name="Normal 13" xfId="328"/>
    <cellStyle name="Normal 14" xfId="329"/>
    <cellStyle name="Normal 15" xfId="330"/>
    <cellStyle name="Normal 16" xfId="331"/>
    <cellStyle name="Normal 17" xfId="332"/>
    <cellStyle name="Normal 18" xfId="333"/>
    <cellStyle name="Normal 19" xfId="334"/>
    <cellStyle name="Normal 2" xfId="335"/>
    <cellStyle name="Normal 2 2" xfId="336"/>
    <cellStyle name="Normal 2 2 2" xfId="337"/>
    <cellStyle name="Normal 2 3" xfId="338"/>
    <cellStyle name="Normal 2 3 2" xfId="339"/>
    <cellStyle name="Normal 2 3 2 2" xfId="340"/>
    <cellStyle name="Normal 2 3 3" xfId="341"/>
    <cellStyle name="Normal 2 4" xfId="342"/>
    <cellStyle name="Normal 2 4 2" xfId="343"/>
    <cellStyle name="Normal 2 4 2 2" xfId="344"/>
    <cellStyle name="Normal 2 4 3" xfId="345"/>
    <cellStyle name="Normal 2 5" xfId="346"/>
    <cellStyle name="Normal 2 5 2" xfId="347"/>
    <cellStyle name="Normal 2 6" xfId="348"/>
    <cellStyle name="Normal 2 7" xfId="349"/>
    <cellStyle name="Normal 20" xfId="350"/>
    <cellStyle name="Normal 21" xfId="351"/>
    <cellStyle name="Normal 22" xfId="352"/>
    <cellStyle name="Normal 23" xfId="353"/>
    <cellStyle name="Normal 24" xfId="354"/>
    <cellStyle name="Normal 25" xfId="355"/>
    <cellStyle name="Normal 26" xfId="356"/>
    <cellStyle name="Normal 27" xfId="357"/>
    <cellStyle name="Normal 28" xfId="358"/>
    <cellStyle name="Normal 28 2" xfId="359"/>
    <cellStyle name="Normal 29" xfId="360"/>
    <cellStyle name="Normal 3" xfId="361"/>
    <cellStyle name="Normal 3 2" xfId="362"/>
    <cellStyle name="Normal 30" xfId="363"/>
    <cellStyle name="Normal 31" xfId="364"/>
    <cellStyle name="Normal 32" xfId="365"/>
    <cellStyle name="Normal 33" xfId="366"/>
    <cellStyle name="Normal 34" xfId="367"/>
    <cellStyle name="Normal 35" xfId="368"/>
    <cellStyle name="Normal 36" xfId="369"/>
    <cellStyle name="Normal 37" xfId="370"/>
    <cellStyle name="Normal 38" xfId="371"/>
    <cellStyle name="Normal 38 2" xfId="372"/>
    <cellStyle name="Normal 38 2 2" xfId="373"/>
    <cellStyle name="Normal 38 3" xfId="374"/>
    <cellStyle name="Normal 39" xfId="375"/>
    <cellStyle name="Normal 4" xfId="376"/>
    <cellStyle name="Normal 4 2" xfId="377"/>
    <cellStyle name="Normal 4 3" xfId="378"/>
    <cellStyle name="Normal 4 4" xfId="379"/>
    <cellStyle name="Normal 40" xfId="380"/>
    <cellStyle name="Normal 41" xfId="381"/>
    <cellStyle name="Normal 42" xfId="382"/>
    <cellStyle name="Normal 42 2" xfId="383"/>
    <cellStyle name="Normal 5" xfId="384"/>
    <cellStyle name="Normal 6" xfId="385"/>
    <cellStyle name="Normal 6 2" xfId="386"/>
    <cellStyle name="Normal 7" xfId="387"/>
    <cellStyle name="Normal 7 2" xfId="388"/>
    <cellStyle name="Normal 8" xfId="389"/>
    <cellStyle name="Normal 88" xfId="390"/>
    <cellStyle name="Normal 9" xfId="391"/>
    <cellStyle name="Normal 9 2" xfId="392"/>
    <cellStyle name="Note 2" xfId="393"/>
    <cellStyle name="Note 2 2" xfId="394"/>
    <cellStyle name="Note 2 3" xfId="395"/>
    <cellStyle name="Note 2 4" xfId="396"/>
    <cellStyle name="Note 3" xfId="397"/>
    <cellStyle name="Note 4" xfId="398"/>
    <cellStyle name="Note 5" xfId="399"/>
    <cellStyle name="Note 6" xfId="400"/>
    <cellStyle name="Note 7" xfId="401"/>
    <cellStyle name="Note 7 2" xfId="402"/>
    <cellStyle name="Note 8" xfId="403"/>
    <cellStyle name="NumberAsPercent" xfId="404"/>
    <cellStyle name="NumberFormat" xfId="405"/>
    <cellStyle name="Numbers" xfId="406"/>
    <cellStyle name="Numbers - Bold" xfId="407"/>
    <cellStyle name="Numbers_increm pf" xfId="408"/>
    <cellStyle name="NumberTo1DecPlace" xfId="409"/>
    <cellStyle name="OffWhite" xfId="410"/>
    <cellStyle name="Option" xfId="411"/>
    <cellStyle name="orange text cell" xfId="412"/>
    <cellStyle name="Output 2" xfId="413"/>
    <cellStyle name="Output 3" xfId="414"/>
    <cellStyle name="Output 4" xfId="415"/>
    <cellStyle name="Output Amounts" xfId="416"/>
    <cellStyle name="Output Column Headings" xfId="417"/>
    <cellStyle name="Output Line Items" xfId="418"/>
    <cellStyle name="Output Report Heading" xfId="419"/>
    <cellStyle name="Output Report Title" xfId="420"/>
    <cellStyle name="Pageheading" xfId="421"/>
    <cellStyle name="Percent [0]" xfId="422"/>
    <cellStyle name="Percent [0] 2" xfId="423"/>
    <cellStyle name="Percent [00]" xfId="424"/>
    <cellStyle name="Percent [00] 2" xfId="425"/>
    <cellStyle name="Percent [2]" xfId="426"/>
    <cellStyle name="Percent 2" xfId="427"/>
    <cellStyle name="Percent 2 2" xfId="428"/>
    <cellStyle name="Percent 3" xfId="429"/>
    <cellStyle name="Percentage" xfId="430"/>
    <cellStyle name="PrePop Currency (0)" xfId="431"/>
    <cellStyle name="PrePop Currency (0) 2" xfId="432"/>
    <cellStyle name="PrePop Currency (2)" xfId="433"/>
    <cellStyle name="PrePop Currency (2) 2" xfId="434"/>
    <cellStyle name="PrePop Units (0)" xfId="435"/>
    <cellStyle name="PrePop Units (0) 2" xfId="436"/>
    <cellStyle name="PrePop Units (1)" xfId="437"/>
    <cellStyle name="PrePop Units (1) 2" xfId="438"/>
    <cellStyle name="PrePop Units (2)" xfId="439"/>
    <cellStyle name="PrePop Units (2) 2" xfId="440"/>
    <cellStyle name="PriceTo3DecPlaces" xfId="441"/>
    <cellStyle name="PriceWithBorderAround" xfId="442"/>
    <cellStyle name="PRICING" xfId="443"/>
    <cellStyle name="Product Header" xfId="444"/>
    <cellStyle name="PSChar" xfId="445"/>
    <cellStyle name="PSHeading" xfId="446"/>
    <cellStyle name="r" xfId="447"/>
    <cellStyle name="r_pldt" xfId="448"/>
    <cellStyle name="ReportLeftHeader" xfId="449"/>
    <cellStyle name="ReportRightHeader" xfId="450"/>
    <cellStyle name="results" xfId="451"/>
    <cellStyle name="RevList" xfId="452"/>
    <cellStyle name="RVRQueryHandle" xfId="453"/>
    <cellStyle name="Section" xfId="454"/>
    <cellStyle name="SecuritiesPricingTable" xfId="455"/>
    <cellStyle name="SecuritiesPricingTableFinalData" xfId="456"/>
    <cellStyle name="SecuritiesPricingTableManualData" xfId="457"/>
    <cellStyle name="SecuritiesPricingTableText" xfId="458"/>
    <cellStyle name="Short $" xfId="459"/>
    <cellStyle name="Short $ 2" xfId="460"/>
    <cellStyle name="SIZE" xfId="461"/>
    <cellStyle name="Standard_Swaps-Bonds-Blending" xfId="462"/>
    <cellStyle name="Style 1" xfId="463"/>
    <cellStyle name="StyleSecuritiesPricingTableInteger" xfId="464"/>
    <cellStyle name="Subheading" xfId="465"/>
    <cellStyle name="subtitle" xfId="466"/>
    <cellStyle name="Subtotal" xfId="467"/>
    <cellStyle name="Table" xfId="468"/>
    <cellStyle name="Tablebody" xfId="469"/>
    <cellStyle name="TablebodyDate" xfId="470"/>
    <cellStyle name="TablebodyHeading" xfId="471"/>
    <cellStyle name="TablebodyOutstandingAmount" xfId="472"/>
    <cellStyle name="TablebodyPercent" xfId="473"/>
    <cellStyle name="TablebodyPrice" xfId="474"/>
    <cellStyle name="TablebodyReverse" xfId="475"/>
    <cellStyle name="TablebodySpread" xfId="476"/>
    <cellStyle name="TablebodySpreadBorder" xfId="477"/>
    <cellStyle name="TablebodyText" xfId="478"/>
    <cellStyle name="Tableheading" xfId="479"/>
    <cellStyle name="Text" xfId="480"/>
    <cellStyle name="Text 2" xfId="481"/>
    <cellStyle name="Text Indent A" xfId="482"/>
    <cellStyle name="Text Indent B" xfId="483"/>
    <cellStyle name="Text Indent B 2" xfId="484"/>
    <cellStyle name="Text Indent C" xfId="485"/>
    <cellStyle name="Text Indent C 2" xfId="486"/>
    <cellStyle name="TextStyle" xfId="487"/>
    <cellStyle name="tic display" xfId="488"/>
    <cellStyle name="tic input" xfId="489"/>
    <cellStyle name="Title - Underline" xfId="490"/>
    <cellStyle name="Title 2" xfId="491"/>
    <cellStyle name="Title 3" xfId="492"/>
    <cellStyle name="Title 4" xfId="493"/>
    <cellStyle name="Title 5" xfId="494"/>
    <cellStyle name="Title 6" xfId="495"/>
    <cellStyle name="Title 7" xfId="496"/>
    <cellStyle name="Title Calculations" xfId="497"/>
    <cellStyle name="Title Calculations 2" xfId="498"/>
    <cellStyle name="Title Indicative" xfId="499"/>
    <cellStyle name="Title Indicative 2" xfId="500"/>
    <cellStyle name="Title Pricing Assumptions" xfId="501"/>
    <cellStyle name="Title Pricing Assumptions 2" xfId="502"/>
    <cellStyle name="Title Pricing Assumptions 2 2" xfId="503"/>
    <cellStyle name="Title Pricing Assumptions 2 3" xfId="504"/>
    <cellStyle name="Title Pricing Assumptions 3" xfId="505"/>
    <cellStyle name="Title Pricing Assumptions 3 12 8" xfId="506"/>
    <cellStyle name="Title Pricing Assumptions 3 6 4 2 8" xfId="507"/>
    <cellStyle name="Titles - Other" xfId="508"/>
    <cellStyle name="Total 2" xfId="509"/>
    <cellStyle name="Total 2 2" xfId="510"/>
    <cellStyle name="Total 3" xfId="511"/>
    <cellStyle name="Total 4" xfId="512"/>
    <cellStyle name="Warning" xfId="513"/>
    <cellStyle name="Warning Text 2" xfId="514"/>
    <cellStyle name="Warning Text 3" xfId="515"/>
    <cellStyle name="Warning Text 4" xfId="516"/>
    <cellStyle name="YB Calculations" xfId="517"/>
    <cellStyle name="YB Calculations 2" xfId="518"/>
    <cellStyle name="YB Curve" xfId="519"/>
    <cellStyle name="YB Indicative" xfId="520"/>
    <cellStyle name="YBINDIC" xfId="521"/>
    <cellStyle name="YBIOPOBE" xfId="522"/>
    <cellStyle name="YBPRICE" xfId="523"/>
    <cellStyle name="一般_原始檔案" xfId="52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LLwithCondition!$C$3</c:f>
              <c:strCache>
                <c:ptCount val="1"/>
                <c:pt idx="0">
                  <c:v>Big Bank</c:v>
                </c:pt>
              </c:strCache>
            </c:strRef>
          </c:tx>
          <c:spPr>
            <a:ln w="19050">
              <a:solidFill>
                <a:srgbClr val="2E398A"/>
              </a:solidFill>
            </a:ln>
          </c:spPr>
          <c:marker>
            <c:symbol val="none"/>
          </c:marker>
          <c:cat>
            <c:numRef>
              <c:f>LLwithCondition!$B$4:$B$129</c:f>
              <c:numCache>
                <c:formatCode>m/d/yyyy</c:formatCode>
                <c:ptCount val="126"/>
                <c:pt idx="0">
                  <c:v>42156</c:v>
                </c:pt>
                <c:pt idx="1">
                  <c:v>42125</c:v>
                </c:pt>
                <c:pt idx="2">
                  <c:v>42095</c:v>
                </c:pt>
                <c:pt idx="3">
                  <c:v>42064</c:v>
                </c:pt>
                <c:pt idx="4">
                  <c:v>42036</c:v>
                </c:pt>
                <c:pt idx="5">
                  <c:v>42005</c:v>
                </c:pt>
                <c:pt idx="6">
                  <c:v>41974</c:v>
                </c:pt>
                <c:pt idx="7">
                  <c:v>41944</c:v>
                </c:pt>
                <c:pt idx="8">
                  <c:v>41913</c:v>
                </c:pt>
                <c:pt idx="9">
                  <c:v>41883</c:v>
                </c:pt>
                <c:pt idx="10">
                  <c:v>41852</c:v>
                </c:pt>
                <c:pt idx="11">
                  <c:v>41821</c:v>
                </c:pt>
                <c:pt idx="12">
                  <c:v>41791</c:v>
                </c:pt>
                <c:pt idx="13">
                  <c:v>41760</c:v>
                </c:pt>
                <c:pt idx="14">
                  <c:v>41730</c:v>
                </c:pt>
                <c:pt idx="15">
                  <c:v>41699</c:v>
                </c:pt>
                <c:pt idx="16">
                  <c:v>41671</c:v>
                </c:pt>
                <c:pt idx="17">
                  <c:v>41640</c:v>
                </c:pt>
                <c:pt idx="18">
                  <c:v>41609</c:v>
                </c:pt>
                <c:pt idx="19">
                  <c:v>41579</c:v>
                </c:pt>
                <c:pt idx="20">
                  <c:v>41548</c:v>
                </c:pt>
                <c:pt idx="21">
                  <c:v>41518</c:v>
                </c:pt>
                <c:pt idx="22">
                  <c:v>41487</c:v>
                </c:pt>
                <c:pt idx="23">
                  <c:v>41456</c:v>
                </c:pt>
                <c:pt idx="24">
                  <c:v>41426</c:v>
                </c:pt>
                <c:pt idx="25">
                  <c:v>41395</c:v>
                </c:pt>
                <c:pt idx="26">
                  <c:v>41365</c:v>
                </c:pt>
                <c:pt idx="27">
                  <c:v>41334</c:v>
                </c:pt>
                <c:pt idx="28">
                  <c:v>41306</c:v>
                </c:pt>
                <c:pt idx="29">
                  <c:v>41275</c:v>
                </c:pt>
                <c:pt idx="30">
                  <c:v>41244</c:v>
                </c:pt>
                <c:pt idx="31">
                  <c:v>41214</c:v>
                </c:pt>
                <c:pt idx="32">
                  <c:v>41183</c:v>
                </c:pt>
                <c:pt idx="33">
                  <c:v>41153</c:v>
                </c:pt>
                <c:pt idx="34">
                  <c:v>41122</c:v>
                </c:pt>
                <c:pt idx="35">
                  <c:v>41091</c:v>
                </c:pt>
                <c:pt idx="36">
                  <c:v>41061</c:v>
                </c:pt>
                <c:pt idx="37">
                  <c:v>41030</c:v>
                </c:pt>
                <c:pt idx="38">
                  <c:v>41000</c:v>
                </c:pt>
                <c:pt idx="39">
                  <c:v>40969</c:v>
                </c:pt>
                <c:pt idx="40">
                  <c:v>40940</c:v>
                </c:pt>
                <c:pt idx="41">
                  <c:v>40909</c:v>
                </c:pt>
                <c:pt idx="42">
                  <c:v>40878</c:v>
                </c:pt>
                <c:pt idx="43">
                  <c:v>40848</c:v>
                </c:pt>
                <c:pt idx="44">
                  <c:v>40817</c:v>
                </c:pt>
                <c:pt idx="45">
                  <c:v>40787</c:v>
                </c:pt>
                <c:pt idx="46">
                  <c:v>40756</c:v>
                </c:pt>
                <c:pt idx="47">
                  <c:v>40725</c:v>
                </c:pt>
                <c:pt idx="48">
                  <c:v>40695</c:v>
                </c:pt>
                <c:pt idx="49">
                  <c:v>40664</c:v>
                </c:pt>
                <c:pt idx="50">
                  <c:v>40634</c:v>
                </c:pt>
                <c:pt idx="51">
                  <c:v>40603</c:v>
                </c:pt>
                <c:pt idx="52">
                  <c:v>40575</c:v>
                </c:pt>
                <c:pt idx="53">
                  <c:v>40544</c:v>
                </c:pt>
                <c:pt idx="54">
                  <c:v>40513</c:v>
                </c:pt>
                <c:pt idx="55">
                  <c:v>40483</c:v>
                </c:pt>
                <c:pt idx="56">
                  <c:v>40452</c:v>
                </c:pt>
                <c:pt idx="57">
                  <c:v>40422</c:v>
                </c:pt>
                <c:pt idx="58">
                  <c:v>40391</c:v>
                </c:pt>
                <c:pt idx="59">
                  <c:v>40360</c:v>
                </c:pt>
                <c:pt idx="60">
                  <c:v>40330</c:v>
                </c:pt>
                <c:pt idx="61">
                  <c:v>40299</c:v>
                </c:pt>
                <c:pt idx="62">
                  <c:v>40269</c:v>
                </c:pt>
                <c:pt idx="63">
                  <c:v>40238</c:v>
                </c:pt>
                <c:pt idx="64">
                  <c:v>40210</c:v>
                </c:pt>
                <c:pt idx="65">
                  <c:v>40179</c:v>
                </c:pt>
                <c:pt idx="66">
                  <c:v>40148</c:v>
                </c:pt>
                <c:pt idx="67">
                  <c:v>40118</c:v>
                </c:pt>
                <c:pt idx="68">
                  <c:v>40087</c:v>
                </c:pt>
                <c:pt idx="69">
                  <c:v>40057</c:v>
                </c:pt>
                <c:pt idx="70">
                  <c:v>40026</c:v>
                </c:pt>
                <c:pt idx="71">
                  <c:v>39995</c:v>
                </c:pt>
                <c:pt idx="72">
                  <c:v>39965</c:v>
                </c:pt>
                <c:pt idx="73">
                  <c:v>39934</c:v>
                </c:pt>
                <c:pt idx="74">
                  <c:v>39904</c:v>
                </c:pt>
                <c:pt idx="75">
                  <c:v>39873</c:v>
                </c:pt>
                <c:pt idx="76">
                  <c:v>39845</c:v>
                </c:pt>
                <c:pt idx="77">
                  <c:v>39814</c:v>
                </c:pt>
                <c:pt idx="78">
                  <c:v>39783</c:v>
                </c:pt>
                <c:pt idx="79">
                  <c:v>39753</c:v>
                </c:pt>
                <c:pt idx="80">
                  <c:v>39722</c:v>
                </c:pt>
                <c:pt idx="81">
                  <c:v>39692</c:v>
                </c:pt>
                <c:pt idx="82">
                  <c:v>39661</c:v>
                </c:pt>
                <c:pt idx="83">
                  <c:v>39630</c:v>
                </c:pt>
                <c:pt idx="84">
                  <c:v>39600</c:v>
                </c:pt>
                <c:pt idx="85">
                  <c:v>39569</c:v>
                </c:pt>
                <c:pt idx="86">
                  <c:v>39539</c:v>
                </c:pt>
                <c:pt idx="87">
                  <c:v>39508</c:v>
                </c:pt>
                <c:pt idx="88">
                  <c:v>39479</c:v>
                </c:pt>
                <c:pt idx="89">
                  <c:v>39448</c:v>
                </c:pt>
                <c:pt idx="90">
                  <c:v>39417</c:v>
                </c:pt>
                <c:pt idx="91">
                  <c:v>39387</c:v>
                </c:pt>
                <c:pt idx="92">
                  <c:v>39356</c:v>
                </c:pt>
                <c:pt idx="93">
                  <c:v>39326</c:v>
                </c:pt>
                <c:pt idx="94">
                  <c:v>39295</c:v>
                </c:pt>
                <c:pt idx="95">
                  <c:v>39264</c:v>
                </c:pt>
                <c:pt idx="96">
                  <c:v>39234</c:v>
                </c:pt>
                <c:pt idx="97">
                  <c:v>39203</c:v>
                </c:pt>
                <c:pt idx="98">
                  <c:v>39173</c:v>
                </c:pt>
                <c:pt idx="99">
                  <c:v>39142</c:v>
                </c:pt>
                <c:pt idx="100">
                  <c:v>39114</c:v>
                </c:pt>
                <c:pt idx="101">
                  <c:v>39083</c:v>
                </c:pt>
                <c:pt idx="102">
                  <c:v>39052</c:v>
                </c:pt>
                <c:pt idx="103">
                  <c:v>39022</c:v>
                </c:pt>
                <c:pt idx="104">
                  <c:v>38991</c:v>
                </c:pt>
                <c:pt idx="105">
                  <c:v>38961</c:v>
                </c:pt>
                <c:pt idx="106">
                  <c:v>38930</c:v>
                </c:pt>
                <c:pt idx="107">
                  <c:v>38899</c:v>
                </c:pt>
                <c:pt idx="108">
                  <c:v>38869</c:v>
                </c:pt>
                <c:pt idx="109">
                  <c:v>38838</c:v>
                </c:pt>
                <c:pt idx="110">
                  <c:v>38808</c:v>
                </c:pt>
                <c:pt idx="111">
                  <c:v>38777</c:v>
                </c:pt>
                <c:pt idx="112">
                  <c:v>38749</c:v>
                </c:pt>
                <c:pt idx="113">
                  <c:v>38718</c:v>
                </c:pt>
                <c:pt idx="114">
                  <c:v>38687</c:v>
                </c:pt>
                <c:pt idx="115">
                  <c:v>38657</c:v>
                </c:pt>
                <c:pt idx="116">
                  <c:v>38626</c:v>
                </c:pt>
                <c:pt idx="117">
                  <c:v>38596</c:v>
                </c:pt>
                <c:pt idx="118">
                  <c:v>38565</c:v>
                </c:pt>
                <c:pt idx="119">
                  <c:v>38534</c:v>
                </c:pt>
                <c:pt idx="120">
                  <c:v>38504</c:v>
                </c:pt>
                <c:pt idx="121">
                  <c:v>38473</c:v>
                </c:pt>
                <c:pt idx="122">
                  <c:v>38443</c:v>
                </c:pt>
                <c:pt idx="123">
                  <c:v>38412</c:v>
                </c:pt>
                <c:pt idx="124">
                  <c:v>38384</c:v>
                </c:pt>
                <c:pt idx="125">
                  <c:v>38353</c:v>
                </c:pt>
              </c:numCache>
            </c:numRef>
          </c:cat>
          <c:val>
            <c:numRef>
              <c:f>LLwithCondition!$C$4:$C$129</c:f>
              <c:numCache>
                <c:formatCode>0.00</c:formatCode>
                <c:ptCount val="126"/>
                <c:pt idx="0">
                  <c:v>4.2814568652573097</c:v>
                </c:pt>
                <c:pt idx="1">
                  <c:v>4.1497341953507201</c:v>
                </c:pt>
                <c:pt idx="2">
                  <c:v>3.9762156604078802</c:v>
                </c:pt>
                <c:pt idx="3">
                  <c:v>4.1156717681475801</c:v>
                </c:pt>
                <c:pt idx="4">
                  <c:v>4.2616069792633198</c:v>
                </c:pt>
                <c:pt idx="5">
                  <c:v>4.3286198758944696</c:v>
                </c:pt>
                <c:pt idx="6">
                  <c:v>4.4668929370465698</c:v>
                </c:pt>
                <c:pt idx="7">
                  <c:v>4.7049313458332698</c:v>
                </c:pt>
                <c:pt idx="8">
                  <c:v>4.4490704943226804</c:v>
                </c:pt>
                <c:pt idx="9">
                  <c:v>4.4536976926398104</c:v>
                </c:pt>
                <c:pt idx="10">
                  <c:v>4.4745700811097597</c:v>
                </c:pt>
                <c:pt idx="11">
                  <c:v>4.6155240570251399</c:v>
                </c:pt>
                <c:pt idx="12">
                  <c:v>4.6457399086433897</c:v>
                </c:pt>
                <c:pt idx="13">
                  <c:v>4.6332822318684102</c:v>
                </c:pt>
                <c:pt idx="14">
                  <c:v>4.6407670714703801</c:v>
                </c:pt>
                <c:pt idx="15">
                  <c:v>4.73263952671212</c:v>
                </c:pt>
                <c:pt idx="16">
                  <c:v>4.6536719492279799</c:v>
                </c:pt>
                <c:pt idx="17">
                  <c:v>4.5895646237737804</c:v>
                </c:pt>
                <c:pt idx="18">
                  <c:v>4.61920026135369</c:v>
                </c:pt>
                <c:pt idx="19">
                  <c:v>4.6747178236477502</c:v>
                </c:pt>
                <c:pt idx="20">
                  <c:v>4.5862204451268598</c:v>
                </c:pt>
                <c:pt idx="21">
                  <c:v>4.2507659645031097</c:v>
                </c:pt>
                <c:pt idx="22">
                  <c:v>3.9491096805015098</c:v>
                </c:pt>
                <c:pt idx="23">
                  <c:v>3.8211445865321001</c:v>
                </c:pt>
                <c:pt idx="24">
                  <c:v>3.8062802293370401</c:v>
                </c:pt>
                <c:pt idx="25">
                  <c:v>3.9283481871750499</c:v>
                </c:pt>
                <c:pt idx="26">
                  <c:v>3.8038767498904398</c:v>
                </c:pt>
                <c:pt idx="27">
                  <c:v>3.69926642416794</c:v>
                </c:pt>
                <c:pt idx="28">
                  <c:v>3.63325349969457</c:v>
                </c:pt>
                <c:pt idx="29">
                  <c:v>3.7531777758654599</c:v>
                </c:pt>
                <c:pt idx="30">
                  <c:v>3.7529169822709099</c:v>
                </c:pt>
                <c:pt idx="31">
                  <c:v>3.8270042987425001</c:v>
                </c:pt>
                <c:pt idx="32">
                  <c:v>3.8503675120790701</c:v>
                </c:pt>
                <c:pt idx="33">
                  <c:v>3.9015765798451199</c:v>
                </c:pt>
                <c:pt idx="34">
                  <c:v>4.0168085289684097</c:v>
                </c:pt>
                <c:pt idx="35">
                  <c:v>4.1313460757178397</c:v>
                </c:pt>
                <c:pt idx="36">
                  <c:v>4.3125175098783002</c:v>
                </c:pt>
                <c:pt idx="37">
                  <c:v>4.1556151382690096</c:v>
                </c:pt>
                <c:pt idx="38">
                  <c:v>4.1739330968867403</c:v>
                </c:pt>
                <c:pt idx="39">
                  <c:v>4.1882604412744202</c:v>
                </c:pt>
                <c:pt idx="40">
                  <c:v>4.2765226382154298</c:v>
                </c:pt>
                <c:pt idx="41">
                  <c:v>4.3227644059747696</c:v>
                </c:pt>
                <c:pt idx="42">
                  <c:v>4.3278463437356898</c:v>
                </c:pt>
                <c:pt idx="43">
                  <c:v>4.4491338596756798</c:v>
                </c:pt>
                <c:pt idx="44">
                  <c:v>4.5669157311845598</c:v>
                </c:pt>
                <c:pt idx="45">
                  <c:v>4.8218941601059599</c:v>
                </c:pt>
                <c:pt idx="46">
                  <c:v>4.9368701544670603</c:v>
                </c:pt>
                <c:pt idx="47">
                  <c:v>4.9621704900752599</c:v>
                </c:pt>
                <c:pt idx="48">
                  <c:v>5.11213707449979</c:v>
                </c:pt>
                <c:pt idx="49">
                  <c:v>5.0898398470488999</c:v>
                </c:pt>
                <c:pt idx="50">
                  <c:v>4.9859301813030701</c:v>
                </c:pt>
                <c:pt idx="51">
                  <c:v>4.8078077345350003</c:v>
                </c:pt>
                <c:pt idx="52">
                  <c:v>4.57035078861953</c:v>
                </c:pt>
                <c:pt idx="53">
                  <c:v>4.47777180912228</c:v>
                </c:pt>
                <c:pt idx="54">
                  <c:v>4.5070489226462804</c:v>
                </c:pt>
                <c:pt idx="55">
                  <c:v>4.6242812881039903</c:v>
                </c:pt>
                <c:pt idx="56">
                  <c:v>4.6829538502499499</c:v>
                </c:pt>
                <c:pt idx="57">
                  <c:v>4.7967452175748404</c:v>
                </c:pt>
                <c:pt idx="58">
                  <c:v>4.9665212100368699</c:v>
                </c:pt>
                <c:pt idx="59">
                  <c:v>5.1335206483369902</c:v>
                </c:pt>
                <c:pt idx="60">
                  <c:v>5.1970539533687603</c:v>
                </c:pt>
                <c:pt idx="61">
                  <c:v>5.1822039110491298</c:v>
                </c:pt>
                <c:pt idx="62">
                  <c:v>5.1143490178859601</c:v>
                </c:pt>
                <c:pt idx="63">
                  <c:v>5.0940064737528603</c:v>
                </c:pt>
                <c:pt idx="64">
                  <c:v>5.0325290775223701</c:v>
                </c:pt>
                <c:pt idx="65">
                  <c:v>5.0819040507103104</c:v>
                </c:pt>
                <c:pt idx="66">
                  <c:v>5.0601004655389001</c:v>
                </c:pt>
                <c:pt idx="67">
                  <c:v>5.1270693264062697</c:v>
                </c:pt>
                <c:pt idx="68">
                  <c:v>5.0436840369302098</c:v>
                </c:pt>
                <c:pt idx="69">
                  <c:v>5.0708901929194203</c:v>
                </c:pt>
                <c:pt idx="70">
                  <c:v>4.9170217745910296</c:v>
                </c:pt>
                <c:pt idx="71">
                  <c:v>4.8347262351269</c:v>
                </c:pt>
                <c:pt idx="72">
                  <c:v>4.8436569444591697</c:v>
                </c:pt>
                <c:pt idx="73">
                  <c:v>5.0053142767531096</c:v>
                </c:pt>
                <c:pt idx="74">
                  <c:v>4.9033025170080702</c:v>
                </c:pt>
                <c:pt idx="75">
                  <c:v>4.9372645695745003</c:v>
                </c:pt>
                <c:pt idx="76">
                  <c:v>4.9958465711364504</c:v>
                </c:pt>
                <c:pt idx="77">
                  <c:v>5.4116982160407501</c:v>
                </c:pt>
                <c:pt idx="78">
                  <c:v>5.95114825620941</c:v>
                </c:pt>
                <c:pt idx="79">
                  <c:v>6.1086940972447898</c:v>
                </c:pt>
                <c:pt idx="80">
                  <c:v>6.1605734440785103</c:v>
                </c:pt>
                <c:pt idx="81">
                  <c:v>6.3731672691902599</c:v>
                </c:pt>
                <c:pt idx="82">
                  <c:v>6.1738686786969001</c:v>
                </c:pt>
                <c:pt idx="83">
                  <c:v>6.0117805367643102</c:v>
                </c:pt>
                <c:pt idx="84">
                  <c:v>5.8879216459290902</c:v>
                </c:pt>
                <c:pt idx="85">
                  <c:v>5.8042207761092701</c:v>
                </c:pt>
                <c:pt idx="86">
                  <c:v>5.7637600292244597</c:v>
                </c:pt>
                <c:pt idx="87">
                  <c:v>5.7435418841214796</c:v>
                </c:pt>
                <c:pt idx="88">
                  <c:v>5.9365804213282498</c:v>
                </c:pt>
                <c:pt idx="89">
                  <c:v>6.1982599615576399</c:v>
                </c:pt>
                <c:pt idx="90">
                  <c:v>6.3394385012274101</c:v>
                </c:pt>
                <c:pt idx="91">
                  <c:v>6.46532332553672</c:v>
                </c:pt>
                <c:pt idx="92">
                  <c:v>6.5700777738285403</c:v>
                </c:pt>
                <c:pt idx="93">
                  <c:v>6.5991799225757699</c:v>
                </c:pt>
                <c:pt idx="94">
                  <c:v>6.5467608392706502</c:v>
                </c:pt>
                <c:pt idx="95">
                  <c:v>6.3439060133520604</c:v>
                </c:pt>
                <c:pt idx="96">
                  <c:v>6.2438765224041397</c:v>
                </c:pt>
                <c:pt idx="97">
                  <c:v>6.1921209476416399</c:v>
                </c:pt>
                <c:pt idx="98">
                  <c:v>6.2324641450380804</c:v>
                </c:pt>
                <c:pt idx="99">
                  <c:v>6.2398728301374602</c:v>
                </c:pt>
                <c:pt idx="100">
                  <c:v>6.2313178246901302</c:v>
                </c:pt>
                <c:pt idx="101">
                  <c:v>6.2033136271096696</c:v>
                </c:pt>
                <c:pt idx="102">
                  <c:v>6.3588353922846599</c:v>
                </c:pt>
                <c:pt idx="103">
                  <c:v>6.4541087802732102</c:v>
                </c:pt>
                <c:pt idx="104">
                  <c:v>6.5303692548919301</c:v>
                </c:pt>
                <c:pt idx="105">
                  <c:v>6.6969214773724</c:v>
                </c:pt>
                <c:pt idx="106">
                  <c:v>6.7489866680389001</c:v>
                </c:pt>
                <c:pt idx="107">
                  <c:v>6.6582320930680501</c:v>
                </c:pt>
                <c:pt idx="108">
                  <c:v>6.4966828781134502</c:v>
                </c:pt>
                <c:pt idx="109">
                  <c:v>6.3496636274609601</c:v>
                </c:pt>
                <c:pt idx="110">
                  <c:v>6.1625003353485797</c:v>
                </c:pt>
                <c:pt idx="111">
                  <c:v>6.2300990392303204</c:v>
                </c:pt>
                <c:pt idx="112">
                  <c:v>6.2157719062395396</c:v>
                </c:pt>
                <c:pt idx="113">
                  <c:v>6.1790285154481799</c:v>
                </c:pt>
                <c:pt idx="114">
                  <c:v>6.0110893377154699</c:v>
                </c:pt>
                <c:pt idx="115">
                  <c:v>5.8665917585648204</c:v>
                </c:pt>
                <c:pt idx="116">
                  <c:v>5.8261810662029001</c:v>
                </c:pt>
                <c:pt idx="117">
                  <c:v>5.7737271421591601</c:v>
                </c:pt>
                <c:pt idx="118">
                  <c:v>5.7509442380804598</c:v>
                </c:pt>
                <c:pt idx="119">
                  <c:v>5.7798931724268998</c:v>
                </c:pt>
                <c:pt idx="120">
                  <c:v>5.9359092819794297</c:v>
                </c:pt>
                <c:pt idx="121">
                  <c:v>5.8650240305353201</c:v>
                </c:pt>
                <c:pt idx="122">
                  <c:v>5.7131424649754203</c:v>
                </c:pt>
                <c:pt idx="123">
                  <c:v>5.7080755223592199</c:v>
                </c:pt>
                <c:pt idx="124">
                  <c:v>5.8034733297388401</c:v>
                </c:pt>
                <c:pt idx="125">
                  <c:v>5.8285798965769704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LLwithCondition!$D$3</c:f>
              <c:strCache>
                <c:ptCount val="1"/>
                <c:pt idx="0">
                  <c:v>Big Non-Bank</c:v>
                </c:pt>
              </c:strCache>
            </c:strRef>
          </c:tx>
          <c:spPr>
            <a:ln w="19050">
              <a:solidFill>
                <a:srgbClr val="AD275C"/>
              </a:solidFill>
            </a:ln>
          </c:spPr>
          <c:marker>
            <c:symbol val="none"/>
          </c:marker>
          <c:cat>
            <c:numRef>
              <c:f>LLwithCondition!$B$4:$B$129</c:f>
              <c:numCache>
                <c:formatCode>m/d/yyyy</c:formatCode>
                <c:ptCount val="126"/>
                <c:pt idx="0">
                  <c:v>42156</c:v>
                </c:pt>
                <c:pt idx="1">
                  <c:v>42125</c:v>
                </c:pt>
                <c:pt idx="2">
                  <c:v>42095</c:v>
                </c:pt>
                <c:pt idx="3">
                  <c:v>42064</c:v>
                </c:pt>
                <c:pt idx="4">
                  <c:v>42036</c:v>
                </c:pt>
                <c:pt idx="5">
                  <c:v>42005</c:v>
                </c:pt>
                <c:pt idx="6">
                  <c:v>41974</c:v>
                </c:pt>
                <c:pt idx="7">
                  <c:v>41944</c:v>
                </c:pt>
                <c:pt idx="8">
                  <c:v>41913</c:v>
                </c:pt>
                <c:pt idx="9">
                  <c:v>41883</c:v>
                </c:pt>
                <c:pt idx="10">
                  <c:v>41852</c:v>
                </c:pt>
                <c:pt idx="11">
                  <c:v>41821</c:v>
                </c:pt>
                <c:pt idx="12">
                  <c:v>41791</c:v>
                </c:pt>
                <c:pt idx="13">
                  <c:v>41760</c:v>
                </c:pt>
                <c:pt idx="14">
                  <c:v>41730</c:v>
                </c:pt>
                <c:pt idx="15">
                  <c:v>41699</c:v>
                </c:pt>
                <c:pt idx="16">
                  <c:v>41671</c:v>
                </c:pt>
                <c:pt idx="17">
                  <c:v>41640</c:v>
                </c:pt>
                <c:pt idx="18">
                  <c:v>41609</c:v>
                </c:pt>
                <c:pt idx="19">
                  <c:v>41579</c:v>
                </c:pt>
                <c:pt idx="20">
                  <c:v>41548</c:v>
                </c:pt>
                <c:pt idx="21">
                  <c:v>41518</c:v>
                </c:pt>
                <c:pt idx="22">
                  <c:v>41487</c:v>
                </c:pt>
                <c:pt idx="23">
                  <c:v>41456</c:v>
                </c:pt>
                <c:pt idx="24">
                  <c:v>41426</c:v>
                </c:pt>
                <c:pt idx="25">
                  <c:v>41395</c:v>
                </c:pt>
                <c:pt idx="26">
                  <c:v>41365</c:v>
                </c:pt>
                <c:pt idx="27">
                  <c:v>41334</c:v>
                </c:pt>
                <c:pt idx="28">
                  <c:v>41306</c:v>
                </c:pt>
                <c:pt idx="29">
                  <c:v>41275</c:v>
                </c:pt>
                <c:pt idx="30">
                  <c:v>41244</c:v>
                </c:pt>
                <c:pt idx="31">
                  <c:v>41214</c:v>
                </c:pt>
                <c:pt idx="32">
                  <c:v>41183</c:v>
                </c:pt>
                <c:pt idx="33">
                  <c:v>41153</c:v>
                </c:pt>
                <c:pt idx="34">
                  <c:v>41122</c:v>
                </c:pt>
                <c:pt idx="35">
                  <c:v>41091</c:v>
                </c:pt>
                <c:pt idx="36">
                  <c:v>41061</c:v>
                </c:pt>
                <c:pt idx="37">
                  <c:v>41030</c:v>
                </c:pt>
                <c:pt idx="38">
                  <c:v>41000</c:v>
                </c:pt>
                <c:pt idx="39">
                  <c:v>40969</c:v>
                </c:pt>
                <c:pt idx="40">
                  <c:v>40940</c:v>
                </c:pt>
                <c:pt idx="41">
                  <c:v>40909</c:v>
                </c:pt>
                <c:pt idx="42">
                  <c:v>40878</c:v>
                </c:pt>
                <c:pt idx="43">
                  <c:v>40848</c:v>
                </c:pt>
                <c:pt idx="44">
                  <c:v>40817</c:v>
                </c:pt>
                <c:pt idx="45">
                  <c:v>40787</c:v>
                </c:pt>
                <c:pt idx="46">
                  <c:v>40756</c:v>
                </c:pt>
                <c:pt idx="47">
                  <c:v>40725</c:v>
                </c:pt>
                <c:pt idx="48">
                  <c:v>40695</c:v>
                </c:pt>
                <c:pt idx="49">
                  <c:v>40664</c:v>
                </c:pt>
                <c:pt idx="50">
                  <c:v>40634</c:v>
                </c:pt>
                <c:pt idx="51">
                  <c:v>40603</c:v>
                </c:pt>
                <c:pt idx="52">
                  <c:v>40575</c:v>
                </c:pt>
                <c:pt idx="53">
                  <c:v>40544</c:v>
                </c:pt>
                <c:pt idx="54">
                  <c:v>40513</c:v>
                </c:pt>
                <c:pt idx="55">
                  <c:v>40483</c:v>
                </c:pt>
                <c:pt idx="56">
                  <c:v>40452</c:v>
                </c:pt>
                <c:pt idx="57">
                  <c:v>40422</c:v>
                </c:pt>
                <c:pt idx="58">
                  <c:v>40391</c:v>
                </c:pt>
                <c:pt idx="59">
                  <c:v>40360</c:v>
                </c:pt>
                <c:pt idx="60">
                  <c:v>40330</c:v>
                </c:pt>
                <c:pt idx="61">
                  <c:v>40299</c:v>
                </c:pt>
                <c:pt idx="62">
                  <c:v>40269</c:v>
                </c:pt>
                <c:pt idx="63">
                  <c:v>40238</c:v>
                </c:pt>
                <c:pt idx="64">
                  <c:v>40210</c:v>
                </c:pt>
                <c:pt idx="65">
                  <c:v>40179</c:v>
                </c:pt>
                <c:pt idx="66">
                  <c:v>40148</c:v>
                </c:pt>
                <c:pt idx="67">
                  <c:v>40118</c:v>
                </c:pt>
                <c:pt idx="68">
                  <c:v>40087</c:v>
                </c:pt>
                <c:pt idx="69">
                  <c:v>40057</c:v>
                </c:pt>
                <c:pt idx="70">
                  <c:v>40026</c:v>
                </c:pt>
                <c:pt idx="71">
                  <c:v>39995</c:v>
                </c:pt>
                <c:pt idx="72">
                  <c:v>39965</c:v>
                </c:pt>
                <c:pt idx="73">
                  <c:v>39934</c:v>
                </c:pt>
                <c:pt idx="74">
                  <c:v>39904</c:v>
                </c:pt>
                <c:pt idx="75">
                  <c:v>39873</c:v>
                </c:pt>
                <c:pt idx="76">
                  <c:v>39845</c:v>
                </c:pt>
                <c:pt idx="77">
                  <c:v>39814</c:v>
                </c:pt>
                <c:pt idx="78">
                  <c:v>39783</c:v>
                </c:pt>
                <c:pt idx="79">
                  <c:v>39753</c:v>
                </c:pt>
                <c:pt idx="80">
                  <c:v>39722</c:v>
                </c:pt>
                <c:pt idx="81">
                  <c:v>39692</c:v>
                </c:pt>
                <c:pt idx="82">
                  <c:v>39661</c:v>
                </c:pt>
                <c:pt idx="83">
                  <c:v>39630</c:v>
                </c:pt>
                <c:pt idx="84">
                  <c:v>39600</c:v>
                </c:pt>
                <c:pt idx="85">
                  <c:v>39569</c:v>
                </c:pt>
                <c:pt idx="86">
                  <c:v>39539</c:v>
                </c:pt>
                <c:pt idx="87">
                  <c:v>39508</c:v>
                </c:pt>
                <c:pt idx="88">
                  <c:v>39479</c:v>
                </c:pt>
                <c:pt idx="89">
                  <c:v>39448</c:v>
                </c:pt>
                <c:pt idx="90">
                  <c:v>39417</c:v>
                </c:pt>
                <c:pt idx="91">
                  <c:v>39387</c:v>
                </c:pt>
                <c:pt idx="92">
                  <c:v>39356</c:v>
                </c:pt>
                <c:pt idx="93">
                  <c:v>39326</c:v>
                </c:pt>
                <c:pt idx="94">
                  <c:v>39295</c:v>
                </c:pt>
                <c:pt idx="95">
                  <c:v>39264</c:v>
                </c:pt>
                <c:pt idx="96">
                  <c:v>39234</c:v>
                </c:pt>
                <c:pt idx="97">
                  <c:v>39203</c:v>
                </c:pt>
                <c:pt idx="98">
                  <c:v>39173</c:v>
                </c:pt>
                <c:pt idx="99">
                  <c:v>39142</c:v>
                </c:pt>
                <c:pt idx="100">
                  <c:v>39114</c:v>
                </c:pt>
                <c:pt idx="101">
                  <c:v>39083</c:v>
                </c:pt>
                <c:pt idx="102">
                  <c:v>39052</c:v>
                </c:pt>
                <c:pt idx="103">
                  <c:v>39022</c:v>
                </c:pt>
                <c:pt idx="104">
                  <c:v>38991</c:v>
                </c:pt>
                <c:pt idx="105">
                  <c:v>38961</c:v>
                </c:pt>
                <c:pt idx="106">
                  <c:v>38930</c:v>
                </c:pt>
                <c:pt idx="107">
                  <c:v>38899</c:v>
                </c:pt>
                <c:pt idx="108">
                  <c:v>38869</c:v>
                </c:pt>
                <c:pt idx="109">
                  <c:v>38838</c:v>
                </c:pt>
                <c:pt idx="110">
                  <c:v>38808</c:v>
                </c:pt>
                <c:pt idx="111">
                  <c:v>38777</c:v>
                </c:pt>
                <c:pt idx="112">
                  <c:v>38749</c:v>
                </c:pt>
                <c:pt idx="113">
                  <c:v>38718</c:v>
                </c:pt>
                <c:pt idx="114">
                  <c:v>38687</c:v>
                </c:pt>
                <c:pt idx="115">
                  <c:v>38657</c:v>
                </c:pt>
                <c:pt idx="116">
                  <c:v>38626</c:v>
                </c:pt>
                <c:pt idx="117">
                  <c:v>38596</c:v>
                </c:pt>
                <c:pt idx="118">
                  <c:v>38565</c:v>
                </c:pt>
                <c:pt idx="119">
                  <c:v>38534</c:v>
                </c:pt>
                <c:pt idx="120">
                  <c:v>38504</c:v>
                </c:pt>
                <c:pt idx="121">
                  <c:v>38473</c:v>
                </c:pt>
                <c:pt idx="122">
                  <c:v>38443</c:v>
                </c:pt>
                <c:pt idx="123">
                  <c:v>38412</c:v>
                </c:pt>
                <c:pt idx="124">
                  <c:v>38384</c:v>
                </c:pt>
                <c:pt idx="125">
                  <c:v>38353</c:v>
                </c:pt>
              </c:numCache>
            </c:numRef>
          </c:cat>
          <c:val>
            <c:numRef>
              <c:f>LLwithCondition!$D$4:$D$129</c:f>
              <c:numCache>
                <c:formatCode>0.00</c:formatCode>
                <c:ptCount val="126"/>
                <c:pt idx="0">
                  <c:v>4.0686507646154899</c:v>
                </c:pt>
                <c:pt idx="1">
                  <c:v>4.0642555362097301</c:v>
                </c:pt>
                <c:pt idx="2">
                  <c:v>4.0277059899699301</c:v>
                </c:pt>
                <c:pt idx="3">
                  <c:v>4.0516131888317304</c:v>
                </c:pt>
                <c:pt idx="4">
                  <c:v>4.1799260938571896</c:v>
                </c:pt>
                <c:pt idx="5">
                  <c:v>4.29507902652733</c:v>
                </c:pt>
                <c:pt idx="6">
                  <c:v>4.3614534485438199</c:v>
                </c:pt>
                <c:pt idx="7">
                  <c:v>4.4669266317103196</c:v>
                </c:pt>
                <c:pt idx="8">
                  <c:v>4.4759398824380998</c:v>
                </c:pt>
                <c:pt idx="9">
                  <c:v>4.50690906458677</c:v>
                </c:pt>
                <c:pt idx="10">
                  <c:v>4.5211881324073904</c:v>
                </c:pt>
                <c:pt idx="11">
                  <c:v>4.5436109646790204</c:v>
                </c:pt>
                <c:pt idx="12">
                  <c:v>4.6392985360140004</c:v>
                </c:pt>
                <c:pt idx="13">
                  <c:v>4.6819615889319897</c:v>
                </c:pt>
                <c:pt idx="14">
                  <c:v>4.6955468117550598</c:v>
                </c:pt>
                <c:pt idx="15">
                  <c:v>4.7366032886628702</c:v>
                </c:pt>
                <c:pt idx="16">
                  <c:v>4.7295954340305402</c:v>
                </c:pt>
                <c:pt idx="17">
                  <c:v>4.6121976997306398</c:v>
                </c:pt>
                <c:pt idx="18">
                  <c:v>4.5903276122072301</c:v>
                </c:pt>
                <c:pt idx="19">
                  <c:v>4.6286520450176498</c:v>
                </c:pt>
                <c:pt idx="20">
                  <c:v>4.6690205639464004</c:v>
                </c:pt>
                <c:pt idx="21">
                  <c:v>4.5745696530370399</c:v>
                </c:pt>
                <c:pt idx="22">
                  <c:v>4.2447480399268001</c:v>
                </c:pt>
                <c:pt idx="23">
                  <c:v>3.8919528668798899</c:v>
                </c:pt>
                <c:pt idx="24">
                  <c:v>3.7793401133038</c:v>
                </c:pt>
                <c:pt idx="25">
                  <c:v>3.80303948125629</c:v>
                </c:pt>
                <c:pt idx="26">
                  <c:v>3.80364044849131</c:v>
                </c:pt>
                <c:pt idx="27">
                  <c:v>3.7542129023702202</c:v>
                </c:pt>
                <c:pt idx="28">
                  <c:v>3.6053486298375601</c:v>
                </c:pt>
                <c:pt idx="29">
                  <c:v>3.61383049302919</c:v>
                </c:pt>
                <c:pt idx="30">
                  <c:v>3.6787505408074899</c:v>
                </c:pt>
                <c:pt idx="31">
                  <c:v>3.7165128808085699</c:v>
                </c:pt>
                <c:pt idx="32">
                  <c:v>3.8126189038843799</c:v>
                </c:pt>
                <c:pt idx="33">
                  <c:v>3.8442939134793499</c:v>
                </c:pt>
                <c:pt idx="34">
                  <c:v>3.9188893390305402</c:v>
                </c:pt>
                <c:pt idx="35">
                  <c:v>4.0210240278428504</c:v>
                </c:pt>
                <c:pt idx="36">
                  <c:v>4.0942294802658896</c:v>
                </c:pt>
                <c:pt idx="37">
                  <c:v>4.17333271294269</c:v>
                </c:pt>
                <c:pt idx="38">
                  <c:v>4.1092129545932403</c:v>
                </c:pt>
                <c:pt idx="39">
                  <c:v>4.1549008131127501</c:v>
                </c:pt>
                <c:pt idx="40">
                  <c:v>4.2256085430486303</c:v>
                </c:pt>
                <c:pt idx="41">
                  <c:v>4.33310028406291</c:v>
                </c:pt>
                <c:pt idx="42">
                  <c:v>4.2673548758431599</c:v>
                </c:pt>
                <c:pt idx="43">
                  <c:v>4.34694600021336</c:v>
                </c:pt>
                <c:pt idx="44">
                  <c:v>4.4539225851543804</c:v>
                </c:pt>
                <c:pt idx="45">
                  <c:v>4.74605707840702</c:v>
                </c:pt>
                <c:pt idx="46">
                  <c:v>4.77017791678142</c:v>
                </c:pt>
                <c:pt idx="47">
                  <c:v>4.9444954687776601</c:v>
                </c:pt>
                <c:pt idx="48">
                  <c:v>5.0106522497190102</c:v>
                </c:pt>
                <c:pt idx="49">
                  <c:v>5.1272066949473798</c:v>
                </c:pt>
                <c:pt idx="50">
                  <c:v>5.1598024386056496</c:v>
                </c:pt>
                <c:pt idx="51">
                  <c:v>4.9744173256000304</c:v>
                </c:pt>
                <c:pt idx="52">
                  <c:v>4.7009443977877297</c:v>
                </c:pt>
                <c:pt idx="53">
                  <c:v>4.5086726559339203</c:v>
                </c:pt>
                <c:pt idx="54">
                  <c:v>4.3965985586797096</c:v>
                </c:pt>
                <c:pt idx="55">
                  <c:v>4.5257030510575804</c:v>
                </c:pt>
                <c:pt idx="56">
                  <c:v>4.6295395373089496</c:v>
                </c:pt>
                <c:pt idx="57">
                  <c:v>4.7233472303049897</c:v>
                </c:pt>
                <c:pt idx="58">
                  <c:v>4.9026518418762004</c:v>
                </c:pt>
                <c:pt idx="59">
                  <c:v>5.2044462933785898</c:v>
                </c:pt>
                <c:pt idx="60">
                  <c:v>5.2384048241764596</c:v>
                </c:pt>
                <c:pt idx="61">
                  <c:v>5.1723318777901603</c:v>
                </c:pt>
                <c:pt idx="62">
                  <c:v>5.2625221084983602</c:v>
                </c:pt>
                <c:pt idx="63">
                  <c:v>5.1536480736346402</c:v>
                </c:pt>
                <c:pt idx="64">
                  <c:v>5.0033117888577898</c:v>
                </c:pt>
                <c:pt idx="65">
                  <c:v>5.0607206510651999</c:v>
                </c:pt>
                <c:pt idx="66">
                  <c:v>5.0894250837878499</c:v>
                </c:pt>
                <c:pt idx="67">
                  <c:v>5.0526037520760498</c:v>
                </c:pt>
                <c:pt idx="68">
                  <c:v>5.2545075049288199</c:v>
                </c:pt>
                <c:pt idx="69">
                  <c:v>5.3101678904135801</c:v>
                </c:pt>
                <c:pt idx="70">
                  <c:v>5.0901129423818601</c:v>
                </c:pt>
                <c:pt idx="71">
                  <c:v>4.9031303299357702</c:v>
                </c:pt>
                <c:pt idx="72">
                  <c:v>5.02641150947629</c:v>
                </c:pt>
                <c:pt idx="73">
                  <c:v>5.5034726021122697</c:v>
                </c:pt>
                <c:pt idx="74">
                  <c:v>4.9790307716941102</c:v>
                </c:pt>
                <c:pt idx="75">
                  <c:v>4.9859417574931797</c:v>
                </c:pt>
                <c:pt idx="76">
                  <c:v>4.8140476772344503</c:v>
                </c:pt>
                <c:pt idx="77">
                  <c:v>5.5879429462892798</c:v>
                </c:pt>
                <c:pt idx="78">
                  <c:v>6.0305100587502203</c:v>
                </c:pt>
                <c:pt idx="79">
                  <c:v>6.1393205362583698</c:v>
                </c:pt>
                <c:pt idx="80">
                  <c:v>6.3360286152089502</c:v>
                </c:pt>
                <c:pt idx="81">
                  <c:v>6.65090654381852</c:v>
                </c:pt>
                <c:pt idx="82">
                  <c:v>6.55888596105987</c:v>
                </c:pt>
                <c:pt idx="83">
                  <c:v>6.5773430662026398</c:v>
                </c:pt>
                <c:pt idx="84">
                  <c:v>6.031624251497</c:v>
                </c:pt>
                <c:pt idx="85">
                  <c:v>6.0359561667382797</c:v>
                </c:pt>
                <c:pt idx="86">
                  <c:v>5.9791683995526803</c:v>
                </c:pt>
                <c:pt idx="87">
                  <c:v>5.9431939282981698</c:v>
                </c:pt>
                <c:pt idx="88">
                  <c:v>6.1433166093110403</c:v>
                </c:pt>
                <c:pt idx="89">
                  <c:v>6.3152421891756596</c:v>
                </c:pt>
                <c:pt idx="90">
                  <c:v>6.38327217239536</c:v>
                </c:pt>
                <c:pt idx="91">
                  <c:v>6.4972427317042101</c:v>
                </c:pt>
                <c:pt idx="92">
                  <c:v>6.6248504403212802</c:v>
                </c:pt>
                <c:pt idx="93">
                  <c:v>6.7767987384436097</c:v>
                </c:pt>
                <c:pt idx="94">
                  <c:v>6.7227397056198903</c:v>
                </c:pt>
                <c:pt idx="95">
                  <c:v>6.6672712474198104</c:v>
                </c:pt>
                <c:pt idx="96">
                  <c:v>6.2402690361093898</c:v>
                </c:pt>
                <c:pt idx="97">
                  <c:v>6.1389123088444197</c:v>
                </c:pt>
                <c:pt idx="98">
                  <c:v>6.4147007427720597</c:v>
                </c:pt>
                <c:pt idx="99">
                  <c:v>6.4583574932373802</c:v>
                </c:pt>
                <c:pt idx="100">
                  <c:v>6.4570522130320001</c:v>
                </c:pt>
                <c:pt idx="101">
                  <c:v>6.5951725501935003</c:v>
                </c:pt>
                <c:pt idx="102">
                  <c:v>6.5400345488193796</c:v>
                </c:pt>
                <c:pt idx="103">
                  <c:v>6.6050926142464297</c:v>
                </c:pt>
                <c:pt idx="104">
                  <c:v>6.7612498647602699</c:v>
                </c:pt>
                <c:pt idx="105">
                  <c:v>6.8026987479921601</c:v>
                </c:pt>
                <c:pt idx="106">
                  <c:v>6.8165332362930604</c:v>
                </c:pt>
                <c:pt idx="107">
                  <c:v>6.79919524180242</c:v>
                </c:pt>
                <c:pt idx="108">
                  <c:v>6.7723561623469903</c:v>
                </c:pt>
                <c:pt idx="109">
                  <c:v>6.6439112465558896</c:v>
                </c:pt>
                <c:pt idx="110">
                  <c:v>6.44507652227413</c:v>
                </c:pt>
                <c:pt idx="111">
                  <c:v>6.6172545901618598</c:v>
                </c:pt>
                <c:pt idx="112">
                  <c:v>6.5915094227876203</c:v>
                </c:pt>
                <c:pt idx="113">
                  <c:v>6.5427289793067303</c:v>
                </c:pt>
                <c:pt idx="114">
                  <c:v>6.2082868116654</c:v>
                </c:pt>
                <c:pt idx="115">
                  <c:v>5.9911124383801297</c:v>
                </c:pt>
                <c:pt idx="116">
                  <c:v>6.0827941560026799</c:v>
                </c:pt>
                <c:pt idx="117">
                  <c:v>6.0248056296464396</c:v>
                </c:pt>
                <c:pt idx="118">
                  <c:v>6.0116534514124798</c:v>
                </c:pt>
                <c:pt idx="119">
                  <c:v>5.9291439279153604</c:v>
                </c:pt>
                <c:pt idx="120">
                  <c:v>6.0861604457115899</c:v>
                </c:pt>
                <c:pt idx="121">
                  <c:v>5.9156436011904701</c:v>
                </c:pt>
                <c:pt idx="122">
                  <c:v>6.0336881169928702</c:v>
                </c:pt>
                <c:pt idx="123">
                  <c:v>5.9235606448311096</c:v>
                </c:pt>
                <c:pt idx="124">
                  <c:v>6.1476152160514896</c:v>
                </c:pt>
                <c:pt idx="125">
                  <c:v>5.9643916855714201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LLwithCondition!$E$3</c:f>
              <c:strCache>
                <c:ptCount val="1"/>
                <c:pt idx="0">
                  <c:v>Small Lender</c:v>
                </c:pt>
              </c:strCache>
            </c:strRef>
          </c:tx>
          <c:spPr>
            <a:ln w="19050">
              <a:solidFill>
                <a:srgbClr val="74B629"/>
              </a:solidFill>
            </a:ln>
          </c:spPr>
          <c:marker>
            <c:symbol val="none"/>
          </c:marker>
          <c:cat>
            <c:numRef>
              <c:f>LLwithCondition!$B$4:$B$129</c:f>
              <c:numCache>
                <c:formatCode>m/d/yyyy</c:formatCode>
                <c:ptCount val="126"/>
                <c:pt idx="0">
                  <c:v>42156</c:v>
                </c:pt>
                <c:pt idx="1">
                  <c:v>42125</c:v>
                </c:pt>
                <c:pt idx="2">
                  <c:v>42095</c:v>
                </c:pt>
                <c:pt idx="3">
                  <c:v>42064</c:v>
                </c:pt>
                <c:pt idx="4">
                  <c:v>42036</c:v>
                </c:pt>
                <c:pt idx="5">
                  <c:v>42005</c:v>
                </c:pt>
                <c:pt idx="6">
                  <c:v>41974</c:v>
                </c:pt>
                <c:pt idx="7">
                  <c:v>41944</c:v>
                </c:pt>
                <c:pt idx="8">
                  <c:v>41913</c:v>
                </c:pt>
                <c:pt idx="9">
                  <c:v>41883</c:v>
                </c:pt>
                <c:pt idx="10">
                  <c:v>41852</c:v>
                </c:pt>
                <c:pt idx="11">
                  <c:v>41821</c:v>
                </c:pt>
                <c:pt idx="12">
                  <c:v>41791</c:v>
                </c:pt>
                <c:pt idx="13">
                  <c:v>41760</c:v>
                </c:pt>
                <c:pt idx="14">
                  <c:v>41730</c:v>
                </c:pt>
                <c:pt idx="15">
                  <c:v>41699</c:v>
                </c:pt>
                <c:pt idx="16">
                  <c:v>41671</c:v>
                </c:pt>
                <c:pt idx="17">
                  <c:v>41640</c:v>
                </c:pt>
                <c:pt idx="18">
                  <c:v>41609</c:v>
                </c:pt>
                <c:pt idx="19">
                  <c:v>41579</c:v>
                </c:pt>
                <c:pt idx="20">
                  <c:v>41548</c:v>
                </c:pt>
                <c:pt idx="21">
                  <c:v>41518</c:v>
                </c:pt>
                <c:pt idx="22">
                  <c:v>41487</c:v>
                </c:pt>
                <c:pt idx="23">
                  <c:v>41456</c:v>
                </c:pt>
                <c:pt idx="24">
                  <c:v>41426</c:v>
                </c:pt>
                <c:pt idx="25">
                  <c:v>41395</c:v>
                </c:pt>
                <c:pt idx="26">
                  <c:v>41365</c:v>
                </c:pt>
                <c:pt idx="27">
                  <c:v>41334</c:v>
                </c:pt>
                <c:pt idx="28">
                  <c:v>41306</c:v>
                </c:pt>
                <c:pt idx="29">
                  <c:v>41275</c:v>
                </c:pt>
                <c:pt idx="30">
                  <c:v>41244</c:v>
                </c:pt>
                <c:pt idx="31">
                  <c:v>41214</c:v>
                </c:pt>
                <c:pt idx="32">
                  <c:v>41183</c:v>
                </c:pt>
                <c:pt idx="33">
                  <c:v>41153</c:v>
                </c:pt>
                <c:pt idx="34">
                  <c:v>41122</c:v>
                </c:pt>
                <c:pt idx="35">
                  <c:v>41091</c:v>
                </c:pt>
                <c:pt idx="36">
                  <c:v>41061</c:v>
                </c:pt>
                <c:pt idx="37">
                  <c:v>41030</c:v>
                </c:pt>
                <c:pt idx="38">
                  <c:v>41000</c:v>
                </c:pt>
                <c:pt idx="39">
                  <c:v>40969</c:v>
                </c:pt>
                <c:pt idx="40">
                  <c:v>40940</c:v>
                </c:pt>
                <c:pt idx="41">
                  <c:v>40909</c:v>
                </c:pt>
                <c:pt idx="42">
                  <c:v>40878</c:v>
                </c:pt>
                <c:pt idx="43">
                  <c:v>40848</c:v>
                </c:pt>
                <c:pt idx="44">
                  <c:v>40817</c:v>
                </c:pt>
                <c:pt idx="45">
                  <c:v>40787</c:v>
                </c:pt>
                <c:pt idx="46">
                  <c:v>40756</c:v>
                </c:pt>
                <c:pt idx="47">
                  <c:v>40725</c:v>
                </c:pt>
                <c:pt idx="48">
                  <c:v>40695</c:v>
                </c:pt>
                <c:pt idx="49">
                  <c:v>40664</c:v>
                </c:pt>
                <c:pt idx="50">
                  <c:v>40634</c:v>
                </c:pt>
                <c:pt idx="51">
                  <c:v>40603</c:v>
                </c:pt>
                <c:pt idx="52">
                  <c:v>40575</c:v>
                </c:pt>
                <c:pt idx="53">
                  <c:v>40544</c:v>
                </c:pt>
                <c:pt idx="54">
                  <c:v>40513</c:v>
                </c:pt>
                <c:pt idx="55">
                  <c:v>40483</c:v>
                </c:pt>
                <c:pt idx="56">
                  <c:v>40452</c:v>
                </c:pt>
                <c:pt idx="57">
                  <c:v>40422</c:v>
                </c:pt>
                <c:pt idx="58">
                  <c:v>40391</c:v>
                </c:pt>
                <c:pt idx="59">
                  <c:v>40360</c:v>
                </c:pt>
                <c:pt idx="60">
                  <c:v>40330</c:v>
                </c:pt>
                <c:pt idx="61">
                  <c:v>40299</c:v>
                </c:pt>
                <c:pt idx="62">
                  <c:v>40269</c:v>
                </c:pt>
                <c:pt idx="63">
                  <c:v>40238</c:v>
                </c:pt>
                <c:pt idx="64">
                  <c:v>40210</c:v>
                </c:pt>
                <c:pt idx="65">
                  <c:v>40179</c:v>
                </c:pt>
                <c:pt idx="66">
                  <c:v>40148</c:v>
                </c:pt>
                <c:pt idx="67">
                  <c:v>40118</c:v>
                </c:pt>
                <c:pt idx="68">
                  <c:v>40087</c:v>
                </c:pt>
                <c:pt idx="69">
                  <c:v>40057</c:v>
                </c:pt>
                <c:pt idx="70">
                  <c:v>40026</c:v>
                </c:pt>
                <c:pt idx="71">
                  <c:v>39995</c:v>
                </c:pt>
                <c:pt idx="72">
                  <c:v>39965</c:v>
                </c:pt>
                <c:pt idx="73">
                  <c:v>39934</c:v>
                </c:pt>
                <c:pt idx="74">
                  <c:v>39904</c:v>
                </c:pt>
                <c:pt idx="75">
                  <c:v>39873</c:v>
                </c:pt>
                <c:pt idx="76">
                  <c:v>39845</c:v>
                </c:pt>
                <c:pt idx="77">
                  <c:v>39814</c:v>
                </c:pt>
                <c:pt idx="78">
                  <c:v>39783</c:v>
                </c:pt>
                <c:pt idx="79">
                  <c:v>39753</c:v>
                </c:pt>
                <c:pt idx="80">
                  <c:v>39722</c:v>
                </c:pt>
                <c:pt idx="81">
                  <c:v>39692</c:v>
                </c:pt>
                <c:pt idx="82">
                  <c:v>39661</c:v>
                </c:pt>
                <c:pt idx="83">
                  <c:v>39630</c:v>
                </c:pt>
                <c:pt idx="84">
                  <c:v>39600</c:v>
                </c:pt>
                <c:pt idx="85">
                  <c:v>39569</c:v>
                </c:pt>
                <c:pt idx="86">
                  <c:v>39539</c:v>
                </c:pt>
                <c:pt idx="87">
                  <c:v>39508</c:v>
                </c:pt>
                <c:pt idx="88">
                  <c:v>39479</c:v>
                </c:pt>
                <c:pt idx="89">
                  <c:v>39448</c:v>
                </c:pt>
                <c:pt idx="90">
                  <c:v>39417</c:v>
                </c:pt>
                <c:pt idx="91">
                  <c:v>39387</c:v>
                </c:pt>
                <c:pt idx="92">
                  <c:v>39356</c:v>
                </c:pt>
                <c:pt idx="93">
                  <c:v>39326</c:v>
                </c:pt>
                <c:pt idx="94">
                  <c:v>39295</c:v>
                </c:pt>
                <c:pt idx="95">
                  <c:v>39264</c:v>
                </c:pt>
                <c:pt idx="96">
                  <c:v>39234</c:v>
                </c:pt>
                <c:pt idx="97">
                  <c:v>39203</c:v>
                </c:pt>
                <c:pt idx="98">
                  <c:v>39173</c:v>
                </c:pt>
                <c:pt idx="99">
                  <c:v>39142</c:v>
                </c:pt>
                <c:pt idx="100">
                  <c:v>39114</c:v>
                </c:pt>
                <c:pt idx="101">
                  <c:v>39083</c:v>
                </c:pt>
                <c:pt idx="102">
                  <c:v>39052</c:v>
                </c:pt>
                <c:pt idx="103">
                  <c:v>39022</c:v>
                </c:pt>
                <c:pt idx="104">
                  <c:v>38991</c:v>
                </c:pt>
                <c:pt idx="105">
                  <c:v>38961</c:v>
                </c:pt>
                <c:pt idx="106">
                  <c:v>38930</c:v>
                </c:pt>
                <c:pt idx="107">
                  <c:v>38899</c:v>
                </c:pt>
                <c:pt idx="108">
                  <c:v>38869</c:v>
                </c:pt>
                <c:pt idx="109">
                  <c:v>38838</c:v>
                </c:pt>
                <c:pt idx="110">
                  <c:v>38808</c:v>
                </c:pt>
                <c:pt idx="111">
                  <c:v>38777</c:v>
                </c:pt>
                <c:pt idx="112">
                  <c:v>38749</c:v>
                </c:pt>
                <c:pt idx="113">
                  <c:v>38718</c:v>
                </c:pt>
                <c:pt idx="114">
                  <c:v>38687</c:v>
                </c:pt>
                <c:pt idx="115">
                  <c:v>38657</c:v>
                </c:pt>
                <c:pt idx="116">
                  <c:v>38626</c:v>
                </c:pt>
                <c:pt idx="117">
                  <c:v>38596</c:v>
                </c:pt>
                <c:pt idx="118">
                  <c:v>38565</c:v>
                </c:pt>
                <c:pt idx="119">
                  <c:v>38534</c:v>
                </c:pt>
                <c:pt idx="120">
                  <c:v>38504</c:v>
                </c:pt>
                <c:pt idx="121">
                  <c:v>38473</c:v>
                </c:pt>
                <c:pt idx="122">
                  <c:v>38443</c:v>
                </c:pt>
                <c:pt idx="123">
                  <c:v>38412</c:v>
                </c:pt>
                <c:pt idx="124">
                  <c:v>38384</c:v>
                </c:pt>
                <c:pt idx="125">
                  <c:v>38353</c:v>
                </c:pt>
              </c:numCache>
            </c:numRef>
          </c:cat>
          <c:val>
            <c:numRef>
              <c:f>LLwithCondition!$E$4:$E$129</c:f>
              <c:numCache>
                <c:formatCode>0.00</c:formatCode>
                <c:ptCount val="126"/>
                <c:pt idx="0">
                  <c:v>4.0561251713544104</c:v>
                </c:pt>
                <c:pt idx="1">
                  <c:v>3.9762475049440198</c:v>
                </c:pt>
                <c:pt idx="2">
                  <c:v>3.9282028775760498</c:v>
                </c:pt>
                <c:pt idx="3">
                  <c:v>3.9320396187248101</c:v>
                </c:pt>
                <c:pt idx="4">
                  <c:v>4.1049873604232801</c:v>
                </c:pt>
                <c:pt idx="5">
                  <c:v>4.2149770950800001</c:v>
                </c:pt>
                <c:pt idx="6">
                  <c:v>4.2823710809759499</c:v>
                </c:pt>
                <c:pt idx="7">
                  <c:v>4.3555208650457802</c:v>
                </c:pt>
                <c:pt idx="8">
                  <c:v>4.3973010870007103</c:v>
                </c:pt>
                <c:pt idx="9">
                  <c:v>4.3669489809585196</c:v>
                </c:pt>
                <c:pt idx="10">
                  <c:v>4.4174894237425599</c:v>
                </c:pt>
                <c:pt idx="11">
                  <c:v>4.4428648016081</c:v>
                </c:pt>
                <c:pt idx="12">
                  <c:v>4.5499580654746996</c:v>
                </c:pt>
                <c:pt idx="13">
                  <c:v>4.5766765568888301</c:v>
                </c:pt>
                <c:pt idx="14">
                  <c:v>4.5955650821670497</c:v>
                </c:pt>
                <c:pt idx="15">
                  <c:v>4.6124541798731897</c:v>
                </c:pt>
                <c:pt idx="16">
                  <c:v>4.6047579940496401</c:v>
                </c:pt>
                <c:pt idx="17">
                  <c:v>4.5423720637683003</c:v>
                </c:pt>
                <c:pt idx="18">
                  <c:v>4.4856529453012701</c:v>
                </c:pt>
                <c:pt idx="19">
                  <c:v>4.5931885852676899</c:v>
                </c:pt>
                <c:pt idx="20">
                  <c:v>4.6448965055844003</c:v>
                </c:pt>
                <c:pt idx="21">
                  <c:v>4.4868701789443204</c:v>
                </c:pt>
                <c:pt idx="22">
                  <c:v>4.1904757607515801</c:v>
                </c:pt>
                <c:pt idx="23">
                  <c:v>3.8614924384028302</c:v>
                </c:pt>
                <c:pt idx="24">
                  <c:v>3.7594762587358401</c:v>
                </c:pt>
                <c:pt idx="25">
                  <c:v>3.7579848918707599</c:v>
                </c:pt>
                <c:pt idx="26">
                  <c:v>3.7233882877985902</c:v>
                </c:pt>
                <c:pt idx="27">
                  <c:v>3.6572873433600201</c:v>
                </c:pt>
                <c:pt idx="28">
                  <c:v>3.58160500208843</c:v>
                </c:pt>
                <c:pt idx="29">
                  <c:v>3.5617646791317901</c:v>
                </c:pt>
                <c:pt idx="30">
                  <c:v>3.56765547891264</c:v>
                </c:pt>
                <c:pt idx="31">
                  <c:v>3.6357269037879698</c:v>
                </c:pt>
                <c:pt idx="32">
                  <c:v>3.7556527877728501</c:v>
                </c:pt>
                <c:pt idx="33">
                  <c:v>3.8328685818010499</c:v>
                </c:pt>
                <c:pt idx="34">
                  <c:v>3.84847397972475</c:v>
                </c:pt>
                <c:pt idx="35">
                  <c:v>3.9915397167780799</c:v>
                </c:pt>
                <c:pt idx="36">
                  <c:v>4.0796072104057002</c:v>
                </c:pt>
                <c:pt idx="37">
                  <c:v>4.0951346139394103</c:v>
                </c:pt>
                <c:pt idx="38">
                  <c:v>4.0552340372442899</c:v>
                </c:pt>
                <c:pt idx="39">
                  <c:v>4.0730557594336103</c:v>
                </c:pt>
                <c:pt idx="40">
                  <c:v>4.1302566229502302</c:v>
                </c:pt>
                <c:pt idx="41">
                  <c:v>4.2152473802194796</c:v>
                </c:pt>
                <c:pt idx="42">
                  <c:v>4.2221592290878203</c:v>
                </c:pt>
                <c:pt idx="43">
                  <c:v>4.2804118399340396</c:v>
                </c:pt>
                <c:pt idx="44">
                  <c:v>4.3601827778140496</c:v>
                </c:pt>
                <c:pt idx="45">
                  <c:v>4.5906352698938502</c:v>
                </c:pt>
                <c:pt idx="46">
                  <c:v>4.7660299889469897</c:v>
                </c:pt>
                <c:pt idx="47">
                  <c:v>4.8542933668009498</c:v>
                </c:pt>
                <c:pt idx="48">
                  <c:v>4.95904409974725</c:v>
                </c:pt>
                <c:pt idx="49">
                  <c:v>5.0024613921514902</c:v>
                </c:pt>
                <c:pt idx="50">
                  <c:v>4.9197654711748502</c:v>
                </c:pt>
                <c:pt idx="51">
                  <c:v>4.8488406302649203</c:v>
                </c:pt>
                <c:pt idx="52">
                  <c:v>4.6256668706208099</c:v>
                </c:pt>
                <c:pt idx="53">
                  <c:v>4.4727380652121402</c:v>
                </c:pt>
                <c:pt idx="54">
                  <c:v>4.4263113947291099</c:v>
                </c:pt>
                <c:pt idx="55">
                  <c:v>4.46808288934138</c:v>
                </c:pt>
                <c:pt idx="56">
                  <c:v>4.5241107366993702</c:v>
                </c:pt>
                <c:pt idx="57">
                  <c:v>4.6422108273695404</c:v>
                </c:pt>
                <c:pt idx="58">
                  <c:v>4.7850141216470501</c:v>
                </c:pt>
                <c:pt idx="59">
                  <c:v>5.0279533756399903</c:v>
                </c:pt>
                <c:pt idx="60">
                  <c:v>5.1463617792058498</c:v>
                </c:pt>
                <c:pt idx="61">
                  <c:v>5.1203829978817703</c:v>
                </c:pt>
                <c:pt idx="62">
                  <c:v>5.1197191823873904</c:v>
                </c:pt>
                <c:pt idx="63">
                  <c:v>5.0761830844653897</c:v>
                </c:pt>
                <c:pt idx="64">
                  <c:v>5.0031136856172704</c:v>
                </c:pt>
                <c:pt idx="65">
                  <c:v>5.0065109001000803</c:v>
                </c:pt>
                <c:pt idx="66">
                  <c:v>5.0281029458344397</c:v>
                </c:pt>
                <c:pt idx="67">
                  <c:v>5.1209082438209101</c:v>
                </c:pt>
                <c:pt idx="68">
                  <c:v>5.2362539252109102</c:v>
                </c:pt>
                <c:pt idx="69">
                  <c:v>5.3883722712743003</c:v>
                </c:pt>
                <c:pt idx="70">
                  <c:v>5.0821268609385104</c:v>
                </c:pt>
                <c:pt idx="71">
                  <c:v>4.9194447639263403</c:v>
                </c:pt>
                <c:pt idx="72">
                  <c:v>5.0433127624664502</c:v>
                </c:pt>
                <c:pt idx="73">
                  <c:v>5.4341002241852001</c:v>
                </c:pt>
                <c:pt idx="74">
                  <c:v>4.95152249298161</c:v>
                </c:pt>
                <c:pt idx="75">
                  <c:v>4.9508646158068697</c:v>
                </c:pt>
                <c:pt idx="76">
                  <c:v>4.9641054943975496</c:v>
                </c:pt>
                <c:pt idx="77">
                  <c:v>5.6622577166640902</c:v>
                </c:pt>
                <c:pt idx="78">
                  <c:v>5.8596863041649598</c:v>
                </c:pt>
                <c:pt idx="79">
                  <c:v>6.0422214557060299</c:v>
                </c:pt>
                <c:pt idx="80">
                  <c:v>6.2080239949810698</c:v>
                </c:pt>
                <c:pt idx="81">
                  <c:v>6.4089655022722702</c:v>
                </c:pt>
                <c:pt idx="82">
                  <c:v>6.2387191553264101</c:v>
                </c:pt>
                <c:pt idx="83">
                  <c:v>6.0218748192218401</c:v>
                </c:pt>
                <c:pt idx="84">
                  <c:v>5.9720228438158003</c:v>
                </c:pt>
                <c:pt idx="85">
                  <c:v>5.8368842036889896</c:v>
                </c:pt>
                <c:pt idx="86">
                  <c:v>5.7104180355247598</c:v>
                </c:pt>
                <c:pt idx="87">
                  <c:v>5.7260938763857698</c:v>
                </c:pt>
                <c:pt idx="88">
                  <c:v>5.9576782218423299</c:v>
                </c:pt>
                <c:pt idx="89">
                  <c:v>6.2558018281549401</c:v>
                </c:pt>
                <c:pt idx="90">
                  <c:v>6.3910935421455797</c:v>
                </c:pt>
                <c:pt idx="91">
                  <c:v>6.4735852917291901</c:v>
                </c:pt>
                <c:pt idx="92">
                  <c:v>6.60761287553479</c:v>
                </c:pt>
                <c:pt idx="93">
                  <c:v>6.6516552376793499</c:v>
                </c:pt>
                <c:pt idx="94">
                  <c:v>6.5834400513605198</c:v>
                </c:pt>
                <c:pt idx="95">
                  <c:v>6.3684215365538597</c:v>
                </c:pt>
                <c:pt idx="96">
                  <c:v>6.2258449290489803</c:v>
                </c:pt>
                <c:pt idx="97">
                  <c:v>6.2318888958699299</c:v>
                </c:pt>
                <c:pt idx="98">
                  <c:v>6.3741012932097298</c:v>
                </c:pt>
                <c:pt idx="99">
                  <c:v>6.2558275704371002</c:v>
                </c:pt>
                <c:pt idx="100">
                  <c:v>6.2136411587990699</c:v>
                </c:pt>
                <c:pt idx="101">
                  <c:v>6.2930519936589402</c:v>
                </c:pt>
                <c:pt idx="102">
                  <c:v>6.39834118453411</c:v>
                </c:pt>
                <c:pt idx="103">
                  <c:v>6.4627379583711599</c:v>
                </c:pt>
                <c:pt idx="104">
                  <c:v>6.5036892452480002</c:v>
                </c:pt>
                <c:pt idx="105">
                  <c:v>6.5984951599902804</c:v>
                </c:pt>
                <c:pt idx="106">
                  <c:v>6.64420965530201</c:v>
                </c:pt>
                <c:pt idx="107">
                  <c:v>6.6718242011780502</c:v>
                </c:pt>
                <c:pt idx="108">
                  <c:v>6.5174767584399396</c:v>
                </c:pt>
                <c:pt idx="109">
                  <c:v>6.4293742265984299</c:v>
                </c:pt>
                <c:pt idx="110">
                  <c:v>6.2872382875702897</c:v>
                </c:pt>
                <c:pt idx="111">
                  <c:v>6.2982082968512598</c:v>
                </c:pt>
                <c:pt idx="112">
                  <c:v>6.2874154697010702</c:v>
                </c:pt>
                <c:pt idx="113">
                  <c:v>6.2545362046244097</c:v>
                </c:pt>
                <c:pt idx="114">
                  <c:v>6.0663837781049201</c:v>
                </c:pt>
                <c:pt idx="115">
                  <c:v>5.8824956492188702</c:v>
                </c:pt>
                <c:pt idx="116">
                  <c:v>5.90450688398127</c:v>
                </c:pt>
                <c:pt idx="117">
                  <c:v>5.7835762679290603</c:v>
                </c:pt>
                <c:pt idx="118">
                  <c:v>5.6867978695648898</c:v>
                </c:pt>
                <c:pt idx="119">
                  <c:v>5.77587230029149</c:v>
                </c:pt>
                <c:pt idx="120">
                  <c:v>5.9011810521622499</c:v>
                </c:pt>
                <c:pt idx="121">
                  <c:v>5.93851052657556</c:v>
                </c:pt>
                <c:pt idx="122">
                  <c:v>5.7027763131622304</c:v>
                </c:pt>
                <c:pt idx="123">
                  <c:v>5.7027848550616698</c:v>
                </c:pt>
                <c:pt idx="124">
                  <c:v>5.84702160477205</c:v>
                </c:pt>
                <c:pt idx="125">
                  <c:v>5.8075675352202101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8551680"/>
        <c:axId val="288553216"/>
      </c:lineChart>
      <c:dateAx>
        <c:axId val="2885516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88553216"/>
        <c:crosses val="autoZero"/>
        <c:auto val="1"/>
        <c:lblOffset val="100"/>
        <c:baseTimeUnit val="months"/>
        <c:majorUnit val="6"/>
        <c:majorTimeUnit val="months"/>
      </c:dateAx>
      <c:valAx>
        <c:axId val="288553216"/>
        <c:scaling>
          <c:orientation val="minMax"/>
          <c:min val="3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2885516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v>Bank vs Non-Bank</c:v>
          </c:tx>
          <c:spPr>
            <a:solidFill>
              <a:srgbClr val="2E398A"/>
            </a:solidFill>
            <a:ln>
              <a:noFill/>
            </a:ln>
          </c:spPr>
          <c:invertIfNegative val="0"/>
          <c:cat>
            <c:numRef>
              <c:f>LLwithCondition!$B$4:$B$129</c:f>
              <c:numCache>
                <c:formatCode>m/d/yyyy</c:formatCode>
                <c:ptCount val="126"/>
                <c:pt idx="0">
                  <c:v>42156</c:v>
                </c:pt>
                <c:pt idx="1">
                  <c:v>42125</c:v>
                </c:pt>
                <c:pt idx="2">
                  <c:v>42095</c:v>
                </c:pt>
                <c:pt idx="3">
                  <c:v>42064</c:v>
                </c:pt>
                <c:pt idx="4">
                  <c:v>42036</c:v>
                </c:pt>
                <c:pt idx="5">
                  <c:v>42005</c:v>
                </c:pt>
                <c:pt idx="6">
                  <c:v>41974</c:v>
                </c:pt>
                <c:pt idx="7">
                  <c:v>41944</c:v>
                </c:pt>
                <c:pt idx="8">
                  <c:v>41913</c:v>
                </c:pt>
                <c:pt idx="9">
                  <c:v>41883</c:v>
                </c:pt>
                <c:pt idx="10">
                  <c:v>41852</c:v>
                </c:pt>
                <c:pt idx="11">
                  <c:v>41821</c:v>
                </c:pt>
                <c:pt idx="12">
                  <c:v>41791</c:v>
                </c:pt>
                <c:pt idx="13">
                  <c:v>41760</c:v>
                </c:pt>
                <c:pt idx="14">
                  <c:v>41730</c:v>
                </c:pt>
                <c:pt idx="15">
                  <c:v>41699</c:v>
                </c:pt>
                <c:pt idx="16">
                  <c:v>41671</c:v>
                </c:pt>
                <c:pt idx="17">
                  <c:v>41640</c:v>
                </c:pt>
                <c:pt idx="18">
                  <c:v>41609</c:v>
                </c:pt>
                <c:pt idx="19">
                  <c:v>41579</c:v>
                </c:pt>
                <c:pt idx="20">
                  <c:v>41548</c:v>
                </c:pt>
                <c:pt idx="21">
                  <c:v>41518</c:v>
                </c:pt>
                <c:pt idx="22">
                  <c:v>41487</c:v>
                </c:pt>
                <c:pt idx="23">
                  <c:v>41456</c:v>
                </c:pt>
                <c:pt idx="24">
                  <c:v>41426</c:v>
                </c:pt>
                <c:pt idx="25">
                  <c:v>41395</c:v>
                </c:pt>
                <c:pt idx="26">
                  <c:v>41365</c:v>
                </c:pt>
                <c:pt idx="27">
                  <c:v>41334</c:v>
                </c:pt>
                <c:pt idx="28">
                  <c:v>41306</c:v>
                </c:pt>
                <c:pt idx="29">
                  <c:v>41275</c:v>
                </c:pt>
                <c:pt idx="30">
                  <c:v>41244</c:v>
                </c:pt>
                <c:pt idx="31">
                  <c:v>41214</c:v>
                </c:pt>
                <c:pt idx="32">
                  <c:v>41183</c:v>
                </c:pt>
                <c:pt idx="33">
                  <c:v>41153</c:v>
                </c:pt>
                <c:pt idx="34">
                  <c:v>41122</c:v>
                </c:pt>
                <c:pt idx="35">
                  <c:v>41091</c:v>
                </c:pt>
                <c:pt idx="36">
                  <c:v>41061</c:v>
                </c:pt>
                <c:pt idx="37">
                  <c:v>41030</c:v>
                </c:pt>
                <c:pt idx="38">
                  <c:v>41000</c:v>
                </c:pt>
                <c:pt idx="39">
                  <c:v>40969</c:v>
                </c:pt>
                <c:pt idx="40">
                  <c:v>40940</c:v>
                </c:pt>
                <c:pt idx="41">
                  <c:v>40909</c:v>
                </c:pt>
                <c:pt idx="42">
                  <c:v>40878</c:v>
                </c:pt>
                <c:pt idx="43">
                  <c:v>40848</c:v>
                </c:pt>
                <c:pt idx="44">
                  <c:v>40817</c:v>
                </c:pt>
                <c:pt idx="45">
                  <c:v>40787</c:v>
                </c:pt>
                <c:pt idx="46">
                  <c:v>40756</c:v>
                </c:pt>
                <c:pt idx="47">
                  <c:v>40725</c:v>
                </c:pt>
                <c:pt idx="48">
                  <c:v>40695</c:v>
                </c:pt>
                <c:pt idx="49">
                  <c:v>40664</c:v>
                </c:pt>
                <c:pt idx="50">
                  <c:v>40634</c:v>
                </c:pt>
                <c:pt idx="51">
                  <c:v>40603</c:v>
                </c:pt>
                <c:pt idx="52">
                  <c:v>40575</c:v>
                </c:pt>
                <c:pt idx="53">
                  <c:v>40544</c:v>
                </c:pt>
                <c:pt idx="54">
                  <c:v>40513</c:v>
                </c:pt>
                <c:pt idx="55">
                  <c:v>40483</c:v>
                </c:pt>
                <c:pt idx="56">
                  <c:v>40452</c:v>
                </c:pt>
                <c:pt idx="57">
                  <c:v>40422</c:v>
                </c:pt>
                <c:pt idx="58">
                  <c:v>40391</c:v>
                </c:pt>
                <c:pt idx="59">
                  <c:v>40360</c:v>
                </c:pt>
                <c:pt idx="60">
                  <c:v>40330</c:v>
                </c:pt>
                <c:pt idx="61">
                  <c:v>40299</c:v>
                </c:pt>
                <c:pt idx="62">
                  <c:v>40269</c:v>
                </c:pt>
                <c:pt idx="63">
                  <c:v>40238</c:v>
                </c:pt>
                <c:pt idx="64">
                  <c:v>40210</c:v>
                </c:pt>
                <c:pt idx="65">
                  <c:v>40179</c:v>
                </c:pt>
                <c:pt idx="66">
                  <c:v>40148</c:v>
                </c:pt>
                <c:pt idx="67">
                  <c:v>40118</c:v>
                </c:pt>
                <c:pt idx="68">
                  <c:v>40087</c:v>
                </c:pt>
                <c:pt idx="69">
                  <c:v>40057</c:v>
                </c:pt>
                <c:pt idx="70">
                  <c:v>40026</c:v>
                </c:pt>
                <c:pt idx="71">
                  <c:v>39995</c:v>
                </c:pt>
                <c:pt idx="72">
                  <c:v>39965</c:v>
                </c:pt>
                <c:pt idx="73">
                  <c:v>39934</c:v>
                </c:pt>
                <c:pt idx="74">
                  <c:v>39904</c:v>
                </c:pt>
                <c:pt idx="75">
                  <c:v>39873</c:v>
                </c:pt>
                <c:pt idx="76">
                  <c:v>39845</c:v>
                </c:pt>
                <c:pt idx="77">
                  <c:v>39814</c:v>
                </c:pt>
                <c:pt idx="78">
                  <c:v>39783</c:v>
                </c:pt>
                <c:pt idx="79">
                  <c:v>39753</c:v>
                </c:pt>
                <c:pt idx="80">
                  <c:v>39722</c:v>
                </c:pt>
                <c:pt idx="81">
                  <c:v>39692</c:v>
                </c:pt>
                <c:pt idx="82">
                  <c:v>39661</c:v>
                </c:pt>
                <c:pt idx="83">
                  <c:v>39630</c:v>
                </c:pt>
                <c:pt idx="84">
                  <c:v>39600</c:v>
                </c:pt>
                <c:pt idx="85">
                  <c:v>39569</c:v>
                </c:pt>
                <c:pt idx="86">
                  <c:v>39539</c:v>
                </c:pt>
                <c:pt idx="87">
                  <c:v>39508</c:v>
                </c:pt>
                <c:pt idx="88">
                  <c:v>39479</c:v>
                </c:pt>
                <c:pt idx="89">
                  <c:v>39448</c:v>
                </c:pt>
                <c:pt idx="90">
                  <c:v>39417</c:v>
                </c:pt>
                <c:pt idx="91">
                  <c:v>39387</c:v>
                </c:pt>
                <c:pt idx="92">
                  <c:v>39356</c:v>
                </c:pt>
                <c:pt idx="93">
                  <c:v>39326</c:v>
                </c:pt>
                <c:pt idx="94">
                  <c:v>39295</c:v>
                </c:pt>
                <c:pt idx="95">
                  <c:v>39264</c:v>
                </c:pt>
                <c:pt idx="96">
                  <c:v>39234</c:v>
                </c:pt>
                <c:pt idx="97">
                  <c:v>39203</c:v>
                </c:pt>
                <c:pt idx="98">
                  <c:v>39173</c:v>
                </c:pt>
                <c:pt idx="99">
                  <c:v>39142</c:v>
                </c:pt>
                <c:pt idx="100">
                  <c:v>39114</c:v>
                </c:pt>
                <c:pt idx="101">
                  <c:v>39083</c:v>
                </c:pt>
                <c:pt idx="102">
                  <c:v>39052</c:v>
                </c:pt>
                <c:pt idx="103">
                  <c:v>39022</c:v>
                </c:pt>
                <c:pt idx="104">
                  <c:v>38991</c:v>
                </c:pt>
                <c:pt idx="105">
                  <c:v>38961</c:v>
                </c:pt>
                <c:pt idx="106">
                  <c:v>38930</c:v>
                </c:pt>
                <c:pt idx="107">
                  <c:v>38899</c:v>
                </c:pt>
                <c:pt idx="108">
                  <c:v>38869</c:v>
                </c:pt>
                <c:pt idx="109">
                  <c:v>38838</c:v>
                </c:pt>
                <c:pt idx="110">
                  <c:v>38808</c:v>
                </c:pt>
                <c:pt idx="111">
                  <c:v>38777</c:v>
                </c:pt>
                <c:pt idx="112">
                  <c:v>38749</c:v>
                </c:pt>
                <c:pt idx="113">
                  <c:v>38718</c:v>
                </c:pt>
                <c:pt idx="114">
                  <c:v>38687</c:v>
                </c:pt>
                <c:pt idx="115">
                  <c:v>38657</c:v>
                </c:pt>
                <c:pt idx="116">
                  <c:v>38626</c:v>
                </c:pt>
                <c:pt idx="117">
                  <c:v>38596</c:v>
                </c:pt>
                <c:pt idx="118">
                  <c:v>38565</c:v>
                </c:pt>
                <c:pt idx="119">
                  <c:v>38534</c:v>
                </c:pt>
                <c:pt idx="120">
                  <c:v>38504</c:v>
                </c:pt>
                <c:pt idx="121">
                  <c:v>38473</c:v>
                </c:pt>
                <c:pt idx="122">
                  <c:v>38443</c:v>
                </c:pt>
                <c:pt idx="123">
                  <c:v>38412</c:v>
                </c:pt>
                <c:pt idx="124">
                  <c:v>38384</c:v>
                </c:pt>
                <c:pt idx="125">
                  <c:v>38353</c:v>
                </c:pt>
              </c:numCache>
            </c:numRef>
          </c:cat>
          <c:val>
            <c:numRef>
              <c:f>LLwithCondition!$F$4:$F$129</c:f>
              <c:numCache>
                <c:formatCode>0.00</c:formatCode>
                <c:ptCount val="126"/>
                <c:pt idx="0">
                  <c:v>0.21280610064181982</c:v>
                </c:pt>
                <c:pt idx="1">
                  <c:v>8.5478659140989954E-2</c:v>
                </c:pt>
                <c:pt idx="2">
                  <c:v>-5.1490329562049908E-2</c:v>
                </c:pt>
                <c:pt idx="3">
                  <c:v>6.4058579315849684E-2</c:v>
                </c:pt>
                <c:pt idx="4">
                  <c:v>8.1680885406130166E-2</c:v>
                </c:pt>
                <c:pt idx="5">
                  <c:v>3.3540849367139636E-2</c:v>
                </c:pt>
                <c:pt idx="6">
                  <c:v>0.10543948850274987</c:v>
                </c:pt>
                <c:pt idx="7">
                  <c:v>0.23800471412295021</c:v>
                </c:pt>
                <c:pt idx="8">
                  <c:v>-2.686938811541939E-2</c:v>
                </c:pt>
                <c:pt idx="9">
                  <c:v>-5.3211371946959574E-2</c:v>
                </c:pt>
                <c:pt idx="10">
                  <c:v>-4.6618051297630636E-2</c:v>
                </c:pt>
                <c:pt idx="11">
                  <c:v>7.1913092346119534E-2</c:v>
                </c:pt>
                <c:pt idx="12">
                  <c:v>6.4413726293892637E-3</c:v>
                </c:pt>
                <c:pt idx="13">
                  <c:v>-4.8679357063579509E-2</c:v>
                </c:pt>
                <c:pt idx="14">
                  <c:v>-5.477974028467969E-2</c:v>
                </c:pt>
                <c:pt idx="15">
                  <c:v>-3.9637619507502109E-3</c:v>
                </c:pt>
                <c:pt idx="16">
                  <c:v>-7.5923484802560282E-2</c:v>
                </c:pt>
                <c:pt idx="17">
                  <c:v>-2.2633075956859372E-2</c:v>
                </c:pt>
                <c:pt idx="18">
                  <c:v>2.8872649146459928E-2</c:v>
                </c:pt>
                <c:pt idx="19">
                  <c:v>4.6065778630100418E-2</c:v>
                </c:pt>
                <c:pt idx="20">
                  <c:v>-8.2800118819540636E-2</c:v>
                </c:pt>
                <c:pt idx="21">
                  <c:v>-0.32380368853393016</c:v>
                </c:pt>
                <c:pt idx="22">
                  <c:v>-0.29563835942529026</c:v>
                </c:pt>
                <c:pt idx="23">
                  <c:v>-7.0808280347789854E-2</c:v>
                </c:pt>
                <c:pt idx="24">
                  <c:v>2.6940116033240091E-2</c:v>
                </c:pt>
                <c:pt idx="25">
                  <c:v>0.12530870591875987</c:v>
                </c:pt>
                <c:pt idx="26">
                  <c:v>2.363013991297791E-4</c:v>
                </c:pt>
                <c:pt idx="27">
                  <c:v>-5.4946478202280158E-2</c:v>
                </c:pt>
                <c:pt idx="28">
                  <c:v>2.7904869857009906E-2</c:v>
                </c:pt>
                <c:pt idx="29">
                  <c:v>0.13934728283626985</c:v>
                </c:pt>
                <c:pt idx="30">
                  <c:v>7.4166441463419996E-2</c:v>
                </c:pt>
                <c:pt idx="31">
                  <c:v>0.11049141793393025</c:v>
                </c:pt>
                <c:pt idx="32">
                  <c:v>3.7748608194690281E-2</c:v>
                </c:pt>
                <c:pt idx="33">
                  <c:v>5.7282666365769952E-2</c:v>
                </c:pt>
                <c:pt idx="34">
                  <c:v>9.7919189937869522E-2</c:v>
                </c:pt>
                <c:pt idx="35">
                  <c:v>0.11032204787498934</c:v>
                </c:pt>
                <c:pt idx="36">
                  <c:v>0.21828802961241056</c:v>
                </c:pt>
                <c:pt idx="37">
                  <c:v>-1.7717574673680403E-2</c:v>
                </c:pt>
                <c:pt idx="38">
                  <c:v>6.4720142293499983E-2</c:v>
                </c:pt>
                <c:pt idx="39">
                  <c:v>3.3359628161670152E-2</c:v>
                </c:pt>
                <c:pt idx="40">
                  <c:v>5.0914095166799456E-2</c:v>
                </c:pt>
                <c:pt idx="41">
                  <c:v>-1.0335878088140404E-2</c:v>
                </c:pt>
                <c:pt idx="42">
                  <c:v>6.0491467892529904E-2</c:v>
                </c:pt>
                <c:pt idx="43">
                  <c:v>0.10218785946231979</c:v>
                </c:pt>
                <c:pt idx="44">
                  <c:v>0.1129931460301794</c:v>
                </c:pt>
                <c:pt idx="45">
                  <c:v>7.583708169893999E-2</c:v>
                </c:pt>
                <c:pt idx="46">
                  <c:v>0.16669223768564034</c:v>
                </c:pt>
                <c:pt idx="47">
                  <c:v>1.7675021297599791E-2</c:v>
                </c:pt>
                <c:pt idx="48">
                  <c:v>0.1014848247807798</c:v>
                </c:pt>
                <c:pt idx="49">
                  <c:v>-3.7366847898479882E-2</c:v>
                </c:pt>
                <c:pt idx="50">
                  <c:v>-0.17387225730257949</c:v>
                </c:pt>
                <c:pt idx="51">
                  <c:v>-0.16660959106503004</c:v>
                </c:pt>
                <c:pt idx="52">
                  <c:v>-0.13059360916819962</c:v>
                </c:pt>
                <c:pt idx="53">
                  <c:v>-3.0900846811640292E-2</c:v>
                </c:pt>
                <c:pt idx="54">
                  <c:v>0.11045036396657082</c:v>
                </c:pt>
                <c:pt idx="55">
                  <c:v>9.8578237046409889E-2</c:v>
                </c:pt>
                <c:pt idx="56">
                  <c:v>5.3414312941000297E-2</c:v>
                </c:pt>
                <c:pt idx="57">
                  <c:v>7.3397987269850695E-2</c:v>
                </c:pt>
                <c:pt idx="58">
                  <c:v>6.386936816066946E-2</c:v>
                </c:pt>
                <c:pt idx="59">
                  <c:v>-7.0925645041599594E-2</c:v>
                </c:pt>
                <c:pt idx="60">
                  <c:v>-4.135087080769928E-2</c:v>
                </c:pt>
                <c:pt idx="61">
                  <c:v>9.8720332589694593E-3</c:v>
                </c:pt>
                <c:pt idx="62">
                  <c:v>-0.14817309061240014</c:v>
                </c:pt>
                <c:pt idx="63">
                  <c:v>-5.9641599881779861E-2</c:v>
                </c:pt>
                <c:pt idx="64">
                  <c:v>2.9217288664580288E-2</c:v>
                </c:pt>
                <c:pt idx="65">
                  <c:v>2.1183399645110512E-2</c:v>
                </c:pt>
                <c:pt idx="66">
                  <c:v>-2.9324618248949719E-2</c:v>
                </c:pt>
                <c:pt idx="67">
                  <c:v>7.446557433021983E-2</c:v>
                </c:pt>
                <c:pt idx="68">
                  <c:v>-0.21082346799861007</c:v>
                </c:pt>
                <c:pt idx="69">
                  <c:v>-0.23927769749415972</c:v>
                </c:pt>
                <c:pt idx="70">
                  <c:v>-0.17309116779083045</c:v>
                </c:pt>
                <c:pt idx="71">
                  <c:v>-6.8404094808870219E-2</c:v>
                </c:pt>
                <c:pt idx="72">
                  <c:v>-0.18275456501712029</c:v>
                </c:pt>
                <c:pt idx="73">
                  <c:v>-0.49815832535916016</c:v>
                </c:pt>
                <c:pt idx="74">
                  <c:v>-7.5728254686040053E-2</c:v>
                </c:pt>
                <c:pt idx="75">
                  <c:v>-4.8677187918679365E-2</c:v>
                </c:pt>
                <c:pt idx="76">
                  <c:v>0.1817988939020001</c:v>
                </c:pt>
                <c:pt idx="77">
                  <c:v>-0.17624473024852971</c:v>
                </c:pt>
                <c:pt idx="78">
                  <c:v>-7.9361802540810267E-2</c:v>
                </c:pt>
                <c:pt idx="79">
                  <c:v>-3.0626439013579976E-2</c:v>
                </c:pt>
                <c:pt idx="80">
                  <c:v>-0.17545517113043996</c:v>
                </c:pt>
                <c:pt idx="81">
                  <c:v>-0.27773927462826009</c:v>
                </c:pt>
                <c:pt idx="82">
                  <c:v>-0.38501728236296984</c:v>
                </c:pt>
                <c:pt idx="83">
                  <c:v>-0.56556252943832952</c:v>
                </c:pt>
                <c:pt idx="84">
                  <c:v>-0.14370260556790981</c:v>
                </c:pt>
                <c:pt idx="85">
                  <c:v>-0.23173539062900961</c:v>
                </c:pt>
                <c:pt idx="86">
                  <c:v>-0.21540837032822058</c:v>
                </c:pt>
                <c:pt idx="87">
                  <c:v>-0.19965204417669025</c:v>
                </c:pt>
                <c:pt idx="88">
                  <c:v>-0.20673618798279048</c:v>
                </c:pt>
                <c:pt idx="89">
                  <c:v>-0.11698222761801969</c:v>
                </c:pt>
                <c:pt idx="90">
                  <c:v>-4.3833671167949895E-2</c:v>
                </c:pt>
                <c:pt idx="91">
                  <c:v>-3.1919406167490116E-2</c:v>
                </c:pt>
                <c:pt idx="92">
                  <c:v>-5.477266649273993E-2</c:v>
                </c:pt>
                <c:pt idx="93">
                  <c:v>-0.17761881586783979</c:v>
                </c:pt>
                <c:pt idx="94">
                  <c:v>-0.17597886634924009</c:v>
                </c:pt>
                <c:pt idx="95">
                  <c:v>-0.32336523406774997</c:v>
                </c:pt>
                <c:pt idx="96">
                  <c:v>3.6074862947499398E-3</c:v>
                </c:pt>
                <c:pt idx="97">
                  <c:v>5.3208638797220154E-2</c:v>
                </c:pt>
                <c:pt idx="98">
                  <c:v>-0.18223659773397927</c:v>
                </c:pt>
                <c:pt idx="99">
                  <c:v>-0.21848466309991998</c:v>
                </c:pt>
                <c:pt idx="100">
                  <c:v>-0.22573438834186987</c:v>
                </c:pt>
                <c:pt idx="101">
                  <c:v>-0.39185892308383075</c:v>
                </c:pt>
                <c:pt idx="102">
                  <c:v>-0.18119915653471974</c:v>
                </c:pt>
                <c:pt idx="103">
                  <c:v>-0.15098383397321946</c:v>
                </c:pt>
                <c:pt idx="104">
                  <c:v>-0.2308806098683398</c:v>
                </c:pt>
                <c:pt idx="105">
                  <c:v>-0.10577727061976017</c:v>
                </c:pt>
                <c:pt idx="106">
                  <c:v>-6.7546568254160277E-2</c:v>
                </c:pt>
                <c:pt idx="107">
                  <c:v>-0.14096314873436988</c:v>
                </c:pt>
                <c:pt idx="108">
                  <c:v>-0.27567328423354009</c:v>
                </c:pt>
                <c:pt idx="109">
                  <c:v>-0.29424761909492947</c:v>
                </c:pt>
                <c:pt idx="110">
                  <c:v>-0.28257618692555031</c:v>
                </c:pt>
                <c:pt idx="111">
                  <c:v>-0.38715555093153942</c:v>
                </c:pt>
                <c:pt idx="112">
                  <c:v>-0.37573751654808074</c:v>
                </c:pt>
                <c:pt idx="113">
                  <c:v>-0.36370046385855037</c:v>
                </c:pt>
                <c:pt idx="114">
                  <c:v>-0.19719747394993004</c:v>
                </c:pt>
                <c:pt idx="115">
                  <c:v>-0.12452067981530934</c:v>
                </c:pt>
                <c:pt idx="116">
                  <c:v>-0.25661308979977981</c:v>
                </c:pt>
                <c:pt idx="117">
                  <c:v>-0.25107848748727957</c:v>
                </c:pt>
                <c:pt idx="118">
                  <c:v>-0.26070921333201991</c:v>
                </c:pt>
                <c:pt idx="119">
                  <c:v>-0.14925075548846056</c:v>
                </c:pt>
                <c:pt idx="120">
                  <c:v>-0.15025116373216019</c:v>
                </c:pt>
                <c:pt idx="121">
                  <c:v>-5.0619570655149992E-2</c:v>
                </c:pt>
                <c:pt idx="122">
                  <c:v>-0.32054565201744989</c:v>
                </c:pt>
                <c:pt idx="123">
                  <c:v>-0.21548512247188967</c:v>
                </c:pt>
                <c:pt idx="124">
                  <c:v>-0.34414188631264953</c:v>
                </c:pt>
                <c:pt idx="125">
                  <c:v>-0.13581178899444968</c:v>
                </c:pt>
              </c:numCache>
            </c:numRef>
          </c:val>
        </c:ser>
        <c:ser>
          <c:idx val="4"/>
          <c:order val="1"/>
          <c:tx>
            <c:v>Bank vs Small</c:v>
          </c:tx>
          <c:spPr>
            <a:solidFill>
              <a:srgbClr val="AD275C"/>
            </a:solidFill>
            <a:ln>
              <a:noFill/>
            </a:ln>
          </c:spPr>
          <c:invertIfNegative val="0"/>
          <c:cat>
            <c:numRef>
              <c:f>LLwithCondition!$B$4:$B$129</c:f>
              <c:numCache>
                <c:formatCode>m/d/yyyy</c:formatCode>
                <c:ptCount val="126"/>
                <c:pt idx="0">
                  <c:v>42156</c:v>
                </c:pt>
                <c:pt idx="1">
                  <c:v>42125</c:v>
                </c:pt>
                <c:pt idx="2">
                  <c:v>42095</c:v>
                </c:pt>
                <c:pt idx="3">
                  <c:v>42064</c:v>
                </c:pt>
                <c:pt idx="4">
                  <c:v>42036</c:v>
                </c:pt>
                <c:pt idx="5">
                  <c:v>42005</c:v>
                </c:pt>
                <c:pt idx="6">
                  <c:v>41974</c:v>
                </c:pt>
                <c:pt idx="7">
                  <c:v>41944</c:v>
                </c:pt>
                <c:pt idx="8">
                  <c:v>41913</c:v>
                </c:pt>
                <c:pt idx="9">
                  <c:v>41883</c:v>
                </c:pt>
                <c:pt idx="10">
                  <c:v>41852</c:v>
                </c:pt>
                <c:pt idx="11">
                  <c:v>41821</c:v>
                </c:pt>
                <c:pt idx="12">
                  <c:v>41791</c:v>
                </c:pt>
                <c:pt idx="13">
                  <c:v>41760</c:v>
                </c:pt>
                <c:pt idx="14">
                  <c:v>41730</c:v>
                </c:pt>
                <c:pt idx="15">
                  <c:v>41699</c:v>
                </c:pt>
                <c:pt idx="16">
                  <c:v>41671</c:v>
                </c:pt>
                <c:pt idx="17">
                  <c:v>41640</c:v>
                </c:pt>
                <c:pt idx="18">
                  <c:v>41609</c:v>
                </c:pt>
                <c:pt idx="19">
                  <c:v>41579</c:v>
                </c:pt>
                <c:pt idx="20">
                  <c:v>41548</c:v>
                </c:pt>
                <c:pt idx="21">
                  <c:v>41518</c:v>
                </c:pt>
                <c:pt idx="22">
                  <c:v>41487</c:v>
                </c:pt>
                <c:pt idx="23">
                  <c:v>41456</c:v>
                </c:pt>
                <c:pt idx="24">
                  <c:v>41426</c:v>
                </c:pt>
                <c:pt idx="25">
                  <c:v>41395</c:v>
                </c:pt>
                <c:pt idx="26">
                  <c:v>41365</c:v>
                </c:pt>
                <c:pt idx="27">
                  <c:v>41334</c:v>
                </c:pt>
                <c:pt idx="28">
                  <c:v>41306</c:v>
                </c:pt>
                <c:pt idx="29">
                  <c:v>41275</c:v>
                </c:pt>
                <c:pt idx="30">
                  <c:v>41244</c:v>
                </c:pt>
                <c:pt idx="31">
                  <c:v>41214</c:v>
                </c:pt>
                <c:pt idx="32">
                  <c:v>41183</c:v>
                </c:pt>
                <c:pt idx="33">
                  <c:v>41153</c:v>
                </c:pt>
                <c:pt idx="34">
                  <c:v>41122</c:v>
                </c:pt>
                <c:pt idx="35">
                  <c:v>41091</c:v>
                </c:pt>
                <c:pt idx="36">
                  <c:v>41061</c:v>
                </c:pt>
                <c:pt idx="37">
                  <c:v>41030</c:v>
                </c:pt>
                <c:pt idx="38">
                  <c:v>41000</c:v>
                </c:pt>
                <c:pt idx="39">
                  <c:v>40969</c:v>
                </c:pt>
                <c:pt idx="40">
                  <c:v>40940</c:v>
                </c:pt>
                <c:pt idx="41">
                  <c:v>40909</c:v>
                </c:pt>
                <c:pt idx="42">
                  <c:v>40878</c:v>
                </c:pt>
                <c:pt idx="43">
                  <c:v>40848</c:v>
                </c:pt>
                <c:pt idx="44">
                  <c:v>40817</c:v>
                </c:pt>
                <c:pt idx="45">
                  <c:v>40787</c:v>
                </c:pt>
                <c:pt idx="46">
                  <c:v>40756</c:v>
                </c:pt>
                <c:pt idx="47">
                  <c:v>40725</c:v>
                </c:pt>
                <c:pt idx="48">
                  <c:v>40695</c:v>
                </c:pt>
                <c:pt idx="49">
                  <c:v>40664</c:v>
                </c:pt>
                <c:pt idx="50">
                  <c:v>40634</c:v>
                </c:pt>
                <c:pt idx="51">
                  <c:v>40603</c:v>
                </c:pt>
                <c:pt idx="52">
                  <c:v>40575</c:v>
                </c:pt>
                <c:pt idx="53">
                  <c:v>40544</c:v>
                </c:pt>
                <c:pt idx="54">
                  <c:v>40513</c:v>
                </c:pt>
                <c:pt idx="55">
                  <c:v>40483</c:v>
                </c:pt>
                <c:pt idx="56">
                  <c:v>40452</c:v>
                </c:pt>
                <c:pt idx="57">
                  <c:v>40422</c:v>
                </c:pt>
                <c:pt idx="58">
                  <c:v>40391</c:v>
                </c:pt>
                <c:pt idx="59">
                  <c:v>40360</c:v>
                </c:pt>
                <c:pt idx="60">
                  <c:v>40330</c:v>
                </c:pt>
                <c:pt idx="61">
                  <c:v>40299</c:v>
                </c:pt>
                <c:pt idx="62">
                  <c:v>40269</c:v>
                </c:pt>
                <c:pt idx="63">
                  <c:v>40238</c:v>
                </c:pt>
                <c:pt idx="64">
                  <c:v>40210</c:v>
                </c:pt>
                <c:pt idx="65">
                  <c:v>40179</c:v>
                </c:pt>
                <c:pt idx="66">
                  <c:v>40148</c:v>
                </c:pt>
                <c:pt idx="67">
                  <c:v>40118</c:v>
                </c:pt>
                <c:pt idx="68">
                  <c:v>40087</c:v>
                </c:pt>
                <c:pt idx="69">
                  <c:v>40057</c:v>
                </c:pt>
                <c:pt idx="70">
                  <c:v>40026</c:v>
                </c:pt>
                <c:pt idx="71">
                  <c:v>39995</c:v>
                </c:pt>
                <c:pt idx="72">
                  <c:v>39965</c:v>
                </c:pt>
                <c:pt idx="73">
                  <c:v>39934</c:v>
                </c:pt>
                <c:pt idx="74">
                  <c:v>39904</c:v>
                </c:pt>
                <c:pt idx="75">
                  <c:v>39873</c:v>
                </c:pt>
                <c:pt idx="76">
                  <c:v>39845</c:v>
                </c:pt>
                <c:pt idx="77">
                  <c:v>39814</c:v>
                </c:pt>
                <c:pt idx="78">
                  <c:v>39783</c:v>
                </c:pt>
                <c:pt idx="79">
                  <c:v>39753</c:v>
                </c:pt>
                <c:pt idx="80">
                  <c:v>39722</c:v>
                </c:pt>
                <c:pt idx="81">
                  <c:v>39692</c:v>
                </c:pt>
                <c:pt idx="82">
                  <c:v>39661</c:v>
                </c:pt>
                <c:pt idx="83">
                  <c:v>39630</c:v>
                </c:pt>
                <c:pt idx="84">
                  <c:v>39600</c:v>
                </c:pt>
                <c:pt idx="85">
                  <c:v>39569</c:v>
                </c:pt>
                <c:pt idx="86">
                  <c:v>39539</c:v>
                </c:pt>
                <c:pt idx="87">
                  <c:v>39508</c:v>
                </c:pt>
                <c:pt idx="88">
                  <c:v>39479</c:v>
                </c:pt>
                <c:pt idx="89">
                  <c:v>39448</c:v>
                </c:pt>
                <c:pt idx="90">
                  <c:v>39417</c:v>
                </c:pt>
                <c:pt idx="91">
                  <c:v>39387</c:v>
                </c:pt>
                <c:pt idx="92">
                  <c:v>39356</c:v>
                </c:pt>
                <c:pt idx="93">
                  <c:v>39326</c:v>
                </c:pt>
                <c:pt idx="94">
                  <c:v>39295</c:v>
                </c:pt>
                <c:pt idx="95">
                  <c:v>39264</c:v>
                </c:pt>
                <c:pt idx="96">
                  <c:v>39234</c:v>
                </c:pt>
                <c:pt idx="97">
                  <c:v>39203</c:v>
                </c:pt>
                <c:pt idx="98">
                  <c:v>39173</c:v>
                </c:pt>
                <c:pt idx="99">
                  <c:v>39142</c:v>
                </c:pt>
                <c:pt idx="100">
                  <c:v>39114</c:v>
                </c:pt>
                <c:pt idx="101">
                  <c:v>39083</c:v>
                </c:pt>
                <c:pt idx="102">
                  <c:v>39052</c:v>
                </c:pt>
                <c:pt idx="103">
                  <c:v>39022</c:v>
                </c:pt>
                <c:pt idx="104">
                  <c:v>38991</c:v>
                </c:pt>
                <c:pt idx="105">
                  <c:v>38961</c:v>
                </c:pt>
                <c:pt idx="106">
                  <c:v>38930</c:v>
                </c:pt>
                <c:pt idx="107">
                  <c:v>38899</c:v>
                </c:pt>
                <c:pt idx="108">
                  <c:v>38869</c:v>
                </c:pt>
                <c:pt idx="109">
                  <c:v>38838</c:v>
                </c:pt>
                <c:pt idx="110">
                  <c:v>38808</c:v>
                </c:pt>
                <c:pt idx="111">
                  <c:v>38777</c:v>
                </c:pt>
                <c:pt idx="112">
                  <c:v>38749</c:v>
                </c:pt>
                <c:pt idx="113">
                  <c:v>38718</c:v>
                </c:pt>
                <c:pt idx="114">
                  <c:v>38687</c:v>
                </c:pt>
                <c:pt idx="115">
                  <c:v>38657</c:v>
                </c:pt>
                <c:pt idx="116">
                  <c:v>38626</c:v>
                </c:pt>
                <c:pt idx="117">
                  <c:v>38596</c:v>
                </c:pt>
                <c:pt idx="118">
                  <c:v>38565</c:v>
                </c:pt>
                <c:pt idx="119">
                  <c:v>38534</c:v>
                </c:pt>
                <c:pt idx="120">
                  <c:v>38504</c:v>
                </c:pt>
                <c:pt idx="121">
                  <c:v>38473</c:v>
                </c:pt>
                <c:pt idx="122">
                  <c:v>38443</c:v>
                </c:pt>
                <c:pt idx="123">
                  <c:v>38412</c:v>
                </c:pt>
                <c:pt idx="124">
                  <c:v>38384</c:v>
                </c:pt>
                <c:pt idx="125">
                  <c:v>38353</c:v>
                </c:pt>
              </c:numCache>
            </c:numRef>
          </c:cat>
          <c:val>
            <c:numRef>
              <c:f>LLwithCondition!$G$4:$G$129</c:f>
              <c:numCache>
                <c:formatCode>0.00</c:formatCode>
                <c:ptCount val="126"/>
                <c:pt idx="0">
                  <c:v>0.22533169390289931</c:v>
                </c:pt>
                <c:pt idx="1">
                  <c:v>0.17348669040670028</c:v>
                </c:pt>
                <c:pt idx="2">
                  <c:v>4.8012782831830414E-2</c:v>
                </c:pt>
                <c:pt idx="3">
                  <c:v>0.18363214942276995</c:v>
                </c:pt>
                <c:pt idx="4">
                  <c:v>0.15661961884003972</c:v>
                </c:pt>
                <c:pt idx="5">
                  <c:v>0.11364278081446955</c:v>
                </c:pt>
                <c:pt idx="6">
                  <c:v>0.18452185607061988</c:v>
                </c:pt>
                <c:pt idx="7">
                  <c:v>0.3494104807874896</c:v>
                </c:pt>
                <c:pt idx="8">
                  <c:v>5.1769407321970107E-2</c:v>
                </c:pt>
                <c:pt idx="9">
                  <c:v>8.6748711681290835E-2</c:v>
                </c:pt>
                <c:pt idx="10">
                  <c:v>5.7080657367199805E-2</c:v>
                </c:pt>
                <c:pt idx="11">
                  <c:v>0.17265925541703986</c:v>
                </c:pt>
                <c:pt idx="12">
                  <c:v>9.5781843168690095E-2</c:v>
                </c:pt>
                <c:pt idx="13">
                  <c:v>5.6605674979580023E-2</c:v>
                </c:pt>
                <c:pt idx="14">
                  <c:v>4.5201989303330414E-2</c:v>
                </c:pt>
                <c:pt idx="15">
                  <c:v>0.12018534683893023</c:v>
                </c:pt>
                <c:pt idx="16">
                  <c:v>4.8913955178339741E-2</c:v>
                </c:pt>
                <c:pt idx="17">
                  <c:v>4.7192560005480111E-2</c:v>
                </c:pt>
                <c:pt idx="18">
                  <c:v>0.13354731605241987</c:v>
                </c:pt>
                <c:pt idx="19">
                  <c:v>8.152923838006032E-2</c:v>
                </c:pt>
                <c:pt idx="20">
                  <c:v>-5.867606045754048E-2</c:v>
                </c:pt>
                <c:pt idx="21">
                  <c:v>-0.23610421444121066</c:v>
                </c:pt>
                <c:pt idx="22">
                  <c:v>-0.24136608025007034</c:v>
                </c:pt>
                <c:pt idx="23">
                  <c:v>-4.0347851870730089E-2</c:v>
                </c:pt>
                <c:pt idx="24">
                  <c:v>4.6803970601200007E-2</c:v>
                </c:pt>
                <c:pt idx="25">
                  <c:v>0.17036329530428995</c:v>
                </c:pt>
                <c:pt idx="26">
                  <c:v>8.0488462091849566E-2</c:v>
                </c:pt>
                <c:pt idx="27">
                  <c:v>4.19790808079199E-2</c:v>
                </c:pt>
                <c:pt idx="28">
                  <c:v>5.1648497606139987E-2</c:v>
                </c:pt>
                <c:pt idx="29">
                  <c:v>0.1914130967336698</c:v>
                </c:pt>
                <c:pt idx="30">
                  <c:v>0.18526150335826985</c:v>
                </c:pt>
                <c:pt idx="31">
                  <c:v>0.19127739495453033</c:v>
                </c:pt>
                <c:pt idx="32">
                  <c:v>9.4714724306220077E-2</c:v>
                </c:pt>
                <c:pt idx="33">
                  <c:v>6.8707998044069907E-2</c:v>
                </c:pt>
                <c:pt idx="34">
                  <c:v>0.16833454924365965</c:v>
                </c:pt>
                <c:pt idx="35">
                  <c:v>0.13980635893975979</c:v>
                </c:pt>
                <c:pt idx="36">
                  <c:v>0.2329102994726</c:v>
                </c:pt>
                <c:pt idx="37">
                  <c:v>6.0480524329599383E-2</c:v>
                </c:pt>
                <c:pt idx="38">
                  <c:v>0.11869905964245042</c:v>
                </c:pt>
                <c:pt idx="39">
                  <c:v>0.1152046818408099</c:v>
                </c:pt>
                <c:pt idx="40">
                  <c:v>0.14626601526519956</c:v>
                </c:pt>
                <c:pt idx="41">
                  <c:v>0.10751702575528999</c:v>
                </c:pt>
                <c:pt idx="42">
                  <c:v>0.10568711464786951</c:v>
                </c:pt>
                <c:pt idx="43">
                  <c:v>0.16872201974164014</c:v>
                </c:pt>
                <c:pt idx="44">
                  <c:v>0.20673295337051023</c:v>
                </c:pt>
                <c:pt idx="45">
                  <c:v>0.23125889021210977</c:v>
                </c:pt>
                <c:pt idx="46">
                  <c:v>0.17084016552007064</c:v>
                </c:pt>
                <c:pt idx="47">
                  <c:v>0.10787712327431009</c:v>
                </c:pt>
                <c:pt idx="48">
                  <c:v>0.15309297475254002</c:v>
                </c:pt>
                <c:pt idx="49">
                  <c:v>8.7378454897409696E-2</c:v>
                </c:pt>
                <c:pt idx="50">
                  <c:v>6.6164710128219895E-2</c:v>
                </c:pt>
                <c:pt idx="51">
                  <c:v>-4.1032895729919971E-2</c:v>
                </c:pt>
                <c:pt idx="52">
                  <c:v>-5.5316082001279909E-2</c:v>
                </c:pt>
                <c:pt idx="53">
                  <c:v>5.0337439101397763E-3</c:v>
                </c:pt>
                <c:pt idx="54">
                  <c:v>8.0737527917170482E-2</c:v>
                </c:pt>
                <c:pt idx="55">
                  <c:v>0.15619839876261032</c:v>
                </c:pt>
                <c:pt idx="56">
                  <c:v>0.15884311355057967</c:v>
                </c:pt>
                <c:pt idx="57">
                  <c:v>0.15453439020530002</c:v>
                </c:pt>
                <c:pt idx="58">
                  <c:v>0.18150708838981977</c:v>
                </c:pt>
                <c:pt idx="59">
                  <c:v>0.10556727269699984</c:v>
                </c:pt>
                <c:pt idx="60">
                  <c:v>5.0692174162910497E-2</c:v>
                </c:pt>
                <c:pt idx="61">
                  <c:v>6.1820913167359492E-2</c:v>
                </c:pt>
                <c:pt idx="62">
                  <c:v>-5.3701645014303523E-3</c:v>
                </c:pt>
                <c:pt idx="63">
                  <c:v>1.7823389287470626E-2</c:v>
                </c:pt>
                <c:pt idx="64">
                  <c:v>2.9415391905099675E-2</c:v>
                </c:pt>
                <c:pt idx="65">
                  <c:v>7.5393150610230109E-2</c:v>
                </c:pt>
                <c:pt idx="66">
                  <c:v>3.1997519704460409E-2</c:v>
                </c:pt>
                <c:pt idx="67">
                  <c:v>6.161082585359523E-3</c:v>
                </c:pt>
                <c:pt idx="68">
                  <c:v>-0.19256988828070032</c:v>
                </c:pt>
                <c:pt idx="69">
                  <c:v>-0.31748207835487996</c:v>
                </c:pt>
                <c:pt idx="70">
                  <c:v>-0.16510508634748078</c:v>
                </c:pt>
                <c:pt idx="71">
                  <c:v>-8.4718528799440307E-2</c:v>
                </c:pt>
                <c:pt idx="72">
                  <c:v>-0.19965581800728049</c:v>
                </c:pt>
                <c:pt idx="73">
                  <c:v>-0.42878594743209053</c:v>
                </c:pt>
                <c:pt idx="74">
                  <c:v>-4.8219975973539775E-2</c:v>
                </c:pt>
                <c:pt idx="75">
                  <c:v>-1.3600046232369323E-2</c:v>
                </c:pt>
                <c:pt idx="76">
                  <c:v>3.1741076738900809E-2</c:v>
                </c:pt>
                <c:pt idx="77">
                  <c:v>-0.25055950062334009</c:v>
                </c:pt>
                <c:pt idx="78">
                  <c:v>9.1461952044450179E-2</c:v>
                </c:pt>
                <c:pt idx="79">
                  <c:v>6.647264153875998E-2</c:v>
                </c:pt>
                <c:pt idx="80">
                  <c:v>-4.7450550902559563E-2</c:v>
                </c:pt>
                <c:pt idx="81">
                  <c:v>-3.5798233082010356E-2</c:v>
                </c:pt>
                <c:pt idx="82">
                  <c:v>-6.4850476629509934E-2</c:v>
                </c:pt>
                <c:pt idx="83">
                  <c:v>-1.0094282457529857E-2</c:v>
                </c:pt>
                <c:pt idx="84">
                  <c:v>-8.4101197886710111E-2</c:v>
                </c:pt>
                <c:pt idx="85">
                  <c:v>-3.2663427579719517E-2</c:v>
                </c:pt>
                <c:pt idx="86">
                  <c:v>5.3341993699699941E-2</c:v>
                </c:pt>
                <c:pt idx="87">
                  <c:v>1.7448007735709758E-2</c:v>
                </c:pt>
                <c:pt idx="88">
                  <c:v>-2.1097800514080056E-2</c:v>
                </c:pt>
                <c:pt idx="89">
                  <c:v>-5.7541866597300206E-2</c:v>
                </c:pt>
                <c:pt idx="90">
                  <c:v>-5.1655040918169526E-2</c:v>
                </c:pt>
                <c:pt idx="91">
                  <c:v>-8.2619661924701049E-3</c:v>
                </c:pt>
                <c:pt idx="92">
                  <c:v>-3.7535101706249741E-2</c:v>
                </c:pt>
                <c:pt idx="93">
                  <c:v>-5.2475315103579945E-2</c:v>
                </c:pt>
                <c:pt idx="94">
                  <c:v>-3.6679212089869573E-2</c:v>
                </c:pt>
                <c:pt idx="95">
                  <c:v>-2.4515523201799283E-2</c:v>
                </c:pt>
                <c:pt idx="96">
                  <c:v>1.8031593355159359E-2</c:v>
                </c:pt>
                <c:pt idx="97">
                  <c:v>-3.9767948228289995E-2</c:v>
                </c:pt>
                <c:pt idx="98">
                  <c:v>-0.14163714817164941</c:v>
                </c:pt>
                <c:pt idx="99">
                  <c:v>-1.5954740299640058E-2</c:v>
                </c:pt>
                <c:pt idx="100">
                  <c:v>1.7676665891060317E-2</c:v>
                </c:pt>
                <c:pt idx="101">
                  <c:v>-8.9738366549270587E-2</c:v>
                </c:pt>
                <c:pt idx="102">
                  <c:v>-3.9505792249450167E-2</c:v>
                </c:pt>
                <c:pt idx="103">
                  <c:v>-8.629178097949719E-3</c:v>
                </c:pt>
                <c:pt idx="104">
                  <c:v>2.6680009643929914E-2</c:v>
                </c:pt>
                <c:pt idx="105">
                  <c:v>9.8426317382119599E-2</c:v>
                </c:pt>
                <c:pt idx="106">
                  <c:v>0.10477701273689011</c:v>
                </c:pt>
                <c:pt idx="107">
                  <c:v>-1.3592108110000112E-2</c:v>
                </c:pt>
                <c:pt idx="108">
                  <c:v>-2.0793880326489322E-2</c:v>
                </c:pt>
                <c:pt idx="109">
                  <c:v>-7.9710599137469806E-2</c:v>
                </c:pt>
                <c:pt idx="110">
                  <c:v>-0.12473795222171002</c:v>
                </c:pt>
                <c:pt idx="111">
                  <c:v>-6.8109257620939445E-2</c:v>
                </c:pt>
                <c:pt idx="112">
                  <c:v>-7.1643563461530668E-2</c:v>
                </c:pt>
                <c:pt idx="113">
                  <c:v>-7.5507689176229853E-2</c:v>
                </c:pt>
                <c:pt idx="114">
                  <c:v>-5.5294440389450195E-2</c:v>
                </c:pt>
                <c:pt idx="115">
                  <c:v>-1.5903890654049846E-2</c:v>
                </c:pt>
                <c:pt idx="116">
                  <c:v>-7.8325817778369888E-2</c:v>
                </c:pt>
                <c:pt idx="117">
                  <c:v>-9.8491257699002688E-3</c:v>
                </c:pt>
                <c:pt idx="118">
                  <c:v>6.4146368515570096E-2</c:v>
                </c:pt>
                <c:pt idx="119">
                  <c:v>4.0208721354098031E-3</c:v>
                </c:pt>
                <c:pt idx="120">
                  <c:v>3.4728229817179823E-2</c:v>
                </c:pt>
                <c:pt idx="121">
                  <c:v>-7.3486496040239935E-2</c:v>
                </c:pt>
                <c:pt idx="122">
                  <c:v>1.0366151813189894E-2</c:v>
                </c:pt>
                <c:pt idx="123">
                  <c:v>5.2906672975501223E-3</c:v>
                </c:pt>
                <c:pt idx="124">
                  <c:v>-4.3548275033209904E-2</c:v>
                </c:pt>
                <c:pt idx="125">
                  <c:v>2.1012361356760323E-2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2310016"/>
        <c:axId val="292315904"/>
      </c:barChart>
      <c:dateAx>
        <c:axId val="2923100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292315904"/>
        <c:crosses val="autoZero"/>
        <c:auto val="1"/>
        <c:lblOffset val="100"/>
        <c:baseTimeUnit val="months"/>
        <c:majorUnit val="6"/>
        <c:majorTimeUnit val="months"/>
      </c:dateAx>
      <c:valAx>
        <c:axId val="29231590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2923100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295275</xdr:colOff>
      <xdr:row>0</xdr:row>
      <xdr:rowOff>161925</xdr:rowOff>
    </xdr:from>
    <xdr:to>
      <xdr:col>30</xdr:col>
      <xdr:colOff>352425</xdr:colOff>
      <xdr:row>18</xdr:row>
      <xdr:rowOff>171450</xdr:rowOff>
    </xdr:to>
    <xdr:sp macro="" textlink="">
      <xdr:nvSpPr>
        <xdr:cNvPr id="2" name="TextBox 1"/>
        <xdr:cNvSpPr txBox="1"/>
      </xdr:nvSpPr>
      <xdr:spPr>
        <a:xfrm>
          <a:off x="11982450" y="161925"/>
          <a:ext cx="9201150" cy="3438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select poolIssueDate,  </a:t>
          </a:r>
        </a:p>
        <a:p>
          <a:r>
            <a:rPr lang="en-US" sz="1100"/>
            <a:t>       sum(origNoteRate * originalLoanAmount)/sum(originalLoanAmount) WANoteRate</a:t>
          </a:r>
        </a:p>
        <a:p>
          <a:r>
            <a:rPr lang="en-US" sz="1100"/>
            <a:t>from fnm.cello_loan </a:t>
          </a:r>
        </a:p>
        <a:p>
          <a:r>
            <a:rPr lang="en-US" sz="1100"/>
            <a:t>where originalServicerName not in ('N/A' ,'REMAINING','WELLS FARGO','CITI','CHASE','BANK OF AMERICA','CWB','SUNTRUST','PNC','WACHOVIA','QUICKEN','GREEN TREE SERVICING, LLC','FLAGSTAR','PINGORA LOAN SERVICING, INC.','FRANKLIN AMERICAN MORTGAGE COMPANY','FREEDOM','NATIONSTAR','GUILD','HOMESTREET BANK','ROUNDPOINT MORTGAGE SERVICING CORPORATIO')</a:t>
          </a:r>
        </a:p>
        <a:p>
          <a:r>
            <a:rPr lang="en-US" sz="1100"/>
            <a:t>and marketTicker in ('FNCL')</a:t>
          </a:r>
        </a:p>
        <a:p>
          <a:r>
            <a:rPr lang="en-US" sz="1100"/>
            <a:t>and origNoteRate &gt; 0</a:t>
          </a:r>
        </a:p>
        <a:p>
          <a:r>
            <a:rPr lang="en-US" sz="1100"/>
            <a:t>and originalLoanAmount &gt; 0</a:t>
          </a:r>
        </a:p>
        <a:p>
          <a:r>
            <a:rPr lang="en-US" sz="1100"/>
            <a:t>and cs &gt;= 720</a:t>
          </a:r>
        </a:p>
        <a:p>
          <a:r>
            <a:rPr lang="en-US" sz="1100"/>
            <a:t>and cs &lt;= 740</a:t>
          </a:r>
        </a:p>
        <a:p>
          <a:r>
            <a:rPr lang="en-US" sz="1100"/>
            <a:t>and origLTV &gt;= 70</a:t>
          </a:r>
        </a:p>
        <a:p>
          <a:r>
            <a:rPr lang="en-US" sz="1100"/>
            <a:t>and origLTV &lt;= 80</a:t>
          </a:r>
        </a:p>
        <a:p>
          <a:r>
            <a:rPr lang="en-US" sz="1100"/>
            <a:t>and loanPurposeType = 'RE-FI'</a:t>
          </a:r>
        </a:p>
        <a:p>
          <a:r>
            <a:rPr lang="en-US" sz="1100"/>
            <a:t>and occType = 'OWNER'</a:t>
          </a:r>
        </a:p>
        <a:p>
          <a:r>
            <a:rPr lang="en-US" sz="1100"/>
            <a:t>and propertyType = 'SF'</a:t>
          </a:r>
        </a:p>
        <a:p>
          <a:r>
            <a:rPr lang="en-US" sz="1100"/>
            <a:t>and poolIssueDate &gt;= '20050101'</a:t>
          </a:r>
        </a:p>
        <a:p>
          <a:r>
            <a:rPr lang="en-US" sz="1100"/>
            <a:t>group by poolIssueDate</a:t>
          </a:r>
        </a:p>
        <a:p>
          <a:r>
            <a:rPr lang="en-US" sz="1100"/>
            <a:t>order by poolIssueDate desc</a:t>
          </a:r>
        </a:p>
      </xdr:txBody>
    </xdr:sp>
    <xdr:clientData/>
  </xdr:twoCellAnchor>
  <xdr:twoCellAnchor>
    <xdr:from>
      <xdr:col>15</xdr:col>
      <xdr:colOff>233361</xdr:colOff>
      <xdr:row>20</xdr:row>
      <xdr:rowOff>61912</xdr:rowOff>
    </xdr:from>
    <xdr:to>
      <xdr:col>30</xdr:col>
      <xdr:colOff>390524</xdr:colOff>
      <xdr:row>34</xdr:row>
      <xdr:rowOff>138112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233361</xdr:colOff>
      <xdr:row>37</xdr:row>
      <xdr:rowOff>138112</xdr:rowOff>
    </xdr:from>
    <xdr:to>
      <xdr:col>30</xdr:col>
      <xdr:colOff>342900</xdr:colOff>
      <xdr:row>52</xdr:row>
      <xdr:rowOff>23812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3.Rate%20Difference%20between%20Big%20Lenders%20and%20Small%20Lenders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Lien%20Workspace\12.Primary%20Market%20Package\1.Daily%20Originator%20Mortgage%20Rate\Originator%20Mortgage%20Rate%20-%200318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Input-equal"/>
      <sheetName val="LoanLevel"/>
      <sheetName val="LLwithCondition"/>
    </sheetNames>
    <sheetDataSet>
      <sheetData sheetId="0">
        <row r="2">
          <cell r="U2">
            <v>42132</v>
          </cell>
        </row>
        <row r="3">
          <cell r="U3" t="str">
            <v>S:\IT\Production\Daily Reports\Primary Market\tmp\</v>
          </cell>
        </row>
        <row r="12">
          <cell r="U12">
            <v>37773</v>
          </cell>
        </row>
      </sheetData>
      <sheetData sheetId="1"/>
      <sheetData sheetId="2"/>
      <sheetData sheetId="3">
        <row r="3">
          <cell r="C3" t="str">
            <v>Big Bank</v>
          </cell>
          <cell r="D3" t="str">
            <v>Big Non-Bank</v>
          </cell>
          <cell r="E3" t="str">
            <v>Small Lender</v>
          </cell>
        </row>
        <row r="4">
          <cell r="B4">
            <v>42156</v>
          </cell>
          <cell r="C4">
            <v>4.2814568652573097</v>
          </cell>
          <cell r="D4">
            <v>4.0686507646154899</v>
          </cell>
          <cell r="E4">
            <v>4.0561251713544104</v>
          </cell>
          <cell r="F4">
            <v>0.21280610064181982</v>
          </cell>
          <cell r="G4">
            <v>0.22533169390289931</v>
          </cell>
        </row>
        <row r="5">
          <cell r="B5">
            <v>42125</v>
          </cell>
          <cell r="C5">
            <v>4.1497341953507201</v>
          </cell>
          <cell r="D5">
            <v>4.0642555362097301</v>
          </cell>
          <cell r="E5">
            <v>3.9762475049440198</v>
          </cell>
          <cell r="F5">
            <v>8.5478659140989954E-2</v>
          </cell>
          <cell r="G5">
            <v>0.17348669040670028</v>
          </cell>
        </row>
        <row r="6">
          <cell r="B6">
            <v>42095</v>
          </cell>
          <cell r="C6">
            <v>3.9762156604078802</v>
          </cell>
          <cell r="D6">
            <v>4.0277059899699301</v>
          </cell>
          <cell r="E6">
            <v>3.9282028775760498</v>
          </cell>
          <cell r="F6">
            <v>-5.1490329562049908E-2</v>
          </cell>
          <cell r="G6">
            <v>4.8012782831830414E-2</v>
          </cell>
        </row>
        <row r="7">
          <cell r="B7">
            <v>42064</v>
          </cell>
          <cell r="C7">
            <v>4.1156717681475801</v>
          </cell>
          <cell r="D7">
            <v>4.0516131888317304</v>
          </cell>
          <cell r="E7">
            <v>3.9320396187248101</v>
          </cell>
          <cell r="F7">
            <v>6.4058579315849684E-2</v>
          </cell>
          <cell r="G7">
            <v>0.18363214942276995</v>
          </cell>
        </row>
        <row r="8">
          <cell r="B8">
            <v>42036</v>
          </cell>
          <cell r="C8">
            <v>4.2616069792633198</v>
          </cell>
          <cell r="D8">
            <v>4.1799260938571896</v>
          </cell>
          <cell r="E8">
            <v>4.1049873604232801</v>
          </cell>
          <cell r="F8">
            <v>8.1680885406130166E-2</v>
          </cell>
          <cell r="G8">
            <v>0.15661961884003972</v>
          </cell>
        </row>
        <row r="9">
          <cell r="B9">
            <v>42005</v>
          </cell>
          <cell r="C9">
            <v>4.3286198758944696</v>
          </cell>
          <cell r="D9">
            <v>4.29507902652733</v>
          </cell>
          <cell r="E9">
            <v>4.2149770950800001</v>
          </cell>
          <cell r="F9">
            <v>3.3540849367139636E-2</v>
          </cell>
          <cell r="G9">
            <v>0.11364278081446955</v>
          </cell>
        </row>
        <row r="10">
          <cell r="B10">
            <v>41974</v>
          </cell>
          <cell r="C10">
            <v>4.4668929370465698</v>
          </cell>
          <cell r="D10">
            <v>4.3614534485438199</v>
          </cell>
          <cell r="E10">
            <v>4.2823710809759499</v>
          </cell>
          <cell r="F10">
            <v>0.10543948850274987</v>
          </cell>
          <cell r="G10">
            <v>0.18452185607061988</v>
          </cell>
        </row>
        <row r="11">
          <cell r="B11">
            <v>41944</v>
          </cell>
          <cell r="C11">
            <v>4.7049313458332698</v>
          </cell>
          <cell r="D11">
            <v>4.4669266317103196</v>
          </cell>
          <cell r="E11">
            <v>4.3555208650457802</v>
          </cell>
          <cell r="F11">
            <v>0.23800471412295021</v>
          </cell>
          <cell r="G11">
            <v>0.3494104807874896</v>
          </cell>
        </row>
        <row r="12">
          <cell r="B12">
            <v>41913</v>
          </cell>
          <cell r="C12">
            <v>4.4490704943226804</v>
          </cell>
          <cell r="D12">
            <v>4.4759398824380998</v>
          </cell>
          <cell r="E12">
            <v>4.3973010870007103</v>
          </cell>
          <cell r="F12">
            <v>-2.686938811541939E-2</v>
          </cell>
          <cell r="G12">
            <v>5.1769407321970107E-2</v>
          </cell>
        </row>
        <row r="13">
          <cell r="B13">
            <v>41883</v>
          </cell>
          <cell r="C13">
            <v>4.4536976926398104</v>
          </cell>
          <cell r="D13">
            <v>4.50690906458677</v>
          </cell>
          <cell r="E13">
            <v>4.3669489809585196</v>
          </cell>
          <cell r="F13">
            <v>-5.3211371946959574E-2</v>
          </cell>
          <cell r="G13">
            <v>8.6748711681290835E-2</v>
          </cell>
        </row>
        <row r="14">
          <cell r="B14">
            <v>41852</v>
          </cell>
          <cell r="C14">
            <v>4.4745700811097597</v>
          </cell>
          <cell r="D14">
            <v>4.5211881324073904</v>
          </cell>
          <cell r="E14">
            <v>4.4174894237425599</v>
          </cell>
          <cell r="F14">
            <v>-4.6618051297630636E-2</v>
          </cell>
          <cell r="G14">
            <v>5.7080657367199805E-2</v>
          </cell>
        </row>
        <row r="15">
          <cell r="B15">
            <v>41821</v>
          </cell>
          <cell r="C15">
            <v>4.6155240570251399</v>
          </cell>
          <cell r="D15">
            <v>4.5436109646790204</v>
          </cell>
          <cell r="E15">
            <v>4.4428648016081</v>
          </cell>
          <cell r="F15">
            <v>7.1913092346119534E-2</v>
          </cell>
          <cell r="G15">
            <v>0.17265925541703986</v>
          </cell>
        </row>
        <row r="16">
          <cell r="B16">
            <v>41791</v>
          </cell>
          <cell r="C16">
            <v>4.6457399086433897</v>
          </cell>
          <cell r="D16">
            <v>4.6392985360140004</v>
          </cell>
          <cell r="E16">
            <v>4.5499580654746996</v>
          </cell>
          <cell r="F16">
            <v>6.4413726293892637E-3</v>
          </cell>
          <cell r="G16">
            <v>9.5781843168690095E-2</v>
          </cell>
        </row>
        <row r="17">
          <cell r="B17">
            <v>41760</v>
          </cell>
          <cell r="C17">
            <v>4.6332822318684102</v>
          </cell>
          <cell r="D17">
            <v>4.6819615889319897</v>
          </cell>
          <cell r="E17">
            <v>4.5766765568888301</v>
          </cell>
          <cell r="F17">
            <v>-4.8679357063579509E-2</v>
          </cell>
          <cell r="G17">
            <v>5.6605674979580023E-2</v>
          </cell>
        </row>
        <row r="18">
          <cell r="B18">
            <v>41730</v>
          </cell>
          <cell r="C18">
            <v>4.6407670714703801</v>
          </cell>
          <cell r="D18">
            <v>4.6955468117550598</v>
          </cell>
          <cell r="E18">
            <v>4.5955650821670497</v>
          </cell>
          <cell r="F18">
            <v>-5.477974028467969E-2</v>
          </cell>
          <cell r="G18">
            <v>4.5201989303330414E-2</v>
          </cell>
        </row>
        <row r="19">
          <cell r="B19">
            <v>41699</v>
          </cell>
          <cell r="C19">
            <v>4.73263952671212</v>
          </cell>
          <cell r="D19">
            <v>4.7366032886628702</v>
          </cell>
          <cell r="E19">
            <v>4.6124541798731897</v>
          </cell>
          <cell r="F19">
            <v>-3.9637619507502109E-3</v>
          </cell>
          <cell r="G19">
            <v>0.12018534683893023</v>
          </cell>
        </row>
        <row r="20">
          <cell r="B20">
            <v>41671</v>
          </cell>
          <cell r="C20">
            <v>4.6536719492279799</v>
          </cell>
          <cell r="D20">
            <v>4.7295954340305402</v>
          </cell>
          <cell r="E20">
            <v>4.6047579940496401</v>
          </cell>
          <cell r="F20">
            <v>-7.5923484802560282E-2</v>
          </cell>
          <cell r="G20">
            <v>4.8913955178339741E-2</v>
          </cell>
        </row>
        <row r="21">
          <cell r="B21">
            <v>41640</v>
          </cell>
          <cell r="C21">
            <v>4.5895646237737804</v>
          </cell>
          <cell r="D21">
            <v>4.6121976997306398</v>
          </cell>
          <cell r="E21">
            <v>4.5423720637683003</v>
          </cell>
          <cell r="F21">
            <v>-2.2633075956859372E-2</v>
          </cell>
          <cell r="G21">
            <v>4.7192560005480111E-2</v>
          </cell>
        </row>
        <row r="22">
          <cell r="B22">
            <v>41609</v>
          </cell>
          <cell r="C22">
            <v>4.61920026135369</v>
          </cell>
          <cell r="D22">
            <v>4.5903276122072301</v>
          </cell>
          <cell r="E22">
            <v>4.4856529453012701</v>
          </cell>
          <cell r="F22">
            <v>2.8872649146459928E-2</v>
          </cell>
          <cell r="G22">
            <v>0.13354731605241987</v>
          </cell>
        </row>
        <row r="23">
          <cell r="B23">
            <v>41579</v>
          </cell>
          <cell r="C23">
            <v>4.6747178236477502</v>
          </cell>
          <cell r="D23">
            <v>4.6286520450176498</v>
          </cell>
          <cell r="E23">
            <v>4.5931885852676899</v>
          </cell>
          <cell r="F23">
            <v>4.6065778630100418E-2</v>
          </cell>
          <cell r="G23">
            <v>8.152923838006032E-2</v>
          </cell>
        </row>
        <row r="24">
          <cell r="B24">
            <v>41548</v>
          </cell>
          <cell r="C24">
            <v>4.5862204451268598</v>
          </cell>
          <cell r="D24">
            <v>4.6690205639464004</v>
          </cell>
          <cell r="E24">
            <v>4.6448965055844003</v>
          </cell>
          <cell r="F24">
            <v>-8.2800118819540636E-2</v>
          </cell>
          <cell r="G24">
            <v>-5.867606045754048E-2</v>
          </cell>
        </row>
        <row r="25">
          <cell r="B25">
            <v>41518</v>
          </cell>
          <cell r="C25">
            <v>4.2507659645031097</v>
          </cell>
          <cell r="D25">
            <v>4.5745696530370399</v>
          </cell>
          <cell r="E25">
            <v>4.4868701789443204</v>
          </cell>
          <cell r="F25">
            <v>-0.32380368853393016</v>
          </cell>
          <cell r="G25">
            <v>-0.23610421444121066</v>
          </cell>
        </row>
        <row r="26">
          <cell r="B26">
            <v>41487</v>
          </cell>
          <cell r="C26">
            <v>3.9491096805015098</v>
          </cell>
          <cell r="D26">
            <v>4.2447480399268001</v>
          </cell>
          <cell r="E26">
            <v>4.1904757607515801</v>
          </cell>
          <cell r="F26">
            <v>-0.29563835942529026</v>
          </cell>
          <cell r="G26">
            <v>-0.24136608025007034</v>
          </cell>
        </row>
        <row r="27">
          <cell r="B27">
            <v>41456</v>
          </cell>
          <cell r="C27">
            <v>3.8211445865321001</v>
          </cell>
          <cell r="D27">
            <v>3.8919528668798899</v>
          </cell>
          <cell r="E27">
            <v>3.8614924384028302</v>
          </cell>
          <cell r="F27">
            <v>-7.0808280347789854E-2</v>
          </cell>
          <cell r="G27">
            <v>-4.0347851870730089E-2</v>
          </cell>
        </row>
        <row r="28">
          <cell r="B28">
            <v>41426</v>
          </cell>
          <cell r="C28">
            <v>3.8062802293370401</v>
          </cell>
          <cell r="D28">
            <v>3.7793401133038</v>
          </cell>
          <cell r="E28">
            <v>3.7594762587358401</v>
          </cell>
          <cell r="F28">
            <v>2.6940116033240091E-2</v>
          </cell>
          <cell r="G28">
            <v>4.6803970601200007E-2</v>
          </cell>
        </row>
        <row r="29">
          <cell r="B29">
            <v>41395</v>
          </cell>
          <cell r="C29">
            <v>3.9283481871750499</v>
          </cell>
          <cell r="D29">
            <v>3.80303948125629</v>
          </cell>
          <cell r="E29">
            <v>3.7579848918707599</v>
          </cell>
          <cell r="F29">
            <v>0.12530870591875987</v>
          </cell>
          <cell r="G29">
            <v>0.17036329530428995</v>
          </cell>
        </row>
        <row r="30">
          <cell r="B30">
            <v>41365</v>
          </cell>
          <cell r="C30">
            <v>3.8038767498904398</v>
          </cell>
          <cell r="D30">
            <v>3.80364044849131</v>
          </cell>
          <cell r="E30">
            <v>3.7233882877985902</v>
          </cell>
          <cell r="F30">
            <v>2.363013991297791E-4</v>
          </cell>
          <cell r="G30">
            <v>8.0488462091849566E-2</v>
          </cell>
        </row>
        <row r="31">
          <cell r="B31">
            <v>41334</v>
          </cell>
          <cell r="C31">
            <v>3.69926642416794</v>
          </cell>
          <cell r="D31">
            <v>3.7542129023702202</v>
          </cell>
          <cell r="E31">
            <v>3.6572873433600201</v>
          </cell>
          <cell r="F31">
            <v>-5.4946478202280158E-2</v>
          </cell>
          <cell r="G31">
            <v>4.19790808079199E-2</v>
          </cell>
        </row>
        <row r="32">
          <cell r="B32">
            <v>41306</v>
          </cell>
          <cell r="C32">
            <v>3.63325349969457</v>
          </cell>
          <cell r="D32">
            <v>3.6053486298375601</v>
          </cell>
          <cell r="E32">
            <v>3.58160500208843</v>
          </cell>
          <cell r="F32">
            <v>2.7904869857009906E-2</v>
          </cell>
          <cell r="G32">
            <v>5.1648497606139987E-2</v>
          </cell>
        </row>
        <row r="33">
          <cell r="B33">
            <v>41275</v>
          </cell>
          <cell r="C33">
            <v>3.7531777758654599</v>
          </cell>
          <cell r="D33">
            <v>3.61383049302919</v>
          </cell>
          <cell r="E33">
            <v>3.5617646791317901</v>
          </cell>
          <cell r="F33">
            <v>0.13934728283626985</v>
          </cell>
          <cell r="G33">
            <v>0.1914130967336698</v>
          </cell>
        </row>
        <row r="34">
          <cell r="B34">
            <v>41244</v>
          </cell>
          <cell r="C34">
            <v>3.7529169822709099</v>
          </cell>
          <cell r="D34">
            <v>3.6787505408074899</v>
          </cell>
          <cell r="E34">
            <v>3.56765547891264</v>
          </cell>
          <cell r="F34">
            <v>7.4166441463419996E-2</v>
          </cell>
          <cell r="G34">
            <v>0.18526150335826985</v>
          </cell>
        </row>
        <row r="35">
          <cell r="B35">
            <v>41214</v>
          </cell>
          <cell r="C35">
            <v>3.8270042987425001</v>
          </cell>
          <cell r="D35">
            <v>3.7165128808085699</v>
          </cell>
          <cell r="E35">
            <v>3.6357269037879698</v>
          </cell>
          <cell r="F35">
            <v>0.11049141793393025</v>
          </cell>
          <cell r="G35">
            <v>0.19127739495453033</v>
          </cell>
        </row>
        <row r="36">
          <cell r="B36">
            <v>41183</v>
          </cell>
          <cell r="C36">
            <v>3.8503675120790701</v>
          </cell>
          <cell r="D36">
            <v>3.8126189038843799</v>
          </cell>
          <cell r="E36">
            <v>3.7556527877728501</v>
          </cell>
          <cell r="F36">
            <v>3.7748608194690281E-2</v>
          </cell>
          <cell r="G36">
            <v>9.4714724306220077E-2</v>
          </cell>
        </row>
        <row r="37">
          <cell r="B37">
            <v>41153</v>
          </cell>
          <cell r="C37">
            <v>3.9015765798451199</v>
          </cell>
          <cell r="D37">
            <v>3.8442939134793499</v>
          </cell>
          <cell r="E37">
            <v>3.8328685818010499</v>
          </cell>
          <cell r="F37">
            <v>5.7282666365769952E-2</v>
          </cell>
          <cell r="G37">
            <v>6.8707998044069907E-2</v>
          </cell>
        </row>
        <row r="38">
          <cell r="B38">
            <v>41122</v>
          </cell>
          <cell r="C38">
            <v>4.0168085289684097</v>
          </cell>
          <cell r="D38">
            <v>3.9188893390305402</v>
          </cell>
          <cell r="E38">
            <v>3.84847397972475</v>
          </cell>
          <cell r="F38">
            <v>9.7919189937869522E-2</v>
          </cell>
          <cell r="G38">
            <v>0.16833454924365965</v>
          </cell>
        </row>
        <row r="39">
          <cell r="B39">
            <v>41091</v>
          </cell>
          <cell r="C39">
            <v>4.1313460757178397</v>
          </cell>
          <cell r="D39">
            <v>4.0210240278428504</v>
          </cell>
          <cell r="E39">
            <v>3.9915397167780799</v>
          </cell>
          <cell r="F39">
            <v>0.11032204787498934</v>
          </cell>
          <cell r="G39">
            <v>0.13980635893975979</v>
          </cell>
        </row>
        <row r="40">
          <cell r="B40">
            <v>41061</v>
          </cell>
          <cell r="C40">
            <v>4.3125175098783002</v>
          </cell>
          <cell r="D40">
            <v>4.0942294802658896</v>
          </cell>
          <cell r="E40">
            <v>4.0796072104057002</v>
          </cell>
          <cell r="F40">
            <v>0.21828802961241056</v>
          </cell>
          <cell r="G40">
            <v>0.2329102994726</v>
          </cell>
        </row>
        <row r="41">
          <cell r="B41">
            <v>41030</v>
          </cell>
          <cell r="C41">
            <v>4.1556151382690096</v>
          </cell>
          <cell r="D41">
            <v>4.17333271294269</v>
          </cell>
          <cell r="E41">
            <v>4.0951346139394103</v>
          </cell>
          <cell r="F41">
            <v>-1.7717574673680403E-2</v>
          </cell>
          <cell r="G41">
            <v>6.0480524329599383E-2</v>
          </cell>
        </row>
        <row r="42">
          <cell r="B42">
            <v>41000</v>
          </cell>
          <cell r="C42">
            <v>4.1739330968867403</v>
          </cell>
          <cell r="D42">
            <v>4.1092129545932403</v>
          </cell>
          <cell r="E42">
            <v>4.0552340372442899</v>
          </cell>
          <cell r="F42">
            <v>6.4720142293499983E-2</v>
          </cell>
          <cell r="G42">
            <v>0.11869905964245042</v>
          </cell>
        </row>
        <row r="43">
          <cell r="B43">
            <v>40969</v>
          </cell>
          <cell r="C43">
            <v>4.1882604412744202</v>
          </cell>
          <cell r="D43">
            <v>4.1549008131127501</v>
          </cell>
          <cell r="E43">
            <v>4.0730557594336103</v>
          </cell>
          <cell r="F43">
            <v>3.3359628161670152E-2</v>
          </cell>
          <cell r="G43">
            <v>0.1152046818408099</v>
          </cell>
        </row>
        <row r="44">
          <cell r="B44">
            <v>40940</v>
          </cell>
          <cell r="C44">
            <v>4.2765226382154298</v>
          </cell>
          <cell r="D44">
            <v>4.2256085430486303</v>
          </cell>
          <cell r="E44">
            <v>4.1302566229502302</v>
          </cell>
          <cell r="F44">
            <v>5.0914095166799456E-2</v>
          </cell>
          <cell r="G44">
            <v>0.14626601526519956</v>
          </cell>
        </row>
        <row r="45">
          <cell r="B45">
            <v>40909</v>
          </cell>
          <cell r="C45">
            <v>4.3227644059747696</v>
          </cell>
          <cell r="D45">
            <v>4.33310028406291</v>
          </cell>
          <cell r="E45">
            <v>4.2152473802194796</v>
          </cell>
          <cell r="F45">
            <v>-1.0335878088140404E-2</v>
          </cell>
          <cell r="G45">
            <v>0.10751702575528999</v>
          </cell>
        </row>
        <row r="46">
          <cell r="B46">
            <v>40878</v>
          </cell>
          <cell r="C46">
            <v>4.3278463437356898</v>
          </cell>
          <cell r="D46">
            <v>4.2673548758431599</v>
          </cell>
          <cell r="E46">
            <v>4.2221592290878203</v>
          </cell>
          <cell r="F46">
            <v>6.0491467892529904E-2</v>
          </cell>
          <cell r="G46">
            <v>0.10568711464786951</v>
          </cell>
        </row>
        <row r="47">
          <cell r="B47">
            <v>40848</v>
          </cell>
          <cell r="C47">
            <v>4.4491338596756798</v>
          </cell>
          <cell r="D47">
            <v>4.34694600021336</v>
          </cell>
          <cell r="E47">
            <v>4.2804118399340396</v>
          </cell>
          <cell r="F47">
            <v>0.10218785946231979</v>
          </cell>
          <cell r="G47">
            <v>0.16872201974164014</v>
          </cell>
        </row>
        <row r="48">
          <cell r="B48">
            <v>40817</v>
          </cell>
          <cell r="C48">
            <v>4.5669157311845598</v>
          </cell>
          <cell r="D48">
            <v>4.4539225851543804</v>
          </cell>
          <cell r="E48">
            <v>4.3601827778140496</v>
          </cell>
          <cell r="F48">
            <v>0.1129931460301794</v>
          </cell>
          <cell r="G48">
            <v>0.20673295337051023</v>
          </cell>
        </row>
        <row r="49">
          <cell r="B49">
            <v>40787</v>
          </cell>
          <cell r="C49">
            <v>4.8218941601059599</v>
          </cell>
          <cell r="D49">
            <v>4.74605707840702</v>
          </cell>
          <cell r="E49">
            <v>4.5906352698938502</v>
          </cell>
          <cell r="F49">
            <v>7.583708169893999E-2</v>
          </cell>
          <cell r="G49">
            <v>0.23125889021210977</v>
          </cell>
        </row>
        <row r="50">
          <cell r="B50">
            <v>40756</v>
          </cell>
          <cell r="C50">
            <v>4.9368701544670603</v>
          </cell>
          <cell r="D50">
            <v>4.77017791678142</v>
          </cell>
          <cell r="E50">
            <v>4.7660299889469897</v>
          </cell>
          <cell r="F50">
            <v>0.16669223768564034</v>
          </cell>
          <cell r="G50">
            <v>0.17084016552007064</v>
          </cell>
        </row>
        <row r="51">
          <cell r="B51">
            <v>40725</v>
          </cell>
          <cell r="C51">
            <v>4.9621704900752599</v>
          </cell>
          <cell r="D51">
            <v>4.9444954687776601</v>
          </cell>
          <cell r="E51">
            <v>4.8542933668009498</v>
          </cell>
          <cell r="F51">
            <v>1.7675021297599791E-2</v>
          </cell>
          <cell r="G51">
            <v>0.10787712327431009</v>
          </cell>
        </row>
        <row r="52">
          <cell r="B52">
            <v>40695</v>
          </cell>
          <cell r="C52">
            <v>5.11213707449979</v>
          </cell>
          <cell r="D52">
            <v>5.0106522497190102</v>
          </cell>
          <cell r="E52">
            <v>4.95904409974725</v>
          </cell>
          <cell r="F52">
            <v>0.1014848247807798</v>
          </cell>
          <cell r="G52">
            <v>0.15309297475254002</v>
          </cell>
        </row>
        <row r="53">
          <cell r="B53">
            <v>40664</v>
          </cell>
          <cell r="C53">
            <v>5.0898398470488999</v>
          </cell>
          <cell r="D53">
            <v>5.1272066949473798</v>
          </cell>
          <cell r="E53">
            <v>5.0024613921514902</v>
          </cell>
          <cell r="F53">
            <v>-3.7366847898479882E-2</v>
          </cell>
          <cell r="G53">
            <v>8.7378454897409696E-2</v>
          </cell>
        </row>
        <row r="54">
          <cell r="B54">
            <v>40634</v>
          </cell>
          <cell r="C54">
            <v>4.9859301813030701</v>
          </cell>
          <cell r="D54">
            <v>5.1598024386056496</v>
          </cell>
          <cell r="E54">
            <v>4.9197654711748502</v>
          </cell>
          <cell r="F54">
            <v>-0.17387225730257949</v>
          </cell>
          <cell r="G54">
            <v>6.6164710128219895E-2</v>
          </cell>
        </row>
        <row r="55">
          <cell r="B55">
            <v>40603</v>
          </cell>
          <cell r="C55">
            <v>4.8078077345350003</v>
          </cell>
          <cell r="D55">
            <v>4.9744173256000304</v>
          </cell>
          <cell r="E55">
            <v>4.8488406302649203</v>
          </cell>
          <cell r="F55">
            <v>-0.16660959106503004</v>
          </cell>
          <cell r="G55">
            <v>-4.1032895729919971E-2</v>
          </cell>
        </row>
        <row r="56">
          <cell r="B56">
            <v>40575</v>
          </cell>
          <cell r="C56">
            <v>4.57035078861953</v>
          </cell>
          <cell r="D56">
            <v>4.7009443977877297</v>
          </cell>
          <cell r="E56">
            <v>4.6256668706208099</v>
          </cell>
          <cell r="F56">
            <v>-0.13059360916819962</v>
          </cell>
          <cell r="G56">
            <v>-5.5316082001279909E-2</v>
          </cell>
        </row>
        <row r="57">
          <cell r="B57">
            <v>40544</v>
          </cell>
          <cell r="C57">
            <v>4.47777180912228</v>
          </cell>
          <cell r="D57">
            <v>4.5086726559339203</v>
          </cell>
          <cell r="E57">
            <v>4.4727380652121402</v>
          </cell>
          <cell r="F57">
            <v>-3.0900846811640292E-2</v>
          </cell>
          <cell r="G57">
            <v>5.0337439101397763E-3</v>
          </cell>
        </row>
        <row r="58">
          <cell r="B58">
            <v>40513</v>
          </cell>
          <cell r="C58">
            <v>4.5070489226462804</v>
          </cell>
          <cell r="D58">
            <v>4.3965985586797096</v>
          </cell>
          <cell r="E58">
            <v>4.4263113947291099</v>
          </cell>
          <cell r="F58">
            <v>0.11045036396657082</v>
          </cell>
          <cell r="G58">
            <v>8.0737527917170482E-2</v>
          </cell>
        </row>
        <row r="59">
          <cell r="B59">
            <v>40483</v>
          </cell>
          <cell r="C59">
            <v>4.6242812881039903</v>
          </cell>
          <cell r="D59">
            <v>4.5257030510575804</v>
          </cell>
          <cell r="E59">
            <v>4.46808288934138</v>
          </cell>
          <cell r="F59">
            <v>9.8578237046409889E-2</v>
          </cell>
          <cell r="G59">
            <v>0.15619839876261032</v>
          </cell>
        </row>
        <row r="60">
          <cell r="B60">
            <v>40452</v>
          </cell>
          <cell r="C60">
            <v>4.6829538502499499</v>
          </cell>
          <cell r="D60">
            <v>4.6295395373089496</v>
          </cell>
          <cell r="E60">
            <v>4.5241107366993702</v>
          </cell>
          <cell r="F60">
            <v>5.3414312941000297E-2</v>
          </cell>
          <cell r="G60">
            <v>0.15884311355057967</v>
          </cell>
        </row>
        <row r="61">
          <cell r="B61">
            <v>40422</v>
          </cell>
          <cell r="C61">
            <v>4.7967452175748404</v>
          </cell>
          <cell r="D61">
            <v>4.7233472303049897</v>
          </cell>
          <cell r="E61">
            <v>4.6422108273695404</v>
          </cell>
          <cell r="F61">
            <v>7.3397987269850695E-2</v>
          </cell>
          <cell r="G61">
            <v>0.15453439020530002</v>
          </cell>
        </row>
        <row r="62">
          <cell r="B62">
            <v>40391</v>
          </cell>
          <cell r="C62">
            <v>4.9665212100368699</v>
          </cell>
          <cell r="D62">
            <v>4.9026518418762004</v>
          </cell>
          <cell r="E62">
            <v>4.7850141216470501</v>
          </cell>
          <cell r="F62">
            <v>6.386936816066946E-2</v>
          </cell>
          <cell r="G62">
            <v>0.18150708838981977</v>
          </cell>
        </row>
        <row r="63">
          <cell r="B63">
            <v>40360</v>
          </cell>
          <cell r="C63">
            <v>5.1335206483369902</v>
          </cell>
          <cell r="D63">
            <v>5.2044462933785898</v>
          </cell>
          <cell r="E63">
            <v>5.0279533756399903</v>
          </cell>
          <cell r="F63">
            <v>-7.0925645041599594E-2</v>
          </cell>
          <cell r="G63">
            <v>0.10556727269699984</v>
          </cell>
        </row>
        <row r="64">
          <cell r="B64">
            <v>40330</v>
          </cell>
          <cell r="C64">
            <v>5.1970539533687603</v>
          </cell>
          <cell r="D64">
            <v>5.2384048241764596</v>
          </cell>
          <cell r="E64">
            <v>5.1463617792058498</v>
          </cell>
          <cell r="F64">
            <v>-4.135087080769928E-2</v>
          </cell>
          <cell r="G64">
            <v>5.0692174162910497E-2</v>
          </cell>
        </row>
        <row r="65">
          <cell r="B65">
            <v>40299</v>
          </cell>
          <cell r="C65">
            <v>5.1822039110491298</v>
          </cell>
          <cell r="D65">
            <v>5.1723318777901603</v>
          </cell>
          <cell r="E65">
            <v>5.1203829978817703</v>
          </cell>
          <cell r="F65">
            <v>9.8720332589694593E-3</v>
          </cell>
          <cell r="G65">
            <v>6.1820913167359492E-2</v>
          </cell>
        </row>
        <row r="66">
          <cell r="B66">
            <v>40269</v>
          </cell>
          <cell r="C66">
            <v>5.1143490178859601</v>
          </cell>
          <cell r="D66">
            <v>5.2625221084983602</v>
          </cell>
          <cell r="E66">
            <v>5.1197191823873904</v>
          </cell>
          <cell r="F66">
            <v>-0.14817309061240014</v>
          </cell>
          <cell r="G66">
            <v>-5.3701645014303523E-3</v>
          </cell>
        </row>
        <row r="67">
          <cell r="B67">
            <v>40238</v>
          </cell>
          <cell r="C67">
            <v>5.0940064737528603</v>
          </cell>
          <cell r="D67">
            <v>5.1536480736346402</v>
          </cell>
          <cell r="E67">
            <v>5.0761830844653897</v>
          </cell>
          <cell r="F67">
            <v>-5.9641599881779861E-2</v>
          </cell>
          <cell r="G67">
            <v>1.7823389287470626E-2</v>
          </cell>
        </row>
        <row r="68">
          <cell r="B68">
            <v>40210</v>
          </cell>
          <cell r="C68">
            <v>5.0325290775223701</v>
          </cell>
          <cell r="D68">
            <v>5.0033117888577898</v>
          </cell>
          <cell r="E68">
            <v>5.0031136856172704</v>
          </cell>
          <cell r="F68">
            <v>2.9217288664580288E-2</v>
          </cell>
          <cell r="G68">
            <v>2.9415391905099675E-2</v>
          </cell>
        </row>
        <row r="69">
          <cell r="B69">
            <v>40179</v>
          </cell>
          <cell r="C69">
            <v>5.0819040507103104</v>
          </cell>
          <cell r="D69">
            <v>5.0607206510651999</v>
          </cell>
          <cell r="E69">
            <v>5.0065109001000803</v>
          </cell>
          <cell r="F69">
            <v>2.1183399645110512E-2</v>
          </cell>
          <cell r="G69">
            <v>7.5393150610230109E-2</v>
          </cell>
        </row>
        <row r="70">
          <cell r="B70">
            <v>40148</v>
          </cell>
          <cell r="C70">
            <v>5.0601004655389001</v>
          </cell>
          <cell r="D70">
            <v>5.0894250837878499</v>
          </cell>
          <cell r="E70">
            <v>5.0281029458344397</v>
          </cell>
          <cell r="F70">
            <v>-2.9324618248949719E-2</v>
          </cell>
          <cell r="G70">
            <v>3.1997519704460409E-2</v>
          </cell>
        </row>
        <row r="71">
          <cell r="B71">
            <v>40118</v>
          </cell>
          <cell r="C71">
            <v>5.1270693264062697</v>
          </cell>
          <cell r="D71">
            <v>5.0526037520760498</v>
          </cell>
          <cell r="E71">
            <v>5.1209082438209101</v>
          </cell>
          <cell r="F71">
            <v>7.446557433021983E-2</v>
          </cell>
          <cell r="G71">
            <v>6.161082585359523E-3</v>
          </cell>
        </row>
        <row r="72">
          <cell r="B72">
            <v>40087</v>
          </cell>
          <cell r="C72">
            <v>5.0436840369302098</v>
          </cell>
          <cell r="D72">
            <v>5.2545075049288199</v>
          </cell>
          <cell r="E72">
            <v>5.2362539252109102</v>
          </cell>
          <cell r="F72">
            <v>-0.21082346799861007</v>
          </cell>
          <cell r="G72">
            <v>-0.19256988828070032</v>
          </cell>
        </row>
        <row r="73">
          <cell r="B73">
            <v>40057</v>
          </cell>
          <cell r="C73">
            <v>5.0708901929194203</v>
          </cell>
          <cell r="D73">
            <v>5.3101678904135801</v>
          </cell>
          <cell r="E73">
            <v>5.3883722712743003</v>
          </cell>
          <cell r="F73">
            <v>-0.23927769749415972</v>
          </cell>
          <cell r="G73">
            <v>-0.31748207835487996</v>
          </cell>
        </row>
        <row r="74">
          <cell r="B74">
            <v>40026</v>
          </cell>
          <cell r="C74">
            <v>4.9170217745910296</v>
          </cell>
          <cell r="D74">
            <v>5.0901129423818601</v>
          </cell>
          <cell r="E74">
            <v>5.0821268609385104</v>
          </cell>
          <cell r="F74">
            <v>-0.17309116779083045</v>
          </cell>
          <cell r="G74">
            <v>-0.16510508634748078</v>
          </cell>
        </row>
        <row r="75">
          <cell r="B75">
            <v>39995</v>
          </cell>
          <cell r="C75">
            <v>4.8347262351269</v>
          </cell>
          <cell r="D75">
            <v>4.9031303299357702</v>
          </cell>
          <cell r="E75">
            <v>4.9194447639263403</v>
          </cell>
          <cell r="F75">
            <v>-6.8404094808870219E-2</v>
          </cell>
          <cell r="G75">
            <v>-8.4718528799440307E-2</v>
          </cell>
        </row>
        <row r="76">
          <cell r="B76">
            <v>39965</v>
          </cell>
          <cell r="C76">
            <v>4.8436569444591697</v>
          </cell>
          <cell r="D76">
            <v>5.02641150947629</v>
          </cell>
          <cell r="E76">
            <v>5.0433127624664502</v>
          </cell>
          <cell r="F76">
            <v>-0.18275456501712029</v>
          </cell>
          <cell r="G76">
            <v>-0.19965581800728049</v>
          </cell>
        </row>
        <row r="77">
          <cell r="B77">
            <v>39934</v>
          </cell>
          <cell r="C77">
            <v>5.0053142767531096</v>
          </cell>
          <cell r="D77">
            <v>5.5034726021122697</v>
          </cell>
          <cell r="E77">
            <v>5.4341002241852001</v>
          </cell>
          <cell r="F77">
            <v>-0.49815832535916016</v>
          </cell>
          <cell r="G77">
            <v>-0.42878594743209053</v>
          </cell>
        </row>
        <row r="78">
          <cell r="B78">
            <v>39904</v>
          </cell>
          <cell r="C78">
            <v>4.9033025170080702</v>
          </cell>
          <cell r="D78">
            <v>4.9790307716941102</v>
          </cell>
          <cell r="E78">
            <v>4.95152249298161</v>
          </cell>
          <cell r="F78">
            <v>-7.5728254686040053E-2</v>
          </cell>
          <cell r="G78">
            <v>-4.8219975973539775E-2</v>
          </cell>
        </row>
        <row r="79">
          <cell r="B79">
            <v>39873</v>
          </cell>
          <cell r="C79">
            <v>4.9372645695745003</v>
          </cell>
          <cell r="D79">
            <v>4.9859417574931797</v>
          </cell>
          <cell r="E79">
            <v>4.9508646158068697</v>
          </cell>
          <cell r="F79">
            <v>-4.8677187918679365E-2</v>
          </cell>
          <cell r="G79">
            <v>-1.3600046232369323E-2</v>
          </cell>
        </row>
        <row r="80">
          <cell r="B80">
            <v>39845</v>
          </cell>
          <cell r="C80">
            <v>4.9958465711364504</v>
          </cell>
          <cell r="D80">
            <v>4.8140476772344503</v>
          </cell>
          <cell r="E80">
            <v>4.9641054943975496</v>
          </cell>
          <cell r="F80">
            <v>0.1817988939020001</v>
          </cell>
          <cell r="G80">
            <v>3.1741076738900809E-2</v>
          </cell>
        </row>
        <row r="81">
          <cell r="B81">
            <v>39814</v>
          </cell>
          <cell r="C81">
            <v>5.4116982160407501</v>
          </cell>
          <cell r="D81">
            <v>5.5879429462892798</v>
          </cell>
          <cell r="E81">
            <v>5.6622577166640902</v>
          </cell>
          <cell r="F81">
            <v>-0.17624473024852971</v>
          </cell>
          <cell r="G81">
            <v>-0.25055950062334009</v>
          </cell>
        </row>
        <row r="82">
          <cell r="B82">
            <v>39783</v>
          </cell>
          <cell r="C82">
            <v>5.95114825620941</v>
          </cell>
          <cell r="D82">
            <v>6.0305100587502203</v>
          </cell>
          <cell r="E82">
            <v>5.8596863041649598</v>
          </cell>
          <cell r="F82">
            <v>-7.9361802540810267E-2</v>
          </cell>
          <cell r="G82">
            <v>9.1461952044450179E-2</v>
          </cell>
        </row>
        <row r="83">
          <cell r="B83">
            <v>39753</v>
          </cell>
          <cell r="C83">
            <v>6.1086940972447898</v>
          </cell>
          <cell r="D83">
            <v>6.1393205362583698</v>
          </cell>
          <cell r="E83">
            <v>6.0422214557060299</v>
          </cell>
          <cell r="F83">
            <v>-3.0626439013579976E-2</v>
          </cell>
          <cell r="G83">
            <v>6.647264153875998E-2</v>
          </cell>
        </row>
        <row r="84">
          <cell r="B84">
            <v>39722</v>
          </cell>
          <cell r="C84">
            <v>6.1605734440785103</v>
          </cell>
          <cell r="D84">
            <v>6.3360286152089502</v>
          </cell>
          <cell r="E84">
            <v>6.2080239949810698</v>
          </cell>
          <cell r="F84">
            <v>-0.17545517113043996</v>
          </cell>
          <cell r="G84">
            <v>-4.7450550902559563E-2</v>
          </cell>
        </row>
        <row r="85">
          <cell r="B85">
            <v>39692</v>
          </cell>
          <cell r="C85">
            <v>6.3731672691902599</v>
          </cell>
          <cell r="D85">
            <v>6.65090654381852</v>
          </cell>
          <cell r="E85">
            <v>6.4089655022722702</v>
          </cell>
          <cell r="F85">
            <v>-0.27773927462826009</v>
          </cell>
          <cell r="G85">
            <v>-3.5798233082010356E-2</v>
          </cell>
        </row>
        <row r="86">
          <cell r="B86">
            <v>39661</v>
          </cell>
          <cell r="C86">
            <v>6.1738686786969001</v>
          </cell>
          <cell r="D86">
            <v>6.55888596105987</v>
          </cell>
          <cell r="E86">
            <v>6.2387191553264101</v>
          </cell>
          <cell r="F86">
            <v>-0.38501728236296984</v>
          </cell>
          <cell r="G86">
            <v>-6.4850476629509934E-2</v>
          </cell>
        </row>
        <row r="87">
          <cell r="B87">
            <v>39630</v>
          </cell>
          <cell r="C87">
            <v>6.0117805367643102</v>
          </cell>
          <cell r="D87">
            <v>6.5773430662026398</v>
          </cell>
          <cell r="E87">
            <v>6.0218748192218401</v>
          </cell>
          <cell r="F87">
            <v>-0.56556252943832952</v>
          </cell>
          <cell r="G87">
            <v>-1.0094282457529857E-2</v>
          </cell>
        </row>
        <row r="88">
          <cell r="B88">
            <v>39600</v>
          </cell>
          <cell r="C88">
            <v>5.8879216459290902</v>
          </cell>
          <cell r="D88">
            <v>6.031624251497</v>
          </cell>
          <cell r="E88">
            <v>5.9720228438158003</v>
          </cell>
          <cell r="F88">
            <v>-0.14370260556790981</v>
          </cell>
          <cell r="G88">
            <v>-8.4101197886710111E-2</v>
          </cell>
        </row>
        <row r="89">
          <cell r="B89">
            <v>39569</v>
          </cell>
          <cell r="C89">
            <v>5.8042207761092701</v>
          </cell>
          <cell r="D89">
            <v>6.0359561667382797</v>
          </cell>
          <cell r="E89">
            <v>5.8368842036889896</v>
          </cell>
          <cell r="F89">
            <v>-0.23173539062900961</v>
          </cell>
          <cell r="G89">
            <v>-3.2663427579719517E-2</v>
          </cell>
        </row>
        <row r="90">
          <cell r="B90">
            <v>39539</v>
          </cell>
          <cell r="C90">
            <v>5.7637600292244597</v>
          </cell>
          <cell r="D90">
            <v>5.9791683995526803</v>
          </cell>
          <cell r="E90">
            <v>5.7104180355247598</v>
          </cell>
          <cell r="F90">
            <v>-0.21540837032822058</v>
          </cell>
          <cell r="G90">
            <v>5.3341993699699941E-2</v>
          </cell>
        </row>
        <row r="91">
          <cell r="B91">
            <v>39508</v>
          </cell>
          <cell r="C91">
            <v>5.7435418841214796</v>
          </cell>
          <cell r="D91">
            <v>5.9431939282981698</v>
          </cell>
          <cell r="E91">
            <v>5.7260938763857698</v>
          </cell>
          <cell r="F91">
            <v>-0.19965204417669025</v>
          </cell>
          <cell r="G91">
            <v>1.7448007735709758E-2</v>
          </cell>
        </row>
        <row r="92">
          <cell r="B92">
            <v>39479</v>
          </cell>
          <cell r="C92">
            <v>5.9365804213282498</v>
          </cell>
          <cell r="D92">
            <v>6.1433166093110403</v>
          </cell>
          <cell r="E92">
            <v>5.9576782218423299</v>
          </cell>
          <cell r="F92">
            <v>-0.20673618798279048</v>
          </cell>
          <cell r="G92">
            <v>-2.1097800514080056E-2</v>
          </cell>
        </row>
        <row r="93">
          <cell r="B93">
            <v>39448</v>
          </cell>
          <cell r="C93">
            <v>6.1982599615576399</v>
          </cell>
          <cell r="D93">
            <v>6.3152421891756596</v>
          </cell>
          <cell r="E93">
            <v>6.2558018281549401</v>
          </cell>
          <cell r="F93">
            <v>-0.11698222761801969</v>
          </cell>
          <cell r="G93">
            <v>-5.7541866597300206E-2</v>
          </cell>
        </row>
        <row r="94">
          <cell r="B94">
            <v>39417</v>
          </cell>
          <cell r="C94">
            <v>6.3394385012274101</v>
          </cell>
          <cell r="D94">
            <v>6.38327217239536</v>
          </cell>
          <cell r="E94">
            <v>6.3910935421455797</v>
          </cell>
          <cell r="F94">
            <v>-4.3833671167949895E-2</v>
          </cell>
          <cell r="G94">
            <v>-5.1655040918169526E-2</v>
          </cell>
        </row>
        <row r="95">
          <cell r="B95">
            <v>39387</v>
          </cell>
          <cell r="C95">
            <v>6.46532332553672</v>
          </cell>
          <cell r="D95">
            <v>6.4972427317042101</v>
          </cell>
          <cell r="E95">
            <v>6.4735852917291901</v>
          </cell>
          <cell r="F95">
            <v>-3.1919406167490116E-2</v>
          </cell>
          <cell r="G95">
            <v>-8.2619661924701049E-3</v>
          </cell>
        </row>
        <row r="96">
          <cell r="B96">
            <v>39356</v>
          </cell>
          <cell r="C96">
            <v>6.5700777738285403</v>
          </cell>
          <cell r="D96">
            <v>6.6248504403212802</v>
          </cell>
          <cell r="E96">
            <v>6.60761287553479</v>
          </cell>
          <cell r="F96">
            <v>-5.477266649273993E-2</v>
          </cell>
          <cell r="G96">
            <v>-3.7535101706249741E-2</v>
          </cell>
        </row>
        <row r="97">
          <cell r="B97">
            <v>39326</v>
          </cell>
          <cell r="C97">
            <v>6.5991799225757699</v>
          </cell>
          <cell r="D97">
            <v>6.7767987384436097</v>
          </cell>
          <cell r="E97">
            <v>6.6516552376793499</v>
          </cell>
          <cell r="F97">
            <v>-0.17761881586783979</v>
          </cell>
          <cell r="G97">
            <v>-5.2475315103579945E-2</v>
          </cell>
        </row>
        <row r="98">
          <cell r="B98">
            <v>39295</v>
          </cell>
          <cell r="C98">
            <v>6.5467608392706502</v>
          </cell>
          <cell r="D98">
            <v>6.7227397056198903</v>
          </cell>
          <cell r="E98">
            <v>6.5834400513605198</v>
          </cell>
          <cell r="F98">
            <v>-0.17597886634924009</v>
          </cell>
          <cell r="G98">
            <v>-3.6679212089869573E-2</v>
          </cell>
        </row>
        <row r="99">
          <cell r="B99">
            <v>39264</v>
          </cell>
          <cell r="C99">
            <v>6.3439060133520604</v>
          </cell>
          <cell r="D99">
            <v>6.6672712474198104</v>
          </cell>
          <cell r="E99">
            <v>6.3684215365538597</v>
          </cell>
          <cell r="F99">
            <v>-0.32336523406774997</v>
          </cell>
          <cell r="G99">
            <v>-2.4515523201799283E-2</v>
          </cell>
        </row>
        <row r="100">
          <cell r="B100">
            <v>39234</v>
          </cell>
          <cell r="C100">
            <v>6.2438765224041397</v>
          </cell>
          <cell r="D100">
            <v>6.2402690361093898</v>
          </cell>
          <cell r="E100">
            <v>6.2258449290489803</v>
          </cell>
          <cell r="F100">
            <v>3.6074862947499398E-3</v>
          </cell>
          <cell r="G100">
            <v>1.8031593355159359E-2</v>
          </cell>
        </row>
        <row r="101">
          <cell r="B101">
            <v>39203</v>
          </cell>
          <cell r="C101">
            <v>6.1921209476416399</v>
          </cell>
          <cell r="D101">
            <v>6.1389123088444197</v>
          </cell>
          <cell r="E101">
            <v>6.2318888958699299</v>
          </cell>
          <cell r="F101">
            <v>5.3208638797220154E-2</v>
          </cell>
          <cell r="G101">
            <v>-3.9767948228289995E-2</v>
          </cell>
        </row>
        <row r="102">
          <cell r="B102">
            <v>39173</v>
          </cell>
          <cell r="C102">
            <v>6.2324641450380804</v>
          </cell>
          <cell r="D102">
            <v>6.4147007427720597</v>
          </cell>
          <cell r="E102">
            <v>6.3741012932097298</v>
          </cell>
          <cell r="F102">
            <v>-0.18223659773397927</v>
          </cell>
          <cell r="G102">
            <v>-0.14163714817164941</v>
          </cell>
        </row>
        <row r="103">
          <cell r="B103">
            <v>39142</v>
          </cell>
          <cell r="C103">
            <v>6.2398728301374602</v>
          </cell>
          <cell r="D103">
            <v>6.4583574932373802</v>
          </cell>
          <cell r="E103">
            <v>6.2558275704371002</v>
          </cell>
          <cell r="F103">
            <v>-0.21848466309991998</v>
          </cell>
          <cell r="G103">
            <v>-1.5954740299640058E-2</v>
          </cell>
        </row>
        <row r="104">
          <cell r="B104">
            <v>39114</v>
          </cell>
          <cell r="C104">
            <v>6.2313178246901302</v>
          </cell>
          <cell r="D104">
            <v>6.4570522130320001</v>
          </cell>
          <cell r="E104">
            <v>6.2136411587990699</v>
          </cell>
          <cell r="F104">
            <v>-0.22573438834186987</v>
          </cell>
          <cell r="G104">
            <v>1.7676665891060317E-2</v>
          </cell>
        </row>
        <row r="105">
          <cell r="B105">
            <v>39083</v>
          </cell>
          <cell r="C105">
            <v>6.2033136271096696</v>
          </cell>
          <cell r="D105">
            <v>6.5951725501935003</v>
          </cell>
          <cell r="E105">
            <v>6.2930519936589402</v>
          </cell>
          <cell r="F105">
            <v>-0.39185892308383075</v>
          </cell>
          <cell r="G105">
            <v>-8.9738366549270587E-2</v>
          </cell>
        </row>
        <row r="106">
          <cell r="B106">
            <v>39052</v>
          </cell>
          <cell r="C106">
            <v>6.3588353922846599</v>
          </cell>
          <cell r="D106">
            <v>6.5400345488193796</v>
          </cell>
          <cell r="E106">
            <v>6.39834118453411</v>
          </cell>
          <cell r="F106">
            <v>-0.18119915653471974</v>
          </cell>
          <cell r="G106">
            <v>-3.9505792249450167E-2</v>
          </cell>
        </row>
        <row r="107">
          <cell r="B107">
            <v>39022</v>
          </cell>
          <cell r="C107">
            <v>6.4541087802732102</v>
          </cell>
          <cell r="D107">
            <v>6.6050926142464297</v>
          </cell>
          <cell r="E107">
            <v>6.4627379583711599</v>
          </cell>
          <cell r="F107">
            <v>-0.15098383397321946</v>
          </cell>
          <cell r="G107">
            <v>-8.629178097949719E-3</v>
          </cell>
        </row>
        <row r="108">
          <cell r="B108">
            <v>38991</v>
          </cell>
          <cell r="C108">
            <v>6.5303692548919301</v>
          </cell>
          <cell r="D108">
            <v>6.7612498647602699</v>
          </cell>
          <cell r="E108">
            <v>6.5036892452480002</v>
          </cell>
          <cell r="F108">
            <v>-0.2308806098683398</v>
          </cell>
          <cell r="G108">
            <v>2.6680009643929914E-2</v>
          </cell>
        </row>
        <row r="109">
          <cell r="B109">
            <v>38961</v>
          </cell>
          <cell r="C109">
            <v>6.6969214773724</v>
          </cell>
          <cell r="D109">
            <v>6.8026987479921601</v>
          </cell>
          <cell r="E109">
            <v>6.5984951599902804</v>
          </cell>
          <cell r="F109">
            <v>-0.10577727061976017</v>
          </cell>
          <cell r="G109">
            <v>9.8426317382119599E-2</v>
          </cell>
        </row>
        <row r="110">
          <cell r="B110">
            <v>38930</v>
          </cell>
          <cell r="C110">
            <v>6.7489866680389001</v>
          </cell>
          <cell r="D110">
            <v>6.8165332362930604</v>
          </cell>
          <cell r="E110">
            <v>6.64420965530201</v>
          </cell>
          <cell r="F110">
            <v>-6.7546568254160277E-2</v>
          </cell>
          <cell r="G110">
            <v>0.10477701273689011</v>
          </cell>
        </row>
        <row r="111">
          <cell r="B111">
            <v>38899</v>
          </cell>
          <cell r="C111">
            <v>6.6582320930680501</v>
          </cell>
          <cell r="D111">
            <v>6.79919524180242</v>
          </cell>
          <cell r="E111">
            <v>6.6718242011780502</v>
          </cell>
          <cell r="F111">
            <v>-0.14096314873436988</v>
          </cell>
          <cell r="G111">
            <v>-1.3592108110000112E-2</v>
          </cell>
        </row>
        <row r="112">
          <cell r="B112">
            <v>38869</v>
          </cell>
          <cell r="C112">
            <v>6.4966828781134502</v>
          </cell>
          <cell r="D112">
            <v>6.7723561623469903</v>
          </cell>
          <cell r="E112">
            <v>6.5174767584399396</v>
          </cell>
          <cell r="F112">
            <v>-0.27567328423354009</v>
          </cell>
          <cell r="G112">
            <v>-2.0793880326489322E-2</v>
          </cell>
        </row>
        <row r="113">
          <cell r="B113">
            <v>38838</v>
          </cell>
          <cell r="C113">
            <v>6.3496636274609601</v>
          </cell>
          <cell r="D113">
            <v>6.6439112465558896</v>
          </cell>
          <cell r="E113">
            <v>6.4293742265984299</v>
          </cell>
          <cell r="F113">
            <v>-0.29424761909492947</v>
          </cell>
          <cell r="G113">
            <v>-7.9710599137469806E-2</v>
          </cell>
        </row>
        <row r="114">
          <cell r="B114">
            <v>38808</v>
          </cell>
          <cell r="C114">
            <v>6.1625003353485797</v>
          </cell>
          <cell r="D114">
            <v>6.44507652227413</v>
          </cell>
          <cell r="E114">
            <v>6.2872382875702897</v>
          </cell>
          <cell r="F114">
            <v>-0.28257618692555031</v>
          </cell>
          <cell r="G114">
            <v>-0.12473795222171002</v>
          </cell>
        </row>
        <row r="115">
          <cell r="B115">
            <v>38777</v>
          </cell>
          <cell r="C115">
            <v>6.2300990392303204</v>
          </cell>
          <cell r="D115">
            <v>6.6172545901618598</v>
          </cell>
          <cell r="E115">
            <v>6.2982082968512598</v>
          </cell>
          <cell r="F115">
            <v>-0.38715555093153942</v>
          </cell>
          <cell r="G115">
            <v>-6.8109257620939445E-2</v>
          </cell>
        </row>
        <row r="116">
          <cell r="B116">
            <v>38749</v>
          </cell>
          <cell r="C116">
            <v>6.2157719062395396</v>
          </cell>
          <cell r="D116">
            <v>6.5915094227876203</v>
          </cell>
          <cell r="E116">
            <v>6.2874154697010702</v>
          </cell>
          <cell r="F116">
            <v>-0.37573751654808074</v>
          </cell>
          <cell r="G116">
            <v>-7.1643563461530668E-2</v>
          </cell>
        </row>
        <row r="117">
          <cell r="B117">
            <v>38718</v>
          </cell>
          <cell r="C117">
            <v>6.1790285154481799</v>
          </cell>
          <cell r="D117">
            <v>6.5427289793067303</v>
          </cell>
          <cell r="E117">
            <v>6.2545362046244097</v>
          </cell>
          <cell r="F117">
            <v>-0.36370046385855037</v>
          </cell>
          <cell r="G117">
            <v>-7.5507689176229853E-2</v>
          </cell>
        </row>
        <row r="118">
          <cell r="B118">
            <v>38687</v>
          </cell>
          <cell r="C118">
            <v>6.0110893377154699</v>
          </cell>
          <cell r="D118">
            <v>6.2082868116654</v>
          </cell>
          <cell r="E118">
            <v>6.0663837781049201</v>
          </cell>
          <cell r="F118">
            <v>-0.19719747394993004</v>
          </cell>
          <cell r="G118">
            <v>-5.5294440389450195E-2</v>
          </cell>
        </row>
        <row r="119">
          <cell r="B119">
            <v>38657</v>
          </cell>
          <cell r="C119">
            <v>5.8665917585648204</v>
          </cell>
          <cell r="D119">
            <v>5.9911124383801297</v>
          </cell>
          <cell r="E119">
            <v>5.8824956492188702</v>
          </cell>
          <cell r="F119">
            <v>-0.12452067981530934</v>
          </cell>
          <cell r="G119">
            <v>-1.5903890654049846E-2</v>
          </cell>
        </row>
        <row r="120">
          <cell r="B120">
            <v>38626</v>
          </cell>
          <cell r="C120">
            <v>5.8261810662029001</v>
          </cell>
          <cell r="D120">
            <v>6.0827941560026799</v>
          </cell>
          <cell r="E120">
            <v>5.90450688398127</v>
          </cell>
          <cell r="F120">
            <v>-0.25661308979977981</v>
          </cell>
          <cell r="G120">
            <v>-7.8325817778369888E-2</v>
          </cell>
        </row>
        <row r="121">
          <cell r="B121">
            <v>38596</v>
          </cell>
          <cell r="C121">
            <v>5.7737271421591601</v>
          </cell>
          <cell r="D121">
            <v>6.0248056296464396</v>
          </cell>
          <cell r="E121">
            <v>5.7835762679290603</v>
          </cell>
          <cell r="F121">
            <v>-0.25107848748727957</v>
          </cell>
          <cell r="G121">
            <v>-9.8491257699002688E-3</v>
          </cell>
        </row>
        <row r="122">
          <cell r="B122">
            <v>38565</v>
          </cell>
          <cell r="C122">
            <v>5.7509442380804598</v>
          </cell>
          <cell r="D122">
            <v>6.0116534514124798</v>
          </cell>
          <cell r="E122">
            <v>5.6867978695648898</v>
          </cell>
          <cell r="F122">
            <v>-0.26070921333201991</v>
          </cell>
          <cell r="G122">
            <v>6.4146368515570096E-2</v>
          </cell>
        </row>
        <row r="123">
          <cell r="B123">
            <v>38534</v>
          </cell>
          <cell r="C123">
            <v>5.7798931724268998</v>
          </cell>
          <cell r="D123">
            <v>5.9291439279153604</v>
          </cell>
          <cell r="E123">
            <v>5.77587230029149</v>
          </cell>
          <cell r="F123">
            <v>-0.14925075548846056</v>
          </cell>
          <cell r="G123">
            <v>4.0208721354098031E-3</v>
          </cell>
        </row>
        <row r="124">
          <cell r="B124">
            <v>38504</v>
          </cell>
          <cell r="C124">
            <v>5.9359092819794297</v>
          </cell>
          <cell r="D124">
            <v>6.0861604457115899</v>
          </cell>
          <cell r="E124">
            <v>5.9011810521622499</v>
          </cell>
          <cell r="F124">
            <v>-0.15025116373216019</v>
          </cell>
          <cell r="G124">
            <v>3.4728229817179823E-2</v>
          </cell>
        </row>
        <row r="125">
          <cell r="B125">
            <v>38473</v>
          </cell>
          <cell r="C125">
            <v>5.8650240305353201</v>
          </cell>
          <cell r="D125">
            <v>5.9156436011904701</v>
          </cell>
          <cell r="E125">
            <v>5.93851052657556</v>
          </cell>
          <cell r="F125">
            <v>-5.0619570655149992E-2</v>
          </cell>
          <cell r="G125">
            <v>-7.3486496040239935E-2</v>
          </cell>
        </row>
        <row r="126">
          <cell r="B126">
            <v>38443</v>
          </cell>
          <cell r="C126">
            <v>5.7131424649754203</v>
          </cell>
          <cell r="D126">
            <v>6.0336881169928702</v>
          </cell>
          <cell r="E126">
            <v>5.7027763131622304</v>
          </cell>
          <cell r="F126">
            <v>-0.32054565201744989</v>
          </cell>
          <cell r="G126">
            <v>1.0366151813189894E-2</v>
          </cell>
        </row>
        <row r="127">
          <cell r="B127">
            <v>38412</v>
          </cell>
          <cell r="C127">
            <v>5.7080755223592199</v>
          </cell>
          <cell r="D127">
            <v>5.9235606448311096</v>
          </cell>
          <cell r="E127">
            <v>5.7027848550616698</v>
          </cell>
          <cell r="F127">
            <v>-0.21548512247188967</v>
          </cell>
          <cell r="G127">
            <v>5.2906672975501223E-3</v>
          </cell>
        </row>
        <row r="128">
          <cell r="B128">
            <v>38384</v>
          </cell>
          <cell r="C128">
            <v>5.8034733297388401</v>
          </cell>
          <cell r="D128">
            <v>6.1476152160514896</v>
          </cell>
          <cell r="E128">
            <v>5.84702160477205</v>
          </cell>
          <cell r="F128">
            <v>-0.34414188631264953</v>
          </cell>
          <cell r="G128">
            <v>-4.3548275033209904E-2</v>
          </cell>
        </row>
        <row r="129">
          <cell r="B129">
            <v>38353</v>
          </cell>
          <cell r="C129">
            <v>5.8285798965769704</v>
          </cell>
          <cell r="D129">
            <v>5.9643916855714201</v>
          </cell>
          <cell r="E129">
            <v>5.8075675352202101</v>
          </cell>
          <cell r="F129">
            <v>-0.13581178899444968</v>
          </cell>
          <cell r="G129">
            <v>2.1012361356760323E-2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Time Series Query"/>
      <sheetName val="Rates Summary"/>
      <sheetName val="Upload Result"/>
      <sheetName val="Input Data"/>
      <sheetName val="Historic Result"/>
      <sheetName val="BoA - Conventional"/>
      <sheetName val="Chase - Conventional"/>
      <sheetName val="Quicken - Conventional"/>
      <sheetName val="Wells - Conventional"/>
      <sheetName val="Wells - Jumbo conformin"/>
      <sheetName val="Wells - Jumbo Non-conforming"/>
      <sheetName val="Wells - FHA"/>
      <sheetName val="Originator Mortgage Rate - 0318"/>
    </sheetNames>
    <sheetDataSet>
      <sheetData sheetId="0">
        <row r="2">
          <cell r="V2">
            <v>42083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4">
          <cell r="C4">
            <v>0.04</v>
          </cell>
        </row>
        <row r="5">
          <cell r="C5">
            <v>4.0369999999999996E-2</v>
          </cell>
        </row>
        <row r="6">
          <cell r="C6">
            <v>200000</v>
          </cell>
        </row>
      </sheetData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queryTables/queryTable1.xml><?xml version="1.0" encoding="utf-8"?>
<queryTable xmlns="http://schemas.openxmlformats.org/spreadsheetml/2006/main" name="temp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temp_1" connectionId="2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temp_2" connectionId="3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Relationship Id="rId4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1:N129"/>
  <sheetViews>
    <sheetView tabSelected="1" topLeftCell="D1" workbookViewId="0">
      <selection activeCell="O28" sqref="O28"/>
    </sheetView>
  </sheetViews>
  <sheetFormatPr defaultRowHeight="15"/>
  <cols>
    <col min="2" max="2" width="13.85546875" bestFit="1" customWidth="1"/>
    <col min="3" max="5" width="12.5703125" bestFit="1" customWidth="1"/>
    <col min="6" max="7" width="12.5703125" customWidth="1"/>
    <col min="10" max="10" width="13.85546875" bestFit="1" customWidth="1"/>
    <col min="11" max="11" width="12.5703125" bestFit="1" customWidth="1"/>
    <col min="13" max="13" width="13.85546875" bestFit="1" customWidth="1"/>
    <col min="14" max="14" width="12.5703125" bestFit="1" customWidth="1"/>
  </cols>
  <sheetData>
    <row r="1" spans="2:14">
      <c r="B1" t="s">
        <v>0</v>
      </c>
      <c r="J1" t="s">
        <v>1</v>
      </c>
      <c r="M1" t="s">
        <v>2</v>
      </c>
    </row>
    <row r="3" spans="2:14">
      <c r="B3" t="s">
        <v>3</v>
      </c>
      <c r="C3" t="s">
        <v>0</v>
      </c>
      <c r="D3" t="s">
        <v>1</v>
      </c>
      <c r="E3" t="s">
        <v>2</v>
      </c>
      <c r="F3" s="1" t="s">
        <v>4</v>
      </c>
      <c r="G3" s="2" t="s">
        <v>5</v>
      </c>
      <c r="H3" s="3" t="s">
        <v>6</v>
      </c>
      <c r="J3" t="s">
        <v>3</v>
      </c>
      <c r="K3" t="s">
        <v>1</v>
      </c>
      <c r="M3" t="s">
        <v>3</v>
      </c>
      <c r="N3" t="s">
        <v>2</v>
      </c>
    </row>
    <row r="4" spans="2:14">
      <c r="B4" s="4">
        <v>42156</v>
      </c>
      <c r="C4" s="5">
        <v>4.2814568652573097</v>
      </c>
      <c r="D4" s="5">
        <v>4.0686507646154899</v>
      </c>
      <c r="E4" s="5">
        <v>4.0561251713544104</v>
      </c>
      <c r="F4" s="5">
        <f>C4-D4</f>
        <v>0.21280610064181982</v>
      </c>
      <c r="G4" s="5">
        <f>C4-E4</f>
        <v>0.22533169390289931</v>
      </c>
      <c r="H4" s="5">
        <f>D4-E4</f>
        <v>1.2525593261079493E-2</v>
      </c>
      <c r="J4" s="4">
        <v>42156</v>
      </c>
      <c r="K4">
        <v>4.0686507646154899</v>
      </c>
      <c r="M4" s="4">
        <v>42156</v>
      </c>
      <c r="N4">
        <v>4.0561251713544104</v>
      </c>
    </row>
    <row r="5" spans="2:14">
      <c r="B5" s="4">
        <v>42125</v>
      </c>
      <c r="C5" s="5">
        <v>4.1497341953507201</v>
      </c>
      <c r="D5" s="5">
        <v>4.0642555362097301</v>
      </c>
      <c r="E5" s="5">
        <v>3.9762475049440198</v>
      </c>
      <c r="F5" s="5">
        <f t="shared" ref="F5:F68" si="0">C5-D5</f>
        <v>8.5478659140989954E-2</v>
      </c>
      <c r="G5" s="5">
        <f t="shared" ref="G5:G68" si="1">C5-E5</f>
        <v>0.17348669040670028</v>
      </c>
      <c r="H5" s="5">
        <f t="shared" ref="H5:H68" si="2">D5-E5</f>
        <v>8.8008031265710329E-2</v>
      </c>
      <c r="J5" s="4">
        <v>42125</v>
      </c>
      <c r="K5">
        <v>4.0642555362097301</v>
      </c>
      <c r="M5" s="4">
        <v>42125</v>
      </c>
      <c r="N5">
        <v>3.9762475049440198</v>
      </c>
    </row>
    <row r="6" spans="2:14">
      <c r="B6" s="4">
        <v>42095</v>
      </c>
      <c r="C6" s="5">
        <v>3.9762156604078802</v>
      </c>
      <c r="D6" s="5">
        <v>4.0277059899699301</v>
      </c>
      <c r="E6" s="5">
        <v>3.9282028775760498</v>
      </c>
      <c r="F6" s="5">
        <f t="shared" si="0"/>
        <v>-5.1490329562049908E-2</v>
      </c>
      <c r="G6" s="5">
        <f t="shared" si="1"/>
        <v>4.8012782831830414E-2</v>
      </c>
      <c r="H6" s="5">
        <f t="shared" si="2"/>
        <v>9.9503112393880322E-2</v>
      </c>
      <c r="J6" s="4">
        <v>42095</v>
      </c>
      <c r="K6">
        <v>4.0277059899699301</v>
      </c>
      <c r="M6" s="4">
        <v>42095</v>
      </c>
      <c r="N6">
        <v>3.9282028775760498</v>
      </c>
    </row>
    <row r="7" spans="2:14">
      <c r="B7" s="4">
        <v>42064</v>
      </c>
      <c r="C7" s="5">
        <v>4.1156717681475801</v>
      </c>
      <c r="D7" s="5">
        <v>4.0516131888317304</v>
      </c>
      <c r="E7" s="5">
        <v>3.9320396187248101</v>
      </c>
      <c r="F7" s="5">
        <f t="shared" si="0"/>
        <v>6.4058579315849684E-2</v>
      </c>
      <c r="G7" s="5">
        <f t="shared" si="1"/>
        <v>0.18363214942276995</v>
      </c>
      <c r="H7" s="5">
        <f t="shared" si="2"/>
        <v>0.11957357010692027</v>
      </c>
      <c r="J7" s="4">
        <v>42064</v>
      </c>
      <c r="K7">
        <v>4.0516131888317304</v>
      </c>
      <c r="M7" s="4">
        <v>42064</v>
      </c>
      <c r="N7">
        <v>3.9320396187248101</v>
      </c>
    </row>
    <row r="8" spans="2:14">
      <c r="B8" s="4">
        <v>42036</v>
      </c>
      <c r="C8" s="5">
        <v>4.2616069792633198</v>
      </c>
      <c r="D8" s="5">
        <v>4.1799260938571896</v>
      </c>
      <c r="E8" s="5">
        <v>4.1049873604232801</v>
      </c>
      <c r="F8" s="5">
        <f t="shared" si="0"/>
        <v>8.1680885406130166E-2</v>
      </c>
      <c r="G8" s="5">
        <f t="shared" si="1"/>
        <v>0.15661961884003972</v>
      </c>
      <c r="H8" s="5">
        <f t="shared" si="2"/>
        <v>7.4938733433909555E-2</v>
      </c>
      <c r="J8" s="4">
        <v>42036</v>
      </c>
      <c r="K8">
        <v>4.1799260938571896</v>
      </c>
      <c r="M8" s="4">
        <v>42036</v>
      </c>
      <c r="N8">
        <v>4.1049873604232801</v>
      </c>
    </row>
    <row r="9" spans="2:14">
      <c r="B9" s="4">
        <v>42005</v>
      </c>
      <c r="C9" s="5">
        <v>4.3286198758944696</v>
      </c>
      <c r="D9" s="5">
        <v>4.29507902652733</v>
      </c>
      <c r="E9" s="5">
        <v>4.2149770950800001</v>
      </c>
      <c r="F9" s="5">
        <f t="shared" si="0"/>
        <v>3.3540849367139636E-2</v>
      </c>
      <c r="G9" s="5">
        <f t="shared" si="1"/>
        <v>0.11364278081446955</v>
      </c>
      <c r="H9" s="5">
        <f t="shared" si="2"/>
        <v>8.010193144732991E-2</v>
      </c>
      <c r="J9" s="4">
        <v>42005</v>
      </c>
      <c r="K9">
        <v>4.29507902652733</v>
      </c>
      <c r="M9" s="4">
        <v>42005</v>
      </c>
      <c r="N9">
        <v>4.2149770950800001</v>
      </c>
    </row>
    <row r="10" spans="2:14">
      <c r="B10" s="4">
        <v>41974</v>
      </c>
      <c r="C10" s="5">
        <v>4.4668929370465698</v>
      </c>
      <c r="D10" s="5">
        <v>4.3614534485438199</v>
      </c>
      <c r="E10" s="5">
        <v>4.2823710809759499</v>
      </c>
      <c r="F10" s="5">
        <f t="shared" si="0"/>
        <v>0.10543948850274987</v>
      </c>
      <c r="G10" s="5">
        <f t="shared" si="1"/>
        <v>0.18452185607061988</v>
      </c>
      <c r="H10" s="5">
        <f t="shared" si="2"/>
        <v>7.9082367567870016E-2</v>
      </c>
      <c r="J10" s="4">
        <v>41974</v>
      </c>
      <c r="K10">
        <v>4.3614534485438199</v>
      </c>
      <c r="M10" s="4">
        <v>41974</v>
      </c>
      <c r="N10">
        <v>4.2823710809759499</v>
      </c>
    </row>
    <row r="11" spans="2:14">
      <c r="B11" s="4">
        <v>41944</v>
      </c>
      <c r="C11" s="5">
        <v>4.7049313458332698</v>
      </c>
      <c r="D11" s="5">
        <v>4.4669266317103196</v>
      </c>
      <c r="E11" s="5">
        <v>4.3555208650457802</v>
      </c>
      <c r="F11" s="5">
        <f t="shared" si="0"/>
        <v>0.23800471412295021</v>
      </c>
      <c r="G11" s="5">
        <f t="shared" si="1"/>
        <v>0.3494104807874896</v>
      </c>
      <c r="H11" s="5">
        <f t="shared" si="2"/>
        <v>0.11140576666453939</v>
      </c>
      <c r="J11" s="4">
        <v>41944</v>
      </c>
      <c r="K11">
        <v>4.4669266317103196</v>
      </c>
      <c r="M11" s="4">
        <v>41944</v>
      </c>
      <c r="N11">
        <v>4.3555208650457802</v>
      </c>
    </row>
    <row r="12" spans="2:14">
      <c r="B12" s="4">
        <v>41913</v>
      </c>
      <c r="C12" s="5">
        <v>4.4490704943226804</v>
      </c>
      <c r="D12" s="5">
        <v>4.4759398824380998</v>
      </c>
      <c r="E12" s="5">
        <v>4.3973010870007103</v>
      </c>
      <c r="F12" s="5">
        <f t="shared" si="0"/>
        <v>-2.686938811541939E-2</v>
      </c>
      <c r="G12" s="5">
        <f t="shared" si="1"/>
        <v>5.1769407321970107E-2</v>
      </c>
      <c r="H12" s="5">
        <f t="shared" si="2"/>
        <v>7.8638795437389497E-2</v>
      </c>
      <c r="J12" s="4">
        <v>41913</v>
      </c>
      <c r="K12">
        <v>4.4759398824380998</v>
      </c>
      <c r="M12" s="4">
        <v>41913</v>
      </c>
      <c r="N12">
        <v>4.3973010870007103</v>
      </c>
    </row>
    <row r="13" spans="2:14">
      <c r="B13" s="4">
        <v>41883</v>
      </c>
      <c r="C13" s="5">
        <v>4.4536976926398104</v>
      </c>
      <c r="D13" s="5">
        <v>4.50690906458677</v>
      </c>
      <c r="E13" s="5">
        <v>4.3669489809585196</v>
      </c>
      <c r="F13" s="5">
        <f t="shared" si="0"/>
        <v>-5.3211371946959574E-2</v>
      </c>
      <c r="G13" s="5">
        <f t="shared" si="1"/>
        <v>8.6748711681290835E-2</v>
      </c>
      <c r="H13" s="5">
        <f t="shared" si="2"/>
        <v>0.13996008362825041</v>
      </c>
      <c r="J13" s="4">
        <v>41883</v>
      </c>
      <c r="K13">
        <v>4.50690906458677</v>
      </c>
      <c r="M13" s="4">
        <v>41883</v>
      </c>
      <c r="N13">
        <v>4.3669489809585196</v>
      </c>
    </row>
    <row r="14" spans="2:14">
      <c r="B14" s="4">
        <v>41852</v>
      </c>
      <c r="C14" s="5">
        <v>4.4745700811097597</v>
      </c>
      <c r="D14" s="5">
        <v>4.5211881324073904</v>
      </c>
      <c r="E14" s="5">
        <v>4.4174894237425599</v>
      </c>
      <c r="F14" s="5">
        <f t="shared" si="0"/>
        <v>-4.6618051297630636E-2</v>
      </c>
      <c r="G14" s="5">
        <f t="shared" si="1"/>
        <v>5.7080657367199805E-2</v>
      </c>
      <c r="H14" s="5">
        <f t="shared" si="2"/>
        <v>0.10369870866483044</v>
      </c>
      <c r="J14" s="4">
        <v>41852</v>
      </c>
      <c r="K14">
        <v>4.5211881324073904</v>
      </c>
      <c r="M14" s="4">
        <v>41852</v>
      </c>
      <c r="N14">
        <v>4.4174894237425599</v>
      </c>
    </row>
    <row r="15" spans="2:14">
      <c r="B15" s="4">
        <v>41821</v>
      </c>
      <c r="C15" s="5">
        <v>4.6155240570251399</v>
      </c>
      <c r="D15" s="5">
        <v>4.5436109646790204</v>
      </c>
      <c r="E15" s="5">
        <v>4.4428648016081</v>
      </c>
      <c r="F15" s="5">
        <f t="shared" si="0"/>
        <v>7.1913092346119534E-2</v>
      </c>
      <c r="G15" s="5">
        <f t="shared" si="1"/>
        <v>0.17265925541703986</v>
      </c>
      <c r="H15" s="5">
        <f t="shared" si="2"/>
        <v>0.10074616307092032</v>
      </c>
      <c r="J15" s="4">
        <v>41821</v>
      </c>
      <c r="K15">
        <v>4.5436109646790204</v>
      </c>
      <c r="M15" s="4">
        <v>41821</v>
      </c>
      <c r="N15">
        <v>4.4428648016081</v>
      </c>
    </row>
    <row r="16" spans="2:14">
      <c r="B16" s="4">
        <v>41791</v>
      </c>
      <c r="C16" s="5">
        <v>4.6457399086433897</v>
      </c>
      <c r="D16" s="5">
        <v>4.6392985360140004</v>
      </c>
      <c r="E16" s="5">
        <v>4.5499580654746996</v>
      </c>
      <c r="F16" s="5">
        <f t="shared" si="0"/>
        <v>6.4413726293892637E-3</v>
      </c>
      <c r="G16" s="5">
        <f t="shared" si="1"/>
        <v>9.5781843168690095E-2</v>
      </c>
      <c r="H16" s="5">
        <f t="shared" si="2"/>
        <v>8.9340470539300831E-2</v>
      </c>
      <c r="J16" s="4">
        <v>41791</v>
      </c>
      <c r="K16">
        <v>4.6392985360140004</v>
      </c>
      <c r="M16" s="4">
        <v>41791</v>
      </c>
      <c r="N16">
        <v>4.5499580654746996</v>
      </c>
    </row>
    <row r="17" spans="2:14">
      <c r="B17" s="4">
        <v>41760</v>
      </c>
      <c r="C17" s="5">
        <v>4.6332822318684102</v>
      </c>
      <c r="D17" s="5">
        <v>4.6819615889319897</v>
      </c>
      <c r="E17" s="5">
        <v>4.5766765568888301</v>
      </c>
      <c r="F17" s="5">
        <f t="shared" si="0"/>
        <v>-4.8679357063579509E-2</v>
      </c>
      <c r="G17" s="5">
        <f t="shared" si="1"/>
        <v>5.6605674979580023E-2</v>
      </c>
      <c r="H17" s="5">
        <f t="shared" si="2"/>
        <v>0.10528503204315953</v>
      </c>
      <c r="J17" s="4">
        <v>41760</v>
      </c>
      <c r="K17">
        <v>4.6819615889319897</v>
      </c>
      <c r="M17" s="4">
        <v>41760</v>
      </c>
      <c r="N17">
        <v>4.5766765568888301</v>
      </c>
    </row>
    <row r="18" spans="2:14">
      <c r="B18" s="4">
        <v>41730</v>
      </c>
      <c r="C18" s="5">
        <v>4.6407670714703801</v>
      </c>
      <c r="D18" s="5">
        <v>4.6955468117550598</v>
      </c>
      <c r="E18" s="5">
        <v>4.5955650821670497</v>
      </c>
      <c r="F18" s="5">
        <f t="shared" si="0"/>
        <v>-5.477974028467969E-2</v>
      </c>
      <c r="G18" s="5">
        <f t="shared" si="1"/>
        <v>4.5201989303330414E-2</v>
      </c>
      <c r="H18" s="5">
        <f t="shared" si="2"/>
        <v>9.9981729588010104E-2</v>
      </c>
      <c r="J18" s="4">
        <v>41730</v>
      </c>
      <c r="K18">
        <v>4.6955468117550598</v>
      </c>
      <c r="M18" s="4">
        <v>41730</v>
      </c>
      <c r="N18">
        <v>4.5955650821670497</v>
      </c>
    </row>
    <row r="19" spans="2:14">
      <c r="B19" s="4">
        <v>41699</v>
      </c>
      <c r="C19" s="5">
        <v>4.73263952671212</v>
      </c>
      <c r="D19" s="5">
        <v>4.7366032886628702</v>
      </c>
      <c r="E19" s="5">
        <v>4.6124541798731897</v>
      </c>
      <c r="F19" s="5">
        <f t="shared" si="0"/>
        <v>-3.9637619507502109E-3</v>
      </c>
      <c r="G19" s="5">
        <f t="shared" si="1"/>
        <v>0.12018534683893023</v>
      </c>
      <c r="H19" s="5">
        <f t="shared" si="2"/>
        <v>0.12414910878968044</v>
      </c>
      <c r="J19" s="4">
        <v>41699</v>
      </c>
      <c r="K19">
        <v>4.7366032886628702</v>
      </c>
      <c r="M19" s="4">
        <v>41699</v>
      </c>
      <c r="N19">
        <v>4.6124541798731897</v>
      </c>
    </row>
    <row r="20" spans="2:14">
      <c r="B20" s="4">
        <v>41671</v>
      </c>
      <c r="C20" s="5">
        <v>4.6536719492279799</v>
      </c>
      <c r="D20" s="5">
        <v>4.7295954340305402</v>
      </c>
      <c r="E20" s="5">
        <v>4.6047579940496401</v>
      </c>
      <c r="F20" s="5">
        <f t="shared" si="0"/>
        <v>-7.5923484802560282E-2</v>
      </c>
      <c r="G20" s="5">
        <f t="shared" si="1"/>
        <v>4.8913955178339741E-2</v>
      </c>
      <c r="H20" s="5">
        <f t="shared" si="2"/>
        <v>0.12483743998090002</v>
      </c>
      <c r="J20" s="4">
        <v>41671</v>
      </c>
      <c r="K20">
        <v>4.7295954340305402</v>
      </c>
      <c r="M20" s="4">
        <v>41671</v>
      </c>
      <c r="N20">
        <v>4.6047579940496401</v>
      </c>
    </row>
    <row r="21" spans="2:14">
      <c r="B21" s="4">
        <v>41640</v>
      </c>
      <c r="C21" s="5">
        <v>4.5895646237737804</v>
      </c>
      <c r="D21" s="5">
        <v>4.6121976997306398</v>
      </c>
      <c r="E21" s="5">
        <v>4.5423720637683003</v>
      </c>
      <c r="F21" s="5">
        <f t="shared" si="0"/>
        <v>-2.2633075956859372E-2</v>
      </c>
      <c r="G21" s="5">
        <f t="shared" si="1"/>
        <v>4.7192560005480111E-2</v>
      </c>
      <c r="H21" s="5">
        <f t="shared" si="2"/>
        <v>6.9825635962339483E-2</v>
      </c>
      <c r="J21" s="4">
        <v>41640</v>
      </c>
      <c r="K21">
        <v>4.6121976997306398</v>
      </c>
      <c r="M21" s="4">
        <v>41640</v>
      </c>
      <c r="N21">
        <v>4.5423720637683003</v>
      </c>
    </row>
    <row r="22" spans="2:14">
      <c r="B22" s="4">
        <v>41609</v>
      </c>
      <c r="C22" s="5">
        <v>4.61920026135369</v>
      </c>
      <c r="D22" s="5">
        <v>4.5903276122072301</v>
      </c>
      <c r="E22" s="5">
        <v>4.4856529453012701</v>
      </c>
      <c r="F22" s="5">
        <f t="shared" si="0"/>
        <v>2.8872649146459928E-2</v>
      </c>
      <c r="G22" s="5">
        <f t="shared" si="1"/>
        <v>0.13354731605241987</v>
      </c>
      <c r="H22" s="5">
        <f t="shared" si="2"/>
        <v>0.10467466690595995</v>
      </c>
      <c r="J22" s="4">
        <v>41609</v>
      </c>
      <c r="K22">
        <v>4.5903276122072301</v>
      </c>
      <c r="M22" s="4">
        <v>41609</v>
      </c>
      <c r="N22">
        <v>4.4856529453012701</v>
      </c>
    </row>
    <row r="23" spans="2:14">
      <c r="B23" s="4">
        <v>41579</v>
      </c>
      <c r="C23" s="5">
        <v>4.6747178236477502</v>
      </c>
      <c r="D23" s="5">
        <v>4.6286520450176498</v>
      </c>
      <c r="E23" s="5">
        <v>4.5931885852676899</v>
      </c>
      <c r="F23" s="5">
        <f t="shared" si="0"/>
        <v>4.6065778630100418E-2</v>
      </c>
      <c r="G23" s="5">
        <f t="shared" si="1"/>
        <v>8.152923838006032E-2</v>
      </c>
      <c r="H23" s="5">
        <f t="shared" si="2"/>
        <v>3.5463459749959902E-2</v>
      </c>
      <c r="J23" s="4">
        <v>41579</v>
      </c>
      <c r="K23">
        <v>4.6286520450176498</v>
      </c>
      <c r="M23" s="4">
        <v>41579</v>
      </c>
      <c r="N23">
        <v>4.5931885852676899</v>
      </c>
    </row>
    <row r="24" spans="2:14">
      <c r="B24" s="4">
        <v>41548</v>
      </c>
      <c r="C24" s="5">
        <v>4.5862204451268598</v>
      </c>
      <c r="D24" s="5">
        <v>4.6690205639464004</v>
      </c>
      <c r="E24" s="5">
        <v>4.6448965055844003</v>
      </c>
      <c r="F24" s="5">
        <f t="shared" si="0"/>
        <v>-8.2800118819540636E-2</v>
      </c>
      <c r="G24" s="5">
        <f t="shared" si="1"/>
        <v>-5.867606045754048E-2</v>
      </c>
      <c r="H24" s="5">
        <f t="shared" si="2"/>
        <v>2.4124058362000156E-2</v>
      </c>
      <c r="J24" s="4">
        <v>41548</v>
      </c>
      <c r="K24">
        <v>4.6690205639464004</v>
      </c>
      <c r="M24" s="4">
        <v>41548</v>
      </c>
      <c r="N24">
        <v>4.6448965055844003</v>
      </c>
    </row>
    <row r="25" spans="2:14">
      <c r="B25" s="4">
        <v>41518</v>
      </c>
      <c r="C25" s="5">
        <v>4.2507659645031097</v>
      </c>
      <c r="D25" s="5">
        <v>4.5745696530370399</v>
      </c>
      <c r="E25" s="5">
        <v>4.4868701789443204</v>
      </c>
      <c r="F25" s="5">
        <f t="shared" si="0"/>
        <v>-0.32380368853393016</v>
      </c>
      <c r="G25" s="5">
        <f t="shared" si="1"/>
        <v>-0.23610421444121066</v>
      </c>
      <c r="H25" s="5">
        <f t="shared" si="2"/>
        <v>8.7699474092719498E-2</v>
      </c>
      <c r="J25" s="4">
        <v>41518</v>
      </c>
      <c r="K25">
        <v>4.5745696530370399</v>
      </c>
      <c r="M25" s="4">
        <v>41518</v>
      </c>
      <c r="N25">
        <v>4.4868701789443204</v>
      </c>
    </row>
    <row r="26" spans="2:14">
      <c r="B26" s="4">
        <v>41487</v>
      </c>
      <c r="C26" s="5">
        <v>3.9491096805015098</v>
      </c>
      <c r="D26" s="5">
        <v>4.2447480399268001</v>
      </c>
      <c r="E26" s="5">
        <v>4.1904757607515801</v>
      </c>
      <c r="F26" s="5">
        <f t="shared" si="0"/>
        <v>-0.29563835942529026</v>
      </c>
      <c r="G26" s="5">
        <f t="shared" si="1"/>
        <v>-0.24136608025007034</v>
      </c>
      <c r="H26" s="5">
        <f t="shared" si="2"/>
        <v>5.4272279175219929E-2</v>
      </c>
      <c r="J26" s="4">
        <v>41487</v>
      </c>
      <c r="K26">
        <v>4.2447480399268001</v>
      </c>
      <c r="M26" s="4">
        <v>41487</v>
      </c>
      <c r="N26">
        <v>4.1904757607515801</v>
      </c>
    </row>
    <row r="27" spans="2:14">
      <c r="B27" s="4">
        <v>41456</v>
      </c>
      <c r="C27" s="5">
        <v>3.8211445865321001</v>
      </c>
      <c r="D27" s="5">
        <v>3.8919528668798899</v>
      </c>
      <c r="E27" s="5">
        <v>3.8614924384028302</v>
      </c>
      <c r="F27" s="5">
        <f t="shared" si="0"/>
        <v>-7.0808280347789854E-2</v>
      </c>
      <c r="G27" s="5">
        <f t="shared" si="1"/>
        <v>-4.0347851870730089E-2</v>
      </c>
      <c r="H27" s="5">
        <f t="shared" si="2"/>
        <v>3.0460428477059764E-2</v>
      </c>
      <c r="J27" s="4">
        <v>41456</v>
      </c>
      <c r="K27">
        <v>3.8919528668798899</v>
      </c>
      <c r="M27" s="4">
        <v>41456</v>
      </c>
      <c r="N27">
        <v>3.8614924384028302</v>
      </c>
    </row>
    <row r="28" spans="2:14">
      <c r="B28" s="4">
        <v>41426</v>
      </c>
      <c r="C28" s="5">
        <v>3.8062802293370401</v>
      </c>
      <c r="D28" s="5">
        <v>3.7793401133038</v>
      </c>
      <c r="E28" s="5">
        <v>3.7594762587358401</v>
      </c>
      <c r="F28" s="5">
        <f t="shared" si="0"/>
        <v>2.6940116033240091E-2</v>
      </c>
      <c r="G28" s="5">
        <f t="shared" si="1"/>
        <v>4.6803970601200007E-2</v>
      </c>
      <c r="H28" s="5">
        <f t="shared" si="2"/>
        <v>1.9863854567959915E-2</v>
      </c>
      <c r="J28" s="4">
        <v>41426</v>
      </c>
      <c r="K28">
        <v>3.7793401133038</v>
      </c>
      <c r="M28" s="4">
        <v>41426</v>
      </c>
      <c r="N28">
        <v>3.7594762587358401</v>
      </c>
    </row>
    <row r="29" spans="2:14">
      <c r="B29" s="4">
        <v>41395</v>
      </c>
      <c r="C29" s="5">
        <v>3.9283481871750499</v>
      </c>
      <c r="D29" s="5">
        <v>3.80303948125629</v>
      </c>
      <c r="E29" s="5">
        <v>3.7579848918707599</v>
      </c>
      <c r="F29" s="5">
        <f t="shared" si="0"/>
        <v>0.12530870591875987</v>
      </c>
      <c r="G29" s="5">
        <f t="shared" si="1"/>
        <v>0.17036329530428995</v>
      </c>
      <c r="H29" s="5">
        <f t="shared" si="2"/>
        <v>4.5054589385530086E-2</v>
      </c>
      <c r="J29" s="4">
        <v>41395</v>
      </c>
      <c r="K29">
        <v>3.80303948125629</v>
      </c>
      <c r="M29" s="4">
        <v>41395</v>
      </c>
      <c r="N29">
        <v>3.7579848918707599</v>
      </c>
    </row>
    <row r="30" spans="2:14">
      <c r="B30" s="4">
        <v>41365</v>
      </c>
      <c r="C30" s="5">
        <v>3.8038767498904398</v>
      </c>
      <c r="D30" s="5">
        <v>3.80364044849131</v>
      </c>
      <c r="E30" s="5">
        <v>3.7233882877985902</v>
      </c>
      <c r="F30" s="5">
        <f t="shared" si="0"/>
        <v>2.363013991297791E-4</v>
      </c>
      <c r="G30" s="5">
        <f t="shared" si="1"/>
        <v>8.0488462091849566E-2</v>
      </c>
      <c r="H30" s="5">
        <f t="shared" si="2"/>
        <v>8.0252160692719787E-2</v>
      </c>
      <c r="J30" s="4">
        <v>41365</v>
      </c>
      <c r="K30">
        <v>3.80364044849131</v>
      </c>
      <c r="M30" s="4">
        <v>41365</v>
      </c>
      <c r="N30">
        <v>3.7233882877985902</v>
      </c>
    </row>
    <row r="31" spans="2:14">
      <c r="B31" s="4">
        <v>41334</v>
      </c>
      <c r="C31" s="5">
        <v>3.69926642416794</v>
      </c>
      <c r="D31" s="5">
        <v>3.7542129023702202</v>
      </c>
      <c r="E31" s="5">
        <v>3.6572873433600201</v>
      </c>
      <c r="F31" s="5">
        <f t="shared" si="0"/>
        <v>-5.4946478202280158E-2</v>
      </c>
      <c r="G31" s="5">
        <f t="shared" si="1"/>
        <v>4.19790808079199E-2</v>
      </c>
      <c r="H31" s="5">
        <f t="shared" si="2"/>
        <v>9.6925559010200057E-2</v>
      </c>
      <c r="J31" s="4">
        <v>41334</v>
      </c>
      <c r="K31">
        <v>3.7542129023702202</v>
      </c>
      <c r="M31" s="4">
        <v>41334</v>
      </c>
      <c r="N31">
        <v>3.6572873433600201</v>
      </c>
    </row>
    <row r="32" spans="2:14">
      <c r="B32" s="4">
        <v>41306</v>
      </c>
      <c r="C32" s="5">
        <v>3.63325349969457</v>
      </c>
      <c r="D32" s="5">
        <v>3.6053486298375601</v>
      </c>
      <c r="E32" s="5">
        <v>3.58160500208843</v>
      </c>
      <c r="F32" s="5">
        <f t="shared" si="0"/>
        <v>2.7904869857009906E-2</v>
      </c>
      <c r="G32" s="5">
        <f t="shared" si="1"/>
        <v>5.1648497606139987E-2</v>
      </c>
      <c r="H32" s="5">
        <f t="shared" si="2"/>
        <v>2.3743627749130081E-2</v>
      </c>
      <c r="J32" s="4">
        <v>41306</v>
      </c>
      <c r="K32">
        <v>3.6053486298375601</v>
      </c>
      <c r="M32" s="4">
        <v>41306</v>
      </c>
      <c r="N32">
        <v>3.58160500208843</v>
      </c>
    </row>
    <row r="33" spans="2:14">
      <c r="B33" s="4">
        <v>41275</v>
      </c>
      <c r="C33" s="5">
        <v>3.7531777758654599</v>
      </c>
      <c r="D33" s="5">
        <v>3.61383049302919</v>
      </c>
      <c r="E33" s="5">
        <v>3.5617646791317901</v>
      </c>
      <c r="F33" s="5">
        <f t="shared" si="0"/>
        <v>0.13934728283626985</v>
      </c>
      <c r="G33" s="5">
        <f t="shared" si="1"/>
        <v>0.1914130967336698</v>
      </c>
      <c r="H33" s="5">
        <f t="shared" si="2"/>
        <v>5.2065813897399948E-2</v>
      </c>
      <c r="J33" s="4">
        <v>41275</v>
      </c>
      <c r="K33">
        <v>3.61383049302919</v>
      </c>
      <c r="M33" s="4">
        <v>41275</v>
      </c>
      <c r="N33">
        <v>3.5617646791317901</v>
      </c>
    </row>
    <row r="34" spans="2:14">
      <c r="B34" s="4">
        <v>41244</v>
      </c>
      <c r="C34" s="5">
        <v>3.7529169822709099</v>
      </c>
      <c r="D34" s="5">
        <v>3.6787505408074899</v>
      </c>
      <c r="E34" s="5">
        <v>3.56765547891264</v>
      </c>
      <c r="F34" s="5">
        <f t="shared" si="0"/>
        <v>7.4166441463419996E-2</v>
      </c>
      <c r="G34" s="5">
        <f t="shared" si="1"/>
        <v>0.18526150335826985</v>
      </c>
      <c r="H34" s="5">
        <f t="shared" si="2"/>
        <v>0.11109506189484986</v>
      </c>
      <c r="J34" s="4">
        <v>41244</v>
      </c>
      <c r="K34">
        <v>3.6787505408074899</v>
      </c>
      <c r="M34" s="4">
        <v>41244</v>
      </c>
      <c r="N34">
        <v>3.56765547891264</v>
      </c>
    </row>
    <row r="35" spans="2:14">
      <c r="B35" s="4">
        <v>41214</v>
      </c>
      <c r="C35" s="5">
        <v>3.8270042987425001</v>
      </c>
      <c r="D35" s="5">
        <v>3.7165128808085699</v>
      </c>
      <c r="E35" s="5">
        <v>3.6357269037879698</v>
      </c>
      <c r="F35" s="5">
        <f t="shared" si="0"/>
        <v>0.11049141793393025</v>
      </c>
      <c r="G35" s="5">
        <f t="shared" si="1"/>
        <v>0.19127739495453033</v>
      </c>
      <c r="H35" s="5">
        <f t="shared" si="2"/>
        <v>8.0785977020600086E-2</v>
      </c>
      <c r="J35" s="4">
        <v>41214</v>
      </c>
      <c r="K35">
        <v>3.7165128808085699</v>
      </c>
      <c r="M35" s="4">
        <v>41214</v>
      </c>
      <c r="N35">
        <v>3.6357269037879698</v>
      </c>
    </row>
    <row r="36" spans="2:14">
      <c r="B36" s="4">
        <v>41183</v>
      </c>
      <c r="C36" s="5">
        <v>3.8503675120790701</v>
      </c>
      <c r="D36" s="5">
        <v>3.8126189038843799</v>
      </c>
      <c r="E36" s="5">
        <v>3.7556527877728501</v>
      </c>
      <c r="F36" s="5">
        <f t="shared" si="0"/>
        <v>3.7748608194690281E-2</v>
      </c>
      <c r="G36" s="5">
        <f t="shared" si="1"/>
        <v>9.4714724306220077E-2</v>
      </c>
      <c r="H36" s="5">
        <f t="shared" si="2"/>
        <v>5.6966116111529796E-2</v>
      </c>
      <c r="J36" s="4">
        <v>41183</v>
      </c>
      <c r="K36">
        <v>3.8126189038843799</v>
      </c>
      <c r="M36" s="4">
        <v>41183</v>
      </c>
      <c r="N36">
        <v>3.7556527877728501</v>
      </c>
    </row>
    <row r="37" spans="2:14">
      <c r="B37" s="4">
        <v>41153</v>
      </c>
      <c r="C37" s="5">
        <v>3.9015765798451199</v>
      </c>
      <c r="D37" s="5">
        <v>3.8442939134793499</v>
      </c>
      <c r="E37" s="5">
        <v>3.8328685818010499</v>
      </c>
      <c r="F37" s="5">
        <f t="shared" si="0"/>
        <v>5.7282666365769952E-2</v>
      </c>
      <c r="G37" s="5">
        <f t="shared" si="1"/>
        <v>6.8707998044069907E-2</v>
      </c>
      <c r="H37" s="5">
        <f t="shared" si="2"/>
        <v>1.1425331678299955E-2</v>
      </c>
      <c r="J37" s="4">
        <v>41153</v>
      </c>
      <c r="K37">
        <v>3.8442939134793499</v>
      </c>
      <c r="M37" s="4">
        <v>41153</v>
      </c>
      <c r="N37">
        <v>3.8328685818010499</v>
      </c>
    </row>
    <row r="38" spans="2:14">
      <c r="B38" s="4">
        <v>41122</v>
      </c>
      <c r="C38" s="5">
        <v>4.0168085289684097</v>
      </c>
      <c r="D38" s="5">
        <v>3.9188893390305402</v>
      </c>
      <c r="E38" s="5">
        <v>3.84847397972475</v>
      </c>
      <c r="F38" s="5">
        <f t="shared" si="0"/>
        <v>9.7919189937869522E-2</v>
      </c>
      <c r="G38" s="5">
        <f t="shared" si="1"/>
        <v>0.16833454924365965</v>
      </c>
      <c r="H38" s="5">
        <f t="shared" si="2"/>
        <v>7.0415359305790126E-2</v>
      </c>
      <c r="J38" s="4">
        <v>41122</v>
      </c>
      <c r="K38">
        <v>3.9188893390305402</v>
      </c>
      <c r="M38" s="4">
        <v>41122</v>
      </c>
      <c r="N38">
        <v>3.84847397972475</v>
      </c>
    </row>
    <row r="39" spans="2:14">
      <c r="B39" s="4">
        <v>41091</v>
      </c>
      <c r="C39" s="5">
        <v>4.1313460757178397</v>
      </c>
      <c r="D39" s="5">
        <v>4.0210240278428504</v>
      </c>
      <c r="E39" s="5">
        <v>3.9915397167780799</v>
      </c>
      <c r="F39" s="5">
        <f t="shared" si="0"/>
        <v>0.11032204787498934</v>
      </c>
      <c r="G39" s="5">
        <f t="shared" si="1"/>
        <v>0.13980635893975979</v>
      </c>
      <c r="H39" s="5">
        <f t="shared" si="2"/>
        <v>2.9484311064770452E-2</v>
      </c>
      <c r="J39" s="4">
        <v>41091</v>
      </c>
      <c r="K39">
        <v>4.0210240278428504</v>
      </c>
      <c r="M39" s="4">
        <v>41091</v>
      </c>
      <c r="N39">
        <v>3.9915397167780799</v>
      </c>
    </row>
    <row r="40" spans="2:14">
      <c r="B40" s="4">
        <v>41061</v>
      </c>
      <c r="C40" s="5">
        <v>4.3125175098783002</v>
      </c>
      <c r="D40" s="5">
        <v>4.0942294802658896</v>
      </c>
      <c r="E40" s="5">
        <v>4.0796072104057002</v>
      </c>
      <c r="F40" s="5">
        <f t="shared" si="0"/>
        <v>0.21828802961241056</v>
      </c>
      <c r="G40" s="5">
        <f t="shared" si="1"/>
        <v>0.2329102994726</v>
      </c>
      <c r="H40" s="5">
        <f t="shared" si="2"/>
        <v>1.4622269860189441E-2</v>
      </c>
      <c r="J40" s="4">
        <v>41061</v>
      </c>
      <c r="K40">
        <v>4.0942294802658896</v>
      </c>
      <c r="M40" s="4">
        <v>41061</v>
      </c>
      <c r="N40">
        <v>4.0796072104057002</v>
      </c>
    </row>
    <row r="41" spans="2:14">
      <c r="B41" s="4">
        <v>41030</v>
      </c>
      <c r="C41" s="5">
        <v>4.1556151382690096</v>
      </c>
      <c r="D41" s="5">
        <v>4.17333271294269</v>
      </c>
      <c r="E41" s="5">
        <v>4.0951346139394103</v>
      </c>
      <c r="F41" s="5">
        <f t="shared" si="0"/>
        <v>-1.7717574673680403E-2</v>
      </c>
      <c r="G41" s="5">
        <f t="shared" si="1"/>
        <v>6.0480524329599383E-2</v>
      </c>
      <c r="H41" s="5">
        <f t="shared" si="2"/>
        <v>7.8198099003279786E-2</v>
      </c>
      <c r="J41" s="4">
        <v>41030</v>
      </c>
      <c r="K41">
        <v>4.17333271294269</v>
      </c>
      <c r="M41" s="4">
        <v>41030</v>
      </c>
      <c r="N41">
        <v>4.0951346139394103</v>
      </c>
    </row>
    <row r="42" spans="2:14">
      <c r="B42" s="4">
        <v>41000</v>
      </c>
      <c r="C42" s="5">
        <v>4.1739330968867403</v>
      </c>
      <c r="D42" s="5">
        <v>4.1092129545932403</v>
      </c>
      <c r="E42" s="5">
        <v>4.0552340372442899</v>
      </c>
      <c r="F42" s="5">
        <f t="shared" si="0"/>
        <v>6.4720142293499983E-2</v>
      </c>
      <c r="G42" s="5">
        <f t="shared" si="1"/>
        <v>0.11869905964245042</v>
      </c>
      <c r="H42" s="5">
        <f t="shared" si="2"/>
        <v>5.3978917348950439E-2</v>
      </c>
      <c r="J42" s="4">
        <v>41000</v>
      </c>
      <c r="K42">
        <v>4.1092129545932403</v>
      </c>
      <c r="M42" s="4">
        <v>41000</v>
      </c>
      <c r="N42">
        <v>4.0552340372442899</v>
      </c>
    </row>
    <row r="43" spans="2:14">
      <c r="B43" s="4">
        <v>40969</v>
      </c>
      <c r="C43" s="5">
        <v>4.1882604412744202</v>
      </c>
      <c r="D43" s="5">
        <v>4.1549008131127501</v>
      </c>
      <c r="E43" s="5">
        <v>4.0730557594336103</v>
      </c>
      <c r="F43" s="5">
        <f t="shared" si="0"/>
        <v>3.3359628161670152E-2</v>
      </c>
      <c r="G43" s="5">
        <f t="shared" si="1"/>
        <v>0.1152046818408099</v>
      </c>
      <c r="H43" s="5">
        <f t="shared" si="2"/>
        <v>8.1845053679139745E-2</v>
      </c>
      <c r="J43" s="4">
        <v>40969</v>
      </c>
      <c r="K43">
        <v>4.1549008131127501</v>
      </c>
      <c r="M43" s="4">
        <v>40969</v>
      </c>
      <c r="N43">
        <v>4.0730557594336103</v>
      </c>
    </row>
    <row r="44" spans="2:14">
      <c r="B44" s="4">
        <v>40940</v>
      </c>
      <c r="C44" s="5">
        <v>4.2765226382154298</v>
      </c>
      <c r="D44" s="5">
        <v>4.2256085430486303</v>
      </c>
      <c r="E44" s="5">
        <v>4.1302566229502302</v>
      </c>
      <c r="F44" s="5">
        <f t="shared" si="0"/>
        <v>5.0914095166799456E-2</v>
      </c>
      <c r="G44" s="5">
        <f t="shared" si="1"/>
        <v>0.14626601526519956</v>
      </c>
      <c r="H44" s="5">
        <f t="shared" si="2"/>
        <v>9.53519200984001E-2</v>
      </c>
      <c r="J44" s="4">
        <v>40940</v>
      </c>
      <c r="K44">
        <v>4.2256085430486303</v>
      </c>
      <c r="M44" s="4">
        <v>40940</v>
      </c>
      <c r="N44">
        <v>4.1302566229502302</v>
      </c>
    </row>
    <row r="45" spans="2:14">
      <c r="B45" s="4">
        <v>40909</v>
      </c>
      <c r="C45" s="5">
        <v>4.3227644059747696</v>
      </c>
      <c r="D45" s="5">
        <v>4.33310028406291</v>
      </c>
      <c r="E45" s="5">
        <v>4.2152473802194796</v>
      </c>
      <c r="F45" s="5">
        <f t="shared" si="0"/>
        <v>-1.0335878088140404E-2</v>
      </c>
      <c r="G45" s="5">
        <f t="shared" si="1"/>
        <v>0.10751702575528999</v>
      </c>
      <c r="H45" s="5">
        <f t="shared" si="2"/>
        <v>0.11785290384343039</v>
      </c>
      <c r="J45" s="4">
        <v>40909</v>
      </c>
      <c r="K45">
        <v>4.33310028406291</v>
      </c>
      <c r="M45" s="4">
        <v>40909</v>
      </c>
      <c r="N45">
        <v>4.2152473802194796</v>
      </c>
    </row>
    <row r="46" spans="2:14">
      <c r="B46" s="4">
        <v>40878</v>
      </c>
      <c r="C46" s="5">
        <v>4.3278463437356898</v>
      </c>
      <c r="D46" s="5">
        <v>4.2673548758431599</v>
      </c>
      <c r="E46" s="5">
        <v>4.2221592290878203</v>
      </c>
      <c r="F46" s="5">
        <f t="shared" si="0"/>
        <v>6.0491467892529904E-2</v>
      </c>
      <c r="G46" s="5">
        <f t="shared" si="1"/>
        <v>0.10568711464786951</v>
      </c>
      <c r="H46" s="5">
        <f t="shared" si="2"/>
        <v>4.5195646755339602E-2</v>
      </c>
      <c r="J46" s="4">
        <v>40878</v>
      </c>
      <c r="K46">
        <v>4.2673548758431599</v>
      </c>
      <c r="M46" s="4">
        <v>40878</v>
      </c>
      <c r="N46">
        <v>4.2221592290878203</v>
      </c>
    </row>
    <row r="47" spans="2:14">
      <c r="B47" s="4">
        <v>40848</v>
      </c>
      <c r="C47" s="5">
        <v>4.4491338596756798</v>
      </c>
      <c r="D47" s="5">
        <v>4.34694600021336</v>
      </c>
      <c r="E47" s="5">
        <v>4.2804118399340396</v>
      </c>
      <c r="F47" s="5">
        <f t="shared" si="0"/>
        <v>0.10218785946231979</v>
      </c>
      <c r="G47" s="5">
        <f t="shared" si="1"/>
        <v>0.16872201974164014</v>
      </c>
      <c r="H47" s="5">
        <f t="shared" si="2"/>
        <v>6.6534160279320353E-2</v>
      </c>
      <c r="J47" s="4">
        <v>40848</v>
      </c>
      <c r="K47">
        <v>4.34694600021336</v>
      </c>
      <c r="M47" s="4">
        <v>40848</v>
      </c>
      <c r="N47">
        <v>4.2804118399340396</v>
      </c>
    </row>
    <row r="48" spans="2:14">
      <c r="B48" s="4">
        <v>40817</v>
      </c>
      <c r="C48" s="5">
        <v>4.5669157311845598</v>
      </c>
      <c r="D48" s="5">
        <v>4.4539225851543804</v>
      </c>
      <c r="E48" s="5">
        <v>4.3601827778140496</v>
      </c>
      <c r="F48" s="5">
        <f t="shared" si="0"/>
        <v>0.1129931460301794</v>
      </c>
      <c r="G48" s="5">
        <f t="shared" si="1"/>
        <v>0.20673295337051023</v>
      </c>
      <c r="H48" s="5">
        <f t="shared" si="2"/>
        <v>9.3739807340330827E-2</v>
      </c>
      <c r="J48" s="4">
        <v>40817</v>
      </c>
      <c r="K48">
        <v>4.4539225851543804</v>
      </c>
      <c r="M48" s="4">
        <v>40817</v>
      </c>
      <c r="N48">
        <v>4.3601827778140496</v>
      </c>
    </row>
    <row r="49" spans="2:14">
      <c r="B49" s="4">
        <v>40787</v>
      </c>
      <c r="C49" s="5">
        <v>4.8218941601059599</v>
      </c>
      <c r="D49" s="5">
        <v>4.74605707840702</v>
      </c>
      <c r="E49" s="5">
        <v>4.5906352698938502</v>
      </c>
      <c r="F49" s="5">
        <f t="shared" si="0"/>
        <v>7.583708169893999E-2</v>
      </c>
      <c r="G49" s="5">
        <f t="shared" si="1"/>
        <v>0.23125889021210977</v>
      </c>
      <c r="H49" s="5">
        <f t="shared" si="2"/>
        <v>0.15542180851316978</v>
      </c>
      <c r="J49" s="4">
        <v>40787</v>
      </c>
      <c r="K49">
        <v>4.74605707840702</v>
      </c>
      <c r="M49" s="4">
        <v>40787</v>
      </c>
      <c r="N49">
        <v>4.5906352698938502</v>
      </c>
    </row>
    <row r="50" spans="2:14">
      <c r="B50" s="4">
        <v>40756</v>
      </c>
      <c r="C50" s="5">
        <v>4.9368701544670603</v>
      </c>
      <c r="D50" s="5">
        <v>4.77017791678142</v>
      </c>
      <c r="E50" s="5">
        <v>4.7660299889469897</v>
      </c>
      <c r="F50" s="5">
        <f t="shared" si="0"/>
        <v>0.16669223768564034</v>
      </c>
      <c r="G50" s="5">
        <f t="shared" si="1"/>
        <v>0.17084016552007064</v>
      </c>
      <c r="H50" s="5">
        <f t="shared" si="2"/>
        <v>4.1479278344302983E-3</v>
      </c>
      <c r="J50" s="4">
        <v>40756</v>
      </c>
      <c r="K50">
        <v>4.77017791678142</v>
      </c>
      <c r="M50" s="4">
        <v>40756</v>
      </c>
      <c r="N50">
        <v>4.7660299889469897</v>
      </c>
    </row>
    <row r="51" spans="2:14">
      <c r="B51" s="4">
        <v>40725</v>
      </c>
      <c r="C51" s="5">
        <v>4.9621704900752599</v>
      </c>
      <c r="D51" s="5">
        <v>4.9444954687776601</v>
      </c>
      <c r="E51" s="5">
        <v>4.8542933668009498</v>
      </c>
      <c r="F51" s="5">
        <f t="shared" si="0"/>
        <v>1.7675021297599791E-2</v>
      </c>
      <c r="G51" s="5">
        <f t="shared" si="1"/>
        <v>0.10787712327431009</v>
      </c>
      <c r="H51" s="5">
        <f t="shared" si="2"/>
        <v>9.0202101976710303E-2</v>
      </c>
      <c r="J51" s="4">
        <v>40725</v>
      </c>
      <c r="K51">
        <v>4.9444954687776601</v>
      </c>
      <c r="M51" s="4">
        <v>40725</v>
      </c>
      <c r="N51">
        <v>4.8542933668009498</v>
      </c>
    </row>
    <row r="52" spans="2:14">
      <c r="B52" s="4">
        <v>40695</v>
      </c>
      <c r="C52" s="5">
        <v>5.11213707449979</v>
      </c>
      <c r="D52" s="5">
        <v>5.0106522497190102</v>
      </c>
      <c r="E52" s="5">
        <v>4.95904409974725</v>
      </c>
      <c r="F52" s="5">
        <f t="shared" si="0"/>
        <v>0.1014848247807798</v>
      </c>
      <c r="G52" s="5">
        <f t="shared" si="1"/>
        <v>0.15309297475254002</v>
      </c>
      <c r="H52" s="5">
        <f t="shared" si="2"/>
        <v>5.160814997176022E-2</v>
      </c>
      <c r="J52" s="4">
        <v>40695</v>
      </c>
      <c r="K52">
        <v>5.0106522497190102</v>
      </c>
      <c r="M52" s="4">
        <v>40695</v>
      </c>
      <c r="N52">
        <v>4.95904409974725</v>
      </c>
    </row>
    <row r="53" spans="2:14">
      <c r="B53" s="4">
        <v>40664</v>
      </c>
      <c r="C53" s="5">
        <v>5.0898398470488999</v>
      </c>
      <c r="D53" s="5">
        <v>5.1272066949473798</v>
      </c>
      <c r="E53" s="5">
        <v>5.0024613921514902</v>
      </c>
      <c r="F53" s="5">
        <f t="shared" si="0"/>
        <v>-3.7366847898479882E-2</v>
      </c>
      <c r="G53" s="5">
        <f t="shared" si="1"/>
        <v>8.7378454897409696E-2</v>
      </c>
      <c r="H53" s="5">
        <f t="shared" si="2"/>
        <v>0.12474530279588958</v>
      </c>
      <c r="J53" s="4">
        <v>40664</v>
      </c>
      <c r="K53">
        <v>5.1272066949473798</v>
      </c>
      <c r="M53" s="4">
        <v>40664</v>
      </c>
      <c r="N53">
        <v>5.0024613921514902</v>
      </c>
    </row>
    <row r="54" spans="2:14">
      <c r="B54" s="4">
        <v>40634</v>
      </c>
      <c r="C54" s="5">
        <v>4.9859301813030701</v>
      </c>
      <c r="D54" s="5">
        <v>5.1598024386056496</v>
      </c>
      <c r="E54" s="5">
        <v>4.9197654711748502</v>
      </c>
      <c r="F54" s="5">
        <f t="shared" si="0"/>
        <v>-0.17387225730257949</v>
      </c>
      <c r="G54" s="5">
        <f t="shared" si="1"/>
        <v>6.6164710128219895E-2</v>
      </c>
      <c r="H54" s="5">
        <f t="shared" si="2"/>
        <v>0.24003696743079939</v>
      </c>
      <c r="J54" s="4">
        <v>40634</v>
      </c>
      <c r="K54">
        <v>5.1598024386056496</v>
      </c>
      <c r="M54" s="4">
        <v>40634</v>
      </c>
      <c r="N54">
        <v>4.9197654711748502</v>
      </c>
    </row>
    <row r="55" spans="2:14">
      <c r="B55" s="4">
        <v>40603</v>
      </c>
      <c r="C55" s="5">
        <v>4.8078077345350003</v>
      </c>
      <c r="D55" s="5">
        <v>4.9744173256000304</v>
      </c>
      <c r="E55" s="5">
        <v>4.8488406302649203</v>
      </c>
      <c r="F55" s="5">
        <f t="shared" si="0"/>
        <v>-0.16660959106503004</v>
      </c>
      <c r="G55" s="5">
        <f t="shared" si="1"/>
        <v>-4.1032895729919971E-2</v>
      </c>
      <c r="H55" s="5">
        <f t="shared" si="2"/>
        <v>0.12557669533511007</v>
      </c>
      <c r="J55" s="4">
        <v>40603</v>
      </c>
      <c r="K55">
        <v>4.9744173256000304</v>
      </c>
      <c r="M55" s="4">
        <v>40603</v>
      </c>
      <c r="N55">
        <v>4.8488406302649203</v>
      </c>
    </row>
    <row r="56" spans="2:14">
      <c r="B56" s="4">
        <v>40575</v>
      </c>
      <c r="C56" s="5">
        <v>4.57035078861953</v>
      </c>
      <c r="D56" s="5">
        <v>4.7009443977877297</v>
      </c>
      <c r="E56" s="5">
        <v>4.6256668706208099</v>
      </c>
      <c r="F56" s="5">
        <f t="shared" si="0"/>
        <v>-0.13059360916819962</v>
      </c>
      <c r="G56" s="5">
        <f t="shared" si="1"/>
        <v>-5.5316082001279909E-2</v>
      </c>
      <c r="H56" s="5">
        <f t="shared" si="2"/>
        <v>7.5277527166919711E-2</v>
      </c>
      <c r="J56" s="4">
        <v>40575</v>
      </c>
      <c r="K56">
        <v>4.7009443977877297</v>
      </c>
      <c r="M56" s="4">
        <v>40575</v>
      </c>
      <c r="N56">
        <v>4.6256668706208099</v>
      </c>
    </row>
    <row r="57" spans="2:14">
      <c r="B57" s="4">
        <v>40544</v>
      </c>
      <c r="C57" s="5">
        <v>4.47777180912228</v>
      </c>
      <c r="D57" s="5">
        <v>4.5086726559339203</v>
      </c>
      <c r="E57" s="5">
        <v>4.4727380652121402</v>
      </c>
      <c r="F57" s="5">
        <f t="shared" si="0"/>
        <v>-3.0900846811640292E-2</v>
      </c>
      <c r="G57" s="5">
        <f t="shared" si="1"/>
        <v>5.0337439101397763E-3</v>
      </c>
      <c r="H57" s="5">
        <f t="shared" si="2"/>
        <v>3.5934590721780069E-2</v>
      </c>
      <c r="J57" s="4">
        <v>40544</v>
      </c>
      <c r="K57">
        <v>4.5086726559339203</v>
      </c>
      <c r="M57" s="4">
        <v>40544</v>
      </c>
      <c r="N57">
        <v>4.4727380652121402</v>
      </c>
    </row>
    <row r="58" spans="2:14">
      <c r="B58" s="4">
        <v>40513</v>
      </c>
      <c r="C58" s="5">
        <v>4.5070489226462804</v>
      </c>
      <c r="D58" s="5">
        <v>4.3965985586797096</v>
      </c>
      <c r="E58" s="5">
        <v>4.4263113947291099</v>
      </c>
      <c r="F58" s="5">
        <f t="shared" si="0"/>
        <v>0.11045036396657082</v>
      </c>
      <c r="G58" s="5">
        <f t="shared" si="1"/>
        <v>8.0737527917170482E-2</v>
      </c>
      <c r="H58" s="5">
        <f t="shared" si="2"/>
        <v>-2.9712836049400337E-2</v>
      </c>
      <c r="J58" s="4">
        <v>40513</v>
      </c>
      <c r="K58">
        <v>4.3965985586797096</v>
      </c>
      <c r="M58" s="4">
        <v>40513</v>
      </c>
      <c r="N58">
        <v>4.4263113947291099</v>
      </c>
    </row>
    <row r="59" spans="2:14">
      <c r="B59" s="4">
        <v>40483</v>
      </c>
      <c r="C59" s="5">
        <v>4.6242812881039903</v>
      </c>
      <c r="D59" s="5">
        <v>4.5257030510575804</v>
      </c>
      <c r="E59" s="5">
        <v>4.46808288934138</v>
      </c>
      <c r="F59" s="5">
        <f t="shared" si="0"/>
        <v>9.8578237046409889E-2</v>
      </c>
      <c r="G59" s="5">
        <f t="shared" si="1"/>
        <v>0.15619839876261032</v>
      </c>
      <c r="H59" s="5">
        <f t="shared" si="2"/>
        <v>5.7620161716200435E-2</v>
      </c>
      <c r="J59" s="4">
        <v>40483</v>
      </c>
      <c r="K59">
        <v>4.5257030510575804</v>
      </c>
      <c r="M59" s="4">
        <v>40483</v>
      </c>
      <c r="N59">
        <v>4.46808288934138</v>
      </c>
    </row>
    <row r="60" spans="2:14">
      <c r="B60" s="4">
        <v>40452</v>
      </c>
      <c r="C60" s="5">
        <v>4.6829538502499499</v>
      </c>
      <c r="D60" s="5">
        <v>4.6295395373089496</v>
      </c>
      <c r="E60" s="5">
        <v>4.5241107366993702</v>
      </c>
      <c r="F60" s="5">
        <f t="shared" si="0"/>
        <v>5.3414312941000297E-2</v>
      </c>
      <c r="G60" s="5">
        <f t="shared" si="1"/>
        <v>0.15884311355057967</v>
      </c>
      <c r="H60" s="5">
        <f t="shared" si="2"/>
        <v>0.10542880060957938</v>
      </c>
      <c r="J60" s="4">
        <v>40452</v>
      </c>
      <c r="K60">
        <v>4.6295395373089496</v>
      </c>
      <c r="M60" s="4">
        <v>40452</v>
      </c>
      <c r="N60">
        <v>4.5241107366993702</v>
      </c>
    </row>
    <row r="61" spans="2:14">
      <c r="B61" s="4">
        <v>40422</v>
      </c>
      <c r="C61" s="5">
        <v>4.7967452175748404</v>
      </c>
      <c r="D61" s="5">
        <v>4.7233472303049897</v>
      </c>
      <c r="E61" s="5">
        <v>4.6422108273695404</v>
      </c>
      <c r="F61" s="5">
        <f t="shared" si="0"/>
        <v>7.3397987269850695E-2</v>
      </c>
      <c r="G61" s="5">
        <f t="shared" si="1"/>
        <v>0.15453439020530002</v>
      </c>
      <c r="H61" s="5">
        <f t="shared" si="2"/>
        <v>8.1136402935449325E-2</v>
      </c>
      <c r="J61" s="4">
        <v>40422</v>
      </c>
      <c r="K61">
        <v>4.7233472303049897</v>
      </c>
      <c r="M61" s="4">
        <v>40422</v>
      </c>
      <c r="N61">
        <v>4.6422108273695404</v>
      </c>
    </row>
    <row r="62" spans="2:14">
      <c r="B62" s="4">
        <v>40391</v>
      </c>
      <c r="C62" s="5">
        <v>4.9665212100368699</v>
      </c>
      <c r="D62" s="5">
        <v>4.9026518418762004</v>
      </c>
      <c r="E62" s="5">
        <v>4.7850141216470501</v>
      </c>
      <c r="F62" s="5">
        <f t="shared" si="0"/>
        <v>6.386936816066946E-2</v>
      </c>
      <c r="G62" s="5">
        <f t="shared" si="1"/>
        <v>0.18150708838981977</v>
      </c>
      <c r="H62" s="5">
        <f t="shared" si="2"/>
        <v>0.11763772022915031</v>
      </c>
      <c r="J62" s="4">
        <v>40391</v>
      </c>
      <c r="K62">
        <v>4.9026518418762004</v>
      </c>
      <c r="M62" s="4">
        <v>40391</v>
      </c>
      <c r="N62">
        <v>4.7850141216470501</v>
      </c>
    </row>
    <row r="63" spans="2:14">
      <c r="B63" s="4">
        <v>40360</v>
      </c>
      <c r="C63" s="5">
        <v>5.1335206483369902</v>
      </c>
      <c r="D63" s="5">
        <v>5.2044462933785898</v>
      </c>
      <c r="E63" s="5">
        <v>5.0279533756399903</v>
      </c>
      <c r="F63" s="5">
        <f t="shared" si="0"/>
        <v>-7.0925645041599594E-2</v>
      </c>
      <c r="G63" s="5">
        <f t="shared" si="1"/>
        <v>0.10556727269699984</v>
      </c>
      <c r="H63" s="5">
        <f t="shared" si="2"/>
        <v>0.17649291773859943</v>
      </c>
      <c r="J63" s="4">
        <v>40360</v>
      </c>
      <c r="K63">
        <v>5.2044462933785898</v>
      </c>
      <c r="M63" s="4">
        <v>40360</v>
      </c>
      <c r="N63">
        <v>5.0279533756399903</v>
      </c>
    </row>
    <row r="64" spans="2:14">
      <c r="B64" s="4">
        <v>40330</v>
      </c>
      <c r="C64" s="5">
        <v>5.1970539533687603</v>
      </c>
      <c r="D64" s="5">
        <v>5.2384048241764596</v>
      </c>
      <c r="E64" s="5">
        <v>5.1463617792058498</v>
      </c>
      <c r="F64" s="5">
        <f t="shared" si="0"/>
        <v>-4.135087080769928E-2</v>
      </c>
      <c r="G64" s="5">
        <f t="shared" si="1"/>
        <v>5.0692174162910497E-2</v>
      </c>
      <c r="H64" s="5">
        <f t="shared" si="2"/>
        <v>9.2043044970609778E-2</v>
      </c>
      <c r="J64" s="4">
        <v>40330</v>
      </c>
      <c r="K64">
        <v>5.2384048241764596</v>
      </c>
      <c r="M64" s="4">
        <v>40330</v>
      </c>
      <c r="N64">
        <v>5.1463617792058498</v>
      </c>
    </row>
    <row r="65" spans="2:14">
      <c r="B65" s="4">
        <v>40299</v>
      </c>
      <c r="C65" s="5">
        <v>5.1822039110491298</v>
      </c>
      <c r="D65" s="5">
        <v>5.1723318777901603</v>
      </c>
      <c r="E65" s="5">
        <v>5.1203829978817703</v>
      </c>
      <c r="F65" s="5">
        <f t="shared" si="0"/>
        <v>9.8720332589694593E-3</v>
      </c>
      <c r="G65" s="5">
        <f t="shared" si="1"/>
        <v>6.1820913167359492E-2</v>
      </c>
      <c r="H65" s="5">
        <f t="shared" si="2"/>
        <v>5.1948879908390033E-2</v>
      </c>
      <c r="J65" s="4">
        <v>40299</v>
      </c>
      <c r="K65">
        <v>5.1723318777901603</v>
      </c>
      <c r="M65" s="4">
        <v>40299</v>
      </c>
      <c r="N65">
        <v>5.1203829978817703</v>
      </c>
    </row>
    <row r="66" spans="2:14">
      <c r="B66" s="4">
        <v>40269</v>
      </c>
      <c r="C66" s="5">
        <v>5.1143490178859601</v>
      </c>
      <c r="D66" s="5">
        <v>5.2625221084983602</v>
      </c>
      <c r="E66" s="5">
        <v>5.1197191823873904</v>
      </c>
      <c r="F66" s="5">
        <f t="shared" si="0"/>
        <v>-0.14817309061240014</v>
      </c>
      <c r="G66" s="5">
        <f t="shared" si="1"/>
        <v>-5.3701645014303523E-3</v>
      </c>
      <c r="H66" s="5">
        <f t="shared" si="2"/>
        <v>0.14280292611096979</v>
      </c>
      <c r="J66" s="4">
        <v>40269</v>
      </c>
      <c r="K66">
        <v>5.2625221084983602</v>
      </c>
      <c r="M66" s="4">
        <v>40269</v>
      </c>
      <c r="N66">
        <v>5.1197191823873904</v>
      </c>
    </row>
    <row r="67" spans="2:14">
      <c r="B67" s="4">
        <v>40238</v>
      </c>
      <c r="C67" s="5">
        <v>5.0940064737528603</v>
      </c>
      <c r="D67" s="5">
        <v>5.1536480736346402</v>
      </c>
      <c r="E67" s="5">
        <v>5.0761830844653897</v>
      </c>
      <c r="F67" s="5">
        <f t="shared" si="0"/>
        <v>-5.9641599881779861E-2</v>
      </c>
      <c r="G67" s="5">
        <f t="shared" si="1"/>
        <v>1.7823389287470626E-2</v>
      </c>
      <c r="H67" s="5">
        <f t="shared" si="2"/>
        <v>7.7464989169250487E-2</v>
      </c>
      <c r="J67" s="4">
        <v>40238</v>
      </c>
      <c r="K67">
        <v>5.1536480736346402</v>
      </c>
      <c r="M67" s="4">
        <v>40238</v>
      </c>
      <c r="N67">
        <v>5.0761830844653897</v>
      </c>
    </row>
    <row r="68" spans="2:14">
      <c r="B68" s="4">
        <v>40210</v>
      </c>
      <c r="C68" s="5">
        <v>5.0325290775223701</v>
      </c>
      <c r="D68" s="5">
        <v>5.0033117888577898</v>
      </c>
      <c r="E68" s="5">
        <v>5.0031136856172704</v>
      </c>
      <c r="F68" s="5">
        <f t="shared" si="0"/>
        <v>2.9217288664580288E-2</v>
      </c>
      <c r="G68" s="5">
        <f t="shared" si="1"/>
        <v>2.9415391905099675E-2</v>
      </c>
      <c r="H68" s="5">
        <f t="shared" si="2"/>
        <v>1.9810324051938721E-4</v>
      </c>
      <c r="J68" s="4">
        <v>40210</v>
      </c>
      <c r="K68">
        <v>5.0033117888577898</v>
      </c>
      <c r="M68" s="4">
        <v>40210</v>
      </c>
      <c r="N68">
        <v>5.0031136856172704</v>
      </c>
    </row>
    <row r="69" spans="2:14">
      <c r="B69" s="4">
        <v>40179</v>
      </c>
      <c r="C69" s="5">
        <v>5.0819040507103104</v>
      </c>
      <c r="D69" s="5">
        <v>5.0607206510651999</v>
      </c>
      <c r="E69" s="5">
        <v>5.0065109001000803</v>
      </c>
      <c r="F69" s="5">
        <f t="shared" ref="F69:F129" si="3">C69-D69</f>
        <v>2.1183399645110512E-2</v>
      </c>
      <c r="G69" s="5">
        <f t="shared" ref="G69:G129" si="4">C69-E69</f>
        <v>7.5393150610230109E-2</v>
      </c>
      <c r="H69" s="5">
        <f t="shared" ref="H69:H129" si="5">D69-E69</f>
        <v>5.4209750965119596E-2</v>
      </c>
      <c r="J69" s="4">
        <v>40179</v>
      </c>
      <c r="K69">
        <v>5.0607206510651999</v>
      </c>
      <c r="M69" s="4">
        <v>40179</v>
      </c>
      <c r="N69">
        <v>5.0065109001000803</v>
      </c>
    </row>
    <row r="70" spans="2:14">
      <c r="B70" s="4">
        <v>40148</v>
      </c>
      <c r="C70" s="5">
        <v>5.0601004655389001</v>
      </c>
      <c r="D70" s="5">
        <v>5.0894250837878499</v>
      </c>
      <c r="E70" s="5">
        <v>5.0281029458344397</v>
      </c>
      <c r="F70" s="5">
        <f t="shared" si="3"/>
        <v>-2.9324618248949719E-2</v>
      </c>
      <c r="G70" s="5">
        <f t="shared" si="4"/>
        <v>3.1997519704460409E-2</v>
      </c>
      <c r="H70" s="5">
        <f t="shared" si="5"/>
        <v>6.1322137953410127E-2</v>
      </c>
      <c r="J70" s="4">
        <v>40148</v>
      </c>
      <c r="K70">
        <v>5.0894250837878499</v>
      </c>
      <c r="M70" s="4">
        <v>40148</v>
      </c>
      <c r="N70">
        <v>5.0281029458344397</v>
      </c>
    </row>
    <row r="71" spans="2:14">
      <c r="B71" s="4">
        <v>40118</v>
      </c>
      <c r="C71" s="5">
        <v>5.1270693264062697</v>
      </c>
      <c r="D71" s="5">
        <v>5.0526037520760498</v>
      </c>
      <c r="E71" s="5">
        <v>5.1209082438209101</v>
      </c>
      <c r="F71" s="5">
        <f t="shared" si="3"/>
        <v>7.446557433021983E-2</v>
      </c>
      <c r="G71" s="5">
        <f t="shared" si="4"/>
        <v>6.161082585359523E-3</v>
      </c>
      <c r="H71" s="5">
        <f t="shared" si="5"/>
        <v>-6.8304491744860307E-2</v>
      </c>
      <c r="J71" s="4">
        <v>40118</v>
      </c>
      <c r="K71">
        <v>5.0526037520760498</v>
      </c>
      <c r="M71" s="4">
        <v>40118</v>
      </c>
      <c r="N71">
        <v>5.1209082438209101</v>
      </c>
    </row>
    <row r="72" spans="2:14">
      <c r="B72" s="4">
        <v>40087</v>
      </c>
      <c r="C72" s="5">
        <v>5.0436840369302098</v>
      </c>
      <c r="D72" s="5">
        <v>5.2545075049288199</v>
      </c>
      <c r="E72" s="5">
        <v>5.2362539252109102</v>
      </c>
      <c r="F72" s="5">
        <f t="shared" si="3"/>
        <v>-0.21082346799861007</v>
      </c>
      <c r="G72" s="5">
        <f t="shared" si="4"/>
        <v>-0.19256988828070032</v>
      </c>
      <c r="H72" s="5">
        <f t="shared" si="5"/>
        <v>1.8253579717909751E-2</v>
      </c>
      <c r="J72" s="4">
        <v>40087</v>
      </c>
      <c r="K72">
        <v>5.2545075049288199</v>
      </c>
      <c r="M72" s="4">
        <v>40087</v>
      </c>
      <c r="N72">
        <v>5.2362539252109102</v>
      </c>
    </row>
    <row r="73" spans="2:14">
      <c r="B73" s="4">
        <v>40057</v>
      </c>
      <c r="C73" s="5">
        <v>5.0708901929194203</v>
      </c>
      <c r="D73" s="5">
        <v>5.3101678904135801</v>
      </c>
      <c r="E73" s="5">
        <v>5.3883722712743003</v>
      </c>
      <c r="F73" s="5">
        <f t="shared" si="3"/>
        <v>-0.23927769749415972</v>
      </c>
      <c r="G73" s="5">
        <f t="shared" si="4"/>
        <v>-0.31748207835487996</v>
      </c>
      <c r="H73" s="5">
        <f t="shared" si="5"/>
        <v>-7.8204380860720235E-2</v>
      </c>
      <c r="J73" s="4">
        <v>40057</v>
      </c>
      <c r="K73">
        <v>5.3101678904135801</v>
      </c>
      <c r="M73" s="4">
        <v>40057</v>
      </c>
      <c r="N73">
        <v>5.3883722712743003</v>
      </c>
    </row>
    <row r="74" spans="2:14">
      <c r="B74" s="4">
        <v>40026</v>
      </c>
      <c r="C74" s="5">
        <v>4.9170217745910296</v>
      </c>
      <c r="D74" s="5">
        <v>5.0901129423818601</v>
      </c>
      <c r="E74" s="5">
        <v>5.0821268609385104</v>
      </c>
      <c r="F74" s="5">
        <f t="shared" si="3"/>
        <v>-0.17309116779083045</v>
      </c>
      <c r="G74" s="5">
        <f t="shared" si="4"/>
        <v>-0.16510508634748078</v>
      </c>
      <c r="H74" s="5">
        <f t="shared" si="5"/>
        <v>7.9860814433496685E-3</v>
      </c>
      <c r="J74" s="4">
        <v>40026</v>
      </c>
      <c r="K74">
        <v>5.0901129423818601</v>
      </c>
      <c r="M74" s="4">
        <v>40026</v>
      </c>
      <c r="N74">
        <v>5.0821268609385104</v>
      </c>
    </row>
    <row r="75" spans="2:14">
      <c r="B75" s="4">
        <v>39995</v>
      </c>
      <c r="C75" s="5">
        <v>4.8347262351269</v>
      </c>
      <c r="D75" s="5">
        <v>4.9031303299357702</v>
      </c>
      <c r="E75" s="5">
        <v>4.9194447639263403</v>
      </c>
      <c r="F75" s="5">
        <f t="shared" si="3"/>
        <v>-6.8404094808870219E-2</v>
      </c>
      <c r="G75" s="5">
        <f t="shared" si="4"/>
        <v>-8.4718528799440307E-2</v>
      </c>
      <c r="H75" s="5">
        <f t="shared" si="5"/>
        <v>-1.6314433990570087E-2</v>
      </c>
      <c r="J75" s="4">
        <v>39995</v>
      </c>
      <c r="K75">
        <v>4.9031303299357702</v>
      </c>
      <c r="M75" s="4">
        <v>39995</v>
      </c>
      <c r="N75">
        <v>4.9194447639263403</v>
      </c>
    </row>
    <row r="76" spans="2:14">
      <c r="B76" s="4">
        <v>39965</v>
      </c>
      <c r="C76" s="5">
        <v>4.8436569444591697</v>
      </c>
      <c r="D76" s="5">
        <v>5.02641150947629</v>
      </c>
      <c r="E76" s="5">
        <v>5.0433127624664502</v>
      </c>
      <c r="F76" s="5">
        <f t="shared" si="3"/>
        <v>-0.18275456501712029</v>
      </c>
      <c r="G76" s="5">
        <f t="shared" si="4"/>
        <v>-0.19965581800728049</v>
      </c>
      <c r="H76" s="5">
        <f t="shared" si="5"/>
        <v>-1.6901252990160209E-2</v>
      </c>
      <c r="J76" s="4">
        <v>39965</v>
      </c>
      <c r="K76">
        <v>5.02641150947629</v>
      </c>
      <c r="M76" s="4">
        <v>39965</v>
      </c>
      <c r="N76">
        <v>5.0433127624664502</v>
      </c>
    </row>
    <row r="77" spans="2:14">
      <c r="B77" s="4">
        <v>39934</v>
      </c>
      <c r="C77" s="5">
        <v>5.0053142767531096</v>
      </c>
      <c r="D77" s="5">
        <v>5.5034726021122697</v>
      </c>
      <c r="E77" s="5">
        <v>5.4341002241852001</v>
      </c>
      <c r="F77" s="5">
        <f t="shared" si="3"/>
        <v>-0.49815832535916016</v>
      </c>
      <c r="G77" s="5">
        <f t="shared" si="4"/>
        <v>-0.42878594743209053</v>
      </c>
      <c r="H77" s="5">
        <f t="shared" si="5"/>
        <v>6.9372377927069628E-2</v>
      </c>
      <c r="J77" s="4">
        <v>39934</v>
      </c>
      <c r="K77">
        <v>5.5034726021122697</v>
      </c>
      <c r="M77" s="4">
        <v>39934</v>
      </c>
      <c r="N77">
        <v>5.4341002241852001</v>
      </c>
    </row>
    <row r="78" spans="2:14">
      <c r="B78" s="4">
        <v>39904</v>
      </c>
      <c r="C78" s="5">
        <v>4.9033025170080702</v>
      </c>
      <c r="D78" s="5">
        <v>4.9790307716941102</v>
      </c>
      <c r="E78" s="5">
        <v>4.95152249298161</v>
      </c>
      <c r="F78" s="5">
        <f t="shared" si="3"/>
        <v>-7.5728254686040053E-2</v>
      </c>
      <c r="G78" s="5">
        <f t="shared" si="4"/>
        <v>-4.8219975973539775E-2</v>
      </c>
      <c r="H78" s="5">
        <f t="shared" si="5"/>
        <v>2.7508278712500278E-2</v>
      </c>
      <c r="J78" s="4">
        <v>39904</v>
      </c>
      <c r="K78">
        <v>4.9790307716941102</v>
      </c>
      <c r="M78" s="4">
        <v>39904</v>
      </c>
      <c r="N78">
        <v>4.95152249298161</v>
      </c>
    </row>
    <row r="79" spans="2:14">
      <c r="B79" s="4">
        <v>39873</v>
      </c>
      <c r="C79" s="5">
        <v>4.9372645695745003</v>
      </c>
      <c r="D79" s="5">
        <v>4.9859417574931797</v>
      </c>
      <c r="E79" s="5">
        <v>4.9508646158068697</v>
      </c>
      <c r="F79" s="5">
        <f t="shared" si="3"/>
        <v>-4.8677187918679365E-2</v>
      </c>
      <c r="G79" s="5">
        <f t="shared" si="4"/>
        <v>-1.3600046232369323E-2</v>
      </c>
      <c r="H79" s="5">
        <f t="shared" si="5"/>
        <v>3.5077141686310043E-2</v>
      </c>
      <c r="J79" s="4">
        <v>39873</v>
      </c>
      <c r="K79">
        <v>4.9859417574931797</v>
      </c>
      <c r="M79" s="4">
        <v>39873</v>
      </c>
      <c r="N79">
        <v>4.9508646158068697</v>
      </c>
    </row>
    <row r="80" spans="2:14">
      <c r="B80" s="4">
        <v>39845</v>
      </c>
      <c r="C80" s="5">
        <v>4.9958465711364504</v>
      </c>
      <c r="D80" s="5">
        <v>4.8140476772344503</v>
      </c>
      <c r="E80" s="5">
        <v>4.9641054943975496</v>
      </c>
      <c r="F80" s="5">
        <f t="shared" si="3"/>
        <v>0.1817988939020001</v>
      </c>
      <c r="G80" s="5">
        <f t="shared" si="4"/>
        <v>3.1741076738900809E-2</v>
      </c>
      <c r="H80" s="5">
        <f t="shared" si="5"/>
        <v>-0.15005781716309929</v>
      </c>
      <c r="J80" s="4">
        <v>39845</v>
      </c>
      <c r="K80">
        <v>4.8140476772344503</v>
      </c>
      <c r="M80" s="4">
        <v>39845</v>
      </c>
      <c r="N80">
        <v>4.9641054943975496</v>
      </c>
    </row>
    <row r="81" spans="2:14">
      <c r="B81" s="4">
        <v>39814</v>
      </c>
      <c r="C81" s="5">
        <v>5.4116982160407501</v>
      </c>
      <c r="D81" s="5">
        <v>5.5879429462892798</v>
      </c>
      <c r="E81" s="5">
        <v>5.6622577166640902</v>
      </c>
      <c r="F81" s="5">
        <f t="shared" si="3"/>
        <v>-0.17624473024852971</v>
      </c>
      <c r="G81" s="5">
        <f t="shared" si="4"/>
        <v>-0.25055950062334009</v>
      </c>
      <c r="H81" s="5">
        <f t="shared" si="5"/>
        <v>-7.4314770374810379E-2</v>
      </c>
      <c r="J81" s="4">
        <v>39814</v>
      </c>
      <c r="K81">
        <v>5.5879429462892798</v>
      </c>
      <c r="M81" s="4">
        <v>39814</v>
      </c>
      <c r="N81">
        <v>5.6622577166640902</v>
      </c>
    </row>
    <row r="82" spans="2:14">
      <c r="B82" s="4">
        <v>39783</v>
      </c>
      <c r="C82" s="5">
        <v>5.95114825620941</v>
      </c>
      <c r="D82" s="5">
        <v>6.0305100587502203</v>
      </c>
      <c r="E82" s="5">
        <v>5.8596863041649598</v>
      </c>
      <c r="F82" s="5">
        <f t="shared" si="3"/>
        <v>-7.9361802540810267E-2</v>
      </c>
      <c r="G82" s="5">
        <f t="shared" si="4"/>
        <v>9.1461952044450179E-2</v>
      </c>
      <c r="H82" s="5">
        <f t="shared" si="5"/>
        <v>0.17082375458526045</v>
      </c>
      <c r="J82" s="4">
        <v>39783</v>
      </c>
      <c r="K82">
        <v>6.0305100587502203</v>
      </c>
      <c r="M82" s="4">
        <v>39783</v>
      </c>
      <c r="N82">
        <v>5.8596863041649598</v>
      </c>
    </row>
    <row r="83" spans="2:14">
      <c r="B83" s="4">
        <v>39753</v>
      </c>
      <c r="C83" s="5">
        <v>6.1086940972447898</v>
      </c>
      <c r="D83" s="5">
        <v>6.1393205362583698</v>
      </c>
      <c r="E83" s="5">
        <v>6.0422214557060299</v>
      </c>
      <c r="F83" s="5">
        <f t="shared" si="3"/>
        <v>-3.0626439013579976E-2</v>
      </c>
      <c r="G83" s="5">
        <f t="shared" si="4"/>
        <v>6.647264153875998E-2</v>
      </c>
      <c r="H83" s="5">
        <f t="shared" si="5"/>
        <v>9.7099080552339956E-2</v>
      </c>
      <c r="J83" s="4">
        <v>39753</v>
      </c>
      <c r="K83">
        <v>6.1393205362583698</v>
      </c>
      <c r="M83" s="4">
        <v>39753</v>
      </c>
      <c r="N83">
        <v>6.0422214557060299</v>
      </c>
    </row>
    <row r="84" spans="2:14">
      <c r="B84" s="4">
        <v>39722</v>
      </c>
      <c r="C84" s="5">
        <v>6.1605734440785103</v>
      </c>
      <c r="D84" s="5">
        <v>6.3360286152089502</v>
      </c>
      <c r="E84" s="5">
        <v>6.2080239949810698</v>
      </c>
      <c r="F84" s="5">
        <f t="shared" si="3"/>
        <v>-0.17545517113043996</v>
      </c>
      <c r="G84" s="5">
        <f t="shared" si="4"/>
        <v>-4.7450550902559563E-2</v>
      </c>
      <c r="H84" s="5">
        <f t="shared" si="5"/>
        <v>0.12800462022788039</v>
      </c>
      <c r="J84" s="4">
        <v>39722</v>
      </c>
      <c r="K84">
        <v>6.3360286152089502</v>
      </c>
      <c r="M84" s="4">
        <v>39722</v>
      </c>
      <c r="N84">
        <v>6.2080239949810698</v>
      </c>
    </row>
    <row r="85" spans="2:14">
      <c r="B85" s="4">
        <v>39692</v>
      </c>
      <c r="C85" s="5">
        <v>6.3731672691902599</v>
      </c>
      <c r="D85" s="5">
        <v>6.65090654381852</v>
      </c>
      <c r="E85" s="5">
        <v>6.4089655022722702</v>
      </c>
      <c r="F85" s="5">
        <f t="shared" si="3"/>
        <v>-0.27773927462826009</v>
      </c>
      <c r="G85" s="5">
        <f t="shared" si="4"/>
        <v>-3.5798233082010356E-2</v>
      </c>
      <c r="H85" s="5">
        <f t="shared" si="5"/>
        <v>0.24194104154624974</v>
      </c>
      <c r="J85" s="4">
        <v>39692</v>
      </c>
      <c r="K85">
        <v>6.65090654381852</v>
      </c>
      <c r="M85" s="4">
        <v>39692</v>
      </c>
      <c r="N85">
        <v>6.4089655022722702</v>
      </c>
    </row>
    <row r="86" spans="2:14">
      <c r="B86" s="4">
        <v>39661</v>
      </c>
      <c r="C86" s="5">
        <v>6.1738686786969001</v>
      </c>
      <c r="D86" s="5">
        <v>6.55888596105987</v>
      </c>
      <c r="E86" s="5">
        <v>6.2387191553264101</v>
      </c>
      <c r="F86" s="5">
        <f t="shared" si="3"/>
        <v>-0.38501728236296984</v>
      </c>
      <c r="G86" s="5">
        <f t="shared" si="4"/>
        <v>-6.4850476629509934E-2</v>
      </c>
      <c r="H86" s="5">
        <f t="shared" si="5"/>
        <v>0.3201668057334599</v>
      </c>
      <c r="J86" s="4">
        <v>39661</v>
      </c>
      <c r="K86">
        <v>6.55888596105987</v>
      </c>
      <c r="M86" s="4">
        <v>39661</v>
      </c>
      <c r="N86">
        <v>6.2387191553264101</v>
      </c>
    </row>
    <row r="87" spans="2:14">
      <c r="B87" s="4">
        <v>39630</v>
      </c>
      <c r="C87" s="5">
        <v>6.0117805367643102</v>
      </c>
      <c r="D87" s="5">
        <v>6.5773430662026398</v>
      </c>
      <c r="E87" s="5">
        <v>6.0218748192218401</v>
      </c>
      <c r="F87" s="5">
        <f t="shared" si="3"/>
        <v>-0.56556252943832952</v>
      </c>
      <c r="G87" s="5">
        <f t="shared" si="4"/>
        <v>-1.0094282457529857E-2</v>
      </c>
      <c r="H87" s="5">
        <f t="shared" si="5"/>
        <v>0.55546824698079966</v>
      </c>
      <c r="J87" s="4">
        <v>39630</v>
      </c>
      <c r="K87">
        <v>6.5773430662026398</v>
      </c>
      <c r="M87" s="4">
        <v>39630</v>
      </c>
      <c r="N87">
        <v>6.0218748192218401</v>
      </c>
    </row>
    <row r="88" spans="2:14">
      <c r="B88" s="4">
        <v>39600</v>
      </c>
      <c r="C88" s="5">
        <v>5.8879216459290902</v>
      </c>
      <c r="D88" s="5">
        <v>6.031624251497</v>
      </c>
      <c r="E88" s="5">
        <v>5.9720228438158003</v>
      </c>
      <c r="F88" s="5">
        <f t="shared" si="3"/>
        <v>-0.14370260556790981</v>
      </c>
      <c r="G88" s="5">
        <f t="shared" si="4"/>
        <v>-8.4101197886710111E-2</v>
      </c>
      <c r="H88" s="5">
        <f t="shared" si="5"/>
        <v>5.9601407681199703E-2</v>
      </c>
      <c r="J88" s="4">
        <v>39600</v>
      </c>
      <c r="K88">
        <v>6.031624251497</v>
      </c>
      <c r="M88" s="4">
        <v>39600</v>
      </c>
      <c r="N88">
        <v>5.9720228438158003</v>
      </c>
    </row>
    <row r="89" spans="2:14">
      <c r="B89" s="4">
        <v>39569</v>
      </c>
      <c r="C89" s="5">
        <v>5.8042207761092701</v>
      </c>
      <c r="D89" s="5">
        <v>6.0359561667382797</v>
      </c>
      <c r="E89" s="5">
        <v>5.8368842036889896</v>
      </c>
      <c r="F89" s="5">
        <f t="shared" si="3"/>
        <v>-0.23173539062900961</v>
      </c>
      <c r="G89" s="5">
        <f t="shared" si="4"/>
        <v>-3.2663427579719517E-2</v>
      </c>
      <c r="H89" s="5">
        <f t="shared" si="5"/>
        <v>0.19907196304929009</v>
      </c>
      <c r="J89" s="4">
        <v>39569</v>
      </c>
      <c r="K89">
        <v>6.0359561667382797</v>
      </c>
      <c r="M89" s="4">
        <v>39569</v>
      </c>
      <c r="N89">
        <v>5.8368842036889896</v>
      </c>
    </row>
    <row r="90" spans="2:14">
      <c r="B90" s="4">
        <v>39539</v>
      </c>
      <c r="C90" s="5">
        <v>5.7637600292244597</v>
      </c>
      <c r="D90" s="5">
        <v>5.9791683995526803</v>
      </c>
      <c r="E90" s="5">
        <v>5.7104180355247598</v>
      </c>
      <c r="F90" s="5">
        <f t="shared" si="3"/>
        <v>-0.21540837032822058</v>
      </c>
      <c r="G90" s="5">
        <f t="shared" si="4"/>
        <v>5.3341993699699941E-2</v>
      </c>
      <c r="H90" s="5">
        <f t="shared" si="5"/>
        <v>0.26875036402792052</v>
      </c>
      <c r="J90" s="4">
        <v>39539</v>
      </c>
      <c r="K90">
        <v>5.9791683995526803</v>
      </c>
      <c r="M90" s="4">
        <v>39539</v>
      </c>
      <c r="N90">
        <v>5.7104180355247598</v>
      </c>
    </row>
    <row r="91" spans="2:14">
      <c r="B91" s="4">
        <v>39508</v>
      </c>
      <c r="C91" s="5">
        <v>5.7435418841214796</v>
      </c>
      <c r="D91" s="5">
        <v>5.9431939282981698</v>
      </c>
      <c r="E91" s="5">
        <v>5.7260938763857698</v>
      </c>
      <c r="F91" s="5">
        <f t="shared" si="3"/>
        <v>-0.19965204417669025</v>
      </c>
      <c r="G91" s="5">
        <f t="shared" si="4"/>
        <v>1.7448007735709758E-2</v>
      </c>
      <c r="H91" s="5">
        <f t="shared" si="5"/>
        <v>0.2171000519124</v>
      </c>
      <c r="J91" s="4">
        <v>39508</v>
      </c>
      <c r="K91">
        <v>5.9431939282981698</v>
      </c>
      <c r="M91" s="4">
        <v>39508</v>
      </c>
      <c r="N91">
        <v>5.7260938763857698</v>
      </c>
    </row>
    <row r="92" spans="2:14">
      <c r="B92" s="4">
        <v>39479</v>
      </c>
      <c r="C92" s="5">
        <v>5.9365804213282498</v>
      </c>
      <c r="D92" s="5">
        <v>6.1433166093110403</v>
      </c>
      <c r="E92" s="5">
        <v>5.9576782218423299</v>
      </c>
      <c r="F92" s="5">
        <f t="shared" si="3"/>
        <v>-0.20673618798279048</v>
      </c>
      <c r="G92" s="5">
        <f t="shared" si="4"/>
        <v>-2.1097800514080056E-2</v>
      </c>
      <c r="H92" s="5">
        <f t="shared" si="5"/>
        <v>0.18563838746871042</v>
      </c>
      <c r="J92" s="4">
        <v>39479</v>
      </c>
      <c r="K92">
        <v>6.1433166093110403</v>
      </c>
      <c r="M92" s="4">
        <v>39479</v>
      </c>
      <c r="N92">
        <v>5.9576782218423299</v>
      </c>
    </row>
    <row r="93" spans="2:14">
      <c r="B93" s="4">
        <v>39448</v>
      </c>
      <c r="C93" s="5">
        <v>6.1982599615576399</v>
      </c>
      <c r="D93" s="5">
        <v>6.3152421891756596</v>
      </c>
      <c r="E93" s="5">
        <v>6.2558018281549401</v>
      </c>
      <c r="F93" s="5">
        <f t="shared" si="3"/>
        <v>-0.11698222761801969</v>
      </c>
      <c r="G93" s="5">
        <f t="shared" si="4"/>
        <v>-5.7541866597300206E-2</v>
      </c>
      <c r="H93" s="5">
        <f t="shared" si="5"/>
        <v>5.9440361020719479E-2</v>
      </c>
      <c r="J93" s="4">
        <v>39448</v>
      </c>
      <c r="K93">
        <v>6.3152421891756596</v>
      </c>
      <c r="M93" s="4">
        <v>39448</v>
      </c>
      <c r="N93">
        <v>6.2558018281549401</v>
      </c>
    </row>
    <row r="94" spans="2:14">
      <c r="B94" s="4">
        <v>39417</v>
      </c>
      <c r="C94" s="5">
        <v>6.3394385012274101</v>
      </c>
      <c r="D94" s="5">
        <v>6.38327217239536</v>
      </c>
      <c r="E94" s="5">
        <v>6.3910935421455797</v>
      </c>
      <c r="F94" s="5">
        <f t="shared" si="3"/>
        <v>-4.3833671167949895E-2</v>
      </c>
      <c r="G94" s="5">
        <f t="shared" si="4"/>
        <v>-5.1655040918169526E-2</v>
      </c>
      <c r="H94" s="5">
        <f t="shared" si="5"/>
        <v>-7.8213697502196311E-3</v>
      </c>
      <c r="J94" s="4">
        <v>39417</v>
      </c>
      <c r="K94">
        <v>6.38327217239536</v>
      </c>
      <c r="M94" s="4">
        <v>39417</v>
      </c>
      <c r="N94">
        <v>6.3910935421455797</v>
      </c>
    </row>
    <row r="95" spans="2:14">
      <c r="B95" s="4">
        <v>39387</v>
      </c>
      <c r="C95" s="5">
        <v>6.46532332553672</v>
      </c>
      <c r="D95" s="5">
        <v>6.4972427317042101</v>
      </c>
      <c r="E95" s="5">
        <v>6.4735852917291901</v>
      </c>
      <c r="F95" s="5">
        <f t="shared" si="3"/>
        <v>-3.1919406167490116E-2</v>
      </c>
      <c r="G95" s="5">
        <f t="shared" si="4"/>
        <v>-8.2619661924701049E-3</v>
      </c>
      <c r="H95" s="5">
        <f t="shared" si="5"/>
        <v>2.3657439975020012E-2</v>
      </c>
      <c r="J95" s="4">
        <v>39387</v>
      </c>
      <c r="K95">
        <v>6.4972427317042101</v>
      </c>
      <c r="M95" s="4">
        <v>39387</v>
      </c>
      <c r="N95">
        <v>6.4735852917291901</v>
      </c>
    </row>
    <row r="96" spans="2:14">
      <c r="B96" s="4">
        <v>39356</v>
      </c>
      <c r="C96" s="5">
        <v>6.5700777738285403</v>
      </c>
      <c r="D96" s="5">
        <v>6.6248504403212802</v>
      </c>
      <c r="E96" s="5">
        <v>6.60761287553479</v>
      </c>
      <c r="F96" s="5">
        <f t="shared" si="3"/>
        <v>-5.477266649273993E-2</v>
      </c>
      <c r="G96" s="5">
        <f t="shared" si="4"/>
        <v>-3.7535101706249741E-2</v>
      </c>
      <c r="H96" s="5">
        <f t="shared" si="5"/>
        <v>1.7237564786490189E-2</v>
      </c>
      <c r="J96" s="4">
        <v>39356</v>
      </c>
      <c r="K96">
        <v>6.6248504403212802</v>
      </c>
      <c r="M96" s="4">
        <v>39356</v>
      </c>
      <c r="N96">
        <v>6.60761287553479</v>
      </c>
    </row>
    <row r="97" spans="2:14">
      <c r="B97" s="4">
        <v>39326</v>
      </c>
      <c r="C97" s="5">
        <v>6.5991799225757699</v>
      </c>
      <c r="D97" s="5">
        <v>6.7767987384436097</v>
      </c>
      <c r="E97" s="5">
        <v>6.6516552376793499</v>
      </c>
      <c r="F97" s="5">
        <f t="shared" si="3"/>
        <v>-0.17761881586783979</v>
      </c>
      <c r="G97" s="5">
        <f t="shared" si="4"/>
        <v>-5.2475315103579945E-2</v>
      </c>
      <c r="H97" s="5">
        <f t="shared" si="5"/>
        <v>0.12514350076425984</v>
      </c>
      <c r="J97" s="4">
        <v>39326</v>
      </c>
      <c r="K97">
        <v>6.7767987384436097</v>
      </c>
      <c r="M97" s="4">
        <v>39326</v>
      </c>
      <c r="N97">
        <v>6.6516552376793499</v>
      </c>
    </row>
    <row r="98" spans="2:14">
      <c r="B98" s="4">
        <v>39295</v>
      </c>
      <c r="C98" s="5">
        <v>6.5467608392706502</v>
      </c>
      <c r="D98" s="5">
        <v>6.7227397056198903</v>
      </c>
      <c r="E98" s="5">
        <v>6.5834400513605198</v>
      </c>
      <c r="F98" s="5">
        <f t="shared" si="3"/>
        <v>-0.17597886634924009</v>
      </c>
      <c r="G98" s="5">
        <f t="shared" si="4"/>
        <v>-3.6679212089869573E-2</v>
      </c>
      <c r="H98" s="5">
        <f t="shared" si="5"/>
        <v>0.13929965425937052</v>
      </c>
      <c r="J98" s="4">
        <v>39295</v>
      </c>
      <c r="K98">
        <v>6.7227397056198903</v>
      </c>
      <c r="M98" s="4">
        <v>39295</v>
      </c>
      <c r="N98">
        <v>6.5834400513605198</v>
      </c>
    </row>
    <row r="99" spans="2:14">
      <c r="B99" s="4">
        <v>39264</v>
      </c>
      <c r="C99" s="5">
        <v>6.3439060133520604</v>
      </c>
      <c r="D99" s="5">
        <v>6.6672712474198104</v>
      </c>
      <c r="E99" s="5">
        <v>6.3684215365538597</v>
      </c>
      <c r="F99" s="5">
        <f t="shared" si="3"/>
        <v>-0.32336523406774997</v>
      </c>
      <c r="G99" s="5">
        <f t="shared" si="4"/>
        <v>-2.4515523201799283E-2</v>
      </c>
      <c r="H99" s="5">
        <f t="shared" si="5"/>
        <v>0.29884971086595069</v>
      </c>
      <c r="J99" s="4">
        <v>39264</v>
      </c>
      <c r="K99">
        <v>6.6672712474198104</v>
      </c>
      <c r="M99" s="4">
        <v>39264</v>
      </c>
      <c r="N99">
        <v>6.3684215365538597</v>
      </c>
    </row>
    <row r="100" spans="2:14">
      <c r="B100" s="4">
        <v>39234</v>
      </c>
      <c r="C100" s="5">
        <v>6.2438765224041397</v>
      </c>
      <c r="D100" s="5">
        <v>6.2402690361093898</v>
      </c>
      <c r="E100" s="5">
        <v>6.2258449290489803</v>
      </c>
      <c r="F100" s="5">
        <f t="shared" si="3"/>
        <v>3.6074862947499398E-3</v>
      </c>
      <c r="G100" s="5">
        <f t="shared" si="4"/>
        <v>1.8031593355159359E-2</v>
      </c>
      <c r="H100" s="5">
        <f t="shared" si="5"/>
        <v>1.4424107060409419E-2</v>
      </c>
      <c r="J100" s="4">
        <v>39234</v>
      </c>
      <c r="K100">
        <v>6.2402690361093898</v>
      </c>
      <c r="M100" s="4">
        <v>39234</v>
      </c>
      <c r="N100">
        <v>6.2258449290489803</v>
      </c>
    </row>
    <row r="101" spans="2:14">
      <c r="B101" s="4">
        <v>39203</v>
      </c>
      <c r="C101" s="5">
        <v>6.1921209476416399</v>
      </c>
      <c r="D101" s="5">
        <v>6.1389123088444197</v>
      </c>
      <c r="E101" s="5">
        <v>6.2318888958699299</v>
      </c>
      <c r="F101" s="5">
        <f t="shared" si="3"/>
        <v>5.3208638797220154E-2</v>
      </c>
      <c r="G101" s="5">
        <f t="shared" si="4"/>
        <v>-3.9767948228289995E-2</v>
      </c>
      <c r="H101" s="5">
        <f t="shared" si="5"/>
        <v>-9.2976587025510149E-2</v>
      </c>
      <c r="J101" s="4">
        <v>39203</v>
      </c>
      <c r="K101">
        <v>6.1389123088444197</v>
      </c>
      <c r="M101" s="4">
        <v>39203</v>
      </c>
      <c r="N101">
        <v>6.2318888958699299</v>
      </c>
    </row>
    <row r="102" spans="2:14">
      <c r="B102" s="4">
        <v>39173</v>
      </c>
      <c r="C102" s="5">
        <v>6.2324641450380804</v>
      </c>
      <c r="D102" s="5">
        <v>6.4147007427720597</v>
      </c>
      <c r="E102" s="5">
        <v>6.3741012932097298</v>
      </c>
      <c r="F102" s="5">
        <f t="shared" si="3"/>
        <v>-0.18223659773397927</v>
      </c>
      <c r="G102" s="5">
        <f t="shared" si="4"/>
        <v>-0.14163714817164941</v>
      </c>
      <c r="H102" s="5">
        <f t="shared" si="5"/>
        <v>4.0599449562329859E-2</v>
      </c>
      <c r="J102" s="4">
        <v>39173</v>
      </c>
      <c r="K102">
        <v>6.4147007427720597</v>
      </c>
      <c r="M102" s="4">
        <v>39173</v>
      </c>
      <c r="N102">
        <v>6.3741012932097298</v>
      </c>
    </row>
    <row r="103" spans="2:14">
      <c r="B103" s="4">
        <v>39142</v>
      </c>
      <c r="C103" s="5">
        <v>6.2398728301374602</v>
      </c>
      <c r="D103" s="5">
        <v>6.4583574932373802</v>
      </c>
      <c r="E103" s="5">
        <v>6.2558275704371002</v>
      </c>
      <c r="F103" s="5">
        <f t="shared" si="3"/>
        <v>-0.21848466309991998</v>
      </c>
      <c r="G103" s="5">
        <f t="shared" si="4"/>
        <v>-1.5954740299640058E-2</v>
      </c>
      <c r="H103" s="5">
        <f t="shared" si="5"/>
        <v>0.20252992280027993</v>
      </c>
      <c r="J103" s="4">
        <v>39142</v>
      </c>
      <c r="K103">
        <v>6.4583574932373802</v>
      </c>
      <c r="M103" s="4">
        <v>39142</v>
      </c>
      <c r="N103">
        <v>6.2558275704371002</v>
      </c>
    </row>
    <row r="104" spans="2:14">
      <c r="B104" s="4">
        <v>39114</v>
      </c>
      <c r="C104" s="5">
        <v>6.2313178246901302</v>
      </c>
      <c r="D104" s="5">
        <v>6.4570522130320001</v>
      </c>
      <c r="E104" s="5">
        <v>6.2136411587990699</v>
      </c>
      <c r="F104" s="5">
        <f t="shared" si="3"/>
        <v>-0.22573438834186987</v>
      </c>
      <c r="G104" s="5">
        <f t="shared" si="4"/>
        <v>1.7676665891060317E-2</v>
      </c>
      <c r="H104" s="5">
        <f t="shared" si="5"/>
        <v>0.24341105423293019</v>
      </c>
      <c r="J104" s="4">
        <v>39114</v>
      </c>
      <c r="K104">
        <v>6.4570522130320001</v>
      </c>
      <c r="M104" s="4">
        <v>39114</v>
      </c>
      <c r="N104">
        <v>6.2136411587990699</v>
      </c>
    </row>
    <row r="105" spans="2:14">
      <c r="B105" s="4">
        <v>39083</v>
      </c>
      <c r="C105" s="5">
        <v>6.2033136271096696</v>
      </c>
      <c r="D105" s="5">
        <v>6.5951725501935003</v>
      </c>
      <c r="E105" s="5">
        <v>6.2930519936589402</v>
      </c>
      <c r="F105" s="5">
        <f t="shared" si="3"/>
        <v>-0.39185892308383075</v>
      </c>
      <c r="G105" s="5">
        <f t="shared" si="4"/>
        <v>-8.9738366549270587E-2</v>
      </c>
      <c r="H105" s="5">
        <f t="shared" si="5"/>
        <v>0.30212055653456016</v>
      </c>
      <c r="J105" s="4">
        <v>39083</v>
      </c>
      <c r="K105">
        <v>6.5951725501935003</v>
      </c>
      <c r="M105" s="4">
        <v>39083</v>
      </c>
      <c r="N105">
        <v>6.2930519936589402</v>
      </c>
    </row>
    <row r="106" spans="2:14">
      <c r="B106" s="4">
        <v>39052</v>
      </c>
      <c r="C106" s="5">
        <v>6.3588353922846599</v>
      </c>
      <c r="D106" s="5">
        <v>6.5400345488193796</v>
      </c>
      <c r="E106" s="5">
        <v>6.39834118453411</v>
      </c>
      <c r="F106" s="5">
        <f t="shared" si="3"/>
        <v>-0.18119915653471974</v>
      </c>
      <c r="G106" s="5">
        <f t="shared" si="4"/>
        <v>-3.9505792249450167E-2</v>
      </c>
      <c r="H106" s="5">
        <f t="shared" si="5"/>
        <v>0.14169336428526957</v>
      </c>
      <c r="J106" s="4">
        <v>39052</v>
      </c>
      <c r="K106">
        <v>6.5400345488193796</v>
      </c>
      <c r="M106" s="4">
        <v>39052</v>
      </c>
      <c r="N106">
        <v>6.39834118453411</v>
      </c>
    </row>
    <row r="107" spans="2:14">
      <c r="B107" s="4">
        <v>39022</v>
      </c>
      <c r="C107" s="5">
        <v>6.4541087802732102</v>
      </c>
      <c r="D107" s="5">
        <v>6.6050926142464297</v>
      </c>
      <c r="E107" s="5">
        <v>6.4627379583711599</v>
      </c>
      <c r="F107" s="5">
        <f t="shared" si="3"/>
        <v>-0.15098383397321946</v>
      </c>
      <c r="G107" s="5">
        <f t="shared" si="4"/>
        <v>-8.629178097949719E-3</v>
      </c>
      <c r="H107" s="5">
        <f t="shared" si="5"/>
        <v>0.14235465587526974</v>
      </c>
      <c r="J107" s="4">
        <v>39022</v>
      </c>
      <c r="K107">
        <v>6.6050926142464297</v>
      </c>
      <c r="M107" s="4">
        <v>39022</v>
      </c>
      <c r="N107">
        <v>6.4627379583711599</v>
      </c>
    </row>
    <row r="108" spans="2:14">
      <c r="B108" s="4">
        <v>38991</v>
      </c>
      <c r="C108" s="5">
        <v>6.5303692548919301</v>
      </c>
      <c r="D108" s="5">
        <v>6.7612498647602699</v>
      </c>
      <c r="E108" s="5">
        <v>6.5036892452480002</v>
      </c>
      <c r="F108" s="5">
        <f t="shared" si="3"/>
        <v>-0.2308806098683398</v>
      </c>
      <c r="G108" s="5">
        <f t="shared" si="4"/>
        <v>2.6680009643929914E-2</v>
      </c>
      <c r="H108" s="5">
        <f t="shared" si="5"/>
        <v>0.25756061951226972</v>
      </c>
      <c r="J108" s="4">
        <v>38991</v>
      </c>
      <c r="K108">
        <v>6.7612498647602699</v>
      </c>
      <c r="M108" s="4">
        <v>38991</v>
      </c>
      <c r="N108">
        <v>6.5036892452480002</v>
      </c>
    </row>
    <row r="109" spans="2:14">
      <c r="B109" s="4">
        <v>38961</v>
      </c>
      <c r="C109" s="5">
        <v>6.6969214773724</v>
      </c>
      <c r="D109" s="5">
        <v>6.8026987479921601</v>
      </c>
      <c r="E109" s="5">
        <v>6.5984951599902804</v>
      </c>
      <c r="F109" s="5">
        <f t="shared" si="3"/>
        <v>-0.10577727061976017</v>
      </c>
      <c r="G109" s="5">
        <f t="shared" si="4"/>
        <v>9.8426317382119599E-2</v>
      </c>
      <c r="H109" s="5">
        <f t="shared" si="5"/>
        <v>0.20420358800187977</v>
      </c>
      <c r="J109" s="4">
        <v>38961</v>
      </c>
      <c r="K109">
        <v>6.8026987479921601</v>
      </c>
      <c r="M109" s="4">
        <v>38961</v>
      </c>
      <c r="N109">
        <v>6.5984951599902804</v>
      </c>
    </row>
    <row r="110" spans="2:14">
      <c r="B110" s="4">
        <v>38930</v>
      </c>
      <c r="C110" s="5">
        <v>6.7489866680389001</v>
      </c>
      <c r="D110" s="5">
        <v>6.8165332362930604</v>
      </c>
      <c r="E110" s="5">
        <v>6.64420965530201</v>
      </c>
      <c r="F110" s="5">
        <f t="shared" si="3"/>
        <v>-6.7546568254160277E-2</v>
      </c>
      <c r="G110" s="5">
        <f t="shared" si="4"/>
        <v>0.10477701273689011</v>
      </c>
      <c r="H110" s="5">
        <f t="shared" si="5"/>
        <v>0.17232358099105038</v>
      </c>
      <c r="J110" s="4">
        <v>38930</v>
      </c>
      <c r="K110">
        <v>6.8165332362930604</v>
      </c>
      <c r="M110" s="4">
        <v>38930</v>
      </c>
      <c r="N110">
        <v>6.64420965530201</v>
      </c>
    </row>
    <row r="111" spans="2:14">
      <c r="B111" s="4">
        <v>38899</v>
      </c>
      <c r="C111" s="5">
        <v>6.6582320930680501</v>
      </c>
      <c r="D111" s="5">
        <v>6.79919524180242</v>
      </c>
      <c r="E111" s="5">
        <v>6.6718242011780502</v>
      </c>
      <c r="F111" s="5">
        <f t="shared" si="3"/>
        <v>-0.14096314873436988</v>
      </c>
      <c r="G111" s="5">
        <f t="shared" si="4"/>
        <v>-1.3592108110000112E-2</v>
      </c>
      <c r="H111" s="5">
        <f t="shared" si="5"/>
        <v>0.12737104062436977</v>
      </c>
      <c r="J111" s="4">
        <v>38899</v>
      </c>
      <c r="K111">
        <v>6.79919524180242</v>
      </c>
      <c r="M111" s="4">
        <v>38899</v>
      </c>
      <c r="N111">
        <v>6.6718242011780502</v>
      </c>
    </row>
    <row r="112" spans="2:14">
      <c r="B112" s="4">
        <v>38869</v>
      </c>
      <c r="C112" s="5">
        <v>6.4966828781134502</v>
      </c>
      <c r="D112" s="5">
        <v>6.7723561623469903</v>
      </c>
      <c r="E112" s="5">
        <v>6.5174767584399396</v>
      </c>
      <c r="F112" s="5">
        <f t="shared" si="3"/>
        <v>-0.27567328423354009</v>
      </c>
      <c r="G112" s="5">
        <f t="shared" si="4"/>
        <v>-2.0793880326489322E-2</v>
      </c>
      <c r="H112" s="5">
        <f t="shared" si="5"/>
        <v>0.25487940390705077</v>
      </c>
      <c r="J112" s="4">
        <v>38869</v>
      </c>
      <c r="K112">
        <v>6.7723561623469903</v>
      </c>
      <c r="M112" s="4">
        <v>38869</v>
      </c>
      <c r="N112">
        <v>6.5174767584399396</v>
      </c>
    </row>
    <row r="113" spans="2:14">
      <c r="B113" s="4">
        <v>38838</v>
      </c>
      <c r="C113" s="5">
        <v>6.3496636274609601</v>
      </c>
      <c r="D113" s="5">
        <v>6.6439112465558896</v>
      </c>
      <c r="E113" s="5">
        <v>6.4293742265984299</v>
      </c>
      <c r="F113" s="5">
        <f t="shared" si="3"/>
        <v>-0.29424761909492947</v>
      </c>
      <c r="G113" s="5">
        <f t="shared" si="4"/>
        <v>-7.9710599137469806E-2</v>
      </c>
      <c r="H113" s="5">
        <f t="shared" si="5"/>
        <v>0.21453701995745966</v>
      </c>
      <c r="J113" s="4">
        <v>38838</v>
      </c>
      <c r="K113">
        <v>6.6439112465558896</v>
      </c>
      <c r="M113" s="4">
        <v>38838</v>
      </c>
      <c r="N113">
        <v>6.4293742265984299</v>
      </c>
    </row>
    <row r="114" spans="2:14">
      <c r="B114" s="4">
        <v>38808</v>
      </c>
      <c r="C114" s="5">
        <v>6.1625003353485797</v>
      </c>
      <c r="D114" s="5">
        <v>6.44507652227413</v>
      </c>
      <c r="E114" s="5">
        <v>6.2872382875702897</v>
      </c>
      <c r="F114" s="5">
        <f t="shared" si="3"/>
        <v>-0.28257618692555031</v>
      </c>
      <c r="G114" s="5">
        <f t="shared" si="4"/>
        <v>-0.12473795222171002</v>
      </c>
      <c r="H114" s="5">
        <f t="shared" si="5"/>
        <v>0.15783823470384029</v>
      </c>
      <c r="J114" s="4">
        <v>38808</v>
      </c>
      <c r="K114">
        <v>6.44507652227413</v>
      </c>
      <c r="M114" s="4">
        <v>38808</v>
      </c>
      <c r="N114">
        <v>6.2872382875702897</v>
      </c>
    </row>
    <row r="115" spans="2:14">
      <c r="B115" s="4">
        <v>38777</v>
      </c>
      <c r="C115" s="5">
        <v>6.2300990392303204</v>
      </c>
      <c r="D115" s="5">
        <v>6.6172545901618598</v>
      </c>
      <c r="E115" s="5">
        <v>6.2982082968512598</v>
      </c>
      <c r="F115" s="5">
        <f t="shared" si="3"/>
        <v>-0.38715555093153942</v>
      </c>
      <c r="G115" s="5">
        <f t="shared" si="4"/>
        <v>-6.8109257620939445E-2</v>
      </c>
      <c r="H115" s="5">
        <f t="shared" si="5"/>
        <v>0.31904629331059997</v>
      </c>
      <c r="J115" s="4">
        <v>38777</v>
      </c>
      <c r="K115">
        <v>6.6172545901618598</v>
      </c>
      <c r="M115" s="4">
        <v>38777</v>
      </c>
      <c r="N115">
        <v>6.2982082968512598</v>
      </c>
    </row>
    <row r="116" spans="2:14">
      <c r="B116" s="4">
        <v>38749</v>
      </c>
      <c r="C116" s="5">
        <v>6.2157719062395396</v>
      </c>
      <c r="D116" s="5">
        <v>6.5915094227876203</v>
      </c>
      <c r="E116" s="5">
        <v>6.2874154697010702</v>
      </c>
      <c r="F116" s="5">
        <f t="shared" si="3"/>
        <v>-0.37573751654808074</v>
      </c>
      <c r="G116" s="5">
        <f t="shared" si="4"/>
        <v>-7.1643563461530668E-2</v>
      </c>
      <c r="H116" s="5">
        <f t="shared" si="5"/>
        <v>0.30409395308655007</v>
      </c>
      <c r="J116" s="4">
        <v>38749</v>
      </c>
      <c r="K116">
        <v>6.5915094227876203</v>
      </c>
      <c r="M116" s="4">
        <v>38749</v>
      </c>
      <c r="N116">
        <v>6.2874154697010702</v>
      </c>
    </row>
    <row r="117" spans="2:14">
      <c r="B117" s="4">
        <v>38718</v>
      </c>
      <c r="C117" s="5">
        <v>6.1790285154481799</v>
      </c>
      <c r="D117" s="5">
        <v>6.5427289793067303</v>
      </c>
      <c r="E117" s="5">
        <v>6.2545362046244097</v>
      </c>
      <c r="F117" s="5">
        <f t="shared" si="3"/>
        <v>-0.36370046385855037</v>
      </c>
      <c r="G117" s="5">
        <f t="shared" si="4"/>
        <v>-7.5507689176229853E-2</v>
      </c>
      <c r="H117" s="5">
        <f t="shared" si="5"/>
        <v>0.28819277468232052</v>
      </c>
      <c r="J117" s="4">
        <v>38718</v>
      </c>
      <c r="K117">
        <v>6.5427289793067303</v>
      </c>
      <c r="M117" s="4">
        <v>38718</v>
      </c>
      <c r="N117">
        <v>6.2545362046244097</v>
      </c>
    </row>
    <row r="118" spans="2:14">
      <c r="B118" s="4">
        <v>38687</v>
      </c>
      <c r="C118" s="5">
        <v>6.0110893377154699</v>
      </c>
      <c r="D118" s="5">
        <v>6.2082868116654</v>
      </c>
      <c r="E118" s="5">
        <v>6.0663837781049201</v>
      </c>
      <c r="F118" s="5">
        <f t="shared" si="3"/>
        <v>-0.19719747394993004</v>
      </c>
      <c r="G118" s="5">
        <f t="shared" si="4"/>
        <v>-5.5294440389450195E-2</v>
      </c>
      <c r="H118" s="5">
        <f t="shared" si="5"/>
        <v>0.14190303356047984</v>
      </c>
      <c r="J118" s="4">
        <v>38687</v>
      </c>
      <c r="K118">
        <v>6.2082868116654</v>
      </c>
      <c r="M118" s="4">
        <v>38687</v>
      </c>
      <c r="N118">
        <v>6.0663837781049201</v>
      </c>
    </row>
    <row r="119" spans="2:14">
      <c r="B119" s="4">
        <v>38657</v>
      </c>
      <c r="C119" s="5">
        <v>5.8665917585648204</v>
      </c>
      <c r="D119" s="5">
        <v>5.9911124383801297</v>
      </c>
      <c r="E119" s="5">
        <v>5.8824956492188702</v>
      </c>
      <c r="F119" s="5">
        <f t="shared" si="3"/>
        <v>-0.12452067981530934</v>
      </c>
      <c r="G119" s="5">
        <f t="shared" si="4"/>
        <v>-1.5903890654049846E-2</v>
      </c>
      <c r="H119" s="5">
        <f t="shared" si="5"/>
        <v>0.1086167891612595</v>
      </c>
      <c r="J119" s="4">
        <v>38657</v>
      </c>
      <c r="K119">
        <v>5.9911124383801297</v>
      </c>
      <c r="M119" s="4">
        <v>38657</v>
      </c>
      <c r="N119">
        <v>5.8824956492188702</v>
      </c>
    </row>
    <row r="120" spans="2:14">
      <c r="B120" s="4">
        <v>38626</v>
      </c>
      <c r="C120" s="5">
        <v>5.8261810662029001</v>
      </c>
      <c r="D120" s="5">
        <v>6.0827941560026799</v>
      </c>
      <c r="E120" s="5">
        <v>5.90450688398127</v>
      </c>
      <c r="F120" s="5">
        <f t="shared" si="3"/>
        <v>-0.25661308979977981</v>
      </c>
      <c r="G120" s="5">
        <f t="shared" si="4"/>
        <v>-7.8325817778369888E-2</v>
      </c>
      <c r="H120" s="5">
        <f t="shared" si="5"/>
        <v>0.17828727202140993</v>
      </c>
      <c r="J120" s="4">
        <v>38626</v>
      </c>
      <c r="K120">
        <v>6.0827941560026799</v>
      </c>
      <c r="M120" s="4">
        <v>38626</v>
      </c>
      <c r="N120">
        <v>5.90450688398127</v>
      </c>
    </row>
    <row r="121" spans="2:14">
      <c r="B121" s="4">
        <v>38596</v>
      </c>
      <c r="C121" s="5">
        <v>5.7737271421591601</v>
      </c>
      <c r="D121" s="5">
        <v>6.0248056296464396</v>
      </c>
      <c r="E121" s="5">
        <v>5.7835762679290603</v>
      </c>
      <c r="F121" s="5">
        <f t="shared" si="3"/>
        <v>-0.25107848748727957</v>
      </c>
      <c r="G121" s="5">
        <f t="shared" si="4"/>
        <v>-9.8491257699002688E-3</v>
      </c>
      <c r="H121" s="5">
        <f t="shared" si="5"/>
        <v>0.2412293617173793</v>
      </c>
      <c r="J121" s="4">
        <v>38596</v>
      </c>
      <c r="K121">
        <v>6.0248056296464396</v>
      </c>
      <c r="M121" s="4">
        <v>38596</v>
      </c>
      <c r="N121">
        <v>5.7835762679290603</v>
      </c>
    </row>
    <row r="122" spans="2:14">
      <c r="B122" s="4">
        <v>38565</v>
      </c>
      <c r="C122" s="5">
        <v>5.7509442380804598</v>
      </c>
      <c r="D122" s="5">
        <v>6.0116534514124798</v>
      </c>
      <c r="E122" s="5">
        <v>5.6867978695648898</v>
      </c>
      <c r="F122" s="5">
        <f t="shared" si="3"/>
        <v>-0.26070921333201991</v>
      </c>
      <c r="G122" s="5">
        <f t="shared" si="4"/>
        <v>6.4146368515570096E-2</v>
      </c>
      <c r="H122" s="5">
        <f t="shared" si="5"/>
        <v>0.32485558184759</v>
      </c>
      <c r="J122" s="4">
        <v>38565</v>
      </c>
      <c r="K122">
        <v>6.0116534514124798</v>
      </c>
      <c r="M122" s="4">
        <v>38565</v>
      </c>
      <c r="N122">
        <v>5.6867978695648898</v>
      </c>
    </row>
    <row r="123" spans="2:14">
      <c r="B123" s="4">
        <v>38534</v>
      </c>
      <c r="C123" s="5">
        <v>5.7798931724268998</v>
      </c>
      <c r="D123" s="5">
        <v>5.9291439279153604</v>
      </c>
      <c r="E123" s="5">
        <v>5.77587230029149</v>
      </c>
      <c r="F123" s="5">
        <f t="shared" si="3"/>
        <v>-0.14925075548846056</v>
      </c>
      <c r="G123" s="5">
        <f t="shared" si="4"/>
        <v>4.0208721354098031E-3</v>
      </c>
      <c r="H123" s="5">
        <f t="shared" si="5"/>
        <v>0.15327162762387037</v>
      </c>
      <c r="J123" s="4">
        <v>38534</v>
      </c>
      <c r="K123">
        <v>5.9291439279153604</v>
      </c>
      <c r="M123" s="4">
        <v>38534</v>
      </c>
      <c r="N123">
        <v>5.77587230029149</v>
      </c>
    </row>
    <row r="124" spans="2:14">
      <c r="B124" s="4">
        <v>38504</v>
      </c>
      <c r="C124" s="5">
        <v>5.9359092819794297</v>
      </c>
      <c r="D124" s="5">
        <v>6.0861604457115899</v>
      </c>
      <c r="E124" s="5">
        <v>5.9011810521622499</v>
      </c>
      <c r="F124" s="5">
        <f t="shared" si="3"/>
        <v>-0.15025116373216019</v>
      </c>
      <c r="G124" s="5">
        <f t="shared" si="4"/>
        <v>3.4728229817179823E-2</v>
      </c>
      <c r="H124" s="5">
        <f t="shared" si="5"/>
        <v>0.18497939354934001</v>
      </c>
      <c r="J124" s="4">
        <v>38504</v>
      </c>
      <c r="K124">
        <v>6.0861604457115899</v>
      </c>
      <c r="M124" s="4">
        <v>38504</v>
      </c>
      <c r="N124">
        <v>5.9011810521622499</v>
      </c>
    </row>
    <row r="125" spans="2:14">
      <c r="B125" s="4">
        <v>38473</v>
      </c>
      <c r="C125" s="5">
        <v>5.8650240305353201</v>
      </c>
      <c r="D125" s="5">
        <v>5.9156436011904701</v>
      </c>
      <c r="E125" s="5">
        <v>5.93851052657556</v>
      </c>
      <c r="F125" s="5">
        <f t="shared" si="3"/>
        <v>-5.0619570655149992E-2</v>
      </c>
      <c r="G125" s="5">
        <f t="shared" si="4"/>
        <v>-7.3486496040239935E-2</v>
      </c>
      <c r="H125" s="5">
        <f t="shared" si="5"/>
        <v>-2.2866925385089942E-2</v>
      </c>
      <c r="J125" s="4">
        <v>38473</v>
      </c>
      <c r="K125">
        <v>5.9156436011904701</v>
      </c>
      <c r="M125" s="4">
        <v>38473</v>
      </c>
      <c r="N125">
        <v>5.93851052657556</v>
      </c>
    </row>
    <row r="126" spans="2:14">
      <c r="B126" s="4">
        <v>38443</v>
      </c>
      <c r="C126" s="5">
        <v>5.7131424649754203</v>
      </c>
      <c r="D126" s="5">
        <v>6.0336881169928702</v>
      </c>
      <c r="E126" s="5">
        <v>5.7027763131622304</v>
      </c>
      <c r="F126" s="5">
        <f t="shared" si="3"/>
        <v>-0.32054565201744989</v>
      </c>
      <c r="G126" s="5">
        <f t="shared" si="4"/>
        <v>1.0366151813189894E-2</v>
      </c>
      <c r="H126" s="5">
        <f t="shared" si="5"/>
        <v>0.33091180383063978</v>
      </c>
      <c r="J126" s="4">
        <v>38443</v>
      </c>
      <c r="K126">
        <v>6.0336881169928702</v>
      </c>
      <c r="M126" s="4">
        <v>38443</v>
      </c>
      <c r="N126">
        <v>5.7027763131622304</v>
      </c>
    </row>
    <row r="127" spans="2:14">
      <c r="B127" s="4">
        <v>38412</v>
      </c>
      <c r="C127" s="5">
        <v>5.7080755223592199</v>
      </c>
      <c r="D127" s="5">
        <v>5.9235606448311096</v>
      </c>
      <c r="E127" s="5">
        <v>5.7027848550616698</v>
      </c>
      <c r="F127" s="5">
        <f t="shared" si="3"/>
        <v>-0.21548512247188967</v>
      </c>
      <c r="G127" s="5">
        <f t="shared" si="4"/>
        <v>5.2906672975501223E-3</v>
      </c>
      <c r="H127" s="5">
        <f t="shared" si="5"/>
        <v>0.22077578976943979</v>
      </c>
      <c r="J127" s="4">
        <v>38412</v>
      </c>
      <c r="K127">
        <v>5.9235606448311096</v>
      </c>
      <c r="M127" s="4">
        <v>38412</v>
      </c>
      <c r="N127">
        <v>5.7027848550616698</v>
      </c>
    </row>
    <row r="128" spans="2:14">
      <c r="B128" s="4">
        <v>38384</v>
      </c>
      <c r="C128" s="5">
        <v>5.8034733297388401</v>
      </c>
      <c r="D128" s="5">
        <v>6.1476152160514896</v>
      </c>
      <c r="E128" s="5">
        <v>5.84702160477205</v>
      </c>
      <c r="F128" s="5">
        <f t="shared" si="3"/>
        <v>-0.34414188631264953</v>
      </c>
      <c r="G128" s="5">
        <f t="shared" si="4"/>
        <v>-4.3548275033209904E-2</v>
      </c>
      <c r="H128" s="5">
        <f t="shared" si="5"/>
        <v>0.30059361127943962</v>
      </c>
      <c r="J128" s="4">
        <v>38384</v>
      </c>
      <c r="K128">
        <v>6.1476152160514896</v>
      </c>
      <c r="M128" s="4">
        <v>38384</v>
      </c>
      <c r="N128">
        <v>5.84702160477205</v>
      </c>
    </row>
    <row r="129" spans="2:14">
      <c r="B129" s="4">
        <v>38353</v>
      </c>
      <c r="C129" s="5">
        <v>5.8285798965769704</v>
      </c>
      <c r="D129" s="5">
        <v>5.9643916855714201</v>
      </c>
      <c r="E129" s="5">
        <v>5.8075675352202101</v>
      </c>
      <c r="F129" s="5">
        <f t="shared" si="3"/>
        <v>-0.13581178899444968</v>
      </c>
      <c r="G129" s="5">
        <f t="shared" si="4"/>
        <v>2.1012361356760323E-2</v>
      </c>
      <c r="H129" s="5">
        <f t="shared" si="5"/>
        <v>0.15682415035121</v>
      </c>
      <c r="J129" s="4">
        <v>38353</v>
      </c>
      <c r="K129">
        <v>5.9643916855714201</v>
      </c>
      <c r="M129" s="4">
        <v>38353</v>
      </c>
      <c r="N129">
        <v>5.8075675352202101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LLwithCondition</vt:lpstr>
      <vt:lpstr>Sheet1</vt:lpstr>
      <vt:lpstr>Sheet2</vt:lpstr>
      <vt:lpstr>Sheet3</vt:lpstr>
      <vt:lpstr>LLwithCondition!temp</vt:lpstr>
      <vt:lpstr>LLwithCondition!temp_1</vt:lpstr>
      <vt:lpstr>LLwithCondition!temp_2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2015-05-28T17:30:46Z</dcterms:created>
  <dcterms:modified xsi:type="dcterms:W3CDTF">2015-05-28T17:31:37Z</dcterms:modified>
</cp:coreProperties>
</file>