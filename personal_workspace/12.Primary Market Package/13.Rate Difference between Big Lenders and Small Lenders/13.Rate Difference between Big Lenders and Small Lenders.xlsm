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3"/>
  </bookViews>
  <sheets>
    <sheet name="Report" sheetId="16" r:id="rId1"/>
    <sheet name="Input-equal" sheetId="9" r:id="rId2"/>
    <sheet name="LoanLevel" sheetId="18" r:id="rId3"/>
    <sheet name="LLwithCondition" sheetId="19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0">Report!$B$1:$Q$59</definedName>
    <definedName name="Query_from_Agency" localSheetId="1" hidden="1">'Input-equal'!#REF!</definedName>
    <definedName name="Query_from_Agency_1" localSheetId="1" hidden="1">'Input-equal'!#REF!</definedName>
    <definedName name="Query_from_Agency_10" localSheetId="1" hidden="1">'Input-equal'!$N$3:$O$123</definedName>
    <definedName name="Query_from_Agency_4" localSheetId="1" hidden="1">'Input-equal'!#REF!</definedName>
    <definedName name="Query_from_Agency_5" localSheetId="1" hidden="1">'Input-equal'!#REF!</definedName>
    <definedName name="Query_from_Agency_6" localSheetId="1" hidden="1">'Input-equal'!$B$3:$C$123</definedName>
    <definedName name="Query_from_Agency_7" localSheetId="1" hidden="1">'Input-equal'!#REF!</definedName>
    <definedName name="Query_from_Agency_8" localSheetId="1" hidden="1">'Input-equal'!#REF!</definedName>
    <definedName name="Query_from_Agency_9" localSheetId="1" hidden="1">'Input-equal'!$K$3:$L$113</definedName>
    <definedName name="SaveRatesToDB">Report!$W$1</definedName>
    <definedName name="temp" localSheetId="3">LLwithCondition!$B$3:$C$129</definedName>
    <definedName name="temp_1" localSheetId="3">LLwithCondition!$J$3:$K$129</definedName>
    <definedName name="temp_1" localSheetId="2">LoanLevel!$B$3:$C$129</definedName>
    <definedName name="temp_13" localSheetId="1">'Input-equal'!#REF!</definedName>
    <definedName name="temp_14" localSheetId="1">'Input-equal'!#REF!</definedName>
    <definedName name="temp_17">#REF!</definedName>
    <definedName name="temp_2" localSheetId="3">LLwithCondition!$M$3:$N$129</definedName>
    <definedName name="temp_2" localSheetId="2">LoanLevel!$H$3:$I$129</definedName>
    <definedName name="temp_3" localSheetId="2">LoanLevel!$K$3:$L$129</definedName>
    <definedName name="temp_4" localSheetId="2">LoanLevel!$N$3:$O$129</definedName>
    <definedName name="temp_8">#REF!</definedName>
    <definedName name="temp_9" localSheetId="1">'Input-equal'!#REF!</definedName>
  </definedNames>
  <calcPr calcId="145621"/>
</workbook>
</file>

<file path=xl/calcChain.xml><?xml version="1.0" encoding="utf-8"?>
<calcChain xmlns="http://schemas.openxmlformats.org/spreadsheetml/2006/main">
  <c r="F5" i="19" l="1"/>
  <c r="G5" i="19"/>
  <c r="H5" i="19"/>
  <c r="F6" i="19"/>
  <c r="G6" i="19"/>
  <c r="H6" i="19"/>
  <c r="F7" i="19"/>
  <c r="G7" i="19"/>
  <c r="H7" i="19"/>
  <c r="F8" i="19"/>
  <c r="G8" i="19"/>
  <c r="H8" i="19"/>
  <c r="F9" i="19"/>
  <c r="G9" i="19"/>
  <c r="H9" i="19"/>
  <c r="F10" i="19"/>
  <c r="G10" i="19"/>
  <c r="H10" i="19"/>
  <c r="F11" i="19"/>
  <c r="G11" i="19"/>
  <c r="H11" i="19"/>
  <c r="F12" i="19"/>
  <c r="G12" i="19"/>
  <c r="H12" i="19"/>
  <c r="F13" i="19"/>
  <c r="G13" i="19"/>
  <c r="H13" i="19"/>
  <c r="F14" i="19"/>
  <c r="G14" i="19"/>
  <c r="H14" i="19"/>
  <c r="F15" i="19"/>
  <c r="G15" i="19"/>
  <c r="H15" i="19"/>
  <c r="F16" i="19"/>
  <c r="G16" i="19"/>
  <c r="H16" i="19"/>
  <c r="F17" i="19"/>
  <c r="G17" i="19"/>
  <c r="H17" i="19"/>
  <c r="F18" i="19"/>
  <c r="G18" i="19"/>
  <c r="H18" i="19"/>
  <c r="F19" i="19"/>
  <c r="G19" i="19"/>
  <c r="H19" i="19"/>
  <c r="F20" i="19"/>
  <c r="G20" i="19"/>
  <c r="H20" i="19"/>
  <c r="F21" i="19"/>
  <c r="G21" i="19"/>
  <c r="H21" i="19"/>
  <c r="F22" i="19"/>
  <c r="G22" i="19"/>
  <c r="H22" i="19"/>
  <c r="F23" i="19"/>
  <c r="G23" i="19"/>
  <c r="H23" i="19"/>
  <c r="F24" i="19"/>
  <c r="G24" i="19"/>
  <c r="H24" i="19"/>
  <c r="F25" i="19"/>
  <c r="G25" i="19"/>
  <c r="H25" i="19"/>
  <c r="F26" i="19"/>
  <c r="G26" i="19"/>
  <c r="H26" i="19"/>
  <c r="F27" i="19"/>
  <c r="G27" i="19"/>
  <c r="H27" i="19"/>
  <c r="F28" i="19"/>
  <c r="G28" i="19"/>
  <c r="H28" i="19"/>
  <c r="F29" i="19"/>
  <c r="G29" i="19"/>
  <c r="H29" i="19"/>
  <c r="F30" i="19"/>
  <c r="G30" i="19"/>
  <c r="H30" i="19"/>
  <c r="F31" i="19"/>
  <c r="G31" i="19"/>
  <c r="H31" i="19"/>
  <c r="F32" i="19"/>
  <c r="G32" i="19"/>
  <c r="H32" i="19"/>
  <c r="F33" i="19"/>
  <c r="G33" i="19"/>
  <c r="H33" i="19"/>
  <c r="F34" i="19"/>
  <c r="G34" i="19"/>
  <c r="H34" i="19"/>
  <c r="F35" i="19"/>
  <c r="G35" i="19"/>
  <c r="H35" i="19"/>
  <c r="F36" i="19"/>
  <c r="G36" i="19"/>
  <c r="H36" i="19"/>
  <c r="F37" i="19"/>
  <c r="G37" i="19"/>
  <c r="H37" i="19"/>
  <c r="F38" i="19"/>
  <c r="G38" i="19"/>
  <c r="H38" i="19"/>
  <c r="F39" i="19"/>
  <c r="G39" i="19"/>
  <c r="H39" i="19"/>
  <c r="F40" i="19"/>
  <c r="G40" i="19"/>
  <c r="H40" i="19"/>
  <c r="F41" i="19"/>
  <c r="G41" i="19"/>
  <c r="H41" i="19"/>
  <c r="F42" i="19"/>
  <c r="G42" i="19"/>
  <c r="H42" i="19"/>
  <c r="F43" i="19"/>
  <c r="G43" i="19"/>
  <c r="H43" i="19"/>
  <c r="F44" i="19"/>
  <c r="G44" i="19"/>
  <c r="H44" i="19"/>
  <c r="F45" i="19"/>
  <c r="G45" i="19"/>
  <c r="H45" i="19"/>
  <c r="F46" i="19"/>
  <c r="G46" i="19"/>
  <c r="H46" i="19"/>
  <c r="F47" i="19"/>
  <c r="G47" i="19"/>
  <c r="H47" i="19"/>
  <c r="F48" i="19"/>
  <c r="G48" i="19"/>
  <c r="H48" i="19"/>
  <c r="F49" i="19"/>
  <c r="G49" i="19"/>
  <c r="H49" i="19"/>
  <c r="F50" i="19"/>
  <c r="G50" i="19"/>
  <c r="H50" i="19"/>
  <c r="F51" i="19"/>
  <c r="G51" i="19"/>
  <c r="H51" i="19"/>
  <c r="F52" i="19"/>
  <c r="G52" i="19"/>
  <c r="H52" i="19"/>
  <c r="F53" i="19"/>
  <c r="G53" i="19"/>
  <c r="H53" i="19"/>
  <c r="F54" i="19"/>
  <c r="G54" i="19"/>
  <c r="H54" i="19"/>
  <c r="F55" i="19"/>
  <c r="G55" i="19"/>
  <c r="H55" i="19"/>
  <c r="F56" i="19"/>
  <c r="G56" i="19"/>
  <c r="H56" i="19"/>
  <c r="F57" i="19"/>
  <c r="G57" i="19"/>
  <c r="H57" i="19"/>
  <c r="F58" i="19"/>
  <c r="G58" i="19"/>
  <c r="H58" i="19"/>
  <c r="F59" i="19"/>
  <c r="G59" i="19"/>
  <c r="H59" i="19"/>
  <c r="F60" i="19"/>
  <c r="G60" i="19"/>
  <c r="H60" i="19"/>
  <c r="F61" i="19"/>
  <c r="G61" i="19"/>
  <c r="H61" i="19"/>
  <c r="F62" i="19"/>
  <c r="G62" i="19"/>
  <c r="H62" i="19"/>
  <c r="F63" i="19"/>
  <c r="G63" i="19"/>
  <c r="H63" i="19"/>
  <c r="F64" i="19"/>
  <c r="G64" i="19"/>
  <c r="H64" i="19"/>
  <c r="F65" i="19"/>
  <c r="G65" i="19"/>
  <c r="H65" i="19"/>
  <c r="F66" i="19"/>
  <c r="G66" i="19"/>
  <c r="H66" i="19"/>
  <c r="F67" i="19"/>
  <c r="G67" i="19"/>
  <c r="H67" i="19"/>
  <c r="F68" i="19"/>
  <c r="G68" i="19"/>
  <c r="H68" i="19"/>
  <c r="F69" i="19"/>
  <c r="G69" i="19"/>
  <c r="H69" i="19"/>
  <c r="F70" i="19"/>
  <c r="G70" i="19"/>
  <c r="H70" i="19"/>
  <c r="F71" i="19"/>
  <c r="G71" i="19"/>
  <c r="H71" i="19"/>
  <c r="F72" i="19"/>
  <c r="G72" i="19"/>
  <c r="H72" i="19"/>
  <c r="F73" i="19"/>
  <c r="G73" i="19"/>
  <c r="H73" i="19"/>
  <c r="F74" i="19"/>
  <c r="G74" i="19"/>
  <c r="H74" i="19"/>
  <c r="F75" i="19"/>
  <c r="G75" i="19"/>
  <c r="H75" i="19"/>
  <c r="F76" i="19"/>
  <c r="G76" i="19"/>
  <c r="H76" i="19"/>
  <c r="F77" i="19"/>
  <c r="G77" i="19"/>
  <c r="H77" i="19"/>
  <c r="F78" i="19"/>
  <c r="G78" i="19"/>
  <c r="H78" i="19"/>
  <c r="F79" i="19"/>
  <c r="G79" i="19"/>
  <c r="H79" i="19"/>
  <c r="F80" i="19"/>
  <c r="G80" i="19"/>
  <c r="H80" i="19"/>
  <c r="F81" i="19"/>
  <c r="G81" i="19"/>
  <c r="H81" i="19"/>
  <c r="F82" i="19"/>
  <c r="G82" i="19"/>
  <c r="H82" i="19"/>
  <c r="F83" i="19"/>
  <c r="G83" i="19"/>
  <c r="H83" i="19"/>
  <c r="F84" i="19"/>
  <c r="G84" i="19"/>
  <c r="H84" i="19"/>
  <c r="F85" i="19"/>
  <c r="G85" i="19"/>
  <c r="H85" i="19"/>
  <c r="F86" i="19"/>
  <c r="G86" i="19"/>
  <c r="H86" i="19"/>
  <c r="F87" i="19"/>
  <c r="G87" i="19"/>
  <c r="H87" i="19"/>
  <c r="F88" i="19"/>
  <c r="G88" i="19"/>
  <c r="H88" i="19"/>
  <c r="F89" i="19"/>
  <c r="G89" i="19"/>
  <c r="H89" i="19"/>
  <c r="F90" i="19"/>
  <c r="G90" i="19"/>
  <c r="H90" i="19"/>
  <c r="F91" i="19"/>
  <c r="G91" i="19"/>
  <c r="H91" i="19"/>
  <c r="F92" i="19"/>
  <c r="G92" i="19"/>
  <c r="H92" i="19"/>
  <c r="F93" i="19"/>
  <c r="G93" i="19"/>
  <c r="H93" i="19"/>
  <c r="F94" i="19"/>
  <c r="G94" i="19"/>
  <c r="H94" i="19"/>
  <c r="F95" i="19"/>
  <c r="G95" i="19"/>
  <c r="H95" i="19"/>
  <c r="F96" i="19"/>
  <c r="G96" i="19"/>
  <c r="H96" i="19"/>
  <c r="F97" i="19"/>
  <c r="G97" i="19"/>
  <c r="H97" i="19"/>
  <c r="F98" i="19"/>
  <c r="G98" i="19"/>
  <c r="H98" i="19"/>
  <c r="F99" i="19"/>
  <c r="G99" i="19"/>
  <c r="H99" i="19"/>
  <c r="F100" i="19"/>
  <c r="G100" i="19"/>
  <c r="H100" i="19"/>
  <c r="F101" i="19"/>
  <c r="G101" i="19"/>
  <c r="H101" i="19"/>
  <c r="F102" i="19"/>
  <c r="G102" i="19"/>
  <c r="H102" i="19"/>
  <c r="F103" i="19"/>
  <c r="G103" i="19"/>
  <c r="H103" i="19"/>
  <c r="F104" i="19"/>
  <c r="G104" i="19"/>
  <c r="H104" i="19"/>
  <c r="F105" i="19"/>
  <c r="G105" i="19"/>
  <c r="H105" i="19"/>
  <c r="F106" i="19"/>
  <c r="G106" i="19"/>
  <c r="H106" i="19"/>
  <c r="F107" i="19"/>
  <c r="G107" i="19"/>
  <c r="H107" i="19"/>
  <c r="F108" i="19"/>
  <c r="G108" i="19"/>
  <c r="H108" i="19"/>
  <c r="F109" i="19"/>
  <c r="G109" i="19"/>
  <c r="H109" i="19"/>
  <c r="F110" i="19"/>
  <c r="G110" i="19"/>
  <c r="H110" i="19"/>
  <c r="F111" i="19"/>
  <c r="G111" i="19"/>
  <c r="H111" i="19"/>
  <c r="F112" i="19"/>
  <c r="G112" i="19"/>
  <c r="H112" i="19"/>
  <c r="F113" i="19"/>
  <c r="G113" i="19"/>
  <c r="H113" i="19"/>
  <c r="F114" i="19"/>
  <c r="G114" i="19"/>
  <c r="H114" i="19"/>
  <c r="F115" i="19"/>
  <c r="G115" i="19"/>
  <c r="H115" i="19"/>
  <c r="F116" i="19"/>
  <c r="G116" i="19"/>
  <c r="H116" i="19"/>
  <c r="F117" i="19"/>
  <c r="G117" i="19"/>
  <c r="H117" i="19"/>
  <c r="F118" i="19"/>
  <c r="G118" i="19"/>
  <c r="H118" i="19"/>
  <c r="F119" i="19"/>
  <c r="G119" i="19"/>
  <c r="H119" i="19"/>
  <c r="F120" i="19"/>
  <c r="G120" i="19"/>
  <c r="H120" i="19"/>
  <c r="F121" i="19"/>
  <c r="G121" i="19"/>
  <c r="H121" i="19"/>
  <c r="F122" i="19"/>
  <c r="G122" i="19"/>
  <c r="H122" i="19"/>
  <c r="F123" i="19"/>
  <c r="G123" i="19"/>
  <c r="H123" i="19"/>
  <c r="F124" i="19"/>
  <c r="G124" i="19"/>
  <c r="H124" i="19"/>
  <c r="F125" i="19"/>
  <c r="G125" i="19"/>
  <c r="H125" i="19"/>
  <c r="F126" i="19"/>
  <c r="G126" i="19"/>
  <c r="H126" i="19"/>
  <c r="F127" i="19"/>
  <c r="G127" i="19"/>
  <c r="H127" i="19"/>
  <c r="F128" i="19"/>
  <c r="G128" i="19"/>
  <c r="H128" i="19"/>
  <c r="F129" i="19"/>
  <c r="G129" i="19"/>
  <c r="H129" i="19"/>
  <c r="H4" i="19"/>
  <c r="G4" i="19"/>
  <c r="F4" i="1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4" i="18"/>
  <c r="U9" i="16" l="1"/>
  <c r="I42" i="16"/>
  <c r="G42" i="16"/>
  <c r="I41" i="16"/>
  <c r="I39" i="16"/>
  <c r="G43" i="16"/>
  <c r="H43" i="16"/>
  <c r="G41" i="16"/>
  <c r="I43" i="16"/>
  <c r="H41" i="16"/>
  <c r="H42" i="16"/>
  <c r="U4" i="16"/>
  <c r="F41" i="16"/>
  <c r="E42" i="16"/>
  <c r="F42" i="16"/>
  <c r="E41" i="16"/>
  <c r="F43" i="16"/>
  <c r="E43" i="16"/>
  <c r="F52" i="16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</calcChain>
</file>

<file path=xl/connections.xml><?xml version="1.0" encoding="utf-8"?>
<connections xmlns="http://schemas.openxmlformats.org/spreadsheetml/2006/main">
  <connection id="1" name="BigBankQuery" type="1" refreshedVersion="4" savePassword="1" saveData="1">
    <dbPr connection="DSN=Agency" command="select asOf, avg(originalWac) Wac from fnm.MappedServicerDist m join fnm.Sec b on b.issueID = m.issueId and b.issueDate = m.asOf where rpb&gt;0 and collateralType = 'LOAN' and couponType = 'FIX' and AsOf &lt;= '2015-05-08' and AsOf &gt;= '20050101' and servicerName in ('WELLS FARGO','CITI','CHASE','BANK OF AMERICA','CWB','SUNTRUST','PNC','WACHOVIA') Group by Asof order by asof desc"/>
  </connection>
  <connection id="2" name="BigNonBankQuery" type="1" refreshedVersion="4" savePassword="1" saveData="1">
    <dbPr connection="DSN=Agency" command="select asOf, avg(originalWac) Wac from fnm.MappedServicerDist m join fnm.Sec b on b.issueID = m.issueId and b.issueDate = m.asOf where rpb&gt;0 and collateralType = 'LOAN' and couponType = 'FIX' and AsOf &lt;= '2015-05-08' and AsOf &gt;= '20050101' and servicerName in ('QUICKEN','GREEN TREE SERVICING, LLC','FLAGSTAR','PINGORA LOAN SERVICING, INC.','FRANKLIN AMERICAN MORTGAGE COMPANY','FREEDOM','NATIONSTAR','GUILD','HOMESTREET BANK','ROUNDPOINT MORTGAGE SERVICING CORPORATIO') Group by Asof order by asof desc"/>
  </connection>
  <connection id="3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7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8" name="SmallLenderQuery" type="1" refreshedVersion="4" savePassword="1" saveData="1">
    <dbPr connection="DSN=Agency" command="select asOf, avg(originalWac) Wac from fnm.MappedServicerDist m join fnm.Sec b on b.issueID = m.issueId and b.issueDate = m.asOf where rpb&gt;0 and collateralType = 'LOAN' and couponType = 'FIX' and AsOf &lt;= '2015-05-08' and AsOf &gt;= '20050101' and 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 Group by Asof order by asof desc"/>
  </connection>
  <connection id="9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0" name="temp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1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4" name="temp3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6" name="temp5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6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8" name="temp7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<sst xmlns="http://schemas.openxmlformats.org/spreadsheetml/2006/main" count="81" uniqueCount="45">
  <si>
    <t>asOf</t>
  </si>
  <si>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</si>
  <si>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</si>
  <si>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</si>
  <si>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</si>
  <si>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</si>
  <si>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</si>
  <si>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</si>
  <si>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</si>
  <si>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</si>
  <si>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</si>
  <si>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</si>
  <si>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</si>
  <si>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</si>
  <si>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</si>
  <si>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</si>
  <si>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</si>
  <si>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</si>
  <si>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</si>
  <si>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</si>
  <si>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</si>
  <si>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</si>
  <si>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</si>
  <si>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</si>
  <si>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</si>
  <si>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</si>
  <si>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</si>
  <si>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</si>
  <si>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Change lag on</t>
  </si>
  <si>
    <t>Volume (M)</t>
  </si>
  <si>
    <t>S:\IT\Production\Daily Reports\Primary Market\tmp\</t>
  </si>
  <si>
    <t>Issue Month:</t>
  </si>
  <si>
    <t>Wac</t>
  </si>
  <si>
    <t>Big Bank</t>
  </si>
  <si>
    <t>Big Non-Bank</t>
  </si>
  <si>
    <t>Small Lender</t>
  </si>
  <si>
    <t>Big Non-Bank Lender</t>
  </si>
  <si>
    <t>1-2</t>
  </si>
  <si>
    <t>1-3</t>
  </si>
  <si>
    <t>2-3</t>
  </si>
  <si>
    <t>poolIssueDate</t>
  </si>
  <si>
    <t>NoteRate</t>
  </si>
  <si>
    <t>Avg</t>
  </si>
  <si>
    <t>WA</t>
  </si>
  <si>
    <t>WANoteRate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</si>
</sst>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scheme val="minor"/>
    </font>
    <font>
      <b/>
      <sz val="10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8" fontId="24" fillId="10" borderId="0">
      <alignment horizontal="center"/>
    </xf>
    <xf numFmtId="188" fontId="105" fillId="10" borderId="0">
      <alignment horizontal="center"/>
    </xf>
    <xf numFmtId="188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7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8" fontId="129" fillId="42" borderId="10" applyNumberFormat="0"/>
    <xf numFmtId="0" fontId="10" fillId="0" borderId="0"/>
  </cellStyleXfs>
  <cellXfs count="45">
    <xf numFmtId="0" fontId="0" fillId="0" borderId="0" xfId="0"/>
    <xf numFmtId="14" fontId="0" fillId="0" borderId="0" xfId="0" applyNumberFormat="1"/>
    <xf numFmtId="2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34" fillId="41" borderId="0" xfId="351" applyFont="1"/>
    <xf numFmtId="0" fontId="7" fillId="0" borderId="0" xfId="0" applyFont="1"/>
    <xf numFmtId="165" fontId="8" fillId="7" borderId="38" xfId="0" applyNumberFormat="1" applyFont="1" applyFill="1" applyBorder="1" applyAlignment="1">
      <alignment horizontal="left"/>
    </xf>
    <xf numFmtId="165" fontId="8" fillId="7" borderId="38" xfId="0" applyNumberFormat="1" applyFont="1" applyFill="1" applyBorder="1" applyAlignment="1">
      <alignment horizontal="center"/>
    </xf>
    <xf numFmtId="165" fontId="8" fillId="7" borderId="39" xfId="0" applyNumberFormat="1" applyFont="1" applyFill="1" applyBorder="1" applyAlignment="1">
      <alignment horizontal="center"/>
    </xf>
    <xf numFmtId="165" fontId="7" fillId="0" borderId="38" xfId="1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1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1" applyNumberFormat="1" applyFont="1" applyBorder="1" applyAlignment="1">
      <alignment horizontal="center"/>
    </xf>
    <xf numFmtId="165" fontId="7" fillId="0" borderId="0" xfId="1" applyNumberFormat="1" applyFont="1" applyBorder="1" applyAlignment="1">
      <alignment horizontal="left"/>
    </xf>
    <xf numFmtId="195" fontId="4" fillId="0" borderId="0" xfId="1" applyNumberFormat="1" applyFont="1" applyBorder="1" applyAlignment="1">
      <alignment horizontal="center"/>
    </xf>
    <xf numFmtId="195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1" applyNumberFormat="1" applyFont="1" applyBorder="1" applyAlignment="1">
      <alignment horizontal="center"/>
    </xf>
    <xf numFmtId="196" fontId="7" fillId="0" borderId="42" xfId="1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7" fontId="131" fillId="0" borderId="0" xfId="0" applyNumberFormat="1" applyFont="1" applyAlignment="1">
      <alignment horizontal="left"/>
    </xf>
    <xf numFmtId="0" fontId="133" fillId="52" borderId="43" xfId="0" applyFont="1" applyFill="1" applyBorder="1"/>
    <xf numFmtId="0" fontId="133" fillId="52" borderId="44" xfId="0" applyFont="1" applyFill="1" applyBorder="1"/>
    <xf numFmtId="2" fontId="132" fillId="0" borderId="0" xfId="0" applyNumberFormat="1" applyFont="1"/>
    <xf numFmtId="2" fontId="7" fillId="0" borderId="0" xfId="0" applyNumberFormat="1" applyFont="1"/>
    <xf numFmtId="16" fontId="7" fillId="0" borderId="0" xfId="0" quotePrefix="1" applyNumberFormat="1" applyFont="1"/>
    <xf numFmtId="0" fontId="7" fillId="0" borderId="0" xfId="0" quotePrefix="1" applyFont="1"/>
    <xf numFmtId="16" fontId="133" fillId="52" borderId="43" xfId="0" applyNumberFormat="1" applyFont="1" applyFill="1" applyBorder="1"/>
    <xf numFmtId="0" fontId="9" fillId="0" borderId="0" xfId="3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7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74B629"/>
      <color rgb="FFAD275C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982848"/>
        <c:axId val="281496192"/>
      </c:bar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#REF!</c:f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853376"/>
        <c:axId val="267785344"/>
      </c:lineChart>
      <c:catAx>
        <c:axId val="2248533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67785344"/>
        <c:crosses val="autoZero"/>
        <c:auto val="1"/>
        <c:lblAlgn val="ctr"/>
        <c:lblOffset val="100"/>
        <c:tickLblSkip val="2"/>
        <c:noMultiLvlLbl val="1"/>
      </c:catAx>
      <c:valAx>
        <c:axId val="267785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4853376"/>
        <c:crosses val="autoZero"/>
        <c:crossBetween val="between"/>
      </c:valAx>
      <c:valAx>
        <c:axId val="281496192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81982848"/>
        <c:crosses val="max"/>
        <c:crossBetween val="between"/>
        <c:dispUnits>
          <c:builtInUnit val="billions"/>
        </c:dispUnits>
      </c:valAx>
      <c:catAx>
        <c:axId val="281982848"/>
        <c:scaling>
          <c:orientation val="minMax"/>
        </c:scaling>
        <c:delete val="1"/>
        <c:axPos val="b"/>
        <c:majorTickMark val="out"/>
        <c:minorTickMark val="none"/>
        <c:tickLblPos val="nextTo"/>
        <c:crossAx val="28149619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314240"/>
        <c:axId val="284510848"/>
      </c:barChart>
      <c:catAx>
        <c:axId val="28431424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84510848"/>
        <c:crosses val="autoZero"/>
        <c:auto val="1"/>
        <c:lblAlgn val="ctr"/>
        <c:lblOffset val="100"/>
        <c:noMultiLvlLbl val="0"/>
      </c:catAx>
      <c:valAx>
        <c:axId val="2845108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2843142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Big Bank Lender</c:v>
          </c:tx>
          <c:marker>
            <c:symbol val="none"/>
          </c:marker>
          <c:cat>
            <c:numRef>
              <c:f>'Input-equal'!$B$4:$B$123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'Input-equal'!$C$4:$C$123</c:f>
              <c:numCache>
                <c:formatCode>0.00</c:formatCode>
                <c:ptCount val="120"/>
                <c:pt idx="0">
                  <c:v>3.9912955465587046</c:v>
                </c:pt>
                <c:pt idx="1">
                  <c:v>3.9979175704989154</c:v>
                </c:pt>
                <c:pt idx="2">
                  <c:v>4.1609779951100245</c:v>
                </c:pt>
                <c:pt idx="3">
                  <c:v>4.24542600896861</c:v>
                </c:pt>
                <c:pt idx="4">
                  <c:v>4.2274654377880188</c:v>
                </c:pt>
                <c:pt idx="5">
                  <c:v>4.1999220272904481</c:v>
                </c:pt>
                <c:pt idx="6">
                  <c:v>4.2928996282527878</c:v>
                </c:pt>
                <c:pt idx="7">
                  <c:v>4.5364476021314388</c:v>
                </c:pt>
                <c:pt idx="8">
                  <c:v>4.3340740740740742</c:v>
                </c:pt>
                <c:pt idx="9">
                  <c:v>4.2793501048218028</c:v>
                </c:pt>
                <c:pt idx="10">
                  <c:v>4.4661368653421629</c:v>
                </c:pt>
                <c:pt idx="11">
                  <c:v>4.3982524271844659</c:v>
                </c:pt>
                <c:pt idx="12">
                  <c:v>4.444987593052109</c:v>
                </c:pt>
                <c:pt idx="13">
                  <c:v>4.5344392523364485</c:v>
                </c:pt>
                <c:pt idx="14">
                  <c:v>4.5166512702078521</c:v>
                </c:pt>
                <c:pt idx="15">
                  <c:v>4.454457593688363</c:v>
                </c:pt>
                <c:pt idx="16">
                  <c:v>4.5210021321961618</c:v>
                </c:pt>
                <c:pt idx="17">
                  <c:v>4.5146623794212219</c:v>
                </c:pt>
                <c:pt idx="18">
                  <c:v>4.4361654135338346</c:v>
                </c:pt>
                <c:pt idx="19">
                  <c:v>4.3628930817610065</c:v>
                </c:pt>
                <c:pt idx="20">
                  <c:v>4.219472972972973</c:v>
                </c:pt>
                <c:pt idx="21">
                  <c:v>3.9966482758620692</c:v>
                </c:pt>
                <c:pt idx="22">
                  <c:v>3.7630917874396137</c:v>
                </c:pt>
                <c:pt idx="23">
                  <c:v>3.8248064918851434</c:v>
                </c:pt>
                <c:pt idx="24">
                  <c:v>3.8760879120879119</c:v>
                </c:pt>
                <c:pt idx="25">
                  <c:v>3.8113201970443349</c:v>
                </c:pt>
                <c:pt idx="26">
                  <c:v>3.7122934782608694</c:v>
                </c:pt>
                <c:pt idx="27">
                  <c:v>3.7481714285714287</c:v>
                </c:pt>
                <c:pt idx="28">
                  <c:v>3.7645962113659022</c:v>
                </c:pt>
                <c:pt idx="29">
                  <c:v>3.7716748166259171</c:v>
                </c:pt>
                <c:pt idx="30">
                  <c:v>3.835059523809524</c:v>
                </c:pt>
                <c:pt idx="31">
                  <c:v>3.8882166301969368</c:v>
                </c:pt>
                <c:pt idx="32">
                  <c:v>4.1436777178103315</c:v>
                </c:pt>
                <c:pt idx="33">
                  <c:v>4.0408633093525177</c:v>
                </c:pt>
                <c:pt idx="34">
                  <c:v>4.2002081268582758</c:v>
                </c:pt>
                <c:pt idx="35">
                  <c:v>4.2402633814783348</c:v>
                </c:pt>
                <c:pt idx="36">
                  <c:v>4.3046093064091311</c:v>
                </c:pt>
                <c:pt idx="37">
                  <c:v>4.1793540051679585</c:v>
                </c:pt>
                <c:pt idx="38">
                  <c:v>4.2623658694246931</c:v>
                </c:pt>
                <c:pt idx="39">
                  <c:v>4.3718718718718721</c:v>
                </c:pt>
                <c:pt idx="40">
                  <c:v>4.4309605122732121</c:v>
                </c:pt>
                <c:pt idx="41">
                  <c:v>4.631294326241135</c:v>
                </c:pt>
                <c:pt idx="42">
                  <c:v>4.5057812500000001</c:v>
                </c:pt>
                <c:pt idx="43">
                  <c:v>4.6595498783454987</c:v>
                </c:pt>
                <c:pt idx="44">
                  <c:v>4.7836633663366337</c:v>
                </c:pt>
                <c:pt idx="45">
                  <c:v>4.8711698113207547</c:v>
                </c:pt>
                <c:pt idx="46">
                  <c:v>4.9163437500000002</c:v>
                </c:pt>
                <c:pt idx="47">
                  <c:v>4.966902286902287</c:v>
                </c:pt>
                <c:pt idx="48">
                  <c:v>4.9275345167652862</c:v>
                </c:pt>
                <c:pt idx="49">
                  <c:v>4.8821004184100421</c:v>
                </c:pt>
                <c:pt idx="50">
                  <c:v>4.9729197572488202</c:v>
                </c:pt>
                <c:pt idx="51">
                  <c:v>4.6669620253164554</c:v>
                </c:pt>
                <c:pt idx="52">
                  <c:v>4.5938719832109127</c:v>
                </c:pt>
                <c:pt idx="53">
                  <c:v>4.5925727773406768</c:v>
                </c:pt>
                <c:pt idx="54">
                  <c:v>4.6825050916496949</c:v>
                </c:pt>
                <c:pt idx="55">
                  <c:v>4.7646637744034708</c:v>
                </c:pt>
                <c:pt idx="56">
                  <c:v>4.8957653631284916</c:v>
                </c:pt>
                <c:pt idx="57">
                  <c:v>4.9864661654135336</c:v>
                </c:pt>
                <c:pt idx="58">
                  <c:v>5.075707620528771</c:v>
                </c:pt>
                <c:pt idx="59">
                  <c:v>5.2701765447667084</c:v>
                </c:pt>
                <c:pt idx="60">
                  <c:v>5.1354871794871793</c:v>
                </c:pt>
                <c:pt idx="61">
                  <c:v>5.1234027777777778</c:v>
                </c:pt>
                <c:pt idx="62">
                  <c:v>5.1650490196078431</c:v>
                </c:pt>
                <c:pt idx="63">
                  <c:v>5.1120547945205477</c:v>
                </c:pt>
                <c:pt idx="64">
                  <c:v>5.1348584905660379</c:v>
                </c:pt>
                <c:pt idx="65">
                  <c:v>5.1564142538975499</c:v>
                </c:pt>
                <c:pt idx="66">
                  <c:v>5.2733474576271187</c:v>
                </c:pt>
                <c:pt idx="67">
                  <c:v>5.2421489361702127</c:v>
                </c:pt>
                <c:pt idx="68">
                  <c:v>5.5872941176470592</c:v>
                </c:pt>
                <c:pt idx="69">
                  <c:v>5.2512607944732297</c:v>
                </c:pt>
                <c:pt idx="70">
                  <c:v>5.1873538461538464</c:v>
                </c:pt>
                <c:pt idx="71">
                  <c:v>5.6413742690058477</c:v>
                </c:pt>
                <c:pt idx="72">
                  <c:v>5.4856545454545458</c:v>
                </c:pt>
                <c:pt idx="73">
                  <c:v>5.1703921568627447</c:v>
                </c:pt>
                <c:pt idx="74">
                  <c:v>5.4608626974483601</c:v>
                </c:pt>
                <c:pt idx="75">
                  <c:v>5.6196038034865294</c:v>
                </c:pt>
                <c:pt idx="76">
                  <c:v>5.9806085526315789</c:v>
                </c:pt>
                <c:pt idx="77">
                  <c:v>6.2480476626947752</c:v>
                </c:pt>
                <c:pt idx="78">
                  <c:v>6.280556390977444</c:v>
                </c:pt>
                <c:pt idx="79">
                  <c:v>6.3899496855345914</c:v>
                </c:pt>
                <c:pt idx="80">
                  <c:v>6.4493476531424028</c:v>
                </c:pt>
                <c:pt idx="81">
                  <c:v>6.342199832073887</c:v>
                </c:pt>
                <c:pt idx="82">
                  <c:v>6.2690345937248591</c:v>
                </c:pt>
                <c:pt idx="83">
                  <c:v>6.1458327847267942</c:v>
                </c:pt>
                <c:pt idx="84">
                  <c:v>6.2167653429602892</c:v>
                </c:pt>
                <c:pt idx="85">
                  <c:v>6.1492801251956184</c:v>
                </c:pt>
                <c:pt idx="86">
                  <c:v>6.1076459330143544</c:v>
                </c:pt>
                <c:pt idx="87">
                  <c:v>6.3138388625592414</c:v>
                </c:pt>
                <c:pt idx="88">
                  <c:v>6.4733263598326358</c:v>
                </c:pt>
                <c:pt idx="89">
                  <c:v>6.5789473684210522</c:v>
                </c:pt>
                <c:pt idx="90">
                  <c:v>6.6916723549488051</c:v>
                </c:pt>
                <c:pt idx="91">
                  <c:v>6.7042653673163422</c:v>
                </c:pt>
                <c:pt idx="92">
                  <c:v>6.6666204506065858</c:v>
                </c:pt>
                <c:pt idx="93">
                  <c:v>6.5981589403973508</c:v>
                </c:pt>
                <c:pt idx="94">
                  <c:v>6.7673333333333332</c:v>
                </c:pt>
                <c:pt idx="95">
                  <c:v>6.1670833333333333</c:v>
                </c:pt>
                <c:pt idx="96">
                  <c:v>6.4480447330447328</c:v>
                </c:pt>
                <c:pt idx="97">
                  <c:v>6.4221865671641787</c:v>
                </c:pt>
                <c:pt idx="98">
                  <c:v>6.42830303030303</c:v>
                </c:pt>
                <c:pt idx="99">
                  <c:v>6.4058564814814813</c:v>
                </c:pt>
                <c:pt idx="100">
                  <c:v>6.4159050683829442</c:v>
                </c:pt>
                <c:pt idx="101">
                  <c:v>6.5381555733761028</c:v>
                </c:pt>
                <c:pt idx="102">
                  <c:v>6.5851003344481605</c:v>
                </c:pt>
                <c:pt idx="103">
                  <c:v>6.5427777777777774</c:v>
                </c:pt>
                <c:pt idx="104">
                  <c:v>6.256379310344828</c:v>
                </c:pt>
                <c:pt idx="105">
                  <c:v>6.4051999999999998</c:v>
                </c:pt>
                <c:pt idx="106">
                  <c:v>6.0122222222222224</c:v>
                </c:pt>
                <c:pt idx="107">
                  <c:v>5.762777777777778</c:v>
                </c:pt>
                <c:pt idx="108">
                  <c:v>6.4379999999999997</c:v>
                </c:pt>
                <c:pt idx="109">
                  <c:v>6.1957142857142857</c:v>
                </c:pt>
                <c:pt idx="110">
                  <c:v>5.8312499999999998</c:v>
                </c:pt>
                <c:pt idx="111">
                  <c:v>5.9120689655172418</c:v>
                </c:pt>
                <c:pt idx="112">
                  <c:v>5.5707142857142857</c:v>
                </c:pt>
                <c:pt idx="113">
                  <c:v>6.1768181818181818</c:v>
                </c:pt>
                <c:pt idx="114">
                  <c:v>5.8255555555555558</c:v>
                </c:pt>
                <c:pt idx="115">
                  <c:v>5.763684210526316</c:v>
                </c:pt>
                <c:pt idx="116">
                  <c:v>6.3849999999999998</c:v>
                </c:pt>
                <c:pt idx="117">
                  <c:v>6.3880769230769232</c:v>
                </c:pt>
                <c:pt idx="118">
                  <c:v>6.2105555555555556</c:v>
                </c:pt>
                <c:pt idx="119">
                  <c:v>6.8342857142857145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'Input-equal'!$D$3</c:f>
              <c:strCache>
                <c:ptCount val="1"/>
                <c:pt idx="0">
                  <c:v>Big Non-Bank Lender</c:v>
                </c:pt>
              </c:strCache>
            </c:strRef>
          </c:tx>
          <c:marker>
            <c:symbol val="none"/>
          </c:marker>
          <c:cat>
            <c:numRef>
              <c:f>'Input-equal'!$B$4:$B$123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'Input-equal'!$D$4:$D$123</c:f>
              <c:numCache>
                <c:formatCode>0.00</c:formatCode>
                <c:ptCount val="120"/>
                <c:pt idx="0">
                  <c:v>4.1031823745410039</c:v>
                </c:pt>
                <c:pt idx="1">
                  <c:v>4.1035747126436783</c:v>
                </c:pt>
                <c:pt idx="2">
                  <c:v>4.0939948783610758</c:v>
                </c:pt>
                <c:pt idx="3">
                  <c:v>4.2022985468956406</c:v>
                </c:pt>
                <c:pt idx="4">
                  <c:v>4.2962853107344632</c:v>
                </c:pt>
                <c:pt idx="5">
                  <c:v>4.3708053691275168</c:v>
                </c:pt>
                <c:pt idx="6">
                  <c:v>4.4032330827067669</c:v>
                </c:pt>
                <c:pt idx="7">
                  <c:v>4.6441150442477879</c:v>
                </c:pt>
                <c:pt idx="8">
                  <c:v>4.3866253443526171</c:v>
                </c:pt>
                <c:pt idx="9">
                  <c:v>4.4176777939042093</c:v>
                </c:pt>
                <c:pt idx="10">
                  <c:v>4.5105019305019303</c:v>
                </c:pt>
                <c:pt idx="11">
                  <c:v>4.5577452415812587</c:v>
                </c:pt>
                <c:pt idx="12">
                  <c:v>4.5295286195286195</c:v>
                </c:pt>
                <c:pt idx="13">
                  <c:v>4.5175726495726494</c:v>
                </c:pt>
                <c:pt idx="14">
                  <c:v>4.5882324840764328</c:v>
                </c:pt>
                <c:pt idx="15">
                  <c:v>4.5510142630744852</c:v>
                </c:pt>
                <c:pt idx="16">
                  <c:v>4.5085251798561155</c:v>
                </c:pt>
                <c:pt idx="17">
                  <c:v>4.4742771982116247</c:v>
                </c:pt>
                <c:pt idx="18">
                  <c:v>4.5233111480865222</c:v>
                </c:pt>
                <c:pt idx="19">
                  <c:v>4.4468817204301079</c:v>
                </c:pt>
                <c:pt idx="20">
                  <c:v>4.3189413447782545</c:v>
                </c:pt>
                <c:pt idx="21">
                  <c:v>4.0715979381443299</c:v>
                </c:pt>
                <c:pt idx="22">
                  <c:v>3.8559116022099449</c:v>
                </c:pt>
                <c:pt idx="23">
                  <c:v>3.7887275693311584</c:v>
                </c:pt>
                <c:pt idx="24">
                  <c:v>3.8455106382978723</c:v>
                </c:pt>
                <c:pt idx="25">
                  <c:v>3.852469135802469</c:v>
                </c:pt>
                <c:pt idx="26">
                  <c:v>3.7388683602771362</c:v>
                </c:pt>
                <c:pt idx="27">
                  <c:v>3.6278368121442126</c:v>
                </c:pt>
                <c:pt idx="28">
                  <c:v>3.6697932330827068</c:v>
                </c:pt>
                <c:pt idx="29">
                  <c:v>3.7777342047930285</c:v>
                </c:pt>
                <c:pt idx="30">
                  <c:v>3.8298930481283424</c:v>
                </c:pt>
                <c:pt idx="31">
                  <c:v>3.8924703557312252</c:v>
                </c:pt>
                <c:pt idx="32">
                  <c:v>3.9875981161695448</c:v>
                </c:pt>
                <c:pt idx="33">
                  <c:v>3.9936727879799667</c:v>
                </c:pt>
                <c:pt idx="34">
                  <c:v>4.1069872958257712</c:v>
                </c:pt>
                <c:pt idx="35">
                  <c:v>4.1715500945179587</c:v>
                </c:pt>
                <c:pt idx="36">
                  <c:v>4.2490111642743225</c:v>
                </c:pt>
                <c:pt idx="37">
                  <c:v>4.1477854671280276</c:v>
                </c:pt>
                <c:pt idx="38">
                  <c:v>4.1229347826086959</c:v>
                </c:pt>
                <c:pt idx="39">
                  <c:v>4.2531494252873561</c:v>
                </c:pt>
                <c:pt idx="40">
                  <c:v>4.285530085959885</c:v>
                </c:pt>
                <c:pt idx="41">
                  <c:v>4.4425287356321839</c:v>
                </c:pt>
                <c:pt idx="42">
                  <c:v>4.3438461538461537</c:v>
                </c:pt>
                <c:pt idx="43">
                  <c:v>4.4594894894894894</c:v>
                </c:pt>
                <c:pt idx="44">
                  <c:v>4.669598662207358</c:v>
                </c:pt>
                <c:pt idx="45">
                  <c:v>4.7421739130434784</c:v>
                </c:pt>
                <c:pt idx="46">
                  <c:v>4.8989361702127656</c:v>
                </c:pt>
                <c:pt idx="47">
                  <c:v>5.0018666666666665</c:v>
                </c:pt>
                <c:pt idx="48">
                  <c:v>5.0273376623376622</c:v>
                </c:pt>
                <c:pt idx="49">
                  <c:v>5.0941304347826089</c:v>
                </c:pt>
                <c:pt idx="50">
                  <c:v>5.1860080645161286</c:v>
                </c:pt>
                <c:pt idx="51">
                  <c:v>4.6892090395480226</c:v>
                </c:pt>
                <c:pt idx="52">
                  <c:v>4.5987777777777774</c:v>
                </c:pt>
                <c:pt idx="53">
                  <c:v>4.5257679180887376</c:v>
                </c:pt>
                <c:pt idx="54">
                  <c:v>4.5908296943231441</c:v>
                </c:pt>
                <c:pt idx="55">
                  <c:v>4.6623129251700677</c:v>
                </c:pt>
                <c:pt idx="56">
                  <c:v>4.7988177339901474</c:v>
                </c:pt>
                <c:pt idx="57">
                  <c:v>4.9659154929577465</c:v>
                </c:pt>
                <c:pt idx="58">
                  <c:v>5.2304761904761907</c:v>
                </c:pt>
                <c:pt idx="59">
                  <c:v>5.3774380165289255</c:v>
                </c:pt>
                <c:pt idx="60">
                  <c:v>5.2816853932584271</c:v>
                </c:pt>
                <c:pt idx="61">
                  <c:v>5.2726562499999998</c:v>
                </c:pt>
                <c:pt idx="62">
                  <c:v>5.226</c:v>
                </c:pt>
                <c:pt idx="63">
                  <c:v>5.0967543859649123</c:v>
                </c:pt>
                <c:pt idx="64">
                  <c:v>5.0649655172413794</c:v>
                </c:pt>
                <c:pt idx="65">
                  <c:v>5.1366176470588236</c:v>
                </c:pt>
                <c:pt idx="66">
                  <c:v>5.2318045112781952</c:v>
                </c:pt>
                <c:pt idx="67">
                  <c:v>5.3814728682170543</c:v>
                </c:pt>
                <c:pt idx="68">
                  <c:v>5.5050340136054423</c:v>
                </c:pt>
                <c:pt idx="69">
                  <c:v>5.3330379746835446</c:v>
                </c:pt>
                <c:pt idx="70">
                  <c:v>5.2791366906474817</c:v>
                </c:pt>
                <c:pt idx="71">
                  <c:v>5.7425600000000001</c:v>
                </c:pt>
                <c:pt idx="72">
                  <c:v>5.3722826086956523</c:v>
                </c:pt>
                <c:pt idx="73">
                  <c:v>5.5121276595744684</c:v>
                </c:pt>
                <c:pt idx="74">
                  <c:v>5.5514285714285716</c:v>
                </c:pt>
                <c:pt idx="75">
                  <c:v>5.4381034482758617</c:v>
                </c:pt>
                <c:pt idx="76">
                  <c:v>6.1330882352941174</c:v>
                </c:pt>
                <c:pt idx="77">
                  <c:v>6.4772727272727275</c:v>
                </c:pt>
                <c:pt idx="78">
                  <c:v>6.3393220338983047</c:v>
                </c:pt>
                <c:pt idx="79">
                  <c:v>6.5872602739726025</c:v>
                </c:pt>
                <c:pt idx="80">
                  <c:v>6.7409774436090224</c:v>
                </c:pt>
                <c:pt idx="81">
                  <c:v>6.7704545454545455</c:v>
                </c:pt>
                <c:pt idx="82">
                  <c:v>6.6987301587301591</c:v>
                </c:pt>
                <c:pt idx="83">
                  <c:v>6.6612799999999996</c:v>
                </c:pt>
                <c:pt idx="84">
                  <c:v>6.4648502994011974</c:v>
                </c:pt>
                <c:pt idx="85">
                  <c:v>6.4444808743169402</c:v>
                </c:pt>
                <c:pt idx="86">
                  <c:v>6.3173493975903616</c:v>
                </c:pt>
                <c:pt idx="87">
                  <c:v>6.6717050691244237</c:v>
                </c:pt>
                <c:pt idx="88">
                  <c:v>6.8150248756218907</c:v>
                </c:pt>
                <c:pt idx="89">
                  <c:v>6.9997969543147205</c:v>
                </c:pt>
                <c:pt idx="90">
                  <c:v>7.0223529411764707</c:v>
                </c:pt>
                <c:pt idx="91">
                  <c:v>7.0123444976076552</c:v>
                </c:pt>
                <c:pt idx="92">
                  <c:v>7.0294786729857819</c:v>
                </c:pt>
                <c:pt idx="93">
                  <c:v>6.9441346153846153</c:v>
                </c:pt>
                <c:pt idx="94">
                  <c:v>7.1961538461538463</c:v>
                </c:pt>
                <c:pt idx="95">
                  <c:v>6.85</c:v>
                </c:pt>
                <c:pt idx="96">
                  <c:v>6.5947345132743367</c:v>
                </c:pt>
                <c:pt idx="97">
                  <c:v>6.6341379310344823</c:v>
                </c:pt>
                <c:pt idx="98">
                  <c:v>6.6061594202898553</c:v>
                </c:pt>
                <c:pt idx="99">
                  <c:v>6.4742105263157894</c:v>
                </c:pt>
                <c:pt idx="100">
                  <c:v>6.632421052631579</c:v>
                </c:pt>
                <c:pt idx="101">
                  <c:v>6.6694392523364483</c:v>
                </c:pt>
                <c:pt idx="102">
                  <c:v>6.8106206896551722</c:v>
                </c:pt>
                <c:pt idx="103">
                  <c:v>7.86</c:v>
                </c:pt>
                <c:pt idx="104">
                  <c:v>#N/A</c:v>
                </c:pt>
                <c:pt idx="105">
                  <c:v>6.48</c:v>
                </c:pt>
                <c:pt idx="106">
                  <c:v>#N/A</c:v>
                </c:pt>
                <c:pt idx="107">
                  <c:v>#N/A</c:v>
                </c:pt>
                <c:pt idx="108">
                  <c:v>6.37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6.77</c:v>
                </c:pt>
                <c:pt idx="114">
                  <c:v>5.89</c:v>
                </c:pt>
                <c:pt idx="115">
                  <c:v>#N/A</c:v>
                </c:pt>
                <c:pt idx="116">
                  <c:v>5.5</c:v>
                </c:pt>
                <c:pt idx="117">
                  <c:v>#N/A</c:v>
                </c:pt>
                <c:pt idx="118">
                  <c:v>#N/A</c:v>
                </c:pt>
                <c:pt idx="119">
                  <c:v>5.9349999999999996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'Input-equal'!$E$3</c:f>
              <c:strCache>
                <c:ptCount val="1"/>
                <c:pt idx="0">
                  <c:v>Small Lender</c:v>
                </c:pt>
              </c:strCache>
            </c:strRef>
          </c:tx>
          <c:marker>
            <c:symbol val="none"/>
          </c:marker>
          <c:cat>
            <c:numRef>
              <c:f>'Input-equal'!$B$4:$B$123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'Input-equal'!$E$4:$E$123</c:f>
              <c:numCache>
                <c:formatCode>0.00</c:formatCode>
                <c:ptCount val="120"/>
                <c:pt idx="0">
                  <c:v>4.0292713077423556</c:v>
                </c:pt>
                <c:pt idx="1">
                  <c:v>4.0326439351593066</c:v>
                </c:pt>
                <c:pt idx="2">
                  <c:v>4.0136091661362192</c:v>
                </c:pt>
                <c:pt idx="3">
                  <c:v>4.2049160510409669</c:v>
                </c:pt>
                <c:pt idx="4">
                  <c:v>4.2893762311227839</c:v>
                </c:pt>
                <c:pt idx="5">
                  <c:v>4.2744139004149382</c:v>
                </c:pt>
                <c:pt idx="6">
                  <c:v>4.4161538461538461</c:v>
                </c:pt>
                <c:pt idx="7">
                  <c:v>4.6339791356184801</c:v>
                </c:pt>
                <c:pt idx="8">
                  <c:v>4.3585949943117175</c:v>
                </c:pt>
                <c:pt idx="9">
                  <c:v>4.3804644495412841</c:v>
                </c:pt>
                <c:pt idx="10">
                  <c:v>4.4667106710671067</c:v>
                </c:pt>
                <c:pt idx="11">
                  <c:v>4.5122021210230816</c:v>
                </c:pt>
                <c:pt idx="12">
                  <c:v>4.5604559650218617</c:v>
                </c:pt>
                <c:pt idx="13">
                  <c:v>4.5419607843137255</c:v>
                </c:pt>
                <c:pt idx="14">
                  <c:v>4.4715871979098631</c:v>
                </c:pt>
                <c:pt idx="15">
                  <c:v>4.5283301946013808</c:v>
                </c:pt>
                <c:pt idx="16">
                  <c:v>4.5644876543209874</c:v>
                </c:pt>
                <c:pt idx="17">
                  <c:v>4.478249063670412</c:v>
                </c:pt>
                <c:pt idx="18">
                  <c:v>4.5137945492662475</c:v>
                </c:pt>
                <c:pt idx="19">
                  <c:v>4.5148250000000001</c:v>
                </c:pt>
                <c:pt idx="20">
                  <c:v>4.3738364167478094</c:v>
                </c:pt>
                <c:pt idx="21">
                  <c:v>4.1280199430199431</c:v>
                </c:pt>
                <c:pt idx="22">
                  <c:v>3.9304855588112182</c:v>
                </c:pt>
                <c:pt idx="23">
                  <c:v>3.7581178947368423</c:v>
                </c:pt>
                <c:pt idx="24">
                  <c:v>3.7433420365535248</c:v>
                </c:pt>
                <c:pt idx="25">
                  <c:v>3.7339111747851002</c:v>
                </c:pt>
                <c:pt idx="26">
                  <c:v>3.7099337504600665</c:v>
                </c:pt>
                <c:pt idx="27">
                  <c:v>3.5958880936890045</c:v>
                </c:pt>
                <c:pt idx="28">
                  <c:v>3.631695067264574</c:v>
                </c:pt>
                <c:pt idx="29">
                  <c:v>3.6432513123359582</c:v>
                </c:pt>
                <c:pt idx="30">
                  <c:v>3.677646296696178</c:v>
                </c:pt>
                <c:pt idx="31">
                  <c:v>3.752032640949555</c:v>
                </c:pt>
                <c:pt idx="32">
                  <c:v>4.0732542746828457</c:v>
                </c:pt>
                <c:pt idx="33">
                  <c:v>3.8683670760039828</c:v>
                </c:pt>
                <c:pt idx="34">
                  <c:v>3.9891616314199396</c:v>
                </c:pt>
                <c:pt idx="35">
                  <c:v>4.0717039321511184</c:v>
                </c:pt>
                <c:pt idx="36">
                  <c:v>4.3062351980400164</c:v>
                </c:pt>
                <c:pt idx="37">
                  <c:v>4.1242911877394635</c:v>
                </c:pt>
                <c:pt idx="38">
                  <c:v>4.2107571801566577</c:v>
                </c:pt>
                <c:pt idx="39">
                  <c:v>4.3205293276108723</c:v>
                </c:pt>
                <c:pt idx="40">
                  <c:v>4.3408612204724406</c:v>
                </c:pt>
                <c:pt idx="41">
                  <c:v>4.6022926617455493</c:v>
                </c:pt>
                <c:pt idx="42">
                  <c:v>4.395429945880938</c:v>
                </c:pt>
                <c:pt idx="43">
                  <c:v>4.5478952879581156</c:v>
                </c:pt>
                <c:pt idx="44">
                  <c:v>4.6959080188679243</c:v>
                </c:pt>
                <c:pt idx="45">
                  <c:v>4.823563766388558</c:v>
                </c:pt>
                <c:pt idx="46">
                  <c:v>4.8169811320754716</c:v>
                </c:pt>
                <c:pt idx="47">
                  <c:v>4.9943731431966727</c:v>
                </c:pt>
                <c:pt idx="48">
                  <c:v>5.0189510901591046</c:v>
                </c:pt>
                <c:pt idx="49">
                  <c:v>4.941537530266344</c:v>
                </c:pt>
                <c:pt idx="50">
                  <c:v>5.151738473167045</c:v>
                </c:pt>
                <c:pt idx="51">
                  <c:v>4.8664612114771524</c:v>
                </c:pt>
                <c:pt idx="52">
                  <c:v>4.7065556182947486</c:v>
                </c:pt>
                <c:pt idx="53">
                  <c:v>4.6478582677165354</c:v>
                </c:pt>
                <c:pt idx="54">
                  <c:v>4.6539765510503175</c:v>
                </c:pt>
                <c:pt idx="55">
                  <c:v>4.6638649592549477</c:v>
                </c:pt>
                <c:pt idx="56">
                  <c:v>4.7756931012250163</c:v>
                </c:pt>
                <c:pt idx="57">
                  <c:v>5.0002510760401719</c:v>
                </c:pt>
                <c:pt idx="58">
                  <c:v>5.1613145539906107</c:v>
                </c:pt>
                <c:pt idx="59">
                  <c:v>5.2962028127313099</c:v>
                </c:pt>
                <c:pt idx="60">
                  <c:v>5.1788924731182799</c:v>
                </c:pt>
                <c:pt idx="61">
                  <c:v>5.2731155778894472</c:v>
                </c:pt>
                <c:pt idx="62">
                  <c:v>5.2865248226950357</c:v>
                </c:pt>
                <c:pt idx="63">
                  <c:v>5.2236041189931353</c:v>
                </c:pt>
                <c:pt idx="64">
                  <c:v>5.2146581691772882</c:v>
                </c:pt>
                <c:pt idx="65">
                  <c:v>5.254167400881057</c:v>
                </c:pt>
                <c:pt idx="66">
                  <c:v>5.2768128654970763</c:v>
                </c:pt>
                <c:pt idx="67">
                  <c:v>5.3857841328413283</c:v>
                </c:pt>
                <c:pt idx="68">
                  <c:v>5.5528234398782343</c:v>
                </c:pt>
                <c:pt idx="69">
                  <c:v>5.3978220140515223</c:v>
                </c:pt>
                <c:pt idx="70">
                  <c:v>5.3322008862629247</c:v>
                </c:pt>
                <c:pt idx="71">
                  <c:v>5.518167855183763</c:v>
                </c:pt>
                <c:pt idx="72">
                  <c:v>5.5367820990942995</c:v>
                </c:pt>
                <c:pt idx="73">
                  <c:v>5.3880502599653379</c:v>
                </c:pt>
                <c:pt idx="74">
                  <c:v>5.5721674876847294</c:v>
                </c:pt>
                <c:pt idx="75">
                  <c:v>5.69468</c:v>
                </c:pt>
                <c:pt idx="76">
                  <c:v>6.30480231436837</c:v>
                </c:pt>
                <c:pt idx="77">
                  <c:v>6.3725907752698721</c:v>
                </c:pt>
                <c:pt idx="78">
                  <c:v>6.2272332015810274</c:v>
                </c:pt>
                <c:pt idx="79">
                  <c:v>6.3768311688311687</c:v>
                </c:pt>
                <c:pt idx="80">
                  <c:v>6.4475167785234904</c:v>
                </c:pt>
                <c:pt idx="81">
                  <c:v>6.3473432835820898</c:v>
                </c:pt>
                <c:pt idx="82">
                  <c:v>6.2026535947712418</c:v>
                </c:pt>
                <c:pt idx="83">
                  <c:v>6.1763245033112586</c:v>
                </c:pt>
                <c:pt idx="84">
                  <c:v>6.1907136150234745</c:v>
                </c:pt>
                <c:pt idx="85">
                  <c:v>6.1068078175895764</c:v>
                </c:pt>
                <c:pt idx="86">
                  <c:v>6.2039655172413797</c:v>
                </c:pt>
                <c:pt idx="87">
                  <c:v>6.4203461918892186</c:v>
                </c:pt>
                <c:pt idx="88">
                  <c:v>6.5952353616532724</c:v>
                </c:pt>
                <c:pt idx="89">
                  <c:v>6.7157816091954023</c:v>
                </c:pt>
                <c:pt idx="90">
                  <c:v>6.7457671381936892</c:v>
                </c:pt>
                <c:pt idx="91">
                  <c:v>6.932586206896552</c:v>
                </c:pt>
                <c:pt idx="92">
                  <c:v>6.8497566137566137</c:v>
                </c:pt>
                <c:pt idx="93">
                  <c:v>6.6953164556962026</c:v>
                </c:pt>
                <c:pt idx="94">
                  <c:v>6.5186842105263159</c:v>
                </c:pt>
                <c:pt idx="95">
                  <c:v>6.1310937499999998</c:v>
                </c:pt>
                <c:pt idx="96">
                  <c:v>6.4248387096774193</c:v>
                </c:pt>
                <c:pt idx="97">
                  <c:v>6.5108291203235593</c:v>
                </c:pt>
                <c:pt idx="98">
                  <c:v>6.3810185185185189</c:v>
                </c:pt>
                <c:pt idx="99">
                  <c:v>6.3686563307493538</c:v>
                </c:pt>
                <c:pt idx="100">
                  <c:v>6.4637398373983741</c:v>
                </c:pt>
                <c:pt idx="101">
                  <c:v>6.483436385255648</c:v>
                </c:pt>
                <c:pt idx="102">
                  <c:v>6.5479828850855748</c:v>
                </c:pt>
                <c:pt idx="103">
                  <c:v>6.4406060606060604</c:v>
                </c:pt>
                <c:pt idx="104">
                  <c:v>6.2308823529411761</c:v>
                </c:pt>
                <c:pt idx="105">
                  <c:v>6.2974285714285712</c:v>
                </c:pt>
                <c:pt idx="106">
                  <c:v>6.264842105263158</c:v>
                </c:pt>
                <c:pt idx="107">
                  <c:v>6.1193069306930692</c:v>
                </c:pt>
                <c:pt idx="108">
                  <c:v>6.2129411764705882</c:v>
                </c:pt>
                <c:pt idx="109">
                  <c:v>6.1925714285714282</c:v>
                </c:pt>
                <c:pt idx="110">
                  <c:v>6.3875000000000002</c:v>
                </c:pt>
                <c:pt idx="111">
                  <c:v>6.12</c:v>
                </c:pt>
                <c:pt idx="112">
                  <c:v>6.3566666666666665</c:v>
                </c:pt>
                <c:pt idx="113">
                  <c:v>6.3449999999999998</c:v>
                </c:pt>
                <c:pt idx="114">
                  <c:v>6.9285714285714288</c:v>
                </c:pt>
                <c:pt idx="115">
                  <c:v>6.34</c:v>
                </c:pt>
                <c:pt idx="116">
                  <c:v>6.23</c:v>
                </c:pt>
                <c:pt idx="117">
                  <c:v>5.7712500000000002</c:v>
                </c:pt>
                <c:pt idx="118">
                  <c:v>6.03125</c:v>
                </c:pt>
                <c:pt idx="119">
                  <c:v>6.4154545454545451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32064"/>
        <c:axId val="223034368"/>
      </c:lineChart>
      <c:dateAx>
        <c:axId val="223032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3034368"/>
        <c:crosses val="autoZero"/>
        <c:auto val="1"/>
        <c:lblOffset val="100"/>
        <c:baseTimeUnit val="months"/>
        <c:majorUnit val="6"/>
        <c:majorTimeUnit val="months"/>
      </c:dateAx>
      <c:valAx>
        <c:axId val="223034368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3032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'Input-equal'!$F$3</c:f>
              <c:strCache>
                <c:ptCount val="1"/>
                <c:pt idx="0">
                  <c:v>1-2</c:v>
                </c:pt>
              </c:strCache>
            </c:strRef>
          </c:tx>
          <c:marker>
            <c:symbol val="none"/>
          </c:marker>
          <c:cat>
            <c:numRef>
              <c:f>'Input-equal'!$B$4:$B$123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'Input-equal'!$F$4:$F$123</c:f>
              <c:numCache>
                <c:formatCode>0.00</c:formatCode>
                <c:ptCount val="120"/>
                <c:pt idx="0">
                  <c:v>-0.11188682798229932</c:v>
                </c:pt>
                <c:pt idx="1">
                  <c:v>-0.10565714214476296</c:v>
                </c:pt>
                <c:pt idx="2">
                  <c:v>6.6983116748948746E-2</c:v>
                </c:pt>
                <c:pt idx="3">
                  <c:v>4.3127462072969358E-2</c:v>
                </c:pt>
                <c:pt idx="4">
                  <c:v>-6.8819872946444427E-2</c:v>
                </c:pt>
                <c:pt idx="5">
                  <c:v>-0.17088334183706877</c:v>
                </c:pt>
                <c:pt idx="6">
                  <c:v>-0.11033345445397913</c:v>
                </c:pt>
                <c:pt idx="7">
                  <c:v>-0.10766744211634904</c:v>
                </c:pt>
                <c:pt idx="8">
                  <c:v>-5.2551270278542894E-2</c:v>
                </c:pt>
                <c:pt idx="9">
                  <c:v>-0.13832768908240656</c:v>
                </c:pt>
                <c:pt idx="10">
                  <c:v>-4.4365065159767347E-2</c:v>
                </c:pt>
                <c:pt idx="11">
                  <c:v>-0.15949281439679286</c:v>
                </c:pt>
                <c:pt idx="12">
                  <c:v>-8.4541026476510517E-2</c:v>
                </c:pt>
                <c:pt idx="13">
                  <c:v>1.6866602763799143E-2</c:v>
                </c:pt>
                <c:pt idx="14">
                  <c:v>-7.158121386858074E-2</c:v>
                </c:pt>
                <c:pt idx="15">
                  <c:v>-9.6556669386122174E-2</c:v>
                </c:pt>
                <c:pt idx="16">
                  <c:v>1.247695234004631E-2</c:v>
                </c:pt>
                <c:pt idx="17">
                  <c:v>4.0385181209597221E-2</c:v>
                </c:pt>
                <c:pt idx="18">
                  <c:v>-8.7145734552687593E-2</c:v>
                </c:pt>
                <c:pt idx="19">
                  <c:v>-8.3988638669101334E-2</c:v>
                </c:pt>
                <c:pt idx="20">
                  <c:v>-9.9468371805281564E-2</c:v>
                </c:pt>
                <c:pt idx="21">
                  <c:v>-7.4949662282260743E-2</c:v>
                </c:pt>
                <c:pt idx="22">
                  <c:v>-9.2819814770331188E-2</c:v>
                </c:pt>
                <c:pt idx="23">
                  <c:v>3.6078922553985038E-2</c:v>
                </c:pt>
                <c:pt idx="24">
                  <c:v>3.0577273790039605E-2</c:v>
                </c:pt>
                <c:pt idx="25">
                  <c:v>-4.1148938758134079E-2</c:v>
                </c:pt>
                <c:pt idx="26">
                  <c:v>-2.6574882016266788E-2</c:v>
                </c:pt>
                <c:pt idx="27">
                  <c:v>0.1203346164272161</c:v>
                </c:pt>
                <c:pt idx="28">
                  <c:v>9.4802978283195394E-2</c:v>
                </c:pt>
                <c:pt idx="29">
                  <c:v>-6.0593881671113792E-3</c:v>
                </c:pt>
                <c:pt idx="30">
                  <c:v>5.1664756811815593E-3</c:v>
                </c:pt>
                <c:pt idx="31">
                  <c:v>-4.2537255342884883E-3</c:v>
                </c:pt>
                <c:pt idx="32">
                  <c:v>0.1560796016407866</c:v>
                </c:pt>
                <c:pt idx="33">
                  <c:v>4.7190521372550975E-2</c:v>
                </c:pt>
                <c:pt idx="34">
                  <c:v>9.322083103250467E-2</c:v>
                </c:pt>
                <c:pt idx="35">
                  <c:v>6.8713286960376152E-2</c:v>
                </c:pt>
                <c:pt idx="36">
                  <c:v>5.5598142134808626E-2</c:v>
                </c:pt>
                <c:pt idx="37">
                  <c:v>3.1568538039930871E-2</c:v>
                </c:pt>
                <c:pt idx="38">
                  <c:v>0.13943108681599714</c:v>
                </c:pt>
                <c:pt idx="39">
                  <c:v>0.11872244658451603</c:v>
                </c:pt>
                <c:pt idx="40">
                  <c:v>0.14543042631332703</c:v>
                </c:pt>
                <c:pt idx="41">
                  <c:v>0.18876559060895115</c:v>
                </c:pt>
                <c:pt idx="42">
                  <c:v>0.16193509615384638</c:v>
                </c:pt>
                <c:pt idx="43">
                  <c:v>0.2000603888560093</c:v>
                </c:pt>
                <c:pt idx="44">
                  <c:v>0.11406470412927572</c:v>
                </c:pt>
                <c:pt idx="45">
                  <c:v>0.12899589827727631</c:v>
                </c:pt>
                <c:pt idx="46">
                  <c:v>1.7407579787234617E-2</c:v>
                </c:pt>
                <c:pt idx="47">
                  <c:v>-3.4964379764379494E-2</c:v>
                </c:pt>
                <c:pt idx="48">
                  <c:v>-9.9803145572376017E-2</c:v>
                </c:pt>
                <c:pt idx="49">
                  <c:v>-0.2120300163725668</c:v>
                </c:pt>
                <c:pt idx="50">
                  <c:v>-0.21308830726730843</c:v>
                </c:pt>
                <c:pt idx="51">
                  <c:v>-2.2247014231567164E-2</c:v>
                </c:pt>
                <c:pt idx="52">
                  <c:v>-4.9057945668646852E-3</c:v>
                </c:pt>
                <c:pt idx="53">
                  <c:v>6.6804859251939241E-2</c:v>
                </c:pt>
                <c:pt idx="54">
                  <c:v>9.1675397326550723E-2</c:v>
                </c:pt>
                <c:pt idx="55">
                  <c:v>0.1023508492334031</c:v>
                </c:pt>
                <c:pt idx="56">
                  <c:v>9.6947629138344205E-2</c:v>
                </c:pt>
                <c:pt idx="57">
                  <c:v>2.0550672455787122E-2</c:v>
                </c:pt>
                <c:pt idx="58">
                  <c:v>-0.15476856994741972</c:v>
                </c:pt>
                <c:pt idx="59">
                  <c:v>-0.10726147176221712</c:v>
                </c:pt>
                <c:pt idx="60">
                  <c:v>-0.14619821377124786</c:v>
                </c:pt>
                <c:pt idx="61">
                  <c:v>-0.14925347222222207</c:v>
                </c:pt>
                <c:pt idx="62">
                  <c:v>-6.095098039215685E-2</c:v>
                </c:pt>
                <c:pt idx="63">
                  <c:v>1.5300408555635414E-2</c:v>
                </c:pt>
                <c:pt idx="64">
                  <c:v>6.9892973324658492E-2</c:v>
                </c:pt>
                <c:pt idx="65">
                  <c:v>1.9796606838726305E-2</c:v>
                </c:pt>
                <c:pt idx="66">
                  <c:v>4.1542946348923415E-2</c:v>
                </c:pt>
                <c:pt idx="67">
                  <c:v>-0.13932393204684157</c:v>
                </c:pt>
                <c:pt idx="68">
                  <c:v>8.2260104041616877E-2</c:v>
                </c:pt>
                <c:pt idx="69">
                  <c:v>-8.1777180210314881E-2</c:v>
                </c:pt>
                <c:pt idx="70">
                  <c:v>-9.1782844493635274E-2</c:v>
                </c:pt>
                <c:pt idx="71">
                  <c:v>-0.1011857309941524</c:v>
                </c:pt>
                <c:pt idx="72">
                  <c:v>0.11337193675889345</c:v>
                </c:pt>
                <c:pt idx="73">
                  <c:v>-0.3417355027117237</c:v>
                </c:pt>
                <c:pt idx="74">
                  <c:v>-9.0565873980211542E-2</c:v>
                </c:pt>
                <c:pt idx="75">
                  <c:v>0.18150035521066776</c:v>
                </c:pt>
                <c:pt idx="76">
                  <c:v>-0.15247968266253853</c:v>
                </c:pt>
                <c:pt idx="77">
                  <c:v>-0.22922506457795233</c:v>
                </c:pt>
                <c:pt idx="78">
                  <c:v>-5.8765642920860728E-2</c:v>
                </c:pt>
                <c:pt idx="79">
                  <c:v>-0.19731058843801108</c:v>
                </c:pt>
                <c:pt idx="80">
                  <c:v>-0.29162979046661963</c:v>
                </c:pt>
                <c:pt idx="81">
                  <c:v>-0.42825471338065846</c:v>
                </c:pt>
                <c:pt idx="82">
                  <c:v>-0.42969556500530004</c:v>
                </c:pt>
                <c:pt idx="83">
                  <c:v>-0.51544721527320547</c:v>
                </c:pt>
                <c:pt idx="84">
                  <c:v>-0.24808495644090822</c:v>
                </c:pt>
                <c:pt idx="85">
                  <c:v>-0.29520074912132177</c:v>
                </c:pt>
                <c:pt idx="86">
                  <c:v>-0.20970346457600719</c:v>
                </c:pt>
                <c:pt idx="87">
                  <c:v>-0.35786620656518231</c:v>
                </c:pt>
                <c:pt idx="88">
                  <c:v>-0.34169851578925492</c:v>
                </c:pt>
                <c:pt idx="89">
                  <c:v>-0.42084958589366828</c:v>
                </c:pt>
                <c:pt idx="90">
                  <c:v>-0.33068058622766561</c:v>
                </c:pt>
                <c:pt idx="91">
                  <c:v>-0.30807913029131306</c:v>
                </c:pt>
                <c:pt idx="92">
                  <c:v>-0.36285822237919607</c:v>
                </c:pt>
                <c:pt idx="93">
                  <c:v>-0.34597567498726445</c:v>
                </c:pt>
                <c:pt idx="94">
                  <c:v>-0.42882051282051314</c:v>
                </c:pt>
                <c:pt idx="95">
                  <c:v>-0.68291666666666639</c:v>
                </c:pt>
                <c:pt idx="96">
                  <c:v>-0.14668978022960388</c:v>
                </c:pt>
                <c:pt idx="97">
                  <c:v>-0.21195136387030367</c:v>
                </c:pt>
                <c:pt idx="98">
                  <c:v>-0.17785638998682529</c:v>
                </c:pt>
                <c:pt idx="99">
                  <c:v>-6.835404483430807E-2</c:v>
                </c:pt>
                <c:pt idx="100">
                  <c:v>-0.21651598424863483</c:v>
                </c:pt>
                <c:pt idx="101">
                  <c:v>-0.13128367896034554</c:v>
                </c:pt>
                <c:pt idx="102">
                  <c:v>-0.22552035520701175</c:v>
                </c:pt>
                <c:pt idx="103">
                  <c:v>-1.317222222222223</c:v>
                </c:pt>
                <c:pt idx="104">
                  <c:v>#N/A</c:v>
                </c:pt>
                <c:pt idx="105">
                  <c:v>-7.4800000000000644E-2</c:v>
                </c:pt>
                <c:pt idx="106">
                  <c:v>#N/A</c:v>
                </c:pt>
                <c:pt idx="107">
                  <c:v>#N/A</c:v>
                </c:pt>
                <c:pt idx="108">
                  <c:v>6.7999999999999616E-2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-0.59318181818181781</c:v>
                </c:pt>
                <c:pt idx="114">
                  <c:v>-6.444444444444386E-2</c:v>
                </c:pt>
                <c:pt idx="115">
                  <c:v>#N/A</c:v>
                </c:pt>
                <c:pt idx="116">
                  <c:v>0.88499999999999979</c:v>
                </c:pt>
                <c:pt idx="117">
                  <c:v>#N/A</c:v>
                </c:pt>
                <c:pt idx="118">
                  <c:v>#N/A</c:v>
                </c:pt>
                <c:pt idx="119">
                  <c:v>0.89928571428571491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'Input-equal'!$G$3</c:f>
              <c:strCache>
                <c:ptCount val="1"/>
                <c:pt idx="0">
                  <c:v>1-3</c:v>
                </c:pt>
              </c:strCache>
            </c:strRef>
          </c:tx>
          <c:marker>
            <c:symbol val="none"/>
          </c:marker>
          <c:cat>
            <c:numRef>
              <c:f>'Input-equal'!$B$4:$B$123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'Input-equal'!$G$4:$G$123</c:f>
              <c:numCache>
                <c:formatCode>0.00</c:formatCode>
                <c:ptCount val="120"/>
                <c:pt idx="0">
                  <c:v>-3.7975761183651091E-2</c:v>
                </c:pt>
                <c:pt idx="1">
                  <c:v>-3.4726364660391251E-2</c:v>
                </c:pt>
                <c:pt idx="2">
                  <c:v>0.14736882897380532</c:v>
                </c:pt>
                <c:pt idx="3">
                  <c:v>4.0509957927643114E-2</c:v>
                </c:pt>
                <c:pt idx="4">
                  <c:v>-6.1910793334765124E-2</c:v>
                </c:pt>
                <c:pt idx="5">
                  <c:v>-7.4491873124490127E-2</c:v>
                </c:pt>
                <c:pt idx="6">
                  <c:v>-0.12325421790105828</c:v>
                </c:pt>
                <c:pt idx="7">
                  <c:v>-9.7531533487041244E-2</c:v>
                </c:pt>
                <c:pt idx="8">
                  <c:v>-2.4520920237643296E-2</c:v>
                </c:pt>
                <c:pt idx="9">
                  <c:v>-0.10111434471948133</c:v>
                </c:pt>
                <c:pt idx="10">
                  <c:v>-5.7380572494380999E-4</c:v>
                </c:pt>
                <c:pt idx="11">
                  <c:v>-0.11394969383861575</c:v>
                </c:pt>
                <c:pt idx="12">
                  <c:v>-0.11546837196975268</c:v>
                </c:pt>
                <c:pt idx="13">
                  <c:v>-7.5215319772770073E-3</c:v>
                </c:pt>
                <c:pt idx="14">
                  <c:v>4.5064072297988922E-2</c:v>
                </c:pt>
                <c:pt idx="15">
                  <c:v>-7.3872600913017727E-2</c:v>
                </c:pt>
                <c:pt idx="16">
                  <c:v>-4.3485522124825593E-2</c:v>
                </c:pt>
                <c:pt idx="17">
                  <c:v>3.6413315750809971E-2</c:v>
                </c:pt>
                <c:pt idx="18">
                  <c:v>-7.7629135732412813E-2</c:v>
                </c:pt>
                <c:pt idx="19">
                  <c:v>-0.15193191823899355</c:v>
                </c:pt>
                <c:pt idx="20">
                  <c:v>-0.15436344377483646</c:v>
                </c:pt>
                <c:pt idx="21">
                  <c:v>-0.13137166715787396</c:v>
                </c:pt>
                <c:pt idx="22">
                  <c:v>-0.16739377137160449</c:v>
                </c:pt>
                <c:pt idx="23">
                  <c:v>6.668859714830111E-2</c:v>
                </c:pt>
                <c:pt idx="24">
                  <c:v>0.1327458755343871</c:v>
                </c:pt>
                <c:pt idx="25">
                  <c:v>7.7409022259234739E-2</c:v>
                </c:pt>
                <c:pt idx="26">
                  <c:v>2.3597278008029576E-3</c:v>
                </c:pt>
                <c:pt idx="27">
                  <c:v>0.15228333488242418</c:v>
                </c:pt>
                <c:pt idx="28">
                  <c:v>0.13290114410132814</c:v>
                </c:pt>
                <c:pt idx="29">
                  <c:v>0.12842350428995886</c:v>
                </c:pt>
                <c:pt idx="30">
                  <c:v>0.15741322711334593</c:v>
                </c:pt>
                <c:pt idx="31">
                  <c:v>0.13618398924738173</c:v>
                </c:pt>
                <c:pt idx="32">
                  <c:v>7.0423443127485719E-2</c:v>
                </c:pt>
                <c:pt idx="33">
                  <c:v>0.17249623334853492</c:v>
                </c:pt>
                <c:pt idx="34">
                  <c:v>0.2110464954383362</c:v>
                </c:pt>
                <c:pt idx="35">
                  <c:v>0.16855944932721645</c:v>
                </c:pt>
                <c:pt idx="36">
                  <c:v>-1.6258916308853344E-3</c:v>
                </c:pt>
                <c:pt idx="37">
                  <c:v>5.5062817428495059E-2</c:v>
                </c:pt>
                <c:pt idx="38">
                  <c:v>5.1608689268035413E-2</c:v>
                </c:pt>
                <c:pt idx="39">
                  <c:v>5.1342544260999823E-2</c:v>
                </c:pt>
                <c:pt idx="40">
                  <c:v>9.0099291800771475E-2</c:v>
                </c:pt>
                <c:pt idx="41">
                  <c:v>2.9001664495585722E-2</c:v>
                </c:pt>
                <c:pt idx="42">
                  <c:v>0.11035130411906202</c:v>
                </c:pt>
                <c:pt idx="43">
                  <c:v>0.11165459038738312</c:v>
                </c:pt>
                <c:pt idx="44">
                  <c:v>8.7755347468709388E-2</c:v>
                </c:pt>
                <c:pt idx="45">
                  <c:v>4.7606044932196667E-2</c:v>
                </c:pt>
                <c:pt idx="46">
                  <c:v>9.9362617924528607E-2</c:v>
                </c:pt>
                <c:pt idx="47">
                  <c:v>-2.7470856294385726E-2</c:v>
                </c:pt>
                <c:pt idx="48">
                  <c:v>-9.1416573393818368E-2</c:v>
                </c:pt>
                <c:pt idx="49">
                  <c:v>-5.9437111856301961E-2</c:v>
                </c:pt>
                <c:pt idx="50">
                  <c:v>-0.17881871591822485</c:v>
                </c:pt>
                <c:pt idx="51">
                  <c:v>-0.19949918616069695</c:v>
                </c:pt>
                <c:pt idx="52">
                  <c:v>-0.11268363508383583</c:v>
                </c:pt>
                <c:pt idx="53">
                  <c:v>-5.5285490375858615E-2</c:v>
                </c:pt>
                <c:pt idx="54">
                  <c:v>2.8528540599377372E-2</c:v>
                </c:pt>
                <c:pt idx="55">
                  <c:v>0.10079881514852307</c:v>
                </c:pt>
                <c:pt idx="56">
                  <c:v>0.12007226190347531</c:v>
                </c:pt>
                <c:pt idx="57">
                  <c:v>-1.3784910626638336E-2</c:v>
                </c:pt>
                <c:pt idx="58">
                  <c:v>-8.5606933461839674E-2</c:v>
                </c:pt>
                <c:pt idx="59">
                  <c:v>-2.6026267964601502E-2</c:v>
                </c:pt>
                <c:pt idx="60">
                  <c:v>-4.3405293631100683E-2</c:v>
                </c:pt>
                <c:pt idx="61">
                  <c:v>-0.14971280011166943</c:v>
                </c:pt>
                <c:pt idx="62">
                  <c:v>-0.12147580308719252</c:v>
                </c:pt>
                <c:pt idx="63">
                  <c:v>-0.11154932447258759</c:v>
                </c:pt>
                <c:pt idx="64">
                  <c:v>-7.9799678611250258E-2</c:v>
                </c:pt>
                <c:pt idx="65">
                  <c:v>-9.7753146983507122E-2</c:v>
                </c:pt>
                <c:pt idx="66">
                  <c:v>-3.4654078699576374E-3</c:v>
                </c:pt>
                <c:pt idx="67">
                  <c:v>-0.14363519667111557</c:v>
                </c:pt>
                <c:pt idx="68">
                  <c:v>3.4470677768824842E-2</c:v>
                </c:pt>
                <c:pt idx="69">
                  <c:v>-0.1465612195782926</c:v>
                </c:pt>
                <c:pt idx="70">
                  <c:v>-0.14484704010907823</c:v>
                </c:pt>
                <c:pt idx="71">
                  <c:v>0.12320641382208475</c:v>
                </c:pt>
                <c:pt idx="72">
                  <c:v>-5.1127553639753742E-2</c:v>
                </c:pt>
                <c:pt idx="73">
                  <c:v>-0.21765810310259326</c:v>
                </c:pt>
                <c:pt idx="74">
                  <c:v>-0.1113047902363693</c:v>
                </c:pt>
                <c:pt idx="75">
                  <c:v>-7.5076196513470528E-2</c:v>
                </c:pt>
                <c:pt idx="76">
                  <c:v>-0.32419376173679115</c:v>
                </c:pt>
                <c:pt idx="77">
                  <c:v>-0.12454311257509687</c:v>
                </c:pt>
                <c:pt idx="78">
                  <c:v>5.3323189396416559E-2</c:v>
                </c:pt>
                <c:pt idx="79">
                  <c:v>1.3118516703422678E-2</c:v>
                </c:pt>
                <c:pt idx="80">
                  <c:v>1.8308746189124037E-3</c:v>
                </c:pt>
                <c:pt idx="81">
                  <c:v>-5.1434515082027232E-3</c:v>
                </c:pt>
                <c:pt idx="82">
                  <c:v>6.6380998953617265E-2</c:v>
                </c:pt>
                <c:pt idx="83">
                  <c:v>-3.0491718584464422E-2</c:v>
                </c:pt>
                <c:pt idx="84">
                  <c:v>2.605172793681465E-2</c:v>
                </c:pt>
                <c:pt idx="85">
                  <c:v>4.2472307606042037E-2</c:v>
                </c:pt>
                <c:pt idx="86">
                  <c:v>-9.6319584227025246E-2</c:v>
                </c:pt>
                <c:pt idx="87">
                  <c:v>-0.1065073293299772</c:v>
                </c:pt>
                <c:pt idx="88">
                  <c:v>-0.12190900182063658</c:v>
                </c:pt>
                <c:pt idx="89">
                  <c:v>-0.13683424077435014</c:v>
                </c:pt>
                <c:pt idx="90">
                  <c:v>-5.4094783244884148E-2</c:v>
                </c:pt>
                <c:pt idx="91">
                  <c:v>-0.22832083958020988</c:v>
                </c:pt>
                <c:pt idx="92">
                  <c:v>-0.1831361631500279</c:v>
                </c:pt>
                <c:pt idx="93">
                  <c:v>-9.7157515298851749E-2</c:v>
                </c:pt>
                <c:pt idx="94">
                  <c:v>0.24864912280701734</c:v>
                </c:pt>
                <c:pt idx="95">
                  <c:v>3.5989583333333464E-2</c:v>
                </c:pt>
                <c:pt idx="96">
                  <c:v>2.3206023367313477E-2</c:v>
                </c:pt>
                <c:pt idx="97">
                  <c:v>-8.8642553159380633E-2</c:v>
                </c:pt>
                <c:pt idx="98">
                  <c:v>4.7284511784511096E-2</c:v>
                </c:pt>
                <c:pt idx="99">
                  <c:v>3.7200150732127568E-2</c:v>
                </c:pt>
                <c:pt idx="100">
                  <c:v>-4.7834769015429934E-2</c:v>
                </c:pt>
                <c:pt idx="101">
                  <c:v>5.4719188120454731E-2</c:v>
                </c:pt>
                <c:pt idx="102">
                  <c:v>3.7117449362585653E-2</c:v>
                </c:pt>
                <c:pt idx="103">
                  <c:v>0.10217171717171691</c:v>
                </c:pt>
                <c:pt idx="104">
                  <c:v>2.5496957403651876E-2</c:v>
                </c:pt>
                <c:pt idx="105">
                  <c:v>0.10777142857142863</c:v>
                </c:pt>
                <c:pt idx="106">
                  <c:v>-0.25261988304093563</c:v>
                </c:pt>
                <c:pt idx="107">
                  <c:v>-0.35652915291529119</c:v>
                </c:pt>
                <c:pt idx="108">
                  <c:v>0.22505882352941153</c:v>
                </c:pt>
                <c:pt idx="109">
                  <c:v>3.142857142857558E-3</c:v>
                </c:pt>
                <c:pt idx="110">
                  <c:v>-0.55625000000000036</c:v>
                </c:pt>
                <c:pt idx="111">
                  <c:v>-0.20793103448275829</c:v>
                </c:pt>
                <c:pt idx="112">
                  <c:v>-0.78595238095238074</c:v>
                </c:pt>
                <c:pt idx="113">
                  <c:v>-0.16818181818181799</c:v>
                </c:pt>
                <c:pt idx="114">
                  <c:v>-1.103015873015873</c:v>
                </c:pt>
                <c:pt idx="115">
                  <c:v>-0.57631578947368389</c:v>
                </c:pt>
                <c:pt idx="116">
                  <c:v>0.15499999999999936</c:v>
                </c:pt>
                <c:pt idx="117">
                  <c:v>0.61682692307692299</c:v>
                </c:pt>
                <c:pt idx="118">
                  <c:v>0.17930555555555561</c:v>
                </c:pt>
                <c:pt idx="119">
                  <c:v>0.41883116883116944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'Input-equal'!$H$3</c:f>
              <c:strCache>
                <c:ptCount val="1"/>
                <c:pt idx="0">
                  <c:v>2-3</c:v>
                </c:pt>
              </c:strCache>
            </c:strRef>
          </c:tx>
          <c:marker>
            <c:symbol val="none"/>
          </c:marker>
          <c:cat>
            <c:numRef>
              <c:f>'Input-equal'!$B$4:$B$123</c:f>
              <c:numCache>
                <c:formatCode>m/d/yyyy</c:formatCode>
                <c:ptCount val="120"/>
                <c:pt idx="0">
                  <c:v>42125</c:v>
                </c:pt>
                <c:pt idx="1">
                  <c:v>42095</c:v>
                </c:pt>
                <c:pt idx="2">
                  <c:v>42064</c:v>
                </c:pt>
                <c:pt idx="3">
                  <c:v>42036</c:v>
                </c:pt>
                <c:pt idx="4">
                  <c:v>42005</c:v>
                </c:pt>
                <c:pt idx="5">
                  <c:v>41974</c:v>
                </c:pt>
                <c:pt idx="6">
                  <c:v>41944</c:v>
                </c:pt>
                <c:pt idx="7">
                  <c:v>41913</c:v>
                </c:pt>
                <c:pt idx="8">
                  <c:v>41883</c:v>
                </c:pt>
                <c:pt idx="9">
                  <c:v>41852</c:v>
                </c:pt>
                <c:pt idx="10">
                  <c:v>41821</c:v>
                </c:pt>
                <c:pt idx="11">
                  <c:v>41791</c:v>
                </c:pt>
                <c:pt idx="12">
                  <c:v>41760</c:v>
                </c:pt>
                <c:pt idx="13">
                  <c:v>41730</c:v>
                </c:pt>
                <c:pt idx="14">
                  <c:v>41699</c:v>
                </c:pt>
                <c:pt idx="15">
                  <c:v>41671</c:v>
                </c:pt>
                <c:pt idx="16">
                  <c:v>41640</c:v>
                </c:pt>
                <c:pt idx="17">
                  <c:v>41609</c:v>
                </c:pt>
                <c:pt idx="18">
                  <c:v>41579</c:v>
                </c:pt>
                <c:pt idx="19">
                  <c:v>41548</c:v>
                </c:pt>
                <c:pt idx="20">
                  <c:v>41518</c:v>
                </c:pt>
                <c:pt idx="21">
                  <c:v>41487</c:v>
                </c:pt>
                <c:pt idx="22">
                  <c:v>41456</c:v>
                </c:pt>
                <c:pt idx="23">
                  <c:v>41426</c:v>
                </c:pt>
                <c:pt idx="24">
                  <c:v>41395</c:v>
                </c:pt>
                <c:pt idx="25">
                  <c:v>41365</c:v>
                </c:pt>
                <c:pt idx="26">
                  <c:v>41334</c:v>
                </c:pt>
                <c:pt idx="27">
                  <c:v>41306</c:v>
                </c:pt>
                <c:pt idx="28">
                  <c:v>41275</c:v>
                </c:pt>
                <c:pt idx="29">
                  <c:v>41244</c:v>
                </c:pt>
                <c:pt idx="30">
                  <c:v>41214</c:v>
                </c:pt>
                <c:pt idx="31">
                  <c:v>41183</c:v>
                </c:pt>
                <c:pt idx="32">
                  <c:v>41153</c:v>
                </c:pt>
                <c:pt idx="33">
                  <c:v>41122</c:v>
                </c:pt>
                <c:pt idx="34">
                  <c:v>41091</c:v>
                </c:pt>
                <c:pt idx="35">
                  <c:v>41061</c:v>
                </c:pt>
                <c:pt idx="36">
                  <c:v>41030</c:v>
                </c:pt>
                <c:pt idx="37">
                  <c:v>41000</c:v>
                </c:pt>
                <c:pt idx="38">
                  <c:v>40969</c:v>
                </c:pt>
                <c:pt idx="39">
                  <c:v>40940</c:v>
                </c:pt>
                <c:pt idx="40">
                  <c:v>40909</c:v>
                </c:pt>
                <c:pt idx="41">
                  <c:v>40878</c:v>
                </c:pt>
                <c:pt idx="42">
                  <c:v>40848</c:v>
                </c:pt>
                <c:pt idx="43">
                  <c:v>40817</c:v>
                </c:pt>
                <c:pt idx="44">
                  <c:v>40787</c:v>
                </c:pt>
                <c:pt idx="45">
                  <c:v>40756</c:v>
                </c:pt>
                <c:pt idx="46">
                  <c:v>40725</c:v>
                </c:pt>
                <c:pt idx="47">
                  <c:v>40695</c:v>
                </c:pt>
                <c:pt idx="48">
                  <c:v>40664</c:v>
                </c:pt>
                <c:pt idx="49">
                  <c:v>40634</c:v>
                </c:pt>
                <c:pt idx="50">
                  <c:v>40603</c:v>
                </c:pt>
                <c:pt idx="51">
                  <c:v>40575</c:v>
                </c:pt>
                <c:pt idx="52">
                  <c:v>40544</c:v>
                </c:pt>
                <c:pt idx="53">
                  <c:v>40513</c:v>
                </c:pt>
                <c:pt idx="54">
                  <c:v>40483</c:v>
                </c:pt>
                <c:pt idx="55">
                  <c:v>40452</c:v>
                </c:pt>
                <c:pt idx="56">
                  <c:v>40422</c:v>
                </c:pt>
                <c:pt idx="57">
                  <c:v>40391</c:v>
                </c:pt>
                <c:pt idx="58">
                  <c:v>40360</c:v>
                </c:pt>
                <c:pt idx="59">
                  <c:v>40330</c:v>
                </c:pt>
                <c:pt idx="60">
                  <c:v>40299</c:v>
                </c:pt>
                <c:pt idx="61">
                  <c:v>40269</c:v>
                </c:pt>
                <c:pt idx="62">
                  <c:v>40238</c:v>
                </c:pt>
                <c:pt idx="63">
                  <c:v>40210</c:v>
                </c:pt>
                <c:pt idx="64">
                  <c:v>40179</c:v>
                </c:pt>
                <c:pt idx="65">
                  <c:v>40148</c:v>
                </c:pt>
                <c:pt idx="66">
                  <c:v>40118</c:v>
                </c:pt>
                <c:pt idx="67">
                  <c:v>40087</c:v>
                </c:pt>
                <c:pt idx="68">
                  <c:v>40057</c:v>
                </c:pt>
                <c:pt idx="69">
                  <c:v>40026</c:v>
                </c:pt>
                <c:pt idx="70">
                  <c:v>39995</c:v>
                </c:pt>
                <c:pt idx="71">
                  <c:v>39965</c:v>
                </c:pt>
                <c:pt idx="72">
                  <c:v>39934</c:v>
                </c:pt>
                <c:pt idx="73">
                  <c:v>39904</c:v>
                </c:pt>
                <c:pt idx="74">
                  <c:v>39873</c:v>
                </c:pt>
                <c:pt idx="75">
                  <c:v>39845</c:v>
                </c:pt>
                <c:pt idx="76">
                  <c:v>39814</c:v>
                </c:pt>
                <c:pt idx="77">
                  <c:v>39783</c:v>
                </c:pt>
                <c:pt idx="78">
                  <c:v>39753</c:v>
                </c:pt>
                <c:pt idx="79">
                  <c:v>39722</c:v>
                </c:pt>
                <c:pt idx="80">
                  <c:v>39692</c:v>
                </c:pt>
                <c:pt idx="81">
                  <c:v>39661</c:v>
                </c:pt>
                <c:pt idx="82">
                  <c:v>39630</c:v>
                </c:pt>
                <c:pt idx="83">
                  <c:v>39600</c:v>
                </c:pt>
                <c:pt idx="84">
                  <c:v>39569</c:v>
                </c:pt>
                <c:pt idx="85">
                  <c:v>39539</c:v>
                </c:pt>
                <c:pt idx="86">
                  <c:v>39508</c:v>
                </c:pt>
                <c:pt idx="87">
                  <c:v>39479</c:v>
                </c:pt>
                <c:pt idx="88">
                  <c:v>39448</c:v>
                </c:pt>
                <c:pt idx="89">
                  <c:v>39417</c:v>
                </c:pt>
                <c:pt idx="90">
                  <c:v>39387</c:v>
                </c:pt>
                <c:pt idx="91">
                  <c:v>39356</c:v>
                </c:pt>
                <c:pt idx="92">
                  <c:v>39326</c:v>
                </c:pt>
                <c:pt idx="93">
                  <c:v>39295</c:v>
                </c:pt>
                <c:pt idx="94">
                  <c:v>39264</c:v>
                </c:pt>
                <c:pt idx="95">
                  <c:v>39234</c:v>
                </c:pt>
                <c:pt idx="96">
                  <c:v>39203</c:v>
                </c:pt>
                <c:pt idx="97">
                  <c:v>39173</c:v>
                </c:pt>
                <c:pt idx="98">
                  <c:v>39142</c:v>
                </c:pt>
                <c:pt idx="99">
                  <c:v>39114</c:v>
                </c:pt>
                <c:pt idx="100">
                  <c:v>39083</c:v>
                </c:pt>
                <c:pt idx="101">
                  <c:v>39052</c:v>
                </c:pt>
                <c:pt idx="102">
                  <c:v>39022</c:v>
                </c:pt>
                <c:pt idx="103">
                  <c:v>38991</c:v>
                </c:pt>
                <c:pt idx="104">
                  <c:v>38961</c:v>
                </c:pt>
                <c:pt idx="105">
                  <c:v>38930</c:v>
                </c:pt>
                <c:pt idx="106">
                  <c:v>38899</c:v>
                </c:pt>
                <c:pt idx="107">
                  <c:v>38869</c:v>
                </c:pt>
                <c:pt idx="108">
                  <c:v>38838</c:v>
                </c:pt>
                <c:pt idx="109">
                  <c:v>38808</c:v>
                </c:pt>
                <c:pt idx="110">
                  <c:v>38777</c:v>
                </c:pt>
                <c:pt idx="111">
                  <c:v>38749</c:v>
                </c:pt>
                <c:pt idx="112">
                  <c:v>38718</c:v>
                </c:pt>
                <c:pt idx="113">
                  <c:v>38687</c:v>
                </c:pt>
                <c:pt idx="114">
                  <c:v>38657</c:v>
                </c:pt>
                <c:pt idx="115">
                  <c:v>38626</c:v>
                </c:pt>
                <c:pt idx="116">
                  <c:v>38596</c:v>
                </c:pt>
                <c:pt idx="117">
                  <c:v>38565</c:v>
                </c:pt>
                <c:pt idx="118">
                  <c:v>38534</c:v>
                </c:pt>
                <c:pt idx="119">
                  <c:v>38504</c:v>
                </c:pt>
              </c:numCache>
            </c:numRef>
          </c:cat>
          <c:val>
            <c:numRef>
              <c:f>'Input-equal'!$H$4:$H$123</c:f>
              <c:numCache>
                <c:formatCode>0.00</c:formatCode>
                <c:ptCount val="120"/>
                <c:pt idx="0">
                  <c:v>7.3911066798648228E-2</c:v>
                </c:pt>
                <c:pt idx="1">
                  <c:v>7.093077748437171E-2</c:v>
                </c:pt>
                <c:pt idx="2">
                  <c:v>8.0385712224856576E-2</c:v>
                </c:pt>
                <c:pt idx="3">
                  <c:v>-2.6175041453262438E-3</c:v>
                </c:pt>
                <c:pt idx="4">
                  <c:v>6.909079611679303E-3</c:v>
                </c:pt>
                <c:pt idx="5">
                  <c:v>9.6391468712578643E-2</c:v>
                </c:pt>
                <c:pt idx="6">
                  <c:v>-1.2920763447079153E-2</c:v>
                </c:pt>
                <c:pt idx="7">
                  <c:v>1.0135908629307799E-2</c:v>
                </c:pt>
                <c:pt idx="8">
                  <c:v>2.8030350040899599E-2</c:v>
                </c:pt>
                <c:pt idx="9">
                  <c:v>3.7213344362925227E-2</c:v>
                </c:pt>
                <c:pt idx="10">
                  <c:v>4.3791259434823537E-2</c:v>
                </c:pt>
                <c:pt idx="11">
                  <c:v>4.5543120558177108E-2</c:v>
                </c:pt>
                <c:pt idx="12">
                  <c:v>-3.0927345493242164E-2</c:v>
                </c:pt>
                <c:pt idx="13">
                  <c:v>-2.4388134741076151E-2</c:v>
                </c:pt>
                <c:pt idx="14">
                  <c:v>0.11664528616656966</c:v>
                </c:pt>
                <c:pt idx="15">
                  <c:v>2.2684068473104446E-2</c:v>
                </c:pt>
                <c:pt idx="16">
                  <c:v>-5.5962474464871903E-2</c:v>
                </c:pt>
                <c:pt idx="17">
                  <c:v>-3.9718654587872493E-3</c:v>
                </c:pt>
                <c:pt idx="18">
                  <c:v>9.5165988202747798E-3</c:v>
                </c:pt>
                <c:pt idx="19">
                  <c:v>-6.7943279569892212E-2</c:v>
                </c:pt>
                <c:pt idx="20">
                  <c:v>-5.4895071969554898E-2</c:v>
                </c:pt>
                <c:pt idx="21">
                  <c:v>-5.6422004875613219E-2</c:v>
                </c:pt>
                <c:pt idx="22">
                  <c:v>-7.4573956601273306E-2</c:v>
                </c:pt>
                <c:pt idx="23">
                  <c:v>3.0609674594316072E-2</c:v>
                </c:pt>
                <c:pt idx="24">
                  <c:v>0.1021686017443475</c:v>
                </c:pt>
                <c:pt idx="25">
                  <c:v>0.11855796101736882</c:v>
                </c:pt>
                <c:pt idx="26">
                  <c:v>2.8934609817069745E-2</c:v>
                </c:pt>
                <c:pt idx="27">
                  <c:v>3.1948718455208081E-2</c:v>
                </c:pt>
                <c:pt idx="28">
                  <c:v>3.8098165818132745E-2</c:v>
                </c:pt>
                <c:pt idx="29">
                  <c:v>0.13448289245707024</c:v>
                </c:pt>
                <c:pt idx="30">
                  <c:v>0.15224675143216437</c:v>
                </c:pt>
                <c:pt idx="31">
                  <c:v>0.14043771478167022</c:v>
                </c:pt>
                <c:pt idx="32">
                  <c:v>-8.5656158513300884E-2</c:v>
                </c:pt>
                <c:pt idx="33">
                  <c:v>0.12530571197598395</c:v>
                </c:pt>
                <c:pt idx="34">
                  <c:v>0.11782566440583153</c:v>
                </c:pt>
                <c:pt idx="35">
                  <c:v>9.9846162366840296E-2</c:v>
                </c:pt>
                <c:pt idx="36">
                  <c:v>-5.722403376569396E-2</c:v>
                </c:pt>
                <c:pt idx="37">
                  <c:v>2.3494279388564188E-2</c:v>
                </c:pt>
                <c:pt idx="38">
                  <c:v>-8.7822397547961728E-2</c:v>
                </c:pt>
                <c:pt idx="39">
                  <c:v>-6.7379902323516205E-2</c:v>
                </c:pt>
                <c:pt idx="40">
                  <c:v>-5.5331134512555558E-2</c:v>
                </c:pt>
                <c:pt idx="41">
                  <c:v>-0.15976392611336543</c:v>
                </c:pt>
                <c:pt idx="42">
                  <c:v>-5.1583792034784359E-2</c:v>
                </c:pt>
                <c:pt idx="43">
                  <c:v>-8.8405798468626173E-2</c:v>
                </c:pt>
                <c:pt idx="44">
                  <c:v>-2.630935666056633E-2</c:v>
                </c:pt>
                <c:pt idx="45">
                  <c:v>-8.1389853345079644E-2</c:v>
                </c:pt>
                <c:pt idx="46">
                  <c:v>8.195503813729399E-2</c:v>
                </c:pt>
                <c:pt idx="47">
                  <c:v>7.4935234699937681E-3</c:v>
                </c:pt>
                <c:pt idx="48">
                  <c:v>8.3865721785576497E-3</c:v>
                </c:pt>
                <c:pt idx="49">
                  <c:v>0.15259290451626484</c:v>
                </c:pt>
                <c:pt idx="50">
                  <c:v>3.4269591349083584E-2</c:v>
                </c:pt>
                <c:pt idx="51">
                  <c:v>-0.17725217192912979</c:v>
                </c:pt>
                <c:pt idx="52">
                  <c:v>-0.10777784051697115</c:v>
                </c:pt>
                <c:pt idx="53">
                  <c:v>-0.12209034962779786</c:v>
                </c:pt>
                <c:pt idx="54">
                  <c:v>-6.3146856727173351E-2</c:v>
                </c:pt>
                <c:pt idx="55">
                  <c:v>-1.5520340848800274E-3</c:v>
                </c:pt>
                <c:pt idx="56">
                  <c:v>2.3124632765131103E-2</c:v>
                </c:pt>
                <c:pt idx="57">
                  <c:v>-3.4335583082425458E-2</c:v>
                </c:pt>
                <c:pt idx="58">
                  <c:v>6.9161636485580047E-2</c:v>
                </c:pt>
                <c:pt idx="59">
                  <c:v>8.1235203797615618E-2</c:v>
                </c:pt>
                <c:pt idx="60">
                  <c:v>0.10279292014014718</c:v>
                </c:pt>
                <c:pt idx="61">
                  <c:v>-4.5932788944735847E-4</c:v>
                </c:pt>
                <c:pt idx="62">
                  <c:v>-6.0524822695035674E-2</c:v>
                </c:pt>
                <c:pt idx="63">
                  <c:v>-0.126849733028223</c:v>
                </c:pt>
                <c:pt idx="64">
                  <c:v>-0.14969265193590875</c:v>
                </c:pt>
                <c:pt idx="65">
                  <c:v>-0.11754975382223343</c:v>
                </c:pt>
                <c:pt idx="66">
                  <c:v>-4.5008354218881053E-2</c:v>
                </c:pt>
                <c:pt idx="67">
                  <c:v>-4.3112646242740027E-3</c:v>
                </c:pt>
                <c:pt idx="68">
                  <c:v>-4.7789426272792035E-2</c:v>
                </c:pt>
                <c:pt idx="69">
                  <c:v>-6.4784039367977719E-2</c:v>
                </c:pt>
                <c:pt idx="70">
                  <c:v>-5.3064195615442955E-2</c:v>
                </c:pt>
                <c:pt idx="71">
                  <c:v>0.22439214481623715</c:v>
                </c:pt>
                <c:pt idx="72">
                  <c:v>-0.1644994903986472</c:v>
                </c:pt>
                <c:pt idx="73">
                  <c:v>0.12407739960913045</c:v>
                </c:pt>
                <c:pt idx="74">
                  <c:v>-2.0738916256157758E-2</c:v>
                </c:pt>
                <c:pt idx="75">
                  <c:v>-0.25657655172413829</c:v>
                </c:pt>
                <c:pt idx="76">
                  <c:v>-0.17171407907425262</c:v>
                </c:pt>
                <c:pt idx="77">
                  <c:v>0.10468195200285546</c:v>
                </c:pt>
                <c:pt idx="78">
                  <c:v>0.11208883231727729</c:v>
                </c:pt>
                <c:pt idx="79">
                  <c:v>0.21042910514143376</c:v>
                </c:pt>
                <c:pt idx="80">
                  <c:v>0.29346066508553204</c:v>
                </c:pt>
                <c:pt idx="81">
                  <c:v>0.42311126187245574</c:v>
                </c:pt>
                <c:pt idx="82">
                  <c:v>0.4960765639589173</c:v>
                </c:pt>
                <c:pt idx="83">
                  <c:v>0.48495549668874105</c:v>
                </c:pt>
                <c:pt idx="84">
                  <c:v>0.27413668437772287</c:v>
                </c:pt>
                <c:pt idx="85">
                  <c:v>0.33767305672736381</c:v>
                </c:pt>
                <c:pt idx="86">
                  <c:v>0.11338388034898195</c:v>
                </c:pt>
                <c:pt idx="87">
                  <c:v>0.25135887723520511</c:v>
                </c:pt>
                <c:pt idx="88">
                  <c:v>0.21978951396861834</c:v>
                </c:pt>
                <c:pt idx="89">
                  <c:v>0.28401534511931814</c:v>
                </c:pt>
                <c:pt idx="90">
                  <c:v>0.27658580298278146</c:v>
                </c:pt>
                <c:pt idx="91">
                  <c:v>7.9758290711103186E-2</c:v>
                </c:pt>
                <c:pt idx="92">
                  <c:v>0.17972205922916817</c:v>
                </c:pt>
                <c:pt idx="93">
                  <c:v>0.2488181596884127</c:v>
                </c:pt>
                <c:pt idx="94">
                  <c:v>0.67746963562753049</c:v>
                </c:pt>
                <c:pt idx="95">
                  <c:v>0.71890624999999986</c:v>
                </c:pt>
                <c:pt idx="96">
                  <c:v>0.16989580359691736</c:v>
                </c:pt>
                <c:pt idx="97">
                  <c:v>0.12330881071092303</c:v>
                </c:pt>
                <c:pt idx="98">
                  <c:v>0.22514090177133639</c:v>
                </c:pt>
                <c:pt idx="99">
                  <c:v>0.10555419556643564</c:v>
                </c:pt>
                <c:pt idx="100">
                  <c:v>0.1686812152332049</c:v>
                </c:pt>
                <c:pt idx="101">
                  <c:v>0.18600286708080027</c:v>
                </c:pt>
                <c:pt idx="102">
                  <c:v>0.2626378045695974</c:v>
                </c:pt>
                <c:pt idx="103">
                  <c:v>1.4193939393939399</c:v>
                </c:pt>
                <c:pt idx="104">
                  <c:v>#N/A</c:v>
                </c:pt>
                <c:pt idx="105">
                  <c:v>0.18257142857142927</c:v>
                </c:pt>
                <c:pt idx="106">
                  <c:v>#N/A</c:v>
                </c:pt>
                <c:pt idx="107">
                  <c:v>#N/A</c:v>
                </c:pt>
                <c:pt idx="108">
                  <c:v>0.15705882352941192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0.42499999999999982</c:v>
                </c:pt>
                <c:pt idx="114">
                  <c:v>-1.0385714285714291</c:v>
                </c:pt>
                <c:pt idx="115">
                  <c:v>#N/A</c:v>
                </c:pt>
                <c:pt idx="116">
                  <c:v>-0.73000000000000043</c:v>
                </c:pt>
                <c:pt idx="117">
                  <c:v>#N/A</c:v>
                </c:pt>
                <c:pt idx="118">
                  <c:v>#N/A</c:v>
                </c:pt>
                <c:pt idx="119">
                  <c:v>-0.48045454545454547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972544"/>
        <c:axId val="224211328"/>
      </c:lineChart>
      <c:dateAx>
        <c:axId val="222972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224211328"/>
        <c:crosses val="autoZero"/>
        <c:auto val="1"/>
        <c:lblOffset val="100"/>
        <c:baseTimeUnit val="months"/>
        <c:majorUnit val="6"/>
        <c:majorTimeUnit val="months"/>
      </c:dateAx>
      <c:valAx>
        <c:axId val="2242113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222972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LoanLevel!$C$3</c:f>
              <c:strCache>
                <c:ptCount val="1"/>
                <c:pt idx="0">
                  <c:v>NoteRate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LoanLevel!$C$4:$C$129</c:f>
              <c:numCache>
                <c:formatCode>General</c:formatCode>
                <c:ptCount val="126"/>
                <c:pt idx="0">
                  <c:v>4.0494685039369998</c:v>
                </c:pt>
                <c:pt idx="1">
                  <c:v>4.1309791852410598</c:v>
                </c:pt>
                <c:pt idx="2">
                  <c:v>4.0349233696411098</c:v>
                </c:pt>
                <c:pt idx="3">
                  <c:v>4.1462932609113601</c:v>
                </c:pt>
                <c:pt idx="4">
                  <c:v>4.2898292327319103</c:v>
                </c:pt>
                <c:pt idx="5">
                  <c:v>4.3502841724089398</c:v>
                </c:pt>
                <c:pt idx="6">
                  <c:v>4.4014198445020298</c:v>
                </c:pt>
                <c:pt idx="7">
                  <c:v>4.6343512256881496</c:v>
                </c:pt>
                <c:pt idx="8">
                  <c:v>4.49423910948342</c:v>
                </c:pt>
                <c:pt idx="9">
                  <c:v>4.4184286528179504</c:v>
                </c:pt>
                <c:pt idx="10">
                  <c:v>4.4864489218660299</c:v>
                </c:pt>
                <c:pt idx="11">
                  <c:v>4.5996196449530498</c:v>
                </c:pt>
                <c:pt idx="12">
                  <c:v>4.6253476993545704</c:v>
                </c:pt>
                <c:pt idx="13">
                  <c:v>4.6431967001804502</c:v>
                </c:pt>
                <c:pt idx="14">
                  <c:v>4.6526377313799401</c:v>
                </c:pt>
                <c:pt idx="15">
                  <c:v>4.7278443383717796</c:v>
                </c:pt>
                <c:pt idx="16">
                  <c:v>4.6701243630873703</c:v>
                </c:pt>
                <c:pt idx="17">
                  <c:v>4.6178736440337396</c:v>
                </c:pt>
                <c:pt idx="18">
                  <c:v>4.6588449980117002</c:v>
                </c:pt>
                <c:pt idx="19">
                  <c:v>4.6846957837447203</c:v>
                </c:pt>
                <c:pt idx="20">
                  <c:v>4.6106840992703102</c:v>
                </c:pt>
                <c:pt idx="21">
                  <c:v>4.3523140316297502</c:v>
                </c:pt>
                <c:pt idx="22">
                  <c:v>4.0043737390958398</c:v>
                </c:pt>
                <c:pt idx="23">
                  <c:v>3.8003082962475898</c:v>
                </c:pt>
                <c:pt idx="24">
                  <c:v>3.8278388710041402</c:v>
                </c:pt>
                <c:pt idx="25">
                  <c:v>3.8791931919463001</c:v>
                </c:pt>
                <c:pt idx="26">
                  <c:v>3.8494599652044501</c:v>
                </c:pt>
                <c:pt idx="27">
                  <c:v>3.7542080107757601</c:v>
                </c:pt>
                <c:pt idx="28">
                  <c:v>3.6861640503009698</c:v>
                </c:pt>
                <c:pt idx="29">
                  <c:v>3.7513119292196699</c:v>
                </c:pt>
                <c:pt idx="30">
                  <c:v>3.80444295888379</c:v>
                </c:pt>
                <c:pt idx="31">
                  <c:v>3.8501827719942798</c:v>
                </c:pt>
                <c:pt idx="32">
                  <c:v>3.8851657961328798</c:v>
                </c:pt>
                <c:pt idx="33">
                  <c:v>3.9330528569231999</c:v>
                </c:pt>
                <c:pt idx="34">
                  <c:v>4.0639813086545002</c:v>
                </c:pt>
                <c:pt idx="35">
                  <c:v>4.1536279665880196</c:v>
                </c:pt>
                <c:pt idx="36">
                  <c:v>4.3387699009056302</c:v>
                </c:pt>
                <c:pt idx="37">
                  <c:v>4.2229502227827602</c:v>
                </c:pt>
                <c:pt idx="38">
                  <c:v>4.2271606127902999</c:v>
                </c:pt>
                <c:pt idx="39">
                  <c:v>4.2259777566405896</c:v>
                </c:pt>
                <c:pt idx="40">
                  <c:v>4.3133330547542599</c:v>
                </c:pt>
                <c:pt idx="41">
                  <c:v>4.3769175709635002</c:v>
                </c:pt>
                <c:pt idx="42">
                  <c:v>4.3733129301055103</c:v>
                </c:pt>
                <c:pt idx="43">
                  <c:v>4.49863074972835</c:v>
                </c:pt>
                <c:pt idx="44">
                  <c:v>4.6482474059449297</c:v>
                </c:pt>
                <c:pt idx="45">
                  <c:v>4.8457829696568897</c:v>
                </c:pt>
                <c:pt idx="46">
                  <c:v>4.9628793120647998</c:v>
                </c:pt>
                <c:pt idx="47">
                  <c:v>4.9978427568114103</c:v>
                </c:pt>
                <c:pt idx="48">
                  <c:v>5.1442998979530499</c:v>
                </c:pt>
                <c:pt idx="49">
                  <c:v>5.1382030398690501</c:v>
                </c:pt>
                <c:pt idx="50">
                  <c:v>5.0728286303908297</c:v>
                </c:pt>
                <c:pt idx="51">
                  <c:v>4.88955403929429</c:v>
                </c:pt>
                <c:pt idx="52">
                  <c:v>4.6452323968705498</c:v>
                </c:pt>
                <c:pt idx="53">
                  <c:v>4.5071047101001298</c:v>
                </c:pt>
                <c:pt idx="54">
                  <c:v>4.5270813638841298</c:v>
                </c:pt>
                <c:pt idx="55">
                  <c:v>4.6529607514989202</c:v>
                </c:pt>
                <c:pt idx="56">
                  <c:v>4.7149745189416699</c:v>
                </c:pt>
                <c:pt idx="57">
                  <c:v>4.84186038524712</c:v>
                </c:pt>
                <c:pt idx="58">
                  <c:v>5.0047223685494</c:v>
                </c:pt>
                <c:pt idx="59">
                  <c:v>5.1519638197333997</c:v>
                </c:pt>
                <c:pt idx="60">
                  <c:v>5.2225869542716303</c:v>
                </c:pt>
                <c:pt idx="61">
                  <c:v>5.2006432603080404</c:v>
                </c:pt>
                <c:pt idx="62">
                  <c:v>5.1613985261298101</c:v>
                </c:pt>
                <c:pt idx="63">
                  <c:v>5.1557443046582696</c:v>
                </c:pt>
                <c:pt idx="64">
                  <c:v>5.0964886494886397</c:v>
                </c:pt>
                <c:pt idx="65">
                  <c:v>5.1208530798412299</c:v>
                </c:pt>
                <c:pt idx="66">
                  <c:v>5.12567337011121</c:v>
                </c:pt>
                <c:pt idx="67">
                  <c:v>5.1775412746884601</c:v>
                </c:pt>
                <c:pt idx="68">
                  <c:v>5.1364082034284504</c:v>
                </c:pt>
                <c:pt idx="69">
                  <c:v>5.1442481007163003</c:v>
                </c:pt>
                <c:pt idx="70">
                  <c:v>4.9592367490233302</c:v>
                </c:pt>
                <c:pt idx="71">
                  <c:v>4.8647062738518798</c:v>
                </c:pt>
                <c:pt idx="72">
                  <c:v>4.9923121425297401</c:v>
                </c:pt>
                <c:pt idx="73">
                  <c:v>5.3999815094408197</c:v>
                </c:pt>
                <c:pt idx="74">
                  <c:v>4.9179899682853803</c:v>
                </c:pt>
                <c:pt idx="75">
                  <c:v>4.9724475365289704</c:v>
                </c:pt>
                <c:pt idx="76">
                  <c:v>5.0509101839159198</c:v>
                </c:pt>
                <c:pt idx="77">
                  <c:v>5.71385681848537</c:v>
                </c:pt>
                <c:pt idx="78">
                  <c:v>6.10647975360519</c:v>
                </c:pt>
                <c:pt idx="79">
                  <c:v>6.3182248017395697</c:v>
                </c:pt>
                <c:pt idx="80">
                  <c:v>6.4218816378371804</c:v>
                </c:pt>
                <c:pt idx="81">
                  <c:v>6.4909743488399601</c:v>
                </c:pt>
                <c:pt idx="82">
                  <c:v>6.4412567091028601</c:v>
                </c:pt>
                <c:pt idx="83">
                  <c:v>6.2014520372738904</c:v>
                </c:pt>
                <c:pt idx="84">
                  <c:v>6.0399560478885999</c:v>
                </c:pt>
                <c:pt idx="85">
                  <c:v>6.1046790596330203</c:v>
                </c:pt>
                <c:pt idx="86">
                  <c:v>5.97807250669607</c:v>
                </c:pt>
                <c:pt idx="87">
                  <c:v>5.9953588500525399</c:v>
                </c:pt>
                <c:pt idx="88">
                  <c:v>6.14655328097406</c:v>
                </c:pt>
                <c:pt idx="89">
                  <c:v>6.3884422330096999</c:v>
                </c:pt>
                <c:pt idx="90">
                  <c:v>6.4943869446223701</c:v>
                </c:pt>
                <c:pt idx="91">
                  <c:v>6.6089324449953502</c:v>
                </c:pt>
                <c:pt idx="92">
                  <c:v>6.7456027275422397</c:v>
                </c:pt>
                <c:pt idx="93">
                  <c:v>6.7336949788066498</c:v>
                </c:pt>
                <c:pt idx="94">
                  <c:v>6.6309603085026296</c:v>
                </c:pt>
                <c:pt idx="95">
                  <c:v>6.4501169463396604</c:v>
                </c:pt>
                <c:pt idx="96">
                  <c:v>6.3683067840350596</c:v>
                </c:pt>
                <c:pt idx="97">
                  <c:v>6.2812562616127803</c:v>
                </c:pt>
                <c:pt idx="98">
                  <c:v>6.3586124560048001</c:v>
                </c:pt>
                <c:pt idx="99">
                  <c:v>6.3578005025827098</c:v>
                </c:pt>
                <c:pt idx="100">
                  <c:v>6.3506783673804899</c:v>
                </c:pt>
                <c:pt idx="101">
                  <c:v>6.3509745999614404</c:v>
                </c:pt>
                <c:pt idx="102">
                  <c:v>6.4989568818075396</c:v>
                </c:pt>
                <c:pt idx="103">
                  <c:v>6.57800330899732</c:v>
                </c:pt>
                <c:pt idx="104">
                  <c:v>6.6419454618010896</c:v>
                </c:pt>
                <c:pt idx="105">
                  <c:v>6.8165737071966497</c:v>
                </c:pt>
                <c:pt idx="106">
                  <c:v>6.8415610942249199</c:v>
                </c:pt>
                <c:pt idx="107">
                  <c:v>6.7397180802701602</c:v>
                </c:pt>
                <c:pt idx="108">
                  <c:v>6.6073343176784496</c:v>
                </c:pt>
                <c:pt idx="109">
                  <c:v>6.4699120161481796</c:v>
                </c:pt>
                <c:pt idx="110">
                  <c:v>6.3603119737837099</c:v>
                </c:pt>
                <c:pt idx="111">
                  <c:v>6.4505817367645299</c:v>
                </c:pt>
                <c:pt idx="112">
                  <c:v>6.3479245363591899</c:v>
                </c:pt>
                <c:pt idx="113">
                  <c:v>6.3448839071257002</c:v>
                </c:pt>
                <c:pt idx="114">
                  <c:v>6.1095905484247304</c:v>
                </c:pt>
                <c:pt idx="115">
                  <c:v>5.9993419161483601</c:v>
                </c:pt>
                <c:pt idx="116">
                  <c:v>5.9151791799418199</c:v>
                </c:pt>
                <c:pt idx="117">
                  <c:v>5.8716237826203903</c:v>
                </c:pt>
                <c:pt idx="118">
                  <c:v>5.8519922909847297</c:v>
                </c:pt>
                <c:pt idx="119">
                  <c:v>5.9088034752332099</c:v>
                </c:pt>
                <c:pt idx="120">
                  <c:v>6.0165619939961701</c:v>
                </c:pt>
                <c:pt idx="121">
                  <c:v>5.9951206686073801</c:v>
                </c:pt>
                <c:pt idx="122">
                  <c:v>5.8325293962678302</c:v>
                </c:pt>
                <c:pt idx="123">
                  <c:v>5.8158221041790803</c:v>
                </c:pt>
                <c:pt idx="124">
                  <c:v>5.9082920831350103</c:v>
                </c:pt>
                <c:pt idx="125">
                  <c:v>5.8940152107991697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LoanLevel!$D$3</c:f>
              <c:strCache>
                <c:ptCount val="1"/>
                <c:pt idx="0">
                  <c:v>Big Bank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LoanLevel!$D$4:$D$129</c:f>
              <c:numCache>
                <c:formatCode>General</c:formatCode>
                <c:ptCount val="126"/>
                <c:pt idx="0">
                  <c:v>4.03346663290084</c:v>
                </c:pt>
                <c:pt idx="1">
                  <c:v>4.08684711807037</c:v>
                </c:pt>
                <c:pt idx="2">
                  <c:v>3.9789730538138399</c:v>
                </c:pt>
                <c:pt idx="3">
                  <c:v>4.1129573705501699</c:v>
                </c:pt>
                <c:pt idx="4">
                  <c:v>4.2423242846558296</c:v>
                </c:pt>
                <c:pt idx="5">
                  <c:v>4.3085359218445003</c:v>
                </c:pt>
                <c:pt idx="6">
                  <c:v>4.3658755157534399</c:v>
                </c:pt>
                <c:pt idx="7">
                  <c:v>4.5500005085103901</c:v>
                </c:pt>
                <c:pt idx="8">
                  <c:v>4.43647545579464</c:v>
                </c:pt>
                <c:pt idx="9">
                  <c:v>4.3928606963213097</c:v>
                </c:pt>
                <c:pt idx="10">
                  <c:v>4.46240399555957</c:v>
                </c:pt>
                <c:pt idx="11">
                  <c:v>4.5464654686383899</c:v>
                </c:pt>
                <c:pt idx="12">
                  <c:v>4.5955921919831102</c:v>
                </c:pt>
                <c:pt idx="13">
                  <c:v>4.6169256515675503</c:v>
                </c:pt>
                <c:pt idx="14">
                  <c:v>4.6073322411551896</c:v>
                </c:pt>
                <c:pt idx="15">
                  <c:v>4.6999271259678803</c:v>
                </c:pt>
                <c:pt idx="16">
                  <c:v>4.6303142727846298</c:v>
                </c:pt>
                <c:pt idx="17">
                  <c:v>4.5774117342330101</c:v>
                </c:pt>
                <c:pt idx="18">
                  <c:v>4.6159903325616201</c:v>
                </c:pt>
                <c:pt idx="19">
                  <c:v>4.6570270646319702</c:v>
                </c:pt>
                <c:pt idx="20">
                  <c:v>4.5747903820444398</c:v>
                </c:pt>
                <c:pt idx="21">
                  <c:v>4.3167056292724499</c:v>
                </c:pt>
                <c:pt idx="22">
                  <c:v>3.9673811689170999</c:v>
                </c:pt>
                <c:pt idx="23">
                  <c:v>3.7672915360521699</c:v>
                </c:pt>
                <c:pt idx="24">
                  <c:v>3.7865299918932398</c:v>
                </c:pt>
                <c:pt idx="25">
                  <c:v>3.8287257176732998</c:v>
                </c:pt>
                <c:pt idx="26">
                  <c:v>3.80898297570084</c:v>
                </c:pt>
                <c:pt idx="27">
                  <c:v>3.6985225172464</c:v>
                </c:pt>
                <c:pt idx="28">
                  <c:v>3.6186085375755299</c:v>
                </c:pt>
                <c:pt idx="29">
                  <c:v>3.6797173850783902</c:v>
                </c:pt>
                <c:pt idx="30">
                  <c:v>3.7385934204500302</c:v>
                </c:pt>
                <c:pt idx="31">
                  <c:v>3.7950682875441202</c:v>
                </c:pt>
                <c:pt idx="32">
                  <c:v>3.8403205772992299</c:v>
                </c:pt>
                <c:pt idx="33">
                  <c:v>3.8665690402128798</c:v>
                </c:pt>
                <c:pt idx="34">
                  <c:v>3.9919398022390098</c:v>
                </c:pt>
                <c:pt idx="35">
                  <c:v>4.1014170454803196</c:v>
                </c:pt>
                <c:pt idx="36">
                  <c:v>4.2829572413878898</c:v>
                </c:pt>
                <c:pt idx="37">
                  <c:v>4.15505478401335</c:v>
                </c:pt>
                <c:pt idx="38">
                  <c:v>4.1678805048693901</c:v>
                </c:pt>
                <c:pt idx="39">
                  <c:v>4.1742321630217001</c:v>
                </c:pt>
                <c:pt idx="40">
                  <c:v>4.2527360003204597</c:v>
                </c:pt>
                <c:pt idx="41">
                  <c:v>4.3182452806410199</c:v>
                </c:pt>
                <c:pt idx="42">
                  <c:v>4.2980884319401298</c:v>
                </c:pt>
                <c:pt idx="43">
                  <c:v>4.4535438389345403</c:v>
                </c:pt>
                <c:pt idx="44">
                  <c:v>4.5998178294144099</c:v>
                </c:pt>
                <c:pt idx="45">
                  <c:v>4.80805911750367</c:v>
                </c:pt>
                <c:pt idx="46">
                  <c:v>4.9339438820339403</c:v>
                </c:pt>
                <c:pt idx="47">
                  <c:v>4.9715531535799</c:v>
                </c:pt>
                <c:pt idx="48">
                  <c:v>5.1138951251471401</c:v>
                </c:pt>
                <c:pt idx="49">
                  <c:v>5.1055466232812101</c:v>
                </c:pt>
                <c:pt idx="50">
                  <c:v>5.03076127105673</c:v>
                </c:pt>
                <c:pt idx="51">
                  <c:v>4.8427155622755702</c:v>
                </c:pt>
                <c:pt idx="52">
                  <c:v>4.6082110829618896</c:v>
                </c:pt>
                <c:pt idx="53">
                  <c:v>4.4772434565145902</c:v>
                </c:pt>
                <c:pt idx="54">
                  <c:v>4.4836818182952696</c:v>
                </c:pt>
                <c:pt idx="55">
                  <c:v>4.6105618860953896</c:v>
                </c:pt>
                <c:pt idx="56">
                  <c:v>4.6831524545941798</c:v>
                </c:pt>
                <c:pt idx="57">
                  <c:v>4.8019133710060302</c:v>
                </c:pt>
                <c:pt idx="58">
                  <c:v>4.9602286395489399</c:v>
                </c:pt>
                <c:pt idx="59">
                  <c:v>5.1103941231036103</c:v>
                </c:pt>
                <c:pt idx="60">
                  <c:v>5.1917802782592597</c:v>
                </c:pt>
                <c:pt idx="61">
                  <c:v>5.1746622463618497</c:v>
                </c:pt>
                <c:pt idx="62">
                  <c:v>5.1372119652002199</c:v>
                </c:pt>
                <c:pt idx="63">
                  <c:v>5.1289000010956096</c:v>
                </c:pt>
                <c:pt idx="64">
                  <c:v>5.0633686726209399</c:v>
                </c:pt>
                <c:pt idx="65">
                  <c:v>5.0785246723953197</c:v>
                </c:pt>
                <c:pt idx="66">
                  <c:v>5.0878942542684102</c:v>
                </c:pt>
                <c:pt idx="67">
                  <c:v>5.1391147583544399</c:v>
                </c:pt>
                <c:pt idx="68">
                  <c:v>5.0916689913954896</c:v>
                </c:pt>
                <c:pt idx="69">
                  <c:v>5.0887343744868803</c:v>
                </c:pt>
                <c:pt idx="70">
                  <c:v>4.9225020689237597</c:v>
                </c:pt>
                <c:pt idx="71">
                  <c:v>4.8204519336987097</c:v>
                </c:pt>
                <c:pt idx="72">
                  <c:v>4.8553059069655502</c:v>
                </c:pt>
                <c:pt idx="73">
                  <c:v>5.2006638389425603</c:v>
                </c:pt>
                <c:pt idx="74">
                  <c:v>4.8792897051584099</c:v>
                </c:pt>
                <c:pt idx="75">
                  <c:v>4.9239077338743904</c:v>
                </c:pt>
                <c:pt idx="76">
                  <c:v>4.9902218271859997</c:v>
                </c:pt>
                <c:pt idx="77">
                  <c:v>5.5937568393914097</c:v>
                </c:pt>
                <c:pt idx="78">
                  <c:v>6.0007704366013099</c:v>
                </c:pt>
                <c:pt idx="79">
                  <c:v>6.20832550585299</c:v>
                </c:pt>
                <c:pt idx="80">
                  <c:v>6.3263395423173003</c:v>
                </c:pt>
                <c:pt idx="81">
                  <c:v>6.4330301689607596</c:v>
                </c:pt>
                <c:pt idx="82">
                  <c:v>6.3487899437489999</c:v>
                </c:pt>
                <c:pt idx="83">
                  <c:v>6.1308941603750302</c:v>
                </c:pt>
                <c:pt idx="84">
                  <c:v>5.9897564757478596</c:v>
                </c:pt>
                <c:pt idx="85">
                  <c:v>5.9985598875952402</c:v>
                </c:pt>
                <c:pt idx="86">
                  <c:v>5.8920258043607197</c:v>
                </c:pt>
                <c:pt idx="87">
                  <c:v>5.8779333613604097</c:v>
                </c:pt>
                <c:pt idx="88">
                  <c:v>6.0700953126868802</c:v>
                </c:pt>
                <c:pt idx="89">
                  <c:v>6.3194565877859796</c:v>
                </c:pt>
                <c:pt idx="90">
                  <c:v>6.4223154354993</c:v>
                </c:pt>
                <c:pt idx="91">
                  <c:v>6.5493885914215699</c:v>
                </c:pt>
                <c:pt idx="92">
                  <c:v>6.6716199538449796</c:v>
                </c:pt>
                <c:pt idx="93">
                  <c:v>6.6695300102601696</c:v>
                </c:pt>
                <c:pt idx="94">
                  <c:v>6.5692834027918803</c:v>
                </c:pt>
                <c:pt idx="95">
                  <c:v>6.3881390236601501</c:v>
                </c:pt>
                <c:pt idx="96">
                  <c:v>6.2828531311073998</c:v>
                </c:pt>
                <c:pt idx="97">
                  <c:v>6.1918345180544199</c:v>
                </c:pt>
                <c:pt idx="98">
                  <c:v>6.2835571912711403</c:v>
                </c:pt>
                <c:pt idx="99">
                  <c:v>6.2860507592589299</c:v>
                </c:pt>
                <c:pt idx="100">
                  <c:v>6.27743328221091</c:v>
                </c:pt>
                <c:pt idx="101">
                  <c:v>6.2827407880660404</c:v>
                </c:pt>
                <c:pt idx="102">
                  <c:v>6.4242141511761304</c:v>
                </c:pt>
                <c:pt idx="103">
                  <c:v>6.5127018282194697</c:v>
                </c:pt>
                <c:pt idx="104">
                  <c:v>6.5796597253344</c:v>
                </c:pt>
                <c:pt idx="105">
                  <c:v>6.7479203286783802</c:v>
                </c:pt>
                <c:pt idx="106">
                  <c:v>6.7790527335305004</c:v>
                </c:pt>
                <c:pt idx="107">
                  <c:v>6.6798434584770803</c:v>
                </c:pt>
                <c:pt idx="108">
                  <c:v>6.5299561078178696</c:v>
                </c:pt>
                <c:pt idx="109">
                  <c:v>6.4005614290207804</c:v>
                </c:pt>
                <c:pt idx="110">
                  <c:v>6.2550815378949798</c:v>
                </c:pt>
                <c:pt idx="111">
                  <c:v>6.3294262723029702</c:v>
                </c:pt>
                <c:pt idx="112">
                  <c:v>6.2741538463581996</c:v>
                </c:pt>
                <c:pt idx="113">
                  <c:v>6.2351864837878699</c:v>
                </c:pt>
                <c:pt idx="114">
                  <c:v>6.0329281225632698</c:v>
                </c:pt>
                <c:pt idx="115">
                  <c:v>5.9081360643643901</c:v>
                </c:pt>
                <c:pt idx="116">
                  <c:v>5.8431368476848302</c:v>
                </c:pt>
                <c:pt idx="117">
                  <c:v>5.8074520090528701</c:v>
                </c:pt>
                <c:pt idx="118">
                  <c:v>5.7878064259623399</c:v>
                </c:pt>
                <c:pt idx="119">
                  <c:v>5.8446551218521101</c:v>
                </c:pt>
                <c:pt idx="120">
                  <c:v>5.95120703572689</c:v>
                </c:pt>
                <c:pt idx="121">
                  <c:v>5.9118091725111803</c:v>
                </c:pt>
                <c:pt idx="122">
                  <c:v>5.76760509054502</c:v>
                </c:pt>
                <c:pt idx="123">
                  <c:v>5.7602796890994004</c:v>
                </c:pt>
                <c:pt idx="124">
                  <c:v>5.8571983273106998</c:v>
                </c:pt>
                <c:pt idx="125">
                  <c:v>5.8491859754868401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06176"/>
        <c:axId val="215907712"/>
      </c:lineChart>
      <c:dateAx>
        <c:axId val="215906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5907712"/>
        <c:crosses val="autoZero"/>
        <c:auto val="1"/>
        <c:lblOffset val="100"/>
        <c:baseTimeUnit val="months"/>
      </c:dateAx>
      <c:valAx>
        <c:axId val="2159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06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LoanLevel!$D$3</c:f>
              <c:strCache>
                <c:ptCount val="1"/>
                <c:pt idx="0">
                  <c:v>Big Bank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LoanLevel!$D$4:$D$129</c:f>
              <c:numCache>
                <c:formatCode>General</c:formatCode>
                <c:ptCount val="126"/>
                <c:pt idx="0">
                  <c:v>4.03346663290084</c:v>
                </c:pt>
                <c:pt idx="1">
                  <c:v>4.08684711807037</c:v>
                </c:pt>
                <c:pt idx="2">
                  <c:v>3.9789730538138399</c:v>
                </c:pt>
                <c:pt idx="3">
                  <c:v>4.1129573705501699</c:v>
                </c:pt>
                <c:pt idx="4">
                  <c:v>4.2423242846558296</c:v>
                </c:pt>
                <c:pt idx="5">
                  <c:v>4.3085359218445003</c:v>
                </c:pt>
                <c:pt idx="6">
                  <c:v>4.3658755157534399</c:v>
                </c:pt>
                <c:pt idx="7">
                  <c:v>4.5500005085103901</c:v>
                </c:pt>
                <c:pt idx="8">
                  <c:v>4.43647545579464</c:v>
                </c:pt>
                <c:pt idx="9">
                  <c:v>4.3928606963213097</c:v>
                </c:pt>
                <c:pt idx="10">
                  <c:v>4.46240399555957</c:v>
                </c:pt>
                <c:pt idx="11">
                  <c:v>4.5464654686383899</c:v>
                </c:pt>
                <c:pt idx="12">
                  <c:v>4.5955921919831102</c:v>
                </c:pt>
                <c:pt idx="13">
                  <c:v>4.6169256515675503</c:v>
                </c:pt>
                <c:pt idx="14">
                  <c:v>4.6073322411551896</c:v>
                </c:pt>
                <c:pt idx="15">
                  <c:v>4.6999271259678803</c:v>
                </c:pt>
                <c:pt idx="16">
                  <c:v>4.6303142727846298</c:v>
                </c:pt>
                <c:pt idx="17">
                  <c:v>4.5774117342330101</c:v>
                </c:pt>
                <c:pt idx="18">
                  <c:v>4.6159903325616201</c:v>
                </c:pt>
                <c:pt idx="19">
                  <c:v>4.6570270646319702</c:v>
                </c:pt>
                <c:pt idx="20">
                  <c:v>4.5747903820444398</c:v>
                </c:pt>
                <c:pt idx="21">
                  <c:v>4.3167056292724499</c:v>
                </c:pt>
                <c:pt idx="22">
                  <c:v>3.9673811689170999</c:v>
                </c:pt>
                <c:pt idx="23">
                  <c:v>3.7672915360521699</c:v>
                </c:pt>
                <c:pt idx="24">
                  <c:v>3.7865299918932398</c:v>
                </c:pt>
                <c:pt idx="25">
                  <c:v>3.8287257176732998</c:v>
                </c:pt>
                <c:pt idx="26">
                  <c:v>3.80898297570084</c:v>
                </c:pt>
                <c:pt idx="27">
                  <c:v>3.6985225172464</c:v>
                </c:pt>
                <c:pt idx="28">
                  <c:v>3.6186085375755299</c:v>
                </c:pt>
                <c:pt idx="29">
                  <c:v>3.6797173850783902</c:v>
                </c:pt>
                <c:pt idx="30">
                  <c:v>3.7385934204500302</c:v>
                </c:pt>
                <c:pt idx="31">
                  <c:v>3.7950682875441202</c:v>
                </c:pt>
                <c:pt idx="32">
                  <c:v>3.8403205772992299</c:v>
                </c:pt>
                <c:pt idx="33">
                  <c:v>3.8665690402128798</c:v>
                </c:pt>
                <c:pt idx="34">
                  <c:v>3.9919398022390098</c:v>
                </c:pt>
                <c:pt idx="35">
                  <c:v>4.1014170454803196</c:v>
                </c:pt>
                <c:pt idx="36">
                  <c:v>4.2829572413878898</c:v>
                </c:pt>
                <c:pt idx="37">
                  <c:v>4.15505478401335</c:v>
                </c:pt>
                <c:pt idx="38">
                  <c:v>4.1678805048693901</c:v>
                </c:pt>
                <c:pt idx="39">
                  <c:v>4.1742321630217001</c:v>
                </c:pt>
                <c:pt idx="40">
                  <c:v>4.2527360003204597</c:v>
                </c:pt>
                <c:pt idx="41">
                  <c:v>4.3182452806410199</c:v>
                </c:pt>
                <c:pt idx="42">
                  <c:v>4.2980884319401298</c:v>
                </c:pt>
                <c:pt idx="43">
                  <c:v>4.4535438389345403</c:v>
                </c:pt>
                <c:pt idx="44">
                  <c:v>4.5998178294144099</c:v>
                </c:pt>
                <c:pt idx="45">
                  <c:v>4.80805911750367</c:v>
                </c:pt>
                <c:pt idx="46">
                  <c:v>4.9339438820339403</c:v>
                </c:pt>
                <c:pt idx="47">
                  <c:v>4.9715531535799</c:v>
                </c:pt>
                <c:pt idx="48">
                  <c:v>5.1138951251471401</c:v>
                </c:pt>
                <c:pt idx="49">
                  <c:v>5.1055466232812101</c:v>
                </c:pt>
                <c:pt idx="50">
                  <c:v>5.03076127105673</c:v>
                </c:pt>
                <c:pt idx="51">
                  <c:v>4.8427155622755702</c:v>
                </c:pt>
                <c:pt idx="52">
                  <c:v>4.6082110829618896</c:v>
                </c:pt>
                <c:pt idx="53">
                  <c:v>4.4772434565145902</c:v>
                </c:pt>
                <c:pt idx="54">
                  <c:v>4.4836818182952696</c:v>
                </c:pt>
                <c:pt idx="55">
                  <c:v>4.6105618860953896</c:v>
                </c:pt>
                <c:pt idx="56">
                  <c:v>4.6831524545941798</c:v>
                </c:pt>
                <c:pt idx="57">
                  <c:v>4.8019133710060302</c:v>
                </c:pt>
                <c:pt idx="58">
                  <c:v>4.9602286395489399</c:v>
                </c:pt>
                <c:pt idx="59">
                  <c:v>5.1103941231036103</c:v>
                </c:pt>
                <c:pt idx="60">
                  <c:v>5.1917802782592597</c:v>
                </c:pt>
                <c:pt idx="61">
                  <c:v>5.1746622463618497</c:v>
                </c:pt>
                <c:pt idx="62">
                  <c:v>5.1372119652002199</c:v>
                </c:pt>
                <c:pt idx="63">
                  <c:v>5.1289000010956096</c:v>
                </c:pt>
                <c:pt idx="64">
                  <c:v>5.0633686726209399</c:v>
                </c:pt>
                <c:pt idx="65">
                  <c:v>5.0785246723953197</c:v>
                </c:pt>
                <c:pt idx="66">
                  <c:v>5.0878942542684102</c:v>
                </c:pt>
                <c:pt idx="67">
                  <c:v>5.1391147583544399</c:v>
                </c:pt>
                <c:pt idx="68">
                  <c:v>5.0916689913954896</c:v>
                </c:pt>
                <c:pt idx="69">
                  <c:v>5.0887343744868803</c:v>
                </c:pt>
                <c:pt idx="70">
                  <c:v>4.9225020689237597</c:v>
                </c:pt>
                <c:pt idx="71">
                  <c:v>4.8204519336987097</c:v>
                </c:pt>
                <c:pt idx="72">
                  <c:v>4.8553059069655502</c:v>
                </c:pt>
                <c:pt idx="73">
                  <c:v>5.2006638389425603</c:v>
                </c:pt>
                <c:pt idx="74">
                  <c:v>4.8792897051584099</c:v>
                </c:pt>
                <c:pt idx="75">
                  <c:v>4.9239077338743904</c:v>
                </c:pt>
                <c:pt idx="76">
                  <c:v>4.9902218271859997</c:v>
                </c:pt>
                <c:pt idx="77">
                  <c:v>5.5937568393914097</c:v>
                </c:pt>
                <c:pt idx="78">
                  <c:v>6.0007704366013099</c:v>
                </c:pt>
                <c:pt idx="79">
                  <c:v>6.20832550585299</c:v>
                </c:pt>
                <c:pt idx="80">
                  <c:v>6.3263395423173003</c:v>
                </c:pt>
                <c:pt idx="81">
                  <c:v>6.4330301689607596</c:v>
                </c:pt>
                <c:pt idx="82">
                  <c:v>6.3487899437489999</c:v>
                </c:pt>
                <c:pt idx="83">
                  <c:v>6.1308941603750302</c:v>
                </c:pt>
                <c:pt idx="84">
                  <c:v>5.9897564757478596</c:v>
                </c:pt>
                <c:pt idx="85">
                  <c:v>5.9985598875952402</c:v>
                </c:pt>
                <c:pt idx="86">
                  <c:v>5.8920258043607197</c:v>
                </c:pt>
                <c:pt idx="87">
                  <c:v>5.8779333613604097</c:v>
                </c:pt>
                <c:pt idx="88">
                  <c:v>6.0700953126868802</c:v>
                </c:pt>
                <c:pt idx="89">
                  <c:v>6.3194565877859796</c:v>
                </c:pt>
                <c:pt idx="90">
                  <c:v>6.4223154354993</c:v>
                </c:pt>
                <c:pt idx="91">
                  <c:v>6.5493885914215699</c:v>
                </c:pt>
                <c:pt idx="92">
                  <c:v>6.6716199538449796</c:v>
                </c:pt>
                <c:pt idx="93">
                  <c:v>6.6695300102601696</c:v>
                </c:pt>
                <c:pt idx="94">
                  <c:v>6.5692834027918803</c:v>
                </c:pt>
                <c:pt idx="95">
                  <c:v>6.3881390236601501</c:v>
                </c:pt>
                <c:pt idx="96">
                  <c:v>6.2828531311073998</c:v>
                </c:pt>
                <c:pt idx="97">
                  <c:v>6.1918345180544199</c:v>
                </c:pt>
                <c:pt idx="98">
                  <c:v>6.2835571912711403</c:v>
                </c:pt>
                <c:pt idx="99">
                  <c:v>6.2860507592589299</c:v>
                </c:pt>
                <c:pt idx="100">
                  <c:v>6.27743328221091</c:v>
                </c:pt>
                <c:pt idx="101">
                  <c:v>6.2827407880660404</c:v>
                </c:pt>
                <c:pt idx="102">
                  <c:v>6.4242141511761304</c:v>
                </c:pt>
                <c:pt idx="103">
                  <c:v>6.5127018282194697</c:v>
                </c:pt>
                <c:pt idx="104">
                  <c:v>6.5796597253344</c:v>
                </c:pt>
                <c:pt idx="105">
                  <c:v>6.7479203286783802</c:v>
                </c:pt>
                <c:pt idx="106">
                  <c:v>6.7790527335305004</c:v>
                </c:pt>
                <c:pt idx="107">
                  <c:v>6.6798434584770803</c:v>
                </c:pt>
                <c:pt idx="108">
                  <c:v>6.5299561078178696</c:v>
                </c:pt>
                <c:pt idx="109">
                  <c:v>6.4005614290207804</c:v>
                </c:pt>
                <c:pt idx="110">
                  <c:v>6.2550815378949798</c:v>
                </c:pt>
                <c:pt idx="111">
                  <c:v>6.3294262723029702</c:v>
                </c:pt>
                <c:pt idx="112">
                  <c:v>6.2741538463581996</c:v>
                </c:pt>
                <c:pt idx="113">
                  <c:v>6.2351864837878699</c:v>
                </c:pt>
                <c:pt idx="114">
                  <c:v>6.0329281225632698</c:v>
                </c:pt>
                <c:pt idx="115">
                  <c:v>5.9081360643643901</c:v>
                </c:pt>
                <c:pt idx="116">
                  <c:v>5.8431368476848302</c:v>
                </c:pt>
                <c:pt idx="117">
                  <c:v>5.8074520090528701</c:v>
                </c:pt>
                <c:pt idx="118">
                  <c:v>5.7878064259623399</c:v>
                </c:pt>
                <c:pt idx="119">
                  <c:v>5.8446551218521101</c:v>
                </c:pt>
                <c:pt idx="120">
                  <c:v>5.95120703572689</c:v>
                </c:pt>
                <c:pt idx="121">
                  <c:v>5.9118091725111803</c:v>
                </c:pt>
                <c:pt idx="122">
                  <c:v>5.76760509054502</c:v>
                </c:pt>
                <c:pt idx="123">
                  <c:v>5.7602796890994004</c:v>
                </c:pt>
                <c:pt idx="124">
                  <c:v>5.8571983273106998</c:v>
                </c:pt>
                <c:pt idx="125">
                  <c:v>5.8491859754868401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LoanLevel!$E$3</c:f>
              <c:strCache>
                <c:ptCount val="1"/>
                <c:pt idx="0">
                  <c:v>Big Non-Bank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LoanLevel!$E$4:$E$129</c:f>
              <c:numCache>
                <c:formatCode>General</c:formatCode>
                <c:ptCount val="126"/>
                <c:pt idx="0">
                  <c:v>4.2191101493671104</c:v>
                </c:pt>
                <c:pt idx="1">
                  <c:v>4.1047356387805598</c:v>
                </c:pt>
                <c:pt idx="2">
                  <c:v>4.0802746460940602</c:v>
                </c:pt>
                <c:pt idx="3">
                  <c:v>4.0827757855292202</c:v>
                </c:pt>
                <c:pt idx="4">
                  <c:v>4.2463276905126701</c:v>
                </c:pt>
                <c:pt idx="5">
                  <c:v>4.3502702860523303</c:v>
                </c:pt>
                <c:pt idx="6">
                  <c:v>4.4027082326907596</c:v>
                </c:pt>
                <c:pt idx="7">
                  <c:v>4.5181402111511098</c:v>
                </c:pt>
                <c:pt idx="8">
                  <c:v>4.5460665183556301</c:v>
                </c:pt>
                <c:pt idx="9">
                  <c:v>4.5256544357841504</c:v>
                </c:pt>
                <c:pt idx="10">
                  <c:v>4.5470041872076301</c:v>
                </c:pt>
                <c:pt idx="11">
                  <c:v>4.5864628238594998</c:v>
                </c:pt>
                <c:pt idx="12">
                  <c:v>4.6769359298809503</c:v>
                </c:pt>
                <c:pt idx="13">
                  <c:v>4.71889414579132</c:v>
                </c:pt>
                <c:pt idx="14">
                  <c:v>4.7040503515759404</c:v>
                </c:pt>
                <c:pt idx="15">
                  <c:v>4.7860051914523396</c:v>
                </c:pt>
                <c:pt idx="16">
                  <c:v>4.7712676043257503</c:v>
                </c:pt>
                <c:pt idx="17">
                  <c:v>4.6755959267023801</c:v>
                </c:pt>
                <c:pt idx="18">
                  <c:v>4.6383795419379501</c:v>
                </c:pt>
                <c:pt idx="19">
                  <c:v>4.6982473002863196</c:v>
                </c:pt>
                <c:pt idx="20">
                  <c:v>4.7155703464598</c:v>
                </c:pt>
                <c:pt idx="21">
                  <c:v>4.6095205967144004</c:v>
                </c:pt>
                <c:pt idx="22">
                  <c:v>4.2641516129896599</c:v>
                </c:pt>
                <c:pt idx="23">
                  <c:v>3.9334710099402699</c:v>
                </c:pt>
                <c:pt idx="24">
                  <c:v>3.82186500173616</c:v>
                </c:pt>
                <c:pt idx="25">
                  <c:v>3.81978239147305</c:v>
                </c:pt>
                <c:pt idx="26">
                  <c:v>3.8429710233131402</c:v>
                </c:pt>
                <c:pt idx="27">
                  <c:v>3.7389995759385299</c:v>
                </c:pt>
                <c:pt idx="28">
                  <c:v>3.6293389825453901</c:v>
                </c:pt>
                <c:pt idx="29">
                  <c:v>3.60652868740865</c:v>
                </c:pt>
                <c:pt idx="30">
                  <c:v>3.6768684830954399</c:v>
                </c:pt>
                <c:pt idx="31">
                  <c:v>3.71432751533747</c:v>
                </c:pt>
                <c:pt idx="32">
                  <c:v>3.7872982356612201</c:v>
                </c:pt>
                <c:pt idx="33">
                  <c:v>3.8128262922832201</c:v>
                </c:pt>
                <c:pt idx="34">
                  <c:v>3.88795466671889</c:v>
                </c:pt>
                <c:pt idx="35">
                  <c:v>3.9706097113700798</c:v>
                </c:pt>
                <c:pt idx="36">
                  <c:v>4.10031311664281</c:v>
                </c:pt>
                <c:pt idx="37">
                  <c:v>4.2025156700185899</c:v>
                </c:pt>
                <c:pt idx="38">
                  <c:v>4.0709572620455798</c:v>
                </c:pt>
                <c:pt idx="39">
                  <c:v>4.1277531381253496</c:v>
                </c:pt>
                <c:pt idx="40">
                  <c:v>4.1946394872099999</c:v>
                </c:pt>
                <c:pt idx="41">
                  <c:v>4.2740728228456701</c:v>
                </c:pt>
                <c:pt idx="42">
                  <c:v>4.2951635317798003</c:v>
                </c:pt>
                <c:pt idx="43">
                  <c:v>4.3412260741863502</c:v>
                </c:pt>
                <c:pt idx="44">
                  <c:v>4.4920919567592597</c:v>
                </c:pt>
                <c:pt idx="45">
                  <c:v>4.7662452241961404</c:v>
                </c:pt>
                <c:pt idx="46">
                  <c:v>4.8589903815148503</c:v>
                </c:pt>
                <c:pt idx="47">
                  <c:v>5.0325095152394699</c:v>
                </c:pt>
                <c:pt idx="48">
                  <c:v>5.22435639158632</c:v>
                </c:pt>
                <c:pt idx="49">
                  <c:v>5.2102638630155802</c:v>
                </c:pt>
                <c:pt idx="50">
                  <c:v>5.2247431483995603</c:v>
                </c:pt>
                <c:pt idx="51">
                  <c:v>5.1723055613769597</c:v>
                </c:pt>
                <c:pt idx="52">
                  <c:v>4.8696775108855297</c:v>
                </c:pt>
                <c:pt idx="53">
                  <c:v>4.6708414040887103</c:v>
                </c:pt>
                <c:pt idx="54">
                  <c:v>4.5042392639268902</c:v>
                </c:pt>
                <c:pt idx="55">
                  <c:v>4.5558395663825104</c:v>
                </c:pt>
                <c:pt idx="56">
                  <c:v>4.6160106139684798</c:v>
                </c:pt>
                <c:pt idx="57">
                  <c:v>4.7535573276105101</c:v>
                </c:pt>
                <c:pt idx="58">
                  <c:v>4.9660772036167202</c:v>
                </c:pt>
                <c:pt idx="59">
                  <c:v>5.2389251135228498</c:v>
                </c:pt>
                <c:pt idx="60">
                  <c:v>5.3579171524626998</c:v>
                </c:pt>
                <c:pt idx="61">
                  <c:v>5.3653739858383602</c:v>
                </c:pt>
                <c:pt idx="62">
                  <c:v>5.31932796058324</c:v>
                </c:pt>
                <c:pt idx="63">
                  <c:v>5.3031779431844699</c:v>
                </c:pt>
                <c:pt idx="64">
                  <c:v>5.23361177748433</c:v>
                </c:pt>
                <c:pt idx="65">
                  <c:v>5.2044903926043498</c:v>
                </c:pt>
                <c:pt idx="66">
                  <c:v>5.2144125223937596</c:v>
                </c:pt>
                <c:pt idx="67">
                  <c:v>5.21949356054796</c:v>
                </c:pt>
                <c:pt idx="68">
                  <c:v>5.3314211759409798</c:v>
                </c:pt>
                <c:pt idx="69">
                  <c:v>5.4997579357257997</c:v>
                </c:pt>
                <c:pt idx="70">
                  <c:v>5.2238117446493302</c:v>
                </c:pt>
                <c:pt idx="71">
                  <c:v>4.93640089631241</c:v>
                </c:pt>
                <c:pt idx="72">
                  <c:v>5.9905883653509502</c:v>
                </c:pt>
                <c:pt idx="73">
                  <c:v>5.69945981421046</c:v>
                </c:pt>
                <c:pt idx="74">
                  <c:v>5.0469071863016701</c:v>
                </c:pt>
                <c:pt idx="75">
                  <c:v>5.11774810734501</c:v>
                </c:pt>
                <c:pt idx="76">
                  <c:v>5.1668371185003199</c:v>
                </c:pt>
                <c:pt idx="77">
                  <c:v>6.0709809747291601</c:v>
                </c:pt>
                <c:pt idx="78">
                  <c:v>6.4776948659917899</c:v>
                </c:pt>
                <c:pt idx="79">
                  <c:v>6.3927780880237499</c:v>
                </c:pt>
                <c:pt idx="80">
                  <c:v>6.5740844278307602</c:v>
                </c:pt>
                <c:pt idx="81">
                  <c:v>6.6559602699741198</c:v>
                </c:pt>
                <c:pt idx="82">
                  <c:v>6.6587285480346203</c:v>
                </c:pt>
                <c:pt idx="83">
                  <c:v>6.4693477555282204</c:v>
                </c:pt>
                <c:pt idx="84">
                  <c:v>6.3482598149091602</c:v>
                </c:pt>
                <c:pt idx="85">
                  <c:v>6.2613742629983902</c:v>
                </c:pt>
                <c:pt idx="86">
                  <c:v>6.3804220921947499</c:v>
                </c:pt>
                <c:pt idx="87">
                  <c:v>6.3131029785977697</c:v>
                </c:pt>
                <c:pt idx="88">
                  <c:v>6.4301337937091603</c:v>
                </c:pt>
                <c:pt idx="89">
                  <c:v>6.6000675241462199</c:v>
                </c:pt>
                <c:pt idx="90">
                  <c:v>6.7543465848043098</c:v>
                </c:pt>
                <c:pt idx="91">
                  <c:v>6.8634388963103996</c:v>
                </c:pt>
                <c:pt idx="92">
                  <c:v>7.0218007025014</c:v>
                </c:pt>
                <c:pt idx="93">
                  <c:v>7.0799485955220698</c:v>
                </c:pt>
                <c:pt idx="94">
                  <c:v>6.9709869725512199</c:v>
                </c:pt>
                <c:pt idx="95">
                  <c:v>6.6954769763540201</c:v>
                </c:pt>
                <c:pt idx="96">
                  <c:v>6.5746169181710403</c:v>
                </c:pt>
                <c:pt idx="97">
                  <c:v>6.4293129140081096</c:v>
                </c:pt>
                <c:pt idx="98">
                  <c:v>6.58575103608809</c:v>
                </c:pt>
                <c:pt idx="99">
                  <c:v>6.7148601921168503</c:v>
                </c:pt>
                <c:pt idx="100">
                  <c:v>6.54168709015189</c:v>
                </c:pt>
                <c:pt idx="101">
                  <c:v>6.7034352325189301</c:v>
                </c:pt>
                <c:pt idx="102">
                  <c:v>6.6844188027977998</c:v>
                </c:pt>
                <c:pt idx="103">
                  <c:v>6.8354900848509201</c:v>
                </c:pt>
                <c:pt idx="104">
                  <c:v>6.84862407229999</c:v>
                </c:pt>
                <c:pt idx="105">
                  <c:v>7.04263094877426</c:v>
                </c:pt>
                <c:pt idx="106">
                  <c:v>6.9025066392523904</c:v>
                </c:pt>
                <c:pt idx="107">
                  <c:v>6.8885633667757196</c:v>
                </c:pt>
                <c:pt idx="108">
                  <c:v>6.7064319366153704</c:v>
                </c:pt>
                <c:pt idx="109">
                  <c:v>6.7201235538084001</c:v>
                </c:pt>
                <c:pt idx="110">
                  <c:v>6.5063719858417297</c:v>
                </c:pt>
                <c:pt idx="111">
                  <c:v>6.6320335369943004</c:v>
                </c:pt>
                <c:pt idx="112">
                  <c:v>6.6140000944145196</c:v>
                </c:pt>
                <c:pt idx="113">
                  <c:v>6.6027538791997999</c:v>
                </c:pt>
                <c:pt idx="114">
                  <c:v>6.3374967980825803</c:v>
                </c:pt>
                <c:pt idx="115">
                  <c:v>6.22590961613923</c:v>
                </c:pt>
                <c:pt idx="116">
                  <c:v>6.2548632671207596</c:v>
                </c:pt>
                <c:pt idx="117">
                  <c:v>6.0729708815801899</c:v>
                </c:pt>
                <c:pt idx="118">
                  <c:v>5.9304329653969798</c:v>
                </c:pt>
                <c:pt idx="119">
                  <c:v>6.04133112740175</c:v>
                </c:pt>
                <c:pt idx="120">
                  <c:v>6.1123957519230601</c:v>
                </c:pt>
                <c:pt idx="121">
                  <c:v>6.1615850711694398</c:v>
                </c:pt>
                <c:pt idx="122">
                  <c:v>5.9788163394643297</c:v>
                </c:pt>
                <c:pt idx="123">
                  <c:v>5.9816424527216601</c:v>
                </c:pt>
                <c:pt idx="124">
                  <c:v>6.0968817881915101</c:v>
                </c:pt>
                <c:pt idx="125">
                  <c:v>6.0504871313193602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LoanLevel!$F$3</c:f>
              <c:strCache>
                <c:ptCount val="1"/>
                <c:pt idx="0">
                  <c:v>Small Lender</c:v>
                </c:pt>
              </c:strCache>
            </c:strRef>
          </c:tx>
          <c:marker>
            <c:symbol val="none"/>
          </c:marker>
          <c:cat>
            <c:numRef>
              <c:f>LoanLevel!$B$4:$B$129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LoanLevel!$F$4:$F$129</c:f>
              <c:numCache>
                <c:formatCode>General</c:formatCode>
                <c:ptCount val="126"/>
                <c:pt idx="0">
                  <c:v>4.1037910444357104</c:v>
                </c:pt>
                <c:pt idx="1">
                  <c:v>4.0203835309051703</c:v>
                </c:pt>
                <c:pt idx="2">
                  <c:v>3.98825896732659</c:v>
                </c:pt>
                <c:pt idx="3">
                  <c:v>3.9888208078896099</c:v>
                </c:pt>
                <c:pt idx="4">
                  <c:v>4.1789887425929004</c:v>
                </c:pt>
                <c:pt idx="5">
                  <c:v>4.2746673686713397</c:v>
                </c:pt>
                <c:pt idx="6">
                  <c:v>4.3513149361685004</c:v>
                </c:pt>
                <c:pt idx="7">
                  <c:v>4.3984842689422798</c:v>
                </c:pt>
                <c:pt idx="8">
                  <c:v>4.4750057291068597</c:v>
                </c:pt>
                <c:pt idx="9">
                  <c:v>4.4303742565342699</c:v>
                </c:pt>
                <c:pt idx="10">
                  <c:v>4.4426965691305504</c:v>
                </c:pt>
                <c:pt idx="11">
                  <c:v>4.4870171590413204</c:v>
                </c:pt>
                <c:pt idx="12">
                  <c:v>4.5739784541027797</c:v>
                </c:pt>
                <c:pt idx="13">
                  <c:v>4.6282846745247301</c:v>
                </c:pt>
                <c:pt idx="14">
                  <c:v>4.6303668541590701</c:v>
                </c:pt>
                <c:pt idx="15">
                  <c:v>4.6594694926662301</c:v>
                </c:pt>
                <c:pt idx="16">
                  <c:v>4.6706348873408796</c:v>
                </c:pt>
                <c:pt idx="17">
                  <c:v>4.6007318764534197</c:v>
                </c:pt>
                <c:pt idx="18">
                  <c:v>4.5463808970805299</c:v>
                </c:pt>
                <c:pt idx="19">
                  <c:v>4.65282595275439</c:v>
                </c:pt>
                <c:pt idx="20">
                  <c:v>4.7064056244570196</c:v>
                </c:pt>
                <c:pt idx="21">
                  <c:v>4.5602518039139603</c:v>
                </c:pt>
                <c:pt idx="22">
                  <c:v>4.2883487507731797</c:v>
                </c:pt>
                <c:pt idx="23">
                  <c:v>3.90268651541925</c:v>
                </c:pt>
                <c:pt idx="24">
                  <c:v>3.7767466082449599</c:v>
                </c:pt>
                <c:pt idx="25">
                  <c:v>3.7779372184327999</c:v>
                </c:pt>
                <c:pt idx="26">
                  <c:v>3.7591948230671299</c:v>
                </c:pt>
                <c:pt idx="27">
                  <c:v>3.6801573391545799</c:v>
                </c:pt>
                <c:pt idx="28">
                  <c:v>3.5852881060673698</c:v>
                </c:pt>
                <c:pt idx="29">
                  <c:v>3.5687441139760199</c:v>
                </c:pt>
                <c:pt idx="30">
                  <c:v>3.5837812180153299</c:v>
                </c:pt>
                <c:pt idx="31">
                  <c:v>3.6505486748299498</c:v>
                </c:pt>
                <c:pt idx="32">
                  <c:v>3.7494706301335499</c:v>
                </c:pt>
                <c:pt idx="33">
                  <c:v>3.8760821477017999</c:v>
                </c:pt>
                <c:pt idx="34">
                  <c:v>3.85472764792148</c:v>
                </c:pt>
                <c:pt idx="35">
                  <c:v>3.98362585842998</c:v>
                </c:pt>
                <c:pt idx="36">
                  <c:v>4.0947481203161002</c:v>
                </c:pt>
                <c:pt idx="37">
                  <c:v>4.2796143873128401</c:v>
                </c:pt>
                <c:pt idx="38">
                  <c:v>4.0682102269739699</c:v>
                </c:pt>
                <c:pt idx="39">
                  <c:v>4.07214636966249</c:v>
                </c:pt>
                <c:pt idx="40">
                  <c:v>4.1455149413064101</c:v>
                </c:pt>
                <c:pt idx="41">
                  <c:v>4.2075990245705999</c:v>
                </c:pt>
                <c:pt idx="42">
                  <c:v>4.3401437482857403</c:v>
                </c:pt>
                <c:pt idx="43">
                  <c:v>4.2783291143147499</c:v>
                </c:pt>
                <c:pt idx="44">
                  <c:v>4.3968751943773503</c:v>
                </c:pt>
                <c:pt idx="45">
                  <c:v>4.6257390566703904</c:v>
                </c:pt>
                <c:pt idx="46">
                  <c:v>4.7814255284886604</c:v>
                </c:pt>
                <c:pt idx="47">
                  <c:v>4.8597580147180901</c:v>
                </c:pt>
                <c:pt idx="48">
                  <c:v>5.0026352109087302</c:v>
                </c:pt>
                <c:pt idx="49">
                  <c:v>5.0406873569878901</c:v>
                </c:pt>
                <c:pt idx="50">
                  <c:v>4.9801234731501598</c:v>
                </c:pt>
                <c:pt idx="51">
                  <c:v>4.9567526335930001</c:v>
                </c:pt>
                <c:pt idx="52">
                  <c:v>4.65535676940216</c:v>
                </c:pt>
                <c:pt idx="53">
                  <c:v>4.4859551835159204</c:v>
                </c:pt>
                <c:pt idx="54">
                  <c:v>4.4340825724026098</c:v>
                </c:pt>
                <c:pt idx="55">
                  <c:v>4.4798495771048303</c:v>
                </c:pt>
                <c:pt idx="56">
                  <c:v>4.5474435543433396</c:v>
                </c:pt>
                <c:pt idx="57">
                  <c:v>4.6572464339789796</c:v>
                </c:pt>
                <c:pt idx="58">
                  <c:v>4.8270181400290904</c:v>
                </c:pt>
                <c:pt idx="59">
                  <c:v>5.0538033345178297</c:v>
                </c:pt>
                <c:pt idx="60">
                  <c:v>5.2267715901211096</c:v>
                </c:pt>
                <c:pt idx="61">
                  <c:v>5.15850767587429</c:v>
                </c:pt>
                <c:pt idx="62">
                  <c:v>5.13746875669095</c:v>
                </c:pt>
                <c:pt idx="63">
                  <c:v>5.1142810293946397</c:v>
                </c:pt>
                <c:pt idx="64">
                  <c:v>5.0493664962935796</c:v>
                </c:pt>
                <c:pt idx="65">
                  <c:v>5.0405626466946698</c:v>
                </c:pt>
                <c:pt idx="66">
                  <c:v>5.0610229197224301</c:v>
                </c:pt>
                <c:pt idx="67">
                  <c:v>5.1151153297150502</c:v>
                </c:pt>
                <c:pt idx="68">
                  <c:v>5.2190653494945396</c:v>
                </c:pt>
                <c:pt idx="69">
                  <c:v>5.50591977260809</c:v>
                </c:pt>
                <c:pt idx="70">
                  <c:v>5.09525266825566</c:v>
                </c:pt>
                <c:pt idx="71">
                  <c:v>4.9163088922802398</c:v>
                </c:pt>
                <c:pt idx="72">
                  <c:v>5.3769205857496196</c:v>
                </c:pt>
                <c:pt idx="73">
                  <c:v>5.6297782840431099</c:v>
                </c:pt>
                <c:pt idx="74">
                  <c:v>4.9422362827836901</c:v>
                </c:pt>
                <c:pt idx="75">
                  <c:v>4.9804912783535302</c:v>
                </c:pt>
                <c:pt idx="76">
                  <c:v>5.0346050973979297</c:v>
                </c:pt>
                <c:pt idx="77">
                  <c:v>5.77095443748125</c:v>
                </c:pt>
                <c:pt idx="78">
                  <c:v>5.93780071977198</c:v>
                </c:pt>
                <c:pt idx="79">
                  <c:v>6.20309736353415</c:v>
                </c:pt>
                <c:pt idx="80">
                  <c:v>6.4308845785883104</c:v>
                </c:pt>
                <c:pt idx="81">
                  <c:v>6.5259476106836196</c:v>
                </c:pt>
                <c:pt idx="82">
                  <c:v>6.3616328458173799</c:v>
                </c:pt>
                <c:pt idx="83">
                  <c:v>6.1771344431920197</c:v>
                </c:pt>
                <c:pt idx="84">
                  <c:v>6.1200407858524404</c:v>
                </c:pt>
                <c:pt idx="85">
                  <c:v>6.0741053401260796</c:v>
                </c:pt>
                <c:pt idx="86">
                  <c:v>5.9900342457379798</c:v>
                </c:pt>
                <c:pt idx="87">
                  <c:v>5.9285297397419399</c:v>
                </c:pt>
                <c:pt idx="88">
                  <c:v>6.2229530518290099</c:v>
                </c:pt>
                <c:pt idx="89">
                  <c:v>6.4497153925437001</c:v>
                </c:pt>
                <c:pt idx="90">
                  <c:v>6.5706427113859798</c:v>
                </c:pt>
                <c:pt idx="91">
                  <c:v>6.6549674746680401</c:v>
                </c:pt>
                <c:pt idx="92">
                  <c:v>6.7961051038676699</c:v>
                </c:pt>
                <c:pt idx="93">
                  <c:v>6.8223731845503499</c:v>
                </c:pt>
                <c:pt idx="94">
                  <c:v>6.7215684460913803</c:v>
                </c:pt>
                <c:pt idx="95">
                  <c:v>6.5326356980059197</c:v>
                </c:pt>
                <c:pt idx="96">
                  <c:v>6.4062165457665401</c:v>
                </c:pt>
                <c:pt idx="97">
                  <c:v>6.3756550707146902</c:v>
                </c:pt>
                <c:pt idx="98">
                  <c:v>6.4205619145400998</c:v>
                </c:pt>
                <c:pt idx="99">
                  <c:v>6.3883535633716999</c:v>
                </c:pt>
                <c:pt idx="100">
                  <c:v>6.3512091764187897</c:v>
                </c:pt>
                <c:pt idx="101">
                  <c:v>6.3742340239320203</c:v>
                </c:pt>
                <c:pt idx="102">
                  <c:v>6.5023804808115102</c:v>
                </c:pt>
                <c:pt idx="103">
                  <c:v>6.6023882804290404</c:v>
                </c:pt>
                <c:pt idx="104">
                  <c:v>6.69025910427884</c:v>
                </c:pt>
                <c:pt idx="105">
                  <c:v>6.7468424557132796</c:v>
                </c:pt>
                <c:pt idx="106">
                  <c:v>6.7751082370689897</c:v>
                </c:pt>
                <c:pt idx="107">
                  <c:v>6.74730082511776</c:v>
                </c:pt>
                <c:pt idx="108">
                  <c:v>6.5826559206906996</c:v>
                </c:pt>
                <c:pt idx="109">
                  <c:v>6.47602206402484</c:v>
                </c:pt>
                <c:pt idx="110">
                  <c:v>6.3782329051897202</c:v>
                </c:pt>
                <c:pt idx="111">
                  <c:v>6.3508092439242603</c:v>
                </c:pt>
                <c:pt idx="112">
                  <c:v>6.3651779405806304</c:v>
                </c:pt>
                <c:pt idx="113">
                  <c:v>6.3142358527999498</c:v>
                </c:pt>
                <c:pt idx="114">
                  <c:v>6.1100604418333599</c:v>
                </c:pt>
                <c:pt idx="115">
                  <c:v>5.9657535962386898</c:v>
                </c:pt>
                <c:pt idx="116">
                  <c:v>5.9350299799815103</c:v>
                </c:pt>
                <c:pt idx="117">
                  <c:v>5.8541010753403997</c:v>
                </c:pt>
                <c:pt idx="118">
                  <c:v>5.7924446190363597</c:v>
                </c:pt>
                <c:pt idx="119">
                  <c:v>5.8779163652289697</c:v>
                </c:pt>
                <c:pt idx="120">
                  <c:v>6.0095486955718798</c:v>
                </c:pt>
                <c:pt idx="121">
                  <c:v>5.9453896731722002</c:v>
                </c:pt>
                <c:pt idx="122">
                  <c:v>5.7615869299725304</c:v>
                </c:pt>
                <c:pt idx="123">
                  <c:v>5.8222054905926797</c:v>
                </c:pt>
                <c:pt idx="124">
                  <c:v>5.8888224546342798</c:v>
                </c:pt>
                <c:pt idx="125">
                  <c:v>5.8403493285085597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4160"/>
        <c:axId val="210778752"/>
      </c:lineChart>
      <c:dateAx>
        <c:axId val="210764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0778752"/>
        <c:crosses val="autoZero"/>
        <c:auto val="1"/>
        <c:lblOffset val="100"/>
        <c:baseTimeUnit val="months"/>
      </c:dateAx>
      <c:valAx>
        <c:axId val="210778752"/>
        <c:scaling>
          <c:orientation val="minMax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64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LLwithCondition!$C$3</c:f>
              <c:strCache>
                <c:ptCount val="1"/>
                <c:pt idx="0">
                  <c:v>Big Bank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LLwithCondition!$C$4:$C$129</c:f>
              <c:numCache>
                <c:formatCode>0.00</c:formatCode>
                <c:ptCount val="126"/>
                <c:pt idx="0">
                  <c:v>4.2814568652573097</c:v>
                </c:pt>
                <c:pt idx="1">
                  <c:v>4.1497341953507201</c:v>
                </c:pt>
                <c:pt idx="2">
                  <c:v>3.9762156604078802</c:v>
                </c:pt>
                <c:pt idx="3">
                  <c:v>4.1156717681475801</c:v>
                </c:pt>
                <c:pt idx="4">
                  <c:v>4.2616069792633198</c:v>
                </c:pt>
                <c:pt idx="5">
                  <c:v>4.3286198758944696</c:v>
                </c:pt>
                <c:pt idx="6">
                  <c:v>4.4668929370465698</c:v>
                </c:pt>
                <c:pt idx="7">
                  <c:v>4.7049313458332698</c:v>
                </c:pt>
                <c:pt idx="8">
                  <c:v>4.4490704943226804</c:v>
                </c:pt>
                <c:pt idx="9">
                  <c:v>4.4536976926398104</c:v>
                </c:pt>
                <c:pt idx="10">
                  <c:v>4.4745700811097597</c:v>
                </c:pt>
                <c:pt idx="11">
                  <c:v>4.6155240570251399</c:v>
                </c:pt>
                <c:pt idx="12">
                  <c:v>4.6457399086433897</c:v>
                </c:pt>
                <c:pt idx="13">
                  <c:v>4.6332822318684102</c:v>
                </c:pt>
                <c:pt idx="14">
                  <c:v>4.6407670714703801</c:v>
                </c:pt>
                <c:pt idx="15">
                  <c:v>4.73263952671212</c:v>
                </c:pt>
                <c:pt idx="16">
                  <c:v>4.6536719492279799</c:v>
                </c:pt>
                <c:pt idx="17">
                  <c:v>4.5895646237737804</c:v>
                </c:pt>
                <c:pt idx="18">
                  <c:v>4.61920026135369</c:v>
                </c:pt>
                <c:pt idx="19">
                  <c:v>4.6747178236477502</c:v>
                </c:pt>
                <c:pt idx="20">
                  <c:v>4.5862204451268598</c:v>
                </c:pt>
                <c:pt idx="21">
                  <c:v>4.2507659645031097</c:v>
                </c:pt>
                <c:pt idx="22">
                  <c:v>3.9491096805015098</c:v>
                </c:pt>
                <c:pt idx="23">
                  <c:v>3.8211445865321001</c:v>
                </c:pt>
                <c:pt idx="24">
                  <c:v>3.8062802293370401</c:v>
                </c:pt>
                <c:pt idx="25">
                  <c:v>3.9283481871750499</c:v>
                </c:pt>
                <c:pt idx="26">
                  <c:v>3.8038767498904398</c:v>
                </c:pt>
                <c:pt idx="27">
                  <c:v>3.69926642416794</c:v>
                </c:pt>
                <c:pt idx="28">
                  <c:v>3.63325349969457</c:v>
                </c:pt>
                <c:pt idx="29">
                  <c:v>3.7531777758654599</c:v>
                </c:pt>
                <c:pt idx="30">
                  <c:v>3.7529169822709099</c:v>
                </c:pt>
                <c:pt idx="31">
                  <c:v>3.8270042987425001</c:v>
                </c:pt>
                <c:pt idx="32">
                  <c:v>3.8503675120790701</c:v>
                </c:pt>
                <c:pt idx="33">
                  <c:v>3.9015765798451199</c:v>
                </c:pt>
                <c:pt idx="34">
                  <c:v>4.0168085289684097</c:v>
                </c:pt>
                <c:pt idx="35">
                  <c:v>4.1313460757178397</c:v>
                </c:pt>
                <c:pt idx="36">
                  <c:v>4.3125175098783002</c:v>
                </c:pt>
                <c:pt idx="37">
                  <c:v>4.1556151382690096</c:v>
                </c:pt>
                <c:pt idx="38">
                  <c:v>4.1739330968867403</c:v>
                </c:pt>
                <c:pt idx="39">
                  <c:v>4.1882604412744202</c:v>
                </c:pt>
                <c:pt idx="40">
                  <c:v>4.2765226382154298</c:v>
                </c:pt>
                <c:pt idx="41">
                  <c:v>4.3227644059747696</c:v>
                </c:pt>
                <c:pt idx="42">
                  <c:v>4.3278463437356898</c:v>
                </c:pt>
                <c:pt idx="43">
                  <c:v>4.4491338596756798</c:v>
                </c:pt>
                <c:pt idx="44">
                  <c:v>4.5669157311845598</c:v>
                </c:pt>
                <c:pt idx="45">
                  <c:v>4.8218941601059599</c:v>
                </c:pt>
                <c:pt idx="46">
                  <c:v>4.9368701544670603</c:v>
                </c:pt>
                <c:pt idx="47">
                  <c:v>4.9621704900752599</c:v>
                </c:pt>
                <c:pt idx="48">
                  <c:v>5.11213707449979</c:v>
                </c:pt>
                <c:pt idx="49">
                  <c:v>5.0898398470488999</c:v>
                </c:pt>
                <c:pt idx="50">
                  <c:v>4.9859301813030701</c:v>
                </c:pt>
                <c:pt idx="51">
                  <c:v>4.8078077345350003</c:v>
                </c:pt>
                <c:pt idx="52">
                  <c:v>4.57035078861953</c:v>
                </c:pt>
                <c:pt idx="53">
                  <c:v>4.47777180912228</c:v>
                </c:pt>
                <c:pt idx="54">
                  <c:v>4.5070489226462804</c:v>
                </c:pt>
                <c:pt idx="55">
                  <c:v>4.6242812881039903</c:v>
                </c:pt>
                <c:pt idx="56">
                  <c:v>4.6829538502499499</c:v>
                </c:pt>
                <c:pt idx="57">
                  <c:v>4.7967452175748404</c:v>
                </c:pt>
                <c:pt idx="58">
                  <c:v>4.9665212100368699</c:v>
                </c:pt>
                <c:pt idx="59">
                  <c:v>5.1335206483369902</c:v>
                </c:pt>
                <c:pt idx="60">
                  <c:v>5.1970539533687603</c:v>
                </c:pt>
                <c:pt idx="61">
                  <c:v>5.1822039110491298</c:v>
                </c:pt>
                <c:pt idx="62">
                  <c:v>5.1143490178859601</c:v>
                </c:pt>
                <c:pt idx="63">
                  <c:v>5.0940064737528603</c:v>
                </c:pt>
                <c:pt idx="64">
                  <c:v>5.0325290775223701</c:v>
                </c:pt>
                <c:pt idx="65">
                  <c:v>5.0819040507103104</c:v>
                </c:pt>
                <c:pt idx="66">
                  <c:v>5.0601004655389001</c:v>
                </c:pt>
                <c:pt idx="67">
                  <c:v>5.1270693264062697</c:v>
                </c:pt>
                <c:pt idx="68">
                  <c:v>5.0436840369302098</c:v>
                </c:pt>
                <c:pt idx="69">
                  <c:v>5.0708901929194203</c:v>
                </c:pt>
                <c:pt idx="70">
                  <c:v>4.9170217745910296</c:v>
                </c:pt>
                <c:pt idx="71">
                  <c:v>4.8347262351269</c:v>
                </c:pt>
                <c:pt idx="72">
                  <c:v>4.8436569444591697</c:v>
                </c:pt>
                <c:pt idx="73">
                  <c:v>5.0053142767531096</c:v>
                </c:pt>
                <c:pt idx="74">
                  <c:v>4.9033025170080702</c:v>
                </c:pt>
                <c:pt idx="75">
                  <c:v>4.9372645695745003</c:v>
                </c:pt>
                <c:pt idx="76">
                  <c:v>4.9958465711364504</c:v>
                </c:pt>
                <c:pt idx="77">
                  <c:v>5.4116982160407501</c:v>
                </c:pt>
                <c:pt idx="78">
                  <c:v>5.95114825620941</c:v>
                </c:pt>
                <c:pt idx="79">
                  <c:v>6.1086940972447898</c:v>
                </c:pt>
                <c:pt idx="80">
                  <c:v>6.1605734440785103</c:v>
                </c:pt>
                <c:pt idx="81">
                  <c:v>6.3731672691902599</c:v>
                </c:pt>
                <c:pt idx="82">
                  <c:v>6.1738686786969001</c:v>
                </c:pt>
                <c:pt idx="83">
                  <c:v>6.0117805367643102</c:v>
                </c:pt>
                <c:pt idx="84">
                  <c:v>5.8879216459290902</c:v>
                </c:pt>
                <c:pt idx="85">
                  <c:v>5.8042207761092701</c:v>
                </c:pt>
                <c:pt idx="86">
                  <c:v>5.7637600292244597</c:v>
                </c:pt>
                <c:pt idx="87">
                  <c:v>5.7435418841214796</c:v>
                </c:pt>
                <c:pt idx="88">
                  <c:v>5.9365804213282498</c:v>
                </c:pt>
                <c:pt idx="89">
                  <c:v>6.1982599615576399</c:v>
                </c:pt>
                <c:pt idx="90">
                  <c:v>6.3394385012274101</c:v>
                </c:pt>
                <c:pt idx="91">
                  <c:v>6.46532332553672</c:v>
                </c:pt>
                <c:pt idx="92">
                  <c:v>6.5700777738285403</c:v>
                </c:pt>
                <c:pt idx="93">
                  <c:v>6.5991799225757699</c:v>
                </c:pt>
                <c:pt idx="94">
                  <c:v>6.5467608392706502</c:v>
                </c:pt>
                <c:pt idx="95">
                  <c:v>6.3439060133520604</c:v>
                </c:pt>
                <c:pt idx="96">
                  <c:v>6.2438765224041397</c:v>
                </c:pt>
                <c:pt idx="97">
                  <c:v>6.1921209476416399</c:v>
                </c:pt>
                <c:pt idx="98">
                  <c:v>6.2324641450380804</c:v>
                </c:pt>
                <c:pt idx="99">
                  <c:v>6.2398728301374602</c:v>
                </c:pt>
                <c:pt idx="100">
                  <c:v>6.2313178246901302</c:v>
                </c:pt>
                <c:pt idx="101">
                  <c:v>6.2033136271096696</c:v>
                </c:pt>
                <c:pt idx="102">
                  <c:v>6.3588353922846599</c:v>
                </c:pt>
                <c:pt idx="103">
                  <c:v>6.4541087802732102</c:v>
                </c:pt>
                <c:pt idx="104">
                  <c:v>6.5303692548919301</c:v>
                </c:pt>
                <c:pt idx="105">
                  <c:v>6.6969214773724</c:v>
                </c:pt>
                <c:pt idx="106">
                  <c:v>6.7489866680389001</c:v>
                </c:pt>
                <c:pt idx="107">
                  <c:v>6.6582320930680501</c:v>
                </c:pt>
                <c:pt idx="108">
                  <c:v>6.4966828781134502</c:v>
                </c:pt>
                <c:pt idx="109">
                  <c:v>6.3496636274609601</c:v>
                </c:pt>
                <c:pt idx="110">
                  <c:v>6.1625003353485797</c:v>
                </c:pt>
                <c:pt idx="111">
                  <c:v>6.2300990392303204</c:v>
                </c:pt>
                <c:pt idx="112">
                  <c:v>6.2157719062395396</c:v>
                </c:pt>
                <c:pt idx="113">
                  <c:v>6.1790285154481799</c:v>
                </c:pt>
                <c:pt idx="114">
                  <c:v>6.0110893377154699</c:v>
                </c:pt>
                <c:pt idx="115">
                  <c:v>5.8665917585648204</c:v>
                </c:pt>
                <c:pt idx="116">
                  <c:v>5.8261810662029001</c:v>
                </c:pt>
                <c:pt idx="117">
                  <c:v>5.7737271421591601</c:v>
                </c:pt>
                <c:pt idx="118">
                  <c:v>5.7509442380804598</c:v>
                </c:pt>
                <c:pt idx="119">
                  <c:v>5.7798931724268998</c:v>
                </c:pt>
                <c:pt idx="120">
                  <c:v>5.9359092819794297</c:v>
                </c:pt>
                <c:pt idx="121">
                  <c:v>5.8650240305353201</c:v>
                </c:pt>
                <c:pt idx="122">
                  <c:v>5.7131424649754203</c:v>
                </c:pt>
                <c:pt idx="123">
                  <c:v>5.7080755223592199</c:v>
                </c:pt>
                <c:pt idx="124">
                  <c:v>5.8034733297388401</c:v>
                </c:pt>
                <c:pt idx="125">
                  <c:v>5.8285798965769704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LLwithCondition!$D$3</c:f>
              <c:strCache>
                <c:ptCount val="1"/>
                <c:pt idx="0">
                  <c:v>Big Non-Bank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LLwithCondition!$D$4:$D$129</c:f>
              <c:numCache>
                <c:formatCode>0.00</c:formatCode>
                <c:ptCount val="126"/>
                <c:pt idx="0">
                  <c:v>4.0686507646154899</c:v>
                </c:pt>
                <c:pt idx="1">
                  <c:v>4.0642555362097301</c:v>
                </c:pt>
                <c:pt idx="2">
                  <c:v>4.0277059899699301</c:v>
                </c:pt>
                <c:pt idx="3">
                  <c:v>4.0516131888317304</c:v>
                </c:pt>
                <c:pt idx="4">
                  <c:v>4.1799260938571896</c:v>
                </c:pt>
                <c:pt idx="5">
                  <c:v>4.29507902652733</c:v>
                </c:pt>
                <c:pt idx="6">
                  <c:v>4.3614534485438199</c:v>
                </c:pt>
                <c:pt idx="7">
                  <c:v>4.4669266317103196</c:v>
                </c:pt>
                <c:pt idx="8">
                  <c:v>4.4759398824380998</c:v>
                </c:pt>
                <c:pt idx="9">
                  <c:v>4.50690906458677</c:v>
                </c:pt>
                <c:pt idx="10">
                  <c:v>4.5211881324073904</c:v>
                </c:pt>
                <c:pt idx="11">
                  <c:v>4.5436109646790204</c:v>
                </c:pt>
                <c:pt idx="12">
                  <c:v>4.6392985360140004</c:v>
                </c:pt>
                <c:pt idx="13">
                  <c:v>4.6819615889319897</c:v>
                </c:pt>
                <c:pt idx="14">
                  <c:v>4.6955468117550598</c:v>
                </c:pt>
                <c:pt idx="15">
                  <c:v>4.7366032886628702</c:v>
                </c:pt>
                <c:pt idx="16">
                  <c:v>4.7295954340305402</c:v>
                </c:pt>
                <c:pt idx="17">
                  <c:v>4.6121976997306398</c:v>
                </c:pt>
                <c:pt idx="18">
                  <c:v>4.5903276122072301</c:v>
                </c:pt>
                <c:pt idx="19">
                  <c:v>4.6286520450176498</c:v>
                </c:pt>
                <c:pt idx="20">
                  <c:v>4.6690205639464004</c:v>
                </c:pt>
                <c:pt idx="21">
                  <c:v>4.5745696530370399</c:v>
                </c:pt>
                <c:pt idx="22">
                  <c:v>4.2447480399268001</c:v>
                </c:pt>
                <c:pt idx="23">
                  <c:v>3.8919528668798899</c:v>
                </c:pt>
                <c:pt idx="24">
                  <c:v>3.7793401133038</c:v>
                </c:pt>
                <c:pt idx="25">
                  <c:v>3.80303948125629</c:v>
                </c:pt>
                <c:pt idx="26">
                  <c:v>3.80364044849131</c:v>
                </c:pt>
                <c:pt idx="27">
                  <c:v>3.7542129023702202</c:v>
                </c:pt>
                <c:pt idx="28">
                  <c:v>3.6053486298375601</c:v>
                </c:pt>
                <c:pt idx="29">
                  <c:v>3.61383049302919</c:v>
                </c:pt>
                <c:pt idx="30">
                  <c:v>3.6787505408074899</c:v>
                </c:pt>
                <c:pt idx="31">
                  <c:v>3.7165128808085699</c:v>
                </c:pt>
                <c:pt idx="32">
                  <c:v>3.8126189038843799</c:v>
                </c:pt>
                <c:pt idx="33">
                  <c:v>3.8442939134793499</c:v>
                </c:pt>
                <c:pt idx="34">
                  <c:v>3.9188893390305402</c:v>
                </c:pt>
                <c:pt idx="35">
                  <c:v>4.0210240278428504</c:v>
                </c:pt>
                <c:pt idx="36">
                  <c:v>4.0942294802658896</c:v>
                </c:pt>
                <c:pt idx="37">
                  <c:v>4.17333271294269</c:v>
                </c:pt>
                <c:pt idx="38">
                  <c:v>4.1092129545932403</c:v>
                </c:pt>
                <c:pt idx="39">
                  <c:v>4.1549008131127501</c:v>
                </c:pt>
                <c:pt idx="40">
                  <c:v>4.2256085430486303</c:v>
                </c:pt>
                <c:pt idx="41">
                  <c:v>4.33310028406291</c:v>
                </c:pt>
                <c:pt idx="42">
                  <c:v>4.2673548758431599</c:v>
                </c:pt>
                <c:pt idx="43">
                  <c:v>4.34694600021336</c:v>
                </c:pt>
                <c:pt idx="44">
                  <c:v>4.4539225851543804</c:v>
                </c:pt>
                <c:pt idx="45">
                  <c:v>4.74605707840702</c:v>
                </c:pt>
                <c:pt idx="46">
                  <c:v>4.77017791678142</c:v>
                </c:pt>
                <c:pt idx="47">
                  <c:v>4.9444954687776601</c:v>
                </c:pt>
                <c:pt idx="48">
                  <c:v>5.0106522497190102</c:v>
                </c:pt>
                <c:pt idx="49">
                  <c:v>5.1272066949473798</c:v>
                </c:pt>
                <c:pt idx="50">
                  <c:v>5.1598024386056496</c:v>
                </c:pt>
                <c:pt idx="51">
                  <c:v>4.9744173256000304</c:v>
                </c:pt>
                <c:pt idx="52">
                  <c:v>4.7009443977877297</c:v>
                </c:pt>
                <c:pt idx="53">
                  <c:v>4.5086726559339203</c:v>
                </c:pt>
                <c:pt idx="54">
                  <c:v>4.3965985586797096</c:v>
                </c:pt>
                <c:pt idx="55">
                  <c:v>4.5257030510575804</c:v>
                </c:pt>
                <c:pt idx="56">
                  <c:v>4.6295395373089496</c:v>
                </c:pt>
                <c:pt idx="57">
                  <c:v>4.7233472303049897</c:v>
                </c:pt>
                <c:pt idx="58">
                  <c:v>4.9026518418762004</c:v>
                </c:pt>
                <c:pt idx="59">
                  <c:v>5.2044462933785898</c:v>
                </c:pt>
                <c:pt idx="60">
                  <c:v>5.2384048241764596</c:v>
                </c:pt>
                <c:pt idx="61">
                  <c:v>5.1723318777901603</c:v>
                </c:pt>
                <c:pt idx="62">
                  <c:v>5.2625221084983602</c:v>
                </c:pt>
                <c:pt idx="63">
                  <c:v>5.1536480736346402</c:v>
                </c:pt>
                <c:pt idx="64">
                  <c:v>5.0033117888577898</c:v>
                </c:pt>
                <c:pt idx="65">
                  <c:v>5.0607206510651999</c:v>
                </c:pt>
                <c:pt idx="66">
                  <c:v>5.0894250837878499</c:v>
                </c:pt>
                <c:pt idx="67">
                  <c:v>5.0526037520760498</c:v>
                </c:pt>
                <c:pt idx="68">
                  <c:v>5.2545075049288199</c:v>
                </c:pt>
                <c:pt idx="69">
                  <c:v>5.3101678904135801</c:v>
                </c:pt>
                <c:pt idx="70">
                  <c:v>5.0901129423818601</c:v>
                </c:pt>
                <c:pt idx="71">
                  <c:v>4.9031303299357702</c:v>
                </c:pt>
                <c:pt idx="72">
                  <c:v>5.02641150947629</c:v>
                </c:pt>
                <c:pt idx="73">
                  <c:v>5.5034726021122697</c:v>
                </c:pt>
                <c:pt idx="74">
                  <c:v>4.9790307716941102</c:v>
                </c:pt>
                <c:pt idx="75">
                  <c:v>4.9859417574931797</c:v>
                </c:pt>
                <c:pt idx="76">
                  <c:v>4.8140476772344503</c:v>
                </c:pt>
                <c:pt idx="77">
                  <c:v>5.5879429462892798</c:v>
                </c:pt>
                <c:pt idx="78">
                  <c:v>6.0305100587502203</c:v>
                </c:pt>
                <c:pt idx="79">
                  <c:v>6.1393205362583698</c:v>
                </c:pt>
                <c:pt idx="80">
                  <c:v>6.3360286152089502</c:v>
                </c:pt>
                <c:pt idx="81">
                  <c:v>6.65090654381852</c:v>
                </c:pt>
                <c:pt idx="82">
                  <c:v>6.55888596105987</c:v>
                </c:pt>
                <c:pt idx="83">
                  <c:v>6.5773430662026398</c:v>
                </c:pt>
                <c:pt idx="84">
                  <c:v>6.031624251497</c:v>
                </c:pt>
                <c:pt idx="85">
                  <c:v>6.0359561667382797</c:v>
                </c:pt>
                <c:pt idx="86">
                  <c:v>5.9791683995526803</c:v>
                </c:pt>
                <c:pt idx="87">
                  <c:v>5.9431939282981698</c:v>
                </c:pt>
                <c:pt idx="88">
                  <c:v>6.1433166093110403</c:v>
                </c:pt>
                <c:pt idx="89">
                  <c:v>6.3152421891756596</c:v>
                </c:pt>
                <c:pt idx="90">
                  <c:v>6.38327217239536</c:v>
                </c:pt>
                <c:pt idx="91">
                  <c:v>6.4972427317042101</c:v>
                </c:pt>
                <c:pt idx="92">
                  <c:v>6.6248504403212802</c:v>
                </c:pt>
                <c:pt idx="93">
                  <c:v>6.7767987384436097</c:v>
                </c:pt>
                <c:pt idx="94">
                  <c:v>6.7227397056198903</c:v>
                </c:pt>
                <c:pt idx="95">
                  <c:v>6.6672712474198104</c:v>
                </c:pt>
                <c:pt idx="96">
                  <c:v>6.2402690361093898</c:v>
                </c:pt>
                <c:pt idx="97">
                  <c:v>6.1389123088444197</c:v>
                </c:pt>
                <c:pt idx="98">
                  <c:v>6.4147007427720597</c:v>
                </c:pt>
                <c:pt idx="99">
                  <c:v>6.4583574932373802</c:v>
                </c:pt>
                <c:pt idx="100">
                  <c:v>6.4570522130320001</c:v>
                </c:pt>
                <c:pt idx="101">
                  <c:v>6.5951725501935003</c:v>
                </c:pt>
                <c:pt idx="102">
                  <c:v>6.5400345488193796</c:v>
                </c:pt>
                <c:pt idx="103">
                  <c:v>6.6050926142464297</c:v>
                </c:pt>
                <c:pt idx="104">
                  <c:v>6.7612498647602699</c:v>
                </c:pt>
                <c:pt idx="105">
                  <c:v>6.8026987479921601</c:v>
                </c:pt>
                <c:pt idx="106">
                  <c:v>6.8165332362930604</c:v>
                </c:pt>
                <c:pt idx="107">
                  <c:v>6.79919524180242</c:v>
                </c:pt>
                <c:pt idx="108">
                  <c:v>6.7723561623469903</c:v>
                </c:pt>
                <c:pt idx="109">
                  <c:v>6.6439112465558896</c:v>
                </c:pt>
                <c:pt idx="110">
                  <c:v>6.44507652227413</c:v>
                </c:pt>
                <c:pt idx="111">
                  <c:v>6.6172545901618598</c:v>
                </c:pt>
                <c:pt idx="112">
                  <c:v>6.5915094227876203</c:v>
                </c:pt>
                <c:pt idx="113">
                  <c:v>6.5427289793067303</c:v>
                </c:pt>
                <c:pt idx="114">
                  <c:v>6.2082868116654</c:v>
                </c:pt>
                <c:pt idx="115">
                  <c:v>5.9911124383801297</c:v>
                </c:pt>
                <c:pt idx="116">
                  <c:v>6.0827941560026799</c:v>
                </c:pt>
                <c:pt idx="117">
                  <c:v>6.0248056296464396</c:v>
                </c:pt>
                <c:pt idx="118">
                  <c:v>6.0116534514124798</c:v>
                </c:pt>
                <c:pt idx="119">
                  <c:v>5.9291439279153604</c:v>
                </c:pt>
                <c:pt idx="120">
                  <c:v>6.0861604457115899</c:v>
                </c:pt>
                <c:pt idx="121">
                  <c:v>5.9156436011904701</c:v>
                </c:pt>
                <c:pt idx="122">
                  <c:v>6.0336881169928702</c:v>
                </c:pt>
                <c:pt idx="123">
                  <c:v>5.9235606448311096</c:v>
                </c:pt>
                <c:pt idx="124">
                  <c:v>6.1476152160514896</c:v>
                </c:pt>
                <c:pt idx="125">
                  <c:v>5.9643916855714201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LLwithCondition!$E$3</c:f>
              <c:strCache>
                <c:ptCount val="1"/>
                <c:pt idx="0">
                  <c:v>Small Lender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LLwithCondition!$E$4:$E$129</c:f>
              <c:numCache>
                <c:formatCode>0.00</c:formatCode>
                <c:ptCount val="126"/>
                <c:pt idx="0">
                  <c:v>4.0561251713544104</c:v>
                </c:pt>
                <c:pt idx="1">
                  <c:v>3.9762475049440198</c:v>
                </c:pt>
                <c:pt idx="2">
                  <c:v>3.9282028775760498</c:v>
                </c:pt>
                <c:pt idx="3">
                  <c:v>3.9320396187248101</c:v>
                </c:pt>
                <c:pt idx="4">
                  <c:v>4.1049873604232801</c:v>
                </c:pt>
                <c:pt idx="5">
                  <c:v>4.2149770950800001</c:v>
                </c:pt>
                <c:pt idx="6">
                  <c:v>4.2823710809759499</c:v>
                </c:pt>
                <c:pt idx="7">
                  <c:v>4.3555208650457802</c:v>
                </c:pt>
                <c:pt idx="8">
                  <c:v>4.3973010870007103</c:v>
                </c:pt>
                <c:pt idx="9">
                  <c:v>4.3669489809585196</c:v>
                </c:pt>
                <c:pt idx="10">
                  <c:v>4.4174894237425599</c:v>
                </c:pt>
                <c:pt idx="11">
                  <c:v>4.4428648016081</c:v>
                </c:pt>
                <c:pt idx="12">
                  <c:v>4.5499580654746996</c:v>
                </c:pt>
                <c:pt idx="13">
                  <c:v>4.5766765568888301</c:v>
                </c:pt>
                <c:pt idx="14">
                  <c:v>4.5955650821670497</c:v>
                </c:pt>
                <c:pt idx="15">
                  <c:v>4.6124541798731897</c:v>
                </c:pt>
                <c:pt idx="16">
                  <c:v>4.6047579940496401</c:v>
                </c:pt>
                <c:pt idx="17">
                  <c:v>4.5423720637683003</c:v>
                </c:pt>
                <c:pt idx="18">
                  <c:v>4.4856529453012701</c:v>
                </c:pt>
                <c:pt idx="19">
                  <c:v>4.5931885852676899</c:v>
                </c:pt>
                <c:pt idx="20">
                  <c:v>4.6448965055844003</c:v>
                </c:pt>
                <c:pt idx="21">
                  <c:v>4.4868701789443204</c:v>
                </c:pt>
                <c:pt idx="22">
                  <c:v>4.1904757607515801</c:v>
                </c:pt>
                <c:pt idx="23">
                  <c:v>3.8614924384028302</c:v>
                </c:pt>
                <c:pt idx="24">
                  <c:v>3.7594762587358401</c:v>
                </c:pt>
                <c:pt idx="25">
                  <c:v>3.7579848918707599</c:v>
                </c:pt>
                <c:pt idx="26">
                  <c:v>3.7233882877985902</c:v>
                </c:pt>
                <c:pt idx="27">
                  <c:v>3.6572873433600201</c:v>
                </c:pt>
                <c:pt idx="28">
                  <c:v>3.58160500208843</c:v>
                </c:pt>
                <c:pt idx="29">
                  <c:v>3.5617646791317901</c:v>
                </c:pt>
                <c:pt idx="30">
                  <c:v>3.56765547891264</c:v>
                </c:pt>
                <c:pt idx="31">
                  <c:v>3.6357269037879698</c:v>
                </c:pt>
                <c:pt idx="32">
                  <c:v>3.7556527877728501</c:v>
                </c:pt>
                <c:pt idx="33">
                  <c:v>3.8328685818010499</c:v>
                </c:pt>
                <c:pt idx="34">
                  <c:v>3.84847397972475</c:v>
                </c:pt>
                <c:pt idx="35">
                  <c:v>3.9915397167780799</c:v>
                </c:pt>
                <c:pt idx="36">
                  <c:v>4.0796072104057002</c:v>
                </c:pt>
                <c:pt idx="37">
                  <c:v>4.0951346139394103</c:v>
                </c:pt>
                <c:pt idx="38">
                  <c:v>4.0552340372442899</c:v>
                </c:pt>
                <c:pt idx="39">
                  <c:v>4.0730557594336103</c:v>
                </c:pt>
                <c:pt idx="40">
                  <c:v>4.1302566229502302</c:v>
                </c:pt>
                <c:pt idx="41">
                  <c:v>4.2152473802194796</c:v>
                </c:pt>
                <c:pt idx="42">
                  <c:v>4.2221592290878203</c:v>
                </c:pt>
                <c:pt idx="43">
                  <c:v>4.2804118399340396</c:v>
                </c:pt>
                <c:pt idx="44">
                  <c:v>4.3601827778140496</c:v>
                </c:pt>
                <c:pt idx="45">
                  <c:v>4.5906352698938502</c:v>
                </c:pt>
                <c:pt idx="46">
                  <c:v>4.7660299889469897</c:v>
                </c:pt>
                <c:pt idx="47">
                  <c:v>4.8542933668009498</c:v>
                </c:pt>
                <c:pt idx="48">
                  <c:v>4.95904409974725</c:v>
                </c:pt>
                <c:pt idx="49">
                  <c:v>5.0024613921514902</c:v>
                </c:pt>
                <c:pt idx="50">
                  <c:v>4.9197654711748502</c:v>
                </c:pt>
                <c:pt idx="51">
                  <c:v>4.8488406302649203</c:v>
                </c:pt>
                <c:pt idx="52">
                  <c:v>4.6256668706208099</c:v>
                </c:pt>
                <c:pt idx="53">
                  <c:v>4.4727380652121402</c:v>
                </c:pt>
                <c:pt idx="54">
                  <c:v>4.4263113947291099</c:v>
                </c:pt>
                <c:pt idx="55">
                  <c:v>4.46808288934138</c:v>
                </c:pt>
                <c:pt idx="56">
                  <c:v>4.5241107366993702</c:v>
                </c:pt>
                <c:pt idx="57">
                  <c:v>4.6422108273695404</c:v>
                </c:pt>
                <c:pt idx="58">
                  <c:v>4.7850141216470501</c:v>
                </c:pt>
                <c:pt idx="59">
                  <c:v>5.0279533756399903</c:v>
                </c:pt>
                <c:pt idx="60">
                  <c:v>5.1463617792058498</c:v>
                </c:pt>
                <c:pt idx="61">
                  <c:v>5.1203829978817703</c:v>
                </c:pt>
                <c:pt idx="62">
                  <c:v>5.1197191823873904</c:v>
                </c:pt>
                <c:pt idx="63">
                  <c:v>5.0761830844653897</c:v>
                </c:pt>
                <c:pt idx="64">
                  <c:v>5.0031136856172704</c:v>
                </c:pt>
                <c:pt idx="65">
                  <c:v>5.0065109001000803</c:v>
                </c:pt>
                <c:pt idx="66">
                  <c:v>5.0281029458344397</c:v>
                </c:pt>
                <c:pt idx="67">
                  <c:v>5.1209082438209101</c:v>
                </c:pt>
                <c:pt idx="68">
                  <c:v>5.2362539252109102</c:v>
                </c:pt>
                <c:pt idx="69">
                  <c:v>5.3883722712743003</c:v>
                </c:pt>
                <c:pt idx="70">
                  <c:v>5.0821268609385104</c:v>
                </c:pt>
                <c:pt idx="71">
                  <c:v>4.9194447639263403</c:v>
                </c:pt>
                <c:pt idx="72">
                  <c:v>5.0433127624664502</c:v>
                </c:pt>
                <c:pt idx="73">
                  <c:v>5.4341002241852001</c:v>
                </c:pt>
                <c:pt idx="74">
                  <c:v>4.95152249298161</c:v>
                </c:pt>
                <c:pt idx="75">
                  <c:v>4.9508646158068697</c:v>
                </c:pt>
                <c:pt idx="76">
                  <c:v>4.9641054943975496</c:v>
                </c:pt>
                <c:pt idx="77">
                  <c:v>5.6622577166640902</c:v>
                </c:pt>
                <c:pt idx="78">
                  <c:v>5.8596863041649598</c:v>
                </c:pt>
                <c:pt idx="79">
                  <c:v>6.0422214557060299</c:v>
                </c:pt>
                <c:pt idx="80">
                  <c:v>6.2080239949810698</c:v>
                </c:pt>
                <c:pt idx="81">
                  <c:v>6.4089655022722702</c:v>
                </c:pt>
                <c:pt idx="82">
                  <c:v>6.2387191553264101</c:v>
                </c:pt>
                <c:pt idx="83">
                  <c:v>6.0218748192218401</c:v>
                </c:pt>
                <c:pt idx="84">
                  <c:v>5.9720228438158003</c:v>
                </c:pt>
                <c:pt idx="85">
                  <c:v>5.8368842036889896</c:v>
                </c:pt>
                <c:pt idx="86">
                  <c:v>5.7104180355247598</c:v>
                </c:pt>
                <c:pt idx="87">
                  <c:v>5.7260938763857698</c:v>
                </c:pt>
                <c:pt idx="88">
                  <c:v>5.9576782218423299</c:v>
                </c:pt>
                <c:pt idx="89">
                  <c:v>6.2558018281549401</c:v>
                </c:pt>
                <c:pt idx="90">
                  <c:v>6.3910935421455797</c:v>
                </c:pt>
                <c:pt idx="91">
                  <c:v>6.4735852917291901</c:v>
                </c:pt>
                <c:pt idx="92">
                  <c:v>6.60761287553479</c:v>
                </c:pt>
                <c:pt idx="93">
                  <c:v>6.6516552376793499</c:v>
                </c:pt>
                <c:pt idx="94">
                  <c:v>6.5834400513605198</c:v>
                </c:pt>
                <c:pt idx="95">
                  <c:v>6.3684215365538597</c:v>
                </c:pt>
                <c:pt idx="96">
                  <c:v>6.2258449290489803</c:v>
                </c:pt>
                <c:pt idx="97">
                  <c:v>6.2318888958699299</c:v>
                </c:pt>
                <c:pt idx="98">
                  <c:v>6.3741012932097298</c:v>
                </c:pt>
                <c:pt idx="99">
                  <c:v>6.2558275704371002</c:v>
                </c:pt>
                <c:pt idx="100">
                  <c:v>6.2136411587990699</c:v>
                </c:pt>
                <c:pt idx="101">
                  <c:v>6.2930519936589402</c:v>
                </c:pt>
                <c:pt idx="102">
                  <c:v>6.39834118453411</c:v>
                </c:pt>
                <c:pt idx="103">
                  <c:v>6.4627379583711599</c:v>
                </c:pt>
                <c:pt idx="104">
                  <c:v>6.5036892452480002</c:v>
                </c:pt>
                <c:pt idx="105">
                  <c:v>6.5984951599902804</c:v>
                </c:pt>
                <c:pt idx="106">
                  <c:v>6.64420965530201</c:v>
                </c:pt>
                <c:pt idx="107">
                  <c:v>6.6718242011780502</c:v>
                </c:pt>
                <c:pt idx="108">
                  <c:v>6.5174767584399396</c:v>
                </c:pt>
                <c:pt idx="109">
                  <c:v>6.4293742265984299</c:v>
                </c:pt>
                <c:pt idx="110">
                  <c:v>6.2872382875702897</c:v>
                </c:pt>
                <c:pt idx="111">
                  <c:v>6.2982082968512598</c:v>
                </c:pt>
                <c:pt idx="112">
                  <c:v>6.2874154697010702</c:v>
                </c:pt>
                <c:pt idx="113">
                  <c:v>6.2545362046244097</c:v>
                </c:pt>
                <c:pt idx="114">
                  <c:v>6.0663837781049201</c:v>
                </c:pt>
                <c:pt idx="115">
                  <c:v>5.8824956492188702</c:v>
                </c:pt>
                <c:pt idx="116">
                  <c:v>5.90450688398127</c:v>
                </c:pt>
                <c:pt idx="117">
                  <c:v>5.7835762679290603</c:v>
                </c:pt>
                <c:pt idx="118">
                  <c:v>5.6867978695648898</c:v>
                </c:pt>
                <c:pt idx="119">
                  <c:v>5.77587230029149</c:v>
                </c:pt>
                <c:pt idx="120">
                  <c:v>5.9011810521622499</c:v>
                </c:pt>
                <c:pt idx="121">
                  <c:v>5.93851052657556</c:v>
                </c:pt>
                <c:pt idx="122">
                  <c:v>5.7027763131622304</c:v>
                </c:pt>
                <c:pt idx="123">
                  <c:v>5.7027848550616698</c:v>
                </c:pt>
                <c:pt idx="124">
                  <c:v>5.84702160477205</c:v>
                </c:pt>
                <c:pt idx="125">
                  <c:v>5.8075675352202101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73536"/>
        <c:axId val="215560960"/>
      </c:lineChart>
      <c:dateAx>
        <c:axId val="217073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5560960"/>
        <c:crosses val="autoZero"/>
        <c:auto val="1"/>
        <c:lblOffset val="100"/>
        <c:baseTimeUnit val="months"/>
        <c:majorUnit val="6"/>
        <c:majorTimeUnit val="months"/>
      </c:dateAx>
      <c:valAx>
        <c:axId val="215560960"/>
        <c:scaling>
          <c:orientation val="minMax"/>
          <c:min val="3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7073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Bank vs Non-Bank</c:v>
          </c:tx>
          <c:spPr>
            <a:solidFill>
              <a:srgbClr val="2E398A"/>
            </a:solidFill>
            <a:ln>
              <a:noFill/>
            </a:ln>
          </c:spPr>
          <c:invertIfNegative val="0"/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LLwithCondition!$F$4:$F$129</c:f>
              <c:numCache>
                <c:formatCode>0.00</c:formatCode>
                <c:ptCount val="126"/>
                <c:pt idx="0">
                  <c:v>0.21280610064181982</c:v>
                </c:pt>
                <c:pt idx="1">
                  <c:v>8.5478659140989954E-2</c:v>
                </c:pt>
                <c:pt idx="2">
                  <c:v>-5.1490329562049908E-2</c:v>
                </c:pt>
                <c:pt idx="3">
                  <c:v>6.4058579315849684E-2</c:v>
                </c:pt>
                <c:pt idx="4">
                  <c:v>8.1680885406130166E-2</c:v>
                </c:pt>
                <c:pt idx="5">
                  <c:v>3.3540849367139636E-2</c:v>
                </c:pt>
                <c:pt idx="6">
                  <c:v>0.10543948850274987</c:v>
                </c:pt>
                <c:pt idx="7">
                  <c:v>0.23800471412295021</c:v>
                </c:pt>
                <c:pt idx="8">
                  <c:v>-2.686938811541939E-2</c:v>
                </c:pt>
                <c:pt idx="9">
                  <c:v>-5.3211371946959574E-2</c:v>
                </c:pt>
                <c:pt idx="10">
                  <c:v>-4.6618051297630636E-2</c:v>
                </c:pt>
                <c:pt idx="11">
                  <c:v>7.1913092346119534E-2</c:v>
                </c:pt>
                <c:pt idx="12">
                  <c:v>6.4413726293892637E-3</c:v>
                </c:pt>
                <c:pt idx="13">
                  <c:v>-4.8679357063579509E-2</c:v>
                </c:pt>
                <c:pt idx="14">
                  <c:v>-5.477974028467969E-2</c:v>
                </c:pt>
                <c:pt idx="15">
                  <c:v>-3.9637619507502109E-3</c:v>
                </c:pt>
                <c:pt idx="16">
                  <c:v>-7.5923484802560282E-2</c:v>
                </c:pt>
                <c:pt idx="17">
                  <c:v>-2.2633075956859372E-2</c:v>
                </c:pt>
                <c:pt idx="18">
                  <c:v>2.8872649146459928E-2</c:v>
                </c:pt>
                <c:pt idx="19">
                  <c:v>4.6065778630100418E-2</c:v>
                </c:pt>
                <c:pt idx="20">
                  <c:v>-8.2800118819540636E-2</c:v>
                </c:pt>
                <c:pt idx="21">
                  <c:v>-0.32380368853393016</c:v>
                </c:pt>
                <c:pt idx="22">
                  <c:v>-0.29563835942529026</c:v>
                </c:pt>
                <c:pt idx="23">
                  <c:v>-7.0808280347789854E-2</c:v>
                </c:pt>
                <c:pt idx="24">
                  <c:v>2.6940116033240091E-2</c:v>
                </c:pt>
                <c:pt idx="25">
                  <c:v>0.12530870591875987</c:v>
                </c:pt>
                <c:pt idx="26">
                  <c:v>2.363013991297791E-4</c:v>
                </c:pt>
                <c:pt idx="27">
                  <c:v>-5.4946478202280158E-2</c:v>
                </c:pt>
                <c:pt idx="28">
                  <c:v>2.7904869857009906E-2</c:v>
                </c:pt>
                <c:pt idx="29">
                  <c:v>0.13934728283626985</c:v>
                </c:pt>
                <c:pt idx="30">
                  <c:v>7.4166441463419996E-2</c:v>
                </c:pt>
                <c:pt idx="31">
                  <c:v>0.11049141793393025</c:v>
                </c:pt>
                <c:pt idx="32">
                  <c:v>3.7748608194690281E-2</c:v>
                </c:pt>
                <c:pt idx="33">
                  <c:v>5.7282666365769952E-2</c:v>
                </c:pt>
                <c:pt idx="34">
                  <c:v>9.7919189937869522E-2</c:v>
                </c:pt>
                <c:pt idx="35">
                  <c:v>0.11032204787498934</c:v>
                </c:pt>
                <c:pt idx="36">
                  <c:v>0.21828802961241056</c:v>
                </c:pt>
                <c:pt idx="37">
                  <c:v>-1.7717574673680403E-2</c:v>
                </c:pt>
                <c:pt idx="38">
                  <c:v>6.4720142293499983E-2</c:v>
                </c:pt>
                <c:pt idx="39">
                  <c:v>3.3359628161670152E-2</c:v>
                </c:pt>
                <c:pt idx="40">
                  <c:v>5.0914095166799456E-2</c:v>
                </c:pt>
                <c:pt idx="41">
                  <c:v>-1.0335878088140404E-2</c:v>
                </c:pt>
                <c:pt idx="42">
                  <c:v>6.0491467892529904E-2</c:v>
                </c:pt>
                <c:pt idx="43">
                  <c:v>0.10218785946231979</c:v>
                </c:pt>
                <c:pt idx="44">
                  <c:v>0.1129931460301794</c:v>
                </c:pt>
                <c:pt idx="45">
                  <c:v>7.583708169893999E-2</c:v>
                </c:pt>
                <c:pt idx="46">
                  <c:v>0.16669223768564034</c:v>
                </c:pt>
                <c:pt idx="47">
                  <c:v>1.7675021297599791E-2</c:v>
                </c:pt>
                <c:pt idx="48">
                  <c:v>0.1014848247807798</c:v>
                </c:pt>
                <c:pt idx="49">
                  <c:v>-3.7366847898479882E-2</c:v>
                </c:pt>
                <c:pt idx="50">
                  <c:v>-0.17387225730257949</c:v>
                </c:pt>
                <c:pt idx="51">
                  <c:v>-0.16660959106503004</c:v>
                </c:pt>
                <c:pt idx="52">
                  <c:v>-0.13059360916819962</c:v>
                </c:pt>
                <c:pt idx="53">
                  <c:v>-3.0900846811640292E-2</c:v>
                </c:pt>
                <c:pt idx="54">
                  <c:v>0.11045036396657082</c:v>
                </c:pt>
                <c:pt idx="55">
                  <c:v>9.8578237046409889E-2</c:v>
                </c:pt>
                <c:pt idx="56">
                  <c:v>5.3414312941000297E-2</c:v>
                </c:pt>
                <c:pt idx="57">
                  <c:v>7.3397987269850695E-2</c:v>
                </c:pt>
                <c:pt idx="58">
                  <c:v>6.386936816066946E-2</c:v>
                </c:pt>
                <c:pt idx="59">
                  <c:v>-7.0925645041599594E-2</c:v>
                </c:pt>
                <c:pt idx="60">
                  <c:v>-4.135087080769928E-2</c:v>
                </c:pt>
                <c:pt idx="61">
                  <c:v>9.8720332589694593E-3</c:v>
                </c:pt>
                <c:pt idx="62">
                  <c:v>-0.14817309061240014</c:v>
                </c:pt>
                <c:pt idx="63">
                  <c:v>-5.9641599881779861E-2</c:v>
                </c:pt>
                <c:pt idx="64">
                  <c:v>2.9217288664580288E-2</c:v>
                </c:pt>
                <c:pt idx="65">
                  <c:v>2.1183399645110512E-2</c:v>
                </c:pt>
                <c:pt idx="66">
                  <c:v>-2.9324618248949719E-2</c:v>
                </c:pt>
                <c:pt idx="67">
                  <c:v>7.446557433021983E-2</c:v>
                </c:pt>
                <c:pt idx="68">
                  <c:v>-0.21082346799861007</c:v>
                </c:pt>
                <c:pt idx="69">
                  <c:v>-0.23927769749415972</c:v>
                </c:pt>
                <c:pt idx="70">
                  <c:v>-0.17309116779083045</c:v>
                </c:pt>
                <c:pt idx="71">
                  <c:v>-6.8404094808870219E-2</c:v>
                </c:pt>
                <c:pt idx="72">
                  <c:v>-0.18275456501712029</c:v>
                </c:pt>
                <c:pt idx="73">
                  <c:v>-0.49815832535916016</c:v>
                </c:pt>
                <c:pt idx="74">
                  <c:v>-7.5728254686040053E-2</c:v>
                </c:pt>
                <c:pt idx="75">
                  <c:v>-4.8677187918679365E-2</c:v>
                </c:pt>
                <c:pt idx="76">
                  <c:v>0.1817988939020001</c:v>
                </c:pt>
                <c:pt idx="77">
                  <c:v>-0.17624473024852971</c:v>
                </c:pt>
                <c:pt idx="78">
                  <c:v>-7.9361802540810267E-2</c:v>
                </c:pt>
                <c:pt idx="79">
                  <c:v>-3.0626439013579976E-2</c:v>
                </c:pt>
                <c:pt idx="80">
                  <c:v>-0.17545517113043996</c:v>
                </c:pt>
                <c:pt idx="81">
                  <c:v>-0.27773927462826009</c:v>
                </c:pt>
                <c:pt idx="82">
                  <c:v>-0.38501728236296984</c:v>
                </c:pt>
                <c:pt idx="83">
                  <c:v>-0.56556252943832952</c:v>
                </c:pt>
                <c:pt idx="84">
                  <c:v>-0.14370260556790981</c:v>
                </c:pt>
                <c:pt idx="85">
                  <c:v>-0.23173539062900961</c:v>
                </c:pt>
                <c:pt idx="86">
                  <c:v>-0.21540837032822058</c:v>
                </c:pt>
                <c:pt idx="87">
                  <c:v>-0.19965204417669025</c:v>
                </c:pt>
                <c:pt idx="88">
                  <c:v>-0.20673618798279048</c:v>
                </c:pt>
                <c:pt idx="89">
                  <c:v>-0.11698222761801969</c:v>
                </c:pt>
                <c:pt idx="90">
                  <c:v>-4.3833671167949895E-2</c:v>
                </c:pt>
                <c:pt idx="91">
                  <c:v>-3.1919406167490116E-2</c:v>
                </c:pt>
                <c:pt idx="92">
                  <c:v>-5.477266649273993E-2</c:v>
                </c:pt>
                <c:pt idx="93">
                  <c:v>-0.17761881586783979</c:v>
                </c:pt>
                <c:pt idx="94">
                  <c:v>-0.17597886634924009</c:v>
                </c:pt>
                <c:pt idx="95">
                  <c:v>-0.32336523406774997</c:v>
                </c:pt>
                <c:pt idx="96">
                  <c:v>3.6074862947499398E-3</c:v>
                </c:pt>
                <c:pt idx="97">
                  <c:v>5.3208638797220154E-2</c:v>
                </c:pt>
                <c:pt idx="98">
                  <c:v>-0.18223659773397927</c:v>
                </c:pt>
                <c:pt idx="99">
                  <c:v>-0.21848466309991998</c:v>
                </c:pt>
                <c:pt idx="100">
                  <c:v>-0.22573438834186987</c:v>
                </c:pt>
                <c:pt idx="101">
                  <c:v>-0.39185892308383075</c:v>
                </c:pt>
                <c:pt idx="102">
                  <c:v>-0.18119915653471974</c:v>
                </c:pt>
                <c:pt idx="103">
                  <c:v>-0.15098383397321946</c:v>
                </c:pt>
                <c:pt idx="104">
                  <c:v>-0.2308806098683398</c:v>
                </c:pt>
                <c:pt idx="105">
                  <c:v>-0.10577727061976017</c:v>
                </c:pt>
                <c:pt idx="106">
                  <c:v>-6.7546568254160277E-2</c:v>
                </c:pt>
                <c:pt idx="107">
                  <c:v>-0.14096314873436988</c:v>
                </c:pt>
                <c:pt idx="108">
                  <c:v>-0.27567328423354009</c:v>
                </c:pt>
                <c:pt idx="109">
                  <c:v>-0.29424761909492947</c:v>
                </c:pt>
                <c:pt idx="110">
                  <c:v>-0.28257618692555031</c:v>
                </c:pt>
                <c:pt idx="111">
                  <c:v>-0.38715555093153942</c:v>
                </c:pt>
                <c:pt idx="112">
                  <c:v>-0.37573751654808074</c:v>
                </c:pt>
                <c:pt idx="113">
                  <c:v>-0.36370046385855037</c:v>
                </c:pt>
                <c:pt idx="114">
                  <c:v>-0.19719747394993004</c:v>
                </c:pt>
                <c:pt idx="115">
                  <c:v>-0.12452067981530934</c:v>
                </c:pt>
                <c:pt idx="116">
                  <c:v>-0.25661308979977981</c:v>
                </c:pt>
                <c:pt idx="117">
                  <c:v>-0.25107848748727957</c:v>
                </c:pt>
                <c:pt idx="118">
                  <c:v>-0.26070921333201991</c:v>
                </c:pt>
                <c:pt idx="119">
                  <c:v>-0.14925075548846056</c:v>
                </c:pt>
                <c:pt idx="120">
                  <c:v>-0.15025116373216019</c:v>
                </c:pt>
                <c:pt idx="121">
                  <c:v>-5.0619570655149992E-2</c:v>
                </c:pt>
                <c:pt idx="122">
                  <c:v>-0.32054565201744989</c:v>
                </c:pt>
                <c:pt idx="123">
                  <c:v>-0.21548512247188967</c:v>
                </c:pt>
                <c:pt idx="124">
                  <c:v>-0.34414188631264953</c:v>
                </c:pt>
                <c:pt idx="125">
                  <c:v>-0.13581178899444968</c:v>
                </c:pt>
              </c:numCache>
            </c:numRef>
          </c:val>
        </c:ser>
        <c:ser>
          <c:idx val="4"/>
          <c:order val="1"/>
          <c:tx>
            <c:v>Bank vs Small</c:v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numRef>
              <c:f>LLwithCondition!$B$4:$B$129</c:f>
              <c:numCache>
                <c:formatCode>m/d/yyyy</c:formatCode>
                <c:ptCount val="126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39995</c:v>
                </c:pt>
                <c:pt idx="72">
                  <c:v>39965</c:v>
                </c:pt>
                <c:pt idx="73">
                  <c:v>39934</c:v>
                </c:pt>
                <c:pt idx="74">
                  <c:v>39904</c:v>
                </c:pt>
                <c:pt idx="75">
                  <c:v>39873</c:v>
                </c:pt>
                <c:pt idx="76">
                  <c:v>39845</c:v>
                </c:pt>
                <c:pt idx="77">
                  <c:v>39814</c:v>
                </c:pt>
                <c:pt idx="78">
                  <c:v>39783</c:v>
                </c:pt>
                <c:pt idx="79">
                  <c:v>39753</c:v>
                </c:pt>
                <c:pt idx="80">
                  <c:v>39722</c:v>
                </c:pt>
                <c:pt idx="81">
                  <c:v>39692</c:v>
                </c:pt>
                <c:pt idx="82">
                  <c:v>39661</c:v>
                </c:pt>
                <c:pt idx="83">
                  <c:v>39630</c:v>
                </c:pt>
                <c:pt idx="84">
                  <c:v>39600</c:v>
                </c:pt>
                <c:pt idx="85">
                  <c:v>39569</c:v>
                </c:pt>
                <c:pt idx="86">
                  <c:v>39539</c:v>
                </c:pt>
                <c:pt idx="87">
                  <c:v>39508</c:v>
                </c:pt>
                <c:pt idx="88">
                  <c:v>39479</c:v>
                </c:pt>
                <c:pt idx="89">
                  <c:v>39448</c:v>
                </c:pt>
                <c:pt idx="90">
                  <c:v>39417</c:v>
                </c:pt>
                <c:pt idx="91">
                  <c:v>39387</c:v>
                </c:pt>
                <c:pt idx="92">
                  <c:v>39356</c:v>
                </c:pt>
                <c:pt idx="93">
                  <c:v>39326</c:v>
                </c:pt>
                <c:pt idx="94">
                  <c:v>39295</c:v>
                </c:pt>
                <c:pt idx="95">
                  <c:v>39264</c:v>
                </c:pt>
                <c:pt idx="96">
                  <c:v>39234</c:v>
                </c:pt>
                <c:pt idx="97">
                  <c:v>39203</c:v>
                </c:pt>
                <c:pt idx="98">
                  <c:v>39173</c:v>
                </c:pt>
                <c:pt idx="99">
                  <c:v>39142</c:v>
                </c:pt>
                <c:pt idx="100">
                  <c:v>39114</c:v>
                </c:pt>
                <c:pt idx="101">
                  <c:v>39083</c:v>
                </c:pt>
                <c:pt idx="102">
                  <c:v>39052</c:v>
                </c:pt>
                <c:pt idx="103">
                  <c:v>39022</c:v>
                </c:pt>
                <c:pt idx="104">
                  <c:v>38991</c:v>
                </c:pt>
                <c:pt idx="105">
                  <c:v>38961</c:v>
                </c:pt>
                <c:pt idx="106">
                  <c:v>38930</c:v>
                </c:pt>
                <c:pt idx="107">
                  <c:v>38899</c:v>
                </c:pt>
                <c:pt idx="108">
                  <c:v>38869</c:v>
                </c:pt>
                <c:pt idx="109">
                  <c:v>38838</c:v>
                </c:pt>
                <c:pt idx="110">
                  <c:v>38808</c:v>
                </c:pt>
                <c:pt idx="111">
                  <c:v>38777</c:v>
                </c:pt>
                <c:pt idx="112">
                  <c:v>38749</c:v>
                </c:pt>
                <c:pt idx="113">
                  <c:v>38718</c:v>
                </c:pt>
                <c:pt idx="114">
                  <c:v>38687</c:v>
                </c:pt>
                <c:pt idx="115">
                  <c:v>38657</c:v>
                </c:pt>
                <c:pt idx="116">
                  <c:v>38626</c:v>
                </c:pt>
                <c:pt idx="117">
                  <c:v>38596</c:v>
                </c:pt>
                <c:pt idx="118">
                  <c:v>38565</c:v>
                </c:pt>
                <c:pt idx="119">
                  <c:v>38534</c:v>
                </c:pt>
                <c:pt idx="120">
                  <c:v>38504</c:v>
                </c:pt>
                <c:pt idx="121">
                  <c:v>38473</c:v>
                </c:pt>
                <c:pt idx="122">
                  <c:v>38443</c:v>
                </c:pt>
                <c:pt idx="123">
                  <c:v>38412</c:v>
                </c:pt>
                <c:pt idx="124">
                  <c:v>38384</c:v>
                </c:pt>
                <c:pt idx="125">
                  <c:v>38353</c:v>
                </c:pt>
              </c:numCache>
            </c:numRef>
          </c:cat>
          <c:val>
            <c:numRef>
              <c:f>LLwithCondition!$G$4:$G$129</c:f>
              <c:numCache>
                <c:formatCode>0.00</c:formatCode>
                <c:ptCount val="126"/>
                <c:pt idx="0">
                  <c:v>0.22533169390289931</c:v>
                </c:pt>
                <c:pt idx="1">
                  <c:v>0.17348669040670028</c:v>
                </c:pt>
                <c:pt idx="2">
                  <c:v>4.8012782831830414E-2</c:v>
                </c:pt>
                <c:pt idx="3">
                  <c:v>0.18363214942276995</c:v>
                </c:pt>
                <c:pt idx="4">
                  <c:v>0.15661961884003972</c:v>
                </c:pt>
                <c:pt idx="5">
                  <c:v>0.11364278081446955</c:v>
                </c:pt>
                <c:pt idx="6">
                  <c:v>0.18452185607061988</c:v>
                </c:pt>
                <c:pt idx="7">
                  <c:v>0.3494104807874896</c:v>
                </c:pt>
                <c:pt idx="8">
                  <c:v>5.1769407321970107E-2</c:v>
                </c:pt>
                <c:pt idx="9">
                  <c:v>8.6748711681290835E-2</c:v>
                </c:pt>
                <c:pt idx="10">
                  <c:v>5.7080657367199805E-2</c:v>
                </c:pt>
                <c:pt idx="11">
                  <c:v>0.17265925541703986</c:v>
                </c:pt>
                <c:pt idx="12">
                  <c:v>9.5781843168690095E-2</c:v>
                </c:pt>
                <c:pt idx="13">
                  <c:v>5.6605674979580023E-2</c:v>
                </c:pt>
                <c:pt idx="14">
                  <c:v>4.5201989303330414E-2</c:v>
                </c:pt>
                <c:pt idx="15">
                  <c:v>0.12018534683893023</c:v>
                </c:pt>
                <c:pt idx="16">
                  <c:v>4.8913955178339741E-2</c:v>
                </c:pt>
                <c:pt idx="17">
                  <c:v>4.7192560005480111E-2</c:v>
                </c:pt>
                <c:pt idx="18">
                  <c:v>0.13354731605241987</c:v>
                </c:pt>
                <c:pt idx="19">
                  <c:v>8.152923838006032E-2</c:v>
                </c:pt>
                <c:pt idx="20">
                  <c:v>-5.867606045754048E-2</c:v>
                </c:pt>
                <c:pt idx="21">
                  <c:v>-0.23610421444121066</c:v>
                </c:pt>
                <c:pt idx="22">
                  <c:v>-0.24136608025007034</c:v>
                </c:pt>
                <c:pt idx="23">
                  <c:v>-4.0347851870730089E-2</c:v>
                </c:pt>
                <c:pt idx="24">
                  <c:v>4.6803970601200007E-2</c:v>
                </c:pt>
                <c:pt idx="25">
                  <c:v>0.17036329530428995</c:v>
                </c:pt>
                <c:pt idx="26">
                  <c:v>8.0488462091849566E-2</c:v>
                </c:pt>
                <c:pt idx="27">
                  <c:v>4.19790808079199E-2</c:v>
                </c:pt>
                <c:pt idx="28">
                  <c:v>5.1648497606139987E-2</c:v>
                </c:pt>
                <c:pt idx="29">
                  <c:v>0.1914130967336698</c:v>
                </c:pt>
                <c:pt idx="30">
                  <c:v>0.18526150335826985</c:v>
                </c:pt>
                <c:pt idx="31">
                  <c:v>0.19127739495453033</c:v>
                </c:pt>
                <c:pt idx="32">
                  <c:v>9.4714724306220077E-2</c:v>
                </c:pt>
                <c:pt idx="33">
                  <c:v>6.8707998044069907E-2</c:v>
                </c:pt>
                <c:pt idx="34">
                  <c:v>0.16833454924365965</c:v>
                </c:pt>
                <c:pt idx="35">
                  <c:v>0.13980635893975979</c:v>
                </c:pt>
                <c:pt idx="36">
                  <c:v>0.2329102994726</c:v>
                </c:pt>
                <c:pt idx="37">
                  <c:v>6.0480524329599383E-2</c:v>
                </c:pt>
                <c:pt idx="38">
                  <c:v>0.11869905964245042</c:v>
                </c:pt>
                <c:pt idx="39">
                  <c:v>0.1152046818408099</c:v>
                </c:pt>
                <c:pt idx="40">
                  <c:v>0.14626601526519956</c:v>
                </c:pt>
                <c:pt idx="41">
                  <c:v>0.10751702575528999</c:v>
                </c:pt>
                <c:pt idx="42">
                  <c:v>0.10568711464786951</c:v>
                </c:pt>
                <c:pt idx="43">
                  <c:v>0.16872201974164014</c:v>
                </c:pt>
                <c:pt idx="44">
                  <c:v>0.20673295337051023</c:v>
                </c:pt>
                <c:pt idx="45">
                  <c:v>0.23125889021210977</c:v>
                </c:pt>
                <c:pt idx="46">
                  <c:v>0.17084016552007064</c:v>
                </c:pt>
                <c:pt idx="47">
                  <c:v>0.10787712327431009</c:v>
                </c:pt>
                <c:pt idx="48">
                  <c:v>0.15309297475254002</c:v>
                </c:pt>
                <c:pt idx="49">
                  <c:v>8.7378454897409696E-2</c:v>
                </c:pt>
                <c:pt idx="50">
                  <c:v>6.6164710128219895E-2</c:v>
                </c:pt>
                <c:pt idx="51">
                  <c:v>-4.1032895729919971E-2</c:v>
                </c:pt>
                <c:pt idx="52">
                  <c:v>-5.5316082001279909E-2</c:v>
                </c:pt>
                <c:pt idx="53">
                  <c:v>5.0337439101397763E-3</c:v>
                </c:pt>
                <c:pt idx="54">
                  <c:v>8.0737527917170482E-2</c:v>
                </c:pt>
                <c:pt idx="55">
                  <c:v>0.15619839876261032</c:v>
                </c:pt>
                <c:pt idx="56">
                  <c:v>0.15884311355057967</c:v>
                </c:pt>
                <c:pt idx="57">
                  <c:v>0.15453439020530002</c:v>
                </c:pt>
                <c:pt idx="58">
                  <c:v>0.18150708838981977</c:v>
                </c:pt>
                <c:pt idx="59">
                  <c:v>0.10556727269699984</c:v>
                </c:pt>
                <c:pt idx="60">
                  <c:v>5.0692174162910497E-2</c:v>
                </c:pt>
                <c:pt idx="61">
                  <c:v>6.1820913167359492E-2</c:v>
                </c:pt>
                <c:pt idx="62">
                  <c:v>-5.3701645014303523E-3</c:v>
                </c:pt>
                <c:pt idx="63">
                  <c:v>1.7823389287470626E-2</c:v>
                </c:pt>
                <c:pt idx="64">
                  <c:v>2.9415391905099675E-2</c:v>
                </c:pt>
                <c:pt idx="65">
                  <c:v>7.5393150610230109E-2</c:v>
                </c:pt>
                <c:pt idx="66">
                  <c:v>3.1997519704460409E-2</c:v>
                </c:pt>
                <c:pt idx="67">
                  <c:v>6.161082585359523E-3</c:v>
                </c:pt>
                <c:pt idx="68">
                  <c:v>-0.19256988828070032</c:v>
                </c:pt>
                <c:pt idx="69">
                  <c:v>-0.31748207835487996</c:v>
                </c:pt>
                <c:pt idx="70">
                  <c:v>-0.16510508634748078</c:v>
                </c:pt>
                <c:pt idx="71">
                  <c:v>-8.4718528799440307E-2</c:v>
                </c:pt>
                <c:pt idx="72">
                  <c:v>-0.19965581800728049</c:v>
                </c:pt>
                <c:pt idx="73">
                  <c:v>-0.42878594743209053</c:v>
                </c:pt>
                <c:pt idx="74">
                  <c:v>-4.8219975973539775E-2</c:v>
                </c:pt>
                <c:pt idx="75">
                  <c:v>-1.3600046232369323E-2</c:v>
                </c:pt>
                <c:pt idx="76">
                  <c:v>3.1741076738900809E-2</c:v>
                </c:pt>
                <c:pt idx="77">
                  <c:v>-0.25055950062334009</c:v>
                </c:pt>
                <c:pt idx="78">
                  <c:v>9.1461952044450179E-2</c:v>
                </c:pt>
                <c:pt idx="79">
                  <c:v>6.647264153875998E-2</c:v>
                </c:pt>
                <c:pt idx="80">
                  <c:v>-4.7450550902559563E-2</c:v>
                </c:pt>
                <c:pt idx="81">
                  <c:v>-3.5798233082010356E-2</c:v>
                </c:pt>
                <c:pt idx="82">
                  <c:v>-6.4850476629509934E-2</c:v>
                </c:pt>
                <c:pt idx="83">
                  <c:v>-1.0094282457529857E-2</c:v>
                </c:pt>
                <c:pt idx="84">
                  <c:v>-8.4101197886710111E-2</c:v>
                </c:pt>
                <c:pt idx="85">
                  <c:v>-3.2663427579719517E-2</c:v>
                </c:pt>
                <c:pt idx="86">
                  <c:v>5.3341993699699941E-2</c:v>
                </c:pt>
                <c:pt idx="87">
                  <c:v>1.7448007735709758E-2</c:v>
                </c:pt>
                <c:pt idx="88">
                  <c:v>-2.1097800514080056E-2</c:v>
                </c:pt>
                <c:pt idx="89">
                  <c:v>-5.7541866597300206E-2</c:v>
                </c:pt>
                <c:pt idx="90">
                  <c:v>-5.1655040918169526E-2</c:v>
                </c:pt>
                <c:pt idx="91">
                  <c:v>-8.2619661924701049E-3</c:v>
                </c:pt>
                <c:pt idx="92">
                  <c:v>-3.7535101706249741E-2</c:v>
                </c:pt>
                <c:pt idx="93">
                  <c:v>-5.2475315103579945E-2</c:v>
                </c:pt>
                <c:pt idx="94">
                  <c:v>-3.6679212089869573E-2</c:v>
                </c:pt>
                <c:pt idx="95">
                  <c:v>-2.4515523201799283E-2</c:v>
                </c:pt>
                <c:pt idx="96">
                  <c:v>1.8031593355159359E-2</c:v>
                </c:pt>
                <c:pt idx="97">
                  <c:v>-3.9767948228289995E-2</c:v>
                </c:pt>
                <c:pt idx="98">
                  <c:v>-0.14163714817164941</c:v>
                </c:pt>
                <c:pt idx="99">
                  <c:v>-1.5954740299640058E-2</c:v>
                </c:pt>
                <c:pt idx="100">
                  <c:v>1.7676665891060317E-2</c:v>
                </c:pt>
                <c:pt idx="101">
                  <c:v>-8.9738366549270587E-2</c:v>
                </c:pt>
                <c:pt idx="102">
                  <c:v>-3.9505792249450167E-2</c:v>
                </c:pt>
                <c:pt idx="103">
                  <c:v>-8.629178097949719E-3</c:v>
                </c:pt>
                <c:pt idx="104">
                  <c:v>2.6680009643929914E-2</c:v>
                </c:pt>
                <c:pt idx="105">
                  <c:v>9.8426317382119599E-2</c:v>
                </c:pt>
                <c:pt idx="106">
                  <c:v>0.10477701273689011</c:v>
                </c:pt>
                <c:pt idx="107">
                  <c:v>-1.3592108110000112E-2</c:v>
                </c:pt>
                <c:pt idx="108">
                  <c:v>-2.0793880326489322E-2</c:v>
                </c:pt>
                <c:pt idx="109">
                  <c:v>-7.9710599137469806E-2</c:v>
                </c:pt>
                <c:pt idx="110">
                  <c:v>-0.12473795222171002</c:v>
                </c:pt>
                <c:pt idx="111">
                  <c:v>-6.8109257620939445E-2</c:v>
                </c:pt>
                <c:pt idx="112">
                  <c:v>-7.1643563461530668E-2</c:v>
                </c:pt>
                <c:pt idx="113">
                  <c:v>-7.5507689176229853E-2</c:v>
                </c:pt>
                <c:pt idx="114">
                  <c:v>-5.5294440389450195E-2</c:v>
                </c:pt>
                <c:pt idx="115">
                  <c:v>-1.5903890654049846E-2</c:v>
                </c:pt>
                <c:pt idx="116">
                  <c:v>-7.8325817778369888E-2</c:v>
                </c:pt>
                <c:pt idx="117">
                  <c:v>-9.8491257699002688E-3</c:v>
                </c:pt>
                <c:pt idx="118">
                  <c:v>6.4146368515570096E-2</c:v>
                </c:pt>
                <c:pt idx="119">
                  <c:v>4.0208721354098031E-3</c:v>
                </c:pt>
                <c:pt idx="120">
                  <c:v>3.4728229817179823E-2</c:v>
                </c:pt>
                <c:pt idx="121">
                  <c:v>-7.3486496040239935E-2</c:v>
                </c:pt>
                <c:pt idx="122">
                  <c:v>1.0366151813189894E-2</c:v>
                </c:pt>
                <c:pt idx="123">
                  <c:v>5.2906672975501223E-3</c:v>
                </c:pt>
                <c:pt idx="124">
                  <c:v>-4.3548275033209904E-2</c:v>
                </c:pt>
                <c:pt idx="125">
                  <c:v>2.1012361356760323E-2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415232"/>
        <c:axId val="216686976"/>
      </c:barChart>
      <c:dateAx>
        <c:axId val="21641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216686976"/>
        <c:crosses val="autoZero"/>
        <c:auto val="1"/>
        <c:lblOffset val="100"/>
        <c:baseTimeUnit val="months"/>
        <c:majorUnit val="6"/>
        <c:majorTimeUnit val="months"/>
      </c:dateAx>
      <c:valAx>
        <c:axId val="216686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6415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  <xdr:twoCellAnchor>
    <xdr:from>
      <xdr:col>2</xdr:col>
      <xdr:colOff>438150</xdr:colOff>
      <xdr:row>36</xdr:row>
      <xdr:rowOff>161924</xdr:rowOff>
    </xdr:from>
    <xdr:to>
      <xdr:col>8</xdr:col>
      <xdr:colOff>952500</xdr:colOff>
      <xdr:row>38</xdr:row>
      <xdr:rowOff>47625</xdr:rowOff>
    </xdr:to>
    <xdr:sp macro="" textlink="">
      <xdr:nvSpPr>
        <xdr:cNvPr id="9" name="TextBox 8"/>
        <xdr:cNvSpPr txBox="1"/>
      </xdr:nvSpPr>
      <xdr:spPr>
        <a:xfrm>
          <a:off x="1657350" y="5991224"/>
          <a:ext cx="6800850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Note: </a:t>
          </a:r>
          <a:r>
            <a:rPr lang="en-US" sz="900"/>
            <a:t>Exclude Bank Lenders: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Wells Fargo, Bank of America, Citi, Chase ,</a:t>
          </a:r>
          <a:r>
            <a:rPr lang="en-US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CWB, SunTrust, PNC, Wachovia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28</xdr:col>
      <xdr:colOff>38100</xdr:colOff>
      <xdr:row>23</xdr:row>
      <xdr:rowOff>119063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600075</xdr:colOff>
      <xdr:row>26</xdr:row>
      <xdr:rowOff>4762</xdr:rowOff>
    </xdr:from>
    <xdr:to>
      <xdr:col>26</xdr:col>
      <xdr:colOff>485775</xdr:colOff>
      <xdr:row>40</xdr:row>
      <xdr:rowOff>80962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328611</xdr:colOff>
      <xdr:row>19</xdr:row>
      <xdr:rowOff>100012</xdr:rowOff>
    </xdr:from>
    <xdr:to>
      <xdr:col>27</xdr:col>
      <xdr:colOff>409574</xdr:colOff>
      <xdr:row>33</xdr:row>
      <xdr:rowOff>176212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404811</xdr:colOff>
      <xdr:row>38</xdr:row>
      <xdr:rowOff>185737</xdr:rowOff>
    </xdr:from>
    <xdr:to>
      <xdr:col>27</xdr:col>
      <xdr:colOff>523874</xdr:colOff>
      <xdr:row>53</xdr:row>
      <xdr:rowOff>71437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161925</xdr:rowOff>
    </xdr:from>
    <xdr:to>
      <xdr:col>30</xdr:col>
      <xdr:colOff>352425</xdr:colOff>
      <xdr:row>18</xdr:row>
      <xdr:rowOff>171450</xdr:rowOff>
    </xdr:to>
    <xdr:sp macro="" textlink="">
      <xdr:nvSpPr>
        <xdr:cNvPr id="2" name="TextBox 1"/>
        <xdr:cNvSpPr txBox="1"/>
      </xdr:nvSpPr>
      <xdr:spPr>
        <a:xfrm>
          <a:off x="11982450" y="161925"/>
          <a:ext cx="9201150" cy="3438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 poolIssueDate,  </a:t>
          </a:r>
        </a:p>
        <a:p>
          <a:r>
            <a:rPr lang="en-US" sz="1100"/>
            <a:t>       sum(origNoteRate * originalLoanAmount)/sum(originalLoanAmount) WANoteRate</a:t>
          </a:r>
        </a:p>
        <a:p>
          <a:r>
            <a:rPr lang="en-US" sz="1100"/>
            <a:t>from fnm.cello_loan </a:t>
          </a:r>
        </a:p>
        <a:p>
          <a:r>
            <a:rPr lang="en-US" sz="1100"/>
            <a:t>where originalServicerName not in ('N/A' ,'REMAINING','WELLS FARGO','CITI','CHASE','BANK OF AMERICA','CWB','SUNTRUST','PNC','WACHOVIA','QUICKEN','GREEN TREE SERVICING, LLC','FLAGSTAR','PINGORA LOAN SERVICING, INC.','FRANKLIN AMERICAN MORTGAGE COMPANY','FREEDOM','NATIONSTAR','GUILD','HOMESTREET BANK','ROUNDPOINT MORTGAGE SERVICING CORPORATIO')</a:t>
          </a:r>
        </a:p>
        <a:p>
          <a:r>
            <a:rPr lang="en-US" sz="1100"/>
            <a:t>and marketTicker in ('FNCL')</a:t>
          </a:r>
        </a:p>
        <a:p>
          <a:r>
            <a:rPr lang="en-US" sz="1100"/>
            <a:t>and origNoteRate &gt; 0</a:t>
          </a:r>
        </a:p>
        <a:p>
          <a:r>
            <a:rPr lang="en-US" sz="1100"/>
            <a:t>and originalLoanAmount &gt; 0</a:t>
          </a:r>
        </a:p>
        <a:p>
          <a:r>
            <a:rPr lang="en-US" sz="1100"/>
            <a:t>and cs &gt;= 720</a:t>
          </a:r>
        </a:p>
        <a:p>
          <a:r>
            <a:rPr lang="en-US" sz="1100"/>
            <a:t>and cs &lt;= 740</a:t>
          </a:r>
        </a:p>
        <a:p>
          <a:r>
            <a:rPr lang="en-US" sz="1100"/>
            <a:t>and origLTV &gt;= 70</a:t>
          </a:r>
        </a:p>
        <a:p>
          <a:r>
            <a:rPr lang="en-US" sz="1100"/>
            <a:t>and origLTV &lt;= 80</a:t>
          </a:r>
        </a:p>
        <a:p>
          <a:r>
            <a:rPr lang="en-US" sz="1100"/>
            <a:t>and loanPurposeType = 'RE-FI'</a:t>
          </a:r>
        </a:p>
        <a:p>
          <a:r>
            <a:rPr lang="en-US" sz="1100"/>
            <a:t>and occType = 'OWNER'</a:t>
          </a:r>
        </a:p>
        <a:p>
          <a:r>
            <a:rPr lang="en-US" sz="1100"/>
            <a:t>and propertyType = 'SF'</a:t>
          </a:r>
        </a:p>
        <a:p>
          <a:r>
            <a:rPr lang="en-US" sz="1100"/>
            <a:t>and poolIssueDate &gt;= '20050101'</a:t>
          </a:r>
        </a:p>
        <a:p>
          <a:r>
            <a:rPr lang="en-US" sz="1100"/>
            <a:t>group by poolIssueDate</a:t>
          </a:r>
        </a:p>
        <a:p>
          <a:r>
            <a:rPr lang="en-US" sz="1100"/>
            <a:t>order by poolIssueDate desc</a:t>
          </a:r>
        </a:p>
      </xdr:txBody>
    </xdr:sp>
    <xdr:clientData/>
  </xdr:twoCellAnchor>
  <xdr:twoCellAnchor>
    <xdr:from>
      <xdr:col>15</xdr:col>
      <xdr:colOff>233361</xdr:colOff>
      <xdr:row>20</xdr:row>
      <xdr:rowOff>61912</xdr:rowOff>
    </xdr:from>
    <xdr:to>
      <xdr:col>30</xdr:col>
      <xdr:colOff>390524</xdr:colOff>
      <xdr:row>34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233361</xdr:colOff>
      <xdr:row>37</xdr:row>
      <xdr:rowOff>138112</xdr:rowOff>
    </xdr:from>
    <xdr:to>
      <xdr:col>30</xdr:col>
      <xdr:colOff>342900</xdr:colOff>
      <xdr:row>52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ien%20Workspace\12.Primary%20Market%20Package\1.Daily%20Originator%20Mortgage%20Rate\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69" unboundColumnsRight="5">
    <queryTableFields count="7">
      <queryTableField id="57" name="asOf" tableColumnId="2"/>
      <queryTableField id="62" name="Wac" tableColumnId="1"/>
      <queryTableField id="63" dataBound="0" tableColumnId="3"/>
      <queryTableField id="64" dataBound="0" tableColumnId="4"/>
      <queryTableField id="65" dataBound="0" tableColumnId="5"/>
      <queryTableField id="66" dataBound="0" tableColumnId="6"/>
      <queryTableField id="67" dataBound="0" tableColumnId="7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2" autoFormatId="16" applyNumberFormats="0" applyBorderFormats="0" applyFontFormats="0" applyPatternFormats="0" applyAlignmentFormats="0" applyWidthHeightFormats="0">
  <queryTableRefresh nextId="63">
    <queryTableFields count="2">
      <queryTableField id="57" name="asOf" tableColumnId="2"/>
      <queryTableField id="62" name="Wac" tableColumnId="1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2">
      <queryTableField id="57" name="asOf" tableColumnId="2"/>
      <queryTableField id="62" name="Wac" tableColumnId="1"/>
    </queryTableFields>
  </queryTableRefresh>
</queryTable>
</file>

<file path=xl/queryTables/queryTable4.xml><?xml version="1.0" encoding="utf-8"?>
<queryTable xmlns="http://schemas.openxmlformats.org/spreadsheetml/2006/main" name="temp_4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3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_2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_1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mp_2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mp_1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mp" connectionId="16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CurrentMtgRatesDataTable82" displayName="CurrentMtgRatesDataTable82" ref="B3:H123" tableType="queryTable" totalsRowShown="0" headerRowDxfId="16" dataDxfId="15">
  <tableColumns count="7">
    <tableColumn id="2" uniqueName="2" name="asOf" queryTableFieldId="57" dataDxfId="10"/>
    <tableColumn id="1" uniqueName="1" name="Wac" queryTableFieldId="62" dataDxfId="9"/>
    <tableColumn id="3" uniqueName="3" name="Big Non-Bank Lender" queryTableFieldId="63" dataDxfId="8">
      <calculatedColumnFormula>VLOOKUP(CurrentMtgRatesDataTable82[[#This Row],[asOf]],CurrentMtgRatesDataTable823[],2,0)</calculatedColumnFormula>
    </tableColumn>
    <tableColumn id="4" uniqueName="4" name="Small Lender" queryTableFieldId="64" dataDxfId="7">
      <calculatedColumnFormula>VLOOKUP(CurrentMtgRatesDataTable82[[#This Row],[asOf]],CurrentMtgRatesDataTable8234[],2,0)</calculatedColumnFormula>
    </tableColumn>
    <tableColumn id="5" uniqueName="5" name="1-2" queryTableFieldId="65" dataDxfId="6">
      <calculatedColumnFormula>CurrentMtgRatesDataTable82[[#This Row],[Wac]]-CurrentMtgRatesDataTable82[[#This Row],[Big Non-Bank Lender]]</calculatedColumnFormula>
    </tableColumn>
    <tableColumn id="6" uniqueName="6" name="1-3" queryTableFieldId="66" dataDxfId="5">
      <calculatedColumnFormula>CurrentMtgRatesDataTable82[[#This Row],[Wac]]-CurrentMtgRatesDataTable82[[#This Row],[Small Lender]]</calculatedColumnFormula>
    </tableColumn>
    <tableColumn id="7" uniqueName="7" name="2-3" queryTableFieldId="67" dataDxfId="4">
      <calculatedColumnFormula>CurrentMtgRatesDataTable82[[#This Row],[Big Non-Bank Lender]]-CurrentMtgRatesDataTable82[[#This Row],[Small Lender]]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3" displayName="CurrentMtgRatesDataTable823" ref="K3:L113" tableType="queryTable" totalsRowShown="0" headerRowDxfId="14" dataDxfId="13">
  <tableColumns count="2">
    <tableColumn id="2" uniqueName="2" name="asOf" queryTableFieldId="57" dataDxfId="3"/>
    <tableColumn id="1" uniqueName="1" name="Wac" queryTableFieldId="62" dataDxfId="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34" displayName="CurrentMtgRatesDataTable8234" ref="N3:O123" tableType="queryTable" totalsRowShown="0" headerRowDxfId="12" dataDxfId="11">
  <tableColumns count="2">
    <tableColumn id="2" uniqueName="2" name="asOf" queryTableFieldId="57" dataDxfId="1"/>
    <tableColumn id="1" uniqueName="1" name="Wac" queryTableFieldId="62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drawing" Target="../drawings/drawing4.xml"/><Relationship Id="rId4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B45" sqref="B45"/>
    </sheetView>
  </sheetViews>
  <sheetFormatPr defaultRowHeight="12.75"/>
  <cols>
    <col min="1" max="1" width="9.140625" style="8" customWidth="1"/>
    <col min="2" max="2" width="9.140625" style="8"/>
    <col min="3" max="11" width="15.7109375" style="8" customWidth="1"/>
    <col min="12" max="14" width="10.28515625" style="8" customWidth="1"/>
    <col min="15" max="15" width="13.140625" style="8" customWidth="1"/>
    <col min="16" max="16" width="15.85546875" style="8" bestFit="1" customWidth="1"/>
    <col min="17" max="17" width="7.5703125" style="8" customWidth="1"/>
    <col min="18" max="18" width="10.28515625" style="8" customWidth="1"/>
    <col min="19" max="19" width="9.140625" style="8"/>
    <col min="20" max="20" width="14.140625" style="8" customWidth="1"/>
    <col min="21" max="21" width="40.85546875" style="8" bestFit="1" customWidth="1"/>
    <col min="22" max="22" width="14.85546875" style="8" bestFit="1" customWidth="1"/>
    <col min="23" max="16384" width="9.140625" style="8"/>
  </cols>
  <sheetData>
    <row r="1" spans="3:23">
      <c r="T1" s="3" t="s">
        <v>2</v>
      </c>
      <c r="U1" s="4" t="s">
        <v>3</v>
      </c>
      <c r="V1" s="8" t="s">
        <v>4</v>
      </c>
      <c r="W1" s="4" t="s">
        <v>5</v>
      </c>
    </row>
    <row r="2" spans="3:23">
      <c r="T2" s="3" t="s">
        <v>6</v>
      </c>
      <c r="U2" s="5">
        <v>42132</v>
      </c>
    </row>
    <row r="3" spans="3:23">
      <c r="T3" s="3" t="s">
        <v>27</v>
      </c>
      <c r="U3" s="27" t="s">
        <v>30</v>
      </c>
    </row>
    <row r="4" spans="3:23">
      <c r="T4" s="3" t="s">
        <v>7</v>
      </c>
      <c r="U4" s="4" t="str">
        <f>PDFReportDir&amp;"Market Concentration - NonBank Lenders " &amp; TEXT(CurrentCloseDate, "yyyy-mm-dd") &amp; ".pdf"</f>
        <v>S:\IT\Production\Daily Reports\Primary Market\tmp\Market Concentration - NonBank Lenders 2015-05-08.pdf</v>
      </c>
    </row>
    <row r="5" spans="3:23">
      <c r="T5" s="13"/>
    </row>
    <row r="6" spans="3:23">
      <c r="T6" s="13"/>
    </row>
    <row r="9" spans="3:23" s="14" customFormat="1">
      <c r="C9" s="8"/>
      <c r="D9" s="8"/>
      <c r="E9" s="8"/>
      <c r="F9" s="8"/>
      <c r="G9" s="8"/>
      <c r="H9" s="8"/>
      <c r="I9" s="8"/>
      <c r="J9" s="8"/>
      <c r="K9" s="8"/>
      <c r="L9" s="8"/>
      <c r="M9" s="8"/>
      <c r="Q9" s="8"/>
      <c r="R9" s="8"/>
      <c r="T9" s="14" t="s">
        <v>22</v>
      </c>
      <c r="U9" s="20">
        <f>IF(DAY(CurrentCloseDate)&lt;7,(CurrentCloseDate-DAY(CurrentCloseDate))-DAY((CurrentCloseDate-DAY(CurrentCloseDate)))+1,CurrentCloseDate-DAY(CurrentCloseDate)+1)</f>
        <v>42125</v>
      </c>
    </row>
    <row r="10" spans="3:23" s="15" customFormat="1"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Q10" s="8"/>
      <c r="R10" s="8"/>
      <c r="T10" s="15" t="s">
        <v>23</v>
      </c>
      <c r="U10" s="21">
        <f>(U9-1)-DAY((U9-1))+1</f>
        <v>42095</v>
      </c>
    </row>
    <row r="11" spans="3:23" s="15" customFormat="1"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Q11" s="8"/>
      <c r="R11" s="8"/>
    </row>
    <row r="12" spans="3:23" s="15" customFormat="1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Q12" s="8"/>
      <c r="R12" s="8"/>
      <c r="T12" s="15" t="s">
        <v>28</v>
      </c>
      <c r="U12" s="21">
        <v>37773</v>
      </c>
    </row>
    <row r="13" spans="3:23" s="15" customFormat="1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Q13" s="8"/>
      <c r="R13" s="8"/>
    </row>
    <row r="14" spans="3:23" s="15" customFormat="1"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Q14" s="8"/>
      <c r="R14" s="8"/>
    </row>
    <row r="15" spans="3:23" s="15" customFormat="1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Q15" s="8"/>
      <c r="R15" s="8"/>
    </row>
    <row r="16" spans="3:23" s="15" customFormat="1"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Q16" s="8"/>
      <c r="R16" s="8"/>
    </row>
    <row r="17" spans="3:18" s="15" customFormat="1"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Q17" s="8"/>
      <c r="R17" s="8"/>
    </row>
    <row r="18" spans="3:18" s="15" customFormat="1"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Q18" s="8"/>
      <c r="R18" s="8"/>
    </row>
    <row r="19" spans="3:18" s="15" customFormat="1"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Q19" s="8"/>
      <c r="R19" s="8"/>
    </row>
    <row r="20" spans="3:18" s="15" customFormat="1"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Q20" s="8"/>
      <c r="R20" s="8"/>
    </row>
    <row r="21" spans="3:18" s="15" customFormat="1"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Q21" s="8"/>
      <c r="R21" s="8"/>
    </row>
    <row r="39" spans="3:11" ht="15">
      <c r="H39" s="35" t="s">
        <v>31</v>
      </c>
      <c r="I39" s="36">
        <f>U2</f>
        <v>42132</v>
      </c>
    </row>
    <row r="40" spans="3:11">
      <c r="D40" s="9"/>
      <c r="E40" s="10" t="s">
        <v>16</v>
      </c>
      <c r="F40" s="11" t="s">
        <v>17</v>
      </c>
      <c r="G40" s="11" t="s">
        <v>18</v>
      </c>
      <c r="H40" s="11" t="s">
        <v>19</v>
      </c>
      <c r="I40" s="11" t="s">
        <v>20</v>
      </c>
    </row>
    <row r="41" spans="3:11">
      <c r="D41" s="12" t="s">
        <v>13</v>
      </c>
      <c r="E41" s="22" t="e">
        <f>#REF!</f>
        <v>#REF!</v>
      </c>
      <c r="F41" s="16" t="e">
        <f>#REF!-#REF!</f>
        <v>#REF!</v>
      </c>
      <c r="G41" s="16" t="e">
        <f>#REF!-#REF!</f>
        <v>#REF!</v>
      </c>
      <c r="H41" s="16" t="e">
        <f>#REF!-#REF!</f>
        <v>#REF!</v>
      </c>
      <c r="I41" s="16" t="e">
        <f>#REF!-#REF!</f>
        <v>#REF!</v>
      </c>
    </row>
    <row r="42" spans="3:11">
      <c r="D42" s="12" t="s">
        <v>14</v>
      </c>
      <c r="E42" s="22" t="e">
        <f>#REF!</f>
        <v>#REF!</v>
      </c>
      <c r="F42" s="16" t="e">
        <f>#REF!-#REF!</f>
        <v>#REF!</v>
      </c>
      <c r="G42" s="16" t="e">
        <f>#REF!-#REF!</f>
        <v>#REF!</v>
      </c>
      <c r="H42" s="16" t="e">
        <f>#REF!-#REF!</f>
        <v>#REF!</v>
      </c>
      <c r="I42" s="16" t="e">
        <f>#REF!-#REF!</f>
        <v>#REF!</v>
      </c>
    </row>
    <row r="43" spans="3:11">
      <c r="D43" s="12" t="s">
        <v>15</v>
      </c>
      <c r="E43" s="22" t="e">
        <f>#REF!</f>
        <v>#REF!</v>
      </c>
      <c r="F43" s="16" t="e">
        <f>#REF!-#REF!</f>
        <v>#REF!</v>
      </c>
      <c r="G43" s="16" t="e">
        <f>#REF!-#REF!</f>
        <v>#REF!</v>
      </c>
      <c r="H43" s="16" t="e">
        <f>#REF!-#REF!</f>
        <v>#REF!</v>
      </c>
      <c r="I43" s="16" t="e">
        <f>#REF!-#REF!</f>
        <v>#REF!</v>
      </c>
      <c r="J43" s="25"/>
    </row>
    <row r="44" spans="3:11">
      <c r="D44" s="23"/>
      <c r="E44" s="24"/>
      <c r="F44" s="24"/>
      <c r="G44" s="25"/>
      <c r="H44" s="25"/>
      <c r="I44" s="25"/>
      <c r="J44" s="25"/>
    </row>
    <row r="47" spans="3:11" ht="15">
      <c r="C47" s="6" t="s">
        <v>25</v>
      </c>
      <c r="E47" s="35" t="s">
        <v>31</v>
      </c>
      <c r="F47" s="36">
        <f>U9</f>
        <v>42125</v>
      </c>
      <c r="H47" s="6" t="s">
        <v>26</v>
      </c>
      <c r="J47" s="35" t="s">
        <v>31</v>
      </c>
      <c r="K47" s="36">
        <f>U10</f>
        <v>42095</v>
      </c>
    </row>
    <row r="48" spans="3:11">
      <c r="C48" s="28" t="s">
        <v>1</v>
      </c>
      <c r="D48" s="29" t="s">
        <v>24</v>
      </c>
      <c r="E48" s="29" t="s">
        <v>21</v>
      </c>
      <c r="F48" s="30" t="s">
        <v>29</v>
      </c>
      <c r="H48" s="28" t="s">
        <v>1</v>
      </c>
      <c r="I48" s="29" t="s">
        <v>24</v>
      </c>
      <c r="J48" s="29" t="s">
        <v>21</v>
      </c>
      <c r="K48" s="30" t="s">
        <v>29</v>
      </c>
    </row>
    <row r="49" spans="3:11">
      <c r="C49" s="28">
        <v>1</v>
      </c>
      <c r="D49" s="31" t="e">
        <f t="array" ref="D49">VLOOKUP(C49&amp;$U$9,IF({1,0},#REF!&amp;CurrentMtgRatesDataTable82[asOf],#REF!),2,0)</f>
        <v>#N/A</v>
      </c>
      <c r="E49" s="32" t="e">
        <f t="array" ref="E49">VLOOKUP(C49&amp;$U$9,IF({1,0},#REF!&amp;CurrentMtgRatesDataTable82[asOf],#REF!),2,0)/VLOOKUP($U$9,#REF!,2,0)</f>
        <v>#N/A</v>
      </c>
      <c r="F49" s="33" t="e">
        <f t="array" ref="F49">VLOOKUP(C49&amp;$U$9,IF({1,0},#REF!&amp;CurrentMtgRatesDataTable82[asOf],#REF!),2,0)/1000000</f>
        <v>#N/A</v>
      </c>
      <c r="H49" s="28">
        <v>1</v>
      </c>
      <c r="I49" s="31" t="e">
        <f t="array" ref="I49">VLOOKUP(C49&amp;$U$10,IF({1,0},#REF!&amp;CurrentMtgRatesDataTable82[asOf],#REF!),2,0)</f>
        <v>#N/A</v>
      </c>
      <c r="J49" s="32" t="e">
        <f t="array" ref="J49">VLOOKUP(C49&amp;$U$10,IF({1,0},#REF!&amp;CurrentMtgRatesDataTable82[asOf],#REF!),2,0)/VLOOKUP($U$10,#REF!,2,0)</f>
        <v>#N/A</v>
      </c>
      <c r="K49" s="34" t="e">
        <f t="array" ref="K49">VLOOKUP(C49&amp;$U$10,IF({1,0},#REF!&amp;CurrentMtgRatesDataTable82[asOf],#REF!),2,0)/1000000</f>
        <v>#N/A</v>
      </c>
    </row>
    <row r="50" spans="3:11">
      <c r="C50" s="28">
        <v>2</v>
      </c>
      <c r="D50" s="31" t="e">
        <f t="array" ref="D50">VLOOKUP(C50&amp;$U$9,IF({1,0},#REF!&amp;CurrentMtgRatesDataTable82[asOf],#REF!),2,0)</f>
        <v>#N/A</v>
      </c>
      <c r="E50" s="32" t="e">
        <f t="array" ref="E50">VLOOKUP(C50&amp;$U$9,IF({1,0},#REF!&amp;CurrentMtgRatesDataTable82[asOf],#REF!),2,0)/VLOOKUP($U$9,#REF!,2,0)</f>
        <v>#N/A</v>
      </c>
      <c r="F50" s="33" t="e">
        <f t="array" ref="F50">VLOOKUP(C50&amp;$U$9,IF({1,0},#REF!&amp;CurrentMtgRatesDataTable82[asOf],#REF!),2,0)/1000000</f>
        <v>#N/A</v>
      </c>
      <c r="H50" s="28">
        <v>2</v>
      </c>
      <c r="I50" s="31" t="e">
        <f t="array" ref="I50">VLOOKUP(C50&amp;$U$10,IF({1,0},#REF!&amp;CurrentMtgRatesDataTable82[asOf],#REF!),2,0)</f>
        <v>#N/A</v>
      </c>
      <c r="J50" s="32" t="e">
        <f t="array" ref="J50">VLOOKUP(C50&amp;$U$10,IF({1,0},#REF!&amp;CurrentMtgRatesDataTable82[asOf],#REF!),2,0)/VLOOKUP($U$10,#REF!,2,0)</f>
        <v>#N/A</v>
      </c>
      <c r="K50" s="34" t="e">
        <f t="array" ref="K50">VLOOKUP(C50&amp;$U$10,IF({1,0},#REF!&amp;CurrentMtgRatesDataTable82[asOf],#REF!),2,0)/1000000</f>
        <v>#N/A</v>
      </c>
    </row>
    <row r="51" spans="3:11">
      <c r="C51" s="28">
        <v>3</v>
      </c>
      <c r="D51" s="31" t="e">
        <f t="array" ref="D51">VLOOKUP(C51&amp;$U$9,IF({1,0},#REF!&amp;CurrentMtgRatesDataTable82[asOf],#REF!),2,0)</f>
        <v>#N/A</v>
      </c>
      <c r="E51" s="32" t="e">
        <f t="array" ref="E51">VLOOKUP(C51&amp;$U$9,IF({1,0},#REF!&amp;CurrentMtgRatesDataTable82[asOf],#REF!),2,0)/VLOOKUP($U$9,#REF!,2,0)</f>
        <v>#N/A</v>
      </c>
      <c r="F51" s="33" t="e">
        <f t="array" ref="F51">VLOOKUP(C51&amp;$U$9,IF({1,0},#REF!&amp;CurrentMtgRatesDataTable82[asOf],#REF!),2,0)/1000000</f>
        <v>#N/A</v>
      </c>
      <c r="H51" s="28">
        <v>3</v>
      </c>
      <c r="I51" s="31" t="e">
        <f t="array" ref="I51">VLOOKUP(C51&amp;$U$10,IF({1,0},#REF!&amp;CurrentMtgRatesDataTable82[asOf],#REF!),2,0)</f>
        <v>#N/A</v>
      </c>
      <c r="J51" s="32" t="e">
        <f t="array" ref="J51">VLOOKUP(C51&amp;$U$10,IF({1,0},#REF!&amp;CurrentMtgRatesDataTable82[asOf],#REF!),2,0)/VLOOKUP($U$10,#REF!,2,0)</f>
        <v>#N/A</v>
      </c>
      <c r="K51" s="34" t="e">
        <f t="array" ref="K51">VLOOKUP(C51&amp;$U$10,IF({1,0},#REF!&amp;CurrentMtgRatesDataTable82[asOf],#REF!),2,0)/1000000</f>
        <v>#N/A</v>
      </c>
    </row>
    <row r="52" spans="3:11">
      <c r="C52" s="28">
        <v>4</v>
      </c>
      <c r="D52" s="31" t="e">
        <f t="array" ref="D52">VLOOKUP(C52&amp;$U$9,IF({1,0},#REF!&amp;CurrentMtgRatesDataTable82[asOf],#REF!),2,0)</f>
        <v>#N/A</v>
      </c>
      <c r="E52" s="32" t="e">
        <f t="array" ref="E52">VLOOKUP(C52&amp;$U$9,IF({1,0},#REF!&amp;CurrentMtgRatesDataTable82[asOf],#REF!),2,0)/VLOOKUP($U$9,#REF!,2,0)</f>
        <v>#N/A</v>
      </c>
      <c r="F52" s="33" t="e">
        <f t="array" ref="F52">VLOOKUP(C52&amp;$U$9,IF({1,0},#REF!&amp;CurrentMtgRatesDataTable82[asOf],#REF!),2,0)/1000000</f>
        <v>#N/A</v>
      </c>
      <c r="H52" s="28">
        <v>4</v>
      </c>
      <c r="I52" s="31" t="e">
        <f t="array" ref="I52">VLOOKUP(C52&amp;$U$10,IF({1,0},#REF!&amp;CurrentMtgRatesDataTable82[asOf],#REF!),2,0)</f>
        <v>#N/A</v>
      </c>
      <c r="J52" s="32" t="e">
        <f t="array" ref="J52">VLOOKUP(C52&amp;$U$10,IF({1,0},#REF!&amp;CurrentMtgRatesDataTable82[asOf],#REF!),2,0)/VLOOKUP($U$10,#REF!,2,0)</f>
        <v>#N/A</v>
      </c>
      <c r="K52" s="34" t="e">
        <f t="array" ref="K52">VLOOKUP(C52&amp;$U$10,IF({1,0},#REF!&amp;CurrentMtgRatesDataTable82[asOf],#REF!),2,0)/1000000</f>
        <v>#N/A</v>
      </c>
    </row>
    <row r="53" spans="3:11">
      <c r="C53" s="28">
        <v>5</v>
      </c>
      <c r="D53" s="31" t="e">
        <f t="array" ref="D53">VLOOKUP(C53&amp;$U$9,IF({1,0},#REF!&amp;CurrentMtgRatesDataTable82[asOf],#REF!),2,0)</f>
        <v>#N/A</v>
      </c>
      <c r="E53" s="32" t="e">
        <f t="array" ref="E53">VLOOKUP(C53&amp;$U$9,IF({1,0},#REF!&amp;CurrentMtgRatesDataTable82[asOf],#REF!),2,0)/VLOOKUP($U$9,#REF!,2,0)</f>
        <v>#N/A</v>
      </c>
      <c r="F53" s="33" t="e">
        <f t="array" ref="F53">VLOOKUP(C53&amp;$U$9,IF({1,0},#REF!&amp;CurrentMtgRatesDataTable82[asOf],#REF!),2,0)/1000000</f>
        <v>#N/A</v>
      </c>
      <c r="H53" s="28">
        <v>5</v>
      </c>
      <c r="I53" s="31" t="e">
        <f t="array" ref="I53">VLOOKUP(C53&amp;$U$10,IF({1,0},#REF!&amp;CurrentMtgRatesDataTable82[asOf],#REF!),2,0)</f>
        <v>#N/A</v>
      </c>
      <c r="J53" s="32" t="e">
        <f t="array" ref="J53">VLOOKUP(C53&amp;$U$10,IF({1,0},#REF!&amp;CurrentMtgRatesDataTable82[asOf],#REF!),2,0)/VLOOKUP($U$10,#REF!,2,0)</f>
        <v>#N/A</v>
      </c>
      <c r="K53" s="34" t="e">
        <f t="array" ref="K53">VLOOKUP(C53&amp;$U$10,IF({1,0},#REF!&amp;CurrentMtgRatesDataTable82[asOf],#REF!),2,0)/1000000</f>
        <v>#N/A</v>
      </c>
    </row>
    <row r="54" spans="3:11">
      <c r="C54" s="28">
        <v>6</v>
      </c>
      <c r="D54" s="31" t="e">
        <f t="array" ref="D54">VLOOKUP(C54&amp;$U$9,IF({1,0},#REF!&amp;CurrentMtgRatesDataTable82[asOf],#REF!),2,0)</f>
        <v>#N/A</v>
      </c>
      <c r="E54" s="32" t="e">
        <f t="array" ref="E54">VLOOKUP(C54&amp;$U$9,IF({1,0},#REF!&amp;CurrentMtgRatesDataTable82[asOf],#REF!),2,0)/VLOOKUP($U$9,#REF!,2,0)</f>
        <v>#N/A</v>
      </c>
      <c r="F54" s="33" t="e">
        <f t="array" ref="F54">VLOOKUP(C54&amp;$U$9,IF({1,0},#REF!&amp;CurrentMtgRatesDataTable82[asOf],#REF!),2,0)/1000000</f>
        <v>#N/A</v>
      </c>
      <c r="H54" s="28">
        <v>6</v>
      </c>
      <c r="I54" s="31" t="e">
        <f t="array" ref="I54">VLOOKUP(C54&amp;$U$10,IF({1,0},#REF!&amp;CurrentMtgRatesDataTable82[asOf],#REF!),2,0)</f>
        <v>#N/A</v>
      </c>
      <c r="J54" s="32" t="e">
        <f t="array" ref="J54">VLOOKUP(C54&amp;$U$10,IF({1,0},#REF!&amp;CurrentMtgRatesDataTable82[asOf],#REF!),2,0)/VLOOKUP($U$10,#REF!,2,0)</f>
        <v>#N/A</v>
      </c>
      <c r="K54" s="34" t="e">
        <f t="array" ref="K54">VLOOKUP(C54&amp;$U$10,IF({1,0},#REF!&amp;CurrentMtgRatesDataTable82[asOf],#REF!),2,0)/1000000</f>
        <v>#N/A</v>
      </c>
    </row>
    <row r="55" spans="3:11">
      <c r="C55" s="28">
        <v>7</v>
      </c>
      <c r="D55" s="31" t="e">
        <f t="array" ref="D55">VLOOKUP(C55&amp;$U$9,IF({1,0},#REF!&amp;CurrentMtgRatesDataTable82[asOf],#REF!),2,0)</f>
        <v>#N/A</v>
      </c>
      <c r="E55" s="32" t="e">
        <f t="array" ref="E55">VLOOKUP(C55&amp;$U$9,IF({1,0},#REF!&amp;CurrentMtgRatesDataTable82[asOf],#REF!),2,0)/VLOOKUP($U$9,#REF!,2,0)</f>
        <v>#N/A</v>
      </c>
      <c r="F55" s="33" t="e">
        <f t="array" ref="F55">VLOOKUP(C55&amp;$U$9,IF({1,0},#REF!&amp;CurrentMtgRatesDataTable82[asOf],#REF!),2,0)/1000000</f>
        <v>#N/A</v>
      </c>
      <c r="H55" s="28">
        <v>7</v>
      </c>
      <c r="I55" s="31" t="e">
        <f t="array" ref="I55">VLOOKUP(C55&amp;$U$10,IF({1,0},#REF!&amp;CurrentMtgRatesDataTable82[asOf],#REF!),2,0)</f>
        <v>#N/A</v>
      </c>
      <c r="J55" s="32" t="e">
        <f t="array" ref="J55">VLOOKUP(C55&amp;$U$10,IF({1,0},#REF!&amp;CurrentMtgRatesDataTable82[asOf],#REF!),2,0)/VLOOKUP($U$10,#REF!,2,0)</f>
        <v>#N/A</v>
      </c>
      <c r="K55" s="34" t="e">
        <f t="array" ref="K55">VLOOKUP(C55&amp;$U$10,IF({1,0},#REF!&amp;CurrentMtgRatesDataTable82[asOf],#REF!),2,0)/1000000</f>
        <v>#N/A</v>
      </c>
    </row>
    <row r="56" spans="3:11">
      <c r="C56" s="28">
        <v>8</v>
      </c>
      <c r="D56" s="31" t="e">
        <f t="array" ref="D56">VLOOKUP(C56&amp;$U$9,IF({1,0},#REF!&amp;CurrentMtgRatesDataTable82[asOf],#REF!),2,0)</f>
        <v>#N/A</v>
      </c>
      <c r="E56" s="32" t="e">
        <f t="array" ref="E56">VLOOKUP(C56&amp;$U$9,IF({1,0},#REF!&amp;CurrentMtgRatesDataTable82[asOf],#REF!),2,0)/VLOOKUP($U$9,#REF!,2,0)</f>
        <v>#N/A</v>
      </c>
      <c r="F56" s="33" t="e">
        <f t="array" ref="F56">VLOOKUP(C56&amp;$U$9,IF({1,0},#REF!&amp;CurrentMtgRatesDataTable82[asOf],#REF!),2,0)/1000000</f>
        <v>#N/A</v>
      </c>
      <c r="H56" s="28">
        <v>8</v>
      </c>
      <c r="I56" s="31" t="e">
        <f t="array" ref="I56">VLOOKUP(C56&amp;$U$10,IF({1,0},#REF!&amp;CurrentMtgRatesDataTable82[asOf],#REF!),2,0)</f>
        <v>#N/A</v>
      </c>
      <c r="J56" s="32" t="e">
        <f t="array" ref="J56">VLOOKUP(C56&amp;$U$10,IF({1,0},#REF!&amp;CurrentMtgRatesDataTable82[asOf],#REF!),2,0)/VLOOKUP($U$10,#REF!,2,0)</f>
        <v>#N/A</v>
      </c>
      <c r="K56" s="34" t="e">
        <f t="array" ref="K56">VLOOKUP(C56&amp;$U$10,IF({1,0},#REF!&amp;CurrentMtgRatesDataTable82[asOf],#REF!),2,0)/1000000</f>
        <v>#N/A</v>
      </c>
    </row>
    <row r="57" spans="3:11">
      <c r="C57" s="28">
        <v>9</v>
      </c>
      <c r="D57" s="31" t="e">
        <f t="array" ref="D57">VLOOKUP(C57&amp;$U$9,IF({1,0},#REF!&amp;CurrentMtgRatesDataTable82[asOf],#REF!),2,0)</f>
        <v>#N/A</v>
      </c>
      <c r="E57" s="32" t="e">
        <f t="array" ref="E57">VLOOKUP(C57&amp;$U$9,IF({1,0},#REF!&amp;CurrentMtgRatesDataTable82[asOf],#REF!),2,0)/VLOOKUP($U$9,#REF!,2,0)</f>
        <v>#N/A</v>
      </c>
      <c r="F57" s="33" t="e">
        <f t="array" ref="F57">VLOOKUP(C57&amp;$U$9,IF({1,0},#REF!&amp;CurrentMtgRatesDataTable82[asOf],#REF!),2,0)/1000000</f>
        <v>#N/A</v>
      </c>
      <c r="H57" s="28">
        <v>9</v>
      </c>
      <c r="I57" s="31" t="e">
        <f t="array" ref="I57">VLOOKUP(C57&amp;$U$10,IF({1,0},#REF!&amp;CurrentMtgRatesDataTable82[asOf],#REF!),2,0)</f>
        <v>#N/A</v>
      </c>
      <c r="J57" s="32" t="e">
        <f t="array" ref="J57">VLOOKUP(C57&amp;$U$10,IF({1,0},#REF!&amp;CurrentMtgRatesDataTable82[asOf],#REF!),2,0)/VLOOKUP($U$10,#REF!,2,0)</f>
        <v>#N/A</v>
      </c>
      <c r="K57" s="34" t="e">
        <f t="array" ref="K57">VLOOKUP(C57&amp;$U$10,IF({1,0},#REF!&amp;CurrentMtgRatesDataTable82[asOf],#REF!),2,0)/1000000</f>
        <v>#N/A</v>
      </c>
    </row>
    <row r="58" spans="3:11">
      <c r="C58" s="28">
        <v>10</v>
      </c>
      <c r="D58" s="31" t="e">
        <f t="array" ref="D58">VLOOKUP(C58&amp;$U$9,IF({1,0},#REF!&amp;CurrentMtgRatesDataTable82[asOf],#REF!),2,0)</f>
        <v>#N/A</v>
      </c>
      <c r="E58" s="32" t="e">
        <f t="array" ref="E58">VLOOKUP(C58&amp;$U$9,IF({1,0},#REF!&amp;CurrentMtgRatesDataTable82[asOf],#REF!),2,0)/VLOOKUP($U$9,#REF!,2,0)</f>
        <v>#N/A</v>
      </c>
      <c r="F58" s="33" t="e">
        <f t="array" ref="F58">VLOOKUP(C58&amp;$U$9,IF({1,0},#REF!&amp;CurrentMtgRatesDataTable82[asOf],#REF!),2,0)/1000000</f>
        <v>#N/A</v>
      </c>
      <c r="H58" s="28">
        <v>10</v>
      </c>
      <c r="I58" s="31" t="e">
        <f t="array" ref="I58">VLOOKUP(C58&amp;$U$10,IF({1,0},#REF!&amp;CurrentMtgRatesDataTable82[asOf],#REF!),2,0)</f>
        <v>#N/A</v>
      </c>
      <c r="J58" s="32" t="e">
        <f t="array" ref="J58">VLOOKUP(C58&amp;$U$10,IF({1,0},#REF!&amp;CurrentMtgRatesDataTable82[asOf],#REF!),2,0)/VLOOKUP($U$10,#REF!,2,0)</f>
        <v>#N/A</v>
      </c>
      <c r="K58" s="34" t="e">
        <f t="array" ref="K58">VLOOKUP(C58&amp;$U$10,IF({1,0},#REF!&amp;CurrentMtgRatesDataTable82[asOf],#REF!),2,0)/1000000</f>
        <v>#N/A</v>
      </c>
    </row>
    <row r="84" spans="16:17">
      <c r="P84" s="17" t="s">
        <v>12</v>
      </c>
      <c r="Q84" s="18" t="s">
        <v>8</v>
      </c>
    </row>
    <row r="85" spans="16:17">
      <c r="Q85" s="18" t="s">
        <v>9</v>
      </c>
    </row>
    <row r="86" spans="16:17">
      <c r="Q86" s="18" t="s">
        <v>10</v>
      </c>
    </row>
    <row r="87" spans="16:17">
      <c r="Q87" s="19" t="s">
        <v>11</v>
      </c>
    </row>
  </sheetData>
  <dataValidations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Concentration: Non-Bank Lenders&amp;R&amp;"-,Bold"&amp;10&amp;K2E398A
As of 05/08/2015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R123"/>
  <sheetViews>
    <sheetView showGridLines="0" workbookViewId="0">
      <selection activeCell="F3" sqref="F3:H3"/>
    </sheetView>
  </sheetViews>
  <sheetFormatPr defaultRowHeight="15"/>
  <cols>
    <col min="13" max="13" width="12.28515625" customWidth="1"/>
  </cols>
  <sheetData>
    <row r="2" spans="2:15">
      <c r="B2" t="s">
        <v>33</v>
      </c>
      <c r="C2">
        <v>1</v>
      </c>
      <c r="D2">
        <v>2</v>
      </c>
      <c r="E2">
        <v>3</v>
      </c>
      <c r="K2" t="s">
        <v>34</v>
      </c>
      <c r="N2" t="s">
        <v>35</v>
      </c>
    </row>
    <row r="3" spans="2:15">
      <c r="B3" s="7" t="s">
        <v>0</v>
      </c>
      <c r="C3" s="7" t="s">
        <v>32</v>
      </c>
      <c r="D3" s="8" t="s">
        <v>36</v>
      </c>
      <c r="E3" s="8" t="s">
        <v>35</v>
      </c>
      <c r="F3" s="41" t="s">
        <v>37</v>
      </c>
      <c r="G3" s="42" t="s">
        <v>38</v>
      </c>
      <c r="H3" s="42" t="s">
        <v>39</v>
      </c>
      <c r="I3" s="42"/>
      <c r="K3" s="7" t="s">
        <v>0</v>
      </c>
      <c r="L3" s="7" t="s">
        <v>32</v>
      </c>
      <c r="N3" s="7" t="s">
        <v>0</v>
      </c>
      <c r="O3" s="7" t="s">
        <v>32</v>
      </c>
    </row>
    <row r="4" spans="2:15">
      <c r="B4" s="26">
        <v>42125</v>
      </c>
      <c r="C4" s="39">
        <v>3.9912955465587046</v>
      </c>
      <c r="D4" s="40">
        <f>VLOOKUP(CurrentMtgRatesDataTable82[[#This Row],[asOf]],CurrentMtgRatesDataTable823[],2,0)</f>
        <v>4.1031823745410039</v>
      </c>
      <c r="E4" s="40">
        <f>VLOOKUP(CurrentMtgRatesDataTable82[[#This Row],[asOf]],CurrentMtgRatesDataTable8234[],2,0)</f>
        <v>4.0292713077423556</v>
      </c>
      <c r="F4" s="40">
        <f>CurrentMtgRatesDataTable82[[#This Row],[Wac]]-CurrentMtgRatesDataTable82[[#This Row],[Big Non-Bank Lender]]</f>
        <v>-0.11188682798229932</v>
      </c>
      <c r="G4" s="40">
        <f>CurrentMtgRatesDataTable82[[#This Row],[Wac]]-CurrentMtgRatesDataTable82[[#This Row],[Small Lender]]</f>
        <v>-3.7975761183651091E-2</v>
      </c>
      <c r="H4" s="40">
        <f>CurrentMtgRatesDataTable82[[#This Row],[Big Non-Bank Lender]]-CurrentMtgRatesDataTable82[[#This Row],[Small Lender]]</f>
        <v>7.3911066798648228E-2</v>
      </c>
      <c r="I4" s="40"/>
      <c r="K4" s="26">
        <v>42125</v>
      </c>
      <c r="L4" s="39">
        <v>4.1031823745410039</v>
      </c>
      <c r="N4" s="26">
        <v>42125</v>
      </c>
      <c r="O4" s="39">
        <v>4.0292713077423556</v>
      </c>
    </row>
    <row r="5" spans="2:15">
      <c r="B5" s="26">
        <v>42095</v>
      </c>
      <c r="C5" s="39">
        <v>3.9979175704989154</v>
      </c>
      <c r="D5" s="40">
        <f>VLOOKUP(CurrentMtgRatesDataTable82[[#This Row],[asOf]],CurrentMtgRatesDataTable823[],2,0)</f>
        <v>4.1035747126436783</v>
      </c>
      <c r="E5" s="40">
        <f>VLOOKUP(CurrentMtgRatesDataTable82[[#This Row],[asOf]],CurrentMtgRatesDataTable8234[],2,0)</f>
        <v>4.0326439351593066</v>
      </c>
      <c r="F5" s="40">
        <f>CurrentMtgRatesDataTable82[[#This Row],[Wac]]-CurrentMtgRatesDataTable82[[#This Row],[Big Non-Bank Lender]]</f>
        <v>-0.10565714214476296</v>
      </c>
      <c r="G5" s="40">
        <f>CurrentMtgRatesDataTable82[[#This Row],[Wac]]-CurrentMtgRatesDataTable82[[#This Row],[Small Lender]]</f>
        <v>-3.4726364660391251E-2</v>
      </c>
      <c r="H5" s="40">
        <f>CurrentMtgRatesDataTable82[[#This Row],[Big Non-Bank Lender]]-CurrentMtgRatesDataTable82[[#This Row],[Small Lender]]</f>
        <v>7.093077748437171E-2</v>
      </c>
      <c r="I5" s="40"/>
      <c r="K5" s="26">
        <v>42095</v>
      </c>
      <c r="L5" s="39">
        <v>4.1035747126436783</v>
      </c>
      <c r="N5" s="26">
        <v>42095</v>
      </c>
      <c r="O5" s="39">
        <v>4.0326439351593066</v>
      </c>
    </row>
    <row r="6" spans="2:15">
      <c r="B6" s="26">
        <v>42064</v>
      </c>
      <c r="C6" s="39">
        <v>4.1609779951100245</v>
      </c>
      <c r="D6" s="40">
        <f>VLOOKUP(CurrentMtgRatesDataTable82[[#This Row],[asOf]],CurrentMtgRatesDataTable823[],2,0)</f>
        <v>4.0939948783610758</v>
      </c>
      <c r="E6" s="40">
        <f>VLOOKUP(CurrentMtgRatesDataTable82[[#This Row],[asOf]],CurrentMtgRatesDataTable8234[],2,0)</f>
        <v>4.0136091661362192</v>
      </c>
      <c r="F6" s="40">
        <f>CurrentMtgRatesDataTable82[[#This Row],[Wac]]-CurrentMtgRatesDataTable82[[#This Row],[Big Non-Bank Lender]]</f>
        <v>6.6983116748948746E-2</v>
      </c>
      <c r="G6" s="40">
        <f>CurrentMtgRatesDataTable82[[#This Row],[Wac]]-CurrentMtgRatesDataTable82[[#This Row],[Small Lender]]</f>
        <v>0.14736882897380532</v>
      </c>
      <c r="H6" s="40">
        <f>CurrentMtgRatesDataTable82[[#This Row],[Big Non-Bank Lender]]-CurrentMtgRatesDataTable82[[#This Row],[Small Lender]]</f>
        <v>8.0385712224856576E-2</v>
      </c>
      <c r="I6" s="40"/>
      <c r="K6" s="26">
        <v>42064</v>
      </c>
      <c r="L6" s="39">
        <v>4.0939948783610758</v>
      </c>
      <c r="N6" s="26">
        <v>42064</v>
      </c>
      <c r="O6" s="39">
        <v>4.0136091661362192</v>
      </c>
    </row>
    <row r="7" spans="2:15">
      <c r="B7" s="26">
        <v>42036</v>
      </c>
      <c r="C7" s="39">
        <v>4.24542600896861</v>
      </c>
      <c r="D7" s="40">
        <f>VLOOKUP(CurrentMtgRatesDataTable82[[#This Row],[asOf]],CurrentMtgRatesDataTable823[],2,0)</f>
        <v>4.2022985468956406</v>
      </c>
      <c r="E7" s="40">
        <f>VLOOKUP(CurrentMtgRatesDataTable82[[#This Row],[asOf]],CurrentMtgRatesDataTable8234[],2,0)</f>
        <v>4.2049160510409669</v>
      </c>
      <c r="F7" s="40">
        <f>CurrentMtgRatesDataTable82[[#This Row],[Wac]]-CurrentMtgRatesDataTable82[[#This Row],[Big Non-Bank Lender]]</f>
        <v>4.3127462072969358E-2</v>
      </c>
      <c r="G7" s="40">
        <f>CurrentMtgRatesDataTable82[[#This Row],[Wac]]-CurrentMtgRatesDataTable82[[#This Row],[Small Lender]]</f>
        <v>4.0509957927643114E-2</v>
      </c>
      <c r="H7" s="40">
        <f>CurrentMtgRatesDataTable82[[#This Row],[Big Non-Bank Lender]]-CurrentMtgRatesDataTable82[[#This Row],[Small Lender]]</f>
        <v>-2.6175041453262438E-3</v>
      </c>
      <c r="I7" s="40"/>
      <c r="K7" s="26">
        <v>42036</v>
      </c>
      <c r="L7" s="39">
        <v>4.2022985468956406</v>
      </c>
      <c r="N7" s="26">
        <v>42036</v>
      </c>
      <c r="O7" s="39">
        <v>4.2049160510409669</v>
      </c>
    </row>
    <row r="8" spans="2:15">
      <c r="B8" s="26">
        <v>42005</v>
      </c>
      <c r="C8" s="39">
        <v>4.2274654377880188</v>
      </c>
      <c r="D8" s="40">
        <f>VLOOKUP(CurrentMtgRatesDataTable82[[#This Row],[asOf]],CurrentMtgRatesDataTable823[],2,0)</f>
        <v>4.2962853107344632</v>
      </c>
      <c r="E8" s="40">
        <f>VLOOKUP(CurrentMtgRatesDataTable82[[#This Row],[asOf]],CurrentMtgRatesDataTable8234[],2,0)</f>
        <v>4.2893762311227839</v>
      </c>
      <c r="F8" s="40">
        <f>CurrentMtgRatesDataTable82[[#This Row],[Wac]]-CurrentMtgRatesDataTable82[[#This Row],[Big Non-Bank Lender]]</f>
        <v>-6.8819872946444427E-2</v>
      </c>
      <c r="G8" s="40">
        <f>CurrentMtgRatesDataTable82[[#This Row],[Wac]]-CurrentMtgRatesDataTable82[[#This Row],[Small Lender]]</f>
        <v>-6.1910793334765124E-2</v>
      </c>
      <c r="H8" s="40">
        <f>CurrentMtgRatesDataTable82[[#This Row],[Big Non-Bank Lender]]-CurrentMtgRatesDataTable82[[#This Row],[Small Lender]]</f>
        <v>6.909079611679303E-3</v>
      </c>
      <c r="I8" s="40"/>
      <c r="K8" s="26">
        <v>42005</v>
      </c>
      <c r="L8" s="39">
        <v>4.2962853107344632</v>
      </c>
      <c r="N8" s="26">
        <v>42005</v>
      </c>
      <c r="O8" s="39">
        <v>4.2893762311227839</v>
      </c>
    </row>
    <row r="9" spans="2:15">
      <c r="B9" s="26">
        <v>41974</v>
      </c>
      <c r="C9" s="39">
        <v>4.1999220272904481</v>
      </c>
      <c r="D9" s="40">
        <f>VLOOKUP(CurrentMtgRatesDataTable82[[#This Row],[asOf]],CurrentMtgRatesDataTable823[],2,0)</f>
        <v>4.3708053691275168</v>
      </c>
      <c r="E9" s="40">
        <f>VLOOKUP(CurrentMtgRatesDataTable82[[#This Row],[asOf]],CurrentMtgRatesDataTable8234[],2,0)</f>
        <v>4.2744139004149382</v>
      </c>
      <c r="F9" s="40">
        <f>CurrentMtgRatesDataTable82[[#This Row],[Wac]]-CurrentMtgRatesDataTable82[[#This Row],[Big Non-Bank Lender]]</f>
        <v>-0.17088334183706877</v>
      </c>
      <c r="G9" s="40">
        <f>CurrentMtgRatesDataTable82[[#This Row],[Wac]]-CurrentMtgRatesDataTable82[[#This Row],[Small Lender]]</f>
        <v>-7.4491873124490127E-2</v>
      </c>
      <c r="H9" s="40">
        <f>CurrentMtgRatesDataTable82[[#This Row],[Big Non-Bank Lender]]-CurrentMtgRatesDataTable82[[#This Row],[Small Lender]]</f>
        <v>9.6391468712578643E-2</v>
      </c>
      <c r="I9" s="40"/>
      <c r="K9" s="26">
        <v>41974</v>
      </c>
      <c r="L9" s="39">
        <v>4.3708053691275168</v>
      </c>
      <c r="N9" s="26">
        <v>41974</v>
      </c>
      <c r="O9" s="39">
        <v>4.2744139004149382</v>
      </c>
    </row>
    <row r="10" spans="2:15">
      <c r="B10" s="26">
        <v>41944</v>
      </c>
      <c r="C10" s="39">
        <v>4.2928996282527878</v>
      </c>
      <c r="D10" s="40">
        <f>VLOOKUP(CurrentMtgRatesDataTable82[[#This Row],[asOf]],CurrentMtgRatesDataTable823[],2,0)</f>
        <v>4.4032330827067669</v>
      </c>
      <c r="E10" s="40">
        <f>VLOOKUP(CurrentMtgRatesDataTable82[[#This Row],[asOf]],CurrentMtgRatesDataTable8234[],2,0)</f>
        <v>4.4161538461538461</v>
      </c>
      <c r="F10" s="40">
        <f>CurrentMtgRatesDataTable82[[#This Row],[Wac]]-CurrentMtgRatesDataTable82[[#This Row],[Big Non-Bank Lender]]</f>
        <v>-0.11033345445397913</v>
      </c>
      <c r="G10" s="40">
        <f>CurrentMtgRatesDataTable82[[#This Row],[Wac]]-CurrentMtgRatesDataTable82[[#This Row],[Small Lender]]</f>
        <v>-0.12325421790105828</v>
      </c>
      <c r="H10" s="40">
        <f>CurrentMtgRatesDataTable82[[#This Row],[Big Non-Bank Lender]]-CurrentMtgRatesDataTable82[[#This Row],[Small Lender]]</f>
        <v>-1.2920763447079153E-2</v>
      </c>
      <c r="I10" s="40"/>
      <c r="K10" s="26">
        <v>41944</v>
      </c>
      <c r="L10" s="39">
        <v>4.4032330827067669</v>
      </c>
      <c r="N10" s="26">
        <v>41944</v>
      </c>
      <c r="O10" s="39">
        <v>4.4161538461538461</v>
      </c>
    </row>
    <row r="11" spans="2:15">
      <c r="B11" s="26">
        <v>41913</v>
      </c>
      <c r="C11" s="39">
        <v>4.5364476021314388</v>
      </c>
      <c r="D11" s="40">
        <f>VLOOKUP(CurrentMtgRatesDataTable82[[#This Row],[asOf]],CurrentMtgRatesDataTable823[],2,0)</f>
        <v>4.6441150442477879</v>
      </c>
      <c r="E11" s="40">
        <f>VLOOKUP(CurrentMtgRatesDataTable82[[#This Row],[asOf]],CurrentMtgRatesDataTable8234[],2,0)</f>
        <v>4.6339791356184801</v>
      </c>
      <c r="F11" s="40">
        <f>CurrentMtgRatesDataTable82[[#This Row],[Wac]]-CurrentMtgRatesDataTable82[[#This Row],[Big Non-Bank Lender]]</f>
        <v>-0.10766744211634904</v>
      </c>
      <c r="G11" s="40">
        <f>CurrentMtgRatesDataTable82[[#This Row],[Wac]]-CurrentMtgRatesDataTable82[[#This Row],[Small Lender]]</f>
        <v>-9.7531533487041244E-2</v>
      </c>
      <c r="H11" s="40">
        <f>CurrentMtgRatesDataTable82[[#This Row],[Big Non-Bank Lender]]-CurrentMtgRatesDataTable82[[#This Row],[Small Lender]]</f>
        <v>1.0135908629307799E-2</v>
      </c>
      <c r="I11" s="40"/>
      <c r="K11" s="26">
        <v>41913</v>
      </c>
      <c r="L11" s="39">
        <v>4.6441150442477879</v>
      </c>
      <c r="N11" s="26">
        <v>41913</v>
      </c>
      <c r="O11" s="39">
        <v>4.6339791356184801</v>
      </c>
    </row>
    <row r="12" spans="2:15">
      <c r="B12" s="26">
        <v>41883</v>
      </c>
      <c r="C12" s="39">
        <v>4.3340740740740742</v>
      </c>
      <c r="D12" s="40">
        <f>VLOOKUP(CurrentMtgRatesDataTable82[[#This Row],[asOf]],CurrentMtgRatesDataTable823[],2,0)</f>
        <v>4.3866253443526171</v>
      </c>
      <c r="E12" s="40">
        <f>VLOOKUP(CurrentMtgRatesDataTable82[[#This Row],[asOf]],CurrentMtgRatesDataTable8234[],2,0)</f>
        <v>4.3585949943117175</v>
      </c>
      <c r="F12" s="40">
        <f>CurrentMtgRatesDataTable82[[#This Row],[Wac]]-CurrentMtgRatesDataTable82[[#This Row],[Big Non-Bank Lender]]</f>
        <v>-5.2551270278542894E-2</v>
      </c>
      <c r="G12" s="40">
        <f>CurrentMtgRatesDataTable82[[#This Row],[Wac]]-CurrentMtgRatesDataTable82[[#This Row],[Small Lender]]</f>
        <v>-2.4520920237643296E-2</v>
      </c>
      <c r="H12" s="40">
        <f>CurrentMtgRatesDataTable82[[#This Row],[Big Non-Bank Lender]]-CurrentMtgRatesDataTable82[[#This Row],[Small Lender]]</f>
        <v>2.8030350040899599E-2</v>
      </c>
      <c r="I12" s="40"/>
      <c r="K12" s="26">
        <v>41883</v>
      </c>
      <c r="L12" s="39">
        <v>4.3866253443526171</v>
      </c>
      <c r="N12" s="26">
        <v>41883</v>
      </c>
      <c r="O12" s="39">
        <v>4.3585949943117175</v>
      </c>
    </row>
    <row r="13" spans="2:15">
      <c r="B13" s="26">
        <v>41852</v>
      </c>
      <c r="C13" s="39">
        <v>4.2793501048218028</v>
      </c>
      <c r="D13" s="40">
        <f>VLOOKUP(CurrentMtgRatesDataTable82[[#This Row],[asOf]],CurrentMtgRatesDataTable823[],2,0)</f>
        <v>4.4176777939042093</v>
      </c>
      <c r="E13" s="40">
        <f>VLOOKUP(CurrentMtgRatesDataTable82[[#This Row],[asOf]],CurrentMtgRatesDataTable8234[],2,0)</f>
        <v>4.3804644495412841</v>
      </c>
      <c r="F13" s="40">
        <f>CurrentMtgRatesDataTable82[[#This Row],[Wac]]-CurrentMtgRatesDataTable82[[#This Row],[Big Non-Bank Lender]]</f>
        <v>-0.13832768908240656</v>
      </c>
      <c r="G13" s="40">
        <f>CurrentMtgRatesDataTable82[[#This Row],[Wac]]-CurrentMtgRatesDataTable82[[#This Row],[Small Lender]]</f>
        <v>-0.10111434471948133</v>
      </c>
      <c r="H13" s="40">
        <f>CurrentMtgRatesDataTable82[[#This Row],[Big Non-Bank Lender]]-CurrentMtgRatesDataTable82[[#This Row],[Small Lender]]</f>
        <v>3.7213344362925227E-2</v>
      </c>
      <c r="I13" s="40"/>
      <c r="K13" s="26">
        <v>41852</v>
      </c>
      <c r="L13" s="39">
        <v>4.4176777939042093</v>
      </c>
      <c r="N13" s="26">
        <v>41852</v>
      </c>
      <c r="O13" s="39">
        <v>4.3804644495412841</v>
      </c>
    </row>
    <row r="14" spans="2:15">
      <c r="B14" s="26">
        <v>41821</v>
      </c>
      <c r="C14" s="39">
        <v>4.4661368653421629</v>
      </c>
      <c r="D14" s="40">
        <f>VLOOKUP(CurrentMtgRatesDataTable82[[#This Row],[asOf]],CurrentMtgRatesDataTable823[],2,0)</f>
        <v>4.5105019305019303</v>
      </c>
      <c r="E14" s="40">
        <f>VLOOKUP(CurrentMtgRatesDataTable82[[#This Row],[asOf]],CurrentMtgRatesDataTable8234[],2,0)</f>
        <v>4.4667106710671067</v>
      </c>
      <c r="F14" s="40">
        <f>CurrentMtgRatesDataTable82[[#This Row],[Wac]]-CurrentMtgRatesDataTable82[[#This Row],[Big Non-Bank Lender]]</f>
        <v>-4.4365065159767347E-2</v>
      </c>
      <c r="G14" s="40">
        <f>CurrentMtgRatesDataTable82[[#This Row],[Wac]]-CurrentMtgRatesDataTable82[[#This Row],[Small Lender]]</f>
        <v>-5.7380572494380999E-4</v>
      </c>
      <c r="H14" s="40">
        <f>CurrentMtgRatesDataTable82[[#This Row],[Big Non-Bank Lender]]-CurrentMtgRatesDataTable82[[#This Row],[Small Lender]]</f>
        <v>4.3791259434823537E-2</v>
      </c>
      <c r="I14" s="40"/>
      <c r="K14" s="26">
        <v>41821</v>
      </c>
      <c r="L14" s="39">
        <v>4.5105019305019303</v>
      </c>
      <c r="N14" s="26">
        <v>41821</v>
      </c>
      <c r="O14" s="39">
        <v>4.4667106710671067</v>
      </c>
    </row>
    <row r="15" spans="2:15">
      <c r="B15" s="26">
        <v>41791</v>
      </c>
      <c r="C15" s="39">
        <v>4.3982524271844659</v>
      </c>
      <c r="D15" s="40">
        <f>VLOOKUP(CurrentMtgRatesDataTable82[[#This Row],[asOf]],CurrentMtgRatesDataTable823[],2,0)</f>
        <v>4.5577452415812587</v>
      </c>
      <c r="E15" s="40">
        <f>VLOOKUP(CurrentMtgRatesDataTable82[[#This Row],[asOf]],CurrentMtgRatesDataTable8234[],2,0)</f>
        <v>4.5122021210230816</v>
      </c>
      <c r="F15" s="40">
        <f>CurrentMtgRatesDataTable82[[#This Row],[Wac]]-CurrentMtgRatesDataTable82[[#This Row],[Big Non-Bank Lender]]</f>
        <v>-0.15949281439679286</v>
      </c>
      <c r="G15" s="40">
        <f>CurrentMtgRatesDataTable82[[#This Row],[Wac]]-CurrentMtgRatesDataTable82[[#This Row],[Small Lender]]</f>
        <v>-0.11394969383861575</v>
      </c>
      <c r="H15" s="40">
        <f>CurrentMtgRatesDataTable82[[#This Row],[Big Non-Bank Lender]]-CurrentMtgRatesDataTable82[[#This Row],[Small Lender]]</f>
        <v>4.5543120558177108E-2</v>
      </c>
      <c r="I15" s="40"/>
      <c r="K15" s="26">
        <v>41791</v>
      </c>
      <c r="L15" s="39">
        <v>4.5577452415812587</v>
      </c>
      <c r="N15" s="26">
        <v>41791</v>
      </c>
      <c r="O15" s="39">
        <v>4.5122021210230816</v>
      </c>
    </row>
    <row r="16" spans="2:15">
      <c r="B16" s="26">
        <v>41760</v>
      </c>
      <c r="C16" s="39">
        <v>4.444987593052109</v>
      </c>
      <c r="D16" s="40">
        <f>VLOOKUP(CurrentMtgRatesDataTable82[[#This Row],[asOf]],CurrentMtgRatesDataTable823[],2,0)</f>
        <v>4.5295286195286195</v>
      </c>
      <c r="E16" s="40">
        <f>VLOOKUP(CurrentMtgRatesDataTable82[[#This Row],[asOf]],CurrentMtgRatesDataTable8234[],2,0)</f>
        <v>4.5604559650218617</v>
      </c>
      <c r="F16" s="40">
        <f>CurrentMtgRatesDataTable82[[#This Row],[Wac]]-CurrentMtgRatesDataTable82[[#This Row],[Big Non-Bank Lender]]</f>
        <v>-8.4541026476510517E-2</v>
      </c>
      <c r="G16" s="40">
        <f>CurrentMtgRatesDataTable82[[#This Row],[Wac]]-CurrentMtgRatesDataTable82[[#This Row],[Small Lender]]</f>
        <v>-0.11546837196975268</v>
      </c>
      <c r="H16" s="40">
        <f>CurrentMtgRatesDataTable82[[#This Row],[Big Non-Bank Lender]]-CurrentMtgRatesDataTable82[[#This Row],[Small Lender]]</f>
        <v>-3.0927345493242164E-2</v>
      </c>
      <c r="I16" s="40"/>
      <c r="K16" s="26">
        <v>41760</v>
      </c>
      <c r="L16" s="39">
        <v>4.5295286195286195</v>
      </c>
      <c r="N16" s="26">
        <v>41760</v>
      </c>
      <c r="O16" s="39">
        <v>4.5604559650218617</v>
      </c>
    </row>
    <row r="17" spans="2:18">
      <c r="B17" s="26">
        <v>41730</v>
      </c>
      <c r="C17" s="39">
        <v>4.5344392523364485</v>
      </c>
      <c r="D17" s="40">
        <f>VLOOKUP(CurrentMtgRatesDataTable82[[#This Row],[asOf]],CurrentMtgRatesDataTable823[],2,0)</f>
        <v>4.5175726495726494</v>
      </c>
      <c r="E17" s="40">
        <f>VLOOKUP(CurrentMtgRatesDataTable82[[#This Row],[asOf]],CurrentMtgRatesDataTable8234[],2,0)</f>
        <v>4.5419607843137255</v>
      </c>
      <c r="F17" s="40">
        <f>CurrentMtgRatesDataTable82[[#This Row],[Wac]]-CurrentMtgRatesDataTable82[[#This Row],[Big Non-Bank Lender]]</f>
        <v>1.6866602763799143E-2</v>
      </c>
      <c r="G17" s="40">
        <f>CurrentMtgRatesDataTable82[[#This Row],[Wac]]-CurrentMtgRatesDataTable82[[#This Row],[Small Lender]]</f>
        <v>-7.5215319772770073E-3</v>
      </c>
      <c r="H17" s="40">
        <f>CurrentMtgRatesDataTable82[[#This Row],[Big Non-Bank Lender]]-CurrentMtgRatesDataTable82[[#This Row],[Small Lender]]</f>
        <v>-2.4388134741076151E-2</v>
      </c>
      <c r="I17" s="40"/>
      <c r="K17" s="26">
        <v>41730</v>
      </c>
      <c r="L17" s="39">
        <v>4.5175726495726494</v>
      </c>
      <c r="N17" s="26">
        <v>41730</v>
      </c>
      <c r="O17" s="39">
        <v>4.5419607843137255</v>
      </c>
    </row>
    <row r="18" spans="2:18">
      <c r="B18" s="26">
        <v>41699</v>
      </c>
      <c r="C18" s="39">
        <v>4.5166512702078521</v>
      </c>
      <c r="D18" s="40">
        <f>VLOOKUP(CurrentMtgRatesDataTable82[[#This Row],[asOf]],CurrentMtgRatesDataTable823[],2,0)</f>
        <v>4.5882324840764328</v>
      </c>
      <c r="E18" s="40">
        <f>VLOOKUP(CurrentMtgRatesDataTable82[[#This Row],[asOf]],CurrentMtgRatesDataTable8234[],2,0)</f>
        <v>4.4715871979098631</v>
      </c>
      <c r="F18" s="40">
        <f>CurrentMtgRatesDataTable82[[#This Row],[Wac]]-CurrentMtgRatesDataTable82[[#This Row],[Big Non-Bank Lender]]</f>
        <v>-7.158121386858074E-2</v>
      </c>
      <c r="G18" s="40">
        <f>CurrentMtgRatesDataTable82[[#This Row],[Wac]]-CurrentMtgRatesDataTable82[[#This Row],[Small Lender]]</f>
        <v>4.5064072297988922E-2</v>
      </c>
      <c r="H18" s="40">
        <f>CurrentMtgRatesDataTable82[[#This Row],[Big Non-Bank Lender]]-CurrentMtgRatesDataTable82[[#This Row],[Small Lender]]</f>
        <v>0.11664528616656966</v>
      </c>
      <c r="I18" s="40"/>
      <c r="K18" s="26">
        <v>41699</v>
      </c>
      <c r="L18" s="39">
        <v>4.5882324840764328</v>
      </c>
      <c r="N18" s="26">
        <v>41699</v>
      </c>
      <c r="O18" s="39">
        <v>4.4715871979098631</v>
      </c>
    </row>
    <row r="19" spans="2:18">
      <c r="B19" s="26">
        <v>41671</v>
      </c>
      <c r="C19" s="39">
        <v>4.454457593688363</v>
      </c>
      <c r="D19" s="40">
        <f>VLOOKUP(CurrentMtgRatesDataTable82[[#This Row],[asOf]],CurrentMtgRatesDataTable823[],2,0)</f>
        <v>4.5510142630744852</v>
      </c>
      <c r="E19" s="40">
        <f>VLOOKUP(CurrentMtgRatesDataTable82[[#This Row],[asOf]],CurrentMtgRatesDataTable8234[],2,0)</f>
        <v>4.5283301946013808</v>
      </c>
      <c r="F19" s="40">
        <f>CurrentMtgRatesDataTable82[[#This Row],[Wac]]-CurrentMtgRatesDataTable82[[#This Row],[Big Non-Bank Lender]]</f>
        <v>-9.6556669386122174E-2</v>
      </c>
      <c r="G19" s="40">
        <f>CurrentMtgRatesDataTable82[[#This Row],[Wac]]-CurrentMtgRatesDataTable82[[#This Row],[Small Lender]]</f>
        <v>-7.3872600913017727E-2</v>
      </c>
      <c r="H19" s="40">
        <f>CurrentMtgRatesDataTable82[[#This Row],[Big Non-Bank Lender]]-CurrentMtgRatesDataTable82[[#This Row],[Small Lender]]</f>
        <v>2.2684068473104446E-2</v>
      </c>
      <c r="I19" s="40"/>
      <c r="K19" s="26">
        <v>41671</v>
      </c>
      <c r="L19" s="39">
        <v>4.5510142630744852</v>
      </c>
      <c r="N19" s="26">
        <v>41671</v>
      </c>
      <c r="O19" s="39">
        <v>4.5283301946013808</v>
      </c>
    </row>
    <row r="20" spans="2:18">
      <c r="B20" s="26">
        <v>41640</v>
      </c>
      <c r="C20" s="39">
        <v>4.5210021321961618</v>
      </c>
      <c r="D20" s="40">
        <f>VLOOKUP(CurrentMtgRatesDataTable82[[#This Row],[asOf]],CurrentMtgRatesDataTable823[],2,0)</f>
        <v>4.5085251798561155</v>
      </c>
      <c r="E20" s="40">
        <f>VLOOKUP(CurrentMtgRatesDataTable82[[#This Row],[asOf]],CurrentMtgRatesDataTable8234[],2,0)</f>
        <v>4.5644876543209874</v>
      </c>
      <c r="F20" s="40">
        <f>CurrentMtgRatesDataTable82[[#This Row],[Wac]]-CurrentMtgRatesDataTable82[[#This Row],[Big Non-Bank Lender]]</f>
        <v>1.247695234004631E-2</v>
      </c>
      <c r="G20" s="40">
        <f>CurrentMtgRatesDataTable82[[#This Row],[Wac]]-CurrentMtgRatesDataTable82[[#This Row],[Small Lender]]</f>
        <v>-4.3485522124825593E-2</v>
      </c>
      <c r="H20" s="40">
        <f>CurrentMtgRatesDataTable82[[#This Row],[Big Non-Bank Lender]]-CurrentMtgRatesDataTable82[[#This Row],[Small Lender]]</f>
        <v>-5.5962474464871903E-2</v>
      </c>
      <c r="I20" s="40"/>
      <c r="K20" s="26">
        <v>41640</v>
      </c>
      <c r="L20" s="39">
        <v>4.5085251798561155</v>
      </c>
      <c r="N20" s="26">
        <v>41640</v>
      </c>
      <c r="O20" s="39">
        <v>4.5644876543209874</v>
      </c>
    </row>
    <row r="21" spans="2:18">
      <c r="B21" s="26">
        <v>41609</v>
      </c>
      <c r="C21" s="39">
        <v>4.5146623794212219</v>
      </c>
      <c r="D21" s="40">
        <f>VLOOKUP(CurrentMtgRatesDataTable82[[#This Row],[asOf]],CurrentMtgRatesDataTable823[],2,0)</f>
        <v>4.4742771982116247</v>
      </c>
      <c r="E21" s="40">
        <f>VLOOKUP(CurrentMtgRatesDataTable82[[#This Row],[asOf]],CurrentMtgRatesDataTable8234[],2,0)</f>
        <v>4.478249063670412</v>
      </c>
      <c r="F21" s="40">
        <f>CurrentMtgRatesDataTable82[[#This Row],[Wac]]-CurrentMtgRatesDataTable82[[#This Row],[Big Non-Bank Lender]]</f>
        <v>4.0385181209597221E-2</v>
      </c>
      <c r="G21" s="40">
        <f>CurrentMtgRatesDataTable82[[#This Row],[Wac]]-CurrentMtgRatesDataTable82[[#This Row],[Small Lender]]</f>
        <v>3.6413315750809971E-2</v>
      </c>
      <c r="H21" s="40">
        <f>CurrentMtgRatesDataTable82[[#This Row],[Big Non-Bank Lender]]-CurrentMtgRatesDataTable82[[#This Row],[Small Lender]]</f>
        <v>-3.9718654587872493E-3</v>
      </c>
      <c r="I21" s="40"/>
      <c r="K21" s="26">
        <v>41609</v>
      </c>
      <c r="L21" s="39">
        <v>4.4742771982116247</v>
      </c>
      <c r="N21" s="26">
        <v>41609</v>
      </c>
      <c r="O21" s="39">
        <v>4.478249063670412</v>
      </c>
    </row>
    <row r="22" spans="2:18">
      <c r="B22" s="26">
        <v>41579</v>
      </c>
      <c r="C22" s="39">
        <v>4.4361654135338346</v>
      </c>
      <c r="D22" s="40">
        <f>VLOOKUP(CurrentMtgRatesDataTable82[[#This Row],[asOf]],CurrentMtgRatesDataTable823[],2,0)</f>
        <v>4.5233111480865222</v>
      </c>
      <c r="E22" s="40">
        <f>VLOOKUP(CurrentMtgRatesDataTable82[[#This Row],[asOf]],CurrentMtgRatesDataTable8234[],2,0)</f>
        <v>4.5137945492662475</v>
      </c>
      <c r="F22" s="40">
        <f>CurrentMtgRatesDataTable82[[#This Row],[Wac]]-CurrentMtgRatesDataTable82[[#This Row],[Big Non-Bank Lender]]</f>
        <v>-8.7145734552687593E-2</v>
      </c>
      <c r="G22" s="40">
        <f>CurrentMtgRatesDataTable82[[#This Row],[Wac]]-CurrentMtgRatesDataTable82[[#This Row],[Small Lender]]</f>
        <v>-7.7629135732412813E-2</v>
      </c>
      <c r="H22" s="40">
        <f>CurrentMtgRatesDataTable82[[#This Row],[Big Non-Bank Lender]]-CurrentMtgRatesDataTable82[[#This Row],[Small Lender]]</f>
        <v>9.5165988202747798E-3</v>
      </c>
      <c r="I22" s="40"/>
      <c r="K22" s="26">
        <v>41579</v>
      </c>
      <c r="L22" s="39">
        <v>4.5233111480865222</v>
      </c>
      <c r="N22" s="26">
        <v>41579</v>
      </c>
      <c r="O22" s="39">
        <v>4.5137945492662475</v>
      </c>
    </row>
    <row r="23" spans="2:18">
      <c r="B23" s="26">
        <v>41548</v>
      </c>
      <c r="C23" s="39">
        <v>4.3628930817610065</v>
      </c>
      <c r="D23" s="40">
        <f>VLOOKUP(CurrentMtgRatesDataTable82[[#This Row],[asOf]],CurrentMtgRatesDataTable823[],2,0)</f>
        <v>4.4468817204301079</v>
      </c>
      <c r="E23" s="40">
        <f>VLOOKUP(CurrentMtgRatesDataTable82[[#This Row],[asOf]],CurrentMtgRatesDataTable8234[],2,0)</f>
        <v>4.5148250000000001</v>
      </c>
      <c r="F23" s="40">
        <f>CurrentMtgRatesDataTable82[[#This Row],[Wac]]-CurrentMtgRatesDataTable82[[#This Row],[Big Non-Bank Lender]]</f>
        <v>-8.3988638669101334E-2</v>
      </c>
      <c r="G23" s="40">
        <f>CurrentMtgRatesDataTable82[[#This Row],[Wac]]-CurrentMtgRatesDataTable82[[#This Row],[Small Lender]]</f>
        <v>-0.15193191823899355</v>
      </c>
      <c r="H23" s="40">
        <f>CurrentMtgRatesDataTable82[[#This Row],[Big Non-Bank Lender]]-CurrentMtgRatesDataTable82[[#This Row],[Small Lender]]</f>
        <v>-6.7943279569892212E-2</v>
      </c>
      <c r="I23" s="40"/>
      <c r="K23" s="26">
        <v>41548</v>
      </c>
      <c r="L23" s="39">
        <v>4.4468817204301079</v>
      </c>
      <c r="N23" s="26">
        <v>41548</v>
      </c>
      <c r="O23" s="39">
        <v>4.5148250000000001</v>
      </c>
    </row>
    <row r="24" spans="2:18">
      <c r="B24" s="26">
        <v>41518</v>
      </c>
      <c r="C24" s="39">
        <v>4.219472972972973</v>
      </c>
      <c r="D24" s="40">
        <f>VLOOKUP(CurrentMtgRatesDataTable82[[#This Row],[asOf]],CurrentMtgRatesDataTable823[],2,0)</f>
        <v>4.3189413447782545</v>
      </c>
      <c r="E24" s="40">
        <f>VLOOKUP(CurrentMtgRatesDataTable82[[#This Row],[asOf]],CurrentMtgRatesDataTable8234[],2,0)</f>
        <v>4.3738364167478094</v>
      </c>
      <c r="F24" s="40">
        <f>CurrentMtgRatesDataTable82[[#This Row],[Wac]]-CurrentMtgRatesDataTable82[[#This Row],[Big Non-Bank Lender]]</f>
        <v>-9.9468371805281564E-2</v>
      </c>
      <c r="G24" s="40">
        <f>CurrentMtgRatesDataTable82[[#This Row],[Wac]]-CurrentMtgRatesDataTable82[[#This Row],[Small Lender]]</f>
        <v>-0.15436344377483646</v>
      </c>
      <c r="H24" s="40">
        <f>CurrentMtgRatesDataTable82[[#This Row],[Big Non-Bank Lender]]-CurrentMtgRatesDataTable82[[#This Row],[Small Lender]]</f>
        <v>-5.4895071969554898E-2</v>
      </c>
      <c r="I24" s="40"/>
      <c r="K24" s="26">
        <v>41518</v>
      </c>
      <c r="L24" s="39">
        <v>4.3189413447782545</v>
      </c>
      <c r="N24" s="26">
        <v>41518</v>
      </c>
      <c r="O24" s="39">
        <v>4.3738364167478094</v>
      </c>
    </row>
    <row r="25" spans="2:18">
      <c r="B25" s="26">
        <v>41487</v>
      </c>
      <c r="C25" s="39">
        <v>3.9966482758620692</v>
      </c>
      <c r="D25" s="40">
        <f>VLOOKUP(CurrentMtgRatesDataTable82[[#This Row],[asOf]],CurrentMtgRatesDataTable823[],2,0)</f>
        <v>4.0715979381443299</v>
      </c>
      <c r="E25" s="40">
        <f>VLOOKUP(CurrentMtgRatesDataTable82[[#This Row],[asOf]],CurrentMtgRatesDataTable8234[],2,0)</f>
        <v>4.1280199430199431</v>
      </c>
      <c r="F25" s="40">
        <f>CurrentMtgRatesDataTable82[[#This Row],[Wac]]-CurrentMtgRatesDataTable82[[#This Row],[Big Non-Bank Lender]]</f>
        <v>-7.4949662282260743E-2</v>
      </c>
      <c r="G25" s="40">
        <f>CurrentMtgRatesDataTable82[[#This Row],[Wac]]-CurrentMtgRatesDataTable82[[#This Row],[Small Lender]]</f>
        <v>-0.13137166715787396</v>
      </c>
      <c r="H25" s="40">
        <f>CurrentMtgRatesDataTable82[[#This Row],[Big Non-Bank Lender]]-CurrentMtgRatesDataTable82[[#This Row],[Small Lender]]</f>
        <v>-5.6422004875613219E-2</v>
      </c>
      <c r="I25" s="40"/>
      <c r="K25" s="26">
        <v>41487</v>
      </c>
      <c r="L25" s="39">
        <v>4.0715979381443299</v>
      </c>
      <c r="N25" s="26">
        <v>41487</v>
      </c>
      <c r="O25" s="39">
        <v>4.1280199430199431</v>
      </c>
    </row>
    <row r="26" spans="2:18">
      <c r="B26" s="26">
        <v>41456</v>
      </c>
      <c r="C26" s="39">
        <v>3.7630917874396137</v>
      </c>
      <c r="D26" s="40">
        <f>VLOOKUP(CurrentMtgRatesDataTable82[[#This Row],[asOf]],CurrentMtgRatesDataTable823[],2,0)</f>
        <v>3.8559116022099449</v>
      </c>
      <c r="E26" s="40">
        <f>VLOOKUP(CurrentMtgRatesDataTable82[[#This Row],[asOf]],CurrentMtgRatesDataTable8234[],2,0)</f>
        <v>3.9304855588112182</v>
      </c>
      <c r="F26" s="40">
        <f>CurrentMtgRatesDataTable82[[#This Row],[Wac]]-CurrentMtgRatesDataTable82[[#This Row],[Big Non-Bank Lender]]</f>
        <v>-9.2819814770331188E-2</v>
      </c>
      <c r="G26" s="40">
        <f>CurrentMtgRatesDataTable82[[#This Row],[Wac]]-CurrentMtgRatesDataTable82[[#This Row],[Small Lender]]</f>
        <v>-0.16739377137160449</v>
      </c>
      <c r="H26" s="40">
        <f>CurrentMtgRatesDataTable82[[#This Row],[Big Non-Bank Lender]]-CurrentMtgRatesDataTable82[[#This Row],[Small Lender]]</f>
        <v>-7.4573956601273306E-2</v>
      </c>
      <c r="I26" s="40"/>
      <c r="K26" s="26">
        <v>41456</v>
      </c>
      <c r="L26" s="39">
        <v>3.8559116022099449</v>
      </c>
      <c r="N26" s="26">
        <v>41456</v>
      </c>
      <c r="O26" s="39">
        <v>3.9304855588112182</v>
      </c>
    </row>
    <row r="27" spans="2:18">
      <c r="B27" s="26">
        <v>41426</v>
      </c>
      <c r="C27" s="39">
        <v>3.8248064918851434</v>
      </c>
      <c r="D27" s="40">
        <f>VLOOKUP(CurrentMtgRatesDataTable82[[#This Row],[asOf]],CurrentMtgRatesDataTable823[],2,0)</f>
        <v>3.7887275693311584</v>
      </c>
      <c r="E27" s="40">
        <f>VLOOKUP(CurrentMtgRatesDataTable82[[#This Row],[asOf]],CurrentMtgRatesDataTable8234[],2,0)</f>
        <v>3.7581178947368423</v>
      </c>
      <c r="F27" s="40">
        <f>CurrentMtgRatesDataTable82[[#This Row],[Wac]]-CurrentMtgRatesDataTable82[[#This Row],[Big Non-Bank Lender]]</f>
        <v>3.6078922553985038E-2</v>
      </c>
      <c r="G27" s="40">
        <f>CurrentMtgRatesDataTable82[[#This Row],[Wac]]-CurrentMtgRatesDataTable82[[#This Row],[Small Lender]]</f>
        <v>6.668859714830111E-2</v>
      </c>
      <c r="H27" s="40">
        <f>CurrentMtgRatesDataTable82[[#This Row],[Big Non-Bank Lender]]-CurrentMtgRatesDataTable82[[#This Row],[Small Lender]]</f>
        <v>3.0609674594316072E-2</v>
      </c>
      <c r="I27" s="40"/>
      <c r="K27" s="26">
        <v>41426</v>
      </c>
      <c r="L27" s="39">
        <v>3.7887275693311584</v>
      </c>
      <c r="N27" s="26">
        <v>41426</v>
      </c>
      <c r="O27" s="39">
        <v>3.7581178947368423</v>
      </c>
    </row>
    <row r="28" spans="2:18">
      <c r="B28" s="26">
        <v>41395</v>
      </c>
      <c r="C28" s="39">
        <v>3.8760879120879119</v>
      </c>
      <c r="D28" s="40">
        <f>VLOOKUP(CurrentMtgRatesDataTable82[[#This Row],[asOf]],CurrentMtgRatesDataTable823[],2,0)</f>
        <v>3.8455106382978723</v>
      </c>
      <c r="E28" s="40">
        <f>VLOOKUP(CurrentMtgRatesDataTable82[[#This Row],[asOf]],CurrentMtgRatesDataTable8234[],2,0)</f>
        <v>3.7433420365535248</v>
      </c>
      <c r="F28" s="40">
        <f>CurrentMtgRatesDataTable82[[#This Row],[Wac]]-CurrentMtgRatesDataTable82[[#This Row],[Big Non-Bank Lender]]</f>
        <v>3.0577273790039605E-2</v>
      </c>
      <c r="G28" s="40">
        <f>CurrentMtgRatesDataTable82[[#This Row],[Wac]]-CurrentMtgRatesDataTable82[[#This Row],[Small Lender]]</f>
        <v>0.1327458755343871</v>
      </c>
      <c r="H28" s="40">
        <f>CurrentMtgRatesDataTable82[[#This Row],[Big Non-Bank Lender]]-CurrentMtgRatesDataTable82[[#This Row],[Small Lender]]</f>
        <v>0.1021686017443475</v>
      </c>
      <c r="I28" s="40"/>
      <c r="K28" s="26">
        <v>41395</v>
      </c>
      <c r="L28" s="39">
        <v>3.8455106382978723</v>
      </c>
      <c r="N28" s="26">
        <v>41395</v>
      </c>
      <c r="O28" s="39">
        <v>3.7433420365535248</v>
      </c>
      <c r="R28" s="44"/>
    </row>
    <row r="29" spans="2:18">
      <c r="B29" s="26">
        <v>41365</v>
      </c>
      <c r="C29" s="39">
        <v>3.8113201970443349</v>
      </c>
      <c r="D29" s="40">
        <f>VLOOKUP(CurrentMtgRatesDataTable82[[#This Row],[asOf]],CurrentMtgRatesDataTable823[],2,0)</f>
        <v>3.852469135802469</v>
      </c>
      <c r="E29" s="40">
        <f>VLOOKUP(CurrentMtgRatesDataTable82[[#This Row],[asOf]],CurrentMtgRatesDataTable8234[],2,0)</f>
        <v>3.7339111747851002</v>
      </c>
      <c r="F29" s="40">
        <f>CurrentMtgRatesDataTable82[[#This Row],[Wac]]-CurrentMtgRatesDataTable82[[#This Row],[Big Non-Bank Lender]]</f>
        <v>-4.1148938758134079E-2</v>
      </c>
      <c r="G29" s="40">
        <f>CurrentMtgRatesDataTable82[[#This Row],[Wac]]-CurrentMtgRatesDataTable82[[#This Row],[Small Lender]]</f>
        <v>7.7409022259234739E-2</v>
      </c>
      <c r="H29" s="40">
        <f>CurrentMtgRatesDataTable82[[#This Row],[Big Non-Bank Lender]]-CurrentMtgRatesDataTable82[[#This Row],[Small Lender]]</f>
        <v>0.11855796101736882</v>
      </c>
      <c r="I29" s="40"/>
      <c r="K29" s="26">
        <v>41365</v>
      </c>
      <c r="L29" s="39">
        <v>3.852469135802469</v>
      </c>
      <c r="N29" s="26">
        <v>41365</v>
      </c>
      <c r="O29" s="39">
        <v>3.7339111747851002</v>
      </c>
    </row>
    <row r="30" spans="2:18">
      <c r="B30" s="26">
        <v>41334</v>
      </c>
      <c r="C30" s="39">
        <v>3.7122934782608694</v>
      </c>
      <c r="D30" s="40">
        <f>VLOOKUP(CurrentMtgRatesDataTable82[[#This Row],[asOf]],CurrentMtgRatesDataTable823[],2,0)</f>
        <v>3.7388683602771362</v>
      </c>
      <c r="E30" s="40">
        <f>VLOOKUP(CurrentMtgRatesDataTable82[[#This Row],[asOf]],CurrentMtgRatesDataTable8234[],2,0)</f>
        <v>3.7099337504600665</v>
      </c>
      <c r="F30" s="40">
        <f>CurrentMtgRatesDataTable82[[#This Row],[Wac]]-CurrentMtgRatesDataTable82[[#This Row],[Big Non-Bank Lender]]</f>
        <v>-2.6574882016266788E-2</v>
      </c>
      <c r="G30" s="40">
        <f>CurrentMtgRatesDataTable82[[#This Row],[Wac]]-CurrentMtgRatesDataTable82[[#This Row],[Small Lender]]</f>
        <v>2.3597278008029576E-3</v>
      </c>
      <c r="H30" s="40">
        <f>CurrentMtgRatesDataTable82[[#This Row],[Big Non-Bank Lender]]-CurrentMtgRatesDataTable82[[#This Row],[Small Lender]]</f>
        <v>2.8934609817069745E-2</v>
      </c>
      <c r="I30" s="40"/>
      <c r="K30" s="26">
        <v>41334</v>
      </c>
      <c r="L30" s="39">
        <v>3.7388683602771362</v>
      </c>
      <c r="N30" s="26">
        <v>41334</v>
      </c>
      <c r="O30" s="39">
        <v>3.7099337504600665</v>
      </c>
    </row>
    <row r="31" spans="2:18">
      <c r="B31" s="26">
        <v>41306</v>
      </c>
      <c r="C31" s="39">
        <v>3.7481714285714287</v>
      </c>
      <c r="D31" s="40">
        <f>VLOOKUP(CurrentMtgRatesDataTable82[[#This Row],[asOf]],CurrentMtgRatesDataTable823[],2,0)</f>
        <v>3.6278368121442126</v>
      </c>
      <c r="E31" s="40">
        <f>VLOOKUP(CurrentMtgRatesDataTable82[[#This Row],[asOf]],CurrentMtgRatesDataTable8234[],2,0)</f>
        <v>3.5958880936890045</v>
      </c>
      <c r="F31" s="40">
        <f>CurrentMtgRatesDataTable82[[#This Row],[Wac]]-CurrentMtgRatesDataTable82[[#This Row],[Big Non-Bank Lender]]</f>
        <v>0.1203346164272161</v>
      </c>
      <c r="G31" s="40">
        <f>CurrentMtgRatesDataTable82[[#This Row],[Wac]]-CurrentMtgRatesDataTable82[[#This Row],[Small Lender]]</f>
        <v>0.15228333488242418</v>
      </c>
      <c r="H31" s="40">
        <f>CurrentMtgRatesDataTable82[[#This Row],[Big Non-Bank Lender]]-CurrentMtgRatesDataTable82[[#This Row],[Small Lender]]</f>
        <v>3.1948718455208081E-2</v>
      </c>
      <c r="I31" s="40"/>
      <c r="K31" s="26">
        <v>41306</v>
      </c>
      <c r="L31" s="39">
        <v>3.6278368121442126</v>
      </c>
      <c r="N31" s="26">
        <v>41306</v>
      </c>
      <c r="O31" s="39">
        <v>3.5958880936890045</v>
      </c>
    </row>
    <row r="32" spans="2:18">
      <c r="B32" s="26">
        <v>41275</v>
      </c>
      <c r="C32" s="39">
        <v>3.7645962113659022</v>
      </c>
      <c r="D32" s="40">
        <f>VLOOKUP(CurrentMtgRatesDataTable82[[#This Row],[asOf]],CurrentMtgRatesDataTable823[],2,0)</f>
        <v>3.6697932330827068</v>
      </c>
      <c r="E32" s="40">
        <f>VLOOKUP(CurrentMtgRatesDataTable82[[#This Row],[asOf]],CurrentMtgRatesDataTable8234[],2,0)</f>
        <v>3.631695067264574</v>
      </c>
      <c r="F32" s="40">
        <f>CurrentMtgRatesDataTable82[[#This Row],[Wac]]-CurrentMtgRatesDataTable82[[#This Row],[Big Non-Bank Lender]]</f>
        <v>9.4802978283195394E-2</v>
      </c>
      <c r="G32" s="40">
        <f>CurrentMtgRatesDataTable82[[#This Row],[Wac]]-CurrentMtgRatesDataTable82[[#This Row],[Small Lender]]</f>
        <v>0.13290114410132814</v>
      </c>
      <c r="H32" s="40">
        <f>CurrentMtgRatesDataTable82[[#This Row],[Big Non-Bank Lender]]-CurrentMtgRatesDataTable82[[#This Row],[Small Lender]]</f>
        <v>3.8098165818132745E-2</v>
      </c>
      <c r="I32" s="40"/>
      <c r="K32" s="26">
        <v>41275</v>
      </c>
      <c r="L32" s="39">
        <v>3.6697932330827068</v>
      </c>
      <c r="N32" s="26">
        <v>41275</v>
      </c>
      <c r="O32" s="39">
        <v>3.631695067264574</v>
      </c>
    </row>
    <row r="33" spans="2:15">
      <c r="B33" s="26">
        <v>41244</v>
      </c>
      <c r="C33" s="39">
        <v>3.7716748166259171</v>
      </c>
      <c r="D33" s="40">
        <f>VLOOKUP(CurrentMtgRatesDataTable82[[#This Row],[asOf]],CurrentMtgRatesDataTable823[],2,0)</f>
        <v>3.7777342047930285</v>
      </c>
      <c r="E33" s="40">
        <f>VLOOKUP(CurrentMtgRatesDataTable82[[#This Row],[asOf]],CurrentMtgRatesDataTable8234[],2,0)</f>
        <v>3.6432513123359582</v>
      </c>
      <c r="F33" s="40">
        <f>CurrentMtgRatesDataTable82[[#This Row],[Wac]]-CurrentMtgRatesDataTable82[[#This Row],[Big Non-Bank Lender]]</f>
        <v>-6.0593881671113792E-3</v>
      </c>
      <c r="G33" s="40">
        <f>CurrentMtgRatesDataTable82[[#This Row],[Wac]]-CurrentMtgRatesDataTable82[[#This Row],[Small Lender]]</f>
        <v>0.12842350428995886</v>
      </c>
      <c r="H33" s="40">
        <f>CurrentMtgRatesDataTable82[[#This Row],[Big Non-Bank Lender]]-CurrentMtgRatesDataTable82[[#This Row],[Small Lender]]</f>
        <v>0.13448289245707024</v>
      </c>
      <c r="I33" s="40"/>
      <c r="K33" s="26">
        <v>41244</v>
      </c>
      <c r="L33" s="39">
        <v>3.7777342047930285</v>
      </c>
      <c r="N33" s="26">
        <v>41244</v>
      </c>
      <c r="O33" s="39">
        <v>3.6432513123359582</v>
      </c>
    </row>
    <row r="34" spans="2:15">
      <c r="B34" s="26">
        <v>41214</v>
      </c>
      <c r="C34" s="39">
        <v>3.835059523809524</v>
      </c>
      <c r="D34" s="40">
        <f>VLOOKUP(CurrentMtgRatesDataTable82[[#This Row],[asOf]],CurrentMtgRatesDataTable823[],2,0)</f>
        <v>3.8298930481283424</v>
      </c>
      <c r="E34" s="40">
        <f>VLOOKUP(CurrentMtgRatesDataTable82[[#This Row],[asOf]],CurrentMtgRatesDataTable8234[],2,0)</f>
        <v>3.677646296696178</v>
      </c>
      <c r="F34" s="40">
        <f>CurrentMtgRatesDataTable82[[#This Row],[Wac]]-CurrentMtgRatesDataTable82[[#This Row],[Big Non-Bank Lender]]</f>
        <v>5.1664756811815593E-3</v>
      </c>
      <c r="G34" s="40">
        <f>CurrentMtgRatesDataTable82[[#This Row],[Wac]]-CurrentMtgRatesDataTable82[[#This Row],[Small Lender]]</f>
        <v>0.15741322711334593</v>
      </c>
      <c r="H34" s="40">
        <f>CurrentMtgRatesDataTable82[[#This Row],[Big Non-Bank Lender]]-CurrentMtgRatesDataTable82[[#This Row],[Small Lender]]</f>
        <v>0.15224675143216437</v>
      </c>
      <c r="I34" s="40"/>
      <c r="K34" s="26">
        <v>41214</v>
      </c>
      <c r="L34" s="39">
        <v>3.8298930481283424</v>
      </c>
      <c r="N34" s="26">
        <v>41214</v>
      </c>
      <c r="O34" s="39">
        <v>3.677646296696178</v>
      </c>
    </row>
    <row r="35" spans="2:15">
      <c r="B35" s="26">
        <v>41183</v>
      </c>
      <c r="C35" s="39">
        <v>3.8882166301969368</v>
      </c>
      <c r="D35" s="40">
        <f>VLOOKUP(CurrentMtgRatesDataTable82[[#This Row],[asOf]],CurrentMtgRatesDataTable823[],2,0)</f>
        <v>3.8924703557312252</v>
      </c>
      <c r="E35" s="40">
        <f>VLOOKUP(CurrentMtgRatesDataTable82[[#This Row],[asOf]],CurrentMtgRatesDataTable8234[],2,0)</f>
        <v>3.752032640949555</v>
      </c>
      <c r="F35" s="40">
        <f>CurrentMtgRatesDataTable82[[#This Row],[Wac]]-CurrentMtgRatesDataTable82[[#This Row],[Big Non-Bank Lender]]</f>
        <v>-4.2537255342884883E-3</v>
      </c>
      <c r="G35" s="40">
        <f>CurrentMtgRatesDataTable82[[#This Row],[Wac]]-CurrentMtgRatesDataTable82[[#This Row],[Small Lender]]</f>
        <v>0.13618398924738173</v>
      </c>
      <c r="H35" s="40">
        <f>CurrentMtgRatesDataTable82[[#This Row],[Big Non-Bank Lender]]-CurrentMtgRatesDataTable82[[#This Row],[Small Lender]]</f>
        <v>0.14043771478167022</v>
      </c>
      <c r="I35" s="40"/>
      <c r="K35" s="26">
        <v>41183</v>
      </c>
      <c r="L35" s="39">
        <v>3.8924703557312252</v>
      </c>
      <c r="N35" s="26">
        <v>41183</v>
      </c>
      <c r="O35" s="39">
        <v>3.752032640949555</v>
      </c>
    </row>
    <row r="36" spans="2:15">
      <c r="B36" s="26">
        <v>41153</v>
      </c>
      <c r="C36" s="39">
        <v>4.1436777178103315</v>
      </c>
      <c r="D36" s="40">
        <f>VLOOKUP(CurrentMtgRatesDataTable82[[#This Row],[asOf]],CurrentMtgRatesDataTable823[],2,0)</f>
        <v>3.9875981161695448</v>
      </c>
      <c r="E36" s="40">
        <f>VLOOKUP(CurrentMtgRatesDataTable82[[#This Row],[asOf]],CurrentMtgRatesDataTable8234[],2,0)</f>
        <v>4.0732542746828457</v>
      </c>
      <c r="F36" s="40">
        <f>CurrentMtgRatesDataTable82[[#This Row],[Wac]]-CurrentMtgRatesDataTable82[[#This Row],[Big Non-Bank Lender]]</f>
        <v>0.1560796016407866</v>
      </c>
      <c r="G36" s="40">
        <f>CurrentMtgRatesDataTable82[[#This Row],[Wac]]-CurrentMtgRatesDataTable82[[#This Row],[Small Lender]]</f>
        <v>7.0423443127485719E-2</v>
      </c>
      <c r="H36" s="40">
        <f>CurrentMtgRatesDataTable82[[#This Row],[Big Non-Bank Lender]]-CurrentMtgRatesDataTable82[[#This Row],[Small Lender]]</f>
        <v>-8.5656158513300884E-2</v>
      </c>
      <c r="I36" s="40"/>
      <c r="K36" s="26">
        <v>41153</v>
      </c>
      <c r="L36" s="39">
        <v>3.9875981161695448</v>
      </c>
      <c r="N36" s="26">
        <v>41153</v>
      </c>
      <c r="O36" s="39">
        <v>4.0732542746828457</v>
      </c>
    </row>
    <row r="37" spans="2:15">
      <c r="B37" s="26">
        <v>41122</v>
      </c>
      <c r="C37" s="39">
        <v>4.0408633093525177</v>
      </c>
      <c r="D37" s="40">
        <f>VLOOKUP(CurrentMtgRatesDataTable82[[#This Row],[asOf]],CurrentMtgRatesDataTable823[],2,0)</f>
        <v>3.9936727879799667</v>
      </c>
      <c r="E37" s="40">
        <f>VLOOKUP(CurrentMtgRatesDataTable82[[#This Row],[asOf]],CurrentMtgRatesDataTable8234[],2,0)</f>
        <v>3.8683670760039828</v>
      </c>
      <c r="F37" s="40">
        <f>CurrentMtgRatesDataTable82[[#This Row],[Wac]]-CurrentMtgRatesDataTable82[[#This Row],[Big Non-Bank Lender]]</f>
        <v>4.7190521372550975E-2</v>
      </c>
      <c r="G37" s="40">
        <f>CurrentMtgRatesDataTable82[[#This Row],[Wac]]-CurrentMtgRatesDataTable82[[#This Row],[Small Lender]]</f>
        <v>0.17249623334853492</v>
      </c>
      <c r="H37" s="40">
        <f>CurrentMtgRatesDataTable82[[#This Row],[Big Non-Bank Lender]]-CurrentMtgRatesDataTable82[[#This Row],[Small Lender]]</f>
        <v>0.12530571197598395</v>
      </c>
      <c r="I37" s="40"/>
      <c r="K37" s="26">
        <v>41122</v>
      </c>
      <c r="L37" s="39">
        <v>3.9936727879799667</v>
      </c>
      <c r="N37" s="26">
        <v>41122</v>
      </c>
      <c r="O37" s="39">
        <v>3.8683670760039828</v>
      </c>
    </row>
    <row r="38" spans="2:15">
      <c r="B38" s="26">
        <v>41091</v>
      </c>
      <c r="C38" s="39">
        <v>4.2002081268582758</v>
      </c>
      <c r="D38" s="40">
        <f>VLOOKUP(CurrentMtgRatesDataTable82[[#This Row],[asOf]],CurrentMtgRatesDataTable823[],2,0)</f>
        <v>4.1069872958257712</v>
      </c>
      <c r="E38" s="40">
        <f>VLOOKUP(CurrentMtgRatesDataTable82[[#This Row],[asOf]],CurrentMtgRatesDataTable8234[],2,0)</f>
        <v>3.9891616314199396</v>
      </c>
      <c r="F38" s="40">
        <f>CurrentMtgRatesDataTable82[[#This Row],[Wac]]-CurrentMtgRatesDataTable82[[#This Row],[Big Non-Bank Lender]]</f>
        <v>9.322083103250467E-2</v>
      </c>
      <c r="G38" s="40">
        <f>CurrentMtgRatesDataTable82[[#This Row],[Wac]]-CurrentMtgRatesDataTable82[[#This Row],[Small Lender]]</f>
        <v>0.2110464954383362</v>
      </c>
      <c r="H38" s="40">
        <f>CurrentMtgRatesDataTable82[[#This Row],[Big Non-Bank Lender]]-CurrentMtgRatesDataTable82[[#This Row],[Small Lender]]</f>
        <v>0.11782566440583153</v>
      </c>
      <c r="I38" s="40"/>
      <c r="K38" s="26">
        <v>41091</v>
      </c>
      <c r="L38" s="39">
        <v>4.1069872958257712</v>
      </c>
      <c r="N38" s="26">
        <v>41091</v>
      </c>
      <c r="O38" s="39">
        <v>3.9891616314199396</v>
      </c>
    </row>
    <row r="39" spans="2:15">
      <c r="B39" s="26">
        <v>41061</v>
      </c>
      <c r="C39" s="39">
        <v>4.2402633814783348</v>
      </c>
      <c r="D39" s="40">
        <f>VLOOKUP(CurrentMtgRatesDataTable82[[#This Row],[asOf]],CurrentMtgRatesDataTable823[],2,0)</f>
        <v>4.1715500945179587</v>
      </c>
      <c r="E39" s="40">
        <f>VLOOKUP(CurrentMtgRatesDataTable82[[#This Row],[asOf]],CurrentMtgRatesDataTable8234[],2,0)</f>
        <v>4.0717039321511184</v>
      </c>
      <c r="F39" s="40">
        <f>CurrentMtgRatesDataTable82[[#This Row],[Wac]]-CurrentMtgRatesDataTable82[[#This Row],[Big Non-Bank Lender]]</f>
        <v>6.8713286960376152E-2</v>
      </c>
      <c r="G39" s="40">
        <f>CurrentMtgRatesDataTable82[[#This Row],[Wac]]-CurrentMtgRatesDataTable82[[#This Row],[Small Lender]]</f>
        <v>0.16855944932721645</v>
      </c>
      <c r="H39" s="40">
        <f>CurrentMtgRatesDataTable82[[#This Row],[Big Non-Bank Lender]]-CurrentMtgRatesDataTable82[[#This Row],[Small Lender]]</f>
        <v>9.9846162366840296E-2</v>
      </c>
      <c r="I39" s="40"/>
      <c r="K39" s="26">
        <v>41061</v>
      </c>
      <c r="L39" s="39">
        <v>4.1715500945179587</v>
      </c>
      <c r="N39" s="26">
        <v>41061</v>
      </c>
      <c r="O39" s="39">
        <v>4.0717039321511184</v>
      </c>
    </row>
    <row r="40" spans="2:15">
      <c r="B40" s="26">
        <v>41030</v>
      </c>
      <c r="C40" s="39">
        <v>4.3046093064091311</v>
      </c>
      <c r="D40" s="40">
        <f>VLOOKUP(CurrentMtgRatesDataTable82[[#This Row],[asOf]],CurrentMtgRatesDataTable823[],2,0)</f>
        <v>4.2490111642743225</v>
      </c>
      <c r="E40" s="40">
        <f>VLOOKUP(CurrentMtgRatesDataTable82[[#This Row],[asOf]],CurrentMtgRatesDataTable8234[],2,0)</f>
        <v>4.3062351980400164</v>
      </c>
      <c r="F40" s="40">
        <f>CurrentMtgRatesDataTable82[[#This Row],[Wac]]-CurrentMtgRatesDataTable82[[#This Row],[Big Non-Bank Lender]]</f>
        <v>5.5598142134808626E-2</v>
      </c>
      <c r="G40" s="40">
        <f>CurrentMtgRatesDataTable82[[#This Row],[Wac]]-CurrentMtgRatesDataTable82[[#This Row],[Small Lender]]</f>
        <v>-1.6258916308853344E-3</v>
      </c>
      <c r="H40" s="40">
        <f>CurrentMtgRatesDataTable82[[#This Row],[Big Non-Bank Lender]]-CurrentMtgRatesDataTable82[[#This Row],[Small Lender]]</f>
        <v>-5.722403376569396E-2</v>
      </c>
      <c r="I40" s="40"/>
      <c r="K40" s="26">
        <v>41030</v>
      </c>
      <c r="L40" s="39">
        <v>4.2490111642743225</v>
      </c>
      <c r="N40" s="26">
        <v>41030</v>
      </c>
      <c r="O40" s="39">
        <v>4.3062351980400164</v>
      </c>
    </row>
    <row r="41" spans="2:15">
      <c r="B41" s="26">
        <v>41000</v>
      </c>
      <c r="C41" s="39">
        <v>4.1793540051679585</v>
      </c>
      <c r="D41" s="40">
        <f>VLOOKUP(CurrentMtgRatesDataTable82[[#This Row],[asOf]],CurrentMtgRatesDataTable823[],2,0)</f>
        <v>4.1477854671280276</v>
      </c>
      <c r="E41" s="40">
        <f>VLOOKUP(CurrentMtgRatesDataTable82[[#This Row],[asOf]],CurrentMtgRatesDataTable8234[],2,0)</f>
        <v>4.1242911877394635</v>
      </c>
      <c r="F41" s="40">
        <f>CurrentMtgRatesDataTable82[[#This Row],[Wac]]-CurrentMtgRatesDataTable82[[#This Row],[Big Non-Bank Lender]]</f>
        <v>3.1568538039930871E-2</v>
      </c>
      <c r="G41" s="40">
        <f>CurrentMtgRatesDataTable82[[#This Row],[Wac]]-CurrentMtgRatesDataTable82[[#This Row],[Small Lender]]</f>
        <v>5.5062817428495059E-2</v>
      </c>
      <c r="H41" s="40">
        <f>CurrentMtgRatesDataTable82[[#This Row],[Big Non-Bank Lender]]-CurrentMtgRatesDataTable82[[#This Row],[Small Lender]]</f>
        <v>2.3494279388564188E-2</v>
      </c>
      <c r="I41" s="40"/>
      <c r="K41" s="26">
        <v>41000</v>
      </c>
      <c r="L41" s="39">
        <v>4.1477854671280276</v>
      </c>
      <c r="N41" s="26">
        <v>41000</v>
      </c>
      <c r="O41" s="39">
        <v>4.1242911877394635</v>
      </c>
    </row>
    <row r="42" spans="2:15">
      <c r="B42" s="26">
        <v>40969</v>
      </c>
      <c r="C42" s="39">
        <v>4.2623658694246931</v>
      </c>
      <c r="D42" s="40">
        <f>VLOOKUP(CurrentMtgRatesDataTable82[[#This Row],[asOf]],CurrentMtgRatesDataTable823[],2,0)</f>
        <v>4.1229347826086959</v>
      </c>
      <c r="E42" s="40">
        <f>VLOOKUP(CurrentMtgRatesDataTable82[[#This Row],[asOf]],CurrentMtgRatesDataTable8234[],2,0)</f>
        <v>4.2107571801566577</v>
      </c>
      <c r="F42" s="40">
        <f>CurrentMtgRatesDataTable82[[#This Row],[Wac]]-CurrentMtgRatesDataTable82[[#This Row],[Big Non-Bank Lender]]</f>
        <v>0.13943108681599714</v>
      </c>
      <c r="G42" s="40">
        <f>CurrentMtgRatesDataTable82[[#This Row],[Wac]]-CurrentMtgRatesDataTable82[[#This Row],[Small Lender]]</f>
        <v>5.1608689268035413E-2</v>
      </c>
      <c r="H42" s="40">
        <f>CurrentMtgRatesDataTable82[[#This Row],[Big Non-Bank Lender]]-CurrentMtgRatesDataTable82[[#This Row],[Small Lender]]</f>
        <v>-8.7822397547961728E-2</v>
      </c>
      <c r="I42" s="40"/>
      <c r="K42" s="26">
        <v>40969</v>
      </c>
      <c r="L42" s="39">
        <v>4.1229347826086959</v>
      </c>
      <c r="N42" s="26">
        <v>40969</v>
      </c>
      <c r="O42" s="39">
        <v>4.2107571801566577</v>
      </c>
    </row>
    <row r="43" spans="2:15">
      <c r="B43" s="26">
        <v>40940</v>
      </c>
      <c r="C43" s="39">
        <v>4.3718718718718721</v>
      </c>
      <c r="D43" s="40">
        <f>VLOOKUP(CurrentMtgRatesDataTable82[[#This Row],[asOf]],CurrentMtgRatesDataTable823[],2,0)</f>
        <v>4.2531494252873561</v>
      </c>
      <c r="E43" s="40">
        <f>VLOOKUP(CurrentMtgRatesDataTable82[[#This Row],[asOf]],CurrentMtgRatesDataTable8234[],2,0)</f>
        <v>4.3205293276108723</v>
      </c>
      <c r="F43" s="40">
        <f>CurrentMtgRatesDataTable82[[#This Row],[Wac]]-CurrentMtgRatesDataTable82[[#This Row],[Big Non-Bank Lender]]</f>
        <v>0.11872244658451603</v>
      </c>
      <c r="G43" s="40">
        <f>CurrentMtgRatesDataTable82[[#This Row],[Wac]]-CurrentMtgRatesDataTable82[[#This Row],[Small Lender]]</f>
        <v>5.1342544260999823E-2</v>
      </c>
      <c r="H43" s="40">
        <f>CurrentMtgRatesDataTable82[[#This Row],[Big Non-Bank Lender]]-CurrentMtgRatesDataTable82[[#This Row],[Small Lender]]</f>
        <v>-6.7379902323516205E-2</v>
      </c>
      <c r="I43" s="40"/>
      <c r="K43" s="26">
        <v>40940</v>
      </c>
      <c r="L43" s="39">
        <v>4.2531494252873561</v>
      </c>
      <c r="N43" s="26">
        <v>40940</v>
      </c>
      <c r="O43" s="39">
        <v>4.3205293276108723</v>
      </c>
    </row>
    <row r="44" spans="2:15">
      <c r="B44" s="26">
        <v>40909</v>
      </c>
      <c r="C44" s="39">
        <v>4.4309605122732121</v>
      </c>
      <c r="D44" s="40">
        <f>VLOOKUP(CurrentMtgRatesDataTable82[[#This Row],[asOf]],CurrentMtgRatesDataTable823[],2,0)</f>
        <v>4.285530085959885</v>
      </c>
      <c r="E44" s="40">
        <f>VLOOKUP(CurrentMtgRatesDataTable82[[#This Row],[asOf]],CurrentMtgRatesDataTable8234[],2,0)</f>
        <v>4.3408612204724406</v>
      </c>
      <c r="F44" s="40">
        <f>CurrentMtgRatesDataTable82[[#This Row],[Wac]]-CurrentMtgRatesDataTable82[[#This Row],[Big Non-Bank Lender]]</f>
        <v>0.14543042631332703</v>
      </c>
      <c r="G44" s="40">
        <f>CurrentMtgRatesDataTable82[[#This Row],[Wac]]-CurrentMtgRatesDataTable82[[#This Row],[Small Lender]]</f>
        <v>9.0099291800771475E-2</v>
      </c>
      <c r="H44" s="40">
        <f>CurrentMtgRatesDataTable82[[#This Row],[Big Non-Bank Lender]]-CurrentMtgRatesDataTable82[[#This Row],[Small Lender]]</f>
        <v>-5.5331134512555558E-2</v>
      </c>
      <c r="I44" s="40"/>
      <c r="K44" s="26">
        <v>40909</v>
      </c>
      <c r="L44" s="39">
        <v>4.285530085959885</v>
      </c>
      <c r="N44" s="26">
        <v>40909</v>
      </c>
      <c r="O44" s="39">
        <v>4.3408612204724406</v>
      </c>
    </row>
    <row r="45" spans="2:15">
      <c r="B45" s="26">
        <v>40878</v>
      </c>
      <c r="C45" s="39">
        <v>4.631294326241135</v>
      </c>
      <c r="D45" s="40">
        <f>VLOOKUP(CurrentMtgRatesDataTable82[[#This Row],[asOf]],CurrentMtgRatesDataTable823[],2,0)</f>
        <v>4.4425287356321839</v>
      </c>
      <c r="E45" s="40">
        <f>VLOOKUP(CurrentMtgRatesDataTable82[[#This Row],[asOf]],CurrentMtgRatesDataTable8234[],2,0)</f>
        <v>4.6022926617455493</v>
      </c>
      <c r="F45" s="40">
        <f>CurrentMtgRatesDataTable82[[#This Row],[Wac]]-CurrentMtgRatesDataTable82[[#This Row],[Big Non-Bank Lender]]</f>
        <v>0.18876559060895115</v>
      </c>
      <c r="G45" s="40">
        <f>CurrentMtgRatesDataTable82[[#This Row],[Wac]]-CurrentMtgRatesDataTable82[[#This Row],[Small Lender]]</f>
        <v>2.9001664495585722E-2</v>
      </c>
      <c r="H45" s="40">
        <f>CurrentMtgRatesDataTable82[[#This Row],[Big Non-Bank Lender]]-CurrentMtgRatesDataTable82[[#This Row],[Small Lender]]</f>
        <v>-0.15976392611336543</v>
      </c>
      <c r="I45" s="40"/>
      <c r="K45" s="26">
        <v>40878</v>
      </c>
      <c r="L45" s="39">
        <v>4.4425287356321839</v>
      </c>
      <c r="N45" s="26">
        <v>40878</v>
      </c>
      <c r="O45" s="39">
        <v>4.6022926617455493</v>
      </c>
    </row>
    <row r="46" spans="2:15">
      <c r="B46" s="26">
        <v>40848</v>
      </c>
      <c r="C46" s="39">
        <v>4.5057812500000001</v>
      </c>
      <c r="D46" s="40">
        <f>VLOOKUP(CurrentMtgRatesDataTable82[[#This Row],[asOf]],CurrentMtgRatesDataTable823[],2,0)</f>
        <v>4.3438461538461537</v>
      </c>
      <c r="E46" s="40">
        <f>VLOOKUP(CurrentMtgRatesDataTable82[[#This Row],[asOf]],CurrentMtgRatesDataTable8234[],2,0)</f>
        <v>4.395429945880938</v>
      </c>
      <c r="F46" s="40">
        <f>CurrentMtgRatesDataTable82[[#This Row],[Wac]]-CurrentMtgRatesDataTable82[[#This Row],[Big Non-Bank Lender]]</f>
        <v>0.16193509615384638</v>
      </c>
      <c r="G46" s="40">
        <f>CurrentMtgRatesDataTable82[[#This Row],[Wac]]-CurrentMtgRatesDataTable82[[#This Row],[Small Lender]]</f>
        <v>0.11035130411906202</v>
      </c>
      <c r="H46" s="40">
        <f>CurrentMtgRatesDataTable82[[#This Row],[Big Non-Bank Lender]]-CurrentMtgRatesDataTable82[[#This Row],[Small Lender]]</f>
        <v>-5.1583792034784359E-2</v>
      </c>
      <c r="I46" s="40"/>
      <c r="K46" s="26">
        <v>40848</v>
      </c>
      <c r="L46" s="39">
        <v>4.3438461538461537</v>
      </c>
      <c r="N46" s="26">
        <v>40848</v>
      </c>
      <c r="O46" s="39">
        <v>4.395429945880938</v>
      </c>
    </row>
    <row r="47" spans="2:15">
      <c r="B47" s="26">
        <v>40817</v>
      </c>
      <c r="C47" s="39">
        <v>4.6595498783454987</v>
      </c>
      <c r="D47" s="40">
        <f>VLOOKUP(CurrentMtgRatesDataTable82[[#This Row],[asOf]],CurrentMtgRatesDataTable823[],2,0)</f>
        <v>4.4594894894894894</v>
      </c>
      <c r="E47" s="40">
        <f>VLOOKUP(CurrentMtgRatesDataTable82[[#This Row],[asOf]],CurrentMtgRatesDataTable8234[],2,0)</f>
        <v>4.5478952879581156</v>
      </c>
      <c r="F47" s="40">
        <f>CurrentMtgRatesDataTable82[[#This Row],[Wac]]-CurrentMtgRatesDataTable82[[#This Row],[Big Non-Bank Lender]]</f>
        <v>0.2000603888560093</v>
      </c>
      <c r="G47" s="40">
        <f>CurrentMtgRatesDataTable82[[#This Row],[Wac]]-CurrentMtgRatesDataTable82[[#This Row],[Small Lender]]</f>
        <v>0.11165459038738312</v>
      </c>
      <c r="H47" s="40">
        <f>CurrentMtgRatesDataTable82[[#This Row],[Big Non-Bank Lender]]-CurrentMtgRatesDataTable82[[#This Row],[Small Lender]]</f>
        <v>-8.8405798468626173E-2</v>
      </c>
      <c r="I47" s="40"/>
      <c r="K47" s="26">
        <v>40817</v>
      </c>
      <c r="L47" s="39">
        <v>4.4594894894894894</v>
      </c>
      <c r="N47" s="26">
        <v>40817</v>
      </c>
      <c r="O47" s="39">
        <v>4.5478952879581156</v>
      </c>
    </row>
    <row r="48" spans="2:15">
      <c r="B48" s="26">
        <v>40787</v>
      </c>
      <c r="C48" s="39">
        <v>4.7836633663366337</v>
      </c>
      <c r="D48" s="40">
        <f>VLOOKUP(CurrentMtgRatesDataTable82[[#This Row],[asOf]],CurrentMtgRatesDataTable823[],2,0)</f>
        <v>4.669598662207358</v>
      </c>
      <c r="E48" s="40">
        <f>VLOOKUP(CurrentMtgRatesDataTable82[[#This Row],[asOf]],CurrentMtgRatesDataTable8234[],2,0)</f>
        <v>4.6959080188679243</v>
      </c>
      <c r="F48" s="40">
        <f>CurrentMtgRatesDataTable82[[#This Row],[Wac]]-CurrentMtgRatesDataTable82[[#This Row],[Big Non-Bank Lender]]</f>
        <v>0.11406470412927572</v>
      </c>
      <c r="G48" s="40">
        <f>CurrentMtgRatesDataTable82[[#This Row],[Wac]]-CurrentMtgRatesDataTable82[[#This Row],[Small Lender]]</f>
        <v>8.7755347468709388E-2</v>
      </c>
      <c r="H48" s="40">
        <f>CurrentMtgRatesDataTable82[[#This Row],[Big Non-Bank Lender]]-CurrentMtgRatesDataTable82[[#This Row],[Small Lender]]</f>
        <v>-2.630935666056633E-2</v>
      </c>
      <c r="I48" s="40"/>
      <c r="K48" s="26">
        <v>40787</v>
      </c>
      <c r="L48" s="39">
        <v>4.669598662207358</v>
      </c>
      <c r="N48" s="26">
        <v>40787</v>
      </c>
      <c r="O48" s="39">
        <v>4.6959080188679243</v>
      </c>
    </row>
    <row r="49" spans="2:15">
      <c r="B49" s="26">
        <v>40756</v>
      </c>
      <c r="C49" s="39">
        <v>4.8711698113207547</v>
      </c>
      <c r="D49" s="40">
        <f>VLOOKUP(CurrentMtgRatesDataTable82[[#This Row],[asOf]],CurrentMtgRatesDataTable823[],2,0)</f>
        <v>4.7421739130434784</v>
      </c>
      <c r="E49" s="40">
        <f>VLOOKUP(CurrentMtgRatesDataTable82[[#This Row],[asOf]],CurrentMtgRatesDataTable8234[],2,0)</f>
        <v>4.823563766388558</v>
      </c>
      <c r="F49" s="40">
        <f>CurrentMtgRatesDataTable82[[#This Row],[Wac]]-CurrentMtgRatesDataTable82[[#This Row],[Big Non-Bank Lender]]</f>
        <v>0.12899589827727631</v>
      </c>
      <c r="G49" s="40">
        <f>CurrentMtgRatesDataTable82[[#This Row],[Wac]]-CurrentMtgRatesDataTable82[[#This Row],[Small Lender]]</f>
        <v>4.7606044932196667E-2</v>
      </c>
      <c r="H49" s="40">
        <f>CurrentMtgRatesDataTable82[[#This Row],[Big Non-Bank Lender]]-CurrentMtgRatesDataTable82[[#This Row],[Small Lender]]</f>
        <v>-8.1389853345079644E-2</v>
      </c>
      <c r="I49" s="40"/>
      <c r="K49" s="26">
        <v>40756</v>
      </c>
      <c r="L49" s="39">
        <v>4.7421739130434784</v>
      </c>
      <c r="N49" s="26">
        <v>40756</v>
      </c>
      <c r="O49" s="39">
        <v>4.823563766388558</v>
      </c>
    </row>
    <row r="50" spans="2:15">
      <c r="B50" s="26">
        <v>40725</v>
      </c>
      <c r="C50" s="39">
        <v>4.9163437500000002</v>
      </c>
      <c r="D50" s="40">
        <f>VLOOKUP(CurrentMtgRatesDataTable82[[#This Row],[asOf]],CurrentMtgRatesDataTable823[],2,0)</f>
        <v>4.8989361702127656</v>
      </c>
      <c r="E50" s="40">
        <f>VLOOKUP(CurrentMtgRatesDataTable82[[#This Row],[asOf]],CurrentMtgRatesDataTable8234[],2,0)</f>
        <v>4.8169811320754716</v>
      </c>
      <c r="F50" s="40">
        <f>CurrentMtgRatesDataTable82[[#This Row],[Wac]]-CurrentMtgRatesDataTable82[[#This Row],[Big Non-Bank Lender]]</f>
        <v>1.7407579787234617E-2</v>
      </c>
      <c r="G50" s="40">
        <f>CurrentMtgRatesDataTable82[[#This Row],[Wac]]-CurrentMtgRatesDataTable82[[#This Row],[Small Lender]]</f>
        <v>9.9362617924528607E-2</v>
      </c>
      <c r="H50" s="40">
        <f>CurrentMtgRatesDataTable82[[#This Row],[Big Non-Bank Lender]]-CurrentMtgRatesDataTable82[[#This Row],[Small Lender]]</f>
        <v>8.195503813729399E-2</v>
      </c>
      <c r="I50" s="40"/>
      <c r="K50" s="26">
        <v>40725</v>
      </c>
      <c r="L50" s="39">
        <v>4.8989361702127656</v>
      </c>
      <c r="N50" s="26">
        <v>40725</v>
      </c>
      <c r="O50" s="39">
        <v>4.8169811320754716</v>
      </c>
    </row>
    <row r="51" spans="2:15">
      <c r="B51" s="26">
        <v>40695</v>
      </c>
      <c r="C51" s="39">
        <v>4.966902286902287</v>
      </c>
      <c r="D51" s="40">
        <f>VLOOKUP(CurrentMtgRatesDataTable82[[#This Row],[asOf]],CurrentMtgRatesDataTable823[],2,0)</f>
        <v>5.0018666666666665</v>
      </c>
      <c r="E51" s="40">
        <f>VLOOKUP(CurrentMtgRatesDataTable82[[#This Row],[asOf]],CurrentMtgRatesDataTable8234[],2,0)</f>
        <v>4.9943731431966727</v>
      </c>
      <c r="F51" s="40">
        <f>CurrentMtgRatesDataTable82[[#This Row],[Wac]]-CurrentMtgRatesDataTable82[[#This Row],[Big Non-Bank Lender]]</f>
        <v>-3.4964379764379494E-2</v>
      </c>
      <c r="G51" s="40">
        <f>CurrentMtgRatesDataTable82[[#This Row],[Wac]]-CurrentMtgRatesDataTable82[[#This Row],[Small Lender]]</f>
        <v>-2.7470856294385726E-2</v>
      </c>
      <c r="H51" s="40">
        <f>CurrentMtgRatesDataTable82[[#This Row],[Big Non-Bank Lender]]-CurrentMtgRatesDataTable82[[#This Row],[Small Lender]]</f>
        <v>7.4935234699937681E-3</v>
      </c>
      <c r="I51" s="40"/>
      <c r="K51" s="26">
        <v>40695</v>
      </c>
      <c r="L51" s="39">
        <v>5.0018666666666665</v>
      </c>
      <c r="N51" s="26">
        <v>40695</v>
      </c>
      <c r="O51" s="39">
        <v>4.9943731431966727</v>
      </c>
    </row>
    <row r="52" spans="2:15">
      <c r="B52" s="26">
        <v>40664</v>
      </c>
      <c r="C52" s="39">
        <v>4.9275345167652862</v>
      </c>
      <c r="D52" s="40">
        <f>VLOOKUP(CurrentMtgRatesDataTable82[[#This Row],[asOf]],CurrentMtgRatesDataTable823[],2,0)</f>
        <v>5.0273376623376622</v>
      </c>
      <c r="E52" s="40">
        <f>VLOOKUP(CurrentMtgRatesDataTable82[[#This Row],[asOf]],CurrentMtgRatesDataTable8234[],2,0)</f>
        <v>5.0189510901591046</v>
      </c>
      <c r="F52" s="40">
        <f>CurrentMtgRatesDataTable82[[#This Row],[Wac]]-CurrentMtgRatesDataTable82[[#This Row],[Big Non-Bank Lender]]</f>
        <v>-9.9803145572376017E-2</v>
      </c>
      <c r="G52" s="40">
        <f>CurrentMtgRatesDataTable82[[#This Row],[Wac]]-CurrentMtgRatesDataTable82[[#This Row],[Small Lender]]</f>
        <v>-9.1416573393818368E-2</v>
      </c>
      <c r="H52" s="40">
        <f>CurrentMtgRatesDataTable82[[#This Row],[Big Non-Bank Lender]]-CurrentMtgRatesDataTable82[[#This Row],[Small Lender]]</f>
        <v>8.3865721785576497E-3</v>
      </c>
      <c r="I52" s="40"/>
      <c r="K52" s="26">
        <v>40664</v>
      </c>
      <c r="L52" s="39">
        <v>5.0273376623376622</v>
      </c>
      <c r="N52" s="26">
        <v>40664</v>
      </c>
      <c r="O52" s="39">
        <v>5.0189510901591046</v>
      </c>
    </row>
    <row r="53" spans="2:15">
      <c r="B53" s="26">
        <v>40634</v>
      </c>
      <c r="C53" s="39">
        <v>4.8821004184100421</v>
      </c>
      <c r="D53" s="40">
        <f>VLOOKUP(CurrentMtgRatesDataTable82[[#This Row],[asOf]],CurrentMtgRatesDataTable823[],2,0)</f>
        <v>5.0941304347826089</v>
      </c>
      <c r="E53" s="40">
        <f>VLOOKUP(CurrentMtgRatesDataTable82[[#This Row],[asOf]],CurrentMtgRatesDataTable8234[],2,0)</f>
        <v>4.941537530266344</v>
      </c>
      <c r="F53" s="40">
        <f>CurrentMtgRatesDataTable82[[#This Row],[Wac]]-CurrentMtgRatesDataTable82[[#This Row],[Big Non-Bank Lender]]</f>
        <v>-0.2120300163725668</v>
      </c>
      <c r="G53" s="40">
        <f>CurrentMtgRatesDataTable82[[#This Row],[Wac]]-CurrentMtgRatesDataTable82[[#This Row],[Small Lender]]</f>
        <v>-5.9437111856301961E-2</v>
      </c>
      <c r="H53" s="40">
        <f>CurrentMtgRatesDataTable82[[#This Row],[Big Non-Bank Lender]]-CurrentMtgRatesDataTable82[[#This Row],[Small Lender]]</f>
        <v>0.15259290451626484</v>
      </c>
      <c r="I53" s="40"/>
      <c r="K53" s="26">
        <v>40634</v>
      </c>
      <c r="L53" s="39">
        <v>5.0941304347826089</v>
      </c>
      <c r="N53" s="26">
        <v>40634</v>
      </c>
      <c r="O53" s="39">
        <v>4.941537530266344</v>
      </c>
    </row>
    <row r="54" spans="2:15">
      <c r="B54" s="26">
        <v>40603</v>
      </c>
      <c r="C54" s="39">
        <v>4.9729197572488202</v>
      </c>
      <c r="D54" s="40">
        <f>VLOOKUP(CurrentMtgRatesDataTable82[[#This Row],[asOf]],CurrentMtgRatesDataTable823[],2,0)</f>
        <v>5.1860080645161286</v>
      </c>
      <c r="E54" s="40">
        <f>VLOOKUP(CurrentMtgRatesDataTable82[[#This Row],[asOf]],CurrentMtgRatesDataTable8234[],2,0)</f>
        <v>5.151738473167045</v>
      </c>
      <c r="F54" s="40">
        <f>CurrentMtgRatesDataTable82[[#This Row],[Wac]]-CurrentMtgRatesDataTable82[[#This Row],[Big Non-Bank Lender]]</f>
        <v>-0.21308830726730843</v>
      </c>
      <c r="G54" s="40">
        <f>CurrentMtgRatesDataTable82[[#This Row],[Wac]]-CurrentMtgRatesDataTable82[[#This Row],[Small Lender]]</f>
        <v>-0.17881871591822485</v>
      </c>
      <c r="H54" s="40">
        <f>CurrentMtgRatesDataTable82[[#This Row],[Big Non-Bank Lender]]-CurrentMtgRatesDataTable82[[#This Row],[Small Lender]]</f>
        <v>3.4269591349083584E-2</v>
      </c>
      <c r="I54" s="40"/>
      <c r="K54" s="26">
        <v>40603</v>
      </c>
      <c r="L54" s="39">
        <v>5.1860080645161286</v>
      </c>
      <c r="N54" s="26">
        <v>40603</v>
      </c>
      <c r="O54" s="39">
        <v>5.151738473167045</v>
      </c>
    </row>
    <row r="55" spans="2:15">
      <c r="B55" s="26">
        <v>40575</v>
      </c>
      <c r="C55" s="39">
        <v>4.6669620253164554</v>
      </c>
      <c r="D55" s="40">
        <f>VLOOKUP(CurrentMtgRatesDataTable82[[#This Row],[asOf]],CurrentMtgRatesDataTable823[],2,0)</f>
        <v>4.6892090395480226</v>
      </c>
      <c r="E55" s="40">
        <f>VLOOKUP(CurrentMtgRatesDataTable82[[#This Row],[asOf]],CurrentMtgRatesDataTable8234[],2,0)</f>
        <v>4.8664612114771524</v>
      </c>
      <c r="F55" s="40">
        <f>CurrentMtgRatesDataTable82[[#This Row],[Wac]]-CurrentMtgRatesDataTable82[[#This Row],[Big Non-Bank Lender]]</f>
        <v>-2.2247014231567164E-2</v>
      </c>
      <c r="G55" s="40">
        <f>CurrentMtgRatesDataTable82[[#This Row],[Wac]]-CurrentMtgRatesDataTable82[[#This Row],[Small Lender]]</f>
        <v>-0.19949918616069695</v>
      </c>
      <c r="H55" s="40">
        <f>CurrentMtgRatesDataTable82[[#This Row],[Big Non-Bank Lender]]-CurrentMtgRatesDataTable82[[#This Row],[Small Lender]]</f>
        <v>-0.17725217192912979</v>
      </c>
      <c r="I55" s="40"/>
      <c r="K55" s="26">
        <v>40575</v>
      </c>
      <c r="L55" s="39">
        <v>4.6892090395480226</v>
      </c>
      <c r="N55" s="26">
        <v>40575</v>
      </c>
      <c r="O55" s="39">
        <v>4.8664612114771524</v>
      </c>
    </row>
    <row r="56" spans="2:15">
      <c r="B56" s="26">
        <v>40544</v>
      </c>
      <c r="C56" s="39">
        <v>4.5938719832109127</v>
      </c>
      <c r="D56" s="40">
        <f>VLOOKUP(CurrentMtgRatesDataTable82[[#This Row],[asOf]],CurrentMtgRatesDataTable823[],2,0)</f>
        <v>4.5987777777777774</v>
      </c>
      <c r="E56" s="40">
        <f>VLOOKUP(CurrentMtgRatesDataTable82[[#This Row],[asOf]],CurrentMtgRatesDataTable8234[],2,0)</f>
        <v>4.7065556182947486</v>
      </c>
      <c r="F56" s="40">
        <f>CurrentMtgRatesDataTable82[[#This Row],[Wac]]-CurrentMtgRatesDataTable82[[#This Row],[Big Non-Bank Lender]]</f>
        <v>-4.9057945668646852E-3</v>
      </c>
      <c r="G56" s="40">
        <f>CurrentMtgRatesDataTable82[[#This Row],[Wac]]-CurrentMtgRatesDataTable82[[#This Row],[Small Lender]]</f>
        <v>-0.11268363508383583</v>
      </c>
      <c r="H56" s="40">
        <f>CurrentMtgRatesDataTable82[[#This Row],[Big Non-Bank Lender]]-CurrentMtgRatesDataTable82[[#This Row],[Small Lender]]</f>
        <v>-0.10777784051697115</v>
      </c>
      <c r="I56" s="40"/>
      <c r="K56" s="26">
        <v>40544</v>
      </c>
      <c r="L56" s="39">
        <v>4.5987777777777774</v>
      </c>
      <c r="N56" s="26">
        <v>40544</v>
      </c>
      <c r="O56" s="39">
        <v>4.7065556182947486</v>
      </c>
    </row>
    <row r="57" spans="2:15">
      <c r="B57" s="26">
        <v>40513</v>
      </c>
      <c r="C57" s="39">
        <v>4.5925727773406768</v>
      </c>
      <c r="D57" s="40">
        <f>VLOOKUP(CurrentMtgRatesDataTable82[[#This Row],[asOf]],CurrentMtgRatesDataTable823[],2,0)</f>
        <v>4.5257679180887376</v>
      </c>
      <c r="E57" s="40">
        <f>VLOOKUP(CurrentMtgRatesDataTable82[[#This Row],[asOf]],CurrentMtgRatesDataTable8234[],2,0)</f>
        <v>4.6478582677165354</v>
      </c>
      <c r="F57" s="40">
        <f>CurrentMtgRatesDataTable82[[#This Row],[Wac]]-CurrentMtgRatesDataTable82[[#This Row],[Big Non-Bank Lender]]</f>
        <v>6.6804859251939241E-2</v>
      </c>
      <c r="G57" s="40">
        <f>CurrentMtgRatesDataTable82[[#This Row],[Wac]]-CurrentMtgRatesDataTable82[[#This Row],[Small Lender]]</f>
        <v>-5.5285490375858615E-2</v>
      </c>
      <c r="H57" s="40">
        <f>CurrentMtgRatesDataTable82[[#This Row],[Big Non-Bank Lender]]-CurrentMtgRatesDataTable82[[#This Row],[Small Lender]]</f>
        <v>-0.12209034962779786</v>
      </c>
      <c r="I57" s="40"/>
      <c r="K57" s="26">
        <v>40513</v>
      </c>
      <c r="L57" s="39">
        <v>4.5257679180887376</v>
      </c>
      <c r="N57" s="26">
        <v>40513</v>
      </c>
      <c r="O57" s="39">
        <v>4.6478582677165354</v>
      </c>
    </row>
    <row r="58" spans="2:15">
      <c r="B58" s="26">
        <v>40483</v>
      </c>
      <c r="C58" s="39">
        <v>4.6825050916496949</v>
      </c>
      <c r="D58" s="40">
        <f>VLOOKUP(CurrentMtgRatesDataTable82[[#This Row],[asOf]],CurrentMtgRatesDataTable823[],2,0)</f>
        <v>4.5908296943231441</v>
      </c>
      <c r="E58" s="40">
        <f>VLOOKUP(CurrentMtgRatesDataTable82[[#This Row],[asOf]],CurrentMtgRatesDataTable8234[],2,0)</f>
        <v>4.6539765510503175</v>
      </c>
      <c r="F58" s="40">
        <f>CurrentMtgRatesDataTable82[[#This Row],[Wac]]-CurrentMtgRatesDataTable82[[#This Row],[Big Non-Bank Lender]]</f>
        <v>9.1675397326550723E-2</v>
      </c>
      <c r="G58" s="40">
        <f>CurrentMtgRatesDataTable82[[#This Row],[Wac]]-CurrentMtgRatesDataTable82[[#This Row],[Small Lender]]</f>
        <v>2.8528540599377372E-2</v>
      </c>
      <c r="H58" s="40">
        <f>CurrentMtgRatesDataTable82[[#This Row],[Big Non-Bank Lender]]-CurrentMtgRatesDataTable82[[#This Row],[Small Lender]]</f>
        <v>-6.3146856727173351E-2</v>
      </c>
      <c r="I58" s="40"/>
      <c r="K58" s="26">
        <v>40483</v>
      </c>
      <c r="L58" s="39">
        <v>4.5908296943231441</v>
      </c>
      <c r="N58" s="26">
        <v>40483</v>
      </c>
      <c r="O58" s="39">
        <v>4.6539765510503175</v>
      </c>
    </row>
    <row r="59" spans="2:15">
      <c r="B59" s="26">
        <v>40452</v>
      </c>
      <c r="C59" s="39">
        <v>4.7646637744034708</v>
      </c>
      <c r="D59" s="40">
        <f>VLOOKUP(CurrentMtgRatesDataTable82[[#This Row],[asOf]],CurrentMtgRatesDataTable823[],2,0)</f>
        <v>4.6623129251700677</v>
      </c>
      <c r="E59" s="40">
        <f>VLOOKUP(CurrentMtgRatesDataTable82[[#This Row],[asOf]],CurrentMtgRatesDataTable8234[],2,0)</f>
        <v>4.6638649592549477</v>
      </c>
      <c r="F59" s="40">
        <f>CurrentMtgRatesDataTable82[[#This Row],[Wac]]-CurrentMtgRatesDataTable82[[#This Row],[Big Non-Bank Lender]]</f>
        <v>0.1023508492334031</v>
      </c>
      <c r="G59" s="40">
        <f>CurrentMtgRatesDataTable82[[#This Row],[Wac]]-CurrentMtgRatesDataTable82[[#This Row],[Small Lender]]</f>
        <v>0.10079881514852307</v>
      </c>
      <c r="H59" s="40">
        <f>CurrentMtgRatesDataTable82[[#This Row],[Big Non-Bank Lender]]-CurrentMtgRatesDataTable82[[#This Row],[Small Lender]]</f>
        <v>-1.5520340848800274E-3</v>
      </c>
      <c r="I59" s="40"/>
      <c r="K59" s="26">
        <v>40452</v>
      </c>
      <c r="L59" s="39">
        <v>4.6623129251700677</v>
      </c>
      <c r="N59" s="26">
        <v>40452</v>
      </c>
      <c r="O59" s="39">
        <v>4.6638649592549477</v>
      </c>
    </row>
    <row r="60" spans="2:15">
      <c r="B60" s="26">
        <v>40422</v>
      </c>
      <c r="C60" s="39">
        <v>4.8957653631284916</v>
      </c>
      <c r="D60" s="40">
        <f>VLOOKUP(CurrentMtgRatesDataTable82[[#This Row],[asOf]],CurrentMtgRatesDataTable823[],2,0)</f>
        <v>4.7988177339901474</v>
      </c>
      <c r="E60" s="40">
        <f>VLOOKUP(CurrentMtgRatesDataTable82[[#This Row],[asOf]],CurrentMtgRatesDataTable8234[],2,0)</f>
        <v>4.7756931012250163</v>
      </c>
      <c r="F60" s="40">
        <f>CurrentMtgRatesDataTable82[[#This Row],[Wac]]-CurrentMtgRatesDataTable82[[#This Row],[Big Non-Bank Lender]]</f>
        <v>9.6947629138344205E-2</v>
      </c>
      <c r="G60" s="40">
        <f>CurrentMtgRatesDataTable82[[#This Row],[Wac]]-CurrentMtgRatesDataTable82[[#This Row],[Small Lender]]</f>
        <v>0.12007226190347531</v>
      </c>
      <c r="H60" s="40">
        <f>CurrentMtgRatesDataTable82[[#This Row],[Big Non-Bank Lender]]-CurrentMtgRatesDataTable82[[#This Row],[Small Lender]]</f>
        <v>2.3124632765131103E-2</v>
      </c>
      <c r="I60" s="40"/>
      <c r="K60" s="26">
        <v>40422</v>
      </c>
      <c r="L60" s="39">
        <v>4.7988177339901474</v>
      </c>
      <c r="N60" s="26">
        <v>40422</v>
      </c>
      <c r="O60" s="39">
        <v>4.7756931012250163</v>
      </c>
    </row>
    <row r="61" spans="2:15">
      <c r="B61" s="26">
        <v>40391</v>
      </c>
      <c r="C61" s="39">
        <v>4.9864661654135336</v>
      </c>
      <c r="D61" s="40">
        <f>VLOOKUP(CurrentMtgRatesDataTable82[[#This Row],[asOf]],CurrentMtgRatesDataTable823[],2,0)</f>
        <v>4.9659154929577465</v>
      </c>
      <c r="E61" s="40">
        <f>VLOOKUP(CurrentMtgRatesDataTable82[[#This Row],[asOf]],CurrentMtgRatesDataTable8234[],2,0)</f>
        <v>5.0002510760401719</v>
      </c>
      <c r="F61" s="40">
        <f>CurrentMtgRatesDataTable82[[#This Row],[Wac]]-CurrentMtgRatesDataTable82[[#This Row],[Big Non-Bank Lender]]</f>
        <v>2.0550672455787122E-2</v>
      </c>
      <c r="G61" s="40">
        <f>CurrentMtgRatesDataTable82[[#This Row],[Wac]]-CurrentMtgRatesDataTable82[[#This Row],[Small Lender]]</f>
        <v>-1.3784910626638336E-2</v>
      </c>
      <c r="H61" s="40">
        <f>CurrentMtgRatesDataTable82[[#This Row],[Big Non-Bank Lender]]-CurrentMtgRatesDataTable82[[#This Row],[Small Lender]]</f>
        <v>-3.4335583082425458E-2</v>
      </c>
      <c r="I61" s="40"/>
      <c r="K61" s="26">
        <v>40391</v>
      </c>
      <c r="L61" s="39">
        <v>4.9659154929577465</v>
      </c>
      <c r="N61" s="26">
        <v>40391</v>
      </c>
      <c r="O61" s="39">
        <v>5.0002510760401719</v>
      </c>
    </row>
    <row r="62" spans="2:15">
      <c r="B62" s="26">
        <v>40360</v>
      </c>
      <c r="C62" s="39">
        <v>5.075707620528771</v>
      </c>
      <c r="D62" s="40">
        <f>VLOOKUP(CurrentMtgRatesDataTable82[[#This Row],[asOf]],CurrentMtgRatesDataTable823[],2,0)</f>
        <v>5.2304761904761907</v>
      </c>
      <c r="E62" s="40">
        <f>VLOOKUP(CurrentMtgRatesDataTable82[[#This Row],[asOf]],CurrentMtgRatesDataTable8234[],2,0)</f>
        <v>5.1613145539906107</v>
      </c>
      <c r="F62" s="40">
        <f>CurrentMtgRatesDataTable82[[#This Row],[Wac]]-CurrentMtgRatesDataTable82[[#This Row],[Big Non-Bank Lender]]</f>
        <v>-0.15476856994741972</v>
      </c>
      <c r="G62" s="40">
        <f>CurrentMtgRatesDataTable82[[#This Row],[Wac]]-CurrentMtgRatesDataTable82[[#This Row],[Small Lender]]</f>
        <v>-8.5606933461839674E-2</v>
      </c>
      <c r="H62" s="40">
        <f>CurrentMtgRatesDataTable82[[#This Row],[Big Non-Bank Lender]]-CurrentMtgRatesDataTable82[[#This Row],[Small Lender]]</f>
        <v>6.9161636485580047E-2</v>
      </c>
      <c r="I62" s="40"/>
      <c r="K62" s="26">
        <v>40360</v>
      </c>
      <c r="L62" s="39">
        <v>5.2304761904761907</v>
      </c>
      <c r="N62" s="26">
        <v>40360</v>
      </c>
      <c r="O62" s="39">
        <v>5.1613145539906107</v>
      </c>
    </row>
    <row r="63" spans="2:15">
      <c r="B63" s="26">
        <v>40330</v>
      </c>
      <c r="C63" s="39">
        <v>5.2701765447667084</v>
      </c>
      <c r="D63" s="40">
        <f>VLOOKUP(CurrentMtgRatesDataTable82[[#This Row],[asOf]],CurrentMtgRatesDataTable823[],2,0)</f>
        <v>5.3774380165289255</v>
      </c>
      <c r="E63" s="40">
        <f>VLOOKUP(CurrentMtgRatesDataTable82[[#This Row],[asOf]],CurrentMtgRatesDataTable8234[],2,0)</f>
        <v>5.2962028127313099</v>
      </c>
      <c r="F63" s="40">
        <f>CurrentMtgRatesDataTable82[[#This Row],[Wac]]-CurrentMtgRatesDataTable82[[#This Row],[Big Non-Bank Lender]]</f>
        <v>-0.10726147176221712</v>
      </c>
      <c r="G63" s="40">
        <f>CurrentMtgRatesDataTable82[[#This Row],[Wac]]-CurrentMtgRatesDataTable82[[#This Row],[Small Lender]]</f>
        <v>-2.6026267964601502E-2</v>
      </c>
      <c r="H63" s="40">
        <f>CurrentMtgRatesDataTable82[[#This Row],[Big Non-Bank Lender]]-CurrentMtgRatesDataTable82[[#This Row],[Small Lender]]</f>
        <v>8.1235203797615618E-2</v>
      </c>
      <c r="I63" s="40"/>
      <c r="K63" s="26">
        <v>40330</v>
      </c>
      <c r="L63" s="39">
        <v>5.3774380165289255</v>
      </c>
      <c r="N63" s="26">
        <v>40330</v>
      </c>
      <c r="O63" s="39">
        <v>5.2962028127313099</v>
      </c>
    </row>
    <row r="64" spans="2:15">
      <c r="B64" s="26">
        <v>40299</v>
      </c>
      <c r="C64" s="39">
        <v>5.1354871794871793</v>
      </c>
      <c r="D64" s="40">
        <f>VLOOKUP(CurrentMtgRatesDataTable82[[#This Row],[asOf]],CurrentMtgRatesDataTable823[],2,0)</f>
        <v>5.2816853932584271</v>
      </c>
      <c r="E64" s="40">
        <f>VLOOKUP(CurrentMtgRatesDataTable82[[#This Row],[asOf]],CurrentMtgRatesDataTable8234[],2,0)</f>
        <v>5.1788924731182799</v>
      </c>
      <c r="F64" s="40">
        <f>CurrentMtgRatesDataTable82[[#This Row],[Wac]]-CurrentMtgRatesDataTable82[[#This Row],[Big Non-Bank Lender]]</f>
        <v>-0.14619821377124786</v>
      </c>
      <c r="G64" s="40">
        <f>CurrentMtgRatesDataTable82[[#This Row],[Wac]]-CurrentMtgRatesDataTable82[[#This Row],[Small Lender]]</f>
        <v>-4.3405293631100683E-2</v>
      </c>
      <c r="H64" s="40">
        <f>CurrentMtgRatesDataTable82[[#This Row],[Big Non-Bank Lender]]-CurrentMtgRatesDataTable82[[#This Row],[Small Lender]]</f>
        <v>0.10279292014014718</v>
      </c>
      <c r="I64" s="40"/>
      <c r="K64" s="26">
        <v>40299</v>
      </c>
      <c r="L64" s="39">
        <v>5.2816853932584271</v>
      </c>
      <c r="N64" s="26">
        <v>40299</v>
      </c>
      <c r="O64" s="39">
        <v>5.1788924731182799</v>
      </c>
    </row>
    <row r="65" spans="2:15">
      <c r="B65" s="26">
        <v>40269</v>
      </c>
      <c r="C65" s="39">
        <v>5.1234027777777778</v>
      </c>
      <c r="D65" s="40">
        <f>VLOOKUP(CurrentMtgRatesDataTable82[[#This Row],[asOf]],CurrentMtgRatesDataTable823[],2,0)</f>
        <v>5.2726562499999998</v>
      </c>
      <c r="E65" s="40">
        <f>VLOOKUP(CurrentMtgRatesDataTable82[[#This Row],[asOf]],CurrentMtgRatesDataTable8234[],2,0)</f>
        <v>5.2731155778894472</v>
      </c>
      <c r="F65" s="40">
        <f>CurrentMtgRatesDataTable82[[#This Row],[Wac]]-CurrentMtgRatesDataTable82[[#This Row],[Big Non-Bank Lender]]</f>
        <v>-0.14925347222222207</v>
      </c>
      <c r="G65" s="40">
        <f>CurrentMtgRatesDataTable82[[#This Row],[Wac]]-CurrentMtgRatesDataTable82[[#This Row],[Small Lender]]</f>
        <v>-0.14971280011166943</v>
      </c>
      <c r="H65" s="40">
        <f>CurrentMtgRatesDataTable82[[#This Row],[Big Non-Bank Lender]]-CurrentMtgRatesDataTable82[[#This Row],[Small Lender]]</f>
        <v>-4.5932788944735847E-4</v>
      </c>
      <c r="I65" s="40"/>
      <c r="K65" s="26">
        <v>40269</v>
      </c>
      <c r="L65" s="39">
        <v>5.2726562499999998</v>
      </c>
      <c r="N65" s="26">
        <v>40269</v>
      </c>
      <c r="O65" s="39">
        <v>5.2731155778894472</v>
      </c>
    </row>
    <row r="66" spans="2:15">
      <c r="B66" s="26">
        <v>40238</v>
      </c>
      <c r="C66" s="39">
        <v>5.1650490196078431</v>
      </c>
      <c r="D66" s="40">
        <f>VLOOKUP(CurrentMtgRatesDataTable82[[#This Row],[asOf]],CurrentMtgRatesDataTable823[],2,0)</f>
        <v>5.226</v>
      </c>
      <c r="E66" s="40">
        <f>VLOOKUP(CurrentMtgRatesDataTable82[[#This Row],[asOf]],CurrentMtgRatesDataTable8234[],2,0)</f>
        <v>5.2865248226950357</v>
      </c>
      <c r="F66" s="40">
        <f>CurrentMtgRatesDataTable82[[#This Row],[Wac]]-CurrentMtgRatesDataTable82[[#This Row],[Big Non-Bank Lender]]</f>
        <v>-6.095098039215685E-2</v>
      </c>
      <c r="G66" s="40">
        <f>CurrentMtgRatesDataTable82[[#This Row],[Wac]]-CurrentMtgRatesDataTable82[[#This Row],[Small Lender]]</f>
        <v>-0.12147580308719252</v>
      </c>
      <c r="H66" s="40">
        <f>CurrentMtgRatesDataTable82[[#This Row],[Big Non-Bank Lender]]-CurrentMtgRatesDataTable82[[#This Row],[Small Lender]]</f>
        <v>-6.0524822695035674E-2</v>
      </c>
      <c r="I66" s="40"/>
      <c r="K66" s="26">
        <v>40238</v>
      </c>
      <c r="L66" s="39">
        <v>5.226</v>
      </c>
      <c r="N66" s="26">
        <v>40238</v>
      </c>
      <c r="O66" s="39">
        <v>5.2865248226950357</v>
      </c>
    </row>
    <row r="67" spans="2:15">
      <c r="B67" s="26">
        <v>40210</v>
      </c>
      <c r="C67" s="39">
        <v>5.1120547945205477</v>
      </c>
      <c r="D67" s="40">
        <f>VLOOKUP(CurrentMtgRatesDataTable82[[#This Row],[asOf]],CurrentMtgRatesDataTable823[],2,0)</f>
        <v>5.0967543859649123</v>
      </c>
      <c r="E67" s="40">
        <f>VLOOKUP(CurrentMtgRatesDataTable82[[#This Row],[asOf]],CurrentMtgRatesDataTable8234[],2,0)</f>
        <v>5.2236041189931353</v>
      </c>
      <c r="F67" s="40">
        <f>CurrentMtgRatesDataTable82[[#This Row],[Wac]]-CurrentMtgRatesDataTable82[[#This Row],[Big Non-Bank Lender]]</f>
        <v>1.5300408555635414E-2</v>
      </c>
      <c r="G67" s="40">
        <f>CurrentMtgRatesDataTable82[[#This Row],[Wac]]-CurrentMtgRatesDataTable82[[#This Row],[Small Lender]]</f>
        <v>-0.11154932447258759</v>
      </c>
      <c r="H67" s="40">
        <f>CurrentMtgRatesDataTable82[[#This Row],[Big Non-Bank Lender]]-CurrentMtgRatesDataTable82[[#This Row],[Small Lender]]</f>
        <v>-0.126849733028223</v>
      </c>
      <c r="I67" s="40"/>
      <c r="K67" s="26">
        <v>40210</v>
      </c>
      <c r="L67" s="39">
        <v>5.0967543859649123</v>
      </c>
      <c r="N67" s="26">
        <v>40210</v>
      </c>
      <c r="O67" s="39">
        <v>5.2236041189931353</v>
      </c>
    </row>
    <row r="68" spans="2:15">
      <c r="B68" s="26">
        <v>40179</v>
      </c>
      <c r="C68" s="39">
        <v>5.1348584905660379</v>
      </c>
      <c r="D68" s="40">
        <f>VLOOKUP(CurrentMtgRatesDataTable82[[#This Row],[asOf]],CurrentMtgRatesDataTable823[],2,0)</f>
        <v>5.0649655172413794</v>
      </c>
      <c r="E68" s="40">
        <f>VLOOKUP(CurrentMtgRatesDataTable82[[#This Row],[asOf]],CurrentMtgRatesDataTable8234[],2,0)</f>
        <v>5.2146581691772882</v>
      </c>
      <c r="F68" s="40">
        <f>CurrentMtgRatesDataTable82[[#This Row],[Wac]]-CurrentMtgRatesDataTable82[[#This Row],[Big Non-Bank Lender]]</f>
        <v>6.9892973324658492E-2</v>
      </c>
      <c r="G68" s="40">
        <f>CurrentMtgRatesDataTable82[[#This Row],[Wac]]-CurrentMtgRatesDataTable82[[#This Row],[Small Lender]]</f>
        <v>-7.9799678611250258E-2</v>
      </c>
      <c r="H68" s="40">
        <f>CurrentMtgRatesDataTable82[[#This Row],[Big Non-Bank Lender]]-CurrentMtgRatesDataTable82[[#This Row],[Small Lender]]</f>
        <v>-0.14969265193590875</v>
      </c>
      <c r="I68" s="40"/>
      <c r="K68" s="26">
        <v>40179</v>
      </c>
      <c r="L68" s="39">
        <v>5.0649655172413794</v>
      </c>
      <c r="N68" s="26">
        <v>40179</v>
      </c>
      <c r="O68" s="39">
        <v>5.2146581691772882</v>
      </c>
    </row>
    <row r="69" spans="2:15">
      <c r="B69" s="26">
        <v>40148</v>
      </c>
      <c r="C69" s="39">
        <v>5.1564142538975499</v>
      </c>
      <c r="D69" s="40">
        <f>VLOOKUP(CurrentMtgRatesDataTable82[[#This Row],[asOf]],CurrentMtgRatesDataTable823[],2,0)</f>
        <v>5.1366176470588236</v>
      </c>
      <c r="E69" s="40">
        <f>VLOOKUP(CurrentMtgRatesDataTable82[[#This Row],[asOf]],CurrentMtgRatesDataTable8234[],2,0)</f>
        <v>5.254167400881057</v>
      </c>
      <c r="F69" s="40">
        <f>CurrentMtgRatesDataTable82[[#This Row],[Wac]]-CurrentMtgRatesDataTable82[[#This Row],[Big Non-Bank Lender]]</f>
        <v>1.9796606838726305E-2</v>
      </c>
      <c r="G69" s="40">
        <f>CurrentMtgRatesDataTable82[[#This Row],[Wac]]-CurrentMtgRatesDataTable82[[#This Row],[Small Lender]]</f>
        <v>-9.7753146983507122E-2</v>
      </c>
      <c r="H69" s="40">
        <f>CurrentMtgRatesDataTable82[[#This Row],[Big Non-Bank Lender]]-CurrentMtgRatesDataTable82[[#This Row],[Small Lender]]</f>
        <v>-0.11754975382223343</v>
      </c>
      <c r="I69" s="40"/>
      <c r="K69" s="26">
        <v>40148</v>
      </c>
      <c r="L69" s="39">
        <v>5.1366176470588236</v>
      </c>
      <c r="N69" s="26">
        <v>40148</v>
      </c>
      <c r="O69" s="39">
        <v>5.254167400881057</v>
      </c>
    </row>
    <row r="70" spans="2:15">
      <c r="B70" s="26">
        <v>40118</v>
      </c>
      <c r="C70" s="39">
        <v>5.2733474576271187</v>
      </c>
      <c r="D70" s="40">
        <f>VLOOKUP(CurrentMtgRatesDataTable82[[#This Row],[asOf]],CurrentMtgRatesDataTable823[],2,0)</f>
        <v>5.2318045112781952</v>
      </c>
      <c r="E70" s="40">
        <f>VLOOKUP(CurrentMtgRatesDataTable82[[#This Row],[asOf]],CurrentMtgRatesDataTable8234[],2,0)</f>
        <v>5.2768128654970763</v>
      </c>
      <c r="F70" s="40">
        <f>CurrentMtgRatesDataTable82[[#This Row],[Wac]]-CurrentMtgRatesDataTable82[[#This Row],[Big Non-Bank Lender]]</f>
        <v>4.1542946348923415E-2</v>
      </c>
      <c r="G70" s="40">
        <f>CurrentMtgRatesDataTable82[[#This Row],[Wac]]-CurrentMtgRatesDataTable82[[#This Row],[Small Lender]]</f>
        <v>-3.4654078699576374E-3</v>
      </c>
      <c r="H70" s="40">
        <f>CurrentMtgRatesDataTable82[[#This Row],[Big Non-Bank Lender]]-CurrentMtgRatesDataTable82[[#This Row],[Small Lender]]</f>
        <v>-4.5008354218881053E-2</v>
      </c>
      <c r="I70" s="40"/>
      <c r="K70" s="26">
        <v>40118</v>
      </c>
      <c r="L70" s="39">
        <v>5.2318045112781952</v>
      </c>
      <c r="N70" s="26">
        <v>40118</v>
      </c>
      <c r="O70" s="39">
        <v>5.2768128654970763</v>
      </c>
    </row>
    <row r="71" spans="2:15">
      <c r="B71" s="26">
        <v>40087</v>
      </c>
      <c r="C71" s="39">
        <v>5.2421489361702127</v>
      </c>
      <c r="D71" s="40">
        <f>VLOOKUP(CurrentMtgRatesDataTable82[[#This Row],[asOf]],CurrentMtgRatesDataTable823[],2,0)</f>
        <v>5.3814728682170543</v>
      </c>
      <c r="E71" s="40">
        <f>VLOOKUP(CurrentMtgRatesDataTable82[[#This Row],[asOf]],CurrentMtgRatesDataTable8234[],2,0)</f>
        <v>5.3857841328413283</v>
      </c>
      <c r="F71" s="40">
        <f>CurrentMtgRatesDataTable82[[#This Row],[Wac]]-CurrentMtgRatesDataTable82[[#This Row],[Big Non-Bank Lender]]</f>
        <v>-0.13932393204684157</v>
      </c>
      <c r="G71" s="40">
        <f>CurrentMtgRatesDataTable82[[#This Row],[Wac]]-CurrentMtgRatesDataTable82[[#This Row],[Small Lender]]</f>
        <v>-0.14363519667111557</v>
      </c>
      <c r="H71" s="40">
        <f>CurrentMtgRatesDataTable82[[#This Row],[Big Non-Bank Lender]]-CurrentMtgRatesDataTable82[[#This Row],[Small Lender]]</f>
        <v>-4.3112646242740027E-3</v>
      </c>
      <c r="I71" s="40"/>
      <c r="K71" s="26">
        <v>40087</v>
      </c>
      <c r="L71" s="39">
        <v>5.3814728682170543</v>
      </c>
      <c r="N71" s="26">
        <v>40087</v>
      </c>
      <c r="O71" s="39">
        <v>5.3857841328413283</v>
      </c>
    </row>
    <row r="72" spans="2:15">
      <c r="B72" s="26">
        <v>40057</v>
      </c>
      <c r="C72" s="39">
        <v>5.5872941176470592</v>
      </c>
      <c r="D72" s="40">
        <f>VLOOKUP(CurrentMtgRatesDataTable82[[#This Row],[asOf]],CurrentMtgRatesDataTable823[],2,0)</f>
        <v>5.5050340136054423</v>
      </c>
      <c r="E72" s="40">
        <f>VLOOKUP(CurrentMtgRatesDataTable82[[#This Row],[asOf]],CurrentMtgRatesDataTable8234[],2,0)</f>
        <v>5.5528234398782343</v>
      </c>
      <c r="F72" s="40">
        <f>CurrentMtgRatesDataTable82[[#This Row],[Wac]]-CurrentMtgRatesDataTable82[[#This Row],[Big Non-Bank Lender]]</f>
        <v>8.2260104041616877E-2</v>
      </c>
      <c r="G72" s="40">
        <f>CurrentMtgRatesDataTable82[[#This Row],[Wac]]-CurrentMtgRatesDataTable82[[#This Row],[Small Lender]]</f>
        <v>3.4470677768824842E-2</v>
      </c>
      <c r="H72" s="40">
        <f>CurrentMtgRatesDataTable82[[#This Row],[Big Non-Bank Lender]]-CurrentMtgRatesDataTable82[[#This Row],[Small Lender]]</f>
        <v>-4.7789426272792035E-2</v>
      </c>
      <c r="I72" s="40"/>
      <c r="K72" s="26">
        <v>40057</v>
      </c>
      <c r="L72" s="39">
        <v>5.5050340136054423</v>
      </c>
      <c r="N72" s="26">
        <v>40057</v>
      </c>
      <c r="O72" s="39">
        <v>5.5528234398782343</v>
      </c>
    </row>
    <row r="73" spans="2:15">
      <c r="B73" s="26">
        <v>40026</v>
      </c>
      <c r="C73" s="39">
        <v>5.2512607944732297</v>
      </c>
      <c r="D73" s="40">
        <f>VLOOKUP(CurrentMtgRatesDataTable82[[#This Row],[asOf]],CurrentMtgRatesDataTable823[],2,0)</f>
        <v>5.3330379746835446</v>
      </c>
      <c r="E73" s="40">
        <f>VLOOKUP(CurrentMtgRatesDataTable82[[#This Row],[asOf]],CurrentMtgRatesDataTable8234[],2,0)</f>
        <v>5.3978220140515223</v>
      </c>
      <c r="F73" s="40">
        <f>CurrentMtgRatesDataTable82[[#This Row],[Wac]]-CurrentMtgRatesDataTable82[[#This Row],[Big Non-Bank Lender]]</f>
        <v>-8.1777180210314881E-2</v>
      </c>
      <c r="G73" s="40">
        <f>CurrentMtgRatesDataTable82[[#This Row],[Wac]]-CurrentMtgRatesDataTable82[[#This Row],[Small Lender]]</f>
        <v>-0.1465612195782926</v>
      </c>
      <c r="H73" s="40">
        <f>CurrentMtgRatesDataTable82[[#This Row],[Big Non-Bank Lender]]-CurrentMtgRatesDataTable82[[#This Row],[Small Lender]]</f>
        <v>-6.4784039367977719E-2</v>
      </c>
      <c r="I73" s="40"/>
      <c r="K73" s="26">
        <v>40026</v>
      </c>
      <c r="L73" s="39">
        <v>5.3330379746835446</v>
      </c>
      <c r="N73" s="26">
        <v>40026</v>
      </c>
      <c r="O73" s="39">
        <v>5.3978220140515223</v>
      </c>
    </row>
    <row r="74" spans="2:15">
      <c r="B74" s="26">
        <v>39995</v>
      </c>
      <c r="C74" s="39">
        <v>5.1873538461538464</v>
      </c>
      <c r="D74" s="40">
        <f>VLOOKUP(CurrentMtgRatesDataTable82[[#This Row],[asOf]],CurrentMtgRatesDataTable823[],2,0)</f>
        <v>5.2791366906474817</v>
      </c>
      <c r="E74" s="40">
        <f>VLOOKUP(CurrentMtgRatesDataTable82[[#This Row],[asOf]],CurrentMtgRatesDataTable8234[],2,0)</f>
        <v>5.3322008862629247</v>
      </c>
      <c r="F74" s="40">
        <f>CurrentMtgRatesDataTable82[[#This Row],[Wac]]-CurrentMtgRatesDataTable82[[#This Row],[Big Non-Bank Lender]]</f>
        <v>-9.1782844493635274E-2</v>
      </c>
      <c r="G74" s="40">
        <f>CurrentMtgRatesDataTable82[[#This Row],[Wac]]-CurrentMtgRatesDataTable82[[#This Row],[Small Lender]]</f>
        <v>-0.14484704010907823</v>
      </c>
      <c r="H74" s="40">
        <f>CurrentMtgRatesDataTable82[[#This Row],[Big Non-Bank Lender]]-CurrentMtgRatesDataTable82[[#This Row],[Small Lender]]</f>
        <v>-5.3064195615442955E-2</v>
      </c>
      <c r="I74" s="40"/>
      <c r="K74" s="26">
        <v>39995</v>
      </c>
      <c r="L74" s="39">
        <v>5.2791366906474817</v>
      </c>
      <c r="N74" s="26">
        <v>39995</v>
      </c>
      <c r="O74" s="39">
        <v>5.3322008862629247</v>
      </c>
    </row>
    <row r="75" spans="2:15">
      <c r="B75" s="26">
        <v>39965</v>
      </c>
      <c r="C75" s="39">
        <v>5.6413742690058477</v>
      </c>
      <c r="D75" s="40">
        <f>VLOOKUP(CurrentMtgRatesDataTable82[[#This Row],[asOf]],CurrentMtgRatesDataTable823[],2,0)</f>
        <v>5.7425600000000001</v>
      </c>
      <c r="E75" s="40">
        <f>VLOOKUP(CurrentMtgRatesDataTable82[[#This Row],[asOf]],CurrentMtgRatesDataTable8234[],2,0)</f>
        <v>5.518167855183763</v>
      </c>
      <c r="F75" s="40">
        <f>CurrentMtgRatesDataTable82[[#This Row],[Wac]]-CurrentMtgRatesDataTable82[[#This Row],[Big Non-Bank Lender]]</f>
        <v>-0.1011857309941524</v>
      </c>
      <c r="G75" s="40">
        <f>CurrentMtgRatesDataTable82[[#This Row],[Wac]]-CurrentMtgRatesDataTable82[[#This Row],[Small Lender]]</f>
        <v>0.12320641382208475</v>
      </c>
      <c r="H75" s="40">
        <f>CurrentMtgRatesDataTable82[[#This Row],[Big Non-Bank Lender]]-CurrentMtgRatesDataTable82[[#This Row],[Small Lender]]</f>
        <v>0.22439214481623715</v>
      </c>
      <c r="I75" s="40"/>
      <c r="K75" s="26">
        <v>39965</v>
      </c>
      <c r="L75" s="39">
        <v>5.7425600000000001</v>
      </c>
      <c r="N75" s="26">
        <v>39965</v>
      </c>
      <c r="O75" s="39">
        <v>5.518167855183763</v>
      </c>
    </row>
    <row r="76" spans="2:15">
      <c r="B76" s="26">
        <v>39934</v>
      </c>
      <c r="C76" s="39">
        <v>5.4856545454545458</v>
      </c>
      <c r="D76" s="40">
        <f>VLOOKUP(CurrentMtgRatesDataTable82[[#This Row],[asOf]],CurrentMtgRatesDataTable823[],2,0)</f>
        <v>5.3722826086956523</v>
      </c>
      <c r="E76" s="40">
        <f>VLOOKUP(CurrentMtgRatesDataTable82[[#This Row],[asOf]],CurrentMtgRatesDataTable8234[],2,0)</f>
        <v>5.5367820990942995</v>
      </c>
      <c r="F76" s="40">
        <f>CurrentMtgRatesDataTable82[[#This Row],[Wac]]-CurrentMtgRatesDataTable82[[#This Row],[Big Non-Bank Lender]]</f>
        <v>0.11337193675889345</v>
      </c>
      <c r="G76" s="40">
        <f>CurrentMtgRatesDataTable82[[#This Row],[Wac]]-CurrentMtgRatesDataTable82[[#This Row],[Small Lender]]</f>
        <v>-5.1127553639753742E-2</v>
      </c>
      <c r="H76" s="40">
        <f>CurrentMtgRatesDataTable82[[#This Row],[Big Non-Bank Lender]]-CurrentMtgRatesDataTable82[[#This Row],[Small Lender]]</f>
        <v>-0.1644994903986472</v>
      </c>
      <c r="I76" s="40"/>
      <c r="K76" s="26">
        <v>39934</v>
      </c>
      <c r="L76" s="39">
        <v>5.3722826086956523</v>
      </c>
      <c r="N76" s="26">
        <v>39934</v>
      </c>
      <c r="O76" s="39">
        <v>5.5367820990942995</v>
      </c>
    </row>
    <row r="77" spans="2:15">
      <c r="B77" s="26">
        <v>39904</v>
      </c>
      <c r="C77" s="39">
        <v>5.1703921568627447</v>
      </c>
      <c r="D77" s="40">
        <f>VLOOKUP(CurrentMtgRatesDataTable82[[#This Row],[asOf]],CurrentMtgRatesDataTable823[],2,0)</f>
        <v>5.5121276595744684</v>
      </c>
      <c r="E77" s="40">
        <f>VLOOKUP(CurrentMtgRatesDataTable82[[#This Row],[asOf]],CurrentMtgRatesDataTable8234[],2,0)</f>
        <v>5.3880502599653379</v>
      </c>
      <c r="F77" s="40">
        <f>CurrentMtgRatesDataTable82[[#This Row],[Wac]]-CurrentMtgRatesDataTable82[[#This Row],[Big Non-Bank Lender]]</f>
        <v>-0.3417355027117237</v>
      </c>
      <c r="G77" s="40">
        <f>CurrentMtgRatesDataTable82[[#This Row],[Wac]]-CurrentMtgRatesDataTable82[[#This Row],[Small Lender]]</f>
        <v>-0.21765810310259326</v>
      </c>
      <c r="H77" s="40">
        <f>CurrentMtgRatesDataTable82[[#This Row],[Big Non-Bank Lender]]-CurrentMtgRatesDataTable82[[#This Row],[Small Lender]]</f>
        <v>0.12407739960913045</v>
      </c>
      <c r="I77" s="40"/>
      <c r="K77" s="26">
        <v>39904</v>
      </c>
      <c r="L77" s="39">
        <v>5.5121276595744684</v>
      </c>
      <c r="N77" s="26">
        <v>39904</v>
      </c>
      <c r="O77" s="39">
        <v>5.3880502599653379</v>
      </c>
    </row>
    <row r="78" spans="2:15">
      <c r="B78" s="26">
        <v>39873</v>
      </c>
      <c r="C78" s="39">
        <v>5.4608626974483601</v>
      </c>
      <c r="D78" s="40">
        <f>VLOOKUP(CurrentMtgRatesDataTable82[[#This Row],[asOf]],CurrentMtgRatesDataTable823[],2,0)</f>
        <v>5.5514285714285716</v>
      </c>
      <c r="E78" s="40">
        <f>VLOOKUP(CurrentMtgRatesDataTable82[[#This Row],[asOf]],CurrentMtgRatesDataTable8234[],2,0)</f>
        <v>5.5721674876847294</v>
      </c>
      <c r="F78" s="40">
        <f>CurrentMtgRatesDataTable82[[#This Row],[Wac]]-CurrentMtgRatesDataTable82[[#This Row],[Big Non-Bank Lender]]</f>
        <v>-9.0565873980211542E-2</v>
      </c>
      <c r="G78" s="40">
        <f>CurrentMtgRatesDataTable82[[#This Row],[Wac]]-CurrentMtgRatesDataTable82[[#This Row],[Small Lender]]</f>
        <v>-0.1113047902363693</v>
      </c>
      <c r="H78" s="40">
        <f>CurrentMtgRatesDataTable82[[#This Row],[Big Non-Bank Lender]]-CurrentMtgRatesDataTable82[[#This Row],[Small Lender]]</f>
        <v>-2.0738916256157758E-2</v>
      </c>
      <c r="I78" s="40"/>
      <c r="K78" s="26">
        <v>39873</v>
      </c>
      <c r="L78" s="39">
        <v>5.5514285714285716</v>
      </c>
      <c r="N78" s="26">
        <v>39873</v>
      </c>
      <c r="O78" s="39">
        <v>5.5721674876847294</v>
      </c>
    </row>
    <row r="79" spans="2:15">
      <c r="B79" s="26">
        <v>39845</v>
      </c>
      <c r="C79" s="39">
        <v>5.6196038034865294</v>
      </c>
      <c r="D79" s="40">
        <f>VLOOKUP(CurrentMtgRatesDataTable82[[#This Row],[asOf]],CurrentMtgRatesDataTable823[],2,0)</f>
        <v>5.4381034482758617</v>
      </c>
      <c r="E79" s="40">
        <f>VLOOKUP(CurrentMtgRatesDataTable82[[#This Row],[asOf]],CurrentMtgRatesDataTable8234[],2,0)</f>
        <v>5.69468</v>
      </c>
      <c r="F79" s="40">
        <f>CurrentMtgRatesDataTable82[[#This Row],[Wac]]-CurrentMtgRatesDataTable82[[#This Row],[Big Non-Bank Lender]]</f>
        <v>0.18150035521066776</v>
      </c>
      <c r="G79" s="40">
        <f>CurrentMtgRatesDataTable82[[#This Row],[Wac]]-CurrentMtgRatesDataTable82[[#This Row],[Small Lender]]</f>
        <v>-7.5076196513470528E-2</v>
      </c>
      <c r="H79" s="40">
        <f>CurrentMtgRatesDataTable82[[#This Row],[Big Non-Bank Lender]]-CurrentMtgRatesDataTable82[[#This Row],[Small Lender]]</f>
        <v>-0.25657655172413829</v>
      </c>
      <c r="I79" s="40"/>
      <c r="K79" s="26">
        <v>39845</v>
      </c>
      <c r="L79" s="39">
        <v>5.4381034482758617</v>
      </c>
      <c r="N79" s="26">
        <v>39845</v>
      </c>
      <c r="O79" s="39">
        <v>5.69468</v>
      </c>
    </row>
    <row r="80" spans="2:15">
      <c r="B80" s="26">
        <v>39814</v>
      </c>
      <c r="C80" s="39">
        <v>5.9806085526315789</v>
      </c>
      <c r="D80" s="40">
        <f>VLOOKUP(CurrentMtgRatesDataTable82[[#This Row],[asOf]],CurrentMtgRatesDataTable823[],2,0)</f>
        <v>6.1330882352941174</v>
      </c>
      <c r="E80" s="40">
        <f>VLOOKUP(CurrentMtgRatesDataTable82[[#This Row],[asOf]],CurrentMtgRatesDataTable8234[],2,0)</f>
        <v>6.30480231436837</v>
      </c>
      <c r="F80" s="40">
        <f>CurrentMtgRatesDataTable82[[#This Row],[Wac]]-CurrentMtgRatesDataTable82[[#This Row],[Big Non-Bank Lender]]</f>
        <v>-0.15247968266253853</v>
      </c>
      <c r="G80" s="40">
        <f>CurrentMtgRatesDataTable82[[#This Row],[Wac]]-CurrentMtgRatesDataTable82[[#This Row],[Small Lender]]</f>
        <v>-0.32419376173679115</v>
      </c>
      <c r="H80" s="40">
        <f>CurrentMtgRatesDataTable82[[#This Row],[Big Non-Bank Lender]]-CurrentMtgRatesDataTable82[[#This Row],[Small Lender]]</f>
        <v>-0.17171407907425262</v>
      </c>
      <c r="I80" s="40"/>
      <c r="K80" s="26">
        <v>39814</v>
      </c>
      <c r="L80" s="39">
        <v>6.1330882352941174</v>
      </c>
      <c r="N80" s="26">
        <v>39814</v>
      </c>
      <c r="O80" s="39">
        <v>6.30480231436837</v>
      </c>
    </row>
    <row r="81" spans="2:15">
      <c r="B81" s="26">
        <v>39783</v>
      </c>
      <c r="C81" s="39">
        <v>6.2480476626947752</v>
      </c>
      <c r="D81" s="40">
        <f>VLOOKUP(CurrentMtgRatesDataTable82[[#This Row],[asOf]],CurrentMtgRatesDataTable823[],2,0)</f>
        <v>6.4772727272727275</v>
      </c>
      <c r="E81" s="40">
        <f>VLOOKUP(CurrentMtgRatesDataTable82[[#This Row],[asOf]],CurrentMtgRatesDataTable8234[],2,0)</f>
        <v>6.3725907752698721</v>
      </c>
      <c r="F81" s="40">
        <f>CurrentMtgRatesDataTable82[[#This Row],[Wac]]-CurrentMtgRatesDataTable82[[#This Row],[Big Non-Bank Lender]]</f>
        <v>-0.22922506457795233</v>
      </c>
      <c r="G81" s="40">
        <f>CurrentMtgRatesDataTable82[[#This Row],[Wac]]-CurrentMtgRatesDataTable82[[#This Row],[Small Lender]]</f>
        <v>-0.12454311257509687</v>
      </c>
      <c r="H81" s="40">
        <f>CurrentMtgRatesDataTable82[[#This Row],[Big Non-Bank Lender]]-CurrentMtgRatesDataTable82[[#This Row],[Small Lender]]</f>
        <v>0.10468195200285546</v>
      </c>
      <c r="I81" s="40"/>
      <c r="K81" s="26">
        <v>39783</v>
      </c>
      <c r="L81" s="39">
        <v>6.4772727272727275</v>
      </c>
      <c r="N81" s="26">
        <v>39783</v>
      </c>
      <c r="O81" s="39">
        <v>6.3725907752698721</v>
      </c>
    </row>
    <row r="82" spans="2:15">
      <c r="B82" s="26">
        <v>39753</v>
      </c>
      <c r="C82" s="39">
        <v>6.280556390977444</v>
      </c>
      <c r="D82" s="40">
        <f>VLOOKUP(CurrentMtgRatesDataTable82[[#This Row],[asOf]],CurrentMtgRatesDataTable823[],2,0)</f>
        <v>6.3393220338983047</v>
      </c>
      <c r="E82" s="40">
        <f>VLOOKUP(CurrentMtgRatesDataTable82[[#This Row],[asOf]],CurrentMtgRatesDataTable8234[],2,0)</f>
        <v>6.2272332015810274</v>
      </c>
      <c r="F82" s="40">
        <f>CurrentMtgRatesDataTable82[[#This Row],[Wac]]-CurrentMtgRatesDataTable82[[#This Row],[Big Non-Bank Lender]]</f>
        <v>-5.8765642920860728E-2</v>
      </c>
      <c r="G82" s="40">
        <f>CurrentMtgRatesDataTable82[[#This Row],[Wac]]-CurrentMtgRatesDataTable82[[#This Row],[Small Lender]]</f>
        <v>5.3323189396416559E-2</v>
      </c>
      <c r="H82" s="40">
        <f>CurrentMtgRatesDataTable82[[#This Row],[Big Non-Bank Lender]]-CurrentMtgRatesDataTable82[[#This Row],[Small Lender]]</f>
        <v>0.11208883231727729</v>
      </c>
      <c r="I82" s="40"/>
      <c r="K82" s="26">
        <v>39753</v>
      </c>
      <c r="L82" s="39">
        <v>6.3393220338983047</v>
      </c>
      <c r="N82" s="26">
        <v>39753</v>
      </c>
      <c r="O82" s="39">
        <v>6.2272332015810274</v>
      </c>
    </row>
    <row r="83" spans="2:15">
      <c r="B83" s="26">
        <v>39722</v>
      </c>
      <c r="C83" s="39">
        <v>6.3899496855345914</v>
      </c>
      <c r="D83" s="40">
        <f>VLOOKUP(CurrentMtgRatesDataTable82[[#This Row],[asOf]],CurrentMtgRatesDataTable823[],2,0)</f>
        <v>6.5872602739726025</v>
      </c>
      <c r="E83" s="40">
        <f>VLOOKUP(CurrentMtgRatesDataTable82[[#This Row],[asOf]],CurrentMtgRatesDataTable8234[],2,0)</f>
        <v>6.3768311688311687</v>
      </c>
      <c r="F83" s="40">
        <f>CurrentMtgRatesDataTable82[[#This Row],[Wac]]-CurrentMtgRatesDataTable82[[#This Row],[Big Non-Bank Lender]]</f>
        <v>-0.19731058843801108</v>
      </c>
      <c r="G83" s="40">
        <f>CurrentMtgRatesDataTable82[[#This Row],[Wac]]-CurrentMtgRatesDataTable82[[#This Row],[Small Lender]]</f>
        <v>1.3118516703422678E-2</v>
      </c>
      <c r="H83" s="40">
        <f>CurrentMtgRatesDataTable82[[#This Row],[Big Non-Bank Lender]]-CurrentMtgRatesDataTable82[[#This Row],[Small Lender]]</f>
        <v>0.21042910514143376</v>
      </c>
      <c r="I83" s="40"/>
      <c r="K83" s="26">
        <v>39722</v>
      </c>
      <c r="L83" s="39">
        <v>6.5872602739726025</v>
      </c>
      <c r="N83" s="26">
        <v>39722</v>
      </c>
      <c r="O83" s="39">
        <v>6.3768311688311687</v>
      </c>
    </row>
    <row r="84" spans="2:15">
      <c r="B84" s="26">
        <v>39692</v>
      </c>
      <c r="C84" s="39">
        <v>6.4493476531424028</v>
      </c>
      <c r="D84" s="40">
        <f>VLOOKUP(CurrentMtgRatesDataTable82[[#This Row],[asOf]],CurrentMtgRatesDataTable823[],2,0)</f>
        <v>6.7409774436090224</v>
      </c>
      <c r="E84" s="40">
        <f>VLOOKUP(CurrentMtgRatesDataTable82[[#This Row],[asOf]],CurrentMtgRatesDataTable8234[],2,0)</f>
        <v>6.4475167785234904</v>
      </c>
      <c r="F84" s="40">
        <f>CurrentMtgRatesDataTable82[[#This Row],[Wac]]-CurrentMtgRatesDataTable82[[#This Row],[Big Non-Bank Lender]]</f>
        <v>-0.29162979046661963</v>
      </c>
      <c r="G84" s="40">
        <f>CurrentMtgRatesDataTable82[[#This Row],[Wac]]-CurrentMtgRatesDataTable82[[#This Row],[Small Lender]]</f>
        <v>1.8308746189124037E-3</v>
      </c>
      <c r="H84" s="40">
        <f>CurrentMtgRatesDataTable82[[#This Row],[Big Non-Bank Lender]]-CurrentMtgRatesDataTable82[[#This Row],[Small Lender]]</f>
        <v>0.29346066508553204</v>
      </c>
      <c r="I84" s="40"/>
      <c r="K84" s="26">
        <v>39692</v>
      </c>
      <c r="L84" s="39">
        <v>6.7409774436090224</v>
      </c>
      <c r="N84" s="26">
        <v>39692</v>
      </c>
      <c r="O84" s="39">
        <v>6.4475167785234904</v>
      </c>
    </row>
    <row r="85" spans="2:15">
      <c r="B85" s="26">
        <v>39661</v>
      </c>
      <c r="C85" s="39">
        <v>6.342199832073887</v>
      </c>
      <c r="D85" s="40">
        <f>VLOOKUP(CurrentMtgRatesDataTable82[[#This Row],[asOf]],CurrentMtgRatesDataTable823[],2,0)</f>
        <v>6.7704545454545455</v>
      </c>
      <c r="E85" s="40">
        <f>VLOOKUP(CurrentMtgRatesDataTable82[[#This Row],[asOf]],CurrentMtgRatesDataTable8234[],2,0)</f>
        <v>6.3473432835820898</v>
      </c>
      <c r="F85" s="40">
        <f>CurrentMtgRatesDataTable82[[#This Row],[Wac]]-CurrentMtgRatesDataTable82[[#This Row],[Big Non-Bank Lender]]</f>
        <v>-0.42825471338065846</v>
      </c>
      <c r="G85" s="40">
        <f>CurrentMtgRatesDataTable82[[#This Row],[Wac]]-CurrentMtgRatesDataTable82[[#This Row],[Small Lender]]</f>
        <v>-5.1434515082027232E-3</v>
      </c>
      <c r="H85" s="40">
        <f>CurrentMtgRatesDataTable82[[#This Row],[Big Non-Bank Lender]]-CurrentMtgRatesDataTable82[[#This Row],[Small Lender]]</f>
        <v>0.42311126187245574</v>
      </c>
      <c r="I85" s="40"/>
      <c r="K85" s="26">
        <v>39661</v>
      </c>
      <c r="L85" s="39">
        <v>6.7704545454545455</v>
      </c>
      <c r="N85" s="26">
        <v>39661</v>
      </c>
      <c r="O85" s="39">
        <v>6.3473432835820898</v>
      </c>
    </row>
    <row r="86" spans="2:15">
      <c r="B86" s="26">
        <v>39630</v>
      </c>
      <c r="C86" s="39">
        <v>6.2690345937248591</v>
      </c>
      <c r="D86" s="40">
        <f>VLOOKUP(CurrentMtgRatesDataTable82[[#This Row],[asOf]],CurrentMtgRatesDataTable823[],2,0)</f>
        <v>6.6987301587301591</v>
      </c>
      <c r="E86" s="40">
        <f>VLOOKUP(CurrentMtgRatesDataTable82[[#This Row],[asOf]],CurrentMtgRatesDataTable8234[],2,0)</f>
        <v>6.2026535947712418</v>
      </c>
      <c r="F86" s="40">
        <f>CurrentMtgRatesDataTable82[[#This Row],[Wac]]-CurrentMtgRatesDataTable82[[#This Row],[Big Non-Bank Lender]]</f>
        <v>-0.42969556500530004</v>
      </c>
      <c r="G86" s="40">
        <f>CurrentMtgRatesDataTable82[[#This Row],[Wac]]-CurrentMtgRatesDataTable82[[#This Row],[Small Lender]]</f>
        <v>6.6380998953617265E-2</v>
      </c>
      <c r="H86" s="40">
        <f>CurrentMtgRatesDataTable82[[#This Row],[Big Non-Bank Lender]]-CurrentMtgRatesDataTable82[[#This Row],[Small Lender]]</f>
        <v>0.4960765639589173</v>
      </c>
      <c r="I86" s="40"/>
      <c r="K86" s="26">
        <v>39630</v>
      </c>
      <c r="L86" s="39">
        <v>6.6987301587301591</v>
      </c>
      <c r="N86" s="26">
        <v>39630</v>
      </c>
      <c r="O86" s="39">
        <v>6.2026535947712418</v>
      </c>
    </row>
    <row r="87" spans="2:15">
      <c r="B87" s="26">
        <v>39600</v>
      </c>
      <c r="C87" s="39">
        <v>6.1458327847267942</v>
      </c>
      <c r="D87" s="40">
        <f>VLOOKUP(CurrentMtgRatesDataTable82[[#This Row],[asOf]],CurrentMtgRatesDataTable823[],2,0)</f>
        <v>6.6612799999999996</v>
      </c>
      <c r="E87" s="40">
        <f>VLOOKUP(CurrentMtgRatesDataTable82[[#This Row],[asOf]],CurrentMtgRatesDataTable8234[],2,0)</f>
        <v>6.1763245033112586</v>
      </c>
      <c r="F87" s="40">
        <f>CurrentMtgRatesDataTable82[[#This Row],[Wac]]-CurrentMtgRatesDataTable82[[#This Row],[Big Non-Bank Lender]]</f>
        <v>-0.51544721527320547</v>
      </c>
      <c r="G87" s="40">
        <f>CurrentMtgRatesDataTable82[[#This Row],[Wac]]-CurrentMtgRatesDataTable82[[#This Row],[Small Lender]]</f>
        <v>-3.0491718584464422E-2</v>
      </c>
      <c r="H87" s="40">
        <f>CurrentMtgRatesDataTable82[[#This Row],[Big Non-Bank Lender]]-CurrentMtgRatesDataTable82[[#This Row],[Small Lender]]</f>
        <v>0.48495549668874105</v>
      </c>
      <c r="I87" s="40"/>
      <c r="K87" s="26">
        <v>39600</v>
      </c>
      <c r="L87" s="39">
        <v>6.6612799999999996</v>
      </c>
      <c r="N87" s="26">
        <v>39600</v>
      </c>
      <c r="O87" s="39">
        <v>6.1763245033112586</v>
      </c>
    </row>
    <row r="88" spans="2:15">
      <c r="B88" s="26">
        <v>39569</v>
      </c>
      <c r="C88" s="39">
        <v>6.2167653429602892</v>
      </c>
      <c r="D88" s="40">
        <f>VLOOKUP(CurrentMtgRatesDataTable82[[#This Row],[asOf]],CurrentMtgRatesDataTable823[],2,0)</f>
        <v>6.4648502994011974</v>
      </c>
      <c r="E88" s="40">
        <f>VLOOKUP(CurrentMtgRatesDataTable82[[#This Row],[asOf]],CurrentMtgRatesDataTable8234[],2,0)</f>
        <v>6.1907136150234745</v>
      </c>
      <c r="F88" s="40">
        <f>CurrentMtgRatesDataTable82[[#This Row],[Wac]]-CurrentMtgRatesDataTable82[[#This Row],[Big Non-Bank Lender]]</f>
        <v>-0.24808495644090822</v>
      </c>
      <c r="G88" s="40">
        <f>CurrentMtgRatesDataTable82[[#This Row],[Wac]]-CurrentMtgRatesDataTable82[[#This Row],[Small Lender]]</f>
        <v>2.605172793681465E-2</v>
      </c>
      <c r="H88" s="40">
        <f>CurrentMtgRatesDataTable82[[#This Row],[Big Non-Bank Lender]]-CurrentMtgRatesDataTable82[[#This Row],[Small Lender]]</f>
        <v>0.27413668437772287</v>
      </c>
      <c r="I88" s="40"/>
      <c r="K88" s="26">
        <v>39569</v>
      </c>
      <c r="L88" s="39">
        <v>6.4648502994011974</v>
      </c>
      <c r="N88" s="26">
        <v>39569</v>
      </c>
      <c r="O88" s="39">
        <v>6.1907136150234745</v>
      </c>
    </row>
    <row r="89" spans="2:15">
      <c r="B89" s="26">
        <v>39539</v>
      </c>
      <c r="C89" s="39">
        <v>6.1492801251956184</v>
      </c>
      <c r="D89" s="40">
        <f>VLOOKUP(CurrentMtgRatesDataTable82[[#This Row],[asOf]],CurrentMtgRatesDataTable823[],2,0)</f>
        <v>6.4444808743169402</v>
      </c>
      <c r="E89" s="40">
        <f>VLOOKUP(CurrentMtgRatesDataTable82[[#This Row],[asOf]],CurrentMtgRatesDataTable8234[],2,0)</f>
        <v>6.1068078175895764</v>
      </c>
      <c r="F89" s="40">
        <f>CurrentMtgRatesDataTable82[[#This Row],[Wac]]-CurrentMtgRatesDataTable82[[#This Row],[Big Non-Bank Lender]]</f>
        <v>-0.29520074912132177</v>
      </c>
      <c r="G89" s="40">
        <f>CurrentMtgRatesDataTable82[[#This Row],[Wac]]-CurrentMtgRatesDataTable82[[#This Row],[Small Lender]]</f>
        <v>4.2472307606042037E-2</v>
      </c>
      <c r="H89" s="40">
        <f>CurrentMtgRatesDataTable82[[#This Row],[Big Non-Bank Lender]]-CurrentMtgRatesDataTable82[[#This Row],[Small Lender]]</f>
        <v>0.33767305672736381</v>
      </c>
      <c r="I89" s="40"/>
      <c r="K89" s="26">
        <v>39539</v>
      </c>
      <c r="L89" s="39">
        <v>6.4444808743169402</v>
      </c>
      <c r="N89" s="26">
        <v>39539</v>
      </c>
      <c r="O89" s="39">
        <v>6.1068078175895764</v>
      </c>
    </row>
    <row r="90" spans="2:15">
      <c r="B90" s="26">
        <v>39508</v>
      </c>
      <c r="C90" s="39">
        <v>6.1076459330143544</v>
      </c>
      <c r="D90" s="40">
        <f>VLOOKUP(CurrentMtgRatesDataTable82[[#This Row],[asOf]],CurrentMtgRatesDataTable823[],2,0)</f>
        <v>6.3173493975903616</v>
      </c>
      <c r="E90" s="40">
        <f>VLOOKUP(CurrentMtgRatesDataTable82[[#This Row],[asOf]],CurrentMtgRatesDataTable8234[],2,0)</f>
        <v>6.2039655172413797</v>
      </c>
      <c r="F90" s="40">
        <f>CurrentMtgRatesDataTable82[[#This Row],[Wac]]-CurrentMtgRatesDataTable82[[#This Row],[Big Non-Bank Lender]]</f>
        <v>-0.20970346457600719</v>
      </c>
      <c r="G90" s="40">
        <f>CurrentMtgRatesDataTable82[[#This Row],[Wac]]-CurrentMtgRatesDataTable82[[#This Row],[Small Lender]]</f>
        <v>-9.6319584227025246E-2</v>
      </c>
      <c r="H90" s="40">
        <f>CurrentMtgRatesDataTable82[[#This Row],[Big Non-Bank Lender]]-CurrentMtgRatesDataTable82[[#This Row],[Small Lender]]</f>
        <v>0.11338388034898195</v>
      </c>
      <c r="I90" s="40"/>
      <c r="K90" s="26">
        <v>39508</v>
      </c>
      <c r="L90" s="39">
        <v>6.3173493975903616</v>
      </c>
      <c r="N90" s="26">
        <v>39508</v>
      </c>
      <c r="O90" s="39">
        <v>6.2039655172413797</v>
      </c>
    </row>
    <row r="91" spans="2:15">
      <c r="B91" s="26">
        <v>39479</v>
      </c>
      <c r="C91" s="39">
        <v>6.3138388625592414</v>
      </c>
      <c r="D91" s="40">
        <f>VLOOKUP(CurrentMtgRatesDataTable82[[#This Row],[asOf]],CurrentMtgRatesDataTable823[],2,0)</f>
        <v>6.6717050691244237</v>
      </c>
      <c r="E91" s="40">
        <f>VLOOKUP(CurrentMtgRatesDataTable82[[#This Row],[asOf]],CurrentMtgRatesDataTable8234[],2,0)</f>
        <v>6.4203461918892186</v>
      </c>
      <c r="F91" s="40">
        <f>CurrentMtgRatesDataTable82[[#This Row],[Wac]]-CurrentMtgRatesDataTable82[[#This Row],[Big Non-Bank Lender]]</f>
        <v>-0.35786620656518231</v>
      </c>
      <c r="G91" s="40">
        <f>CurrentMtgRatesDataTable82[[#This Row],[Wac]]-CurrentMtgRatesDataTable82[[#This Row],[Small Lender]]</f>
        <v>-0.1065073293299772</v>
      </c>
      <c r="H91" s="40">
        <f>CurrentMtgRatesDataTable82[[#This Row],[Big Non-Bank Lender]]-CurrentMtgRatesDataTable82[[#This Row],[Small Lender]]</f>
        <v>0.25135887723520511</v>
      </c>
      <c r="I91" s="40"/>
      <c r="K91" s="26">
        <v>39479</v>
      </c>
      <c r="L91" s="39">
        <v>6.6717050691244237</v>
      </c>
      <c r="N91" s="26">
        <v>39479</v>
      </c>
      <c r="O91" s="39">
        <v>6.4203461918892186</v>
      </c>
    </row>
    <row r="92" spans="2:15">
      <c r="B92" s="26">
        <v>39448</v>
      </c>
      <c r="C92" s="39">
        <v>6.4733263598326358</v>
      </c>
      <c r="D92" s="40">
        <f>VLOOKUP(CurrentMtgRatesDataTable82[[#This Row],[asOf]],CurrentMtgRatesDataTable823[],2,0)</f>
        <v>6.8150248756218907</v>
      </c>
      <c r="E92" s="40">
        <f>VLOOKUP(CurrentMtgRatesDataTable82[[#This Row],[asOf]],CurrentMtgRatesDataTable8234[],2,0)</f>
        <v>6.5952353616532724</v>
      </c>
      <c r="F92" s="40">
        <f>CurrentMtgRatesDataTable82[[#This Row],[Wac]]-CurrentMtgRatesDataTable82[[#This Row],[Big Non-Bank Lender]]</f>
        <v>-0.34169851578925492</v>
      </c>
      <c r="G92" s="40">
        <f>CurrentMtgRatesDataTable82[[#This Row],[Wac]]-CurrentMtgRatesDataTable82[[#This Row],[Small Lender]]</f>
        <v>-0.12190900182063658</v>
      </c>
      <c r="H92" s="40">
        <f>CurrentMtgRatesDataTable82[[#This Row],[Big Non-Bank Lender]]-CurrentMtgRatesDataTable82[[#This Row],[Small Lender]]</f>
        <v>0.21978951396861834</v>
      </c>
      <c r="I92" s="40"/>
      <c r="K92" s="26">
        <v>39448</v>
      </c>
      <c r="L92" s="39">
        <v>6.8150248756218907</v>
      </c>
      <c r="N92" s="26">
        <v>39448</v>
      </c>
      <c r="O92" s="39">
        <v>6.5952353616532724</v>
      </c>
    </row>
    <row r="93" spans="2:15">
      <c r="B93" s="26">
        <v>39417</v>
      </c>
      <c r="C93" s="39">
        <v>6.5789473684210522</v>
      </c>
      <c r="D93" s="40">
        <f>VLOOKUP(CurrentMtgRatesDataTable82[[#This Row],[asOf]],CurrentMtgRatesDataTable823[],2,0)</f>
        <v>6.9997969543147205</v>
      </c>
      <c r="E93" s="40">
        <f>VLOOKUP(CurrentMtgRatesDataTable82[[#This Row],[asOf]],CurrentMtgRatesDataTable8234[],2,0)</f>
        <v>6.7157816091954023</v>
      </c>
      <c r="F93" s="40">
        <f>CurrentMtgRatesDataTable82[[#This Row],[Wac]]-CurrentMtgRatesDataTable82[[#This Row],[Big Non-Bank Lender]]</f>
        <v>-0.42084958589366828</v>
      </c>
      <c r="G93" s="40">
        <f>CurrentMtgRatesDataTable82[[#This Row],[Wac]]-CurrentMtgRatesDataTable82[[#This Row],[Small Lender]]</f>
        <v>-0.13683424077435014</v>
      </c>
      <c r="H93" s="40">
        <f>CurrentMtgRatesDataTable82[[#This Row],[Big Non-Bank Lender]]-CurrentMtgRatesDataTable82[[#This Row],[Small Lender]]</f>
        <v>0.28401534511931814</v>
      </c>
      <c r="I93" s="40"/>
      <c r="K93" s="26">
        <v>39417</v>
      </c>
      <c r="L93" s="39">
        <v>6.9997969543147205</v>
      </c>
      <c r="N93" s="26">
        <v>39417</v>
      </c>
      <c r="O93" s="39">
        <v>6.7157816091954023</v>
      </c>
    </row>
    <row r="94" spans="2:15">
      <c r="B94" s="26">
        <v>39387</v>
      </c>
      <c r="C94" s="39">
        <v>6.6916723549488051</v>
      </c>
      <c r="D94" s="40">
        <f>VLOOKUP(CurrentMtgRatesDataTable82[[#This Row],[asOf]],CurrentMtgRatesDataTable823[],2,0)</f>
        <v>7.0223529411764707</v>
      </c>
      <c r="E94" s="40">
        <f>VLOOKUP(CurrentMtgRatesDataTable82[[#This Row],[asOf]],CurrentMtgRatesDataTable8234[],2,0)</f>
        <v>6.7457671381936892</v>
      </c>
      <c r="F94" s="40">
        <f>CurrentMtgRatesDataTable82[[#This Row],[Wac]]-CurrentMtgRatesDataTable82[[#This Row],[Big Non-Bank Lender]]</f>
        <v>-0.33068058622766561</v>
      </c>
      <c r="G94" s="40">
        <f>CurrentMtgRatesDataTable82[[#This Row],[Wac]]-CurrentMtgRatesDataTable82[[#This Row],[Small Lender]]</f>
        <v>-5.4094783244884148E-2</v>
      </c>
      <c r="H94" s="40">
        <f>CurrentMtgRatesDataTable82[[#This Row],[Big Non-Bank Lender]]-CurrentMtgRatesDataTable82[[#This Row],[Small Lender]]</f>
        <v>0.27658580298278146</v>
      </c>
      <c r="I94" s="40"/>
      <c r="K94" s="26">
        <v>39387</v>
      </c>
      <c r="L94" s="39">
        <v>7.0223529411764707</v>
      </c>
      <c r="N94" s="26">
        <v>39387</v>
      </c>
      <c r="O94" s="39">
        <v>6.7457671381936892</v>
      </c>
    </row>
    <row r="95" spans="2:15">
      <c r="B95" s="26">
        <v>39356</v>
      </c>
      <c r="C95" s="39">
        <v>6.7042653673163422</v>
      </c>
      <c r="D95" s="40">
        <f>VLOOKUP(CurrentMtgRatesDataTable82[[#This Row],[asOf]],CurrentMtgRatesDataTable823[],2,0)</f>
        <v>7.0123444976076552</v>
      </c>
      <c r="E95" s="40">
        <f>VLOOKUP(CurrentMtgRatesDataTable82[[#This Row],[asOf]],CurrentMtgRatesDataTable8234[],2,0)</f>
        <v>6.932586206896552</v>
      </c>
      <c r="F95" s="40">
        <f>CurrentMtgRatesDataTable82[[#This Row],[Wac]]-CurrentMtgRatesDataTable82[[#This Row],[Big Non-Bank Lender]]</f>
        <v>-0.30807913029131306</v>
      </c>
      <c r="G95" s="40">
        <f>CurrentMtgRatesDataTable82[[#This Row],[Wac]]-CurrentMtgRatesDataTable82[[#This Row],[Small Lender]]</f>
        <v>-0.22832083958020988</v>
      </c>
      <c r="H95" s="40">
        <f>CurrentMtgRatesDataTable82[[#This Row],[Big Non-Bank Lender]]-CurrentMtgRatesDataTable82[[#This Row],[Small Lender]]</f>
        <v>7.9758290711103186E-2</v>
      </c>
      <c r="I95" s="40"/>
      <c r="K95" s="26">
        <v>39356</v>
      </c>
      <c r="L95" s="39">
        <v>7.0123444976076552</v>
      </c>
      <c r="N95" s="26">
        <v>39356</v>
      </c>
      <c r="O95" s="39">
        <v>6.932586206896552</v>
      </c>
    </row>
    <row r="96" spans="2:15">
      <c r="B96" s="26">
        <v>39326</v>
      </c>
      <c r="C96" s="39">
        <v>6.6666204506065858</v>
      </c>
      <c r="D96" s="40">
        <f>VLOOKUP(CurrentMtgRatesDataTable82[[#This Row],[asOf]],CurrentMtgRatesDataTable823[],2,0)</f>
        <v>7.0294786729857819</v>
      </c>
      <c r="E96" s="40">
        <f>VLOOKUP(CurrentMtgRatesDataTable82[[#This Row],[asOf]],CurrentMtgRatesDataTable8234[],2,0)</f>
        <v>6.8497566137566137</v>
      </c>
      <c r="F96" s="40">
        <f>CurrentMtgRatesDataTable82[[#This Row],[Wac]]-CurrentMtgRatesDataTable82[[#This Row],[Big Non-Bank Lender]]</f>
        <v>-0.36285822237919607</v>
      </c>
      <c r="G96" s="40">
        <f>CurrentMtgRatesDataTable82[[#This Row],[Wac]]-CurrentMtgRatesDataTable82[[#This Row],[Small Lender]]</f>
        <v>-0.1831361631500279</v>
      </c>
      <c r="H96" s="40">
        <f>CurrentMtgRatesDataTable82[[#This Row],[Big Non-Bank Lender]]-CurrentMtgRatesDataTable82[[#This Row],[Small Lender]]</f>
        <v>0.17972205922916817</v>
      </c>
      <c r="I96" s="40"/>
      <c r="K96" s="26">
        <v>39326</v>
      </c>
      <c r="L96" s="39">
        <v>7.0294786729857819</v>
      </c>
      <c r="N96" s="26">
        <v>39326</v>
      </c>
      <c r="O96" s="39">
        <v>6.8497566137566137</v>
      </c>
    </row>
    <row r="97" spans="2:15">
      <c r="B97" s="26">
        <v>39295</v>
      </c>
      <c r="C97" s="39">
        <v>6.5981589403973508</v>
      </c>
      <c r="D97" s="40">
        <f>VLOOKUP(CurrentMtgRatesDataTable82[[#This Row],[asOf]],CurrentMtgRatesDataTable823[],2,0)</f>
        <v>6.9441346153846153</v>
      </c>
      <c r="E97" s="40">
        <f>VLOOKUP(CurrentMtgRatesDataTable82[[#This Row],[asOf]],CurrentMtgRatesDataTable8234[],2,0)</f>
        <v>6.6953164556962026</v>
      </c>
      <c r="F97" s="40">
        <f>CurrentMtgRatesDataTable82[[#This Row],[Wac]]-CurrentMtgRatesDataTable82[[#This Row],[Big Non-Bank Lender]]</f>
        <v>-0.34597567498726445</v>
      </c>
      <c r="G97" s="40">
        <f>CurrentMtgRatesDataTable82[[#This Row],[Wac]]-CurrentMtgRatesDataTable82[[#This Row],[Small Lender]]</f>
        <v>-9.7157515298851749E-2</v>
      </c>
      <c r="H97" s="40">
        <f>CurrentMtgRatesDataTable82[[#This Row],[Big Non-Bank Lender]]-CurrentMtgRatesDataTable82[[#This Row],[Small Lender]]</f>
        <v>0.2488181596884127</v>
      </c>
      <c r="I97" s="40"/>
      <c r="K97" s="26">
        <v>39295</v>
      </c>
      <c r="L97" s="39">
        <v>6.9441346153846153</v>
      </c>
      <c r="N97" s="26">
        <v>39295</v>
      </c>
      <c r="O97" s="39">
        <v>6.6953164556962026</v>
      </c>
    </row>
    <row r="98" spans="2:15">
      <c r="B98" s="26">
        <v>39264</v>
      </c>
      <c r="C98" s="39">
        <v>6.7673333333333332</v>
      </c>
      <c r="D98" s="40">
        <f>VLOOKUP(CurrentMtgRatesDataTable82[[#This Row],[asOf]],CurrentMtgRatesDataTable823[],2,0)</f>
        <v>7.1961538461538463</v>
      </c>
      <c r="E98" s="40">
        <f>VLOOKUP(CurrentMtgRatesDataTable82[[#This Row],[asOf]],CurrentMtgRatesDataTable8234[],2,0)</f>
        <v>6.5186842105263159</v>
      </c>
      <c r="F98" s="40">
        <f>CurrentMtgRatesDataTable82[[#This Row],[Wac]]-CurrentMtgRatesDataTable82[[#This Row],[Big Non-Bank Lender]]</f>
        <v>-0.42882051282051314</v>
      </c>
      <c r="G98" s="40">
        <f>CurrentMtgRatesDataTable82[[#This Row],[Wac]]-CurrentMtgRatesDataTable82[[#This Row],[Small Lender]]</f>
        <v>0.24864912280701734</v>
      </c>
      <c r="H98" s="40">
        <f>CurrentMtgRatesDataTable82[[#This Row],[Big Non-Bank Lender]]-CurrentMtgRatesDataTable82[[#This Row],[Small Lender]]</f>
        <v>0.67746963562753049</v>
      </c>
      <c r="I98" s="40"/>
      <c r="K98" s="26">
        <v>39264</v>
      </c>
      <c r="L98" s="39">
        <v>7.1961538461538463</v>
      </c>
      <c r="N98" s="26">
        <v>39264</v>
      </c>
      <c r="O98" s="39">
        <v>6.5186842105263159</v>
      </c>
    </row>
    <row r="99" spans="2:15">
      <c r="B99" s="26">
        <v>39234</v>
      </c>
      <c r="C99" s="39">
        <v>6.1670833333333333</v>
      </c>
      <c r="D99" s="40">
        <f>VLOOKUP(CurrentMtgRatesDataTable82[[#This Row],[asOf]],CurrentMtgRatesDataTable823[],2,0)</f>
        <v>6.85</v>
      </c>
      <c r="E99" s="40">
        <f>VLOOKUP(CurrentMtgRatesDataTable82[[#This Row],[asOf]],CurrentMtgRatesDataTable8234[],2,0)</f>
        <v>6.1310937499999998</v>
      </c>
      <c r="F99" s="40">
        <f>CurrentMtgRatesDataTable82[[#This Row],[Wac]]-CurrentMtgRatesDataTable82[[#This Row],[Big Non-Bank Lender]]</f>
        <v>-0.68291666666666639</v>
      </c>
      <c r="G99" s="40">
        <f>CurrentMtgRatesDataTable82[[#This Row],[Wac]]-CurrentMtgRatesDataTable82[[#This Row],[Small Lender]]</f>
        <v>3.5989583333333464E-2</v>
      </c>
      <c r="H99" s="40">
        <f>CurrentMtgRatesDataTable82[[#This Row],[Big Non-Bank Lender]]-CurrentMtgRatesDataTable82[[#This Row],[Small Lender]]</f>
        <v>0.71890624999999986</v>
      </c>
      <c r="I99" s="40"/>
      <c r="K99" s="26">
        <v>39234</v>
      </c>
      <c r="L99" s="39">
        <v>6.85</v>
      </c>
      <c r="N99" s="26">
        <v>39234</v>
      </c>
      <c r="O99" s="39">
        <v>6.1310937499999998</v>
      </c>
    </row>
    <row r="100" spans="2:15">
      <c r="B100" s="26">
        <v>39203</v>
      </c>
      <c r="C100" s="39">
        <v>6.4480447330447328</v>
      </c>
      <c r="D100" s="40">
        <f>VLOOKUP(CurrentMtgRatesDataTable82[[#This Row],[asOf]],CurrentMtgRatesDataTable823[],2,0)</f>
        <v>6.5947345132743367</v>
      </c>
      <c r="E100" s="40">
        <f>VLOOKUP(CurrentMtgRatesDataTable82[[#This Row],[asOf]],CurrentMtgRatesDataTable8234[],2,0)</f>
        <v>6.4248387096774193</v>
      </c>
      <c r="F100" s="40">
        <f>CurrentMtgRatesDataTable82[[#This Row],[Wac]]-CurrentMtgRatesDataTable82[[#This Row],[Big Non-Bank Lender]]</f>
        <v>-0.14668978022960388</v>
      </c>
      <c r="G100" s="40">
        <f>CurrentMtgRatesDataTable82[[#This Row],[Wac]]-CurrentMtgRatesDataTable82[[#This Row],[Small Lender]]</f>
        <v>2.3206023367313477E-2</v>
      </c>
      <c r="H100" s="40">
        <f>CurrentMtgRatesDataTable82[[#This Row],[Big Non-Bank Lender]]-CurrentMtgRatesDataTable82[[#This Row],[Small Lender]]</f>
        <v>0.16989580359691736</v>
      </c>
      <c r="I100" s="40"/>
      <c r="K100" s="26">
        <v>39203</v>
      </c>
      <c r="L100" s="39">
        <v>6.5947345132743367</v>
      </c>
      <c r="N100" s="26">
        <v>39203</v>
      </c>
      <c r="O100" s="39">
        <v>6.4248387096774193</v>
      </c>
    </row>
    <row r="101" spans="2:15">
      <c r="B101" s="26">
        <v>39173</v>
      </c>
      <c r="C101" s="39">
        <v>6.4221865671641787</v>
      </c>
      <c r="D101" s="40">
        <f>VLOOKUP(CurrentMtgRatesDataTable82[[#This Row],[asOf]],CurrentMtgRatesDataTable823[],2,0)</f>
        <v>6.6341379310344823</v>
      </c>
      <c r="E101" s="40">
        <f>VLOOKUP(CurrentMtgRatesDataTable82[[#This Row],[asOf]],CurrentMtgRatesDataTable8234[],2,0)</f>
        <v>6.5108291203235593</v>
      </c>
      <c r="F101" s="40">
        <f>CurrentMtgRatesDataTable82[[#This Row],[Wac]]-CurrentMtgRatesDataTable82[[#This Row],[Big Non-Bank Lender]]</f>
        <v>-0.21195136387030367</v>
      </c>
      <c r="G101" s="40">
        <f>CurrentMtgRatesDataTable82[[#This Row],[Wac]]-CurrentMtgRatesDataTable82[[#This Row],[Small Lender]]</f>
        <v>-8.8642553159380633E-2</v>
      </c>
      <c r="H101" s="40">
        <f>CurrentMtgRatesDataTable82[[#This Row],[Big Non-Bank Lender]]-CurrentMtgRatesDataTable82[[#This Row],[Small Lender]]</f>
        <v>0.12330881071092303</v>
      </c>
      <c r="I101" s="40"/>
      <c r="K101" s="26">
        <v>39173</v>
      </c>
      <c r="L101" s="39">
        <v>6.6341379310344823</v>
      </c>
      <c r="N101" s="26">
        <v>39173</v>
      </c>
      <c r="O101" s="39">
        <v>6.5108291203235593</v>
      </c>
    </row>
    <row r="102" spans="2:15">
      <c r="B102" s="26">
        <v>39142</v>
      </c>
      <c r="C102" s="39">
        <v>6.42830303030303</v>
      </c>
      <c r="D102" s="40">
        <f>VLOOKUP(CurrentMtgRatesDataTable82[[#This Row],[asOf]],CurrentMtgRatesDataTable823[],2,0)</f>
        <v>6.6061594202898553</v>
      </c>
      <c r="E102" s="40">
        <f>VLOOKUP(CurrentMtgRatesDataTable82[[#This Row],[asOf]],CurrentMtgRatesDataTable8234[],2,0)</f>
        <v>6.3810185185185189</v>
      </c>
      <c r="F102" s="40">
        <f>CurrentMtgRatesDataTable82[[#This Row],[Wac]]-CurrentMtgRatesDataTable82[[#This Row],[Big Non-Bank Lender]]</f>
        <v>-0.17785638998682529</v>
      </c>
      <c r="G102" s="40">
        <f>CurrentMtgRatesDataTable82[[#This Row],[Wac]]-CurrentMtgRatesDataTable82[[#This Row],[Small Lender]]</f>
        <v>4.7284511784511096E-2</v>
      </c>
      <c r="H102" s="40">
        <f>CurrentMtgRatesDataTable82[[#This Row],[Big Non-Bank Lender]]-CurrentMtgRatesDataTable82[[#This Row],[Small Lender]]</f>
        <v>0.22514090177133639</v>
      </c>
      <c r="I102" s="40"/>
      <c r="K102" s="26">
        <v>39142</v>
      </c>
      <c r="L102" s="39">
        <v>6.6061594202898553</v>
      </c>
      <c r="N102" s="26">
        <v>39142</v>
      </c>
      <c r="O102" s="39">
        <v>6.3810185185185189</v>
      </c>
    </row>
    <row r="103" spans="2:15">
      <c r="B103" s="26">
        <v>39114</v>
      </c>
      <c r="C103" s="39">
        <v>6.4058564814814813</v>
      </c>
      <c r="D103" s="40">
        <f>VLOOKUP(CurrentMtgRatesDataTable82[[#This Row],[asOf]],CurrentMtgRatesDataTable823[],2,0)</f>
        <v>6.4742105263157894</v>
      </c>
      <c r="E103" s="40">
        <f>VLOOKUP(CurrentMtgRatesDataTable82[[#This Row],[asOf]],CurrentMtgRatesDataTable8234[],2,0)</f>
        <v>6.3686563307493538</v>
      </c>
      <c r="F103" s="40">
        <f>CurrentMtgRatesDataTable82[[#This Row],[Wac]]-CurrentMtgRatesDataTable82[[#This Row],[Big Non-Bank Lender]]</f>
        <v>-6.835404483430807E-2</v>
      </c>
      <c r="G103" s="40">
        <f>CurrentMtgRatesDataTable82[[#This Row],[Wac]]-CurrentMtgRatesDataTable82[[#This Row],[Small Lender]]</f>
        <v>3.7200150732127568E-2</v>
      </c>
      <c r="H103" s="40">
        <f>CurrentMtgRatesDataTable82[[#This Row],[Big Non-Bank Lender]]-CurrentMtgRatesDataTable82[[#This Row],[Small Lender]]</f>
        <v>0.10555419556643564</v>
      </c>
      <c r="I103" s="40"/>
      <c r="K103" s="26">
        <v>39114</v>
      </c>
      <c r="L103" s="39">
        <v>6.4742105263157894</v>
      </c>
      <c r="N103" s="26">
        <v>39114</v>
      </c>
      <c r="O103" s="39">
        <v>6.3686563307493538</v>
      </c>
    </row>
    <row r="104" spans="2:15">
      <c r="B104" s="26">
        <v>39083</v>
      </c>
      <c r="C104" s="39">
        <v>6.4159050683829442</v>
      </c>
      <c r="D104" s="40">
        <f>VLOOKUP(CurrentMtgRatesDataTable82[[#This Row],[asOf]],CurrentMtgRatesDataTable823[],2,0)</f>
        <v>6.632421052631579</v>
      </c>
      <c r="E104" s="40">
        <f>VLOOKUP(CurrentMtgRatesDataTable82[[#This Row],[asOf]],CurrentMtgRatesDataTable8234[],2,0)</f>
        <v>6.4637398373983741</v>
      </c>
      <c r="F104" s="40">
        <f>CurrentMtgRatesDataTable82[[#This Row],[Wac]]-CurrentMtgRatesDataTable82[[#This Row],[Big Non-Bank Lender]]</f>
        <v>-0.21651598424863483</v>
      </c>
      <c r="G104" s="40">
        <f>CurrentMtgRatesDataTable82[[#This Row],[Wac]]-CurrentMtgRatesDataTable82[[#This Row],[Small Lender]]</f>
        <v>-4.7834769015429934E-2</v>
      </c>
      <c r="H104" s="40">
        <f>CurrentMtgRatesDataTable82[[#This Row],[Big Non-Bank Lender]]-CurrentMtgRatesDataTable82[[#This Row],[Small Lender]]</f>
        <v>0.1686812152332049</v>
      </c>
      <c r="I104" s="40"/>
      <c r="K104" s="26">
        <v>39083</v>
      </c>
      <c r="L104" s="39">
        <v>6.632421052631579</v>
      </c>
      <c r="N104" s="26">
        <v>39083</v>
      </c>
      <c r="O104" s="39">
        <v>6.4637398373983741</v>
      </c>
    </row>
    <row r="105" spans="2:15">
      <c r="B105" s="26">
        <v>39052</v>
      </c>
      <c r="C105" s="40">
        <v>6.5381555733761028</v>
      </c>
      <c r="D105" s="40">
        <f>VLOOKUP(CurrentMtgRatesDataTable82[[#This Row],[asOf]],CurrentMtgRatesDataTable823[],2,0)</f>
        <v>6.6694392523364483</v>
      </c>
      <c r="E105" s="40">
        <f>VLOOKUP(CurrentMtgRatesDataTable82[[#This Row],[asOf]],CurrentMtgRatesDataTable8234[],2,0)</f>
        <v>6.483436385255648</v>
      </c>
      <c r="F105" s="40">
        <f>CurrentMtgRatesDataTable82[[#This Row],[Wac]]-CurrentMtgRatesDataTable82[[#This Row],[Big Non-Bank Lender]]</f>
        <v>-0.13128367896034554</v>
      </c>
      <c r="G105" s="40">
        <f>CurrentMtgRatesDataTable82[[#This Row],[Wac]]-CurrentMtgRatesDataTable82[[#This Row],[Small Lender]]</f>
        <v>5.4719188120454731E-2</v>
      </c>
      <c r="H105" s="40">
        <f>CurrentMtgRatesDataTable82[[#This Row],[Big Non-Bank Lender]]-CurrentMtgRatesDataTable82[[#This Row],[Small Lender]]</f>
        <v>0.18600286708080027</v>
      </c>
      <c r="I105" s="40"/>
      <c r="K105" s="26">
        <v>39052</v>
      </c>
      <c r="L105" s="40">
        <v>6.6694392523364483</v>
      </c>
      <c r="N105" s="26">
        <v>39052</v>
      </c>
      <c r="O105" s="40">
        <v>6.483436385255648</v>
      </c>
    </row>
    <row r="106" spans="2:15">
      <c r="B106" s="26">
        <v>39022</v>
      </c>
      <c r="C106" s="40">
        <v>6.5851003344481605</v>
      </c>
      <c r="D106" s="40">
        <f>VLOOKUP(CurrentMtgRatesDataTable82[[#This Row],[asOf]],CurrentMtgRatesDataTable823[],2,0)</f>
        <v>6.8106206896551722</v>
      </c>
      <c r="E106" s="40">
        <f>VLOOKUP(CurrentMtgRatesDataTable82[[#This Row],[asOf]],CurrentMtgRatesDataTable8234[],2,0)</f>
        <v>6.5479828850855748</v>
      </c>
      <c r="F106" s="40">
        <f>CurrentMtgRatesDataTable82[[#This Row],[Wac]]-CurrentMtgRatesDataTable82[[#This Row],[Big Non-Bank Lender]]</f>
        <v>-0.22552035520701175</v>
      </c>
      <c r="G106" s="40">
        <f>CurrentMtgRatesDataTable82[[#This Row],[Wac]]-CurrentMtgRatesDataTable82[[#This Row],[Small Lender]]</f>
        <v>3.7117449362585653E-2</v>
      </c>
      <c r="H106" s="40">
        <f>CurrentMtgRatesDataTable82[[#This Row],[Big Non-Bank Lender]]-CurrentMtgRatesDataTable82[[#This Row],[Small Lender]]</f>
        <v>0.2626378045695974</v>
      </c>
      <c r="I106" s="40"/>
      <c r="K106" s="26">
        <v>39022</v>
      </c>
      <c r="L106" s="40">
        <v>6.8106206896551722</v>
      </c>
      <c r="N106" s="26">
        <v>39022</v>
      </c>
      <c r="O106" s="40">
        <v>6.5479828850855748</v>
      </c>
    </row>
    <row r="107" spans="2:15">
      <c r="B107" s="26">
        <v>38991</v>
      </c>
      <c r="C107" s="40">
        <v>6.5427777777777774</v>
      </c>
      <c r="D107" s="40">
        <f>VLOOKUP(CurrentMtgRatesDataTable82[[#This Row],[asOf]],CurrentMtgRatesDataTable823[],2,0)</f>
        <v>7.86</v>
      </c>
      <c r="E107" s="40">
        <f>VLOOKUP(CurrentMtgRatesDataTable82[[#This Row],[asOf]],CurrentMtgRatesDataTable8234[],2,0)</f>
        <v>6.4406060606060604</v>
      </c>
      <c r="F107" s="40">
        <f>CurrentMtgRatesDataTable82[[#This Row],[Wac]]-CurrentMtgRatesDataTable82[[#This Row],[Big Non-Bank Lender]]</f>
        <v>-1.317222222222223</v>
      </c>
      <c r="G107" s="40">
        <f>CurrentMtgRatesDataTable82[[#This Row],[Wac]]-CurrentMtgRatesDataTable82[[#This Row],[Small Lender]]</f>
        <v>0.10217171717171691</v>
      </c>
      <c r="H107" s="40">
        <f>CurrentMtgRatesDataTable82[[#This Row],[Big Non-Bank Lender]]-CurrentMtgRatesDataTable82[[#This Row],[Small Lender]]</f>
        <v>1.4193939393939399</v>
      </c>
      <c r="I107" s="40"/>
      <c r="K107" s="26">
        <v>38991</v>
      </c>
      <c r="L107" s="40">
        <v>7.86</v>
      </c>
      <c r="N107" s="26">
        <v>38991</v>
      </c>
      <c r="O107" s="40">
        <v>6.4406060606060604</v>
      </c>
    </row>
    <row r="108" spans="2:15">
      <c r="B108" s="26">
        <v>38961</v>
      </c>
      <c r="C108" s="40">
        <v>6.256379310344828</v>
      </c>
      <c r="D108" s="40" t="e">
        <f>VLOOKUP(CurrentMtgRatesDataTable82[[#This Row],[asOf]],CurrentMtgRatesDataTable823[],2,0)</f>
        <v>#N/A</v>
      </c>
      <c r="E108" s="40">
        <f>VLOOKUP(CurrentMtgRatesDataTable82[[#This Row],[asOf]],CurrentMtgRatesDataTable8234[],2,0)</f>
        <v>6.2308823529411761</v>
      </c>
      <c r="F108" s="40" t="e">
        <f>CurrentMtgRatesDataTable82[[#This Row],[Wac]]-CurrentMtgRatesDataTable82[[#This Row],[Big Non-Bank Lender]]</f>
        <v>#N/A</v>
      </c>
      <c r="G108" s="40">
        <f>CurrentMtgRatesDataTable82[[#This Row],[Wac]]-CurrentMtgRatesDataTable82[[#This Row],[Small Lender]]</f>
        <v>2.5496957403651876E-2</v>
      </c>
      <c r="H108" s="40" t="e">
        <f>CurrentMtgRatesDataTable82[[#This Row],[Big Non-Bank Lender]]-CurrentMtgRatesDataTable82[[#This Row],[Small Lender]]</f>
        <v>#N/A</v>
      </c>
      <c r="I108" s="40"/>
      <c r="K108" s="26">
        <v>38930</v>
      </c>
      <c r="L108" s="40">
        <v>6.48</v>
      </c>
      <c r="N108" s="26">
        <v>38961</v>
      </c>
      <c r="O108" s="40">
        <v>6.2308823529411761</v>
      </c>
    </row>
    <row r="109" spans="2:15">
      <c r="B109" s="26">
        <v>38930</v>
      </c>
      <c r="C109" s="40">
        <v>6.4051999999999998</v>
      </c>
      <c r="D109" s="40">
        <f>VLOOKUP(CurrentMtgRatesDataTable82[[#This Row],[asOf]],CurrentMtgRatesDataTable823[],2,0)</f>
        <v>6.48</v>
      </c>
      <c r="E109" s="40">
        <f>VLOOKUP(CurrentMtgRatesDataTable82[[#This Row],[asOf]],CurrentMtgRatesDataTable8234[],2,0)</f>
        <v>6.2974285714285712</v>
      </c>
      <c r="F109" s="40">
        <f>CurrentMtgRatesDataTable82[[#This Row],[Wac]]-CurrentMtgRatesDataTable82[[#This Row],[Big Non-Bank Lender]]</f>
        <v>-7.4800000000000644E-2</v>
      </c>
      <c r="G109" s="40">
        <f>CurrentMtgRatesDataTable82[[#This Row],[Wac]]-CurrentMtgRatesDataTable82[[#This Row],[Small Lender]]</f>
        <v>0.10777142857142863</v>
      </c>
      <c r="H109" s="40">
        <f>CurrentMtgRatesDataTable82[[#This Row],[Big Non-Bank Lender]]-CurrentMtgRatesDataTable82[[#This Row],[Small Lender]]</f>
        <v>0.18257142857142927</v>
      </c>
      <c r="I109" s="40"/>
      <c r="K109" s="26">
        <v>38838</v>
      </c>
      <c r="L109" s="40">
        <v>6.37</v>
      </c>
      <c r="N109" s="26">
        <v>38930</v>
      </c>
      <c r="O109" s="40">
        <v>6.2974285714285712</v>
      </c>
    </row>
    <row r="110" spans="2:15">
      <c r="B110" s="26">
        <v>38899</v>
      </c>
      <c r="C110" s="40">
        <v>6.0122222222222224</v>
      </c>
      <c r="D110" s="40" t="e">
        <f>VLOOKUP(CurrentMtgRatesDataTable82[[#This Row],[asOf]],CurrentMtgRatesDataTable823[],2,0)</f>
        <v>#N/A</v>
      </c>
      <c r="E110" s="40">
        <f>VLOOKUP(CurrentMtgRatesDataTable82[[#This Row],[asOf]],CurrentMtgRatesDataTable8234[],2,0)</f>
        <v>6.264842105263158</v>
      </c>
      <c r="F110" s="40" t="e">
        <f>CurrentMtgRatesDataTable82[[#This Row],[Wac]]-CurrentMtgRatesDataTable82[[#This Row],[Big Non-Bank Lender]]</f>
        <v>#N/A</v>
      </c>
      <c r="G110" s="40">
        <f>CurrentMtgRatesDataTable82[[#This Row],[Wac]]-CurrentMtgRatesDataTable82[[#This Row],[Small Lender]]</f>
        <v>-0.25261988304093563</v>
      </c>
      <c r="H110" s="40" t="e">
        <f>CurrentMtgRatesDataTable82[[#This Row],[Big Non-Bank Lender]]-CurrentMtgRatesDataTable82[[#This Row],[Small Lender]]</f>
        <v>#N/A</v>
      </c>
      <c r="I110" s="40"/>
      <c r="K110" s="26">
        <v>38687</v>
      </c>
      <c r="L110" s="40">
        <v>6.77</v>
      </c>
      <c r="N110" s="26">
        <v>38899</v>
      </c>
      <c r="O110" s="40">
        <v>6.264842105263158</v>
      </c>
    </row>
    <row r="111" spans="2:15">
      <c r="B111" s="26">
        <v>38869</v>
      </c>
      <c r="C111" s="40">
        <v>5.762777777777778</v>
      </c>
      <c r="D111" s="40" t="e">
        <f>VLOOKUP(CurrentMtgRatesDataTable82[[#This Row],[asOf]],CurrentMtgRatesDataTable823[],2,0)</f>
        <v>#N/A</v>
      </c>
      <c r="E111" s="40">
        <f>VLOOKUP(CurrentMtgRatesDataTable82[[#This Row],[asOf]],CurrentMtgRatesDataTable8234[],2,0)</f>
        <v>6.1193069306930692</v>
      </c>
      <c r="F111" s="40" t="e">
        <f>CurrentMtgRatesDataTable82[[#This Row],[Wac]]-CurrentMtgRatesDataTable82[[#This Row],[Big Non-Bank Lender]]</f>
        <v>#N/A</v>
      </c>
      <c r="G111" s="40">
        <f>CurrentMtgRatesDataTable82[[#This Row],[Wac]]-CurrentMtgRatesDataTable82[[#This Row],[Small Lender]]</f>
        <v>-0.35652915291529119</v>
      </c>
      <c r="H111" s="40" t="e">
        <f>CurrentMtgRatesDataTable82[[#This Row],[Big Non-Bank Lender]]-CurrentMtgRatesDataTable82[[#This Row],[Small Lender]]</f>
        <v>#N/A</v>
      </c>
      <c r="I111" s="40"/>
      <c r="K111" s="26">
        <v>38657</v>
      </c>
      <c r="L111" s="40">
        <v>5.89</v>
      </c>
      <c r="N111" s="26">
        <v>38869</v>
      </c>
      <c r="O111" s="40">
        <v>6.1193069306930692</v>
      </c>
    </row>
    <row r="112" spans="2:15">
      <c r="B112" s="26">
        <v>38838</v>
      </c>
      <c r="C112" s="40">
        <v>6.4379999999999997</v>
      </c>
      <c r="D112" s="40">
        <f>VLOOKUP(CurrentMtgRatesDataTable82[[#This Row],[asOf]],CurrentMtgRatesDataTable823[],2,0)</f>
        <v>6.37</v>
      </c>
      <c r="E112" s="40">
        <f>VLOOKUP(CurrentMtgRatesDataTable82[[#This Row],[asOf]],CurrentMtgRatesDataTable8234[],2,0)</f>
        <v>6.2129411764705882</v>
      </c>
      <c r="F112" s="40">
        <f>CurrentMtgRatesDataTable82[[#This Row],[Wac]]-CurrentMtgRatesDataTable82[[#This Row],[Big Non-Bank Lender]]</f>
        <v>6.7999999999999616E-2</v>
      </c>
      <c r="G112" s="40">
        <f>CurrentMtgRatesDataTable82[[#This Row],[Wac]]-CurrentMtgRatesDataTable82[[#This Row],[Small Lender]]</f>
        <v>0.22505882352941153</v>
      </c>
      <c r="H112" s="40">
        <f>CurrentMtgRatesDataTable82[[#This Row],[Big Non-Bank Lender]]-CurrentMtgRatesDataTable82[[#This Row],[Small Lender]]</f>
        <v>0.15705882352941192</v>
      </c>
      <c r="I112" s="40"/>
      <c r="K112" s="26">
        <v>38596</v>
      </c>
      <c r="L112" s="40">
        <v>5.5</v>
      </c>
      <c r="N112" s="26">
        <v>38838</v>
      </c>
      <c r="O112" s="40">
        <v>6.2129411764705882</v>
      </c>
    </row>
    <row r="113" spans="2:15">
      <c r="B113" s="26">
        <v>38808</v>
      </c>
      <c r="C113" s="40">
        <v>6.1957142857142857</v>
      </c>
      <c r="D113" s="40" t="e">
        <f>VLOOKUP(CurrentMtgRatesDataTable82[[#This Row],[asOf]],CurrentMtgRatesDataTable823[],2,0)</f>
        <v>#N/A</v>
      </c>
      <c r="E113" s="40">
        <f>VLOOKUP(CurrentMtgRatesDataTable82[[#This Row],[asOf]],CurrentMtgRatesDataTable8234[],2,0)</f>
        <v>6.1925714285714282</v>
      </c>
      <c r="F113" s="40" t="e">
        <f>CurrentMtgRatesDataTable82[[#This Row],[Wac]]-CurrentMtgRatesDataTable82[[#This Row],[Big Non-Bank Lender]]</f>
        <v>#N/A</v>
      </c>
      <c r="G113" s="40">
        <f>CurrentMtgRatesDataTable82[[#This Row],[Wac]]-CurrentMtgRatesDataTable82[[#This Row],[Small Lender]]</f>
        <v>3.142857142857558E-3</v>
      </c>
      <c r="H113" s="40" t="e">
        <f>CurrentMtgRatesDataTable82[[#This Row],[Big Non-Bank Lender]]-CurrentMtgRatesDataTable82[[#This Row],[Small Lender]]</f>
        <v>#N/A</v>
      </c>
      <c r="I113" s="40"/>
      <c r="K113" s="26">
        <v>38504</v>
      </c>
      <c r="L113" s="40">
        <v>5.9349999999999996</v>
      </c>
      <c r="N113" s="26">
        <v>38808</v>
      </c>
      <c r="O113" s="40">
        <v>6.1925714285714282</v>
      </c>
    </row>
    <row r="114" spans="2:15">
      <c r="B114" s="26">
        <v>38777</v>
      </c>
      <c r="C114" s="40">
        <v>5.8312499999999998</v>
      </c>
      <c r="D114" s="40" t="e">
        <f>VLOOKUP(CurrentMtgRatesDataTable82[[#This Row],[asOf]],CurrentMtgRatesDataTable823[],2,0)</f>
        <v>#N/A</v>
      </c>
      <c r="E114" s="40">
        <f>VLOOKUP(CurrentMtgRatesDataTable82[[#This Row],[asOf]],CurrentMtgRatesDataTable8234[],2,0)</f>
        <v>6.3875000000000002</v>
      </c>
      <c r="F114" s="40" t="e">
        <f>CurrentMtgRatesDataTable82[[#This Row],[Wac]]-CurrentMtgRatesDataTable82[[#This Row],[Big Non-Bank Lender]]</f>
        <v>#N/A</v>
      </c>
      <c r="G114" s="40">
        <f>CurrentMtgRatesDataTable82[[#This Row],[Wac]]-CurrentMtgRatesDataTable82[[#This Row],[Small Lender]]</f>
        <v>-0.55625000000000036</v>
      </c>
      <c r="H114" s="40" t="e">
        <f>CurrentMtgRatesDataTable82[[#This Row],[Big Non-Bank Lender]]-CurrentMtgRatesDataTable82[[#This Row],[Small Lender]]</f>
        <v>#N/A</v>
      </c>
      <c r="I114" s="40"/>
      <c r="N114" s="26">
        <v>38777</v>
      </c>
      <c r="O114" s="40">
        <v>6.3875000000000002</v>
      </c>
    </row>
    <row r="115" spans="2:15">
      <c r="B115" s="26">
        <v>38749</v>
      </c>
      <c r="C115" s="40">
        <v>5.9120689655172418</v>
      </c>
      <c r="D115" s="40" t="e">
        <f>VLOOKUP(CurrentMtgRatesDataTable82[[#This Row],[asOf]],CurrentMtgRatesDataTable823[],2,0)</f>
        <v>#N/A</v>
      </c>
      <c r="E115" s="40">
        <f>VLOOKUP(CurrentMtgRatesDataTable82[[#This Row],[asOf]],CurrentMtgRatesDataTable8234[],2,0)</f>
        <v>6.12</v>
      </c>
      <c r="F115" s="40" t="e">
        <f>CurrentMtgRatesDataTable82[[#This Row],[Wac]]-CurrentMtgRatesDataTable82[[#This Row],[Big Non-Bank Lender]]</f>
        <v>#N/A</v>
      </c>
      <c r="G115" s="40">
        <f>CurrentMtgRatesDataTable82[[#This Row],[Wac]]-CurrentMtgRatesDataTable82[[#This Row],[Small Lender]]</f>
        <v>-0.20793103448275829</v>
      </c>
      <c r="H115" s="40" t="e">
        <f>CurrentMtgRatesDataTable82[[#This Row],[Big Non-Bank Lender]]-CurrentMtgRatesDataTable82[[#This Row],[Small Lender]]</f>
        <v>#N/A</v>
      </c>
      <c r="I115" s="40"/>
      <c r="N115" s="26">
        <v>38749</v>
      </c>
      <c r="O115" s="40">
        <v>6.12</v>
      </c>
    </row>
    <row r="116" spans="2:15">
      <c r="B116" s="26">
        <v>38718</v>
      </c>
      <c r="C116" s="40">
        <v>5.5707142857142857</v>
      </c>
      <c r="D116" s="40" t="e">
        <f>VLOOKUP(CurrentMtgRatesDataTable82[[#This Row],[asOf]],CurrentMtgRatesDataTable823[],2,0)</f>
        <v>#N/A</v>
      </c>
      <c r="E116" s="40">
        <f>VLOOKUP(CurrentMtgRatesDataTable82[[#This Row],[asOf]],CurrentMtgRatesDataTable8234[],2,0)</f>
        <v>6.3566666666666665</v>
      </c>
      <c r="F116" s="40" t="e">
        <f>CurrentMtgRatesDataTable82[[#This Row],[Wac]]-CurrentMtgRatesDataTable82[[#This Row],[Big Non-Bank Lender]]</f>
        <v>#N/A</v>
      </c>
      <c r="G116" s="40">
        <f>CurrentMtgRatesDataTable82[[#This Row],[Wac]]-CurrentMtgRatesDataTable82[[#This Row],[Small Lender]]</f>
        <v>-0.78595238095238074</v>
      </c>
      <c r="H116" s="40" t="e">
        <f>CurrentMtgRatesDataTable82[[#This Row],[Big Non-Bank Lender]]-CurrentMtgRatesDataTable82[[#This Row],[Small Lender]]</f>
        <v>#N/A</v>
      </c>
      <c r="I116" s="40"/>
      <c r="N116" s="26">
        <v>38718</v>
      </c>
      <c r="O116" s="40">
        <v>6.3566666666666665</v>
      </c>
    </row>
    <row r="117" spans="2:15">
      <c r="B117" s="26">
        <v>38687</v>
      </c>
      <c r="C117" s="40">
        <v>6.1768181818181818</v>
      </c>
      <c r="D117" s="40">
        <f>VLOOKUP(CurrentMtgRatesDataTable82[[#This Row],[asOf]],CurrentMtgRatesDataTable823[],2,0)</f>
        <v>6.77</v>
      </c>
      <c r="E117" s="40">
        <f>VLOOKUP(CurrentMtgRatesDataTable82[[#This Row],[asOf]],CurrentMtgRatesDataTable8234[],2,0)</f>
        <v>6.3449999999999998</v>
      </c>
      <c r="F117" s="40">
        <f>CurrentMtgRatesDataTable82[[#This Row],[Wac]]-CurrentMtgRatesDataTable82[[#This Row],[Big Non-Bank Lender]]</f>
        <v>-0.59318181818181781</v>
      </c>
      <c r="G117" s="40">
        <f>CurrentMtgRatesDataTable82[[#This Row],[Wac]]-CurrentMtgRatesDataTable82[[#This Row],[Small Lender]]</f>
        <v>-0.16818181818181799</v>
      </c>
      <c r="H117" s="40">
        <f>CurrentMtgRatesDataTable82[[#This Row],[Big Non-Bank Lender]]-CurrentMtgRatesDataTable82[[#This Row],[Small Lender]]</f>
        <v>0.42499999999999982</v>
      </c>
      <c r="I117" s="40"/>
      <c r="N117" s="26">
        <v>38687</v>
      </c>
      <c r="O117" s="40">
        <v>6.3449999999999998</v>
      </c>
    </row>
    <row r="118" spans="2:15">
      <c r="B118" s="26">
        <v>38657</v>
      </c>
      <c r="C118" s="40">
        <v>5.8255555555555558</v>
      </c>
      <c r="D118" s="40">
        <f>VLOOKUP(CurrentMtgRatesDataTable82[[#This Row],[asOf]],CurrentMtgRatesDataTable823[],2,0)</f>
        <v>5.89</v>
      </c>
      <c r="E118" s="40">
        <f>VLOOKUP(CurrentMtgRatesDataTable82[[#This Row],[asOf]],CurrentMtgRatesDataTable8234[],2,0)</f>
        <v>6.9285714285714288</v>
      </c>
      <c r="F118" s="40">
        <f>CurrentMtgRatesDataTable82[[#This Row],[Wac]]-CurrentMtgRatesDataTable82[[#This Row],[Big Non-Bank Lender]]</f>
        <v>-6.444444444444386E-2</v>
      </c>
      <c r="G118" s="40">
        <f>CurrentMtgRatesDataTable82[[#This Row],[Wac]]-CurrentMtgRatesDataTable82[[#This Row],[Small Lender]]</f>
        <v>-1.103015873015873</v>
      </c>
      <c r="H118" s="40">
        <f>CurrentMtgRatesDataTable82[[#This Row],[Big Non-Bank Lender]]-CurrentMtgRatesDataTable82[[#This Row],[Small Lender]]</f>
        <v>-1.0385714285714291</v>
      </c>
      <c r="I118" s="40"/>
      <c r="N118" s="26">
        <v>38657</v>
      </c>
      <c r="O118" s="40">
        <v>6.9285714285714288</v>
      </c>
    </row>
    <row r="119" spans="2:15">
      <c r="B119" s="26">
        <v>38626</v>
      </c>
      <c r="C119" s="40">
        <v>5.763684210526316</v>
      </c>
      <c r="D119" s="40" t="e">
        <f>VLOOKUP(CurrentMtgRatesDataTable82[[#This Row],[asOf]],CurrentMtgRatesDataTable823[],2,0)</f>
        <v>#N/A</v>
      </c>
      <c r="E119" s="40">
        <f>VLOOKUP(CurrentMtgRatesDataTable82[[#This Row],[asOf]],CurrentMtgRatesDataTable8234[],2,0)</f>
        <v>6.34</v>
      </c>
      <c r="F119" s="40" t="e">
        <f>CurrentMtgRatesDataTable82[[#This Row],[Wac]]-CurrentMtgRatesDataTable82[[#This Row],[Big Non-Bank Lender]]</f>
        <v>#N/A</v>
      </c>
      <c r="G119" s="40">
        <f>CurrentMtgRatesDataTable82[[#This Row],[Wac]]-CurrentMtgRatesDataTable82[[#This Row],[Small Lender]]</f>
        <v>-0.57631578947368389</v>
      </c>
      <c r="H119" s="40" t="e">
        <f>CurrentMtgRatesDataTable82[[#This Row],[Big Non-Bank Lender]]-CurrentMtgRatesDataTable82[[#This Row],[Small Lender]]</f>
        <v>#N/A</v>
      </c>
      <c r="I119" s="40"/>
      <c r="N119" s="26">
        <v>38626</v>
      </c>
      <c r="O119" s="40">
        <v>6.34</v>
      </c>
    </row>
    <row r="120" spans="2:15">
      <c r="B120" s="26">
        <v>38596</v>
      </c>
      <c r="C120" s="40">
        <v>6.3849999999999998</v>
      </c>
      <c r="D120" s="40">
        <f>VLOOKUP(CurrentMtgRatesDataTable82[[#This Row],[asOf]],CurrentMtgRatesDataTable823[],2,0)</f>
        <v>5.5</v>
      </c>
      <c r="E120" s="40">
        <f>VLOOKUP(CurrentMtgRatesDataTable82[[#This Row],[asOf]],CurrentMtgRatesDataTable8234[],2,0)</f>
        <v>6.23</v>
      </c>
      <c r="F120" s="40">
        <f>CurrentMtgRatesDataTable82[[#This Row],[Wac]]-CurrentMtgRatesDataTable82[[#This Row],[Big Non-Bank Lender]]</f>
        <v>0.88499999999999979</v>
      </c>
      <c r="G120" s="40">
        <f>CurrentMtgRatesDataTable82[[#This Row],[Wac]]-CurrentMtgRatesDataTable82[[#This Row],[Small Lender]]</f>
        <v>0.15499999999999936</v>
      </c>
      <c r="H120" s="40">
        <f>CurrentMtgRatesDataTable82[[#This Row],[Big Non-Bank Lender]]-CurrentMtgRatesDataTable82[[#This Row],[Small Lender]]</f>
        <v>-0.73000000000000043</v>
      </c>
      <c r="I120" s="40"/>
      <c r="N120" s="26">
        <v>38596</v>
      </c>
      <c r="O120" s="40">
        <v>6.23</v>
      </c>
    </row>
    <row r="121" spans="2:15">
      <c r="B121" s="26">
        <v>38565</v>
      </c>
      <c r="C121" s="40">
        <v>6.3880769230769232</v>
      </c>
      <c r="D121" s="40" t="e">
        <f>VLOOKUP(CurrentMtgRatesDataTable82[[#This Row],[asOf]],CurrentMtgRatesDataTable823[],2,0)</f>
        <v>#N/A</v>
      </c>
      <c r="E121" s="40">
        <f>VLOOKUP(CurrentMtgRatesDataTable82[[#This Row],[asOf]],CurrentMtgRatesDataTable8234[],2,0)</f>
        <v>5.7712500000000002</v>
      </c>
      <c r="F121" s="40" t="e">
        <f>CurrentMtgRatesDataTable82[[#This Row],[Wac]]-CurrentMtgRatesDataTable82[[#This Row],[Big Non-Bank Lender]]</f>
        <v>#N/A</v>
      </c>
      <c r="G121" s="40">
        <f>CurrentMtgRatesDataTable82[[#This Row],[Wac]]-CurrentMtgRatesDataTable82[[#This Row],[Small Lender]]</f>
        <v>0.61682692307692299</v>
      </c>
      <c r="H121" s="40" t="e">
        <f>CurrentMtgRatesDataTable82[[#This Row],[Big Non-Bank Lender]]-CurrentMtgRatesDataTable82[[#This Row],[Small Lender]]</f>
        <v>#N/A</v>
      </c>
      <c r="I121" s="40"/>
      <c r="N121" s="26">
        <v>38565</v>
      </c>
      <c r="O121" s="40">
        <v>5.7712500000000002</v>
      </c>
    </row>
    <row r="122" spans="2:15">
      <c r="B122" s="26">
        <v>38534</v>
      </c>
      <c r="C122" s="40">
        <v>6.2105555555555556</v>
      </c>
      <c r="D122" s="40" t="e">
        <f>VLOOKUP(CurrentMtgRatesDataTable82[[#This Row],[asOf]],CurrentMtgRatesDataTable823[],2,0)</f>
        <v>#N/A</v>
      </c>
      <c r="E122" s="40">
        <f>VLOOKUP(CurrentMtgRatesDataTable82[[#This Row],[asOf]],CurrentMtgRatesDataTable8234[],2,0)</f>
        <v>6.03125</v>
      </c>
      <c r="F122" s="40" t="e">
        <f>CurrentMtgRatesDataTable82[[#This Row],[Wac]]-CurrentMtgRatesDataTable82[[#This Row],[Big Non-Bank Lender]]</f>
        <v>#N/A</v>
      </c>
      <c r="G122" s="40">
        <f>CurrentMtgRatesDataTable82[[#This Row],[Wac]]-CurrentMtgRatesDataTable82[[#This Row],[Small Lender]]</f>
        <v>0.17930555555555561</v>
      </c>
      <c r="H122" s="40" t="e">
        <f>CurrentMtgRatesDataTable82[[#This Row],[Big Non-Bank Lender]]-CurrentMtgRatesDataTable82[[#This Row],[Small Lender]]</f>
        <v>#N/A</v>
      </c>
      <c r="I122" s="40"/>
      <c r="N122" s="26">
        <v>38534</v>
      </c>
      <c r="O122" s="40">
        <v>6.03125</v>
      </c>
    </row>
    <row r="123" spans="2:15">
      <c r="B123" s="26">
        <v>38504</v>
      </c>
      <c r="C123" s="40">
        <v>6.8342857142857145</v>
      </c>
      <c r="D123" s="40">
        <f>VLOOKUP(CurrentMtgRatesDataTable82[[#This Row],[asOf]],CurrentMtgRatesDataTable823[],2,0)</f>
        <v>5.9349999999999996</v>
      </c>
      <c r="E123" s="40">
        <f>VLOOKUP(CurrentMtgRatesDataTable82[[#This Row],[asOf]],CurrentMtgRatesDataTable8234[],2,0)</f>
        <v>6.4154545454545451</v>
      </c>
      <c r="F123" s="40">
        <f>CurrentMtgRatesDataTable82[[#This Row],[Wac]]-CurrentMtgRatesDataTable82[[#This Row],[Big Non-Bank Lender]]</f>
        <v>0.89928571428571491</v>
      </c>
      <c r="G123" s="40">
        <f>CurrentMtgRatesDataTable82[[#This Row],[Wac]]-CurrentMtgRatesDataTable82[[#This Row],[Small Lender]]</f>
        <v>0.41883116883116944</v>
      </c>
      <c r="H123" s="40">
        <f>CurrentMtgRatesDataTable82[[#This Row],[Big Non-Bank Lender]]-CurrentMtgRatesDataTable82[[#This Row],[Small Lender]]</f>
        <v>-0.48045454545454547</v>
      </c>
      <c r="I123" s="40"/>
      <c r="N123" s="26">
        <v>38504</v>
      </c>
      <c r="O123" s="40">
        <v>6.4154545454545451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129"/>
  <sheetViews>
    <sheetView topLeftCell="B1" workbookViewId="0">
      <selection activeCell="B1" sqref="B1:N2"/>
    </sheetView>
  </sheetViews>
  <sheetFormatPr defaultRowHeight="15"/>
  <cols>
    <col min="2" max="2" width="13.85546875" bestFit="1" customWidth="1"/>
    <col min="3" max="3" width="12" bestFit="1" customWidth="1"/>
    <col min="4" max="6" width="12.5703125" bestFit="1" customWidth="1"/>
    <col min="8" max="8" width="13.85546875" bestFit="1" customWidth="1"/>
    <col min="9" max="9" width="12.5703125" bestFit="1" customWidth="1"/>
    <col min="11" max="11" width="13.85546875" bestFit="1" customWidth="1"/>
    <col min="12" max="12" width="12.5703125" bestFit="1" customWidth="1"/>
    <col min="14" max="14" width="13.85546875" bestFit="1" customWidth="1"/>
    <col min="15" max="15" width="12.5703125" bestFit="1" customWidth="1"/>
  </cols>
  <sheetData>
    <row r="1" spans="2:15">
      <c r="B1" t="s">
        <v>33</v>
      </c>
      <c r="K1" t="s">
        <v>34</v>
      </c>
      <c r="N1" t="s">
        <v>35</v>
      </c>
    </row>
    <row r="2" spans="2:15">
      <c r="C2" t="s">
        <v>42</v>
      </c>
      <c r="H2" t="s">
        <v>43</v>
      </c>
    </row>
    <row r="3" spans="2:15">
      <c r="B3" t="s">
        <v>40</v>
      </c>
      <c r="C3" t="s">
        <v>41</v>
      </c>
      <c r="D3" t="s">
        <v>33</v>
      </c>
      <c r="E3" t="s">
        <v>34</v>
      </c>
      <c r="F3" t="s">
        <v>35</v>
      </c>
      <c r="H3" t="s">
        <v>40</v>
      </c>
      <c r="I3" t="s">
        <v>44</v>
      </c>
      <c r="K3" t="s">
        <v>40</v>
      </c>
      <c r="L3" t="s">
        <v>34</v>
      </c>
      <c r="N3" t="s">
        <v>40</v>
      </c>
      <c r="O3" t="s">
        <v>35</v>
      </c>
    </row>
    <row r="4" spans="2:15">
      <c r="B4" s="1">
        <v>42156</v>
      </c>
      <c r="C4">
        <v>4.0494685039369998</v>
      </c>
      <c r="D4">
        <f>VLOOKUP(B4,H4:I129,2,0)</f>
        <v>4.03346663290084</v>
      </c>
      <c r="E4">
        <v>4.2191101493671104</v>
      </c>
      <c r="F4">
        <v>4.1037910444357104</v>
      </c>
      <c r="H4" s="1">
        <v>42156</v>
      </c>
      <c r="I4">
        <v>4.03346663290084</v>
      </c>
      <c r="K4" s="1">
        <v>42156</v>
      </c>
      <c r="L4">
        <v>4.2191101493671104</v>
      </c>
      <c r="N4" s="1">
        <v>42156</v>
      </c>
      <c r="O4">
        <v>4.1037910444357104</v>
      </c>
    </row>
    <row r="5" spans="2:15">
      <c r="B5" s="1">
        <v>42125</v>
      </c>
      <c r="C5">
        <v>4.1309791852410598</v>
      </c>
      <c r="D5">
        <f t="shared" ref="D5:D68" si="0">VLOOKUP(B5,H5:I130,2,0)</f>
        <v>4.08684711807037</v>
      </c>
      <c r="E5">
        <v>4.1047356387805598</v>
      </c>
      <c r="F5">
        <v>4.0203835309051703</v>
      </c>
      <c r="H5" s="1">
        <v>42125</v>
      </c>
      <c r="I5">
        <v>4.08684711807037</v>
      </c>
      <c r="K5" s="1">
        <v>42125</v>
      </c>
      <c r="L5">
        <v>4.1047356387805598</v>
      </c>
      <c r="N5" s="1">
        <v>42125</v>
      </c>
      <c r="O5">
        <v>4.0203835309051703</v>
      </c>
    </row>
    <row r="6" spans="2:15">
      <c r="B6" s="1">
        <v>42095</v>
      </c>
      <c r="C6">
        <v>4.0349233696411098</v>
      </c>
      <c r="D6">
        <f t="shared" si="0"/>
        <v>3.9789730538138399</v>
      </c>
      <c r="E6">
        <v>4.0802746460940602</v>
      </c>
      <c r="F6">
        <v>3.98825896732659</v>
      </c>
      <c r="H6" s="1">
        <v>42095</v>
      </c>
      <c r="I6">
        <v>3.9789730538138399</v>
      </c>
      <c r="K6" s="1">
        <v>42095</v>
      </c>
      <c r="L6">
        <v>4.0802746460940602</v>
      </c>
      <c r="N6" s="1">
        <v>42095</v>
      </c>
      <c r="O6">
        <v>3.98825896732659</v>
      </c>
    </row>
    <row r="7" spans="2:15">
      <c r="B7" s="1">
        <v>42064</v>
      </c>
      <c r="C7">
        <v>4.1462932609113601</v>
      </c>
      <c r="D7">
        <f t="shared" si="0"/>
        <v>4.1129573705501699</v>
      </c>
      <c r="E7">
        <v>4.0827757855292202</v>
      </c>
      <c r="F7">
        <v>3.9888208078896099</v>
      </c>
      <c r="H7" s="1">
        <v>42064</v>
      </c>
      <c r="I7">
        <v>4.1129573705501699</v>
      </c>
      <c r="K7" s="1">
        <v>42064</v>
      </c>
      <c r="L7">
        <v>4.0827757855292202</v>
      </c>
      <c r="N7" s="1">
        <v>42064</v>
      </c>
      <c r="O7">
        <v>3.9888208078896099</v>
      </c>
    </row>
    <row r="8" spans="2:15">
      <c r="B8" s="1">
        <v>42036</v>
      </c>
      <c r="C8">
        <v>4.2898292327319103</v>
      </c>
      <c r="D8">
        <f t="shared" si="0"/>
        <v>4.2423242846558296</v>
      </c>
      <c r="E8">
        <v>4.2463276905126701</v>
      </c>
      <c r="F8">
        <v>4.1789887425929004</v>
      </c>
      <c r="H8" s="1">
        <v>42036</v>
      </c>
      <c r="I8">
        <v>4.2423242846558296</v>
      </c>
      <c r="K8" s="1">
        <v>42036</v>
      </c>
      <c r="L8">
        <v>4.2463276905126701</v>
      </c>
      <c r="N8" s="1">
        <v>42036</v>
      </c>
      <c r="O8">
        <v>4.1789887425929004</v>
      </c>
    </row>
    <row r="9" spans="2:15">
      <c r="B9" s="1">
        <v>42005</v>
      </c>
      <c r="C9">
        <v>4.3502841724089398</v>
      </c>
      <c r="D9">
        <f t="shared" si="0"/>
        <v>4.3085359218445003</v>
      </c>
      <c r="E9">
        <v>4.3502702860523303</v>
      </c>
      <c r="F9">
        <v>4.2746673686713397</v>
      </c>
      <c r="H9" s="1">
        <v>42005</v>
      </c>
      <c r="I9">
        <v>4.3085359218445003</v>
      </c>
      <c r="K9" s="1">
        <v>42005</v>
      </c>
      <c r="L9">
        <v>4.3502702860523303</v>
      </c>
      <c r="N9" s="1">
        <v>42005</v>
      </c>
      <c r="O9">
        <v>4.2746673686713397</v>
      </c>
    </row>
    <row r="10" spans="2:15">
      <c r="B10" s="1">
        <v>41974</v>
      </c>
      <c r="C10">
        <v>4.4014198445020298</v>
      </c>
      <c r="D10">
        <f t="shared" si="0"/>
        <v>4.3658755157534399</v>
      </c>
      <c r="E10">
        <v>4.4027082326907596</v>
      </c>
      <c r="F10">
        <v>4.3513149361685004</v>
      </c>
      <c r="H10" s="1">
        <v>41974</v>
      </c>
      <c r="I10">
        <v>4.3658755157534399</v>
      </c>
      <c r="K10" s="1">
        <v>41974</v>
      </c>
      <c r="L10">
        <v>4.4027082326907596</v>
      </c>
      <c r="N10" s="1">
        <v>41974</v>
      </c>
      <c r="O10">
        <v>4.3513149361685004</v>
      </c>
    </row>
    <row r="11" spans="2:15">
      <c r="B11" s="1">
        <v>41944</v>
      </c>
      <c r="C11">
        <v>4.6343512256881496</v>
      </c>
      <c r="D11">
        <f t="shared" si="0"/>
        <v>4.5500005085103901</v>
      </c>
      <c r="E11">
        <v>4.5181402111511098</v>
      </c>
      <c r="F11">
        <v>4.3984842689422798</v>
      </c>
      <c r="H11" s="1">
        <v>41944</v>
      </c>
      <c r="I11">
        <v>4.5500005085103901</v>
      </c>
      <c r="K11" s="1">
        <v>41944</v>
      </c>
      <c r="L11">
        <v>4.5181402111511098</v>
      </c>
      <c r="N11" s="1">
        <v>41944</v>
      </c>
      <c r="O11">
        <v>4.3984842689422798</v>
      </c>
    </row>
    <row r="12" spans="2:15">
      <c r="B12" s="1">
        <v>41913</v>
      </c>
      <c r="C12">
        <v>4.49423910948342</v>
      </c>
      <c r="D12">
        <f t="shared" si="0"/>
        <v>4.43647545579464</v>
      </c>
      <c r="E12">
        <v>4.5460665183556301</v>
      </c>
      <c r="F12">
        <v>4.4750057291068597</v>
      </c>
      <c r="H12" s="1">
        <v>41913</v>
      </c>
      <c r="I12">
        <v>4.43647545579464</v>
      </c>
      <c r="K12" s="1">
        <v>41913</v>
      </c>
      <c r="L12">
        <v>4.5460665183556301</v>
      </c>
      <c r="N12" s="1">
        <v>41913</v>
      </c>
      <c r="O12">
        <v>4.4750057291068597</v>
      </c>
    </row>
    <row r="13" spans="2:15">
      <c r="B13" s="1">
        <v>41883</v>
      </c>
      <c r="C13">
        <v>4.4184286528179504</v>
      </c>
      <c r="D13">
        <f t="shared" si="0"/>
        <v>4.3928606963213097</v>
      </c>
      <c r="E13">
        <v>4.5256544357841504</v>
      </c>
      <c r="F13">
        <v>4.4303742565342699</v>
      </c>
      <c r="H13" s="1">
        <v>41883</v>
      </c>
      <c r="I13">
        <v>4.3928606963213097</v>
      </c>
      <c r="K13" s="1">
        <v>41883</v>
      </c>
      <c r="L13">
        <v>4.5256544357841504</v>
      </c>
      <c r="N13" s="1">
        <v>41883</v>
      </c>
      <c r="O13">
        <v>4.4303742565342699</v>
      </c>
    </row>
    <row r="14" spans="2:15">
      <c r="B14" s="1">
        <v>41852</v>
      </c>
      <c r="C14">
        <v>4.4864489218660299</v>
      </c>
      <c r="D14">
        <f t="shared" si="0"/>
        <v>4.46240399555957</v>
      </c>
      <c r="E14">
        <v>4.5470041872076301</v>
      </c>
      <c r="F14">
        <v>4.4426965691305504</v>
      </c>
      <c r="H14" s="1">
        <v>41852</v>
      </c>
      <c r="I14">
        <v>4.46240399555957</v>
      </c>
      <c r="K14" s="1">
        <v>41852</v>
      </c>
      <c r="L14">
        <v>4.5470041872076301</v>
      </c>
      <c r="N14" s="1">
        <v>41852</v>
      </c>
      <c r="O14">
        <v>4.4426965691305504</v>
      </c>
    </row>
    <row r="15" spans="2:15">
      <c r="B15" s="1">
        <v>41821</v>
      </c>
      <c r="C15">
        <v>4.5996196449530498</v>
      </c>
      <c r="D15">
        <f t="shared" si="0"/>
        <v>4.5464654686383899</v>
      </c>
      <c r="E15">
        <v>4.5864628238594998</v>
      </c>
      <c r="F15">
        <v>4.4870171590413204</v>
      </c>
      <c r="H15" s="1">
        <v>41821</v>
      </c>
      <c r="I15">
        <v>4.5464654686383899</v>
      </c>
      <c r="K15" s="1">
        <v>41821</v>
      </c>
      <c r="L15">
        <v>4.5864628238594998</v>
      </c>
      <c r="N15" s="1">
        <v>41821</v>
      </c>
      <c r="O15">
        <v>4.4870171590413204</v>
      </c>
    </row>
    <row r="16" spans="2:15">
      <c r="B16" s="1">
        <v>41791</v>
      </c>
      <c r="C16">
        <v>4.6253476993545704</v>
      </c>
      <c r="D16">
        <f t="shared" si="0"/>
        <v>4.5955921919831102</v>
      </c>
      <c r="E16">
        <v>4.6769359298809503</v>
      </c>
      <c r="F16">
        <v>4.5739784541027797</v>
      </c>
      <c r="H16" s="1">
        <v>41791</v>
      </c>
      <c r="I16">
        <v>4.5955921919831102</v>
      </c>
      <c r="K16" s="1">
        <v>41791</v>
      </c>
      <c r="L16">
        <v>4.6769359298809503</v>
      </c>
      <c r="N16" s="1">
        <v>41791</v>
      </c>
      <c r="O16">
        <v>4.5739784541027797</v>
      </c>
    </row>
    <row r="17" spans="2:15">
      <c r="B17" s="1">
        <v>41760</v>
      </c>
      <c r="C17">
        <v>4.6431967001804502</v>
      </c>
      <c r="D17">
        <f t="shared" si="0"/>
        <v>4.6169256515675503</v>
      </c>
      <c r="E17">
        <v>4.71889414579132</v>
      </c>
      <c r="F17">
        <v>4.6282846745247301</v>
      </c>
      <c r="H17" s="1">
        <v>41760</v>
      </c>
      <c r="I17">
        <v>4.6169256515675503</v>
      </c>
      <c r="K17" s="1">
        <v>41760</v>
      </c>
      <c r="L17">
        <v>4.71889414579132</v>
      </c>
      <c r="N17" s="1">
        <v>41760</v>
      </c>
      <c r="O17">
        <v>4.6282846745247301</v>
      </c>
    </row>
    <row r="18" spans="2:15">
      <c r="B18" s="1">
        <v>41730</v>
      </c>
      <c r="C18">
        <v>4.6526377313799401</v>
      </c>
      <c r="D18">
        <f t="shared" si="0"/>
        <v>4.6073322411551896</v>
      </c>
      <c r="E18">
        <v>4.7040503515759404</v>
      </c>
      <c r="F18">
        <v>4.6303668541590701</v>
      </c>
      <c r="H18" s="1">
        <v>41730</v>
      </c>
      <c r="I18">
        <v>4.6073322411551896</v>
      </c>
      <c r="K18" s="1">
        <v>41730</v>
      </c>
      <c r="L18">
        <v>4.7040503515759404</v>
      </c>
      <c r="N18" s="1">
        <v>41730</v>
      </c>
      <c r="O18">
        <v>4.6303668541590701</v>
      </c>
    </row>
    <row r="19" spans="2:15">
      <c r="B19" s="1">
        <v>41699</v>
      </c>
      <c r="C19">
        <v>4.7278443383717796</v>
      </c>
      <c r="D19">
        <f t="shared" si="0"/>
        <v>4.6999271259678803</v>
      </c>
      <c r="E19">
        <v>4.7860051914523396</v>
      </c>
      <c r="F19">
        <v>4.6594694926662301</v>
      </c>
      <c r="H19" s="1">
        <v>41699</v>
      </c>
      <c r="I19">
        <v>4.6999271259678803</v>
      </c>
      <c r="K19" s="1">
        <v>41699</v>
      </c>
      <c r="L19">
        <v>4.7860051914523396</v>
      </c>
      <c r="N19" s="1">
        <v>41699</v>
      </c>
      <c r="O19">
        <v>4.6594694926662301</v>
      </c>
    </row>
    <row r="20" spans="2:15">
      <c r="B20" s="1">
        <v>41671</v>
      </c>
      <c r="C20">
        <v>4.6701243630873703</v>
      </c>
      <c r="D20">
        <f t="shared" si="0"/>
        <v>4.6303142727846298</v>
      </c>
      <c r="E20">
        <v>4.7712676043257503</v>
      </c>
      <c r="F20">
        <v>4.6706348873408796</v>
      </c>
      <c r="H20" s="1">
        <v>41671</v>
      </c>
      <c r="I20">
        <v>4.6303142727846298</v>
      </c>
      <c r="K20" s="1">
        <v>41671</v>
      </c>
      <c r="L20">
        <v>4.7712676043257503</v>
      </c>
      <c r="N20" s="1">
        <v>41671</v>
      </c>
      <c r="O20">
        <v>4.6706348873408796</v>
      </c>
    </row>
    <row r="21" spans="2:15">
      <c r="B21" s="1">
        <v>41640</v>
      </c>
      <c r="C21">
        <v>4.6178736440337396</v>
      </c>
      <c r="D21">
        <f t="shared" si="0"/>
        <v>4.5774117342330101</v>
      </c>
      <c r="E21">
        <v>4.6755959267023801</v>
      </c>
      <c r="F21">
        <v>4.6007318764534197</v>
      </c>
      <c r="H21" s="1">
        <v>41640</v>
      </c>
      <c r="I21">
        <v>4.5774117342330101</v>
      </c>
      <c r="K21" s="1">
        <v>41640</v>
      </c>
      <c r="L21">
        <v>4.6755959267023801</v>
      </c>
      <c r="N21" s="1">
        <v>41640</v>
      </c>
      <c r="O21">
        <v>4.6007318764534197</v>
      </c>
    </row>
    <row r="22" spans="2:15">
      <c r="B22" s="1">
        <v>41609</v>
      </c>
      <c r="C22">
        <v>4.6588449980117002</v>
      </c>
      <c r="D22">
        <f t="shared" si="0"/>
        <v>4.6159903325616201</v>
      </c>
      <c r="E22">
        <v>4.6383795419379501</v>
      </c>
      <c r="F22">
        <v>4.5463808970805299</v>
      </c>
      <c r="H22" s="1">
        <v>41609</v>
      </c>
      <c r="I22">
        <v>4.6159903325616201</v>
      </c>
      <c r="K22" s="1">
        <v>41609</v>
      </c>
      <c r="L22">
        <v>4.6383795419379501</v>
      </c>
      <c r="N22" s="1">
        <v>41609</v>
      </c>
      <c r="O22">
        <v>4.5463808970805299</v>
      </c>
    </row>
    <row r="23" spans="2:15">
      <c r="B23" s="1">
        <v>41579</v>
      </c>
      <c r="C23">
        <v>4.6846957837447203</v>
      </c>
      <c r="D23">
        <f t="shared" si="0"/>
        <v>4.6570270646319702</v>
      </c>
      <c r="E23">
        <v>4.6982473002863196</v>
      </c>
      <c r="F23">
        <v>4.65282595275439</v>
      </c>
      <c r="H23" s="1">
        <v>41579</v>
      </c>
      <c r="I23">
        <v>4.6570270646319702</v>
      </c>
      <c r="K23" s="1">
        <v>41579</v>
      </c>
      <c r="L23">
        <v>4.6982473002863196</v>
      </c>
      <c r="N23" s="1">
        <v>41579</v>
      </c>
      <c r="O23">
        <v>4.65282595275439</v>
      </c>
    </row>
    <row r="24" spans="2:15">
      <c r="B24" s="1">
        <v>41548</v>
      </c>
      <c r="C24">
        <v>4.6106840992703102</v>
      </c>
      <c r="D24">
        <f t="shared" si="0"/>
        <v>4.5747903820444398</v>
      </c>
      <c r="E24">
        <v>4.7155703464598</v>
      </c>
      <c r="F24">
        <v>4.7064056244570196</v>
      </c>
      <c r="H24" s="1">
        <v>41548</v>
      </c>
      <c r="I24">
        <v>4.5747903820444398</v>
      </c>
      <c r="K24" s="1">
        <v>41548</v>
      </c>
      <c r="L24">
        <v>4.7155703464598</v>
      </c>
      <c r="N24" s="1">
        <v>41548</v>
      </c>
      <c r="O24">
        <v>4.7064056244570196</v>
      </c>
    </row>
    <row r="25" spans="2:15">
      <c r="B25" s="1">
        <v>41518</v>
      </c>
      <c r="C25">
        <v>4.3523140316297502</v>
      </c>
      <c r="D25">
        <f t="shared" si="0"/>
        <v>4.3167056292724499</v>
      </c>
      <c r="E25">
        <v>4.6095205967144004</v>
      </c>
      <c r="F25">
        <v>4.5602518039139603</v>
      </c>
      <c r="H25" s="1">
        <v>41518</v>
      </c>
      <c r="I25">
        <v>4.3167056292724499</v>
      </c>
      <c r="K25" s="1">
        <v>41518</v>
      </c>
      <c r="L25">
        <v>4.6095205967144004</v>
      </c>
      <c r="N25" s="1">
        <v>41518</v>
      </c>
      <c r="O25">
        <v>4.5602518039139603</v>
      </c>
    </row>
    <row r="26" spans="2:15">
      <c r="B26" s="1">
        <v>41487</v>
      </c>
      <c r="C26">
        <v>4.0043737390958398</v>
      </c>
      <c r="D26">
        <f t="shared" si="0"/>
        <v>3.9673811689170999</v>
      </c>
      <c r="E26">
        <v>4.2641516129896599</v>
      </c>
      <c r="F26">
        <v>4.2883487507731797</v>
      </c>
      <c r="H26" s="1">
        <v>41487</v>
      </c>
      <c r="I26">
        <v>3.9673811689170999</v>
      </c>
      <c r="K26" s="1">
        <v>41487</v>
      </c>
      <c r="L26">
        <v>4.2641516129896599</v>
      </c>
      <c r="N26" s="1">
        <v>41487</v>
      </c>
      <c r="O26">
        <v>4.2883487507731797</v>
      </c>
    </row>
    <row r="27" spans="2:15">
      <c r="B27" s="1">
        <v>41456</v>
      </c>
      <c r="C27">
        <v>3.8003082962475898</v>
      </c>
      <c r="D27">
        <f t="shared" si="0"/>
        <v>3.7672915360521699</v>
      </c>
      <c r="E27">
        <v>3.9334710099402699</v>
      </c>
      <c r="F27">
        <v>3.90268651541925</v>
      </c>
      <c r="H27" s="1">
        <v>41456</v>
      </c>
      <c r="I27">
        <v>3.7672915360521699</v>
      </c>
      <c r="K27" s="1">
        <v>41456</v>
      </c>
      <c r="L27">
        <v>3.9334710099402699</v>
      </c>
      <c r="N27" s="1">
        <v>41456</v>
      </c>
      <c r="O27">
        <v>3.90268651541925</v>
      </c>
    </row>
    <row r="28" spans="2:15">
      <c r="B28" s="1">
        <v>41426</v>
      </c>
      <c r="C28">
        <v>3.8278388710041402</v>
      </c>
      <c r="D28">
        <f t="shared" si="0"/>
        <v>3.7865299918932398</v>
      </c>
      <c r="E28">
        <v>3.82186500173616</v>
      </c>
      <c r="F28">
        <v>3.7767466082449599</v>
      </c>
      <c r="H28" s="1">
        <v>41426</v>
      </c>
      <c r="I28">
        <v>3.7865299918932398</v>
      </c>
      <c r="K28" s="1">
        <v>41426</v>
      </c>
      <c r="L28">
        <v>3.82186500173616</v>
      </c>
      <c r="N28" s="1">
        <v>41426</v>
      </c>
      <c r="O28">
        <v>3.7767466082449599</v>
      </c>
    </row>
    <row r="29" spans="2:15">
      <c r="B29" s="1">
        <v>41395</v>
      </c>
      <c r="C29">
        <v>3.8791931919463001</v>
      </c>
      <c r="D29">
        <f t="shared" si="0"/>
        <v>3.8287257176732998</v>
      </c>
      <c r="E29">
        <v>3.81978239147305</v>
      </c>
      <c r="F29">
        <v>3.7779372184327999</v>
      </c>
      <c r="H29" s="1">
        <v>41395</v>
      </c>
      <c r="I29">
        <v>3.8287257176732998</v>
      </c>
      <c r="K29" s="1">
        <v>41395</v>
      </c>
      <c r="L29">
        <v>3.81978239147305</v>
      </c>
      <c r="N29" s="1">
        <v>41395</v>
      </c>
      <c r="O29">
        <v>3.7779372184327999</v>
      </c>
    </row>
    <row r="30" spans="2:15">
      <c r="B30" s="1">
        <v>41365</v>
      </c>
      <c r="C30">
        <v>3.8494599652044501</v>
      </c>
      <c r="D30">
        <f t="shared" si="0"/>
        <v>3.80898297570084</v>
      </c>
      <c r="E30">
        <v>3.8429710233131402</v>
      </c>
      <c r="F30">
        <v>3.7591948230671299</v>
      </c>
      <c r="H30" s="1">
        <v>41365</v>
      </c>
      <c r="I30">
        <v>3.80898297570084</v>
      </c>
      <c r="K30" s="1">
        <v>41365</v>
      </c>
      <c r="L30">
        <v>3.8429710233131402</v>
      </c>
      <c r="N30" s="1">
        <v>41365</v>
      </c>
      <c r="O30">
        <v>3.7591948230671299</v>
      </c>
    </row>
    <row r="31" spans="2:15">
      <c r="B31" s="1">
        <v>41334</v>
      </c>
      <c r="C31">
        <v>3.7542080107757601</v>
      </c>
      <c r="D31">
        <f t="shared" si="0"/>
        <v>3.6985225172464</v>
      </c>
      <c r="E31">
        <v>3.7389995759385299</v>
      </c>
      <c r="F31">
        <v>3.6801573391545799</v>
      </c>
      <c r="H31" s="1">
        <v>41334</v>
      </c>
      <c r="I31">
        <v>3.6985225172464</v>
      </c>
      <c r="K31" s="1">
        <v>41334</v>
      </c>
      <c r="L31">
        <v>3.7389995759385299</v>
      </c>
      <c r="N31" s="1">
        <v>41334</v>
      </c>
      <c r="O31">
        <v>3.6801573391545799</v>
      </c>
    </row>
    <row r="32" spans="2:15">
      <c r="B32" s="1">
        <v>41306</v>
      </c>
      <c r="C32">
        <v>3.6861640503009698</v>
      </c>
      <c r="D32">
        <f t="shared" si="0"/>
        <v>3.6186085375755299</v>
      </c>
      <c r="E32">
        <v>3.6293389825453901</v>
      </c>
      <c r="F32">
        <v>3.5852881060673698</v>
      </c>
      <c r="H32" s="1">
        <v>41306</v>
      </c>
      <c r="I32">
        <v>3.6186085375755299</v>
      </c>
      <c r="K32" s="1">
        <v>41306</v>
      </c>
      <c r="L32">
        <v>3.6293389825453901</v>
      </c>
      <c r="N32" s="1">
        <v>41306</v>
      </c>
      <c r="O32">
        <v>3.5852881060673698</v>
      </c>
    </row>
    <row r="33" spans="2:15">
      <c r="B33" s="1">
        <v>41275</v>
      </c>
      <c r="C33">
        <v>3.7513119292196699</v>
      </c>
      <c r="D33">
        <f t="shared" si="0"/>
        <v>3.6797173850783902</v>
      </c>
      <c r="E33">
        <v>3.60652868740865</v>
      </c>
      <c r="F33">
        <v>3.5687441139760199</v>
      </c>
      <c r="H33" s="1">
        <v>41275</v>
      </c>
      <c r="I33">
        <v>3.6797173850783902</v>
      </c>
      <c r="K33" s="1">
        <v>41275</v>
      </c>
      <c r="L33">
        <v>3.60652868740865</v>
      </c>
      <c r="N33" s="1">
        <v>41275</v>
      </c>
      <c r="O33">
        <v>3.5687441139760199</v>
      </c>
    </row>
    <row r="34" spans="2:15">
      <c r="B34" s="1">
        <v>41244</v>
      </c>
      <c r="C34">
        <v>3.80444295888379</v>
      </c>
      <c r="D34">
        <f t="shared" si="0"/>
        <v>3.7385934204500302</v>
      </c>
      <c r="E34">
        <v>3.6768684830954399</v>
      </c>
      <c r="F34">
        <v>3.5837812180153299</v>
      </c>
      <c r="H34" s="1">
        <v>41244</v>
      </c>
      <c r="I34">
        <v>3.7385934204500302</v>
      </c>
      <c r="K34" s="1">
        <v>41244</v>
      </c>
      <c r="L34">
        <v>3.6768684830954399</v>
      </c>
      <c r="N34" s="1">
        <v>41244</v>
      </c>
      <c r="O34">
        <v>3.5837812180153299</v>
      </c>
    </row>
    <row r="35" spans="2:15">
      <c r="B35" s="1">
        <v>41214</v>
      </c>
      <c r="C35">
        <v>3.8501827719942798</v>
      </c>
      <c r="D35">
        <f t="shared" si="0"/>
        <v>3.7950682875441202</v>
      </c>
      <c r="E35">
        <v>3.71432751533747</v>
      </c>
      <c r="F35">
        <v>3.6505486748299498</v>
      </c>
      <c r="H35" s="1">
        <v>41214</v>
      </c>
      <c r="I35">
        <v>3.7950682875441202</v>
      </c>
      <c r="K35" s="1">
        <v>41214</v>
      </c>
      <c r="L35">
        <v>3.71432751533747</v>
      </c>
      <c r="N35" s="1">
        <v>41214</v>
      </c>
      <c r="O35">
        <v>3.6505486748299498</v>
      </c>
    </row>
    <row r="36" spans="2:15">
      <c r="B36" s="1">
        <v>41183</v>
      </c>
      <c r="C36">
        <v>3.8851657961328798</v>
      </c>
      <c r="D36">
        <f t="shared" si="0"/>
        <v>3.8403205772992299</v>
      </c>
      <c r="E36">
        <v>3.7872982356612201</v>
      </c>
      <c r="F36">
        <v>3.7494706301335499</v>
      </c>
      <c r="H36" s="1">
        <v>41183</v>
      </c>
      <c r="I36">
        <v>3.8403205772992299</v>
      </c>
      <c r="K36" s="1">
        <v>41183</v>
      </c>
      <c r="L36">
        <v>3.7872982356612201</v>
      </c>
      <c r="N36" s="1">
        <v>41183</v>
      </c>
      <c r="O36">
        <v>3.7494706301335499</v>
      </c>
    </row>
    <row r="37" spans="2:15">
      <c r="B37" s="1">
        <v>41153</v>
      </c>
      <c r="C37">
        <v>3.9330528569231999</v>
      </c>
      <c r="D37">
        <f t="shared" si="0"/>
        <v>3.8665690402128798</v>
      </c>
      <c r="E37">
        <v>3.8128262922832201</v>
      </c>
      <c r="F37">
        <v>3.8760821477017999</v>
      </c>
      <c r="H37" s="1">
        <v>41153</v>
      </c>
      <c r="I37">
        <v>3.8665690402128798</v>
      </c>
      <c r="K37" s="1">
        <v>41153</v>
      </c>
      <c r="L37">
        <v>3.8128262922832201</v>
      </c>
      <c r="N37" s="1">
        <v>41153</v>
      </c>
      <c r="O37">
        <v>3.8760821477017999</v>
      </c>
    </row>
    <row r="38" spans="2:15">
      <c r="B38" s="1">
        <v>41122</v>
      </c>
      <c r="C38">
        <v>4.0639813086545002</v>
      </c>
      <c r="D38">
        <f t="shared" si="0"/>
        <v>3.9919398022390098</v>
      </c>
      <c r="E38">
        <v>3.88795466671889</v>
      </c>
      <c r="F38">
        <v>3.85472764792148</v>
      </c>
      <c r="H38" s="1">
        <v>41122</v>
      </c>
      <c r="I38">
        <v>3.9919398022390098</v>
      </c>
      <c r="K38" s="1">
        <v>41122</v>
      </c>
      <c r="L38">
        <v>3.88795466671889</v>
      </c>
      <c r="N38" s="1">
        <v>41122</v>
      </c>
      <c r="O38">
        <v>3.85472764792148</v>
      </c>
    </row>
    <row r="39" spans="2:15">
      <c r="B39" s="1">
        <v>41091</v>
      </c>
      <c r="C39">
        <v>4.1536279665880196</v>
      </c>
      <c r="D39">
        <f t="shared" si="0"/>
        <v>4.1014170454803196</v>
      </c>
      <c r="E39">
        <v>3.9706097113700798</v>
      </c>
      <c r="F39">
        <v>3.98362585842998</v>
      </c>
      <c r="H39" s="1">
        <v>41091</v>
      </c>
      <c r="I39">
        <v>4.1014170454803196</v>
      </c>
      <c r="K39" s="1">
        <v>41091</v>
      </c>
      <c r="L39">
        <v>3.9706097113700798</v>
      </c>
      <c r="N39" s="1">
        <v>41091</v>
      </c>
      <c r="O39">
        <v>3.98362585842998</v>
      </c>
    </row>
    <row r="40" spans="2:15">
      <c r="B40" s="1">
        <v>41061</v>
      </c>
      <c r="C40">
        <v>4.3387699009056302</v>
      </c>
      <c r="D40">
        <f t="shared" si="0"/>
        <v>4.2829572413878898</v>
      </c>
      <c r="E40">
        <v>4.10031311664281</v>
      </c>
      <c r="F40">
        <v>4.0947481203161002</v>
      </c>
      <c r="H40" s="1">
        <v>41061</v>
      </c>
      <c r="I40">
        <v>4.2829572413878898</v>
      </c>
      <c r="K40" s="1">
        <v>41061</v>
      </c>
      <c r="L40">
        <v>4.10031311664281</v>
      </c>
      <c r="N40" s="1">
        <v>41061</v>
      </c>
      <c r="O40">
        <v>4.0947481203161002</v>
      </c>
    </row>
    <row r="41" spans="2:15">
      <c r="B41" s="1">
        <v>41030</v>
      </c>
      <c r="C41">
        <v>4.2229502227827602</v>
      </c>
      <c r="D41">
        <f t="shared" si="0"/>
        <v>4.15505478401335</v>
      </c>
      <c r="E41">
        <v>4.2025156700185899</v>
      </c>
      <c r="F41">
        <v>4.2796143873128401</v>
      </c>
      <c r="H41" s="1">
        <v>41030</v>
      </c>
      <c r="I41">
        <v>4.15505478401335</v>
      </c>
      <c r="K41" s="1">
        <v>41030</v>
      </c>
      <c r="L41">
        <v>4.2025156700185899</v>
      </c>
      <c r="N41" s="1">
        <v>41030</v>
      </c>
      <c r="O41">
        <v>4.2796143873128401</v>
      </c>
    </row>
    <row r="42" spans="2:15">
      <c r="B42" s="1">
        <v>41000</v>
      </c>
      <c r="C42">
        <v>4.2271606127902999</v>
      </c>
      <c r="D42">
        <f t="shared" si="0"/>
        <v>4.1678805048693901</v>
      </c>
      <c r="E42">
        <v>4.0709572620455798</v>
      </c>
      <c r="F42">
        <v>4.0682102269739699</v>
      </c>
      <c r="H42" s="1">
        <v>41000</v>
      </c>
      <c r="I42">
        <v>4.1678805048693901</v>
      </c>
      <c r="K42" s="1">
        <v>41000</v>
      </c>
      <c r="L42">
        <v>4.0709572620455798</v>
      </c>
      <c r="N42" s="1">
        <v>41000</v>
      </c>
      <c r="O42">
        <v>4.0682102269739699</v>
      </c>
    </row>
    <row r="43" spans="2:15">
      <c r="B43" s="1">
        <v>40969</v>
      </c>
      <c r="C43">
        <v>4.2259777566405896</v>
      </c>
      <c r="D43">
        <f t="shared" si="0"/>
        <v>4.1742321630217001</v>
      </c>
      <c r="E43">
        <v>4.1277531381253496</v>
      </c>
      <c r="F43">
        <v>4.07214636966249</v>
      </c>
      <c r="H43" s="1">
        <v>40969</v>
      </c>
      <c r="I43">
        <v>4.1742321630217001</v>
      </c>
      <c r="K43" s="1">
        <v>40969</v>
      </c>
      <c r="L43">
        <v>4.1277531381253496</v>
      </c>
      <c r="N43" s="1">
        <v>40969</v>
      </c>
      <c r="O43">
        <v>4.07214636966249</v>
      </c>
    </row>
    <row r="44" spans="2:15">
      <c r="B44" s="1">
        <v>40940</v>
      </c>
      <c r="C44">
        <v>4.3133330547542599</v>
      </c>
      <c r="D44">
        <f t="shared" si="0"/>
        <v>4.2527360003204597</v>
      </c>
      <c r="E44">
        <v>4.1946394872099999</v>
      </c>
      <c r="F44">
        <v>4.1455149413064101</v>
      </c>
      <c r="H44" s="1">
        <v>40940</v>
      </c>
      <c r="I44">
        <v>4.2527360003204597</v>
      </c>
      <c r="K44" s="1">
        <v>40940</v>
      </c>
      <c r="L44">
        <v>4.1946394872099999</v>
      </c>
      <c r="N44" s="1">
        <v>40940</v>
      </c>
      <c r="O44">
        <v>4.1455149413064101</v>
      </c>
    </row>
    <row r="45" spans="2:15">
      <c r="B45" s="1">
        <v>40909</v>
      </c>
      <c r="C45">
        <v>4.3769175709635002</v>
      </c>
      <c r="D45">
        <f t="shared" si="0"/>
        <v>4.3182452806410199</v>
      </c>
      <c r="E45">
        <v>4.2740728228456701</v>
      </c>
      <c r="F45">
        <v>4.2075990245705999</v>
      </c>
      <c r="H45" s="1">
        <v>40909</v>
      </c>
      <c r="I45">
        <v>4.3182452806410199</v>
      </c>
      <c r="K45" s="1">
        <v>40909</v>
      </c>
      <c r="L45">
        <v>4.2740728228456701</v>
      </c>
      <c r="N45" s="1">
        <v>40909</v>
      </c>
      <c r="O45">
        <v>4.2075990245705999</v>
      </c>
    </row>
    <row r="46" spans="2:15">
      <c r="B46" s="1">
        <v>40878</v>
      </c>
      <c r="C46">
        <v>4.3733129301055103</v>
      </c>
      <c r="D46">
        <f t="shared" si="0"/>
        <v>4.2980884319401298</v>
      </c>
      <c r="E46">
        <v>4.2951635317798003</v>
      </c>
      <c r="F46">
        <v>4.3401437482857403</v>
      </c>
      <c r="H46" s="1">
        <v>40878</v>
      </c>
      <c r="I46">
        <v>4.2980884319401298</v>
      </c>
      <c r="K46" s="1">
        <v>40878</v>
      </c>
      <c r="L46">
        <v>4.2951635317798003</v>
      </c>
      <c r="N46" s="1">
        <v>40878</v>
      </c>
      <c r="O46">
        <v>4.3401437482857403</v>
      </c>
    </row>
    <row r="47" spans="2:15">
      <c r="B47" s="1">
        <v>40848</v>
      </c>
      <c r="C47">
        <v>4.49863074972835</v>
      </c>
      <c r="D47">
        <f t="shared" si="0"/>
        <v>4.4535438389345403</v>
      </c>
      <c r="E47">
        <v>4.3412260741863502</v>
      </c>
      <c r="F47">
        <v>4.2783291143147499</v>
      </c>
      <c r="H47" s="1">
        <v>40848</v>
      </c>
      <c r="I47">
        <v>4.4535438389345403</v>
      </c>
      <c r="K47" s="1">
        <v>40848</v>
      </c>
      <c r="L47">
        <v>4.3412260741863502</v>
      </c>
      <c r="N47" s="1">
        <v>40848</v>
      </c>
      <c r="O47">
        <v>4.2783291143147499</v>
      </c>
    </row>
    <row r="48" spans="2:15">
      <c r="B48" s="1">
        <v>40817</v>
      </c>
      <c r="C48">
        <v>4.6482474059449297</v>
      </c>
      <c r="D48">
        <f t="shared" si="0"/>
        <v>4.5998178294144099</v>
      </c>
      <c r="E48">
        <v>4.4920919567592597</v>
      </c>
      <c r="F48">
        <v>4.3968751943773503</v>
      </c>
      <c r="H48" s="1">
        <v>40817</v>
      </c>
      <c r="I48">
        <v>4.5998178294144099</v>
      </c>
      <c r="K48" s="1">
        <v>40817</v>
      </c>
      <c r="L48">
        <v>4.4920919567592597</v>
      </c>
      <c r="N48" s="1">
        <v>40817</v>
      </c>
      <c r="O48">
        <v>4.3968751943773503</v>
      </c>
    </row>
    <row r="49" spans="2:15">
      <c r="B49" s="1">
        <v>40787</v>
      </c>
      <c r="C49">
        <v>4.8457829696568897</v>
      </c>
      <c r="D49">
        <f t="shared" si="0"/>
        <v>4.80805911750367</v>
      </c>
      <c r="E49">
        <v>4.7662452241961404</v>
      </c>
      <c r="F49">
        <v>4.6257390566703904</v>
      </c>
      <c r="H49" s="1">
        <v>40787</v>
      </c>
      <c r="I49">
        <v>4.80805911750367</v>
      </c>
      <c r="K49" s="1">
        <v>40787</v>
      </c>
      <c r="L49">
        <v>4.7662452241961404</v>
      </c>
      <c r="N49" s="1">
        <v>40787</v>
      </c>
      <c r="O49">
        <v>4.6257390566703904</v>
      </c>
    </row>
    <row r="50" spans="2:15">
      <c r="B50" s="1">
        <v>40756</v>
      </c>
      <c r="C50">
        <v>4.9628793120647998</v>
      </c>
      <c r="D50">
        <f t="shared" si="0"/>
        <v>4.9339438820339403</v>
      </c>
      <c r="E50">
        <v>4.8589903815148503</v>
      </c>
      <c r="F50">
        <v>4.7814255284886604</v>
      </c>
      <c r="H50" s="1">
        <v>40756</v>
      </c>
      <c r="I50">
        <v>4.9339438820339403</v>
      </c>
      <c r="K50" s="1">
        <v>40756</v>
      </c>
      <c r="L50">
        <v>4.8589903815148503</v>
      </c>
      <c r="N50" s="1">
        <v>40756</v>
      </c>
      <c r="O50">
        <v>4.7814255284886604</v>
      </c>
    </row>
    <row r="51" spans="2:15">
      <c r="B51" s="1">
        <v>40725</v>
      </c>
      <c r="C51">
        <v>4.9978427568114103</v>
      </c>
      <c r="D51">
        <f t="shared" si="0"/>
        <v>4.9715531535799</v>
      </c>
      <c r="E51">
        <v>5.0325095152394699</v>
      </c>
      <c r="F51">
        <v>4.8597580147180901</v>
      </c>
      <c r="H51" s="1">
        <v>40725</v>
      </c>
      <c r="I51">
        <v>4.9715531535799</v>
      </c>
      <c r="K51" s="1">
        <v>40725</v>
      </c>
      <c r="L51">
        <v>5.0325095152394699</v>
      </c>
      <c r="N51" s="1">
        <v>40725</v>
      </c>
      <c r="O51">
        <v>4.8597580147180901</v>
      </c>
    </row>
    <row r="52" spans="2:15">
      <c r="B52" s="1">
        <v>40695</v>
      </c>
      <c r="C52">
        <v>5.1442998979530499</v>
      </c>
      <c r="D52">
        <f t="shared" si="0"/>
        <v>5.1138951251471401</v>
      </c>
      <c r="E52">
        <v>5.22435639158632</v>
      </c>
      <c r="F52">
        <v>5.0026352109087302</v>
      </c>
      <c r="H52" s="1">
        <v>40695</v>
      </c>
      <c r="I52">
        <v>5.1138951251471401</v>
      </c>
      <c r="K52" s="1">
        <v>40695</v>
      </c>
      <c r="L52">
        <v>5.22435639158632</v>
      </c>
      <c r="N52" s="1">
        <v>40695</v>
      </c>
      <c r="O52">
        <v>5.0026352109087302</v>
      </c>
    </row>
    <row r="53" spans="2:15">
      <c r="B53" s="1">
        <v>40664</v>
      </c>
      <c r="C53">
        <v>5.1382030398690501</v>
      </c>
      <c r="D53">
        <f t="shared" si="0"/>
        <v>5.1055466232812101</v>
      </c>
      <c r="E53">
        <v>5.2102638630155802</v>
      </c>
      <c r="F53">
        <v>5.0406873569878901</v>
      </c>
      <c r="H53" s="1">
        <v>40664</v>
      </c>
      <c r="I53">
        <v>5.1055466232812101</v>
      </c>
      <c r="K53" s="1">
        <v>40664</v>
      </c>
      <c r="L53">
        <v>5.2102638630155802</v>
      </c>
      <c r="N53" s="1">
        <v>40664</v>
      </c>
      <c r="O53">
        <v>5.0406873569878901</v>
      </c>
    </row>
    <row r="54" spans="2:15">
      <c r="B54" s="1">
        <v>40634</v>
      </c>
      <c r="C54">
        <v>5.0728286303908297</v>
      </c>
      <c r="D54">
        <f t="shared" si="0"/>
        <v>5.03076127105673</v>
      </c>
      <c r="E54">
        <v>5.2247431483995603</v>
      </c>
      <c r="F54">
        <v>4.9801234731501598</v>
      </c>
      <c r="H54" s="1">
        <v>40634</v>
      </c>
      <c r="I54">
        <v>5.03076127105673</v>
      </c>
      <c r="K54" s="1">
        <v>40634</v>
      </c>
      <c r="L54">
        <v>5.2247431483995603</v>
      </c>
      <c r="N54" s="1">
        <v>40634</v>
      </c>
      <c r="O54">
        <v>4.9801234731501598</v>
      </c>
    </row>
    <row r="55" spans="2:15">
      <c r="B55" s="1">
        <v>40603</v>
      </c>
      <c r="C55">
        <v>4.88955403929429</v>
      </c>
      <c r="D55">
        <f t="shared" si="0"/>
        <v>4.8427155622755702</v>
      </c>
      <c r="E55">
        <v>5.1723055613769597</v>
      </c>
      <c r="F55">
        <v>4.9567526335930001</v>
      </c>
      <c r="H55" s="1">
        <v>40603</v>
      </c>
      <c r="I55">
        <v>4.8427155622755702</v>
      </c>
      <c r="K55" s="1">
        <v>40603</v>
      </c>
      <c r="L55">
        <v>5.1723055613769597</v>
      </c>
      <c r="N55" s="1">
        <v>40603</v>
      </c>
      <c r="O55">
        <v>4.9567526335930001</v>
      </c>
    </row>
    <row r="56" spans="2:15">
      <c r="B56" s="1">
        <v>40575</v>
      </c>
      <c r="C56">
        <v>4.6452323968705498</v>
      </c>
      <c r="D56">
        <f t="shared" si="0"/>
        <v>4.6082110829618896</v>
      </c>
      <c r="E56">
        <v>4.8696775108855297</v>
      </c>
      <c r="F56">
        <v>4.65535676940216</v>
      </c>
      <c r="H56" s="1">
        <v>40575</v>
      </c>
      <c r="I56">
        <v>4.6082110829618896</v>
      </c>
      <c r="K56" s="1">
        <v>40575</v>
      </c>
      <c r="L56">
        <v>4.8696775108855297</v>
      </c>
      <c r="N56" s="1">
        <v>40575</v>
      </c>
      <c r="O56">
        <v>4.65535676940216</v>
      </c>
    </row>
    <row r="57" spans="2:15">
      <c r="B57" s="1">
        <v>40544</v>
      </c>
      <c r="C57">
        <v>4.5071047101001298</v>
      </c>
      <c r="D57">
        <f t="shared" si="0"/>
        <v>4.4772434565145902</v>
      </c>
      <c r="E57">
        <v>4.6708414040887103</v>
      </c>
      <c r="F57">
        <v>4.4859551835159204</v>
      </c>
      <c r="H57" s="1">
        <v>40544</v>
      </c>
      <c r="I57">
        <v>4.4772434565145902</v>
      </c>
      <c r="K57" s="1">
        <v>40544</v>
      </c>
      <c r="L57">
        <v>4.6708414040887103</v>
      </c>
      <c r="N57" s="1">
        <v>40544</v>
      </c>
      <c r="O57">
        <v>4.4859551835159204</v>
      </c>
    </row>
    <row r="58" spans="2:15">
      <c r="B58" s="1">
        <v>40513</v>
      </c>
      <c r="C58">
        <v>4.5270813638841298</v>
      </c>
      <c r="D58">
        <f t="shared" si="0"/>
        <v>4.4836818182952696</v>
      </c>
      <c r="E58">
        <v>4.5042392639268902</v>
      </c>
      <c r="F58">
        <v>4.4340825724026098</v>
      </c>
      <c r="H58" s="1">
        <v>40513</v>
      </c>
      <c r="I58">
        <v>4.4836818182952696</v>
      </c>
      <c r="K58" s="1">
        <v>40513</v>
      </c>
      <c r="L58">
        <v>4.5042392639268902</v>
      </c>
      <c r="N58" s="1">
        <v>40513</v>
      </c>
      <c r="O58">
        <v>4.4340825724026098</v>
      </c>
    </row>
    <row r="59" spans="2:15">
      <c r="B59" s="1">
        <v>40483</v>
      </c>
      <c r="C59">
        <v>4.6529607514989202</v>
      </c>
      <c r="D59">
        <f t="shared" si="0"/>
        <v>4.6105618860953896</v>
      </c>
      <c r="E59">
        <v>4.5558395663825104</v>
      </c>
      <c r="F59">
        <v>4.4798495771048303</v>
      </c>
      <c r="H59" s="1">
        <v>40483</v>
      </c>
      <c r="I59">
        <v>4.6105618860953896</v>
      </c>
      <c r="K59" s="1">
        <v>40483</v>
      </c>
      <c r="L59">
        <v>4.5558395663825104</v>
      </c>
      <c r="N59" s="1">
        <v>40483</v>
      </c>
      <c r="O59">
        <v>4.4798495771048303</v>
      </c>
    </row>
    <row r="60" spans="2:15">
      <c r="B60" s="1">
        <v>40452</v>
      </c>
      <c r="C60">
        <v>4.7149745189416699</v>
      </c>
      <c r="D60">
        <f t="shared" si="0"/>
        <v>4.6831524545941798</v>
      </c>
      <c r="E60">
        <v>4.6160106139684798</v>
      </c>
      <c r="F60">
        <v>4.5474435543433396</v>
      </c>
      <c r="H60" s="1">
        <v>40452</v>
      </c>
      <c r="I60">
        <v>4.6831524545941798</v>
      </c>
      <c r="K60" s="1">
        <v>40452</v>
      </c>
      <c r="L60">
        <v>4.6160106139684798</v>
      </c>
      <c r="N60" s="1">
        <v>40452</v>
      </c>
      <c r="O60">
        <v>4.5474435543433396</v>
      </c>
    </row>
    <row r="61" spans="2:15">
      <c r="B61" s="1">
        <v>40422</v>
      </c>
      <c r="C61">
        <v>4.84186038524712</v>
      </c>
      <c r="D61">
        <f t="shared" si="0"/>
        <v>4.8019133710060302</v>
      </c>
      <c r="E61">
        <v>4.7535573276105101</v>
      </c>
      <c r="F61">
        <v>4.6572464339789796</v>
      </c>
      <c r="H61" s="1">
        <v>40422</v>
      </c>
      <c r="I61">
        <v>4.8019133710060302</v>
      </c>
      <c r="K61" s="1">
        <v>40422</v>
      </c>
      <c r="L61">
        <v>4.7535573276105101</v>
      </c>
      <c r="N61" s="1">
        <v>40422</v>
      </c>
      <c r="O61">
        <v>4.6572464339789796</v>
      </c>
    </row>
    <row r="62" spans="2:15">
      <c r="B62" s="1">
        <v>40391</v>
      </c>
      <c r="C62">
        <v>5.0047223685494</v>
      </c>
      <c r="D62">
        <f t="shared" si="0"/>
        <v>4.9602286395489399</v>
      </c>
      <c r="E62">
        <v>4.9660772036167202</v>
      </c>
      <c r="F62">
        <v>4.8270181400290904</v>
      </c>
      <c r="H62" s="1">
        <v>40391</v>
      </c>
      <c r="I62">
        <v>4.9602286395489399</v>
      </c>
      <c r="K62" s="1">
        <v>40391</v>
      </c>
      <c r="L62">
        <v>4.9660772036167202</v>
      </c>
      <c r="N62" s="1">
        <v>40391</v>
      </c>
      <c r="O62">
        <v>4.8270181400290904</v>
      </c>
    </row>
    <row r="63" spans="2:15">
      <c r="B63" s="1">
        <v>40360</v>
      </c>
      <c r="C63">
        <v>5.1519638197333997</v>
      </c>
      <c r="D63">
        <f t="shared" si="0"/>
        <v>5.1103941231036103</v>
      </c>
      <c r="E63">
        <v>5.2389251135228498</v>
      </c>
      <c r="F63">
        <v>5.0538033345178297</v>
      </c>
      <c r="H63" s="1">
        <v>40360</v>
      </c>
      <c r="I63">
        <v>5.1103941231036103</v>
      </c>
      <c r="K63" s="1">
        <v>40360</v>
      </c>
      <c r="L63">
        <v>5.2389251135228498</v>
      </c>
      <c r="N63" s="1">
        <v>40360</v>
      </c>
      <c r="O63">
        <v>5.0538033345178297</v>
      </c>
    </row>
    <row r="64" spans="2:15">
      <c r="B64" s="1">
        <v>40330</v>
      </c>
      <c r="C64">
        <v>5.2225869542716303</v>
      </c>
      <c r="D64">
        <f t="shared" si="0"/>
        <v>5.1917802782592597</v>
      </c>
      <c r="E64">
        <v>5.3579171524626998</v>
      </c>
      <c r="F64">
        <v>5.2267715901211096</v>
      </c>
      <c r="H64" s="1">
        <v>40330</v>
      </c>
      <c r="I64">
        <v>5.1917802782592597</v>
      </c>
      <c r="K64" s="1">
        <v>40330</v>
      </c>
      <c r="L64">
        <v>5.3579171524626998</v>
      </c>
      <c r="N64" s="1">
        <v>40330</v>
      </c>
      <c r="O64">
        <v>5.2267715901211096</v>
      </c>
    </row>
    <row r="65" spans="2:15">
      <c r="B65" s="1">
        <v>40299</v>
      </c>
      <c r="C65">
        <v>5.2006432603080404</v>
      </c>
      <c r="D65">
        <f t="shared" si="0"/>
        <v>5.1746622463618497</v>
      </c>
      <c r="E65">
        <v>5.3653739858383602</v>
      </c>
      <c r="F65">
        <v>5.15850767587429</v>
      </c>
      <c r="H65" s="1">
        <v>40299</v>
      </c>
      <c r="I65">
        <v>5.1746622463618497</v>
      </c>
      <c r="K65" s="1">
        <v>40299</v>
      </c>
      <c r="L65">
        <v>5.3653739858383602</v>
      </c>
      <c r="N65" s="1">
        <v>40299</v>
      </c>
      <c r="O65">
        <v>5.15850767587429</v>
      </c>
    </row>
    <row r="66" spans="2:15">
      <c r="B66" s="1">
        <v>40269</v>
      </c>
      <c r="C66">
        <v>5.1613985261298101</v>
      </c>
      <c r="D66">
        <f t="shared" si="0"/>
        <v>5.1372119652002199</v>
      </c>
      <c r="E66">
        <v>5.31932796058324</v>
      </c>
      <c r="F66">
        <v>5.13746875669095</v>
      </c>
      <c r="H66" s="1">
        <v>40269</v>
      </c>
      <c r="I66">
        <v>5.1372119652002199</v>
      </c>
      <c r="K66" s="1">
        <v>40269</v>
      </c>
      <c r="L66">
        <v>5.31932796058324</v>
      </c>
      <c r="N66" s="1">
        <v>40269</v>
      </c>
      <c r="O66">
        <v>5.13746875669095</v>
      </c>
    </row>
    <row r="67" spans="2:15">
      <c r="B67" s="1">
        <v>40238</v>
      </c>
      <c r="C67">
        <v>5.1557443046582696</v>
      </c>
      <c r="D67">
        <f t="shared" si="0"/>
        <v>5.1289000010956096</v>
      </c>
      <c r="E67">
        <v>5.3031779431844699</v>
      </c>
      <c r="F67">
        <v>5.1142810293946397</v>
      </c>
      <c r="H67" s="1">
        <v>40238</v>
      </c>
      <c r="I67">
        <v>5.1289000010956096</v>
      </c>
      <c r="K67" s="1">
        <v>40238</v>
      </c>
      <c r="L67">
        <v>5.3031779431844699</v>
      </c>
      <c r="N67" s="1">
        <v>40238</v>
      </c>
      <c r="O67">
        <v>5.1142810293946397</v>
      </c>
    </row>
    <row r="68" spans="2:15">
      <c r="B68" s="1">
        <v>40210</v>
      </c>
      <c r="C68">
        <v>5.0964886494886397</v>
      </c>
      <c r="D68">
        <f t="shared" si="0"/>
        <v>5.0633686726209399</v>
      </c>
      <c r="E68">
        <v>5.23361177748433</v>
      </c>
      <c r="F68">
        <v>5.0493664962935796</v>
      </c>
      <c r="H68" s="1">
        <v>40210</v>
      </c>
      <c r="I68">
        <v>5.0633686726209399</v>
      </c>
      <c r="K68" s="1">
        <v>40210</v>
      </c>
      <c r="L68">
        <v>5.23361177748433</v>
      </c>
      <c r="N68" s="1">
        <v>40210</v>
      </c>
      <c r="O68">
        <v>5.0493664962935796</v>
      </c>
    </row>
    <row r="69" spans="2:15">
      <c r="B69" s="1">
        <v>40179</v>
      </c>
      <c r="C69">
        <v>5.1208530798412299</v>
      </c>
      <c r="D69">
        <f t="shared" ref="D69:D129" si="1">VLOOKUP(B69,H69:I194,2,0)</f>
        <v>5.0785246723953197</v>
      </c>
      <c r="E69">
        <v>5.2044903926043498</v>
      </c>
      <c r="F69">
        <v>5.0405626466946698</v>
      </c>
      <c r="H69" s="1">
        <v>40179</v>
      </c>
      <c r="I69">
        <v>5.0785246723953197</v>
      </c>
      <c r="K69" s="1">
        <v>40179</v>
      </c>
      <c r="L69">
        <v>5.2044903926043498</v>
      </c>
      <c r="N69" s="1">
        <v>40179</v>
      </c>
      <c r="O69">
        <v>5.0405626466946698</v>
      </c>
    </row>
    <row r="70" spans="2:15">
      <c r="B70" s="1">
        <v>40148</v>
      </c>
      <c r="C70">
        <v>5.12567337011121</v>
      </c>
      <c r="D70">
        <f t="shared" si="1"/>
        <v>5.0878942542684102</v>
      </c>
      <c r="E70">
        <v>5.2144125223937596</v>
      </c>
      <c r="F70">
        <v>5.0610229197224301</v>
      </c>
      <c r="H70" s="1">
        <v>40148</v>
      </c>
      <c r="I70">
        <v>5.0878942542684102</v>
      </c>
      <c r="K70" s="1">
        <v>40148</v>
      </c>
      <c r="L70">
        <v>5.2144125223937596</v>
      </c>
      <c r="N70" s="1">
        <v>40148</v>
      </c>
      <c r="O70">
        <v>5.0610229197224301</v>
      </c>
    </row>
    <row r="71" spans="2:15">
      <c r="B71" s="1">
        <v>40118</v>
      </c>
      <c r="C71">
        <v>5.1775412746884601</v>
      </c>
      <c r="D71">
        <f t="shared" si="1"/>
        <v>5.1391147583544399</v>
      </c>
      <c r="E71">
        <v>5.21949356054796</v>
      </c>
      <c r="F71">
        <v>5.1151153297150502</v>
      </c>
      <c r="H71" s="1">
        <v>40118</v>
      </c>
      <c r="I71">
        <v>5.1391147583544399</v>
      </c>
      <c r="K71" s="1">
        <v>40118</v>
      </c>
      <c r="L71">
        <v>5.21949356054796</v>
      </c>
      <c r="N71" s="1">
        <v>40118</v>
      </c>
      <c r="O71">
        <v>5.1151153297150502</v>
      </c>
    </row>
    <row r="72" spans="2:15">
      <c r="B72" s="1">
        <v>40087</v>
      </c>
      <c r="C72">
        <v>5.1364082034284504</v>
      </c>
      <c r="D72">
        <f t="shared" si="1"/>
        <v>5.0916689913954896</v>
      </c>
      <c r="E72">
        <v>5.3314211759409798</v>
      </c>
      <c r="F72">
        <v>5.2190653494945396</v>
      </c>
      <c r="H72" s="1">
        <v>40087</v>
      </c>
      <c r="I72">
        <v>5.0916689913954896</v>
      </c>
      <c r="K72" s="1">
        <v>40087</v>
      </c>
      <c r="L72">
        <v>5.3314211759409798</v>
      </c>
      <c r="N72" s="1">
        <v>40087</v>
      </c>
      <c r="O72">
        <v>5.2190653494945396</v>
      </c>
    </row>
    <row r="73" spans="2:15">
      <c r="B73" s="1">
        <v>40057</v>
      </c>
      <c r="C73">
        <v>5.1442481007163003</v>
      </c>
      <c r="D73">
        <f t="shared" si="1"/>
        <v>5.0887343744868803</v>
      </c>
      <c r="E73">
        <v>5.4997579357257997</v>
      </c>
      <c r="F73">
        <v>5.50591977260809</v>
      </c>
      <c r="H73" s="1">
        <v>40057</v>
      </c>
      <c r="I73">
        <v>5.0887343744868803</v>
      </c>
      <c r="K73" s="1">
        <v>40057</v>
      </c>
      <c r="L73">
        <v>5.4997579357257997</v>
      </c>
      <c r="N73" s="1">
        <v>40057</v>
      </c>
      <c r="O73">
        <v>5.50591977260809</v>
      </c>
    </row>
    <row r="74" spans="2:15">
      <c r="B74" s="1">
        <v>40026</v>
      </c>
      <c r="C74">
        <v>4.9592367490233302</v>
      </c>
      <c r="D74">
        <f t="shared" si="1"/>
        <v>4.9225020689237597</v>
      </c>
      <c r="E74">
        <v>5.2238117446493302</v>
      </c>
      <c r="F74">
        <v>5.09525266825566</v>
      </c>
      <c r="H74" s="1">
        <v>40026</v>
      </c>
      <c r="I74">
        <v>4.9225020689237597</v>
      </c>
      <c r="K74" s="1">
        <v>40026</v>
      </c>
      <c r="L74">
        <v>5.2238117446493302</v>
      </c>
      <c r="N74" s="1">
        <v>40026</v>
      </c>
      <c r="O74">
        <v>5.09525266825566</v>
      </c>
    </row>
    <row r="75" spans="2:15">
      <c r="B75" s="1">
        <v>39995</v>
      </c>
      <c r="C75">
        <v>4.8647062738518798</v>
      </c>
      <c r="D75">
        <f t="shared" si="1"/>
        <v>4.8204519336987097</v>
      </c>
      <c r="E75">
        <v>4.93640089631241</v>
      </c>
      <c r="F75">
        <v>4.9163088922802398</v>
      </c>
      <c r="H75" s="1">
        <v>39995</v>
      </c>
      <c r="I75">
        <v>4.8204519336987097</v>
      </c>
      <c r="K75" s="1">
        <v>39995</v>
      </c>
      <c r="L75">
        <v>4.93640089631241</v>
      </c>
      <c r="N75" s="1">
        <v>39995</v>
      </c>
      <c r="O75">
        <v>4.9163088922802398</v>
      </c>
    </row>
    <row r="76" spans="2:15">
      <c r="B76" s="1">
        <v>39965</v>
      </c>
      <c r="C76">
        <v>4.9923121425297401</v>
      </c>
      <c r="D76">
        <f t="shared" si="1"/>
        <v>4.8553059069655502</v>
      </c>
      <c r="E76">
        <v>5.9905883653509502</v>
      </c>
      <c r="F76">
        <v>5.3769205857496196</v>
      </c>
      <c r="H76" s="1">
        <v>39965</v>
      </c>
      <c r="I76">
        <v>4.8553059069655502</v>
      </c>
      <c r="K76" s="1">
        <v>39965</v>
      </c>
      <c r="L76">
        <v>5.9905883653509502</v>
      </c>
      <c r="N76" s="1">
        <v>39965</v>
      </c>
      <c r="O76">
        <v>5.3769205857496196</v>
      </c>
    </row>
    <row r="77" spans="2:15">
      <c r="B77" s="1">
        <v>39934</v>
      </c>
      <c r="C77">
        <v>5.3999815094408197</v>
      </c>
      <c r="D77">
        <f t="shared" si="1"/>
        <v>5.2006638389425603</v>
      </c>
      <c r="E77">
        <v>5.69945981421046</v>
      </c>
      <c r="F77">
        <v>5.6297782840431099</v>
      </c>
      <c r="H77" s="1">
        <v>39934</v>
      </c>
      <c r="I77">
        <v>5.2006638389425603</v>
      </c>
      <c r="K77" s="1">
        <v>39934</v>
      </c>
      <c r="L77">
        <v>5.69945981421046</v>
      </c>
      <c r="N77" s="1">
        <v>39934</v>
      </c>
      <c r="O77">
        <v>5.6297782840431099</v>
      </c>
    </row>
    <row r="78" spans="2:15">
      <c r="B78" s="1">
        <v>39904</v>
      </c>
      <c r="C78">
        <v>4.9179899682853803</v>
      </c>
      <c r="D78">
        <f t="shared" si="1"/>
        <v>4.8792897051584099</v>
      </c>
      <c r="E78">
        <v>5.0469071863016701</v>
      </c>
      <c r="F78">
        <v>4.9422362827836901</v>
      </c>
      <c r="H78" s="1">
        <v>39904</v>
      </c>
      <c r="I78">
        <v>4.8792897051584099</v>
      </c>
      <c r="K78" s="1">
        <v>39904</v>
      </c>
      <c r="L78">
        <v>5.0469071863016701</v>
      </c>
      <c r="N78" s="1">
        <v>39904</v>
      </c>
      <c r="O78">
        <v>4.9422362827836901</v>
      </c>
    </row>
    <row r="79" spans="2:15">
      <c r="B79" s="1">
        <v>39873</v>
      </c>
      <c r="C79">
        <v>4.9724475365289704</v>
      </c>
      <c r="D79">
        <f t="shared" si="1"/>
        <v>4.9239077338743904</v>
      </c>
      <c r="E79">
        <v>5.11774810734501</v>
      </c>
      <c r="F79">
        <v>4.9804912783535302</v>
      </c>
      <c r="H79" s="1">
        <v>39873</v>
      </c>
      <c r="I79">
        <v>4.9239077338743904</v>
      </c>
      <c r="K79" s="1">
        <v>39873</v>
      </c>
      <c r="L79">
        <v>5.11774810734501</v>
      </c>
      <c r="N79" s="1">
        <v>39873</v>
      </c>
      <c r="O79">
        <v>4.9804912783535302</v>
      </c>
    </row>
    <row r="80" spans="2:15">
      <c r="B80" s="1">
        <v>39845</v>
      </c>
      <c r="C80">
        <v>5.0509101839159198</v>
      </c>
      <c r="D80">
        <f t="shared" si="1"/>
        <v>4.9902218271859997</v>
      </c>
      <c r="E80">
        <v>5.1668371185003199</v>
      </c>
      <c r="F80">
        <v>5.0346050973979297</v>
      </c>
      <c r="H80" s="1">
        <v>39845</v>
      </c>
      <c r="I80">
        <v>4.9902218271859997</v>
      </c>
      <c r="K80" s="1">
        <v>39845</v>
      </c>
      <c r="L80">
        <v>5.1668371185003199</v>
      </c>
      <c r="N80" s="1">
        <v>39845</v>
      </c>
      <c r="O80">
        <v>5.0346050973979297</v>
      </c>
    </row>
    <row r="81" spans="2:15">
      <c r="B81" s="1">
        <v>39814</v>
      </c>
      <c r="C81">
        <v>5.71385681848537</v>
      </c>
      <c r="D81">
        <f t="shared" si="1"/>
        <v>5.5937568393914097</v>
      </c>
      <c r="E81">
        <v>6.0709809747291601</v>
      </c>
      <c r="F81">
        <v>5.77095443748125</v>
      </c>
      <c r="H81" s="1">
        <v>39814</v>
      </c>
      <c r="I81">
        <v>5.5937568393914097</v>
      </c>
      <c r="K81" s="1">
        <v>39814</v>
      </c>
      <c r="L81">
        <v>6.0709809747291601</v>
      </c>
      <c r="N81" s="1">
        <v>39814</v>
      </c>
      <c r="O81">
        <v>5.77095443748125</v>
      </c>
    </row>
    <row r="82" spans="2:15">
      <c r="B82" s="1">
        <v>39783</v>
      </c>
      <c r="C82">
        <v>6.10647975360519</v>
      </c>
      <c r="D82">
        <f t="shared" si="1"/>
        <v>6.0007704366013099</v>
      </c>
      <c r="E82">
        <v>6.4776948659917899</v>
      </c>
      <c r="F82">
        <v>5.93780071977198</v>
      </c>
      <c r="H82" s="1">
        <v>39783</v>
      </c>
      <c r="I82">
        <v>6.0007704366013099</v>
      </c>
      <c r="K82" s="1">
        <v>39783</v>
      </c>
      <c r="L82">
        <v>6.4776948659917899</v>
      </c>
      <c r="N82" s="1">
        <v>39783</v>
      </c>
      <c r="O82">
        <v>5.93780071977198</v>
      </c>
    </row>
    <row r="83" spans="2:15">
      <c r="B83" s="1">
        <v>39753</v>
      </c>
      <c r="C83">
        <v>6.3182248017395697</v>
      </c>
      <c r="D83">
        <f t="shared" si="1"/>
        <v>6.20832550585299</v>
      </c>
      <c r="E83">
        <v>6.3927780880237499</v>
      </c>
      <c r="F83">
        <v>6.20309736353415</v>
      </c>
      <c r="H83" s="1">
        <v>39753</v>
      </c>
      <c r="I83">
        <v>6.20832550585299</v>
      </c>
      <c r="K83" s="1">
        <v>39753</v>
      </c>
      <c r="L83">
        <v>6.3927780880237499</v>
      </c>
      <c r="N83" s="1">
        <v>39753</v>
      </c>
      <c r="O83">
        <v>6.20309736353415</v>
      </c>
    </row>
    <row r="84" spans="2:15">
      <c r="B84" s="1">
        <v>39722</v>
      </c>
      <c r="C84">
        <v>6.4218816378371804</v>
      </c>
      <c r="D84">
        <f t="shared" si="1"/>
        <v>6.3263395423173003</v>
      </c>
      <c r="E84">
        <v>6.5740844278307602</v>
      </c>
      <c r="F84">
        <v>6.4308845785883104</v>
      </c>
      <c r="H84" s="1">
        <v>39722</v>
      </c>
      <c r="I84">
        <v>6.3263395423173003</v>
      </c>
      <c r="K84" s="1">
        <v>39722</v>
      </c>
      <c r="L84">
        <v>6.5740844278307602</v>
      </c>
      <c r="N84" s="1">
        <v>39722</v>
      </c>
      <c r="O84">
        <v>6.4308845785883104</v>
      </c>
    </row>
    <row r="85" spans="2:15">
      <c r="B85" s="1">
        <v>39692</v>
      </c>
      <c r="C85">
        <v>6.4909743488399601</v>
      </c>
      <c r="D85">
        <f t="shared" si="1"/>
        <v>6.4330301689607596</v>
      </c>
      <c r="E85">
        <v>6.6559602699741198</v>
      </c>
      <c r="F85">
        <v>6.5259476106836196</v>
      </c>
      <c r="H85" s="1">
        <v>39692</v>
      </c>
      <c r="I85">
        <v>6.4330301689607596</v>
      </c>
      <c r="K85" s="1">
        <v>39692</v>
      </c>
      <c r="L85">
        <v>6.6559602699741198</v>
      </c>
      <c r="N85" s="1">
        <v>39692</v>
      </c>
      <c r="O85">
        <v>6.5259476106836196</v>
      </c>
    </row>
    <row r="86" spans="2:15">
      <c r="B86" s="1">
        <v>39661</v>
      </c>
      <c r="C86">
        <v>6.4412567091028601</v>
      </c>
      <c r="D86">
        <f t="shared" si="1"/>
        <v>6.3487899437489999</v>
      </c>
      <c r="E86">
        <v>6.6587285480346203</v>
      </c>
      <c r="F86">
        <v>6.3616328458173799</v>
      </c>
      <c r="H86" s="1">
        <v>39661</v>
      </c>
      <c r="I86">
        <v>6.3487899437489999</v>
      </c>
      <c r="K86" s="1">
        <v>39661</v>
      </c>
      <c r="L86">
        <v>6.6587285480346203</v>
      </c>
      <c r="N86" s="1">
        <v>39661</v>
      </c>
      <c r="O86">
        <v>6.3616328458173799</v>
      </c>
    </row>
    <row r="87" spans="2:15">
      <c r="B87" s="1">
        <v>39630</v>
      </c>
      <c r="C87">
        <v>6.2014520372738904</v>
      </c>
      <c r="D87">
        <f t="shared" si="1"/>
        <v>6.1308941603750302</v>
      </c>
      <c r="E87">
        <v>6.4693477555282204</v>
      </c>
      <c r="F87">
        <v>6.1771344431920197</v>
      </c>
      <c r="H87" s="1">
        <v>39630</v>
      </c>
      <c r="I87">
        <v>6.1308941603750302</v>
      </c>
      <c r="K87" s="1">
        <v>39630</v>
      </c>
      <c r="L87">
        <v>6.4693477555282204</v>
      </c>
      <c r="N87" s="1">
        <v>39630</v>
      </c>
      <c r="O87">
        <v>6.1771344431920197</v>
      </c>
    </row>
    <row r="88" spans="2:15">
      <c r="B88" s="1">
        <v>39600</v>
      </c>
      <c r="C88">
        <v>6.0399560478885999</v>
      </c>
      <c r="D88">
        <f t="shared" si="1"/>
        <v>5.9897564757478596</v>
      </c>
      <c r="E88">
        <v>6.3482598149091602</v>
      </c>
      <c r="F88">
        <v>6.1200407858524404</v>
      </c>
      <c r="H88" s="1">
        <v>39600</v>
      </c>
      <c r="I88">
        <v>5.9897564757478596</v>
      </c>
      <c r="K88" s="1">
        <v>39600</v>
      </c>
      <c r="L88">
        <v>6.3482598149091602</v>
      </c>
      <c r="N88" s="1">
        <v>39600</v>
      </c>
      <c r="O88">
        <v>6.1200407858524404</v>
      </c>
    </row>
    <row r="89" spans="2:15">
      <c r="B89" s="1">
        <v>39569</v>
      </c>
      <c r="C89">
        <v>6.1046790596330203</v>
      </c>
      <c r="D89">
        <f t="shared" si="1"/>
        <v>5.9985598875952402</v>
      </c>
      <c r="E89">
        <v>6.2613742629983902</v>
      </c>
      <c r="F89">
        <v>6.0741053401260796</v>
      </c>
      <c r="H89" s="1">
        <v>39569</v>
      </c>
      <c r="I89">
        <v>5.9985598875952402</v>
      </c>
      <c r="K89" s="1">
        <v>39569</v>
      </c>
      <c r="L89">
        <v>6.2613742629983902</v>
      </c>
      <c r="N89" s="1">
        <v>39569</v>
      </c>
      <c r="O89">
        <v>6.0741053401260796</v>
      </c>
    </row>
    <row r="90" spans="2:15">
      <c r="B90" s="1">
        <v>39539</v>
      </c>
      <c r="C90">
        <v>5.97807250669607</v>
      </c>
      <c r="D90">
        <f t="shared" si="1"/>
        <v>5.8920258043607197</v>
      </c>
      <c r="E90">
        <v>6.3804220921947499</v>
      </c>
      <c r="F90">
        <v>5.9900342457379798</v>
      </c>
      <c r="H90" s="1">
        <v>39539</v>
      </c>
      <c r="I90">
        <v>5.8920258043607197</v>
      </c>
      <c r="K90" s="1">
        <v>39539</v>
      </c>
      <c r="L90">
        <v>6.3804220921947499</v>
      </c>
      <c r="N90" s="1">
        <v>39539</v>
      </c>
      <c r="O90">
        <v>5.9900342457379798</v>
      </c>
    </row>
    <row r="91" spans="2:15">
      <c r="B91" s="1">
        <v>39508</v>
      </c>
      <c r="C91">
        <v>5.9953588500525399</v>
      </c>
      <c r="D91">
        <f t="shared" si="1"/>
        <v>5.8779333613604097</v>
      </c>
      <c r="E91">
        <v>6.3131029785977697</v>
      </c>
      <c r="F91">
        <v>5.9285297397419399</v>
      </c>
      <c r="H91" s="1">
        <v>39508</v>
      </c>
      <c r="I91">
        <v>5.8779333613604097</v>
      </c>
      <c r="K91" s="1">
        <v>39508</v>
      </c>
      <c r="L91">
        <v>6.3131029785977697</v>
      </c>
      <c r="N91" s="1">
        <v>39508</v>
      </c>
      <c r="O91">
        <v>5.9285297397419399</v>
      </c>
    </row>
    <row r="92" spans="2:15">
      <c r="B92" s="1">
        <v>39479</v>
      </c>
      <c r="C92">
        <v>6.14655328097406</v>
      </c>
      <c r="D92">
        <f t="shared" si="1"/>
        <v>6.0700953126868802</v>
      </c>
      <c r="E92">
        <v>6.4301337937091603</v>
      </c>
      <c r="F92">
        <v>6.2229530518290099</v>
      </c>
      <c r="H92" s="1">
        <v>39479</v>
      </c>
      <c r="I92">
        <v>6.0700953126868802</v>
      </c>
      <c r="K92" s="1">
        <v>39479</v>
      </c>
      <c r="L92">
        <v>6.4301337937091603</v>
      </c>
      <c r="N92" s="1">
        <v>39479</v>
      </c>
      <c r="O92">
        <v>6.2229530518290099</v>
      </c>
    </row>
    <row r="93" spans="2:15">
      <c r="B93" s="1">
        <v>39448</v>
      </c>
      <c r="C93">
        <v>6.3884422330096999</v>
      </c>
      <c r="D93">
        <f t="shared" si="1"/>
        <v>6.3194565877859796</v>
      </c>
      <c r="E93">
        <v>6.6000675241462199</v>
      </c>
      <c r="F93">
        <v>6.4497153925437001</v>
      </c>
      <c r="H93" s="1">
        <v>39448</v>
      </c>
      <c r="I93">
        <v>6.3194565877859796</v>
      </c>
      <c r="K93" s="1">
        <v>39448</v>
      </c>
      <c r="L93">
        <v>6.6000675241462199</v>
      </c>
      <c r="N93" s="1">
        <v>39448</v>
      </c>
      <c r="O93">
        <v>6.4497153925437001</v>
      </c>
    </row>
    <row r="94" spans="2:15">
      <c r="B94" s="1">
        <v>39417</v>
      </c>
      <c r="C94">
        <v>6.4943869446223701</v>
      </c>
      <c r="D94">
        <f t="shared" si="1"/>
        <v>6.4223154354993</v>
      </c>
      <c r="E94">
        <v>6.7543465848043098</v>
      </c>
      <c r="F94">
        <v>6.5706427113859798</v>
      </c>
      <c r="H94" s="1">
        <v>39417</v>
      </c>
      <c r="I94">
        <v>6.4223154354993</v>
      </c>
      <c r="K94" s="1">
        <v>39417</v>
      </c>
      <c r="L94">
        <v>6.7543465848043098</v>
      </c>
      <c r="N94" s="1">
        <v>39417</v>
      </c>
      <c r="O94">
        <v>6.5706427113859798</v>
      </c>
    </row>
    <row r="95" spans="2:15">
      <c r="B95" s="1">
        <v>39387</v>
      </c>
      <c r="C95">
        <v>6.6089324449953502</v>
      </c>
      <c r="D95">
        <f t="shared" si="1"/>
        <v>6.5493885914215699</v>
      </c>
      <c r="E95">
        <v>6.8634388963103996</v>
      </c>
      <c r="F95">
        <v>6.6549674746680401</v>
      </c>
      <c r="H95" s="1">
        <v>39387</v>
      </c>
      <c r="I95">
        <v>6.5493885914215699</v>
      </c>
      <c r="K95" s="1">
        <v>39387</v>
      </c>
      <c r="L95">
        <v>6.8634388963103996</v>
      </c>
      <c r="N95" s="1">
        <v>39387</v>
      </c>
      <c r="O95">
        <v>6.6549674746680401</v>
      </c>
    </row>
    <row r="96" spans="2:15">
      <c r="B96" s="1">
        <v>39356</v>
      </c>
      <c r="C96">
        <v>6.7456027275422397</v>
      </c>
      <c r="D96">
        <f t="shared" si="1"/>
        <v>6.6716199538449796</v>
      </c>
      <c r="E96">
        <v>7.0218007025014</v>
      </c>
      <c r="F96">
        <v>6.7961051038676699</v>
      </c>
      <c r="H96" s="1">
        <v>39356</v>
      </c>
      <c r="I96">
        <v>6.6716199538449796</v>
      </c>
      <c r="K96" s="1">
        <v>39356</v>
      </c>
      <c r="L96">
        <v>7.0218007025014</v>
      </c>
      <c r="N96" s="1">
        <v>39356</v>
      </c>
      <c r="O96">
        <v>6.7961051038676699</v>
      </c>
    </row>
    <row r="97" spans="2:15">
      <c r="B97" s="1">
        <v>39326</v>
      </c>
      <c r="C97">
        <v>6.7336949788066498</v>
      </c>
      <c r="D97">
        <f t="shared" si="1"/>
        <v>6.6695300102601696</v>
      </c>
      <c r="E97">
        <v>7.0799485955220698</v>
      </c>
      <c r="F97">
        <v>6.8223731845503499</v>
      </c>
      <c r="H97" s="1">
        <v>39326</v>
      </c>
      <c r="I97">
        <v>6.6695300102601696</v>
      </c>
      <c r="K97" s="1">
        <v>39326</v>
      </c>
      <c r="L97">
        <v>7.0799485955220698</v>
      </c>
      <c r="N97" s="1">
        <v>39326</v>
      </c>
      <c r="O97">
        <v>6.8223731845503499</v>
      </c>
    </row>
    <row r="98" spans="2:15">
      <c r="B98" s="1">
        <v>39295</v>
      </c>
      <c r="C98">
        <v>6.6309603085026296</v>
      </c>
      <c r="D98">
        <f t="shared" si="1"/>
        <v>6.5692834027918803</v>
      </c>
      <c r="E98">
        <v>6.9709869725512199</v>
      </c>
      <c r="F98">
        <v>6.7215684460913803</v>
      </c>
      <c r="H98" s="1">
        <v>39295</v>
      </c>
      <c r="I98">
        <v>6.5692834027918803</v>
      </c>
      <c r="K98" s="1">
        <v>39295</v>
      </c>
      <c r="L98">
        <v>6.9709869725512199</v>
      </c>
      <c r="N98" s="1">
        <v>39295</v>
      </c>
      <c r="O98">
        <v>6.7215684460913803</v>
      </c>
    </row>
    <row r="99" spans="2:15">
      <c r="B99" s="1">
        <v>39264</v>
      </c>
      <c r="C99">
        <v>6.4501169463396604</v>
      </c>
      <c r="D99">
        <f t="shared" si="1"/>
        <v>6.3881390236601501</v>
      </c>
      <c r="E99">
        <v>6.6954769763540201</v>
      </c>
      <c r="F99">
        <v>6.5326356980059197</v>
      </c>
      <c r="H99" s="1">
        <v>39264</v>
      </c>
      <c r="I99">
        <v>6.3881390236601501</v>
      </c>
      <c r="K99" s="1">
        <v>39264</v>
      </c>
      <c r="L99">
        <v>6.6954769763540201</v>
      </c>
      <c r="N99" s="1">
        <v>39264</v>
      </c>
      <c r="O99">
        <v>6.5326356980059197</v>
      </c>
    </row>
    <row r="100" spans="2:15">
      <c r="B100" s="1">
        <v>39234</v>
      </c>
      <c r="C100">
        <v>6.3683067840350596</v>
      </c>
      <c r="D100">
        <f t="shared" si="1"/>
        <v>6.2828531311073998</v>
      </c>
      <c r="E100">
        <v>6.5746169181710403</v>
      </c>
      <c r="F100">
        <v>6.4062165457665401</v>
      </c>
      <c r="H100" s="1">
        <v>39234</v>
      </c>
      <c r="I100">
        <v>6.2828531311073998</v>
      </c>
      <c r="K100" s="1">
        <v>39234</v>
      </c>
      <c r="L100">
        <v>6.5746169181710403</v>
      </c>
      <c r="N100" s="1">
        <v>39234</v>
      </c>
      <c r="O100">
        <v>6.4062165457665401</v>
      </c>
    </row>
    <row r="101" spans="2:15">
      <c r="B101" s="1">
        <v>39203</v>
      </c>
      <c r="C101">
        <v>6.2812562616127803</v>
      </c>
      <c r="D101">
        <f t="shared" si="1"/>
        <v>6.1918345180544199</v>
      </c>
      <c r="E101">
        <v>6.4293129140081096</v>
      </c>
      <c r="F101">
        <v>6.3756550707146902</v>
      </c>
      <c r="H101" s="1">
        <v>39203</v>
      </c>
      <c r="I101">
        <v>6.1918345180544199</v>
      </c>
      <c r="K101" s="1">
        <v>39203</v>
      </c>
      <c r="L101">
        <v>6.4293129140081096</v>
      </c>
      <c r="N101" s="1">
        <v>39203</v>
      </c>
      <c r="O101">
        <v>6.3756550707146902</v>
      </c>
    </row>
    <row r="102" spans="2:15">
      <c r="B102" s="1">
        <v>39173</v>
      </c>
      <c r="C102">
        <v>6.3586124560048001</v>
      </c>
      <c r="D102">
        <f t="shared" si="1"/>
        <v>6.2835571912711403</v>
      </c>
      <c r="E102">
        <v>6.58575103608809</v>
      </c>
      <c r="F102">
        <v>6.4205619145400998</v>
      </c>
      <c r="H102" s="1">
        <v>39173</v>
      </c>
      <c r="I102">
        <v>6.2835571912711403</v>
      </c>
      <c r="K102" s="1">
        <v>39173</v>
      </c>
      <c r="L102">
        <v>6.58575103608809</v>
      </c>
      <c r="N102" s="1">
        <v>39173</v>
      </c>
      <c r="O102">
        <v>6.4205619145400998</v>
      </c>
    </row>
    <row r="103" spans="2:15">
      <c r="B103" s="1">
        <v>39142</v>
      </c>
      <c r="C103">
        <v>6.3578005025827098</v>
      </c>
      <c r="D103">
        <f t="shared" si="1"/>
        <v>6.2860507592589299</v>
      </c>
      <c r="E103">
        <v>6.7148601921168503</v>
      </c>
      <c r="F103">
        <v>6.3883535633716999</v>
      </c>
      <c r="H103" s="1">
        <v>39142</v>
      </c>
      <c r="I103">
        <v>6.2860507592589299</v>
      </c>
      <c r="K103" s="1">
        <v>39142</v>
      </c>
      <c r="L103">
        <v>6.7148601921168503</v>
      </c>
      <c r="N103" s="1">
        <v>39142</v>
      </c>
      <c r="O103">
        <v>6.3883535633716999</v>
      </c>
    </row>
    <row r="104" spans="2:15">
      <c r="B104" s="1">
        <v>39114</v>
      </c>
      <c r="C104">
        <v>6.3506783673804899</v>
      </c>
      <c r="D104">
        <f t="shared" si="1"/>
        <v>6.27743328221091</v>
      </c>
      <c r="E104">
        <v>6.54168709015189</v>
      </c>
      <c r="F104">
        <v>6.3512091764187897</v>
      </c>
      <c r="H104" s="1">
        <v>39114</v>
      </c>
      <c r="I104">
        <v>6.27743328221091</v>
      </c>
      <c r="K104" s="1">
        <v>39114</v>
      </c>
      <c r="L104">
        <v>6.54168709015189</v>
      </c>
      <c r="N104" s="1">
        <v>39114</v>
      </c>
      <c r="O104">
        <v>6.3512091764187897</v>
      </c>
    </row>
    <row r="105" spans="2:15">
      <c r="B105" s="1">
        <v>39083</v>
      </c>
      <c r="C105">
        <v>6.3509745999614404</v>
      </c>
      <c r="D105">
        <f t="shared" si="1"/>
        <v>6.2827407880660404</v>
      </c>
      <c r="E105">
        <v>6.7034352325189301</v>
      </c>
      <c r="F105">
        <v>6.3742340239320203</v>
      </c>
      <c r="H105" s="1">
        <v>39083</v>
      </c>
      <c r="I105">
        <v>6.2827407880660404</v>
      </c>
      <c r="K105" s="1">
        <v>39083</v>
      </c>
      <c r="L105">
        <v>6.7034352325189301</v>
      </c>
      <c r="N105" s="1">
        <v>39083</v>
      </c>
      <c r="O105">
        <v>6.3742340239320203</v>
      </c>
    </row>
    <row r="106" spans="2:15">
      <c r="B106" s="1">
        <v>39052</v>
      </c>
      <c r="C106">
        <v>6.4989568818075396</v>
      </c>
      <c r="D106">
        <f t="shared" si="1"/>
        <v>6.4242141511761304</v>
      </c>
      <c r="E106">
        <v>6.6844188027977998</v>
      </c>
      <c r="F106">
        <v>6.5023804808115102</v>
      </c>
      <c r="H106" s="1">
        <v>39052</v>
      </c>
      <c r="I106">
        <v>6.4242141511761304</v>
      </c>
      <c r="K106" s="1">
        <v>39052</v>
      </c>
      <c r="L106">
        <v>6.6844188027977998</v>
      </c>
      <c r="N106" s="1">
        <v>39052</v>
      </c>
      <c r="O106">
        <v>6.5023804808115102</v>
      </c>
    </row>
    <row r="107" spans="2:15">
      <c r="B107" s="1">
        <v>39022</v>
      </c>
      <c r="C107">
        <v>6.57800330899732</v>
      </c>
      <c r="D107">
        <f t="shared" si="1"/>
        <v>6.5127018282194697</v>
      </c>
      <c r="E107">
        <v>6.8354900848509201</v>
      </c>
      <c r="F107">
        <v>6.6023882804290404</v>
      </c>
      <c r="H107" s="1">
        <v>39022</v>
      </c>
      <c r="I107">
        <v>6.5127018282194697</v>
      </c>
      <c r="K107" s="1">
        <v>39022</v>
      </c>
      <c r="L107">
        <v>6.8354900848509201</v>
      </c>
      <c r="N107" s="1">
        <v>39022</v>
      </c>
      <c r="O107">
        <v>6.6023882804290404</v>
      </c>
    </row>
    <row r="108" spans="2:15">
      <c r="B108" s="1">
        <v>38991</v>
      </c>
      <c r="C108">
        <v>6.6419454618010896</v>
      </c>
      <c r="D108">
        <f t="shared" si="1"/>
        <v>6.5796597253344</v>
      </c>
      <c r="E108">
        <v>6.84862407229999</v>
      </c>
      <c r="F108">
        <v>6.69025910427884</v>
      </c>
      <c r="H108" s="1">
        <v>38991</v>
      </c>
      <c r="I108">
        <v>6.5796597253344</v>
      </c>
      <c r="K108" s="1">
        <v>38991</v>
      </c>
      <c r="L108">
        <v>6.84862407229999</v>
      </c>
      <c r="N108" s="1">
        <v>38991</v>
      </c>
      <c r="O108">
        <v>6.69025910427884</v>
      </c>
    </row>
    <row r="109" spans="2:15">
      <c r="B109" s="1">
        <v>38961</v>
      </c>
      <c r="C109">
        <v>6.8165737071966497</v>
      </c>
      <c r="D109">
        <f t="shared" si="1"/>
        <v>6.7479203286783802</v>
      </c>
      <c r="E109">
        <v>7.04263094877426</v>
      </c>
      <c r="F109">
        <v>6.7468424557132796</v>
      </c>
      <c r="H109" s="1">
        <v>38961</v>
      </c>
      <c r="I109">
        <v>6.7479203286783802</v>
      </c>
      <c r="K109" s="1">
        <v>38961</v>
      </c>
      <c r="L109">
        <v>7.04263094877426</v>
      </c>
      <c r="N109" s="1">
        <v>38961</v>
      </c>
      <c r="O109">
        <v>6.7468424557132796</v>
      </c>
    </row>
    <row r="110" spans="2:15">
      <c r="B110" s="1">
        <v>38930</v>
      </c>
      <c r="C110">
        <v>6.8415610942249199</v>
      </c>
      <c r="D110">
        <f t="shared" si="1"/>
        <v>6.7790527335305004</v>
      </c>
      <c r="E110">
        <v>6.9025066392523904</v>
      </c>
      <c r="F110">
        <v>6.7751082370689897</v>
      </c>
      <c r="H110" s="1">
        <v>38930</v>
      </c>
      <c r="I110">
        <v>6.7790527335305004</v>
      </c>
      <c r="K110" s="1">
        <v>38930</v>
      </c>
      <c r="L110">
        <v>6.9025066392523904</v>
      </c>
      <c r="N110" s="1">
        <v>38930</v>
      </c>
      <c r="O110">
        <v>6.7751082370689897</v>
      </c>
    </row>
    <row r="111" spans="2:15">
      <c r="B111" s="1">
        <v>38899</v>
      </c>
      <c r="C111">
        <v>6.7397180802701602</v>
      </c>
      <c r="D111">
        <f t="shared" si="1"/>
        <v>6.6798434584770803</v>
      </c>
      <c r="E111">
        <v>6.8885633667757196</v>
      </c>
      <c r="F111">
        <v>6.74730082511776</v>
      </c>
      <c r="H111" s="1">
        <v>38899</v>
      </c>
      <c r="I111">
        <v>6.6798434584770803</v>
      </c>
      <c r="K111" s="1">
        <v>38899</v>
      </c>
      <c r="L111">
        <v>6.8885633667757196</v>
      </c>
      <c r="N111" s="1">
        <v>38899</v>
      </c>
      <c r="O111">
        <v>6.74730082511776</v>
      </c>
    </row>
    <row r="112" spans="2:15">
      <c r="B112" s="1">
        <v>38869</v>
      </c>
      <c r="C112">
        <v>6.6073343176784496</v>
      </c>
      <c r="D112">
        <f t="shared" si="1"/>
        <v>6.5299561078178696</v>
      </c>
      <c r="E112">
        <v>6.7064319366153704</v>
      </c>
      <c r="F112">
        <v>6.5826559206906996</v>
      </c>
      <c r="H112" s="1">
        <v>38869</v>
      </c>
      <c r="I112">
        <v>6.5299561078178696</v>
      </c>
      <c r="K112" s="1">
        <v>38869</v>
      </c>
      <c r="L112">
        <v>6.7064319366153704</v>
      </c>
      <c r="N112" s="1">
        <v>38869</v>
      </c>
      <c r="O112">
        <v>6.5826559206906996</v>
      </c>
    </row>
    <row r="113" spans="2:15">
      <c r="B113" s="1">
        <v>38838</v>
      </c>
      <c r="C113">
        <v>6.4699120161481796</v>
      </c>
      <c r="D113">
        <f t="shared" si="1"/>
        <v>6.4005614290207804</v>
      </c>
      <c r="E113">
        <v>6.7201235538084001</v>
      </c>
      <c r="F113">
        <v>6.47602206402484</v>
      </c>
      <c r="H113" s="1">
        <v>38838</v>
      </c>
      <c r="I113">
        <v>6.4005614290207804</v>
      </c>
      <c r="K113" s="1">
        <v>38838</v>
      </c>
      <c r="L113">
        <v>6.7201235538084001</v>
      </c>
      <c r="N113" s="1">
        <v>38838</v>
      </c>
      <c r="O113">
        <v>6.47602206402484</v>
      </c>
    </row>
    <row r="114" spans="2:15">
      <c r="B114" s="1">
        <v>38808</v>
      </c>
      <c r="C114">
        <v>6.3603119737837099</v>
      </c>
      <c r="D114">
        <f t="shared" si="1"/>
        <v>6.2550815378949798</v>
      </c>
      <c r="E114">
        <v>6.5063719858417297</v>
      </c>
      <c r="F114">
        <v>6.3782329051897202</v>
      </c>
      <c r="H114" s="1">
        <v>38808</v>
      </c>
      <c r="I114">
        <v>6.2550815378949798</v>
      </c>
      <c r="K114" s="1">
        <v>38808</v>
      </c>
      <c r="L114">
        <v>6.5063719858417297</v>
      </c>
      <c r="N114" s="1">
        <v>38808</v>
      </c>
      <c r="O114">
        <v>6.3782329051897202</v>
      </c>
    </row>
    <row r="115" spans="2:15">
      <c r="B115" s="1">
        <v>38777</v>
      </c>
      <c r="C115">
        <v>6.4505817367645299</v>
      </c>
      <c r="D115">
        <f t="shared" si="1"/>
        <v>6.3294262723029702</v>
      </c>
      <c r="E115">
        <v>6.6320335369943004</v>
      </c>
      <c r="F115">
        <v>6.3508092439242603</v>
      </c>
      <c r="H115" s="1">
        <v>38777</v>
      </c>
      <c r="I115">
        <v>6.3294262723029702</v>
      </c>
      <c r="K115" s="1">
        <v>38777</v>
      </c>
      <c r="L115">
        <v>6.6320335369943004</v>
      </c>
      <c r="N115" s="1">
        <v>38777</v>
      </c>
      <c r="O115">
        <v>6.3508092439242603</v>
      </c>
    </row>
    <row r="116" spans="2:15">
      <c r="B116" s="1">
        <v>38749</v>
      </c>
      <c r="C116">
        <v>6.3479245363591899</v>
      </c>
      <c r="D116">
        <f t="shared" si="1"/>
        <v>6.2741538463581996</v>
      </c>
      <c r="E116">
        <v>6.6140000944145196</v>
      </c>
      <c r="F116">
        <v>6.3651779405806304</v>
      </c>
      <c r="H116" s="1">
        <v>38749</v>
      </c>
      <c r="I116">
        <v>6.2741538463581996</v>
      </c>
      <c r="K116" s="1">
        <v>38749</v>
      </c>
      <c r="L116">
        <v>6.6140000944145196</v>
      </c>
      <c r="N116" s="1">
        <v>38749</v>
      </c>
      <c r="O116">
        <v>6.3651779405806304</v>
      </c>
    </row>
    <row r="117" spans="2:15">
      <c r="B117" s="1">
        <v>38718</v>
      </c>
      <c r="C117">
        <v>6.3448839071257002</v>
      </c>
      <c r="D117">
        <f t="shared" si="1"/>
        <v>6.2351864837878699</v>
      </c>
      <c r="E117">
        <v>6.6027538791997999</v>
      </c>
      <c r="F117">
        <v>6.3142358527999498</v>
      </c>
      <c r="H117" s="1">
        <v>38718</v>
      </c>
      <c r="I117">
        <v>6.2351864837878699</v>
      </c>
      <c r="K117" s="1">
        <v>38718</v>
      </c>
      <c r="L117">
        <v>6.6027538791997999</v>
      </c>
      <c r="N117" s="1">
        <v>38718</v>
      </c>
      <c r="O117">
        <v>6.3142358527999498</v>
      </c>
    </row>
    <row r="118" spans="2:15">
      <c r="B118" s="1">
        <v>38687</v>
      </c>
      <c r="C118">
        <v>6.1095905484247304</v>
      </c>
      <c r="D118">
        <f t="shared" si="1"/>
        <v>6.0329281225632698</v>
      </c>
      <c r="E118">
        <v>6.3374967980825803</v>
      </c>
      <c r="F118">
        <v>6.1100604418333599</v>
      </c>
      <c r="H118" s="1">
        <v>38687</v>
      </c>
      <c r="I118">
        <v>6.0329281225632698</v>
      </c>
      <c r="K118" s="1">
        <v>38687</v>
      </c>
      <c r="L118">
        <v>6.3374967980825803</v>
      </c>
      <c r="N118" s="1">
        <v>38687</v>
      </c>
      <c r="O118">
        <v>6.1100604418333599</v>
      </c>
    </row>
    <row r="119" spans="2:15">
      <c r="B119" s="1">
        <v>38657</v>
      </c>
      <c r="C119">
        <v>5.9993419161483601</v>
      </c>
      <c r="D119">
        <f t="shared" si="1"/>
        <v>5.9081360643643901</v>
      </c>
      <c r="E119">
        <v>6.22590961613923</v>
      </c>
      <c r="F119">
        <v>5.9657535962386898</v>
      </c>
      <c r="H119" s="1">
        <v>38657</v>
      </c>
      <c r="I119">
        <v>5.9081360643643901</v>
      </c>
      <c r="K119" s="1">
        <v>38657</v>
      </c>
      <c r="L119">
        <v>6.22590961613923</v>
      </c>
      <c r="N119" s="1">
        <v>38657</v>
      </c>
      <c r="O119">
        <v>5.9657535962386898</v>
      </c>
    </row>
    <row r="120" spans="2:15">
      <c r="B120" s="1">
        <v>38626</v>
      </c>
      <c r="C120">
        <v>5.9151791799418199</v>
      </c>
      <c r="D120">
        <f t="shared" si="1"/>
        <v>5.8431368476848302</v>
      </c>
      <c r="E120">
        <v>6.2548632671207596</v>
      </c>
      <c r="F120">
        <v>5.9350299799815103</v>
      </c>
      <c r="H120" s="1">
        <v>38626</v>
      </c>
      <c r="I120">
        <v>5.8431368476848302</v>
      </c>
      <c r="K120" s="1">
        <v>38626</v>
      </c>
      <c r="L120">
        <v>6.2548632671207596</v>
      </c>
      <c r="N120" s="1">
        <v>38626</v>
      </c>
      <c r="O120">
        <v>5.9350299799815103</v>
      </c>
    </row>
    <row r="121" spans="2:15">
      <c r="B121" s="1">
        <v>38596</v>
      </c>
      <c r="C121">
        <v>5.8716237826203903</v>
      </c>
      <c r="D121">
        <f t="shared" si="1"/>
        <v>5.8074520090528701</v>
      </c>
      <c r="E121">
        <v>6.0729708815801899</v>
      </c>
      <c r="F121">
        <v>5.8541010753403997</v>
      </c>
      <c r="H121" s="1">
        <v>38596</v>
      </c>
      <c r="I121">
        <v>5.8074520090528701</v>
      </c>
      <c r="K121" s="1">
        <v>38596</v>
      </c>
      <c r="L121">
        <v>6.0729708815801899</v>
      </c>
      <c r="N121" s="1">
        <v>38596</v>
      </c>
      <c r="O121">
        <v>5.8541010753403997</v>
      </c>
    </row>
    <row r="122" spans="2:15">
      <c r="B122" s="1">
        <v>38565</v>
      </c>
      <c r="C122">
        <v>5.8519922909847297</v>
      </c>
      <c r="D122">
        <f t="shared" si="1"/>
        <v>5.7878064259623399</v>
      </c>
      <c r="E122">
        <v>5.9304329653969798</v>
      </c>
      <c r="F122">
        <v>5.7924446190363597</v>
      </c>
      <c r="H122" s="1">
        <v>38565</v>
      </c>
      <c r="I122">
        <v>5.7878064259623399</v>
      </c>
      <c r="K122" s="1">
        <v>38565</v>
      </c>
      <c r="L122">
        <v>5.9304329653969798</v>
      </c>
      <c r="N122" s="1">
        <v>38565</v>
      </c>
      <c r="O122">
        <v>5.7924446190363597</v>
      </c>
    </row>
    <row r="123" spans="2:15">
      <c r="B123" s="1">
        <v>38534</v>
      </c>
      <c r="C123">
        <v>5.9088034752332099</v>
      </c>
      <c r="D123">
        <f t="shared" si="1"/>
        <v>5.8446551218521101</v>
      </c>
      <c r="E123">
        <v>6.04133112740175</v>
      </c>
      <c r="F123">
        <v>5.8779163652289697</v>
      </c>
      <c r="H123" s="1">
        <v>38534</v>
      </c>
      <c r="I123">
        <v>5.8446551218521101</v>
      </c>
      <c r="K123" s="1">
        <v>38534</v>
      </c>
      <c r="L123">
        <v>6.04133112740175</v>
      </c>
      <c r="N123" s="1">
        <v>38534</v>
      </c>
      <c r="O123">
        <v>5.8779163652289697</v>
      </c>
    </row>
    <row r="124" spans="2:15">
      <c r="B124" s="1">
        <v>38504</v>
      </c>
      <c r="C124">
        <v>6.0165619939961701</v>
      </c>
      <c r="D124">
        <f t="shared" si="1"/>
        <v>5.95120703572689</v>
      </c>
      <c r="E124">
        <v>6.1123957519230601</v>
      </c>
      <c r="F124">
        <v>6.0095486955718798</v>
      </c>
      <c r="H124" s="1">
        <v>38504</v>
      </c>
      <c r="I124">
        <v>5.95120703572689</v>
      </c>
      <c r="K124" s="1">
        <v>38504</v>
      </c>
      <c r="L124">
        <v>6.1123957519230601</v>
      </c>
      <c r="N124" s="1">
        <v>38504</v>
      </c>
      <c r="O124">
        <v>6.0095486955718798</v>
      </c>
    </row>
    <row r="125" spans="2:15">
      <c r="B125" s="1">
        <v>38473</v>
      </c>
      <c r="C125">
        <v>5.9951206686073801</v>
      </c>
      <c r="D125">
        <f t="shared" si="1"/>
        <v>5.9118091725111803</v>
      </c>
      <c r="E125">
        <v>6.1615850711694398</v>
      </c>
      <c r="F125">
        <v>5.9453896731722002</v>
      </c>
      <c r="H125" s="1">
        <v>38473</v>
      </c>
      <c r="I125">
        <v>5.9118091725111803</v>
      </c>
      <c r="K125" s="1">
        <v>38473</v>
      </c>
      <c r="L125">
        <v>6.1615850711694398</v>
      </c>
      <c r="N125" s="1">
        <v>38473</v>
      </c>
      <c r="O125">
        <v>5.9453896731722002</v>
      </c>
    </row>
    <row r="126" spans="2:15">
      <c r="B126" s="1">
        <v>38443</v>
      </c>
      <c r="C126">
        <v>5.8325293962678302</v>
      </c>
      <c r="D126">
        <f t="shared" si="1"/>
        <v>5.76760509054502</v>
      </c>
      <c r="E126">
        <v>5.9788163394643297</v>
      </c>
      <c r="F126">
        <v>5.7615869299725304</v>
      </c>
      <c r="H126" s="1">
        <v>38443</v>
      </c>
      <c r="I126">
        <v>5.76760509054502</v>
      </c>
      <c r="K126" s="1">
        <v>38443</v>
      </c>
      <c r="L126">
        <v>5.9788163394643297</v>
      </c>
      <c r="N126" s="1">
        <v>38443</v>
      </c>
      <c r="O126">
        <v>5.7615869299725304</v>
      </c>
    </row>
    <row r="127" spans="2:15">
      <c r="B127" s="1">
        <v>38412</v>
      </c>
      <c r="C127">
        <v>5.8158221041790803</v>
      </c>
      <c r="D127">
        <f t="shared" si="1"/>
        <v>5.7602796890994004</v>
      </c>
      <c r="E127">
        <v>5.9816424527216601</v>
      </c>
      <c r="F127">
        <v>5.8222054905926797</v>
      </c>
      <c r="H127" s="1">
        <v>38412</v>
      </c>
      <c r="I127">
        <v>5.7602796890994004</v>
      </c>
      <c r="K127" s="1">
        <v>38412</v>
      </c>
      <c r="L127">
        <v>5.9816424527216601</v>
      </c>
      <c r="N127" s="1">
        <v>38412</v>
      </c>
      <c r="O127">
        <v>5.8222054905926797</v>
      </c>
    </row>
    <row r="128" spans="2:15">
      <c r="B128" s="1">
        <v>38384</v>
      </c>
      <c r="C128">
        <v>5.9082920831350103</v>
      </c>
      <c r="D128">
        <f t="shared" si="1"/>
        <v>5.8571983273106998</v>
      </c>
      <c r="E128">
        <v>6.0968817881915101</v>
      </c>
      <c r="F128">
        <v>5.8888224546342798</v>
      </c>
      <c r="H128" s="1">
        <v>38384</v>
      </c>
      <c r="I128">
        <v>5.8571983273106998</v>
      </c>
      <c r="K128" s="1">
        <v>38384</v>
      </c>
      <c r="L128">
        <v>6.0968817881915101</v>
      </c>
      <c r="N128" s="1">
        <v>38384</v>
      </c>
      <c r="O128">
        <v>5.8888224546342798</v>
      </c>
    </row>
    <row r="129" spans="2:15">
      <c r="B129" s="1">
        <v>38353</v>
      </c>
      <c r="C129">
        <v>5.8940152107991697</v>
      </c>
      <c r="D129">
        <f t="shared" si="1"/>
        <v>5.8491859754868401</v>
      </c>
      <c r="E129">
        <v>6.0504871313193602</v>
      </c>
      <c r="F129">
        <v>5.8403493285085597</v>
      </c>
      <c r="H129" s="1">
        <v>38353</v>
      </c>
      <c r="I129">
        <v>5.8491859754868401</v>
      </c>
      <c r="K129" s="1">
        <v>38353</v>
      </c>
      <c r="L129">
        <v>6.0504871313193602</v>
      </c>
      <c r="N129" s="1">
        <v>38353</v>
      </c>
      <c r="O129">
        <v>5.8403493285085597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N129"/>
  <sheetViews>
    <sheetView tabSelected="1" topLeftCell="D1" workbookViewId="0">
      <selection activeCell="O28" sqref="O28"/>
    </sheetView>
  </sheetViews>
  <sheetFormatPr defaultRowHeight="15"/>
  <cols>
    <col min="2" max="2" width="13.85546875" bestFit="1" customWidth="1"/>
    <col min="3" max="5" width="12.5703125" bestFit="1" customWidth="1"/>
    <col min="6" max="7" width="12.5703125" customWidth="1"/>
    <col min="10" max="10" width="13.85546875" bestFit="1" customWidth="1"/>
    <col min="11" max="11" width="12.5703125" bestFit="1" customWidth="1"/>
    <col min="13" max="13" width="13.85546875" bestFit="1" customWidth="1"/>
    <col min="14" max="14" width="12.5703125" bestFit="1" customWidth="1"/>
  </cols>
  <sheetData>
    <row r="1" spans="2:14">
      <c r="B1" t="s">
        <v>33</v>
      </c>
      <c r="J1" t="s">
        <v>34</v>
      </c>
      <c r="M1" t="s">
        <v>35</v>
      </c>
    </row>
    <row r="3" spans="2:14">
      <c r="B3" t="s">
        <v>40</v>
      </c>
      <c r="C3" t="s">
        <v>33</v>
      </c>
      <c r="D3" t="s">
        <v>34</v>
      </c>
      <c r="E3" t="s">
        <v>35</v>
      </c>
      <c r="F3" s="43" t="s">
        <v>37</v>
      </c>
      <c r="G3" s="37" t="s">
        <v>38</v>
      </c>
      <c r="H3" s="38" t="s">
        <v>39</v>
      </c>
      <c r="J3" t="s">
        <v>40</v>
      </c>
      <c r="K3" t="s">
        <v>34</v>
      </c>
      <c r="M3" t="s">
        <v>40</v>
      </c>
      <c r="N3" t="s">
        <v>35</v>
      </c>
    </row>
    <row r="4" spans="2:14">
      <c r="B4" s="1">
        <v>42156</v>
      </c>
      <c r="C4" s="2">
        <v>4.2814568652573097</v>
      </c>
      <c r="D4" s="2">
        <v>4.0686507646154899</v>
      </c>
      <c r="E4" s="2">
        <v>4.0561251713544104</v>
      </c>
      <c r="F4" s="2">
        <f>C4-D4</f>
        <v>0.21280610064181982</v>
      </c>
      <c r="G4" s="2">
        <f>C4-E4</f>
        <v>0.22533169390289931</v>
      </c>
      <c r="H4" s="2">
        <f>D4-E4</f>
        <v>1.2525593261079493E-2</v>
      </c>
      <c r="J4" s="1">
        <v>42156</v>
      </c>
      <c r="K4">
        <v>4.0686507646154899</v>
      </c>
      <c r="M4" s="1">
        <v>42156</v>
      </c>
      <c r="N4">
        <v>4.0561251713544104</v>
      </c>
    </row>
    <row r="5" spans="2:14">
      <c r="B5" s="1">
        <v>42125</v>
      </c>
      <c r="C5" s="2">
        <v>4.1497341953507201</v>
      </c>
      <c r="D5" s="2">
        <v>4.0642555362097301</v>
      </c>
      <c r="E5" s="2">
        <v>3.9762475049440198</v>
      </c>
      <c r="F5" s="2">
        <f t="shared" ref="F5:F68" si="0">C5-D5</f>
        <v>8.5478659140989954E-2</v>
      </c>
      <c r="G5" s="2">
        <f t="shared" ref="G5:G68" si="1">C5-E5</f>
        <v>0.17348669040670028</v>
      </c>
      <c r="H5" s="2">
        <f t="shared" ref="H5:H68" si="2">D5-E5</f>
        <v>8.8008031265710329E-2</v>
      </c>
      <c r="J5" s="1">
        <v>42125</v>
      </c>
      <c r="K5">
        <v>4.0642555362097301</v>
      </c>
      <c r="M5" s="1">
        <v>42125</v>
      </c>
      <c r="N5">
        <v>3.9762475049440198</v>
      </c>
    </row>
    <row r="6" spans="2:14">
      <c r="B6" s="1">
        <v>42095</v>
      </c>
      <c r="C6" s="2">
        <v>3.9762156604078802</v>
      </c>
      <c r="D6" s="2">
        <v>4.0277059899699301</v>
      </c>
      <c r="E6" s="2">
        <v>3.9282028775760498</v>
      </c>
      <c r="F6" s="2">
        <f t="shared" si="0"/>
        <v>-5.1490329562049908E-2</v>
      </c>
      <c r="G6" s="2">
        <f t="shared" si="1"/>
        <v>4.8012782831830414E-2</v>
      </c>
      <c r="H6" s="2">
        <f t="shared" si="2"/>
        <v>9.9503112393880322E-2</v>
      </c>
      <c r="J6" s="1">
        <v>42095</v>
      </c>
      <c r="K6">
        <v>4.0277059899699301</v>
      </c>
      <c r="M6" s="1">
        <v>42095</v>
      </c>
      <c r="N6">
        <v>3.9282028775760498</v>
      </c>
    </row>
    <row r="7" spans="2:14">
      <c r="B7" s="1">
        <v>42064</v>
      </c>
      <c r="C7" s="2">
        <v>4.1156717681475801</v>
      </c>
      <c r="D7" s="2">
        <v>4.0516131888317304</v>
      </c>
      <c r="E7" s="2">
        <v>3.9320396187248101</v>
      </c>
      <c r="F7" s="2">
        <f t="shared" si="0"/>
        <v>6.4058579315849684E-2</v>
      </c>
      <c r="G7" s="2">
        <f t="shared" si="1"/>
        <v>0.18363214942276995</v>
      </c>
      <c r="H7" s="2">
        <f t="shared" si="2"/>
        <v>0.11957357010692027</v>
      </c>
      <c r="J7" s="1">
        <v>42064</v>
      </c>
      <c r="K7">
        <v>4.0516131888317304</v>
      </c>
      <c r="M7" s="1">
        <v>42064</v>
      </c>
      <c r="N7">
        <v>3.9320396187248101</v>
      </c>
    </row>
    <row r="8" spans="2:14">
      <c r="B8" s="1">
        <v>42036</v>
      </c>
      <c r="C8" s="2">
        <v>4.2616069792633198</v>
      </c>
      <c r="D8" s="2">
        <v>4.1799260938571896</v>
      </c>
      <c r="E8" s="2">
        <v>4.1049873604232801</v>
      </c>
      <c r="F8" s="2">
        <f t="shared" si="0"/>
        <v>8.1680885406130166E-2</v>
      </c>
      <c r="G8" s="2">
        <f t="shared" si="1"/>
        <v>0.15661961884003972</v>
      </c>
      <c r="H8" s="2">
        <f t="shared" si="2"/>
        <v>7.4938733433909555E-2</v>
      </c>
      <c r="J8" s="1">
        <v>42036</v>
      </c>
      <c r="K8">
        <v>4.1799260938571896</v>
      </c>
      <c r="M8" s="1">
        <v>42036</v>
      </c>
      <c r="N8">
        <v>4.1049873604232801</v>
      </c>
    </row>
    <row r="9" spans="2:14">
      <c r="B9" s="1">
        <v>42005</v>
      </c>
      <c r="C9" s="2">
        <v>4.3286198758944696</v>
      </c>
      <c r="D9" s="2">
        <v>4.29507902652733</v>
      </c>
      <c r="E9" s="2">
        <v>4.2149770950800001</v>
      </c>
      <c r="F9" s="2">
        <f t="shared" si="0"/>
        <v>3.3540849367139636E-2</v>
      </c>
      <c r="G9" s="2">
        <f t="shared" si="1"/>
        <v>0.11364278081446955</v>
      </c>
      <c r="H9" s="2">
        <f t="shared" si="2"/>
        <v>8.010193144732991E-2</v>
      </c>
      <c r="J9" s="1">
        <v>42005</v>
      </c>
      <c r="K9">
        <v>4.29507902652733</v>
      </c>
      <c r="M9" s="1">
        <v>42005</v>
      </c>
      <c r="N9">
        <v>4.2149770950800001</v>
      </c>
    </row>
    <row r="10" spans="2:14">
      <c r="B10" s="1">
        <v>41974</v>
      </c>
      <c r="C10" s="2">
        <v>4.4668929370465698</v>
      </c>
      <c r="D10" s="2">
        <v>4.3614534485438199</v>
      </c>
      <c r="E10" s="2">
        <v>4.2823710809759499</v>
      </c>
      <c r="F10" s="2">
        <f t="shared" si="0"/>
        <v>0.10543948850274987</v>
      </c>
      <c r="G10" s="2">
        <f t="shared" si="1"/>
        <v>0.18452185607061988</v>
      </c>
      <c r="H10" s="2">
        <f t="shared" si="2"/>
        <v>7.9082367567870016E-2</v>
      </c>
      <c r="J10" s="1">
        <v>41974</v>
      </c>
      <c r="K10">
        <v>4.3614534485438199</v>
      </c>
      <c r="M10" s="1">
        <v>41974</v>
      </c>
      <c r="N10">
        <v>4.2823710809759499</v>
      </c>
    </row>
    <row r="11" spans="2:14">
      <c r="B11" s="1">
        <v>41944</v>
      </c>
      <c r="C11" s="2">
        <v>4.7049313458332698</v>
      </c>
      <c r="D11" s="2">
        <v>4.4669266317103196</v>
      </c>
      <c r="E11" s="2">
        <v>4.3555208650457802</v>
      </c>
      <c r="F11" s="2">
        <f t="shared" si="0"/>
        <v>0.23800471412295021</v>
      </c>
      <c r="G11" s="2">
        <f t="shared" si="1"/>
        <v>0.3494104807874896</v>
      </c>
      <c r="H11" s="2">
        <f t="shared" si="2"/>
        <v>0.11140576666453939</v>
      </c>
      <c r="J11" s="1">
        <v>41944</v>
      </c>
      <c r="K11">
        <v>4.4669266317103196</v>
      </c>
      <c r="M11" s="1">
        <v>41944</v>
      </c>
      <c r="N11">
        <v>4.3555208650457802</v>
      </c>
    </row>
    <row r="12" spans="2:14">
      <c r="B12" s="1">
        <v>41913</v>
      </c>
      <c r="C12" s="2">
        <v>4.4490704943226804</v>
      </c>
      <c r="D12" s="2">
        <v>4.4759398824380998</v>
      </c>
      <c r="E12" s="2">
        <v>4.3973010870007103</v>
      </c>
      <c r="F12" s="2">
        <f t="shared" si="0"/>
        <v>-2.686938811541939E-2</v>
      </c>
      <c r="G12" s="2">
        <f t="shared" si="1"/>
        <v>5.1769407321970107E-2</v>
      </c>
      <c r="H12" s="2">
        <f t="shared" si="2"/>
        <v>7.8638795437389497E-2</v>
      </c>
      <c r="J12" s="1">
        <v>41913</v>
      </c>
      <c r="K12">
        <v>4.4759398824380998</v>
      </c>
      <c r="M12" s="1">
        <v>41913</v>
      </c>
      <c r="N12">
        <v>4.3973010870007103</v>
      </c>
    </row>
    <row r="13" spans="2:14">
      <c r="B13" s="1">
        <v>41883</v>
      </c>
      <c r="C13" s="2">
        <v>4.4536976926398104</v>
      </c>
      <c r="D13" s="2">
        <v>4.50690906458677</v>
      </c>
      <c r="E13" s="2">
        <v>4.3669489809585196</v>
      </c>
      <c r="F13" s="2">
        <f t="shared" si="0"/>
        <v>-5.3211371946959574E-2</v>
      </c>
      <c r="G13" s="2">
        <f t="shared" si="1"/>
        <v>8.6748711681290835E-2</v>
      </c>
      <c r="H13" s="2">
        <f t="shared" si="2"/>
        <v>0.13996008362825041</v>
      </c>
      <c r="J13" s="1">
        <v>41883</v>
      </c>
      <c r="K13">
        <v>4.50690906458677</v>
      </c>
      <c r="M13" s="1">
        <v>41883</v>
      </c>
      <c r="N13">
        <v>4.3669489809585196</v>
      </c>
    </row>
    <row r="14" spans="2:14">
      <c r="B14" s="1">
        <v>41852</v>
      </c>
      <c r="C14" s="2">
        <v>4.4745700811097597</v>
      </c>
      <c r="D14" s="2">
        <v>4.5211881324073904</v>
      </c>
      <c r="E14" s="2">
        <v>4.4174894237425599</v>
      </c>
      <c r="F14" s="2">
        <f t="shared" si="0"/>
        <v>-4.6618051297630636E-2</v>
      </c>
      <c r="G14" s="2">
        <f t="shared" si="1"/>
        <v>5.7080657367199805E-2</v>
      </c>
      <c r="H14" s="2">
        <f t="shared" si="2"/>
        <v>0.10369870866483044</v>
      </c>
      <c r="J14" s="1">
        <v>41852</v>
      </c>
      <c r="K14">
        <v>4.5211881324073904</v>
      </c>
      <c r="M14" s="1">
        <v>41852</v>
      </c>
      <c r="N14">
        <v>4.4174894237425599</v>
      </c>
    </row>
    <row r="15" spans="2:14">
      <c r="B15" s="1">
        <v>41821</v>
      </c>
      <c r="C15" s="2">
        <v>4.6155240570251399</v>
      </c>
      <c r="D15" s="2">
        <v>4.5436109646790204</v>
      </c>
      <c r="E15" s="2">
        <v>4.4428648016081</v>
      </c>
      <c r="F15" s="2">
        <f t="shared" si="0"/>
        <v>7.1913092346119534E-2</v>
      </c>
      <c r="G15" s="2">
        <f t="shared" si="1"/>
        <v>0.17265925541703986</v>
      </c>
      <c r="H15" s="2">
        <f t="shared" si="2"/>
        <v>0.10074616307092032</v>
      </c>
      <c r="J15" s="1">
        <v>41821</v>
      </c>
      <c r="K15">
        <v>4.5436109646790204</v>
      </c>
      <c r="M15" s="1">
        <v>41821</v>
      </c>
      <c r="N15">
        <v>4.4428648016081</v>
      </c>
    </row>
    <row r="16" spans="2:14">
      <c r="B16" s="1">
        <v>41791</v>
      </c>
      <c r="C16" s="2">
        <v>4.6457399086433897</v>
      </c>
      <c r="D16" s="2">
        <v>4.6392985360140004</v>
      </c>
      <c r="E16" s="2">
        <v>4.5499580654746996</v>
      </c>
      <c r="F16" s="2">
        <f t="shared" si="0"/>
        <v>6.4413726293892637E-3</v>
      </c>
      <c r="G16" s="2">
        <f t="shared" si="1"/>
        <v>9.5781843168690095E-2</v>
      </c>
      <c r="H16" s="2">
        <f t="shared" si="2"/>
        <v>8.9340470539300831E-2</v>
      </c>
      <c r="J16" s="1">
        <v>41791</v>
      </c>
      <c r="K16">
        <v>4.6392985360140004</v>
      </c>
      <c r="M16" s="1">
        <v>41791</v>
      </c>
      <c r="N16">
        <v>4.5499580654746996</v>
      </c>
    </row>
    <row r="17" spans="2:14">
      <c r="B17" s="1">
        <v>41760</v>
      </c>
      <c r="C17" s="2">
        <v>4.6332822318684102</v>
      </c>
      <c r="D17" s="2">
        <v>4.6819615889319897</v>
      </c>
      <c r="E17" s="2">
        <v>4.5766765568888301</v>
      </c>
      <c r="F17" s="2">
        <f t="shared" si="0"/>
        <v>-4.8679357063579509E-2</v>
      </c>
      <c r="G17" s="2">
        <f t="shared" si="1"/>
        <v>5.6605674979580023E-2</v>
      </c>
      <c r="H17" s="2">
        <f t="shared" si="2"/>
        <v>0.10528503204315953</v>
      </c>
      <c r="J17" s="1">
        <v>41760</v>
      </c>
      <c r="K17">
        <v>4.6819615889319897</v>
      </c>
      <c r="M17" s="1">
        <v>41760</v>
      </c>
      <c r="N17">
        <v>4.5766765568888301</v>
      </c>
    </row>
    <row r="18" spans="2:14">
      <c r="B18" s="1">
        <v>41730</v>
      </c>
      <c r="C18" s="2">
        <v>4.6407670714703801</v>
      </c>
      <c r="D18" s="2">
        <v>4.6955468117550598</v>
      </c>
      <c r="E18" s="2">
        <v>4.5955650821670497</v>
      </c>
      <c r="F18" s="2">
        <f t="shared" si="0"/>
        <v>-5.477974028467969E-2</v>
      </c>
      <c r="G18" s="2">
        <f t="shared" si="1"/>
        <v>4.5201989303330414E-2</v>
      </c>
      <c r="H18" s="2">
        <f t="shared" si="2"/>
        <v>9.9981729588010104E-2</v>
      </c>
      <c r="J18" s="1">
        <v>41730</v>
      </c>
      <c r="K18">
        <v>4.6955468117550598</v>
      </c>
      <c r="M18" s="1">
        <v>41730</v>
      </c>
      <c r="N18">
        <v>4.5955650821670497</v>
      </c>
    </row>
    <row r="19" spans="2:14">
      <c r="B19" s="1">
        <v>41699</v>
      </c>
      <c r="C19" s="2">
        <v>4.73263952671212</v>
      </c>
      <c r="D19" s="2">
        <v>4.7366032886628702</v>
      </c>
      <c r="E19" s="2">
        <v>4.6124541798731897</v>
      </c>
      <c r="F19" s="2">
        <f t="shared" si="0"/>
        <v>-3.9637619507502109E-3</v>
      </c>
      <c r="G19" s="2">
        <f t="shared" si="1"/>
        <v>0.12018534683893023</v>
      </c>
      <c r="H19" s="2">
        <f t="shared" si="2"/>
        <v>0.12414910878968044</v>
      </c>
      <c r="J19" s="1">
        <v>41699</v>
      </c>
      <c r="K19">
        <v>4.7366032886628702</v>
      </c>
      <c r="M19" s="1">
        <v>41699</v>
      </c>
      <c r="N19">
        <v>4.6124541798731897</v>
      </c>
    </row>
    <row r="20" spans="2:14">
      <c r="B20" s="1">
        <v>41671</v>
      </c>
      <c r="C20" s="2">
        <v>4.6536719492279799</v>
      </c>
      <c r="D20" s="2">
        <v>4.7295954340305402</v>
      </c>
      <c r="E20" s="2">
        <v>4.6047579940496401</v>
      </c>
      <c r="F20" s="2">
        <f t="shared" si="0"/>
        <v>-7.5923484802560282E-2</v>
      </c>
      <c r="G20" s="2">
        <f t="shared" si="1"/>
        <v>4.8913955178339741E-2</v>
      </c>
      <c r="H20" s="2">
        <f t="shared" si="2"/>
        <v>0.12483743998090002</v>
      </c>
      <c r="J20" s="1">
        <v>41671</v>
      </c>
      <c r="K20">
        <v>4.7295954340305402</v>
      </c>
      <c r="M20" s="1">
        <v>41671</v>
      </c>
      <c r="N20">
        <v>4.6047579940496401</v>
      </c>
    </row>
    <row r="21" spans="2:14">
      <c r="B21" s="1">
        <v>41640</v>
      </c>
      <c r="C21" s="2">
        <v>4.5895646237737804</v>
      </c>
      <c r="D21" s="2">
        <v>4.6121976997306398</v>
      </c>
      <c r="E21" s="2">
        <v>4.5423720637683003</v>
      </c>
      <c r="F21" s="2">
        <f t="shared" si="0"/>
        <v>-2.2633075956859372E-2</v>
      </c>
      <c r="G21" s="2">
        <f t="shared" si="1"/>
        <v>4.7192560005480111E-2</v>
      </c>
      <c r="H21" s="2">
        <f t="shared" si="2"/>
        <v>6.9825635962339483E-2</v>
      </c>
      <c r="J21" s="1">
        <v>41640</v>
      </c>
      <c r="K21">
        <v>4.6121976997306398</v>
      </c>
      <c r="M21" s="1">
        <v>41640</v>
      </c>
      <c r="N21">
        <v>4.5423720637683003</v>
      </c>
    </row>
    <row r="22" spans="2:14">
      <c r="B22" s="1">
        <v>41609</v>
      </c>
      <c r="C22" s="2">
        <v>4.61920026135369</v>
      </c>
      <c r="D22" s="2">
        <v>4.5903276122072301</v>
      </c>
      <c r="E22" s="2">
        <v>4.4856529453012701</v>
      </c>
      <c r="F22" s="2">
        <f t="shared" si="0"/>
        <v>2.8872649146459928E-2</v>
      </c>
      <c r="G22" s="2">
        <f t="shared" si="1"/>
        <v>0.13354731605241987</v>
      </c>
      <c r="H22" s="2">
        <f t="shared" si="2"/>
        <v>0.10467466690595995</v>
      </c>
      <c r="J22" s="1">
        <v>41609</v>
      </c>
      <c r="K22">
        <v>4.5903276122072301</v>
      </c>
      <c r="M22" s="1">
        <v>41609</v>
      </c>
      <c r="N22">
        <v>4.4856529453012701</v>
      </c>
    </row>
    <row r="23" spans="2:14">
      <c r="B23" s="1">
        <v>41579</v>
      </c>
      <c r="C23" s="2">
        <v>4.6747178236477502</v>
      </c>
      <c r="D23" s="2">
        <v>4.6286520450176498</v>
      </c>
      <c r="E23" s="2">
        <v>4.5931885852676899</v>
      </c>
      <c r="F23" s="2">
        <f t="shared" si="0"/>
        <v>4.6065778630100418E-2</v>
      </c>
      <c r="G23" s="2">
        <f t="shared" si="1"/>
        <v>8.152923838006032E-2</v>
      </c>
      <c r="H23" s="2">
        <f t="shared" si="2"/>
        <v>3.5463459749959902E-2</v>
      </c>
      <c r="J23" s="1">
        <v>41579</v>
      </c>
      <c r="K23">
        <v>4.6286520450176498</v>
      </c>
      <c r="M23" s="1">
        <v>41579</v>
      </c>
      <c r="N23">
        <v>4.5931885852676899</v>
      </c>
    </row>
    <row r="24" spans="2:14">
      <c r="B24" s="1">
        <v>41548</v>
      </c>
      <c r="C24" s="2">
        <v>4.5862204451268598</v>
      </c>
      <c r="D24" s="2">
        <v>4.6690205639464004</v>
      </c>
      <c r="E24" s="2">
        <v>4.6448965055844003</v>
      </c>
      <c r="F24" s="2">
        <f t="shared" si="0"/>
        <v>-8.2800118819540636E-2</v>
      </c>
      <c r="G24" s="2">
        <f t="shared" si="1"/>
        <v>-5.867606045754048E-2</v>
      </c>
      <c r="H24" s="2">
        <f t="shared" si="2"/>
        <v>2.4124058362000156E-2</v>
      </c>
      <c r="J24" s="1">
        <v>41548</v>
      </c>
      <c r="K24">
        <v>4.6690205639464004</v>
      </c>
      <c r="M24" s="1">
        <v>41548</v>
      </c>
      <c r="N24">
        <v>4.6448965055844003</v>
      </c>
    </row>
    <row r="25" spans="2:14">
      <c r="B25" s="1">
        <v>41518</v>
      </c>
      <c r="C25" s="2">
        <v>4.2507659645031097</v>
      </c>
      <c r="D25" s="2">
        <v>4.5745696530370399</v>
      </c>
      <c r="E25" s="2">
        <v>4.4868701789443204</v>
      </c>
      <c r="F25" s="2">
        <f t="shared" si="0"/>
        <v>-0.32380368853393016</v>
      </c>
      <c r="G25" s="2">
        <f t="shared" si="1"/>
        <v>-0.23610421444121066</v>
      </c>
      <c r="H25" s="2">
        <f t="shared" si="2"/>
        <v>8.7699474092719498E-2</v>
      </c>
      <c r="J25" s="1">
        <v>41518</v>
      </c>
      <c r="K25">
        <v>4.5745696530370399</v>
      </c>
      <c r="M25" s="1">
        <v>41518</v>
      </c>
      <c r="N25">
        <v>4.4868701789443204</v>
      </c>
    </row>
    <row r="26" spans="2:14">
      <c r="B26" s="1">
        <v>41487</v>
      </c>
      <c r="C26" s="2">
        <v>3.9491096805015098</v>
      </c>
      <c r="D26" s="2">
        <v>4.2447480399268001</v>
      </c>
      <c r="E26" s="2">
        <v>4.1904757607515801</v>
      </c>
      <c r="F26" s="2">
        <f t="shared" si="0"/>
        <v>-0.29563835942529026</v>
      </c>
      <c r="G26" s="2">
        <f t="shared" si="1"/>
        <v>-0.24136608025007034</v>
      </c>
      <c r="H26" s="2">
        <f t="shared" si="2"/>
        <v>5.4272279175219929E-2</v>
      </c>
      <c r="J26" s="1">
        <v>41487</v>
      </c>
      <c r="K26">
        <v>4.2447480399268001</v>
      </c>
      <c r="M26" s="1">
        <v>41487</v>
      </c>
      <c r="N26">
        <v>4.1904757607515801</v>
      </c>
    </row>
    <row r="27" spans="2:14">
      <c r="B27" s="1">
        <v>41456</v>
      </c>
      <c r="C27" s="2">
        <v>3.8211445865321001</v>
      </c>
      <c r="D27" s="2">
        <v>3.8919528668798899</v>
      </c>
      <c r="E27" s="2">
        <v>3.8614924384028302</v>
      </c>
      <c r="F27" s="2">
        <f t="shared" si="0"/>
        <v>-7.0808280347789854E-2</v>
      </c>
      <c r="G27" s="2">
        <f t="shared" si="1"/>
        <v>-4.0347851870730089E-2</v>
      </c>
      <c r="H27" s="2">
        <f t="shared" si="2"/>
        <v>3.0460428477059764E-2</v>
      </c>
      <c r="J27" s="1">
        <v>41456</v>
      </c>
      <c r="K27">
        <v>3.8919528668798899</v>
      </c>
      <c r="M27" s="1">
        <v>41456</v>
      </c>
      <c r="N27">
        <v>3.8614924384028302</v>
      </c>
    </row>
    <row r="28" spans="2:14">
      <c r="B28" s="1">
        <v>41426</v>
      </c>
      <c r="C28" s="2">
        <v>3.8062802293370401</v>
      </c>
      <c r="D28" s="2">
        <v>3.7793401133038</v>
      </c>
      <c r="E28" s="2">
        <v>3.7594762587358401</v>
      </c>
      <c r="F28" s="2">
        <f t="shared" si="0"/>
        <v>2.6940116033240091E-2</v>
      </c>
      <c r="G28" s="2">
        <f t="shared" si="1"/>
        <v>4.6803970601200007E-2</v>
      </c>
      <c r="H28" s="2">
        <f t="shared" si="2"/>
        <v>1.9863854567959915E-2</v>
      </c>
      <c r="J28" s="1">
        <v>41426</v>
      </c>
      <c r="K28">
        <v>3.7793401133038</v>
      </c>
      <c r="M28" s="1">
        <v>41426</v>
      </c>
      <c r="N28">
        <v>3.7594762587358401</v>
      </c>
    </row>
    <row r="29" spans="2:14">
      <c r="B29" s="1">
        <v>41395</v>
      </c>
      <c r="C29" s="2">
        <v>3.9283481871750499</v>
      </c>
      <c r="D29" s="2">
        <v>3.80303948125629</v>
      </c>
      <c r="E29" s="2">
        <v>3.7579848918707599</v>
      </c>
      <c r="F29" s="2">
        <f t="shared" si="0"/>
        <v>0.12530870591875987</v>
      </c>
      <c r="G29" s="2">
        <f t="shared" si="1"/>
        <v>0.17036329530428995</v>
      </c>
      <c r="H29" s="2">
        <f t="shared" si="2"/>
        <v>4.5054589385530086E-2</v>
      </c>
      <c r="J29" s="1">
        <v>41395</v>
      </c>
      <c r="K29">
        <v>3.80303948125629</v>
      </c>
      <c r="M29" s="1">
        <v>41395</v>
      </c>
      <c r="N29">
        <v>3.7579848918707599</v>
      </c>
    </row>
    <row r="30" spans="2:14">
      <c r="B30" s="1">
        <v>41365</v>
      </c>
      <c r="C30" s="2">
        <v>3.8038767498904398</v>
      </c>
      <c r="D30" s="2">
        <v>3.80364044849131</v>
      </c>
      <c r="E30" s="2">
        <v>3.7233882877985902</v>
      </c>
      <c r="F30" s="2">
        <f t="shared" si="0"/>
        <v>2.363013991297791E-4</v>
      </c>
      <c r="G30" s="2">
        <f t="shared" si="1"/>
        <v>8.0488462091849566E-2</v>
      </c>
      <c r="H30" s="2">
        <f t="shared" si="2"/>
        <v>8.0252160692719787E-2</v>
      </c>
      <c r="J30" s="1">
        <v>41365</v>
      </c>
      <c r="K30">
        <v>3.80364044849131</v>
      </c>
      <c r="M30" s="1">
        <v>41365</v>
      </c>
      <c r="N30">
        <v>3.7233882877985902</v>
      </c>
    </row>
    <row r="31" spans="2:14">
      <c r="B31" s="1">
        <v>41334</v>
      </c>
      <c r="C31" s="2">
        <v>3.69926642416794</v>
      </c>
      <c r="D31" s="2">
        <v>3.7542129023702202</v>
      </c>
      <c r="E31" s="2">
        <v>3.6572873433600201</v>
      </c>
      <c r="F31" s="2">
        <f t="shared" si="0"/>
        <v>-5.4946478202280158E-2</v>
      </c>
      <c r="G31" s="2">
        <f t="shared" si="1"/>
        <v>4.19790808079199E-2</v>
      </c>
      <c r="H31" s="2">
        <f t="shared" si="2"/>
        <v>9.6925559010200057E-2</v>
      </c>
      <c r="J31" s="1">
        <v>41334</v>
      </c>
      <c r="K31">
        <v>3.7542129023702202</v>
      </c>
      <c r="M31" s="1">
        <v>41334</v>
      </c>
      <c r="N31">
        <v>3.6572873433600201</v>
      </c>
    </row>
    <row r="32" spans="2:14">
      <c r="B32" s="1">
        <v>41306</v>
      </c>
      <c r="C32" s="2">
        <v>3.63325349969457</v>
      </c>
      <c r="D32" s="2">
        <v>3.6053486298375601</v>
      </c>
      <c r="E32" s="2">
        <v>3.58160500208843</v>
      </c>
      <c r="F32" s="2">
        <f t="shared" si="0"/>
        <v>2.7904869857009906E-2</v>
      </c>
      <c r="G32" s="2">
        <f t="shared" si="1"/>
        <v>5.1648497606139987E-2</v>
      </c>
      <c r="H32" s="2">
        <f t="shared" si="2"/>
        <v>2.3743627749130081E-2</v>
      </c>
      <c r="J32" s="1">
        <v>41306</v>
      </c>
      <c r="K32">
        <v>3.6053486298375601</v>
      </c>
      <c r="M32" s="1">
        <v>41306</v>
      </c>
      <c r="N32">
        <v>3.58160500208843</v>
      </c>
    </row>
    <row r="33" spans="2:14">
      <c r="B33" s="1">
        <v>41275</v>
      </c>
      <c r="C33" s="2">
        <v>3.7531777758654599</v>
      </c>
      <c r="D33" s="2">
        <v>3.61383049302919</v>
      </c>
      <c r="E33" s="2">
        <v>3.5617646791317901</v>
      </c>
      <c r="F33" s="2">
        <f t="shared" si="0"/>
        <v>0.13934728283626985</v>
      </c>
      <c r="G33" s="2">
        <f t="shared" si="1"/>
        <v>0.1914130967336698</v>
      </c>
      <c r="H33" s="2">
        <f t="shared" si="2"/>
        <v>5.2065813897399948E-2</v>
      </c>
      <c r="J33" s="1">
        <v>41275</v>
      </c>
      <c r="K33">
        <v>3.61383049302919</v>
      </c>
      <c r="M33" s="1">
        <v>41275</v>
      </c>
      <c r="N33">
        <v>3.5617646791317901</v>
      </c>
    </row>
    <row r="34" spans="2:14">
      <c r="B34" s="1">
        <v>41244</v>
      </c>
      <c r="C34" s="2">
        <v>3.7529169822709099</v>
      </c>
      <c r="D34" s="2">
        <v>3.6787505408074899</v>
      </c>
      <c r="E34" s="2">
        <v>3.56765547891264</v>
      </c>
      <c r="F34" s="2">
        <f t="shared" si="0"/>
        <v>7.4166441463419996E-2</v>
      </c>
      <c r="G34" s="2">
        <f t="shared" si="1"/>
        <v>0.18526150335826985</v>
      </c>
      <c r="H34" s="2">
        <f t="shared" si="2"/>
        <v>0.11109506189484986</v>
      </c>
      <c r="J34" s="1">
        <v>41244</v>
      </c>
      <c r="K34">
        <v>3.6787505408074899</v>
      </c>
      <c r="M34" s="1">
        <v>41244</v>
      </c>
      <c r="N34">
        <v>3.56765547891264</v>
      </c>
    </row>
    <row r="35" spans="2:14">
      <c r="B35" s="1">
        <v>41214</v>
      </c>
      <c r="C35" s="2">
        <v>3.8270042987425001</v>
      </c>
      <c r="D35" s="2">
        <v>3.7165128808085699</v>
      </c>
      <c r="E35" s="2">
        <v>3.6357269037879698</v>
      </c>
      <c r="F35" s="2">
        <f t="shared" si="0"/>
        <v>0.11049141793393025</v>
      </c>
      <c r="G35" s="2">
        <f t="shared" si="1"/>
        <v>0.19127739495453033</v>
      </c>
      <c r="H35" s="2">
        <f t="shared" si="2"/>
        <v>8.0785977020600086E-2</v>
      </c>
      <c r="J35" s="1">
        <v>41214</v>
      </c>
      <c r="K35">
        <v>3.7165128808085699</v>
      </c>
      <c r="M35" s="1">
        <v>41214</v>
      </c>
      <c r="N35">
        <v>3.6357269037879698</v>
      </c>
    </row>
    <row r="36" spans="2:14">
      <c r="B36" s="1">
        <v>41183</v>
      </c>
      <c r="C36" s="2">
        <v>3.8503675120790701</v>
      </c>
      <c r="D36" s="2">
        <v>3.8126189038843799</v>
      </c>
      <c r="E36" s="2">
        <v>3.7556527877728501</v>
      </c>
      <c r="F36" s="2">
        <f t="shared" si="0"/>
        <v>3.7748608194690281E-2</v>
      </c>
      <c r="G36" s="2">
        <f t="shared" si="1"/>
        <v>9.4714724306220077E-2</v>
      </c>
      <c r="H36" s="2">
        <f t="shared" si="2"/>
        <v>5.6966116111529796E-2</v>
      </c>
      <c r="J36" s="1">
        <v>41183</v>
      </c>
      <c r="K36">
        <v>3.8126189038843799</v>
      </c>
      <c r="M36" s="1">
        <v>41183</v>
      </c>
      <c r="N36">
        <v>3.7556527877728501</v>
      </c>
    </row>
    <row r="37" spans="2:14">
      <c r="B37" s="1">
        <v>41153</v>
      </c>
      <c r="C37" s="2">
        <v>3.9015765798451199</v>
      </c>
      <c r="D37" s="2">
        <v>3.8442939134793499</v>
      </c>
      <c r="E37" s="2">
        <v>3.8328685818010499</v>
      </c>
      <c r="F37" s="2">
        <f t="shared" si="0"/>
        <v>5.7282666365769952E-2</v>
      </c>
      <c r="G37" s="2">
        <f t="shared" si="1"/>
        <v>6.8707998044069907E-2</v>
      </c>
      <c r="H37" s="2">
        <f t="shared" si="2"/>
        <v>1.1425331678299955E-2</v>
      </c>
      <c r="J37" s="1">
        <v>41153</v>
      </c>
      <c r="K37">
        <v>3.8442939134793499</v>
      </c>
      <c r="M37" s="1">
        <v>41153</v>
      </c>
      <c r="N37">
        <v>3.8328685818010499</v>
      </c>
    </row>
    <row r="38" spans="2:14">
      <c r="B38" s="1">
        <v>41122</v>
      </c>
      <c r="C38" s="2">
        <v>4.0168085289684097</v>
      </c>
      <c r="D38" s="2">
        <v>3.9188893390305402</v>
      </c>
      <c r="E38" s="2">
        <v>3.84847397972475</v>
      </c>
      <c r="F38" s="2">
        <f t="shared" si="0"/>
        <v>9.7919189937869522E-2</v>
      </c>
      <c r="G38" s="2">
        <f t="shared" si="1"/>
        <v>0.16833454924365965</v>
      </c>
      <c r="H38" s="2">
        <f t="shared" si="2"/>
        <v>7.0415359305790126E-2</v>
      </c>
      <c r="J38" s="1">
        <v>41122</v>
      </c>
      <c r="K38">
        <v>3.9188893390305402</v>
      </c>
      <c r="M38" s="1">
        <v>41122</v>
      </c>
      <c r="N38">
        <v>3.84847397972475</v>
      </c>
    </row>
    <row r="39" spans="2:14">
      <c r="B39" s="1">
        <v>41091</v>
      </c>
      <c r="C39" s="2">
        <v>4.1313460757178397</v>
      </c>
      <c r="D39" s="2">
        <v>4.0210240278428504</v>
      </c>
      <c r="E39" s="2">
        <v>3.9915397167780799</v>
      </c>
      <c r="F39" s="2">
        <f t="shared" si="0"/>
        <v>0.11032204787498934</v>
      </c>
      <c r="G39" s="2">
        <f t="shared" si="1"/>
        <v>0.13980635893975979</v>
      </c>
      <c r="H39" s="2">
        <f t="shared" si="2"/>
        <v>2.9484311064770452E-2</v>
      </c>
      <c r="J39" s="1">
        <v>41091</v>
      </c>
      <c r="K39">
        <v>4.0210240278428504</v>
      </c>
      <c r="M39" s="1">
        <v>41091</v>
      </c>
      <c r="N39">
        <v>3.9915397167780799</v>
      </c>
    </row>
    <row r="40" spans="2:14">
      <c r="B40" s="1">
        <v>41061</v>
      </c>
      <c r="C40" s="2">
        <v>4.3125175098783002</v>
      </c>
      <c r="D40" s="2">
        <v>4.0942294802658896</v>
      </c>
      <c r="E40" s="2">
        <v>4.0796072104057002</v>
      </c>
      <c r="F40" s="2">
        <f t="shared" si="0"/>
        <v>0.21828802961241056</v>
      </c>
      <c r="G40" s="2">
        <f t="shared" si="1"/>
        <v>0.2329102994726</v>
      </c>
      <c r="H40" s="2">
        <f t="shared" si="2"/>
        <v>1.4622269860189441E-2</v>
      </c>
      <c r="J40" s="1">
        <v>41061</v>
      </c>
      <c r="K40">
        <v>4.0942294802658896</v>
      </c>
      <c r="M40" s="1">
        <v>41061</v>
      </c>
      <c r="N40">
        <v>4.0796072104057002</v>
      </c>
    </row>
    <row r="41" spans="2:14">
      <c r="B41" s="1">
        <v>41030</v>
      </c>
      <c r="C41" s="2">
        <v>4.1556151382690096</v>
      </c>
      <c r="D41" s="2">
        <v>4.17333271294269</v>
      </c>
      <c r="E41" s="2">
        <v>4.0951346139394103</v>
      </c>
      <c r="F41" s="2">
        <f t="shared" si="0"/>
        <v>-1.7717574673680403E-2</v>
      </c>
      <c r="G41" s="2">
        <f t="shared" si="1"/>
        <v>6.0480524329599383E-2</v>
      </c>
      <c r="H41" s="2">
        <f t="shared" si="2"/>
        <v>7.8198099003279786E-2</v>
      </c>
      <c r="J41" s="1">
        <v>41030</v>
      </c>
      <c r="K41">
        <v>4.17333271294269</v>
      </c>
      <c r="M41" s="1">
        <v>41030</v>
      </c>
      <c r="N41">
        <v>4.0951346139394103</v>
      </c>
    </row>
    <row r="42" spans="2:14">
      <c r="B42" s="1">
        <v>41000</v>
      </c>
      <c r="C42" s="2">
        <v>4.1739330968867403</v>
      </c>
      <c r="D42" s="2">
        <v>4.1092129545932403</v>
      </c>
      <c r="E42" s="2">
        <v>4.0552340372442899</v>
      </c>
      <c r="F42" s="2">
        <f t="shared" si="0"/>
        <v>6.4720142293499983E-2</v>
      </c>
      <c r="G42" s="2">
        <f t="shared" si="1"/>
        <v>0.11869905964245042</v>
      </c>
      <c r="H42" s="2">
        <f t="shared" si="2"/>
        <v>5.3978917348950439E-2</v>
      </c>
      <c r="J42" s="1">
        <v>41000</v>
      </c>
      <c r="K42">
        <v>4.1092129545932403</v>
      </c>
      <c r="M42" s="1">
        <v>41000</v>
      </c>
      <c r="N42">
        <v>4.0552340372442899</v>
      </c>
    </row>
    <row r="43" spans="2:14">
      <c r="B43" s="1">
        <v>40969</v>
      </c>
      <c r="C43" s="2">
        <v>4.1882604412744202</v>
      </c>
      <c r="D43" s="2">
        <v>4.1549008131127501</v>
      </c>
      <c r="E43" s="2">
        <v>4.0730557594336103</v>
      </c>
      <c r="F43" s="2">
        <f t="shared" si="0"/>
        <v>3.3359628161670152E-2</v>
      </c>
      <c r="G43" s="2">
        <f t="shared" si="1"/>
        <v>0.1152046818408099</v>
      </c>
      <c r="H43" s="2">
        <f t="shared" si="2"/>
        <v>8.1845053679139745E-2</v>
      </c>
      <c r="J43" s="1">
        <v>40969</v>
      </c>
      <c r="K43">
        <v>4.1549008131127501</v>
      </c>
      <c r="M43" s="1">
        <v>40969</v>
      </c>
      <c r="N43">
        <v>4.0730557594336103</v>
      </c>
    </row>
    <row r="44" spans="2:14">
      <c r="B44" s="1">
        <v>40940</v>
      </c>
      <c r="C44" s="2">
        <v>4.2765226382154298</v>
      </c>
      <c r="D44" s="2">
        <v>4.2256085430486303</v>
      </c>
      <c r="E44" s="2">
        <v>4.1302566229502302</v>
      </c>
      <c r="F44" s="2">
        <f t="shared" si="0"/>
        <v>5.0914095166799456E-2</v>
      </c>
      <c r="G44" s="2">
        <f t="shared" si="1"/>
        <v>0.14626601526519956</v>
      </c>
      <c r="H44" s="2">
        <f t="shared" si="2"/>
        <v>9.53519200984001E-2</v>
      </c>
      <c r="J44" s="1">
        <v>40940</v>
      </c>
      <c r="K44">
        <v>4.2256085430486303</v>
      </c>
      <c r="M44" s="1">
        <v>40940</v>
      </c>
      <c r="N44">
        <v>4.1302566229502302</v>
      </c>
    </row>
    <row r="45" spans="2:14">
      <c r="B45" s="1">
        <v>40909</v>
      </c>
      <c r="C45" s="2">
        <v>4.3227644059747696</v>
      </c>
      <c r="D45" s="2">
        <v>4.33310028406291</v>
      </c>
      <c r="E45" s="2">
        <v>4.2152473802194796</v>
      </c>
      <c r="F45" s="2">
        <f t="shared" si="0"/>
        <v>-1.0335878088140404E-2</v>
      </c>
      <c r="G45" s="2">
        <f t="shared" si="1"/>
        <v>0.10751702575528999</v>
      </c>
      <c r="H45" s="2">
        <f t="shared" si="2"/>
        <v>0.11785290384343039</v>
      </c>
      <c r="J45" s="1">
        <v>40909</v>
      </c>
      <c r="K45">
        <v>4.33310028406291</v>
      </c>
      <c r="M45" s="1">
        <v>40909</v>
      </c>
      <c r="N45">
        <v>4.2152473802194796</v>
      </c>
    </row>
    <row r="46" spans="2:14">
      <c r="B46" s="1">
        <v>40878</v>
      </c>
      <c r="C46" s="2">
        <v>4.3278463437356898</v>
      </c>
      <c r="D46" s="2">
        <v>4.2673548758431599</v>
      </c>
      <c r="E46" s="2">
        <v>4.2221592290878203</v>
      </c>
      <c r="F46" s="2">
        <f t="shared" si="0"/>
        <v>6.0491467892529904E-2</v>
      </c>
      <c r="G46" s="2">
        <f t="shared" si="1"/>
        <v>0.10568711464786951</v>
      </c>
      <c r="H46" s="2">
        <f t="shared" si="2"/>
        <v>4.5195646755339602E-2</v>
      </c>
      <c r="J46" s="1">
        <v>40878</v>
      </c>
      <c r="K46">
        <v>4.2673548758431599</v>
      </c>
      <c r="M46" s="1">
        <v>40878</v>
      </c>
      <c r="N46">
        <v>4.2221592290878203</v>
      </c>
    </row>
    <row r="47" spans="2:14">
      <c r="B47" s="1">
        <v>40848</v>
      </c>
      <c r="C47" s="2">
        <v>4.4491338596756798</v>
      </c>
      <c r="D47" s="2">
        <v>4.34694600021336</v>
      </c>
      <c r="E47" s="2">
        <v>4.2804118399340396</v>
      </c>
      <c r="F47" s="2">
        <f t="shared" si="0"/>
        <v>0.10218785946231979</v>
      </c>
      <c r="G47" s="2">
        <f t="shared" si="1"/>
        <v>0.16872201974164014</v>
      </c>
      <c r="H47" s="2">
        <f t="shared" si="2"/>
        <v>6.6534160279320353E-2</v>
      </c>
      <c r="J47" s="1">
        <v>40848</v>
      </c>
      <c r="K47">
        <v>4.34694600021336</v>
      </c>
      <c r="M47" s="1">
        <v>40848</v>
      </c>
      <c r="N47">
        <v>4.2804118399340396</v>
      </c>
    </row>
    <row r="48" spans="2:14">
      <c r="B48" s="1">
        <v>40817</v>
      </c>
      <c r="C48" s="2">
        <v>4.5669157311845598</v>
      </c>
      <c r="D48" s="2">
        <v>4.4539225851543804</v>
      </c>
      <c r="E48" s="2">
        <v>4.3601827778140496</v>
      </c>
      <c r="F48" s="2">
        <f t="shared" si="0"/>
        <v>0.1129931460301794</v>
      </c>
      <c r="G48" s="2">
        <f t="shared" si="1"/>
        <v>0.20673295337051023</v>
      </c>
      <c r="H48" s="2">
        <f t="shared" si="2"/>
        <v>9.3739807340330827E-2</v>
      </c>
      <c r="J48" s="1">
        <v>40817</v>
      </c>
      <c r="K48">
        <v>4.4539225851543804</v>
      </c>
      <c r="M48" s="1">
        <v>40817</v>
      </c>
      <c r="N48">
        <v>4.3601827778140496</v>
      </c>
    </row>
    <row r="49" spans="2:14">
      <c r="B49" s="1">
        <v>40787</v>
      </c>
      <c r="C49" s="2">
        <v>4.8218941601059599</v>
      </c>
      <c r="D49" s="2">
        <v>4.74605707840702</v>
      </c>
      <c r="E49" s="2">
        <v>4.5906352698938502</v>
      </c>
      <c r="F49" s="2">
        <f t="shared" si="0"/>
        <v>7.583708169893999E-2</v>
      </c>
      <c r="G49" s="2">
        <f t="shared" si="1"/>
        <v>0.23125889021210977</v>
      </c>
      <c r="H49" s="2">
        <f t="shared" si="2"/>
        <v>0.15542180851316978</v>
      </c>
      <c r="J49" s="1">
        <v>40787</v>
      </c>
      <c r="K49">
        <v>4.74605707840702</v>
      </c>
      <c r="M49" s="1">
        <v>40787</v>
      </c>
      <c r="N49">
        <v>4.5906352698938502</v>
      </c>
    </row>
    <row r="50" spans="2:14">
      <c r="B50" s="1">
        <v>40756</v>
      </c>
      <c r="C50" s="2">
        <v>4.9368701544670603</v>
      </c>
      <c r="D50" s="2">
        <v>4.77017791678142</v>
      </c>
      <c r="E50" s="2">
        <v>4.7660299889469897</v>
      </c>
      <c r="F50" s="2">
        <f t="shared" si="0"/>
        <v>0.16669223768564034</v>
      </c>
      <c r="G50" s="2">
        <f t="shared" si="1"/>
        <v>0.17084016552007064</v>
      </c>
      <c r="H50" s="2">
        <f t="shared" si="2"/>
        <v>4.1479278344302983E-3</v>
      </c>
      <c r="J50" s="1">
        <v>40756</v>
      </c>
      <c r="K50">
        <v>4.77017791678142</v>
      </c>
      <c r="M50" s="1">
        <v>40756</v>
      </c>
      <c r="N50">
        <v>4.7660299889469897</v>
      </c>
    </row>
    <row r="51" spans="2:14">
      <c r="B51" s="1">
        <v>40725</v>
      </c>
      <c r="C51" s="2">
        <v>4.9621704900752599</v>
      </c>
      <c r="D51" s="2">
        <v>4.9444954687776601</v>
      </c>
      <c r="E51" s="2">
        <v>4.8542933668009498</v>
      </c>
      <c r="F51" s="2">
        <f t="shared" si="0"/>
        <v>1.7675021297599791E-2</v>
      </c>
      <c r="G51" s="2">
        <f t="shared" si="1"/>
        <v>0.10787712327431009</v>
      </c>
      <c r="H51" s="2">
        <f t="shared" si="2"/>
        <v>9.0202101976710303E-2</v>
      </c>
      <c r="J51" s="1">
        <v>40725</v>
      </c>
      <c r="K51">
        <v>4.9444954687776601</v>
      </c>
      <c r="M51" s="1">
        <v>40725</v>
      </c>
      <c r="N51">
        <v>4.8542933668009498</v>
      </c>
    </row>
    <row r="52" spans="2:14">
      <c r="B52" s="1">
        <v>40695</v>
      </c>
      <c r="C52" s="2">
        <v>5.11213707449979</v>
      </c>
      <c r="D52" s="2">
        <v>5.0106522497190102</v>
      </c>
      <c r="E52" s="2">
        <v>4.95904409974725</v>
      </c>
      <c r="F52" s="2">
        <f t="shared" si="0"/>
        <v>0.1014848247807798</v>
      </c>
      <c r="G52" s="2">
        <f t="shared" si="1"/>
        <v>0.15309297475254002</v>
      </c>
      <c r="H52" s="2">
        <f t="shared" si="2"/>
        <v>5.160814997176022E-2</v>
      </c>
      <c r="J52" s="1">
        <v>40695</v>
      </c>
      <c r="K52">
        <v>5.0106522497190102</v>
      </c>
      <c r="M52" s="1">
        <v>40695</v>
      </c>
      <c r="N52">
        <v>4.95904409974725</v>
      </c>
    </row>
    <row r="53" spans="2:14">
      <c r="B53" s="1">
        <v>40664</v>
      </c>
      <c r="C53" s="2">
        <v>5.0898398470488999</v>
      </c>
      <c r="D53" s="2">
        <v>5.1272066949473798</v>
      </c>
      <c r="E53" s="2">
        <v>5.0024613921514902</v>
      </c>
      <c r="F53" s="2">
        <f t="shared" si="0"/>
        <v>-3.7366847898479882E-2</v>
      </c>
      <c r="G53" s="2">
        <f t="shared" si="1"/>
        <v>8.7378454897409696E-2</v>
      </c>
      <c r="H53" s="2">
        <f t="shared" si="2"/>
        <v>0.12474530279588958</v>
      </c>
      <c r="J53" s="1">
        <v>40664</v>
      </c>
      <c r="K53">
        <v>5.1272066949473798</v>
      </c>
      <c r="M53" s="1">
        <v>40664</v>
      </c>
      <c r="N53">
        <v>5.0024613921514902</v>
      </c>
    </row>
    <row r="54" spans="2:14">
      <c r="B54" s="1">
        <v>40634</v>
      </c>
      <c r="C54" s="2">
        <v>4.9859301813030701</v>
      </c>
      <c r="D54" s="2">
        <v>5.1598024386056496</v>
      </c>
      <c r="E54" s="2">
        <v>4.9197654711748502</v>
      </c>
      <c r="F54" s="2">
        <f t="shared" si="0"/>
        <v>-0.17387225730257949</v>
      </c>
      <c r="G54" s="2">
        <f t="shared" si="1"/>
        <v>6.6164710128219895E-2</v>
      </c>
      <c r="H54" s="2">
        <f t="shared" si="2"/>
        <v>0.24003696743079939</v>
      </c>
      <c r="J54" s="1">
        <v>40634</v>
      </c>
      <c r="K54">
        <v>5.1598024386056496</v>
      </c>
      <c r="M54" s="1">
        <v>40634</v>
      </c>
      <c r="N54">
        <v>4.9197654711748502</v>
      </c>
    </row>
    <row r="55" spans="2:14">
      <c r="B55" s="1">
        <v>40603</v>
      </c>
      <c r="C55" s="2">
        <v>4.8078077345350003</v>
      </c>
      <c r="D55" s="2">
        <v>4.9744173256000304</v>
      </c>
      <c r="E55" s="2">
        <v>4.8488406302649203</v>
      </c>
      <c r="F55" s="2">
        <f t="shared" si="0"/>
        <v>-0.16660959106503004</v>
      </c>
      <c r="G55" s="2">
        <f t="shared" si="1"/>
        <v>-4.1032895729919971E-2</v>
      </c>
      <c r="H55" s="2">
        <f t="shared" si="2"/>
        <v>0.12557669533511007</v>
      </c>
      <c r="J55" s="1">
        <v>40603</v>
      </c>
      <c r="K55">
        <v>4.9744173256000304</v>
      </c>
      <c r="M55" s="1">
        <v>40603</v>
      </c>
      <c r="N55">
        <v>4.8488406302649203</v>
      </c>
    </row>
    <row r="56" spans="2:14">
      <c r="B56" s="1">
        <v>40575</v>
      </c>
      <c r="C56" s="2">
        <v>4.57035078861953</v>
      </c>
      <c r="D56" s="2">
        <v>4.7009443977877297</v>
      </c>
      <c r="E56" s="2">
        <v>4.6256668706208099</v>
      </c>
      <c r="F56" s="2">
        <f t="shared" si="0"/>
        <v>-0.13059360916819962</v>
      </c>
      <c r="G56" s="2">
        <f t="shared" si="1"/>
        <v>-5.5316082001279909E-2</v>
      </c>
      <c r="H56" s="2">
        <f t="shared" si="2"/>
        <v>7.5277527166919711E-2</v>
      </c>
      <c r="J56" s="1">
        <v>40575</v>
      </c>
      <c r="K56">
        <v>4.7009443977877297</v>
      </c>
      <c r="M56" s="1">
        <v>40575</v>
      </c>
      <c r="N56">
        <v>4.6256668706208099</v>
      </c>
    </row>
    <row r="57" spans="2:14">
      <c r="B57" s="1">
        <v>40544</v>
      </c>
      <c r="C57" s="2">
        <v>4.47777180912228</v>
      </c>
      <c r="D57" s="2">
        <v>4.5086726559339203</v>
      </c>
      <c r="E57" s="2">
        <v>4.4727380652121402</v>
      </c>
      <c r="F57" s="2">
        <f t="shared" si="0"/>
        <v>-3.0900846811640292E-2</v>
      </c>
      <c r="G57" s="2">
        <f t="shared" si="1"/>
        <v>5.0337439101397763E-3</v>
      </c>
      <c r="H57" s="2">
        <f t="shared" si="2"/>
        <v>3.5934590721780069E-2</v>
      </c>
      <c r="J57" s="1">
        <v>40544</v>
      </c>
      <c r="K57">
        <v>4.5086726559339203</v>
      </c>
      <c r="M57" s="1">
        <v>40544</v>
      </c>
      <c r="N57">
        <v>4.4727380652121402</v>
      </c>
    </row>
    <row r="58" spans="2:14">
      <c r="B58" s="1">
        <v>40513</v>
      </c>
      <c r="C58" s="2">
        <v>4.5070489226462804</v>
      </c>
      <c r="D58" s="2">
        <v>4.3965985586797096</v>
      </c>
      <c r="E58" s="2">
        <v>4.4263113947291099</v>
      </c>
      <c r="F58" s="2">
        <f t="shared" si="0"/>
        <v>0.11045036396657082</v>
      </c>
      <c r="G58" s="2">
        <f t="shared" si="1"/>
        <v>8.0737527917170482E-2</v>
      </c>
      <c r="H58" s="2">
        <f t="shared" si="2"/>
        <v>-2.9712836049400337E-2</v>
      </c>
      <c r="J58" s="1">
        <v>40513</v>
      </c>
      <c r="K58">
        <v>4.3965985586797096</v>
      </c>
      <c r="M58" s="1">
        <v>40513</v>
      </c>
      <c r="N58">
        <v>4.4263113947291099</v>
      </c>
    </row>
    <row r="59" spans="2:14">
      <c r="B59" s="1">
        <v>40483</v>
      </c>
      <c r="C59" s="2">
        <v>4.6242812881039903</v>
      </c>
      <c r="D59" s="2">
        <v>4.5257030510575804</v>
      </c>
      <c r="E59" s="2">
        <v>4.46808288934138</v>
      </c>
      <c r="F59" s="2">
        <f t="shared" si="0"/>
        <v>9.8578237046409889E-2</v>
      </c>
      <c r="G59" s="2">
        <f t="shared" si="1"/>
        <v>0.15619839876261032</v>
      </c>
      <c r="H59" s="2">
        <f t="shared" si="2"/>
        <v>5.7620161716200435E-2</v>
      </c>
      <c r="J59" s="1">
        <v>40483</v>
      </c>
      <c r="K59">
        <v>4.5257030510575804</v>
      </c>
      <c r="M59" s="1">
        <v>40483</v>
      </c>
      <c r="N59">
        <v>4.46808288934138</v>
      </c>
    </row>
    <row r="60" spans="2:14">
      <c r="B60" s="1">
        <v>40452</v>
      </c>
      <c r="C60" s="2">
        <v>4.6829538502499499</v>
      </c>
      <c r="D60" s="2">
        <v>4.6295395373089496</v>
      </c>
      <c r="E60" s="2">
        <v>4.5241107366993702</v>
      </c>
      <c r="F60" s="2">
        <f t="shared" si="0"/>
        <v>5.3414312941000297E-2</v>
      </c>
      <c r="G60" s="2">
        <f t="shared" si="1"/>
        <v>0.15884311355057967</v>
      </c>
      <c r="H60" s="2">
        <f t="shared" si="2"/>
        <v>0.10542880060957938</v>
      </c>
      <c r="J60" s="1">
        <v>40452</v>
      </c>
      <c r="K60">
        <v>4.6295395373089496</v>
      </c>
      <c r="M60" s="1">
        <v>40452</v>
      </c>
      <c r="N60">
        <v>4.5241107366993702</v>
      </c>
    </row>
    <row r="61" spans="2:14">
      <c r="B61" s="1">
        <v>40422</v>
      </c>
      <c r="C61" s="2">
        <v>4.7967452175748404</v>
      </c>
      <c r="D61" s="2">
        <v>4.7233472303049897</v>
      </c>
      <c r="E61" s="2">
        <v>4.6422108273695404</v>
      </c>
      <c r="F61" s="2">
        <f t="shared" si="0"/>
        <v>7.3397987269850695E-2</v>
      </c>
      <c r="G61" s="2">
        <f t="shared" si="1"/>
        <v>0.15453439020530002</v>
      </c>
      <c r="H61" s="2">
        <f t="shared" si="2"/>
        <v>8.1136402935449325E-2</v>
      </c>
      <c r="J61" s="1">
        <v>40422</v>
      </c>
      <c r="K61">
        <v>4.7233472303049897</v>
      </c>
      <c r="M61" s="1">
        <v>40422</v>
      </c>
      <c r="N61">
        <v>4.6422108273695404</v>
      </c>
    </row>
    <row r="62" spans="2:14">
      <c r="B62" s="1">
        <v>40391</v>
      </c>
      <c r="C62" s="2">
        <v>4.9665212100368699</v>
      </c>
      <c r="D62" s="2">
        <v>4.9026518418762004</v>
      </c>
      <c r="E62" s="2">
        <v>4.7850141216470501</v>
      </c>
      <c r="F62" s="2">
        <f t="shared" si="0"/>
        <v>6.386936816066946E-2</v>
      </c>
      <c r="G62" s="2">
        <f t="shared" si="1"/>
        <v>0.18150708838981977</v>
      </c>
      <c r="H62" s="2">
        <f t="shared" si="2"/>
        <v>0.11763772022915031</v>
      </c>
      <c r="J62" s="1">
        <v>40391</v>
      </c>
      <c r="K62">
        <v>4.9026518418762004</v>
      </c>
      <c r="M62" s="1">
        <v>40391</v>
      </c>
      <c r="N62">
        <v>4.7850141216470501</v>
      </c>
    </row>
    <row r="63" spans="2:14">
      <c r="B63" s="1">
        <v>40360</v>
      </c>
      <c r="C63" s="2">
        <v>5.1335206483369902</v>
      </c>
      <c r="D63" s="2">
        <v>5.2044462933785898</v>
      </c>
      <c r="E63" s="2">
        <v>5.0279533756399903</v>
      </c>
      <c r="F63" s="2">
        <f t="shared" si="0"/>
        <v>-7.0925645041599594E-2</v>
      </c>
      <c r="G63" s="2">
        <f t="shared" si="1"/>
        <v>0.10556727269699984</v>
      </c>
      <c r="H63" s="2">
        <f t="shared" si="2"/>
        <v>0.17649291773859943</v>
      </c>
      <c r="J63" s="1">
        <v>40360</v>
      </c>
      <c r="K63">
        <v>5.2044462933785898</v>
      </c>
      <c r="M63" s="1">
        <v>40360</v>
      </c>
      <c r="N63">
        <v>5.0279533756399903</v>
      </c>
    </row>
    <row r="64" spans="2:14">
      <c r="B64" s="1">
        <v>40330</v>
      </c>
      <c r="C64" s="2">
        <v>5.1970539533687603</v>
      </c>
      <c r="D64" s="2">
        <v>5.2384048241764596</v>
      </c>
      <c r="E64" s="2">
        <v>5.1463617792058498</v>
      </c>
      <c r="F64" s="2">
        <f t="shared" si="0"/>
        <v>-4.135087080769928E-2</v>
      </c>
      <c r="G64" s="2">
        <f t="shared" si="1"/>
        <v>5.0692174162910497E-2</v>
      </c>
      <c r="H64" s="2">
        <f t="shared" si="2"/>
        <v>9.2043044970609778E-2</v>
      </c>
      <c r="J64" s="1">
        <v>40330</v>
      </c>
      <c r="K64">
        <v>5.2384048241764596</v>
      </c>
      <c r="M64" s="1">
        <v>40330</v>
      </c>
      <c r="N64">
        <v>5.1463617792058498</v>
      </c>
    </row>
    <row r="65" spans="2:14">
      <c r="B65" s="1">
        <v>40299</v>
      </c>
      <c r="C65" s="2">
        <v>5.1822039110491298</v>
      </c>
      <c r="D65" s="2">
        <v>5.1723318777901603</v>
      </c>
      <c r="E65" s="2">
        <v>5.1203829978817703</v>
      </c>
      <c r="F65" s="2">
        <f t="shared" si="0"/>
        <v>9.8720332589694593E-3</v>
      </c>
      <c r="G65" s="2">
        <f t="shared" si="1"/>
        <v>6.1820913167359492E-2</v>
      </c>
      <c r="H65" s="2">
        <f t="shared" si="2"/>
        <v>5.1948879908390033E-2</v>
      </c>
      <c r="J65" s="1">
        <v>40299</v>
      </c>
      <c r="K65">
        <v>5.1723318777901603</v>
      </c>
      <c r="M65" s="1">
        <v>40299</v>
      </c>
      <c r="N65">
        <v>5.1203829978817703</v>
      </c>
    </row>
    <row r="66" spans="2:14">
      <c r="B66" s="1">
        <v>40269</v>
      </c>
      <c r="C66" s="2">
        <v>5.1143490178859601</v>
      </c>
      <c r="D66" s="2">
        <v>5.2625221084983602</v>
      </c>
      <c r="E66" s="2">
        <v>5.1197191823873904</v>
      </c>
      <c r="F66" s="2">
        <f t="shared" si="0"/>
        <v>-0.14817309061240014</v>
      </c>
      <c r="G66" s="2">
        <f t="shared" si="1"/>
        <v>-5.3701645014303523E-3</v>
      </c>
      <c r="H66" s="2">
        <f t="shared" si="2"/>
        <v>0.14280292611096979</v>
      </c>
      <c r="J66" s="1">
        <v>40269</v>
      </c>
      <c r="K66">
        <v>5.2625221084983602</v>
      </c>
      <c r="M66" s="1">
        <v>40269</v>
      </c>
      <c r="N66">
        <v>5.1197191823873904</v>
      </c>
    </row>
    <row r="67" spans="2:14">
      <c r="B67" s="1">
        <v>40238</v>
      </c>
      <c r="C67" s="2">
        <v>5.0940064737528603</v>
      </c>
      <c r="D67" s="2">
        <v>5.1536480736346402</v>
      </c>
      <c r="E67" s="2">
        <v>5.0761830844653897</v>
      </c>
      <c r="F67" s="2">
        <f t="shared" si="0"/>
        <v>-5.9641599881779861E-2</v>
      </c>
      <c r="G67" s="2">
        <f t="shared" si="1"/>
        <v>1.7823389287470626E-2</v>
      </c>
      <c r="H67" s="2">
        <f t="shared" si="2"/>
        <v>7.7464989169250487E-2</v>
      </c>
      <c r="J67" s="1">
        <v>40238</v>
      </c>
      <c r="K67">
        <v>5.1536480736346402</v>
      </c>
      <c r="M67" s="1">
        <v>40238</v>
      </c>
      <c r="N67">
        <v>5.0761830844653897</v>
      </c>
    </row>
    <row r="68" spans="2:14">
      <c r="B68" s="1">
        <v>40210</v>
      </c>
      <c r="C68" s="2">
        <v>5.0325290775223701</v>
      </c>
      <c r="D68" s="2">
        <v>5.0033117888577898</v>
      </c>
      <c r="E68" s="2">
        <v>5.0031136856172704</v>
      </c>
      <c r="F68" s="2">
        <f t="shared" si="0"/>
        <v>2.9217288664580288E-2</v>
      </c>
      <c r="G68" s="2">
        <f t="shared" si="1"/>
        <v>2.9415391905099675E-2</v>
      </c>
      <c r="H68" s="2">
        <f t="shared" si="2"/>
        <v>1.9810324051938721E-4</v>
      </c>
      <c r="J68" s="1">
        <v>40210</v>
      </c>
      <c r="K68">
        <v>5.0033117888577898</v>
      </c>
      <c r="M68" s="1">
        <v>40210</v>
      </c>
      <c r="N68">
        <v>5.0031136856172704</v>
      </c>
    </row>
    <row r="69" spans="2:14">
      <c r="B69" s="1">
        <v>40179</v>
      </c>
      <c r="C69" s="2">
        <v>5.0819040507103104</v>
      </c>
      <c r="D69" s="2">
        <v>5.0607206510651999</v>
      </c>
      <c r="E69" s="2">
        <v>5.0065109001000803</v>
      </c>
      <c r="F69" s="2">
        <f t="shared" ref="F69:F129" si="3">C69-D69</f>
        <v>2.1183399645110512E-2</v>
      </c>
      <c r="G69" s="2">
        <f t="shared" ref="G69:G129" si="4">C69-E69</f>
        <v>7.5393150610230109E-2</v>
      </c>
      <c r="H69" s="2">
        <f t="shared" ref="H69:H129" si="5">D69-E69</f>
        <v>5.4209750965119596E-2</v>
      </c>
      <c r="J69" s="1">
        <v>40179</v>
      </c>
      <c r="K69">
        <v>5.0607206510651999</v>
      </c>
      <c r="M69" s="1">
        <v>40179</v>
      </c>
      <c r="N69">
        <v>5.0065109001000803</v>
      </c>
    </row>
    <row r="70" spans="2:14">
      <c r="B70" s="1">
        <v>40148</v>
      </c>
      <c r="C70" s="2">
        <v>5.0601004655389001</v>
      </c>
      <c r="D70" s="2">
        <v>5.0894250837878499</v>
      </c>
      <c r="E70" s="2">
        <v>5.0281029458344397</v>
      </c>
      <c r="F70" s="2">
        <f t="shared" si="3"/>
        <v>-2.9324618248949719E-2</v>
      </c>
      <c r="G70" s="2">
        <f t="shared" si="4"/>
        <v>3.1997519704460409E-2</v>
      </c>
      <c r="H70" s="2">
        <f t="shared" si="5"/>
        <v>6.1322137953410127E-2</v>
      </c>
      <c r="J70" s="1">
        <v>40148</v>
      </c>
      <c r="K70">
        <v>5.0894250837878499</v>
      </c>
      <c r="M70" s="1">
        <v>40148</v>
      </c>
      <c r="N70">
        <v>5.0281029458344397</v>
      </c>
    </row>
    <row r="71" spans="2:14">
      <c r="B71" s="1">
        <v>40118</v>
      </c>
      <c r="C71" s="2">
        <v>5.1270693264062697</v>
      </c>
      <c r="D71" s="2">
        <v>5.0526037520760498</v>
      </c>
      <c r="E71" s="2">
        <v>5.1209082438209101</v>
      </c>
      <c r="F71" s="2">
        <f t="shared" si="3"/>
        <v>7.446557433021983E-2</v>
      </c>
      <c r="G71" s="2">
        <f t="shared" si="4"/>
        <v>6.161082585359523E-3</v>
      </c>
      <c r="H71" s="2">
        <f t="shared" si="5"/>
        <v>-6.8304491744860307E-2</v>
      </c>
      <c r="J71" s="1">
        <v>40118</v>
      </c>
      <c r="K71">
        <v>5.0526037520760498</v>
      </c>
      <c r="M71" s="1">
        <v>40118</v>
      </c>
      <c r="N71">
        <v>5.1209082438209101</v>
      </c>
    </row>
    <row r="72" spans="2:14">
      <c r="B72" s="1">
        <v>40087</v>
      </c>
      <c r="C72" s="2">
        <v>5.0436840369302098</v>
      </c>
      <c r="D72" s="2">
        <v>5.2545075049288199</v>
      </c>
      <c r="E72" s="2">
        <v>5.2362539252109102</v>
      </c>
      <c r="F72" s="2">
        <f t="shared" si="3"/>
        <v>-0.21082346799861007</v>
      </c>
      <c r="G72" s="2">
        <f t="shared" si="4"/>
        <v>-0.19256988828070032</v>
      </c>
      <c r="H72" s="2">
        <f t="shared" si="5"/>
        <v>1.8253579717909751E-2</v>
      </c>
      <c r="J72" s="1">
        <v>40087</v>
      </c>
      <c r="K72">
        <v>5.2545075049288199</v>
      </c>
      <c r="M72" s="1">
        <v>40087</v>
      </c>
      <c r="N72">
        <v>5.2362539252109102</v>
      </c>
    </row>
    <row r="73" spans="2:14">
      <c r="B73" s="1">
        <v>40057</v>
      </c>
      <c r="C73" s="2">
        <v>5.0708901929194203</v>
      </c>
      <c r="D73" s="2">
        <v>5.3101678904135801</v>
      </c>
      <c r="E73" s="2">
        <v>5.3883722712743003</v>
      </c>
      <c r="F73" s="2">
        <f t="shared" si="3"/>
        <v>-0.23927769749415972</v>
      </c>
      <c r="G73" s="2">
        <f t="shared" si="4"/>
        <v>-0.31748207835487996</v>
      </c>
      <c r="H73" s="2">
        <f t="shared" si="5"/>
        <v>-7.8204380860720235E-2</v>
      </c>
      <c r="J73" s="1">
        <v>40057</v>
      </c>
      <c r="K73">
        <v>5.3101678904135801</v>
      </c>
      <c r="M73" s="1">
        <v>40057</v>
      </c>
      <c r="N73">
        <v>5.3883722712743003</v>
      </c>
    </row>
    <row r="74" spans="2:14">
      <c r="B74" s="1">
        <v>40026</v>
      </c>
      <c r="C74" s="2">
        <v>4.9170217745910296</v>
      </c>
      <c r="D74" s="2">
        <v>5.0901129423818601</v>
      </c>
      <c r="E74" s="2">
        <v>5.0821268609385104</v>
      </c>
      <c r="F74" s="2">
        <f t="shared" si="3"/>
        <v>-0.17309116779083045</v>
      </c>
      <c r="G74" s="2">
        <f t="shared" si="4"/>
        <v>-0.16510508634748078</v>
      </c>
      <c r="H74" s="2">
        <f t="shared" si="5"/>
        <v>7.9860814433496685E-3</v>
      </c>
      <c r="J74" s="1">
        <v>40026</v>
      </c>
      <c r="K74">
        <v>5.0901129423818601</v>
      </c>
      <c r="M74" s="1">
        <v>40026</v>
      </c>
      <c r="N74">
        <v>5.0821268609385104</v>
      </c>
    </row>
    <row r="75" spans="2:14">
      <c r="B75" s="1">
        <v>39995</v>
      </c>
      <c r="C75" s="2">
        <v>4.8347262351269</v>
      </c>
      <c r="D75" s="2">
        <v>4.9031303299357702</v>
      </c>
      <c r="E75" s="2">
        <v>4.9194447639263403</v>
      </c>
      <c r="F75" s="2">
        <f t="shared" si="3"/>
        <v>-6.8404094808870219E-2</v>
      </c>
      <c r="G75" s="2">
        <f t="shared" si="4"/>
        <v>-8.4718528799440307E-2</v>
      </c>
      <c r="H75" s="2">
        <f t="shared" si="5"/>
        <v>-1.6314433990570087E-2</v>
      </c>
      <c r="J75" s="1">
        <v>39995</v>
      </c>
      <c r="K75">
        <v>4.9031303299357702</v>
      </c>
      <c r="M75" s="1">
        <v>39995</v>
      </c>
      <c r="N75">
        <v>4.9194447639263403</v>
      </c>
    </row>
    <row r="76" spans="2:14">
      <c r="B76" s="1">
        <v>39965</v>
      </c>
      <c r="C76" s="2">
        <v>4.8436569444591697</v>
      </c>
      <c r="D76" s="2">
        <v>5.02641150947629</v>
      </c>
      <c r="E76" s="2">
        <v>5.0433127624664502</v>
      </c>
      <c r="F76" s="2">
        <f t="shared" si="3"/>
        <v>-0.18275456501712029</v>
      </c>
      <c r="G76" s="2">
        <f t="shared" si="4"/>
        <v>-0.19965581800728049</v>
      </c>
      <c r="H76" s="2">
        <f t="shared" si="5"/>
        <v>-1.6901252990160209E-2</v>
      </c>
      <c r="J76" s="1">
        <v>39965</v>
      </c>
      <c r="K76">
        <v>5.02641150947629</v>
      </c>
      <c r="M76" s="1">
        <v>39965</v>
      </c>
      <c r="N76">
        <v>5.0433127624664502</v>
      </c>
    </row>
    <row r="77" spans="2:14">
      <c r="B77" s="1">
        <v>39934</v>
      </c>
      <c r="C77" s="2">
        <v>5.0053142767531096</v>
      </c>
      <c r="D77" s="2">
        <v>5.5034726021122697</v>
      </c>
      <c r="E77" s="2">
        <v>5.4341002241852001</v>
      </c>
      <c r="F77" s="2">
        <f t="shared" si="3"/>
        <v>-0.49815832535916016</v>
      </c>
      <c r="G77" s="2">
        <f t="shared" si="4"/>
        <v>-0.42878594743209053</v>
      </c>
      <c r="H77" s="2">
        <f t="shared" si="5"/>
        <v>6.9372377927069628E-2</v>
      </c>
      <c r="J77" s="1">
        <v>39934</v>
      </c>
      <c r="K77">
        <v>5.5034726021122697</v>
      </c>
      <c r="M77" s="1">
        <v>39934</v>
      </c>
      <c r="N77">
        <v>5.4341002241852001</v>
      </c>
    </row>
    <row r="78" spans="2:14">
      <c r="B78" s="1">
        <v>39904</v>
      </c>
      <c r="C78" s="2">
        <v>4.9033025170080702</v>
      </c>
      <c r="D78" s="2">
        <v>4.9790307716941102</v>
      </c>
      <c r="E78" s="2">
        <v>4.95152249298161</v>
      </c>
      <c r="F78" s="2">
        <f t="shared" si="3"/>
        <v>-7.5728254686040053E-2</v>
      </c>
      <c r="G78" s="2">
        <f t="shared" si="4"/>
        <v>-4.8219975973539775E-2</v>
      </c>
      <c r="H78" s="2">
        <f t="shared" si="5"/>
        <v>2.7508278712500278E-2</v>
      </c>
      <c r="J78" s="1">
        <v>39904</v>
      </c>
      <c r="K78">
        <v>4.9790307716941102</v>
      </c>
      <c r="M78" s="1">
        <v>39904</v>
      </c>
      <c r="N78">
        <v>4.95152249298161</v>
      </c>
    </row>
    <row r="79" spans="2:14">
      <c r="B79" s="1">
        <v>39873</v>
      </c>
      <c r="C79" s="2">
        <v>4.9372645695745003</v>
      </c>
      <c r="D79" s="2">
        <v>4.9859417574931797</v>
      </c>
      <c r="E79" s="2">
        <v>4.9508646158068697</v>
      </c>
      <c r="F79" s="2">
        <f t="shared" si="3"/>
        <v>-4.8677187918679365E-2</v>
      </c>
      <c r="G79" s="2">
        <f t="shared" si="4"/>
        <v>-1.3600046232369323E-2</v>
      </c>
      <c r="H79" s="2">
        <f t="shared" si="5"/>
        <v>3.5077141686310043E-2</v>
      </c>
      <c r="J79" s="1">
        <v>39873</v>
      </c>
      <c r="K79">
        <v>4.9859417574931797</v>
      </c>
      <c r="M79" s="1">
        <v>39873</v>
      </c>
      <c r="N79">
        <v>4.9508646158068697</v>
      </c>
    </row>
    <row r="80" spans="2:14">
      <c r="B80" s="1">
        <v>39845</v>
      </c>
      <c r="C80" s="2">
        <v>4.9958465711364504</v>
      </c>
      <c r="D80" s="2">
        <v>4.8140476772344503</v>
      </c>
      <c r="E80" s="2">
        <v>4.9641054943975496</v>
      </c>
      <c r="F80" s="2">
        <f t="shared" si="3"/>
        <v>0.1817988939020001</v>
      </c>
      <c r="G80" s="2">
        <f t="shared" si="4"/>
        <v>3.1741076738900809E-2</v>
      </c>
      <c r="H80" s="2">
        <f t="shared" si="5"/>
        <v>-0.15005781716309929</v>
      </c>
      <c r="J80" s="1">
        <v>39845</v>
      </c>
      <c r="K80">
        <v>4.8140476772344503</v>
      </c>
      <c r="M80" s="1">
        <v>39845</v>
      </c>
      <c r="N80">
        <v>4.9641054943975496</v>
      </c>
    </row>
    <row r="81" spans="2:14">
      <c r="B81" s="1">
        <v>39814</v>
      </c>
      <c r="C81" s="2">
        <v>5.4116982160407501</v>
      </c>
      <c r="D81" s="2">
        <v>5.5879429462892798</v>
      </c>
      <c r="E81" s="2">
        <v>5.6622577166640902</v>
      </c>
      <c r="F81" s="2">
        <f t="shared" si="3"/>
        <v>-0.17624473024852971</v>
      </c>
      <c r="G81" s="2">
        <f t="shared" si="4"/>
        <v>-0.25055950062334009</v>
      </c>
      <c r="H81" s="2">
        <f t="shared" si="5"/>
        <v>-7.4314770374810379E-2</v>
      </c>
      <c r="J81" s="1">
        <v>39814</v>
      </c>
      <c r="K81">
        <v>5.5879429462892798</v>
      </c>
      <c r="M81" s="1">
        <v>39814</v>
      </c>
      <c r="N81">
        <v>5.6622577166640902</v>
      </c>
    </row>
    <row r="82" spans="2:14">
      <c r="B82" s="1">
        <v>39783</v>
      </c>
      <c r="C82" s="2">
        <v>5.95114825620941</v>
      </c>
      <c r="D82" s="2">
        <v>6.0305100587502203</v>
      </c>
      <c r="E82" s="2">
        <v>5.8596863041649598</v>
      </c>
      <c r="F82" s="2">
        <f t="shared" si="3"/>
        <v>-7.9361802540810267E-2</v>
      </c>
      <c r="G82" s="2">
        <f t="shared" si="4"/>
        <v>9.1461952044450179E-2</v>
      </c>
      <c r="H82" s="2">
        <f t="shared" si="5"/>
        <v>0.17082375458526045</v>
      </c>
      <c r="J82" s="1">
        <v>39783</v>
      </c>
      <c r="K82">
        <v>6.0305100587502203</v>
      </c>
      <c r="M82" s="1">
        <v>39783</v>
      </c>
      <c r="N82">
        <v>5.8596863041649598</v>
      </c>
    </row>
    <row r="83" spans="2:14">
      <c r="B83" s="1">
        <v>39753</v>
      </c>
      <c r="C83" s="2">
        <v>6.1086940972447898</v>
      </c>
      <c r="D83" s="2">
        <v>6.1393205362583698</v>
      </c>
      <c r="E83" s="2">
        <v>6.0422214557060299</v>
      </c>
      <c r="F83" s="2">
        <f t="shared" si="3"/>
        <v>-3.0626439013579976E-2</v>
      </c>
      <c r="G83" s="2">
        <f t="shared" si="4"/>
        <v>6.647264153875998E-2</v>
      </c>
      <c r="H83" s="2">
        <f t="shared" si="5"/>
        <v>9.7099080552339956E-2</v>
      </c>
      <c r="J83" s="1">
        <v>39753</v>
      </c>
      <c r="K83">
        <v>6.1393205362583698</v>
      </c>
      <c r="M83" s="1">
        <v>39753</v>
      </c>
      <c r="N83">
        <v>6.0422214557060299</v>
      </c>
    </row>
    <row r="84" spans="2:14">
      <c r="B84" s="1">
        <v>39722</v>
      </c>
      <c r="C84" s="2">
        <v>6.1605734440785103</v>
      </c>
      <c r="D84" s="2">
        <v>6.3360286152089502</v>
      </c>
      <c r="E84" s="2">
        <v>6.2080239949810698</v>
      </c>
      <c r="F84" s="2">
        <f t="shared" si="3"/>
        <v>-0.17545517113043996</v>
      </c>
      <c r="G84" s="2">
        <f t="shared" si="4"/>
        <v>-4.7450550902559563E-2</v>
      </c>
      <c r="H84" s="2">
        <f t="shared" si="5"/>
        <v>0.12800462022788039</v>
      </c>
      <c r="J84" s="1">
        <v>39722</v>
      </c>
      <c r="K84">
        <v>6.3360286152089502</v>
      </c>
      <c r="M84" s="1">
        <v>39722</v>
      </c>
      <c r="N84">
        <v>6.2080239949810698</v>
      </c>
    </row>
    <row r="85" spans="2:14">
      <c r="B85" s="1">
        <v>39692</v>
      </c>
      <c r="C85" s="2">
        <v>6.3731672691902599</v>
      </c>
      <c r="D85" s="2">
        <v>6.65090654381852</v>
      </c>
      <c r="E85" s="2">
        <v>6.4089655022722702</v>
      </c>
      <c r="F85" s="2">
        <f t="shared" si="3"/>
        <v>-0.27773927462826009</v>
      </c>
      <c r="G85" s="2">
        <f t="shared" si="4"/>
        <v>-3.5798233082010356E-2</v>
      </c>
      <c r="H85" s="2">
        <f t="shared" si="5"/>
        <v>0.24194104154624974</v>
      </c>
      <c r="J85" s="1">
        <v>39692</v>
      </c>
      <c r="K85">
        <v>6.65090654381852</v>
      </c>
      <c r="M85" s="1">
        <v>39692</v>
      </c>
      <c r="N85">
        <v>6.4089655022722702</v>
      </c>
    </row>
    <row r="86" spans="2:14">
      <c r="B86" s="1">
        <v>39661</v>
      </c>
      <c r="C86" s="2">
        <v>6.1738686786969001</v>
      </c>
      <c r="D86" s="2">
        <v>6.55888596105987</v>
      </c>
      <c r="E86" s="2">
        <v>6.2387191553264101</v>
      </c>
      <c r="F86" s="2">
        <f t="shared" si="3"/>
        <v>-0.38501728236296984</v>
      </c>
      <c r="G86" s="2">
        <f t="shared" si="4"/>
        <v>-6.4850476629509934E-2</v>
      </c>
      <c r="H86" s="2">
        <f t="shared" si="5"/>
        <v>0.3201668057334599</v>
      </c>
      <c r="J86" s="1">
        <v>39661</v>
      </c>
      <c r="K86">
        <v>6.55888596105987</v>
      </c>
      <c r="M86" s="1">
        <v>39661</v>
      </c>
      <c r="N86">
        <v>6.2387191553264101</v>
      </c>
    </row>
    <row r="87" spans="2:14">
      <c r="B87" s="1">
        <v>39630</v>
      </c>
      <c r="C87" s="2">
        <v>6.0117805367643102</v>
      </c>
      <c r="D87" s="2">
        <v>6.5773430662026398</v>
      </c>
      <c r="E87" s="2">
        <v>6.0218748192218401</v>
      </c>
      <c r="F87" s="2">
        <f t="shared" si="3"/>
        <v>-0.56556252943832952</v>
      </c>
      <c r="G87" s="2">
        <f t="shared" si="4"/>
        <v>-1.0094282457529857E-2</v>
      </c>
      <c r="H87" s="2">
        <f t="shared" si="5"/>
        <v>0.55546824698079966</v>
      </c>
      <c r="J87" s="1">
        <v>39630</v>
      </c>
      <c r="K87">
        <v>6.5773430662026398</v>
      </c>
      <c r="M87" s="1">
        <v>39630</v>
      </c>
      <c r="N87">
        <v>6.0218748192218401</v>
      </c>
    </row>
    <row r="88" spans="2:14">
      <c r="B88" s="1">
        <v>39600</v>
      </c>
      <c r="C88" s="2">
        <v>5.8879216459290902</v>
      </c>
      <c r="D88" s="2">
        <v>6.031624251497</v>
      </c>
      <c r="E88" s="2">
        <v>5.9720228438158003</v>
      </c>
      <c r="F88" s="2">
        <f t="shared" si="3"/>
        <v>-0.14370260556790981</v>
      </c>
      <c r="G88" s="2">
        <f t="shared" si="4"/>
        <v>-8.4101197886710111E-2</v>
      </c>
      <c r="H88" s="2">
        <f t="shared" si="5"/>
        <v>5.9601407681199703E-2</v>
      </c>
      <c r="J88" s="1">
        <v>39600</v>
      </c>
      <c r="K88">
        <v>6.031624251497</v>
      </c>
      <c r="M88" s="1">
        <v>39600</v>
      </c>
      <c r="N88">
        <v>5.9720228438158003</v>
      </c>
    </row>
    <row r="89" spans="2:14">
      <c r="B89" s="1">
        <v>39569</v>
      </c>
      <c r="C89" s="2">
        <v>5.8042207761092701</v>
      </c>
      <c r="D89" s="2">
        <v>6.0359561667382797</v>
      </c>
      <c r="E89" s="2">
        <v>5.8368842036889896</v>
      </c>
      <c r="F89" s="2">
        <f t="shared" si="3"/>
        <v>-0.23173539062900961</v>
      </c>
      <c r="G89" s="2">
        <f t="shared" si="4"/>
        <v>-3.2663427579719517E-2</v>
      </c>
      <c r="H89" s="2">
        <f t="shared" si="5"/>
        <v>0.19907196304929009</v>
      </c>
      <c r="J89" s="1">
        <v>39569</v>
      </c>
      <c r="K89">
        <v>6.0359561667382797</v>
      </c>
      <c r="M89" s="1">
        <v>39569</v>
      </c>
      <c r="N89">
        <v>5.8368842036889896</v>
      </c>
    </row>
    <row r="90" spans="2:14">
      <c r="B90" s="1">
        <v>39539</v>
      </c>
      <c r="C90" s="2">
        <v>5.7637600292244597</v>
      </c>
      <c r="D90" s="2">
        <v>5.9791683995526803</v>
      </c>
      <c r="E90" s="2">
        <v>5.7104180355247598</v>
      </c>
      <c r="F90" s="2">
        <f t="shared" si="3"/>
        <v>-0.21540837032822058</v>
      </c>
      <c r="G90" s="2">
        <f t="shared" si="4"/>
        <v>5.3341993699699941E-2</v>
      </c>
      <c r="H90" s="2">
        <f t="shared" si="5"/>
        <v>0.26875036402792052</v>
      </c>
      <c r="J90" s="1">
        <v>39539</v>
      </c>
      <c r="K90">
        <v>5.9791683995526803</v>
      </c>
      <c r="M90" s="1">
        <v>39539</v>
      </c>
      <c r="N90">
        <v>5.7104180355247598</v>
      </c>
    </row>
    <row r="91" spans="2:14">
      <c r="B91" s="1">
        <v>39508</v>
      </c>
      <c r="C91" s="2">
        <v>5.7435418841214796</v>
      </c>
      <c r="D91" s="2">
        <v>5.9431939282981698</v>
      </c>
      <c r="E91" s="2">
        <v>5.7260938763857698</v>
      </c>
      <c r="F91" s="2">
        <f t="shared" si="3"/>
        <v>-0.19965204417669025</v>
      </c>
      <c r="G91" s="2">
        <f t="shared" si="4"/>
        <v>1.7448007735709758E-2</v>
      </c>
      <c r="H91" s="2">
        <f t="shared" si="5"/>
        <v>0.2171000519124</v>
      </c>
      <c r="J91" s="1">
        <v>39508</v>
      </c>
      <c r="K91">
        <v>5.9431939282981698</v>
      </c>
      <c r="M91" s="1">
        <v>39508</v>
      </c>
      <c r="N91">
        <v>5.7260938763857698</v>
      </c>
    </row>
    <row r="92" spans="2:14">
      <c r="B92" s="1">
        <v>39479</v>
      </c>
      <c r="C92" s="2">
        <v>5.9365804213282498</v>
      </c>
      <c r="D92" s="2">
        <v>6.1433166093110403</v>
      </c>
      <c r="E92" s="2">
        <v>5.9576782218423299</v>
      </c>
      <c r="F92" s="2">
        <f t="shared" si="3"/>
        <v>-0.20673618798279048</v>
      </c>
      <c r="G92" s="2">
        <f t="shared" si="4"/>
        <v>-2.1097800514080056E-2</v>
      </c>
      <c r="H92" s="2">
        <f t="shared" si="5"/>
        <v>0.18563838746871042</v>
      </c>
      <c r="J92" s="1">
        <v>39479</v>
      </c>
      <c r="K92">
        <v>6.1433166093110403</v>
      </c>
      <c r="M92" s="1">
        <v>39479</v>
      </c>
      <c r="N92">
        <v>5.9576782218423299</v>
      </c>
    </row>
    <row r="93" spans="2:14">
      <c r="B93" s="1">
        <v>39448</v>
      </c>
      <c r="C93" s="2">
        <v>6.1982599615576399</v>
      </c>
      <c r="D93" s="2">
        <v>6.3152421891756596</v>
      </c>
      <c r="E93" s="2">
        <v>6.2558018281549401</v>
      </c>
      <c r="F93" s="2">
        <f t="shared" si="3"/>
        <v>-0.11698222761801969</v>
      </c>
      <c r="G93" s="2">
        <f t="shared" si="4"/>
        <v>-5.7541866597300206E-2</v>
      </c>
      <c r="H93" s="2">
        <f t="shared" si="5"/>
        <v>5.9440361020719479E-2</v>
      </c>
      <c r="J93" s="1">
        <v>39448</v>
      </c>
      <c r="K93">
        <v>6.3152421891756596</v>
      </c>
      <c r="M93" s="1">
        <v>39448</v>
      </c>
      <c r="N93">
        <v>6.2558018281549401</v>
      </c>
    </row>
    <row r="94" spans="2:14">
      <c r="B94" s="1">
        <v>39417</v>
      </c>
      <c r="C94" s="2">
        <v>6.3394385012274101</v>
      </c>
      <c r="D94" s="2">
        <v>6.38327217239536</v>
      </c>
      <c r="E94" s="2">
        <v>6.3910935421455797</v>
      </c>
      <c r="F94" s="2">
        <f t="shared" si="3"/>
        <v>-4.3833671167949895E-2</v>
      </c>
      <c r="G94" s="2">
        <f t="shared" si="4"/>
        <v>-5.1655040918169526E-2</v>
      </c>
      <c r="H94" s="2">
        <f t="shared" si="5"/>
        <v>-7.8213697502196311E-3</v>
      </c>
      <c r="J94" s="1">
        <v>39417</v>
      </c>
      <c r="K94">
        <v>6.38327217239536</v>
      </c>
      <c r="M94" s="1">
        <v>39417</v>
      </c>
      <c r="N94">
        <v>6.3910935421455797</v>
      </c>
    </row>
    <row r="95" spans="2:14">
      <c r="B95" s="1">
        <v>39387</v>
      </c>
      <c r="C95" s="2">
        <v>6.46532332553672</v>
      </c>
      <c r="D95" s="2">
        <v>6.4972427317042101</v>
      </c>
      <c r="E95" s="2">
        <v>6.4735852917291901</v>
      </c>
      <c r="F95" s="2">
        <f t="shared" si="3"/>
        <v>-3.1919406167490116E-2</v>
      </c>
      <c r="G95" s="2">
        <f t="shared" si="4"/>
        <v>-8.2619661924701049E-3</v>
      </c>
      <c r="H95" s="2">
        <f t="shared" si="5"/>
        <v>2.3657439975020012E-2</v>
      </c>
      <c r="J95" s="1">
        <v>39387</v>
      </c>
      <c r="K95">
        <v>6.4972427317042101</v>
      </c>
      <c r="M95" s="1">
        <v>39387</v>
      </c>
      <c r="N95">
        <v>6.4735852917291901</v>
      </c>
    </row>
    <row r="96" spans="2:14">
      <c r="B96" s="1">
        <v>39356</v>
      </c>
      <c r="C96" s="2">
        <v>6.5700777738285403</v>
      </c>
      <c r="D96" s="2">
        <v>6.6248504403212802</v>
      </c>
      <c r="E96" s="2">
        <v>6.60761287553479</v>
      </c>
      <c r="F96" s="2">
        <f t="shared" si="3"/>
        <v>-5.477266649273993E-2</v>
      </c>
      <c r="G96" s="2">
        <f t="shared" si="4"/>
        <v>-3.7535101706249741E-2</v>
      </c>
      <c r="H96" s="2">
        <f t="shared" si="5"/>
        <v>1.7237564786490189E-2</v>
      </c>
      <c r="J96" s="1">
        <v>39356</v>
      </c>
      <c r="K96">
        <v>6.6248504403212802</v>
      </c>
      <c r="M96" s="1">
        <v>39356</v>
      </c>
      <c r="N96">
        <v>6.60761287553479</v>
      </c>
    </row>
    <row r="97" spans="2:14">
      <c r="B97" s="1">
        <v>39326</v>
      </c>
      <c r="C97" s="2">
        <v>6.5991799225757699</v>
      </c>
      <c r="D97" s="2">
        <v>6.7767987384436097</v>
      </c>
      <c r="E97" s="2">
        <v>6.6516552376793499</v>
      </c>
      <c r="F97" s="2">
        <f t="shared" si="3"/>
        <v>-0.17761881586783979</v>
      </c>
      <c r="G97" s="2">
        <f t="shared" si="4"/>
        <v>-5.2475315103579945E-2</v>
      </c>
      <c r="H97" s="2">
        <f t="shared" si="5"/>
        <v>0.12514350076425984</v>
      </c>
      <c r="J97" s="1">
        <v>39326</v>
      </c>
      <c r="K97">
        <v>6.7767987384436097</v>
      </c>
      <c r="M97" s="1">
        <v>39326</v>
      </c>
      <c r="N97">
        <v>6.6516552376793499</v>
      </c>
    </row>
    <row r="98" spans="2:14">
      <c r="B98" s="1">
        <v>39295</v>
      </c>
      <c r="C98" s="2">
        <v>6.5467608392706502</v>
      </c>
      <c r="D98" s="2">
        <v>6.7227397056198903</v>
      </c>
      <c r="E98" s="2">
        <v>6.5834400513605198</v>
      </c>
      <c r="F98" s="2">
        <f t="shared" si="3"/>
        <v>-0.17597886634924009</v>
      </c>
      <c r="G98" s="2">
        <f t="shared" si="4"/>
        <v>-3.6679212089869573E-2</v>
      </c>
      <c r="H98" s="2">
        <f t="shared" si="5"/>
        <v>0.13929965425937052</v>
      </c>
      <c r="J98" s="1">
        <v>39295</v>
      </c>
      <c r="K98">
        <v>6.7227397056198903</v>
      </c>
      <c r="M98" s="1">
        <v>39295</v>
      </c>
      <c r="N98">
        <v>6.5834400513605198</v>
      </c>
    </row>
    <row r="99" spans="2:14">
      <c r="B99" s="1">
        <v>39264</v>
      </c>
      <c r="C99" s="2">
        <v>6.3439060133520604</v>
      </c>
      <c r="D99" s="2">
        <v>6.6672712474198104</v>
      </c>
      <c r="E99" s="2">
        <v>6.3684215365538597</v>
      </c>
      <c r="F99" s="2">
        <f t="shared" si="3"/>
        <v>-0.32336523406774997</v>
      </c>
      <c r="G99" s="2">
        <f t="shared" si="4"/>
        <v>-2.4515523201799283E-2</v>
      </c>
      <c r="H99" s="2">
        <f t="shared" si="5"/>
        <v>0.29884971086595069</v>
      </c>
      <c r="J99" s="1">
        <v>39264</v>
      </c>
      <c r="K99">
        <v>6.6672712474198104</v>
      </c>
      <c r="M99" s="1">
        <v>39264</v>
      </c>
      <c r="N99">
        <v>6.3684215365538597</v>
      </c>
    </row>
    <row r="100" spans="2:14">
      <c r="B100" s="1">
        <v>39234</v>
      </c>
      <c r="C100" s="2">
        <v>6.2438765224041397</v>
      </c>
      <c r="D100" s="2">
        <v>6.2402690361093898</v>
      </c>
      <c r="E100" s="2">
        <v>6.2258449290489803</v>
      </c>
      <c r="F100" s="2">
        <f t="shared" si="3"/>
        <v>3.6074862947499398E-3</v>
      </c>
      <c r="G100" s="2">
        <f t="shared" si="4"/>
        <v>1.8031593355159359E-2</v>
      </c>
      <c r="H100" s="2">
        <f t="shared" si="5"/>
        <v>1.4424107060409419E-2</v>
      </c>
      <c r="J100" s="1">
        <v>39234</v>
      </c>
      <c r="K100">
        <v>6.2402690361093898</v>
      </c>
      <c r="M100" s="1">
        <v>39234</v>
      </c>
      <c r="N100">
        <v>6.2258449290489803</v>
      </c>
    </row>
    <row r="101" spans="2:14">
      <c r="B101" s="1">
        <v>39203</v>
      </c>
      <c r="C101" s="2">
        <v>6.1921209476416399</v>
      </c>
      <c r="D101" s="2">
        <v>6.1389123088444197</v>
      </c>
      <c r="E101" s="2">
        <v>6.2318888958699299</v>
      </c>
      <c r="F101" s="2">
        <f t="shared" si="3"/>
        <v>5.3208638797220154E-2</v>
      </c>
      <c r="G101" s="2">
        <f t="shared" si="4"/>
        <v>-3.9767948228289995E-2</v>
      </c>
      <c r="H101" s="2">
        <f t="shared" si="5"/>
        <v>-9.2976587025510149E-2</v>
      </c>
      <c r="J101" s="1">
        <v>39203</v>
      </c>
      <c r="K101">
        <v>6.1389123088444197</v>
      </c>
      <c r="M101" s="1">
        <v>39203</v>
      </c>
      <c r="N101">
        <v>6.2318888958699299</v>
      </c>
    </row>
    <row r="102" spans="2:14">
      <c r="B102" s="1">
        <v>39173</v>
      </c>
      <c r="C102" s="2">
        <v>6.2324641450380804</v>
      </c>
      <c r="D102" s="2">
        <v>6.4147007427720597</v>
      </c>
      <c r="E102" s="2">
        <v>6.3741012932097298</v>
      </c>
      <c r="F102" s="2">
        <f t="shared" si="3"/>
        <v>-0.18223659773397927</v>
      </c>
      <c r="G102" s="2">
        <f t="shared" si="4"/>
        <v>-0.14163714817164941</v>
      </c>
      <c r="H102" s="2">
        <f t="shared" si="5"/>
        <v>4.0599449562329859E-2</v>
      </c>
      <c r="J102" s="1">
        <v>39173</v>
      </c>
      <c r="K102">
        <v>6.4147007427720597</v>
      </c>
      <c r="M102" s="1">
        <v>39173</v>
      </c>
      <c r="N102">
        <v>6.3741012932097298</v>
      </c>
    </row>
    <row r="103" spans="2:14">
      <c r="B103" s="1">
        <v>39142</v>
      </c>
      <c r="C103" s="2">
        <v>6.2398728301374602</v>
      </c>
      <c r="D103" s="2">
        <v>6.4583574932373802</v>
      </c>
      <c r="E103" s="2">
        <v>6.2558275704371002</v>
      </c>
      <c r="F103" s="2">
        <f t="shared" si="3"/>
        <v>-0.21848466309991998</v>
      </c>
      <c r="G103" s="2">
        <f t="shared" si="4"/>
        <v>-1.5954740299640058E-2</v>
      </c>
      <c r="H103" s="2">
        <f t="shared" si="5"/>
        <v>0.20252992280027993</v>
      </c>
      <c r="J103" s="1">
        <v>39142</v>
      </c>
      <c r="K103">
        <v>6.4583574932373802</v>
      </c>
      <c r="M103" s="1">
        <v>39142</v>
      </c>
      <c r="N103">
        <v>6.2558275704371002</v>
      </c>
    </row>
    <row r="104" spans="2:14">
      <c r="B104" s="1">
        <v>39114</v>
      </c>
      <c r="C104" s="2">
        <v>6.2313178246901302</v>
      </c>
      <c r="D104" s="2">
        <v>6.4570522130320001</v>
      </c>
      <c r="E104" s="2">
        <v>6.2136411587990699</v>
      </c>
      <c r="F104" s="2">
        <f t="shared" si="3"/>
        <v>-0.22573438834186987</v>
      </c>
      <c r="G104" s="2">
        <f t="shared" si="4"/>
        <v>1.7676665891060317E-2</v>
      </c>
      <c r="H104" s="2">
        <f t="shared" si="5"/>
        <v>0.24341105423293019</v>
      </c>
      <c r="J104" s="1">
        <v>39114</v>
      </c>
      <c r="K104">
        <v>6.4570522130320001</v>
      </c>
      <c r="M104" s="1">
        <v>39114</v>
      </c>
      <c r="N104">
        <v>6.2136411587990699</v>
      </c>
    </row>
    <row r="105" spans="2:14">
      <c r="B105" s="1">
        <v>39083</v>
      </c>
      <c r="C105" s="2">
        <v>6.2033136271096696</v>
      </c>
      <c r="D105" s="2">
        <v>6.5951725501935003</v>
      </c>
      <c r="E105" s="2">
        <v>6.2930519936589402</v>
      </c>
      <c r="F105" s="2">
        <f t="shared" si="3"/>
        <v>-0.39185892308383075</v>
      </c>
      <c r="G105" s="2">
        <f t="shared" si="4"/>
        <v>-8.9738366549270587E-2</v>
      </c>
      <c r="H105" s="2">
        <f t="shared" si="5"/>
        <v>0.30212055653456016</v>
      </c>
      <c r="J105" s="1">
        <v>39083</v>
      </c>
      <c r="K105">
        <v>6.5951725501935003</v>
      </c>
      <c r="M105" s="1">
        <v>39083</v>
      </c>
      <c r="N105">
        <v>6.2930519936589402</v>
      </c>
    </row>
    <row r="106" spans="2:14">
      <c r="B106" s="1">
        <v>39052</v>
      </c>
      <c r="C106" s="2">
        <v>6.3588353922846599</v>
      </c>
      <c r="D106" s="2">
        <v>6.5400345488193796</v>
      </c>
      <c r="E106" s="2">
        <v>6.39834118453411</v>
      </c>
      <c r="F106" s="2">
        <f t="shared" si="3"/>
        <v>-0.18119915653471974</v>
      </c>
      <c r="G106" s="2">
        <f t="shared" si="4"/>
        <v>-3.9505792249450167E-2</v>
      </c>
      <c r="H106" s="2">
        <f t="shared" si="5"/>
        <v>0.14169336428526957</v>
      </c>
      <c r="J106" s="1">
        <v>39052</v>
      </c>
      <c r="K106">
        <v>6.5400345488193796</v>
      </c>
      <c r="M106" s="1">
        <v>39052</v>
      </c>
      <c r="N106">
        <v>6.39834118453411</v>
      </c>
    </row>
    <row r="107" spans="2:14">
      <c r="B107" s="1">
        <v>39022</v>
      </c>
      <c r="C107" s="2">
        <v>6.4541087802732102</v>
      </c>
      <c r="D107" s="2">
        <v>6.6050926142464297</v>
      </c>
      <c r="E107" s="2">
        <v>6.4627379583711599</v>
      </c>
      <c r="F107" s="2">
        <f t="shared" si="3"/>
        <v>-0.15098383397321946</v>
      </c>
      <c r="G107" s="2">
        <f t="shared" si="4"/>
        <v>-8.629178097949719E-3</v>
      </c>
      <c r="H107" s="2">
        <f t="shared" si="5"/>
        <v>0.14235465587526974</v>
      </c>
      <c r="J107" s="1">
        <v>39022</v>
      </c>
      <c r="K107">
        <v>6.6050926142464297</v>
      </c>
      <c r="M107" s="1">
        <v>39022</v>
      </c>
      <c r="N107">
        <v>6.4627379583711599</v>
      </c>
    </row>
    <row r="108" spans="2:14">
      <c r="B108" s="1">
        <v>38991</v>
      </c>
      <c r="C108" s="2">
        <v>6.5303692548919301</v>
      </c>
      <c r="D108" s="2">
        <v>6.7612498647602699</v>
      </c>
      <c r="E108" s="2">
        <v>6.5036892452480002</v>
      </c>
      <c r="F108" s="2">
        <f t="shared" si="3"/>
        <v>-0.2308806098683398</v>
      </c>
      <c r="G108" s="2">
        <f t="shared" si="4"/>
        <v>2.6680009643929914E-2</v>
      </c>
      <c r="H108" s="2">
        <f t="shared" si="5"/>
        <v>0.25756061951226972</v>
      </c>
      <c r="J108" s="1">
        <v>38991</v>
      </c>
      <c r="K108">
        <v>6.7612498647602699</v>
      </c>
      <c r="M108" s="1">
        <v>38991</v>
      </c>
      <c r="N108">
        <v>6.5036892452480002</v>
      </c>
    </row>
    <row r="109" spans="2:14">
      <c r="B109" s="1">
        <v>38961</v>
      </c>
      <c r="C109" s="2">
        <v>6.6969214773724</v>
      </c>
      <c r="D109" s="2">
        <v>6.8026987479921601</v>
      </c>
      <c r="E109" s="2">
        <v>6.5984951599902804</v>
      </c>
      <c r="F109" s="2">
        <f t="shared" si="3"/>
        <v>-0.10577727061976017</v>
      </c>
      <c r="G109" s="2">
        <f t="shared" si="4"/>
        <v>9.8426317382119599E-2</v>
      </c>
      <c r="H109" s="2">
        <f t="shared" si="5"/>
        <v>0.20420358800187977</v>
      </c>
      <c r="J109" s="1">
        <v>38961</v>
      </c>
      <c r="K109">
        <v>6.8026987479921601</v>
      </c>
      <c r="M109" s="1">
        <v>38961</v>
      </c>
      <c r="N109">
        <v>6.5984951599902804</v>
      </c>
    </row>
    <row r="110" spans="2:14">
      <c r="B110" s="1">
        <v>38930</v>
      </c>
      <c r="C110" s="2">
        <v>6.7489866680389001</v>
      </c>
      <c r="D110" s="2">
        <v>6.8165332362930604</v>
      </c>
      <c r="E110" s="2">
        <v>6.64420965530201</v>
      </c>
      <c r="F110" s="2">
        <f t="shared" si="3"/>
        <v>-6.7546568254160277E-2</v>
      </c>
      <c r="G110" s="2">
        <f t="shared" si="4"/>
        <v>0.10477701273689011</v>
      </c>
      <c r="H110" s="2">
        <f t="shared" si="5"/>
        <v>0.17232358099105038</v>
      </c>
      <c r="J110" s="1">
        <v>38930</v>
      </c>
      <c r="K110">
        <v>6.8165332362930604</v>
      </c>
      <c r="M110" s="1">
        <v>38930</v>
      </c>
      <c r="N110">
        <v>6.64420965530201</v>
      </c>
    </row>
    <row r="111" spans="2:14">
      <c r="B111" s="1">
        <v>38899</v>
      </c>
      <c r="C111" s="2">
        <v>6.6582320930680501</v>
      </c>
      <c r="D111" s="2">
        <v>6.79919524180242</v>
      </c>
      <c r="E111" s="2">
        <v>6.6718242011780502</v>
      </c>
      <c r="F111" s="2">
        <f t="shared" si="3"/>
        <v>-0.14096314873436988</v>
      </c>
      <c r="G111" s="2">
        <f t="shared" si="4"/>
        <v>-1.3592108110000112E-2</v>
      </c>
      <c r="H111" s="2">
        <f t="shared" si="5"/>
        <v>0.12737104062436977</v>
      </c>
      <c r="J111" s="1">
        <v>38899</v>
      </c>
      <c r="K111">
        <v>6.79919524180242</v>
      </c>
      <c r="M111" s="1">
        <v>38899</v>
      </c>
      <c r="N111">
        <v>6.6718242011780502</v>
      </c>
    </row>
    <row r="112" spans="2:14">
      <c r="B112" s="1">
        <v>38869</v>
      </c>
      <c r="C112" s="2">
        <v>6.4966828781134502</v>
      </c>
      <c r="D112" s="2">
        <v>6.7723561623469903</v>
      </c>
      <c r="E112" s="2">
        <v>6.5174767584399396</v>
      </c>
      <c r="F112" s="2">
        <f t="shared" si="3"/>
        <v>-0.27567328423354009</v>
      </c>
      <c r="G112" s="2">
        <f t="shared" si="4"/>
        <v>-2.0793880326489322E-2</v>
      </c>
      <c r="H112" s="2">
        <f t="shared" si="5"/>
        <v>0.25487940390705077</v>
      </c>
      <c r="J112" s="1">
        <v>38869</v>
      </c>
      <c r="K112">
        <v>6.7723561623469903</v>
      </c>
      <c r="M112" s="1">
        <v>38869</v>
      </c>
      <c r="N112">
        <v>6.5174767584399396</v>
      </c>
    </row>
    <row r="113" spans="2:14">
      <c r="B113" s="1">
        <v>38838</v>
      </c>
      <c r="C113" s="2">
        <v>6.3496636274609601</v>
      </c>
      <c r="D113" s="2">
        <v>6.6439112465558896</v>
      </c>
      <c r="E113" s="2">
        <v>6.4293742265984299</v>
      </c>
      <c r="F113" s="2">
        <f t="shared" si="3"/>
        <v>-0.29424761909492947</v>
      </c>
      <c r="G113" s="2">
        <f t="shared" si="4"/>
        <v>-7.9710599137469806E-2</v>
      </c>
      <c r="H113" s="2">
        <f t="shared" si="5"/>
        <v>0.21453701995745966</v>
      </c>
      <c r="J113" s="1">
        <v>38838</v>
      </c>
      <c r="K113">
        <v>6.6439112465558896</v>
      </c>
      <c r="M113" s="1">
        <v>38838</v>
      </c>
      <c r="N113">
        <v>6.4293742265984299</v>
      </c>
    </row>
    <row r="114" spans="2:14">
      <c r="B114" s="1">
        <v>38808</v>
      </c>
      <c r="C114" s="2">
        <v>6.1625003353485797</v>
      </c>
      <c r="D114" s="2">
        <v>6.44507652227413</v>
      </c>
      <c r="E114" s="2">
        <v>6.2872382875702897</v>
      </c>
      <c r="F114" s="2">
        <f t="shared" si="3"/>
        <v>-0.28257618692555031</v>
      </c>
      <c r="G114" s="2">
        <f t="shared" si="4"/>
        <v>-0.12473795222171002</v>
      </c>
      <c r="H114" s="2">
        <f t="shared" si="5"/>
        <v>0.15783823470384029</v>
      </c>
      <c r="J114" s="1">
        <v>38808</v>
      </c>
      <c r="K114">
        <v>6.44507652227413</v>
      </c>
      <c r="M114" s="1">
        <v>38808</v>
      </c>
      <c r="N114">
        <v>6.2872382875702897</v>
      </c>
    </row>
    <row r="115" spans="2:14">
      <c r="B115" s="1">
        <v>38777</v>
      </c>
      <c r="C115" s="2">
        <v>6.2300990392303204</v>
      </c>
      <c r="D115" s="2">
        <v>6.6172545901618598</v>
      </c>
      <c r="E115" s="2">
        <v>6.2982082968512598</v>
      </c>
      <c r="F115" s="2">
        <f t="shared" si="3"/>
        <v>-0.38715555093153942</v>
      </c>
      <c r="G115" s="2">
        <f t="shared" si="4"/>
        <v>-6.8109257620939445E-2</v>
      </c>
      <c r="H115" s="2">
        <f t="shared" si="5"/>
        <v>0.31904629331059997</v>
      </c>
      <c r="J115" s="1">
        <v>38777</v>
      </c>
      <c r="K115">
        <v>6.6172545901618598</v>
      </c>
      <c r="M115" s="1">
        <v>38777</v>
      </c>
      <c r="N115">
        <v>6.2982082968512598</v>
      </c>
    </row>
    <row r="116" spans="2:14">
      <c r="B116" s="1">
        <v>38749</v>
      </c>
      <c r="C116" s="2">
        <v>6.2157719062395396</v>
      </c>
      <c r="D116" s="2">
        <v>6.5915094227876203</v>
      </c>
      <c r="E116" s="2">
        <v>6.2874154697010702</v>
      </c>
      <c r="F116" s="2">
        <f t="shared" si="3"/>
        <v>-0.37573751654808074</v>
      </c>
      <c r="G116" s="2">
        <f t="shared" si="4"/>
        <v>-7.1643563461530668E-2</v>
      </c>
      <c r="H116" s="2">
        <f t="shared" si="5"/>
        <v>0.30409395308655007</v>
      </c>
      <c r="J116" s="1">
        <v>38749</v>
      </c>
      <c r="K116">
        <v>6.5915094227876203</v>
      </c>
      <c r="M116" s="1">
        <v>38749</v>
      </c>
      <c r="N116">
        <v>6.2874154697010702</v>
      </c>
    </row>
    <row r="117" spans="2:14">
      <c r="B117" s="1">
        <v>38718</v>
      </c>
      <c r="C117" s="2">
        <v>6.1790285154481799</v>
      </c>
      <c r="D117" s="2">
        <v>6.5427289793067303</v>
      </c>
      <c r="E117" s="2">
        <v>6.2545362046244097</v>
      </c>
      <c r="F117" s="2">
        <f t="shared" si="3"/>
        <v>-0.36370046385855037</v>
      </c>
      <c r="G117" s="2">
        <f t="shared" si="4"/>
        <v>-7.5507689176229853E-2</v>
      </c>
      <c r="H117" s="2">
        <f t="shared" si="5"/>
        <v>0.28819277468232052</v>
      </c>
      <c r="J117" s="1">
        <v>38718</v>
      </c>
      <c r="K117">
        <v>6.5427289793067303</v>
      </c>
      <c r="M117" s="1">
        <v>38718</v>
      </c>
      <c r="N117">
        <v>6.2545362046244097</v>
      </c>
    </row>
    <row r="118" spans="2:14">
      <c r="B118" s="1">
        <v>38687</v>
      </c>
      <c r="C118" s="2">
        <v>6.0110893377154699</v>
      </c>
      <c r="D118" s="2">
        <v>6.2082868116654</v>
      </c>
      <c r="E118" s="2">
        <v>6.0663837781049201</v>
      </c>
      <c r="F118" s="2">
        <f t="shared" si="3"/>
        <v>-0.19719747394993004</v>
      </c>
      <c r="G118" s="2">
        <f t="shared" si="4"/>
        <v>-5.5294440389450195E-2</v>
      </c>
      <c r="H118" s="2">
        <f t="shared" si="5"/>
        <v>0.14190303356047984</v>
      </c>
      <c r="J118" s="1">
        <v>38687</v>
      </c>
      <c r="K118">
        <v>6.2082868116654</v>
      </c>
      <c r="M118" s="1">
        <v>38687</v>
      </c>
      <c r="N118">
        <v>6.0663837781049201</v>
      </c>
    </row>
    <row r="119" spans="2:14">
      <c r="B119" s="1">
        <v>38657</v>
      </c>
      <c r="C119" s="2">
        <v>5.8665917585648204</v>
      </c>
      <c r="D119" s="2">
        <v>5.9911124383801297</v>
      </c>
      <c r="E119" s="2">
        <v>5.8824956492188702</v>
      </c>
      <c r="F119" s="2">
        <f t="shared" si="3"/>
        <v>-0.12452067981530934</v>
      </c>
      <c r="G119" s="2">
        <f t="shared" si="4"/>
        <v>-1.5903890654049846E-2</v>
      </c>
      <c r="H119" s="2">
        <f t="shared" si="5"/>
        <v>0.1086167891612595</v>
      </c>
      <c r="J119" s="1">
        <v>38657</v>
      </c>
      <c r="K119">
        <v>5.9911124383801297</v>
      </c>
      <c r="M119" s="1">
        <v>38657</v>
      </c>
      <c r="N119">
        <v>5.8824956492188702</v>
      </c>
    </row>
    <row r="120" spans="2:14">
      <c r="B120" s="1">
        <v>38626</v>
      </c>
      <c r="C120" s="2">
        <v>5.8261810662029001</v>
      </c>
      <c r="D120" s="2">
        <v>6.0827941560026799</v>
      </c>
      <c r="E120" s="2">
        <v>5.90450688398127</v>
      </c>
      <c r="F120" s="2">
        <f t="shared" si="3"/>
        <v>-0.25661308979977981</v>
      </c>
      <c r="G120" s="2">
        <f t="shared" si="4"/>
        <v>-7.8325817778369888E-2</v>
      </c>
      <c r="H120" s="2">
        <f t="shared" si="5"/>
        <v>0.17828727202140993</v>
      </c>
      <c r="J120" s="1">
        <v>38626</v>
      </c>
      <c r="K120">
        <v>6.0827941560026799</v>
      </c>
      <c r="M120" s="1">
        <v>38626</v>
      </c>
      <c r="N120">
        <v>5.90450688398127</v>
      </c>
    </row>
    <row r="121" spans="2:14">
      <c r="B121" s="1">
        <v>38596</v>
      </c>
      <c r="C121" s="2">
        <v>5.7737271421591601</v>
      </c>
      <c r="D121" s="2">
        <v>6.0248056296464396</v>
      </c>
      <c r="E121" s="2">
        <v>5.7835762679290603</v>
      </c>
      <c r="F121" s="2">
        <f t="shared" si="3"/>
        <v>-0.25107848748727957</v>
      </c>
      <c r="G121" s="2">
        <f t="shared" si="4"/>
        <v>-9.8491257699002688E-3</v>
      </c>
      <c r="H121" s="2">
        <f t="shared" si="5"/>
        <v>0.2412293617173793</v>
      </c>
      <c r="J121" s="1">
        <v>38596</v>
      </c>
      <c r="K121">
        <v>6.0248056296464396</v>
      </c>
      <c r="M121" s="1">
        <v>38596</v>
      </c>
      <c r="N121">
        <v>5.7835762679290603</v>
      </c>
    </row>
    <row r="122" spans="2:14">
      <c r="B122" s="1">
        <v>38565</v>
      </c>
      <c r="C122" s="2">
        <v>5.7509442380804598</v>
      </c>
      <c r="D122" s="2">
        <v>6.0116534514124798</v>
      </c>
      <c r="E122" s="2">
        <v>5.6867978695648898</v>
      </c>
      <c r="F122" s="2">
        <f t="shared" si="3"/>
        <v>-0.26070921333201991</v>
      </c>
      <c r="G122" s="2">
        <f t="shared" si="4"/>
        <v>6.4146368515570096E-2</v>
      </c>
      <c r="H122" s="2">
        <f t="shared" si="5"/>
        <v>0.32485558184759</v>
      </c>
      <c r="J122" s="1">
        <v>38565</v>
      </c>
      <c r="K122">
        <v>6.0116534514124798</v>
      </c>
      <c r="M122" s="1">
        <v>38565</v>
      </c>
      <c r="N122">
        <v>5.6867978695648898</v>
      </c>
    </row>
    <row r="123" spans="2:14">
      <c r="B123" s="1">
        <v>38534</v>
      </c>
      <c r="C123" s="2">
        <v>5.7798931724268998</v>
      </c>
      <c r="D123" s="2">
        <v>5.9291439279153604</v>
      </c>
      <c r="E123" s="2">
        <v>5.77587230029149</v>
      </c>
      <c r="F123" s="2">
        <f t="shared" si="3"/>
        <v>-0.14925075548846056</v>
      </c>
      <c r="G123" s="2">
        <f t="shared" si="4"/>
        <v>4.0208721354098031E-3</v>
      </c>
      <c r="H123" s="2">
        <f t="shared" si="5"/>
        <v>0.15327162762387037</v>
      </c>
      <c r="J123" s="1">
        <v>38534</v>
      </c>
      <c r="K123">
        <v>5.9291439279153604</v>
      </c>
      <c r="M123" s="1">
        <v>38534</v>
      </c>
      <c r="N123">
        <v>5.77587230029149</v>
      </c>
    </row>
    <row r="124" spans="2:14">
      <c r="B124" s="1">
        <v>38504</v>
      </c>
      <c r="C124" s="2">
        <v>5.9359092819794297</v>
      </c>
      <c r="D124" s="2">
        <v>6.0861604457115899</v>
      </c>
      <c r="E124" s="2">
        <v>5.9011810521622499</v>
      </c>
      <c r="F124" s="2">
        <f t="shared" si="3"/>
        <v>-0.15025116373216019</v>
      </c>
      <c r="G124" s="2">
        <f t="shared" si="4"/>
        <v>3.4728229817179823E-2</v>
      </c>
      <c r="H124" s="2">
        <f t="shared" si="5"/>
        <v>0.18497939354934001</v>
      </c>
      <c r="J124" s="1">
        <v>38504</v>
      </c>
      <c r="K124">
        <v>6.0861604457115899</v>
      </c>
      <c r="M124" s="1">
        <v>38504</v>
      </c>
      <c r="N124">
        <v>5.9011810521622499</v>
      </c>
    </row>
    <row r="125" spans="2:14">
      <c r="B125" s="1">
        <v>38473</v>
      </c>
      <c r="C125" s="2">
        <v>5.8650240305353201</v>
      </c>
      <c r="D125" s="2">
        <v>5.9156436011904701</v>
      </c>
      <c r="E125" s="2">
        <v>5.93851052657556</v>
      </c>
      <c r="F125" s="2">
        <f t="shared" si="3"/>
        <v>-5.0619570655149992E-2</v>
      </c>
      <c r="G125" s="2">
        <f t="shared" si="4"/>
        <v>-7.3486496040239935E-2</v>
      </c>
      <c r="H125" s="2">
        <f t="shared" si="5"/>
        <v>-2.2866925385089942E-2</v>
      </c>
      <c r="J125" s="1">
        <v>38473</v>
      </c>
      <c r="K125">
        <v>5.9156436011904701</v>
      </c>
      <c r="M125" s="1">
        <v>38473</v>
      </c>
      <c r="N125">
        <v>5.93851052657556</v>
      </c>
    </row>
    <row r="126" spans="2:14">
      <c r="B126" s="1">
        <v>38443</v>
      </c>
      <c r="C126" s="2">
        <v>5.7131424649754203</v>
      </c>
      <c r="D126" s="2">
        <v>6.0336881169928702</v>
      </c>
      <c r="E126" s="2">
        <v>5.7027763131622304</v>
      </c>
      <c r="F126" s="2">
        <f t="shared" si="3"/>
        <v>-0.32054565201744989</v>
      </c>
      <c r="G126" s="2">
        <f t="shared" si="4"/>
        <v>1.0366151813189894E-2</v>
      </c>
      <c r="H126" s="2">
        <f t="shared" si="5"/>
        <v>0.33091180383063978</v>
      </c>
      <c r="J126" s="1">
        <v>38443</v>
      </c>
      <c r="K126">
        <v>6.0336881169928702</v>
      </c>
      <c r="M126" s="1">
        <v>38443</v>
      </c>
      <c r="N126">
        <v>5.7027763131622304</v>
      </c>
    </row>
    <row r="127" spans="2:14">
      <c r="B127" s="1">
        <v>38412</v>
      </c>
      <c r="C127" s="2">
        <v>5.7080755223592199</v>
      </c>
      <c r="D127" s="2">
        <v>5.9235606448311096</v>
      </c>
      <c r="E127" s="2">
        <v>5.7027848550616698</v>
      </c>
      <c r="F127" s="2">
        <f t="shared" si="3"/>
        <v>-0.21548512247188967</v>
      </c>
      <c r="G127" s="2">
        <f t="shared" si="4"/>
        <v>5.2906672975501223E-3</v>
      </c>
      <c r="H127" s="2">
        <f t="shared" si="5"/>
        <v>0.22077578976943979</v>
      </c>
      <c r="J127" s="1">
        <v>38412</v>
      </c>
      <c r="K127">
        <v>5.9235606448311096</v>
      </c>
      <c r="M127" s="1">
        <v>38412</v>
      </c>
      <c r="N127">
        <v>5.7027848550616698</v>
      </c>
    </row>
    <row r="128" spans="2:14">
      <c r="B128" s="1">
        <v>38384</v>
      </c>
      <c r="C128" s="2">
        <v>5.8034733297388401</v>
      </c>
      <c r="D128" s="2">
        <v>6.1476152160514896</v>
      </c>
      <c r="E128" s="2">
        <v>5.84702160477205</v>
      </c>
      <c r="F128" s="2">
        <f t="shared" si="3"/>
        <v>-0.34414188631264953</v>
      </c>
      <c r="G128" s="2">
        <f t="shared" si="4"/>
        <v>-4.3548275033209904E-2</v>
      </c>
      <c r="H128" s="2">
        <f t="shared" si="5"/>
        <v>0.30059361127943962</v>
      </c>
      <c r="J128" s="1">
        <v>38384</v>
      </c>
      <c r="K128">
        <v>6.1476152160514896</v>
      </c>
      <c r="M128" s="1">
        <v>38384</v>
      </c>
      <c r="N128">
        <v>5.84702160477205</v>
      </c>
    </row>
    <row r="129" spans="2:14">
      <c r="B129" s="1">
        <v>38353</v>
      </c>
      <c r="C129" s="2">
        <v>5.8285798965769704</v>
      </c>
      <c r="D129" s="2">
        <v>5.9643916855714201</v>
      </c>
      <c r="E129" s="2">
        <v>5.8075675352202101</v>
      </c>
      <c r="F129" s="2">
        <f t="shared" si="3"/>
        <v>-0.13581178899444968</v>
      </c>
      <c r="G129" s="2">
        <f t="shared" si="4"/>
        <v>2.1012361356760323E-2</v>
      </c>
      <c r="H129" s="2">
        <f t="shared" si="5"/>
        <v>0.15682415035121</v>
      </c>
      <c r="J129" s="1">
        <v>38353</v>
      </c>
      <c r="K129">
        <v>5.9643916855714201</v>
      </c>
      <c r="M129" s="1">
        <v>38353</v>
      </c>
      <c r="N129">
        <v>5.8075675352202101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Report</vt:lpstr>
      <vt:lpstr>Input-equal</vt:lpstr>
      <vt:lpstr>LoanLevel</vt:lpstr>
      <vt:lpstr>LLwithCondition</vt:lpstr>
      <vt:lpstr>CurrentCloseDate</vt:lpstr>
      <vt:lpstr>DatabaseEnv</vt:lpstr>
      <vt:lpstr>DateToChangeLag</vt:lpstr>
      <vt:lpstr>PDFReportDir</vt:lpstr>
      <vt:lpstr>PDFReportName</vt:lpstr>
      <vt:lpstr>Report!Print_Area</vt:lpstr>
      <vt:lpstr>SaveRatesToDB</vt:lpstr>
      <vt:lpstr>LLwithCondition!temp</vt:lpstr>
      <vt:lpstr>LLwithCondition!temp_1</vt:lpstr>
      <vt:lpstr>LoanLevel!temp_1</vt:lpstr>
      <vt:lpstr>LLwithCondition!temp_2</vt:lpstr>
      <vt:lpstr>LoanLevel!temp_2</vt:lpstr>
      <vt:lpstr>LoanLevel!temp_3</vt:lpstr>
      <vt:lpstr>LoanLevel!temp_4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2015-05-27T13:56:09Z</cp:lastPrinted>
  <dcterms:created xsi:type="dcterms:W3CDTF">2006-09-16T00:00:00Z</dcterms:created>
  <dcterms:modified xsi:type="dcterms:W3CDTF">2015-05-28T17:31:44Z</dcterms:modified>
</cp:coreProperties>
</file>