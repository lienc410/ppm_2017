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120" windowWidth="29715" windowHeight="15390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E3" i="1" l="1"/>
  <c r="F3" i="1"/>
  <c r="D3" i="1"/>
  <c r="D14" i="1" l="1"/>
  <c r="D27" i="1" s="1"/>
  <c r="D40" i="1" s="1"/>
  <c r="D53" i="1" s="1"/>
  <c r="E14" i="1" l="1"/>
  <c r="R55" i="1"/>
  <c r="Q55" i="1"/>
  <c r="P55" i="1"/>
  <c r="O55" i="1"/>
  <c r="N55" i="1"/>
  <c r="M55" i="1"/>
  <c r="L55" i="1"/>
  <c r="K55" i="1"/>
  <c r="J55" i="1"/>
  <c r="I55" i="1"/>
  <c r="H55" i="1"/>
  <c r="G55" i="1"/>
  <c r="F55" i="1"/>
  <c r="E55" i="1"/>
  <c r="D55" i="1"/>
  <c r="C55" i="1"/>
  <c r="R42" i="1"/>
  <c r="Q42" i="1"/>
  <c r="P42" i="1"/>
  <c r="O42" i="1"/>
  <c r="N42" i="1"/>
  <c r="M42" i="1"/>
  <c r="L42" i="1"/>
  <c r="K42" i="1"/>
  <c r="J42" i="1"/>
  <c r="I42" i="1"/>
  <c r="H42" i="1"/>
  <c r="G42" i="1"/>
  <c r="F42" i="1"/>
  <c r="E42" i="1"/>
  <c r="D42" i="1"/>
  <c r="C42" i="1"/>
  <c r="R29" i="1"/>
  <c r="Q29" i="1"/>
  <c r="P29" i="1"/>
  <c r="O29" i="1"/>
  <c r="N29" i="1"/>
  <c r="M29" i="1"/>
  <c r="L29" i="1"/>
  <c r="K29" i="1"/>
  <c r="J29" i="1"/>
  <c r="I29" i="1"/>
  <c r="H29" i="1"/>
  <c r="G29" i="1"/>
  <c r="F29" i="1"/>
  <c r="E29" i="1"/>
  <c r="D29" i="1"/>
  <c r="C29" i="1"/>
  <c r="R16" i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C16" i="1"/>
  <c r="C19" i="1" s="1"/>
  <c r="C17" i="1"/>
  <c r="F14" i="1" l="1"/>
  <c r="E27" i="1"/>
  <c r="E40" i="1" s="1"/>
  <c r="E53" i="1" s="1"/>
  <c r="C27" i="1"/>
  <c r="G14" i="1" l="1"/>
  <c r="F27" i="1"/>
  <c r="F40" i="1" s="1"/>
  <c r="F53" i="1" s="1"/>
  <c r="C40" i="1"/>
  <c r="R61" i="1"/>
  <c r="Q61" i="1"/>
  <c r="P61" i="1"/>
  <c r="O61" i="1"/>
  <c r="N61" i="1"/>
  <c r="M61" i="1"/>
  <c r="L61" i="1"/>
  <c r="K61" i="1"/>
  <c r="J61" i="1"/>
  <c r="I61" i="1"/>
  <c r="H61" i="1"/>
  <c r="G61" i="1"/>
  <c r="F61" i="1"/>
  <c r="E61" i="1"/>
  <c r="D61" i="1"/>
  <c r="C61" i="1"/>
  <c r="R48" i="1"/>
  <c r="Q48" i="1"/>
  <c r="P48" i="1"/>
  <c r="O48" i="1"/>
  <c r="N48" i="1"/>
  <c r="M48" i="1"/>
  <c r="L48" i="1"/>
  <c r="K48" i="1"/>
  <c r="J48" i="1"/>
  <c r="I48" i="1"/>
  <c r="H48" i="1"/>
  <c r="G48" i="1"/>
  <c r="F48" i="1"/>
  <c r="E48" i="1"/>
  <c r="D48" i="1"/>
  <c r="C48" i="1"/>
  <c r="R35" i="1"/>
  <c r="Q35" i="1"/>
  <c r="P35" i="1"/>
  <c r="O35" i="1"/>
  <c r="N35" i="1"/>
  <c r="M35" i="1"/>
  <c r="L35" i="1"/>
  <c r="K35" i="1"/>
  <c r="J35" i="1"/>
  <c r="I35" i="1"/>
  <c r="H35" i="1"/>
  <c r="G35" i="1"/>
  <c r="F35" i="1"/>
  <c r="E35" i="1"/>
  <c r="D35" i="1"/>
  <c r="C35" i="1"/>
  <c r="R22" i="1"/>
  <c r="Q22" i="1"/>
  <c r="P22" i="1"/>
  <c r="O22" i="1"/>
  <c r="N22" i="1"/>
  <c r="M22" i="1"/>
  <c r="L22" i="1"/>
  <c r="K22" i="1"/>
  <c r="J22" i="1"/>
  <c r="I22" i="1"/>
  <c r="H22" i="1"/>
  <c r="G22" i="1"/>
  <c r="F22" i="1"/>
  <c r="E22" i="1"/>
  <c r="D22" i="1"/>
  <c r="C22" i="1"/>
  <c r="H14" i="1" l="1"/>
  <c r="G27" i="1"/>
  <c r="G40" i="1" s="1"/>
  <c r="G53" i="1" s="1"/>
  <c r="C53" i="1"/>
  <c r="G60" i="1"/>
  <c r="D21" i="1"/>
  <c r="F5" i="1"/>
  <c r="E5" i="1"/>
  <c r="D5" i="1"/>
  <c r="E60" i="1"/>
  <c r="F60" i="1"/>
  <c r="I60" i="1"/>
  <c r="J60" i="1"/>
  <c r="K60" i="1"/>
  <c r="M60" i="1"/>
  <c r="N60" i="1"/>
  <c r="Q60" i="1"/>
  <c r="R60" i="1"/>
  <c r="C60" i="1"/>
  <c r="R57" i="1"/>
  <c r="Q57" i="1"/>
  <c r="P57" i="1"/>
  <c r="O57" i="1"/>
  <c r="N57" i="1"/>
  <c r="M57" i="1"/>
  <c r="L57" i="1"/>
  <c r="K57" i="1"/>
  <c r="J57" i="1"/>
  <c r="I57" i="1"/>
  <c r="H57" i="1"/>
  <c r="G57" i="1"/>
  <c r="F57" i="1"/>
  <c r="E57" i="1"/>
  <c r="D57" i="1"/>
  <c r="C57" i="1"/>
  <c r="R56" i="1"/>
  <c r="Q56" i="1"/>
  <c r="P56" i="1"/>
  <c r="O56" i="1"/>
  <c r="N56" i="1"/>
  <c r="M56" i="1"/>
  <c r="L56" i="1"/>
  <c r="K56" i="1"/>
  <c r="J56" i="1"/>
  <c r="I56" i="1"/>
  <c r="H56" i="1"/>
  <c r="G56" i="1"/>
  <c r="F56" i="1"/>
  <c r="E56" i="1"/>
  <c r="D56" i="1"/>
  <c r="C56" i="1"/>
  <c r="D47" i="1"/>
  <c r="E47" i="1"/>
  <c r="F47" i="1"/>
  <c r="G47" i="1"/>
  <c r="H47" i="1"/>
  <c r="I47" i="1"/>
  <c r="J47" i="1"/>
  <c r="K47" i="1"/>
  <c r="L47" i="1"/>
  <c r="M47" i="1"/>
  <c r="N47" i="1"/>
  <c r="O47" i="1"/>
  <c r="P47" i="1"/>
  <c r="Q47" i="1"/>
  <c r="R47" i="1"/>
  <c r="C47" i="1"/>
  <c r="R44" i="1"/>
  <c r="Q44" i="1"/>
  <c r="P44" i="1"/>
  <c r="O44" i="1"/>
  <c r="N44" i="1"/>
  <c r="M44" i="1"/>
  <c r="L44" i="1"/>
  <c r="K44" i="1"/>
  <c r="J44" i="1"/>
  <c r="I44" i="1"/>
  <c r="H44" i="1"/>
  <c r="G44" i="1"/>
  <c r="F44" i="1"/>
  <c r="E44" i="1"/>
  <c r="D44" i="1"/>
  <c r="C44" i="1"/>
  <c r="R43" i="1"/>
  <c r="Q43" i="1"/>
  <c r="P43" i="1"/>
  <c r="O43" i="1"/>
  <c r="N43" i="1"/>
  <c r="M43" i="1"/>
  <c r="L43" i="1"/>
  <c r="K43" i="1"/>
  <c r="J43" i="1"/>
  <c r="I43" i="1"/>
  <c r="H43" i="1"/>
  <c r="G43" i="1"/>
  <c r="F43" i="1"/>
  <c r="E43" i="1"/>
  <c r="D43" i="1"/>
  <c r="C43" i="1"/>
  <c r="C46" i="1" s="1"/>
  <c r="D34" i="1"/>
  <c r="E34" i="1"/>
  <c r="F34" i="1"/>
  <c r="G34" i="1"/>
  <c r="H34" i="1"/>
  <c r="I34" i="1"/>
  <c r="J34" i="1"/>
  <c r="K34" i="1"/>
  <c r="L34" i="1"/>
  <c r="M34" i="1"/>
  <c r="N34" i="1"/>
  <c r="O34" i="1"/>
  <c r="P34" i="1"/>
  <c r="Q34" i="1"/>
  <c r="R34" i="1"/>
  <c r="C34" i="1"/>
  <c r="D32" i="1"/>
  <c r="R31" i="1"/>
  <c r="Q31" i="1"/>
  <c r="P31" i="1"/>
  <c r="O31" i="1"/>
  <c r="N31" i="1"/>
  <c r="M31" i="1"/>
  <c r="L31" i="1"/>
  <c r="K31" i="1"/>
  <c r="J31" i="1"/>
  <c r="I31" i="1"/>
  <c r="H31" i="1"/>
  <c r="G31" i="1"/>
  <c r="F31" i="1"/>
  <c r="E31" i="1"/>
  <c r="D31" i="1"/>
  <c r="C31" i="1"/>
  <c r="R30" i="1"/>
  <c r="Q30" i="1"/>
  <c r="P30" i="1"/>
  <c r="O30" i="1"/>
  <c r="N30" i="1"/>
  <c r="M30" i="1"/>
  <c r="L30" i="1"/>
  <c r="K30" i="1"/>
  <c r="J30" i="1"/>
  <c r="I30" i="1"/>
  <c r="H30" i="1"/>
  <c r="G30" i="1"/>
  <c r="F30" i="1"/>
  <c r="E30" i="1"/>
  <c r="E32" i="1" s="1"/>
  <c r="D30" i="1"/>
  <c r="C30" i="1"/>
  <c r="D18" i="1"/>
  <c r="E18" i="1"/>
  <c r="F18" i="1"/>
  <c r="G18" i="1"/>
  <c r="H18" i="1"/>
  <c r="I18" i="1"/>
  <c r="J18" i="1"/>
  <c r="K18" i="1"/>
  <c r="L18" i="1"/>
  <c r="M18" i="1"/>
  <c r="N18" i="1"/>
  <c r="O18" i="1"/>
  <c r="P18" i="1"/>
  <c r="Q18" i="1"/>
  <c r="R18" i="1"/>
  <c r="C18" i="1"/>
  <c r="D17" i="1"/>
  <c r="D19" i="1" s="1"/>
  <c r="E17" i="1"/>
  <c r="E19" i="1" s="1"/>
  <c r="F17" i="1"/>
  <c r="G17" i="1"/>
  <c r="G19" i="1" s="1"/>
  <c r="H17" i="1"/>
  <c r="H20" i="1" s="1"/>
  <c r="I17" i="1"/>
  <c r="J17" i="1"/>
  <c r="K17" i="1"/>
  <c r="L17" i="1"/>
  <c r="M17" i="1"/>
  <c r="N17" i="1"/>
  <c r="O17" i="1"/>
  <c r="P17" i="1"/>
  <c r="Q17" i="1"/>
  <c r="R17" i="1"/>
  <c r="C20" i="1"/>
  <c r="E21" i="1"/>
  <c r="F21" i="1"/>
  <c r="G21" i="1"/>
  <c r="H21" i="1"/>
  <c r="I21" i="1"/>
  <c r="J21" i="1"/>
  <c r="K21" i="1"/>
  <c r="M21" i="1"/>
  <c r="N21" i="1"/>
  <c r="O21" i="1"/>
  <c r="P21" i="1"/>
  <c r="Q21" i="1"/>
  <c r="R21" i="1"/>
  <c r="C21" i="1"/>
  <c r="C59" i="1" l="1"/>
  <c r="I14" i="1"/>
  <c r="I19" i="1" s="1"/>
  <c r="H27" i="1"/>
  <c r="H40" i="1" s="1"/>
  <c r="H53" i="1" s="1"/>
  <c r="H67" i="1" s="1"/>
  <c r="F67" i="1"/>
  <c r="C67" i="1"/>
  <c r="E67" i="1"/>
  <c r="E58" i="1"/>
  <c r="F58" i="1"/>
  <c r="D67" i="1"/>
  <c r="G58" i="1"/>
  <c r="F46" i="1"/>
  <c r="H46" i="1"/>
  <c r="G67" i="1"/>
  <c r="G46" i="1"/>
  <c r="D59" i="1"/>
  <c r="F20" i="1"/>
  <c r="E45" i="1"/>
  <c r="D46" i="1"/>
  <c r="L60" i="1"/>
  <c r="D60" i="1"/>
  <c r="P60" i="1"/>
  <c r="H60" i="1"/>
  <c r="O60" i="1"/>
  <c r="L21" i="1"/>
  <c r="F59" i="1"/>
  <c r="C58" i="1"/>
  <c r="D58" i="1"/>
  <c r="H58" i="1"/>
  <c r="E59" i="1"/>
  <c r="G59" i="1"/>
  <c r="E46" i="1"/>
  <c r="F45" i="1"/>
  <c r="C45" i="1"/>
  <c r="D45" i="1"/>
  <c r="G45" i="1"/>
  <c r="H45" i="1"/>
  <c r="F32" i="1"/>
  <c r="G32" i="1"/>
  <c r="C32" i="1"/>
  <c r="C33" i="1"/>
  <c r="D33" i="1"/>
  <c r="D36" i="1" s="1"/>
  <c r="D37" i="1" s="1"/>
  <c r="E33" i="1"/>
  <c r="E36" i="1" s="1"/>
  <c r="E37" i="1" s="1"/>
  <c r="F33" i="1"/>
  <c r="G33" i="1"/>
  <c r="H33" i="1"/>
  <c r="G20" i="1"/>
  <c r="G23" i="1" s="1"/>
  <c r="G24" i="1" s="1"/>
  <c r="F19" i="1"/>
  <c r="H19" i="1"/>
  <c r="E20" i="1"/>
  <c r="E23" i="1" s="1"/>
  <c r="E24" i="1" s="1"/>
  <c r="D20" i="1"/>
  <c r="D23" i="1" s="1"/>
  <c r="D24" i="1" s="1"/>
  <c r="H59" i="1" l="1"/>
  <c r="H62" i="1" s="1"/>
  <c r="H63" i="1" s="1"/>
  <c r="H32" i="1"/>
  <c r="H36" i="1" s="1"/>
  <c r="H37" i="1" s="1"/>
  <c r="J14" i="1"/>
  <c r="I27" i="1"/>
  <c r="I20" i="1"/>
  <c r="I23" i="1" s="1"/>
  <c r="I24" i="1" s="1"/>
  <c r="G62" i="1"/>
  <c r="G63" i="1" s="1"/>
  <c r="E62" i="1"/>
  <c r="E63" i="1" s="1"/>
  <c r="F62" i="1"/>
  <c r="F63" i="1" s="1"/>
  <c r="C23" i="1"/>
  <c r="C24" i="1" s="1"/>
  <c r="F36" i="1"/>
  <c r="F37" i="1" s="1"/>
  <c r="E49" i="1"/>
  <c r="E50" i="1" s="1"/>
  <c r="G36" i="1"/>
  <c r="G37" i="1" s="1"/>
  <c r="D62" i="1"/>
  <c r="D63" i="1" s="1"/>
  <c r="C62" i="1"/>
  <c r="C63" i="1" s="1"/>
  <c r="F49" i="1"/>
  <c r="F50" i="1" s="1"/>
  <c r="D49" i="1"/>
  <c r="D50" i="1" s="1"/>
  <c r="C49" i="1"/>
  <c r="C50" i="1" s="1"/>
  <c r="H49" i="1"/>
  <c r="H50" i="1" s="1"/>
  <c r="G49" i="1"/>
  <c r="G50" i="1" s="1"/>
  <c r="C36" i="1"/>
  <c r="C37" i="1" s="1"/>
  <c r="F23" i="1"/>
  <c r="F24" i="1" s="1"/>
  <c r="H23" i="1"/>
  <c r="H24" i="1" s="1"/>
  <c r="I40" i="1" l="1"/>
  <c r="I33" i="1"/>
  <c r="I32" i="1"/>
  <c r="K14" i="1"/>
  <c r="J27" i="1"/>
  <c r="J20" i="1"/>
  <c r="J19" i="1"/>
  <c r="J23" i="1" s="1"/>
  <c r="J24" i="1" s="1"/>
  <c r="E66" i="1"/>
  <c r="E68" i="1" s="1"/>
  <c r="G66" i="1"/>
  <c r="G68" i="1" s="1"/>
  <c r="C66" i="1"/>
  <c r="C68" i="1" s="1"/>
  <c r="F66" i="1"/>
  <c r="F68" i="1" s="1"/>
  <c r="D66" i="1"/>
  <c r="D68" i="1" s="1"/>
  <c r="H66" i="1"/>
  <c r="H68" i="1" s="1"/>
  <c r="J40" i="1" l="1"/>
  <c r="J32" i="1"/>
  <c r="J33" i="1"/>
  <c r="L14" i="1"/>
  <c r="K27" i="1"/>
  <c r="K19" i="1"/>
  <c r="K20" i="1"/>
  <c r="I36" i="1"/>
  <c r="I37" i="1" s="1"/>
  <c r="I53" i="1"/>
  <c r="I45" i="1"/>
  <c r="I46" i="1"/>
  <c r="K23" i="1" l="1"/>
  <c r="K24" i="1" s="1"/>
  <c r="M14" i="1"/>
  <c r="L27" i="1"/>
  <c r="L19" i="1"/>
  <c r="L20" i="1"/>
  <c r="L23" i="1" s="1"/>
  <c r="L24" i="1" s="1"/>
  <c r="I49" i="1"/>
  <c r="I50" i="1" s="1"/>
  <c r="J36" i="1"/>
  <c r="J37" i="1" s="1"/>
  <c r="I67" i="1"/>
  <c r="I58" i="1"/>
  <c r="I59" i="1"/>
  <c r="J53" i="1"/>
  <c r="J46" i="1"/>
  <c r="J45" i="1"/>
  <c r="J49" i="1" s="1"/>
  <c r="J50" i="1" s="1"/>
  <c r="K40" i="1"/>
  <c r="K33" i="1"/>
  <c r="K32" i="1"/>
  <c r="K36" i="1" l="1"/>
  <c r="K37" i="1" s="1"/>
  <c r="I62" i="1"/>
  <c r="I63" i="1" s="1"/>
  <c r="I66" i="1" s="1"/>
  <c r="I68" i="1" s="1"/>
  <c r="J58" i="1"/>
  <c r="J59" i="1"/>
  <c r="J67" i="1"/>
  <c r="L40" i="1"/>
  <c r="L33" i="1"/>
  <c r="L32" i="1"/>
  <c r="K53" i="1"/>
  <c r="K46" i="1"/>
  <c r="K45" i="1"/>
  <c r="N14" i="1"/>
  <c r="M27" i="1"/>
  <c r="M20" i="1"/>
  <c r="M19" i="1"/>
  <c r="L36" i="1" l="1"/>
  <c r="L37" i="1" s="1"/>
  <c r="K49" i="1"/>
  <c r="K50" i="1" s="1"/>
  <c r="M23" i="1"/>
  <c r="M24" i="1" s="1"/>
  <c r="L53" i="1"/>
  <c r="L45" i="1"/>
  <c r="L46" i="1"/>
  <c r="M40" i="1"/>
  <c r="M32" i="1"/>
  <c r="M33" i="1"/>
  <c r="O14" i="1"/>
  <c r="N27" i="1"/>
  <c r="N20" i="1"/>
  <c r="N19" i="1"/>
  <c r="J62" i="1"/>
  <c r="J63" i="1" s="1"/>
  <c r="J66" i="1" s="1"/>
  <c r="J68" i="1" s="1"/>
  <c r="K67" i="1"/>
  <c r="K58" i="1"/>
  <c r="K59" i="1"/>
  <c r="M36" i="1" l="1"/>
  <c r="M37" i="1" s="1"/>
  <c r="N23" i="1"/>
  <c r="N24" i="1"/>
  <c r="K62" i="1"/>
  <c r="K63" i="1" s="1"/>
  <c r="K66" i="1" s="1"/>
  <c r="K68" i="1" s="1"/>
  <c r="M53" i="1"/>
  <c r="M46" i="1"/>
  <c r="M45" i="1"/>
  <c r="L49" i="1"/>
  <c r="L50" i="1" s="1"/>
  <c r="L59" i="1"/>
  <c r="L67" i="1"/>
  <c r="L58" i="1"/>
  <c r="N40" i="1"/>
  <c r="N32" i="1"/>
  <c r="N33" i="1"/>
  <c r="P14" i="1"/>
  <c r="O27" i="1"/>
  <c r="O19" i="1"/>
  <c r="O24" i="1" s="1"/>
  <c r="O20" i="1"/>
  <c r="M49" i="1" l="1"/>
  <c r="M50" i="1" s="1"/>
  <c r="O23" i="1"/>
  <c r="O40" i="1"/>
  <c r="O32" i="1"/>
  <c r="O33" i="1"/>
  <c r="Q14" i="1"/>
  <c r="P27" i="1"/>
  <c r="P20" i="1"/>
  <c r="P19" i="1"/>
  <c r="P24" i="1" s="1"/>
  <c r="N36" i="1"/>
  <c r="N37" i="1" s="1"/>
  <c r="M58" i="1"/>
  <c r="M67" i="1"/>
  <c r="M59" i="1"/>
  <c r="N53" i="1"/>
  <c r="N46" i="1"/>
  <c r="N45" i="1"/>
  <c r="N49" i="1" s="1"/>
  <c r="N50" i="1" s="1"/>
  <c r="L62" i="1"/>
  <c r="L63" i="1" s="1"/>
  <c r="L66" i="1" s="1"/>
  <c r="L68" i="1" s="1"/>
  <c r="M62" i="1" l="1"/>
  <c r="M63" i="1" s="1"/>
  <c r="M66" i="1" s="1"/>
  <c r="M68" i="1" s="1"/>
  <c r="P23" i="1"/>
  <c r="O36" i="1"/>
  <c r="O37" i="1" s="1"/>
  <c r="Q27" i="1"/>
  <c r="R14" i="1"/>
  <c r="Q19" i="1"/>
  <c r="Q20" i="1"/>
  <c r="O53" i="1"/>
  <c r="O45" i="1"/>
  <c r="O46" i="1"/>
  <c r="P40" i="1"/>
  <c r="P33" i="1"/>
  <c r="P32" i="1"/>
  <c r="N59" i="1"/>
  <c r="N58" i="1"/>
  <c r="N62" i="1" s="1"/>
  <c r="N63" i="1" s="1"/>
  <c r="N66" i="1" s="1"/>
  <c r="N68" i="1" s="1"/>
  <c r="N67" i="1"/>
  <c r="O49" i="1" l="1"/>
  <c r="O50" i="1" s="1"/>
  <c r="Q24" i="1"/>
  <c r="Q23" i="1"/>
  <c r="P36" i="1"/>
  <c r="P37" i="1" s="1"/>
  <c r="P53" i="1"/>
  <c r="P45" i="1"/>
  <c r="P46" i="1"/>
  <c r="O67" i="1"/>
  <c r="O58" i="1"/>
  <c r="O59" i="1"/>
  <c r="R27" i="1"/>
  <c r="R20" i="1"/>
  <c r="R19" i="1"/>
  <c r="Q40" i="1"/>
  <c r="Q32" i="1"/>
  <c r="Q33" i="1"/>
  <c r="Q37" i="1" l="1"/>
  <c r="O62" i="1"/>
  <c r="O63" i="1" s="1"/>
  <c r="O66" i="1" s="1"/>
  <c r="O68" i="1" s="1"/>
  <c r="Q36" i="1"/>
  <c r="P49" i="1"/>
  <c r="P50" i="1" s="1"/>
  <c r="P59" i="1"/>
  <c r="P58" i="1"/>
  <c r="P67" i="1"/>
  <c r="R40" i="1"/>
  <c r="R33" i="1"/>
  <c r="R32" i="1"/>
  <c r="Q53" i="1"/>
  <c r="Q46" i="1"/>
  <c r="Q45" i="1"/>
  <c r="R24" i="1"/>
  <c r="R23" i="1"/>
  <c r="Q49" i="1" l="1"/>
  <c r="Q50" i="1" s="1"/>
  <c r="P62" i="1"/>
  <c r="P63" i="1" s="1"/>
  <c r="P66" i="1" s="1"/>
  <c r="P68" i="1" s="1"/>
  <c r="R53" i="1"/>
  <c r="R46" i="1"/>
  <c r="R45" i="1"/>
  <c r="R49" i="1" s="1"/>
  <c r="R50" i="1" s="1"/>
  <c r="Q59" i="1"/>
  <c r="Q58" i="1"/>
  <c r="Q67" i="1"/>
  <c r="R36" i="1"/>
  <c r="R37" i="1" s="1"/>
  <c r="Q62" i="1" l="1"/>
  <c r="Q63" i="1" s="1"/>
  <c r="Q66" i="1" s="1"/>
  <c r="Q68" i="1" s="1"/>
  <c r="R59" i="1"/>
  <c r="R58" i="1"/>
  <c r="R62" i="1" s="1"/>
  <c r="R63" i="1" s="1"/>
  <c r="R66" i="1" s="1"/>
  <c r="R68" i="1" s="1"/>
  <c r="R67" i="1"/>
</calcChain>
</file>

<file path=xl/sharedStrings.xml><?xml version="1.0" encoding="utf-8"?>
<sst xmlns="http://schemas.openxmlformats.org/spreadsheetml/2006/main" count="52" uniqueCount="21">
  <si>
    <t>FNCL Prices</t>
  </si>
  <si>
    <t>Coupon</t>
  </si>
  <si>
    <t>Gfee</t>
  </si>
  <si>
    <t>Retained Servicing</t>
  </si>
  <si>
    <t>Max XS Servicing</t>
  </si>
  <si>
    <t>Servicing Multiple</t>
  </si>
  <si>
    <t>G-fee Multiple</t>
  </si>
  <si>
    <t>Mortgage Rate</t>
  </si>
  <si>
    <t>G-fee</t>
  </si>
  <si>
    <t>XS Servicing</t>
  </si>
  <si>
    <t>G-fee Buydown</t>
  </si>
  <si>
    <t>Px: Pass-through</t>
  </si>
  <si>
    <t>Px: Ret Servicing</t>
  </si>
  <si>
    <t>Px: XS Servicing</t>
  </si>
  <si>
    <t>Best Execution</t>
  </si>
  <si>
    <t>Execution (2.5%)</t>
  </si>
  <si>
    <t>Execution (3.0%)</t>
  </si>
  <si>
    <t>Execution (3.5%)</t>
  </si>
  <si>
    <t>Execution (4.0%)</t>
  </si>
  <si>
    <t>Price Diff</t>
  </si>
  <si>
    <t>Retained Servicing mult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</si>
</sst>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0.000%"/>
    <numFmt numFmtId="165" formatCode="0.000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5">
    <xf numFmtId="0" fontId="0" fillId="0" borderId="0" xfId="0"/>
    <xf numFmtId="10" fontId="0" fillId="0" borderId="1" xfId="2" applyNumberFormat="1" applyFont="1" applyBorder="1"/>
    <xf numFmtId="10" fontId="0" fillId="2" borderId="2" xfId="0" applyNumberFormat="1" applyFill="1" applyBorder="1"/>
    <xf numFmtId="10" fontId="0" fillId="0" borderId="1" xfId="0" applyNumberFormat="1" applyBorder="1"/>
    <xf numFmtId="0" fontId="2" fillId="0" borderId="3" xfId="0" applyFont="1" applyBorder="1"/>
    <xf numFmtId="10" fontId="2" fillId="0" borderId="4" xfId="0" applyNumberFormat="1" applyFont="1" applyBorder="1"/>
    <xf numFmtId="10" fontId="2" fillId="0" borderId="5" xfId="0" applyNumberFormat="1" applyFont="1" applyBorder="1"/>
    <xf numFmtId="0" fontId="0" fillId="0" borderId="6" xfId="0" applyBorder="1"/>
    <xf numFmtId="0" fontId="0" fillId="0" borderId="0" xfId="0" applyBorder="1"/>
    <xf numFmtId="0" fontId="0" fillId="0" borderId="7" xfId="0" applyBorder="1"/>
    <xf numFmtId="0" fontId="0" fillId="2" borderId="8" xfId="0" applyFill="1" applyBorder="1"/>
    <xf numFmtId="10" fontId="0" fillId="2" borderId="9" xfId="0" applyNumberFormat="1" applyFill="1" applyBorder="1"/>
    <xf numFmtId="10" fontId="0" fillId="0" borderId="0" xfId="0" applyNumberFormat="1" applyBorder="1"/>
    <xf numFmtId="10" fontId="0" fillId="0" borderId="7" xfId="0" applyNumberFormat="1" applyBorder="1"/>
    <xf numFmtId="0" fontId="0" fillId="0" borderId="10" xfId="0" applyBorder="1"/>
    <xf numFmtId="10" fontId="0" fillId="0" borderId="11" xfId="0" applyNumberFormat="1" applyBorder="1"/>
    <xf numFmtId="10" fontId="0" fillId="0" borderId="11" xfId="2" applyNumberFormat="1" applyFont="1" applyBorder="1"/>
    <xf numFmtId="0" fontId="0" fillId="0" borderId="6" xfId="0" applyFill="1" applyBorder="1"/>
    <xf numFmtId="43" fontId="0" fillId="0" borderId="0" xfId="0" applyNumberFormat="1" applyBorder="1"/>
    <xf numFmtId="43" fontId="0" fillId="0" borderId="7" xfId="0" applyNumberFormat="1" applyBorder="1"/>
    <xf numFmtId="0" fontId="0" fillId="0" borderId="12" xfId="0" applyBorder="1"/>
    <xf numFmtId="165" fontId="0" fillId="0" borderId="13" xfId="0" applyNumberFormat="1" applyBorder="1"/>
    <xf numFmtId="165" fontId="0" fillId="0" borderId="14" xfId="0" applyNumberFormat="1" applyBorder="1"/>
    <xf numFmtId="0" fontId="0" fillId="0" borderId="15" xfId="0" applyBorder="1"/>
    <xf numFmtId="165" fontId="0" fillId="0" borderId="16" xfId="0" applyNumberFormat="1" applyBorder="1"/>
    <xf numFmtId="165" fontId="0" fillId="0" borderId="17" xfId="0" applyNumberFormat="1" applyBorder="1"/>
    <xf numFmtId="0" fontId="0" fillId="0" borderId="18" xfId="0" applyBorder="1"/>
    <xf numFmtId="10" fontId="0" fillId="0" borderId="19" xfId="2" applyNumberFormat="1" applyFont="1" applyBorder="1"/>
    <xf numFmtId="10" fontId="0" fillId="0" borderId="20" xfId="2" applyNumberFormat="1" applyFont="1" applyBorder="1"/>
    <xf numFmtId="0" fontId="0" fillId="3" borderId="0" xfId="0" applyFill="1" applyBorder="1"/>
    <xf numFmtId="0" fontId="0" fillId="3" borderId="7" xfId="0" applyFill="1" applyBorder="1"/>
    <xf numFmtId="0" fontId="0" fillId="0" borderId="19" xfId="0" applyBorder="1"/>
    <xf numFmtId="0" fontId="0" fillId="0" borderId="20" xfId="0" applyBorder="1"/>
    <xf numFmtId="164" fontId="0" fillId="3" borderId="17" xfId="0" applyNumberFormat="1" applyFill="1" applyBorder="1"/>
    <xf numFmtId="164" fontId="0" fillId="3" borderId="7" xfId="0" applyNumberFormat="1" applyFill="1" applyBorder="1"/>
    <xf numFmtId="43" fontId="0" fillId="3" borderId="7" xfId="1" applyFont="1" applyFill="1" applyBorder="1"/>
    <xf numFmtId="43" fontId="0" fillId="3" borderId="20" xfId="1" applyFont="1" applyFill="1" applyBorder="1"/>
    <xf numFmtId="0" fontId="2" fillId="0" borderId="21" xfId="0" applyFont="1" applyBorder="1"/>
    <xf numFmtId="0" fontId="2" fillId="0" borderId="22" xfId="0" applyFont="1" applyBorder="1"/>
    <xf numFmtId="0" fontId="2" fillId="0" borderId="23" xfId="0" applyFont="1" applyBorder="1"/>
    <xf numFmtId="0" fontId="2" fillId="0" borderId="24" xfId="0" applyFont="1" applyBorder="1"/>
    <xf numFmtId="10" fontId="0" fillId="0" borderId="0" xfId="0" applyNumberFormat="1"/>
    <xf numFmtId="43" fontId="0" fillId="4" borderId="7" xfId="1" applyFont="1" applyFill="1" applyBorder="1"/>
    <xf numFmtId="164" fontId="2" fillId="0" borderId="4" xfId="0" applyNumberFormat="1" applyFont="1" applyBorder="1"/>
    <xf numFmtId="10" fontId="2" fillId="5" borderId="4" xfId="0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colors>
    <mruColors>
      <color rgb="FFC7732D"/>
      <color rgb="FF2E398A"/>
      <color rgb="FF74B629"/>
      <color rgb="FFAD275C"/>
      <color rgb="FFC8C42D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Origination Best Execution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Sheet1!$B$66</c:f>
              <c:strCache>
                <c:ptCount val="1"/>
                <c:pt idx="0">
                  <c:v>Best Execution</c:v>
                </c:pt>
              </c:strCache>
            </c:strRef>
          </c:tx>
          <c:spPr>
            <a:ln>
              <a:noFill/>
            </a:ln>
          </c:spPr>
          <c:marker>
            <c:spPr>
              <a:solidFill>
                <a:srgbClr val="2E398A"/>
              </a:solidFill>
              <a:ln>
                <a:solidFill>
                  <a:srgbClr val="2E398A"/>
                </a:solidFill>
              </a:ln>
            </c:spPr>
          </c:marker>
          <c:cat>
            <c:numRef>
              <c:f>Sheet1!$C$67:$R$67</c:f>
              <c:numCache>
                <c:formatCode>0.00%</c:formatCode>
                <c:ptCount val="16"/>
                <c:pt idx="0">
                  <c:v>3.2500000000000001E-2</c:v>
                </c:pt>
                <c:pt idx="1">
                  <c:v>3.4500000000000003E-2</c:v>
                </c:pt>
                <c:pt idx="2">
                  <c:v>3.6500000000000005E-2</c:v>
                </c:pt>
                <c:pt idx="3">
                  <c:v>3.8500000000000006E-2</c:v>
                </c:pt>
                <c:pt idx="4">
                  <c:v>4.0500000000000008E-2</c:v>
                </c:pt>
                <c:pt idx="5">
                  <c:v>4.250000000000001E-2</c:v>
                </c:pt>
                <c:pt idx="6">
                  <c:v>4.4500000000000012E-2</c:v>
                </c:pt>
                <c:pt idx="7">
                  <c:v>4.6500000000000014E-2</c:v>
                </c:pt>
                <c:pt idx="8">
                  <c:v>4.8500000000000015E-2</c:v>
                </c:pt>
                <c:pt idx="9">
                  <c:v>5.0500000000000017E-2</c:v>
                </c:pt>
                <c:pt idx="10">
                  <c:v>5.2500000000000019E-2</c:v>
                </c:pt>
                <c:pt idx="11">
                  <c:v>5.4500000000000021E-2</c:v>
                </c:pt>
                <c:pt idx="12">
                  <c:v>5.6500000000000022E-2</c:v>
                </c:pt>
                <c:pt idx="13">
                  <c:v>5.8500000000000024E-2</c:v>
                </c:pt>
                <c:pt idx="14">
                  <c:v>6.0500000000000026E-2</c:v>
                </c:pt>
                <c:pt idx="15">
                  <c:v>6.2500000000000028E-2</c:v>
                </c:pt>
              </c:numCache>
            </c:numRef>
          </c:cat>
          <c:val>
            <c:numRef>
              <c:f>Sheet1!$C$66:$R$66</c:f>
              <c:numCache>
                <c:formatCode>0.00000</c:formatCode>
                <c:ptCount val="16"/>
                <c:pt idx="0">
                  <c:v>99.2697</c:v>
                </c:pt>
                <c:pt idx="1">
                  <c:v>100.4768</c:v>
                </c:pt>
                <c:pt idx="2">
                  <c:v>102.0168</c:v>
                </c:pt>
                <c:pt idx="3">
                  <c:v>103.16080000000001</c:v>
                </c:pt>
                <c:pt idx="4">
                  <c:v>104.16240000000001</c:v>
                </c:pt>
                <c:pt idx="5">
                  <c:v>105.63640000000001</c:v>
                </c:pt>
                <c:pt idx="6">
                  <c:v>106.5164</c:v>
                </c:pt>
                <c:pt idx="7">
                  <c:v>107.10270000000001</c:v>
                </c:pt>
                <c:pt idx="8">
                  <c:v>108.2467</c:v>
                </c:pt>
                <c:pt idx="9">
                  <c:v>109.1267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smooth val="0"/>
        </c:ser>
        <c:ser>
          <c:idx val="4"/>
          <c:order val="1"/>
          <c:tx>
            <c:strRef>
              <c:f>Sheet1!$B$24</c:f>
              <c:strCache>
                <c:ptCount val="1"/>
                <c:pt idx="0">
                  <c:v>Execution (2.5%)</c:v>
                </c:pt>
              </c:strCache>
            </c:strRef>
          </c:tx>
          <c:spPr>
            <a:ln>
              <a:solidFill>
                <a:srgbClr val="C8C42D"/>
              </a:solidFill>
              <a:prstDash val="sysDash"/>
            </a:ln>
          </c:spPr>
          <c:marker>
            <c:symbol val="none"/>
          </c:marker>
          <c:val>
            <c:numRef>
              <c:f>Sheet1!$C$24:$H$24</c:f>
              <c:numCache>
                <c:formatCode>0.00000</c:formatCode>
                <c:ptCount val="6"/>
                <c:pt idx="0">
                  <c:v>99.2697</c:v>
                </c:pt>
                <c:pt idx="1">
                  <c:v>100.14970000000001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</c:ser>
        <c:ser>
          <c:idx val="3"/>
          <c:order val="2"/>
          <c:tx>
            <c:strRef>
              <c:f>Sheet1!$B$37</c:f>
              <c:strCache>
                <c:ptCount val="1"/>
                <c:pt idx="0">
                  <c:v>Execution (3.0%)</c:v>
                </c:pt>
              </c:strCache>
            </c:strRef>
          </c:tx>
          <c:spPr>
            <a:ln>
              <a:solidFill>
                <a:srgbClr val="AD275C"/>
              </a:solidFill>
              <a:prstDash val="dashDot"/>
            </a:ln>
          </c:spPr>
          <c:marker>
            <c:symbol val="none"/>
          </c:marker>
          <c:val>
            <c:numRef>
              <c:f>Sheet1!$C$37:$K$37</c:f>
              <c:numCache>
                <c:formatCode>0.00000</c:formatCode>
                <c:ptCount val="9"/>
                <c:pt idx="0">
                  <c:v>98.936800000000005</c:v>
                </c:pt>
                <c:pt idx="1">
                  <c:v>100.4768</c:v>
                </c:pt>
                <c:pt idx="2">
                  <c:v>102.0168</c:v>
                </c:pt>
                <c:pt idx="3">
                  <c:v>103.16080000000001</c:v>
                </c:pt>
                <c:pt idx="4">
                  <c:v>104.0408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smooth val="0"/>
        </c:ser>
        <c:ser>
          <c:idx val="1"/>
          <c:order val="3"/>
          <c:tx>
            <c:strRef>
              <c:f>Sheet1!$B$50</c:f>
              <c:strCache>
                <c:ptCount val="1"/>
                <c:pt idx="0">
                  <c:v>Execution (3.5%)</c:v>
                </c:pt>
              </c:strCache>
            </c:strRef>
          </c:tx>
          <c:spPr>
            <a:ln>
              <a:solidFill>
                <a:srgbClr val="74B629"/>
              </a:solidFill>
              <a:prstDash val="lgDash"/>
            </a:ln>
          </c:spPr>
          <c:marker>
            <c:symbol val="none"/>
          </c:marker>
          <c:val>
            <c:numRef>
              <c:f>Sheet1!$C$50:$M$50</c:f>
              <c:numCache>
                <c:formatCode>0.00000</c:formatCode>
                <c:ptCount val="11"/>
                <c:pt idx="0">
                  <c:v>98.002399999999994</c:v>
                </c:pt>
                <c:pt idx="1">
                  <c:v>99.542400000000001</c:v>
                </c:pt>
                <c:pt idx="2">
                  <c:v>101.08240000000001</c:v>
                </c:pt>
                <c:pt idx="3">
                  <c:v>102.6224</c:v>
                </c:pt>
                <c:pt idx="4">
                  <c:v>104.16240000000001</c:v>
                </c:pt>
                <c:pt idx="5">
                  <c:v>105.63640000000001</c:v>
                </c:pt>
                <c:pt idx="6">
                  <c:v>106.5164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smooth val="0"/>
        </c:ser>
        <c:ser>
          <c:idx val="2"/>
          <c:order val="4"/>
          <c:tx>
            <c:strRef>
              <c:f>Sheet1!$B$63</c:f>
              <c:strCache>
                <c:ptCount val="1"/>
                <c:pt idx="0">
                  <c:v>Execution (4.0%)</c:v>
                </c:pt>
              </c:strCache>
            </c:strRef>
          </c:tx>
          <c:spPr>
            <a:ln w="28575">
              <a:solidFill>
                <a:srgbClr val="C7732D"/>
              </a:solidFill>
              <a:prstDash val="lgDashDotDot"/>
            </a:ln>
          </c:spPr>
          <c:marker>
            <c:symbol val="none"/>
          </c:marker>
          <c:val>
            <c:numRef>
              <c:f>Sheet1!$C$63:$P$63</c:f>
              <c:numCache>
                <c:formatCode>0.00000</c:formatCode>
                <c:ptCount val="14"/>
                <c:pt idx="0">
                  <c:v>96.322699999999998</c:v>
                </c:pt>
                <c:pt idx="1">
                  <c:v>97.862700000000004</c:v>
                </c:pt>
                <c:pt idx="2">
                  <c:v>99.402699999999996</c:v>
                </c:pt>
                <c:pt idx="3">
                  <c:v>100.9427</c:v>
                </c:pt>
                <c:pt idx="4">
                  <c:v>102.48270000000001</c:v>
                </c:pt>
                <c:pt idx="5">
                  <c:v>104.0227</c:v>
                </c:pt>
                <c:pt idx="6">
                  <c:v>105.56270000000001</c:v>
                </c:pt>
                <c:pt idx="7">
                  <c:v>107.10270000000001</c:v>
                </c:pt>
                <c:pt idx="8">
                  <c:v>108.2467</c:v>
                </c:pt>
                <c:pt idx="9">
                  <c:v>109.1267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7794816"/>
        <c:axId val="198528384"/>
      </c:lineChart>
      <c:catAx>
        <c:axId val="1977948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Primary Mortgage Rate</a:t>
                </a:r>
              </a:p>
            </c:rich>
          </c:tx>
          <c:layout/>
          <c:overlay val="0"/>
        </c:title>
        <c:numFmt formatCode="0.00%" sourceLinked="1"/>
        <c:majorTickMark val="out"/>
        <c:minorTickMark val="none"/>
        <c:tickLblPos val="nextTo"/>
        <c:crossAx val="198528384"/>
        <c:crosses val="autoZero"/>
        <c:auto val="1"/>
        <c:lblAlgn val="ctr"/>
        <c:lblOffset val="100"/>
        <c:noMultiLvlLbl val="0"/>
      </c:catAx>
      <c:valAx>
        <c:axId val="198528384"/>
        <c:scaling>
          <c:orientation val="minMax"/>
          <c:max val="110"/>
          <c:min val="95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Execution</a:t>
                </a:r>
                <a:r>
                  <a:rPr lang="en-US" baseline="0"/>
                  <a:t> Price</a:t>
                </a:r>
                <a:endParaRPr lang="en-US"/>
              </a:p>
            </c:rich>
          </c:tx>
          <c:layout/>
          <c:overlay val="0"/>
        </c:title>
        <c:numFmt formatCode="0" sourceLinked="0"/>
        <c:majorTickMark val="out"/>
        <c:minorTickMark val="none"/>
        <c:tickLblPos val="nextTo"/>
        <c:crossAx val="197794816"/>
        <c:crosses val="autoZero"/>
        <c:crossBetween val="between"/>
      </c:valAx>
    </c:plotArea>
    <c:legend>
      <c:legendPos val="l"/>
      <c:layout>
        <c:manualLayout>
          <c:xMode val="edge"/>
          <c:yMode val="edge"/>
          <c:x val="0.71309339591577259"/>
          <c:y val="0.56171618255503453"/>
          <c:w val="0.18292243489497817"/>
          <c:h val="0.19405733476442938"/>
        </c:manualLayout>
      </c:layout>
      <c:overlay val="1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Best Execution Coupon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Sheet1!$B$68</c:f>
              <c:strCache>
                <c:ptCount val="1"/>
                <c:pt idx="0">
                  <c:v>Coupon</c:v>
                </c:pt>
              </c:strCache>
            </c:strRef>
          </c:tx>
          <c:spPr>
            <a:solidFill>
              <a:srgbClr val="2E398A"/>
            </a:solidFill>
            <a:ln>
              <a:solidFill>
                <a:srgbClr val="2E398A"/>
              </a:solidFill>
            </a:ln>
          </c:spPr>
          <c:invertIfNegative val="0"/>
          <c:cat>
            <c:numRef>
              <c:f>Sheet1!$C$67:$R$67</c:f>
              <c:numCache>
                <c:formatCode>0.00%</c:formatCode>
                <c:ptCount val="16"/>
                <c:pt idx="0">
                  <c:v>3.2500000000000001E-2</c:v>
                </c:pt>
                <c:pt idx="1">
                  <c:v>3.4500000000000003E-2</c:v>
                </c:pt>
                <c:pt idx="2">
                  <c:v>3.6500000000000005E-2</c:v>
                </c:pt>
                <c:pt idx="3">
                  <c:v>3.8500000000000006E-2</c:v>
                </c:pt>
                <c:pt idx="4">
                  <c:v>4.0500000000000008E-2</c:v>
                </c:pt>
                <c:pt idx="5">
                  <c:v>4.250000000000001E-2</c:v>
                </c:pt>
                <c:pt idx="6">
                  <c:v>4.4500000000000012E-2</c:v>
                </c:pt>
                <c:pt idx="7">
                  <c:v>4.6500000000000014E-2</c:v>
                </c:pt>
                <c:pt idx="8">
                  <c:v>4.8500000000000015E-2</c:v>
                </c:pt>
                <c:pt idx="9">
                  <c:v>5.0500000000000017E-2</c:v>
                </c:pt>
                <c:pt idx="10">
                  <c:v>5.2500000000000019E-2</c:v>
                </c:pt>
                <c:pt idx="11">
                  <c:v>5.4500000000000021E-2</c:v>
                </c:pt>
                <c:pt idx="12">
                  <c:v>5.6500000000000022E-2</c:v>
                </c:pt>
                <c:pt idx="13">
                  <c:v>5.8500000000000024E-2</c:v>
                </c:pt>
                <c:pt idx="14">
                  <c:v>6.0500000000000026E-2</c:v>
                </c:pt>
                <c:pt idx="15">
                  <c:v>6.2500000000000028E-2</c:v>
                </c:pt>
              </c:numCache>
            </c:numRef>
          </c:cat>
          <c:val>
            <c:numRef>
              <c:f>Sheet1!$C$68:$R$68</c:f>
              <c:numCache>
                <c:formatCode>0.00%</c:formatCode>
                <c:ptCount val="16"/>
                <c:pt idx="0">
                  <c:v>2.5000000000000001E-2</c:v>
                </c:pt>
                <c:pt idx="1">
                  <c:v>3.0000000000000002E-2</c:v>
                </c:pt>
                <c:pt idx="2">
                  <c:v>3.0000000000000002E-2</c:v>
                </c:pt>
                <c:pt idx="3">
                  <c:v>3.0000000000000002E-2</c:v>
                </c:pt>
                <c:pt idx="4">
                  <c:v>3.5000000000000003E-2</c:v>
                </c:pt>
                <c:pt idx="5">
                  <c:v>3.5000000000000003E-2</c:v>
                </c:pt>
                <c:pt idx="6">
                  <c:v>3.5000000000000003E-2</c:v>
                </c:pt>
                <c:pt idx="7">
                  <c:v>0.04</c:v>
                </c:pt>
                <c:pt idx="8">
                  <c:v>0.04</c:v>
                </c:pt>
                <c:pt idx="9">
                  <c:v>0.04</c:v>
                </c:pt>
                <c:pt idx="10">
                  <c:v>0.04</c:v>
                </c:pt>
                <c:pt idx="11">
                  <c:v>0.04</c:v>
                </c:pt>
                <c:pt idx="12">
                  <c:v>0.04</c:v>
                </c:pt>
                <c:pt idx="13">
                  <c:v>0.04</c:v>
                </c:pt>
                <c:pt idx="14">
                  <c:v>0.04</c:v>
                </c:pt>
                <c:pt idx="15">
                  <c:v>0.04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95392000"/>
        <c:axId val="249892864"/>
      </c:barChart>
      <c:catAx>
        <c:axId val="2953920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Primary</a:t>
                </a:r>
                <a:r>
                  <a:rPr lang="en-US" baseline="0"/>
                  <a:t> Mortgage Rate</a:t>
                </a:r>
                <a:endParaRPr lang="en-US"/>
              </a:p>
            </c:rich>
          </c:tx>
          <c:layout/>
          <c:overlay val="0"/>
        </c:title>
        <c:numFmt formatCode="0.00%" sourceLinked="1"/>
        <c:majorTickMark val="out"/>
        <c:minorTickMark val="none"/>
        <c:tickLblPos val="nextTo"/>
        <c:crossAx val="249892864"/>
        <c:crosses val="autoZero"/>
        <c:auto val="1"/>
        <c:lblAlgn val="ctr"/>
        <c:lblOffset val="100"/>
        <c:noMultiLvlLbl val="0"/>
      </c:catAx>
      <c:valAx>
        <c:axId val="249892864"/>
        <c:scaling>
          <c:orientation val="minMax"/>
          <c:max val="4.0000000000000008E-2"/>
          <c:min val="2.0000000000000004E-2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Execution</a:t>
                </a:r>
                <a:r>
                  <a:rPr lang="en-US" baseline="0"/>
                  <a:t> Coupon</a:t>
                </a:r>
                <a:endParaRPr lang="en-US"/>
              </a:p>
            </c:rich>
          </c:tx>
          <c:layout/>
          <c:overlay val="0"/>
        </c:title>
        <c:numFmt formatCode="0.00%" sourceLinked="1"/>
        <c:majorTickMark val="out"/>
        <c:minorTickMark val="none"/>
        <c:tickLblPos val="nextTo"/>
        <c:crossAx val="29539200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613832</xdr:colOff>
      <xdr:row>11</xdr:row>
      <xdr:rowOff>147105</xdr:rowOff>
    </xdr:from>
    <xdr:to>
      <xdr:col>30</xdr:col>
      <xdr:colOff>571499</xdr:colOff>
      <xdr:row>42</xdr:row>
      <xdr:rowOff>105831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37040</xdr:colOff>
      <xdr:row>44</xdr:row>
      <xdr:rowOff>147109</xdr:rowOff>
    </xdr:from>
    <xdr:to>
      <xdr:col>30</xdr:col>
      <xdr:colOff>571500</xdr:colOff>
      <xdr:row>70</xdr:row>
      <xdr:rowOff>148167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R68"/>
  <sheetViews>
    <sheetView showGridLines="0" tabSelected="1" zoomScale="90" zoomScaleNormal="90" workbookViewId="0">
      <selection activeCell="J8" sqref="J8"/>
    </sheetView>
  </sheetViews>
  <sheetFormatPr defaultRowHeight="15" x14ac:dyDescent="0.25"/>
  <cols>
    <col min="2" max="2" width="22.140625" customWidth="1"/>
    <col min="3" max="18" width="12.140625" bestFit="1" customWidth="1"/>
  </cols>
  <sheetData>
    <row r="2" spans="2:18" ht="15.75" thickBot="1" x14ac:dyDescent="0.3"/>
    <row r="3" spans="2:18" x14ac:dyDescent="0.25">
      <c r="B3" s="37" t="s">
        <v>1</v>
      </c>
      <c r="C3" s="5">
        <v>2.5000000000000001E-2</v>
      </c>
      <c r="D3" s="5">
        <f>C3+0.5%</f>
        <v>3.0000000000000002E-2</v>
      </c>
      <c r="E3" s="5">
        <f t="shared" ref="E3:F3" si="0">D3+0.5%</f>
        <v>3.5000000000000003E-2</v>
      </c>
      <c r="F3" s="5">
        <f t="shared" si="0"/>
        <v>0.04</v>
      </c>
    </row>
    <row r="4" spans="2:18" x14ac:dyDescent="0.25">
      <c r="B4" s="38" t="s">
        <v>0</v>
      </c>
      <c r="C4" s="29">
        <v>98.181700000000006</v>
      </c>
      <c r="D4" s="29">
        <v>101.6328</v>
      </c>
      <c r="E4" s="29">
        <v>104.5484</v>
      </c>
      <c r="F4" s="30">
        <v>106.7187</v>
      </c>
    </row>
    <row r="5" spans="2:18" ht="15.75" thickBot="1" x14ac:dyDescent="0.3">
      <c r="B5" s="39" t="s">
        <v>19</v>
      </c>
      <c r="C5" s="31"/>
      <c r="D5" s="31">
        <f>D4-C4</f>
        <v>3.4510999999999967</v>
      </c>
      <c r="E5" s="31">
        <f>E4-D4</f>
        <v>2.9155999999999977</v>
      </c>
      <c r="F5" s="32">
        <f>F4-E4</f>
        <v>2.1702999999999975</v>
      </c>
    </row>
    <row r="6" spans="2:18" x14ac:dyDescent="0.25">
      <c r="B6" s="40" t="s">
        <v>2</v>
      </c>
      <c r="C6" s="33">
        <v>4.7999999999999996E-3</v>
      </c>
    </row>
    <row r="7" spans="2:18" x14ac:dyDescent="0.25">
      <c r="B7" s="38" t="s">
        <v>3</v>
      </c>
      <c r="C7" s="34">
        <v>2.5000000000000001E-3</v>
      </c>
    </row>
    <row r="8" spans="2:18" x14ac:dyDescent="0.25">
      <c r="B8" s="38" t="s">
        <v>20</v>
      </c>
      <c r="C8" s="42">
        <v>4</v>
      </c>
      <c r="H8" s="41"/>
    </row>
    <row r="9" spans="2:18" x14ac:dyDescent="0.25">
      <c r="B9" s="38" t="s">
        <v>4</v>
      </c>
      <c r="C9" s="34">
        <v>3.7499999999999999E-3</v>
      </c>
    </row>
    <row r="10" spans="2:18" x14ac:dyDescent="0.25">
      <c r="B10" s="38" t="s">
        <v>5</v>
      </c>
      <c r="C10" s="35">
        <v>4.4000000000000004</v>
      </c>
    </row>
    <row r="11" spans="2:18" ht="15.75" thickBot="1" x14ac:dyDescent="0.3">
      <c r="B11" s="39" t="s">
        <v>6</v>
      </c>
      <c r="C11" s="36">
        <v>7.7</v>
      </c>
    </row>
    <row r="13" spans="2:18" ht="15.75" thickBot="1" x14ac:dyDescent="0.3"/>
    <row r="14" spans="2:18" x14ac:dyDescent="0.25">
      <c r="B14" s="4" t="s">
        <v>7</v>
      </c>
      <c r="C14" s="44">
        <v>3.2500000000000001E-2</v>
      </c>
      <c r="D14" s="43">
        <f>C14+0.2%</f>
        <v>3.4500000000000003E-2</v>
      </c>
      <c r="E14" s="43">
        <f t="shared" ref="E14:P14" si="1">D14+0.2%</f>
        <v>3.6500000000000005E-2</v>
      </c>
      <c r="F14" s="43">
        <f t="shared" si="1"/>
        <v>3.8500000000000006E-2</v>
      </c>
      <c r="G14" s="43">
        <f t="shared" si="1"/>
        <v>4.0500000000000008E-2</v>
      </c>
      <c r="H14" s="43">
        <f t="shared" si="1"/>
        <v>4.250000000000001E-2</v>
      </c>
      <c r="I14" s="43">
        <f t="shared" si="1"/>
        <v>4.4500000000000012E-2</v>
      </c>
      <c r="J14" s="43">
        <f t="shared" si="1"/>
        <v>4.6500000000000014E-2</v>
      </c>
      <c r="K14" s="43">
        <f t="shared" si="1"/>
        <v>4.8500000000000015E-2</v>
      </c>
      <c r="L14" s="43">
        <f t="shared" si="1"/>
        <v>5.0500000000000017E-2</v>
      </c>
      <c r="M14" s="43">
        <f t="shared" si="1"/>
        <v>5.2500000000000019E-2</v>
      </c>
      <c r="N14" s="43">
        <f t="shared" si="1"/>
        <v>5.4500000000000021E-2</v>
      </c>
      <c r="O14" s="43">
        <f t="shared" si="1"/>
        <v>5.6500000000000022E-2</v>
      </c>
      <c r="P14" s="43">
        <f t="shared" si="1"/>
        <v>5.8500000000000024E-2</v>
      </c>
      <c r="Q14" s="5">
        <f>P14+0.2%</f>
        <v>6.0500000000000026E-2</v>
      </c>
      <c r="R14" s="6">
        <f>Q14+0.2%</f>
        <v>6.2500000000000028E-2</v>
      </c>
    </row>
    <row r="15" spans="2:18" x14ac:dyDescent="0.25">
      <c r="B15" s="7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9"/>
    </row>
    <row r="16" spans="2:18" x14ac:dyDescent="0.25">
      <c r="B16" s="10" t="s">
        <v>1</v>
      </c>
      <c r="C16" s="2">
        <f>$C$3</f>
        <v>2.5000000000000001E-2</v>
      </c>
      <c r="D16" s="2">
        <f t="shared" ref="D16:R16" si="2">$C$3</f>
        <v>2.5000000000000001E-2</v>
      </c>
      <c r="E16" s="2">
        <f t="shared" si="2"/>
        <v>2.5000000000000001E-2</v>
      </c>
      <c r="F16" s="2">
        <f t="shared" si="2"/>
        <v>2.5000000000000001E-2</v>
      </c>
      <c r="G16" s="2">
        <f t="shared" si="2"/>
        <v>2.5000000000000001E-2</v>
      </c>
      <c r="H16" s="2">
        <f t="shared" si="2"/>
        <v>2.5000000000000001E-2</v>
      </c>
      <c r="I16" s="2">
        <f t="shared" si="2"/>
        <v>2.5000000000000001E-2</v>
      </c>
      <c r="J16" s="2">
        <f t="shared" si="2"/>
        <v>2.5000000000000001E-2</v>
      </c>
      <c r="K16" s="2">
        <f t="shared" si="2"/>
        <v>2.5000000000000001E-2</v>
      </c>
      <c r="L16" s="2">
        <f t="shared" si="2"/>
        <v>2.5000000000000001E-2</v>
      </c>
      <c r="M16" s="2">
        <f t="shared" si="2"/>
        <v>2.5000000000000001E-2</v>
      </c>
      <c r="N16" s="2">
        <f t="shared" si="2"/>
        <v>2.5000000000000001E-2</v>
      </c>
      <c r="O16" s="2">
        <f t="shared" si="2"/>
        <v>2.5000000000000001E-2</v>
      </c>
      <c r="P16" s="2">
        <f t="shared" si="2"/>
        <v>2.5000000000000001E-2</v>
      </c>
      <c r="Q16" s="2">
        <f t="shared" si="2"/>
        <v>2.5000000000000001E-2</v>
      </c>
      <c r="R16" s="11">
        <f t="shared" si="2"/>
        <v>2.5000000000000001E-2</v>
      </c>
    </row>
    <row r="17" spans="2:18" x14ac:dyDescent="0.25">
      <c r="B17" s="7" t="s">
        <v>8</v>
      </c>
      <c r="C17" s="12">
        <f>$C$6</f>
        <v>4.7999999999999996E-3</v>
      </c>
      <c r="D17" s="12">
        <f t="shared" ref="D17:R17" si="3">$C$6</f>
        <v>4.7999999999999996E-3</v>
      </c>
      <c r="E17" s="12">
        <f t="shared" si="3"/>
        <v>4.7999999999999996E-3</v>
      </c>
      <c r="F17" s="12">
        <f t="shared" si="3"/>
        <v>4.7999999999999996E-3</v>
      </c>
      <c r="G17" s="12">
        <f t="shared" si="3"/>
        <v>4.7999999999999996E-3</v>
      </c>
      <c r="H17" s="12">
        <f t="shared" si="3"/>
        <v>4.7999999999999996E-3</v>
      </c>
      <c r="I17" s="12">
        <f t="shared" si="3"/>
        <v>4.7999999999999996E-3</v>
      </c>
      <c r="J17" s="12">
        <f t="shared" si="3"/>
        <v>4.7999999999999996E-3</v>
      </c>
      <c r="K17" s="12">
        <f t="shared" si="3"/>
        <v>4.7999999999999996E-3</v>
      </c>
      <c r="L17" s="12">
        <f t="shared" si="3"/>
        <v>4.7999999999999996E-3</v>
      </c>
      <c r="M17" s="12">
        <f t="shared" si="3"/>
        <v>4.7999999999999996E-3</v>
      </c>
      <c r="N17" s="12">
        <f t="shared" si="3"/>
        <v>4.7999999999999996E-3</v>
      </c>
      <c r="O17" s="12">
        <f t="shared" si="3"/>
        <v>4.7999999999999996E-3</v>
      </c>
      <c r="P17" s="12">
        <f t="shared" si="3"/>
        <v>4.7999999999999996E-3</v>
      </c>
      <c r="Q17" s="12">
        <f t="shared" si="3"/>
        <v>4.7999999999999996E-3</v>
      </c>
      <c r="R17" s="13">
        <f t="shared" si="3"/>
        <v>4.7999999999999996E-3</v>
      </c>
    </row>
    <row r="18" spans="2:18" x14ac:dyDescent="0.25">
      <c r="B18" s="14" t="s">
        <v>3</v>
      </c>
      <c r="C18" s="3">
        <f>$C$7</f>
        <v>2.5000000000000001E-3</v>
      </c>
      <c r="D18" s="3">
        <f t="shared" ref="D18:R18" si="4">$C$7</f>
        <v>2.5000000000000001E-3</v>
      </c>
      <c r="E18" s="3">
        <f t="shared" si="4"/>
        <v>2.5000000000000001E-3</v>
      </c>
      <c r="F18" s="3">
        <f t="shared" si="4"/>
        <v>2.5000000000000001E-3</v>
      </c>
      <c r="G18" s="3">
        <f t="shared" si="4"/>
        <v>2.5000000000000001E-3</v>
      </c>
      <c r="H18" s="3">
        <f t="shared" si="4"/>
        <v>2.5000000000000001E-3</v>
      </c>
      <c r="I18" s="3">
        <f t="shared" si="4"/>
        <v>2.5000000000000001E-3</v>
      </c>
      <c r="J18" s="3">
        <f t="shared" si="4"/>
        <v>2.5000000000000001E-3</v>
      </c>
      <c r="K18" s="3">
        <f t="shared" si="4"/>
        <v>2.5000000000000001E-3</v>
      </c>
      <c r="L18" s="3">
        <f t="shared" si="4"/>
        <v>2.5000000000000001E-3</v>
      </c>
      <c r="M18" s="3">
        <f t="shared" si="4"/>
        <v>2.5000000000000001E-3</v>
      </c>
      <c r="N18" s="3">
        <f t="shared" si="4"/>
        <v>2.5000000000000001E-3</v>
      </c>
      <c r="O18" s="3">
        <f t="shared" si="4"/>
        <v>2.5000000000000001E-3</v>
      </c>
      <c r="P18" s="3">
        <f t="shared" si="4"/>
        <v>2.5000000000000001E-3</v>
      </c>
      <c r="Q18" s="3">
        <f t="shared" si="4"/>
        <v>2.5000000000000001E-3</v>
      </c>
      <c r="R18" s="15">
        <f t="shared" si="4"/>
        <v>2.5000000000000001E-3</v>
      </c>
    </row>
    <row r="19" spans="2:18" x14ac:dyDescent="0.25">
      <c r="B19" s="7" t="s">
        <v>9</v>
      </c>
      <c r="C19" s="12">
        <f>IF((C14-C16-C17-C18)&lt;0,0,C14-C16-C17-C18)</f>
        <v>2.0000000000000009E-4</v>
      </c>
      <c r="D19" s="12">
        <f t="shared" ref="D19:R19" si="5">IF((D14-D16-D17-D18)&lt;0,0,D14-D16-D17-D18)</f>
        <v>2.2000000000000019E-3</v>
      </c>
      <c r="E19" s="12">
        <f t="shared" si="5"/>
        <v>4.2000000000000041E-3</v>
      </c>
      <c r="F19" s="12">
        <f t="shared" si="5"/>
        <v>6.2000000000000059E-3</v>
      </c>
      <c r="G19" s="12">
        <f t="shared" si="5"/>
        <v>8.2000000000000076E-3</v>
      </c>
      <c r="H19" s="12">
        <f t="shared" si="5"/>
        <v>1.0200000000000009E-2</v>
      </c>
      <c r="I19" s="12">
        <f t="shared" si="5"/>
        <v>1.2200000000000011E-2</v>
      </c>
      <c r="J19" s="12">
        <f t="shared" si="5"/>
        <v>1.4200000000000013E-2</v>
      </c>
      <c r="K19" s="12">
        <f t="shared" si="5"/>
        <v>1.6200000000000016E-2</v>
      </c>
      <c r="L19" s="12">
        <f t="shared" si="5"/>
        <v>1.8200000000000018E-2</v>
      </c>
      <c r="M19" s="12">
        <f t="shared" si="5"/>
        <v>2.020000000000002E-2</v>
      </c>
      <c r="N19" s="12">
        <f t="shared" si="5"/>
        <v>2.2200000000000022E-2</v>
      </c>
      <c r="O19" s="12">
        <f t="shared" si="5"/>
        <v>2.4200000000000024E-2</v>
      </c>
      <c r="P19" s="12">
        <f t="shared" si="5"/>
        <v>2.6200000000000025E-2</v>
      </c>
      <c r="Q19" s="12">
        <f t="shared" si="5"/>
        <v>2.8200000000000027E-2</v>
      </c>
      <c r="R19" s="13">
        <f t="shared" si="5"/>
        <v>3.0200000000000029E-2</v>
      </c>
    </row>
    <row r="20" spans="2:18" x14ac:dyDescent="0.25">
      <c r="B20" s="14" t="s">
        <v>10</v>
      </c>
      <c r="C20" s="1">
        <f>IF((C14-C16-C18-C17)&gt;0,0,C14-C16-C17-C18)</f>
        <v>0</v>
      </c>
      <c r="D20" s="1">
        <f t="shared" ref="D20:R20" si="6">IF((D14-D16-D18-D17)&gt;0,0,D14-D16-D17-D18)</f>
        <v>0</v>
      </c>
      <c r="E20" s="1">
        <f t="shared" si="6"/>
        <v>0</v>
      </c>
      <c r="F20" s="1">
        <f t="shared" si="6"/>
        <v>0</v>
      </c>
      <c r="G20" s="1">
        <f t="shared" si="6"/>
        <v>0</v>
      </c>
      <c r="H20" s="1">
        <f t="shared" si="6"/>
        <v>0</v>
      </c>
      <c r="I20" s="1">
        <f t="shared" si="6"/>
        <v>0</v>
      </c>
      <c r="J20" s="1">
        <f t="shared" si="6"/>
        <v>0</v>
      </c>
      <c r="K20" s="1">
        <f t="shared" si="6"/>
        <v>0</v>
      </c>
      <c r="L20" s="1">
        <f t="shared" si="6"/>
        <v>0</v>
      </c>
      <c r="M20" s="1">
        <f t="shared" si="6"/>
        <v>0</v>
      </c>
      <c r="N20" s="1">
        <f t="shared" si="6"/>
        <v>0</v>
      </c>
      <c r="O20" s="1">
        <f t="shared" si="6"/>
        <v>0</v>
      </c>
      <c r="P20" s="1">
        <f t="shared" si="6"/>
        <v>0</v>
      </c>
      <c r="Q20" s="1">
        <f t="shared" si="6"/>
        <v>0</v>
      </c>
      <c r="R20" s="16">
        <f t="shared" si="6"/>
        <v>0</v>
      </c>
    </row>
    <row r="21" spans="2:18" x14ac:dyDescent="0.25">
      <c r="B21" s="17" t="s">
        <v>11</v>
      </c>
      <c r="C21" s="8">
        <f>$C$4</f>
        <v>98.181700000000006</v>
      </c>
      <c r="D21" s="8">
        <f t="shared" ref="D21:R21" si="7">$C$4</f>
        <v>98.181700000000006</v>
      </c>
      <c r="E21" s="8">
        <f t="shared" si="7"/>
        <v>98.181700000000006</v>
      </c>
      <c r="F21" s="8">
        <f t="shared" si="7"/>
        <v>98.181700000000006</v>
      </c>
      <c r="G21" s="8">
        <f t="shared" si="7"/>
        <v>98.181700000000006</v>
      </c>
      <c r="H21" s="8">
        <f t="shared" si="7"/>
        <v>98.181700000000006</v>
      </c>
      <c r="I21" s="8">
        <f t="shared" si="7"/>
        <v>98.181700000000006</v>
      </c>
      <c r="J21" s="8">
        <f t="shared" si="7"/>
        <v>98.181700000000006</v>
      </c>
      <c r="K21" s="8">
        <f t="shared" si="7"/>
        <v>98.181700000000006</v>
      </c>
      <c r="L21" s="8">
        <f t="shared" si="7"/>
        <v>98.181700000000006</v>
      </c>
      <c r="M21" s="8">
        <f t="shared" si="7"/>
        <v>98.181700000000006</v>
      </c>
      <c r="N21" s="8">
        <f t="shared" si="7"/>
        <v>98.181700000000006</v>
      </c>
      <c r="O21" s="8">
        <f t="shared" si="7"/>
        <v>98.181700000000006</v>
      </c>
      <c r="P21" s="8">
        <f t="shared" si="7"/>
        <v>98.181700000000006</v>
      </c>
      <c r="Q21" s="8">
        <f t="shared" si="7"/>
        <v>98.181700000000006</v>
      </c>
      <c r="R21" s="9">
        <f t="shared" si="7"/>
        <v>98.181700000000006</v>
      </c>
    </row>
    <row r="22" spans="2:18" x14ac:dyDescent="0.25">
      <c r="B22" s="17" t="s">
        <v>12</v>
      </c>
      <c r="C22" s="18">
        <f>100*C18*$C$8</f>
        <v>1</v>
      </c>
      <c r="D22" s="18">
        <f t="shared" ref="D22:R22" si="8">100*D18*$C$8</f>
        <v>1</v>
      </c>
      <c r="E22" s="18">
        <f t="shared" si="8"/>
        <v>1</v>
      </c>
      <c r="F22" s="18">
        <f t="shared" si="8"/>
        <v>1</v>
      </c>
      <c r="G22" s="18">
        <f t="shared" si="8"/>
        <v>1</v>
      </c>
      <c r="H22" s="18">
        <f t="shared" si="8"/>
        <v>1</v>
      </c>
      <c r="I22" s="18">
        <f t="shared" si="8"/>
        <v>1</v>
      </c>
      <c r="J22" s="18">
        <f t="shared" si="8"/>
        <v>1</v>
      </c>
      <c r="K22" s="18">
        <f t="shared" si="8"/>
        <v>1</v>
      </c>
      <c r="L22" s="18">
        <f t="shared" si="8"/>
        <v>1</v>
      </c>
      <c r="M22" s="18">
        <f t="shared" si="8"/>
        <v>1</v>
      </c>
      <c r="N22" s="18">
        <f t="shared" si="8"/>
        <v>1</v>
      </c>
      <c r="O22" s="18">
        <f t="shared" si="8"/>
        <v>1</v>
      </c>
      <c r="P22" s="18">
        <f t="shared" si="8"/>
        <v>1</v>
      </c>
      <c r="Q22" s="18">
        <f t="shared" si="8"/>
        <v>1</v>
      </c>
      <c r="R22" s="19">
        <f t="shared" si="8"/>
        <v>1</v>
      </c>
    </row>
    <row r="23" spans="2:18" x14ac:dyDescent="0.25">
      <c r="B23" s="17" t="s">
        <v>13</v>
      </c>
      <c r="C23" s="18">
        <f>100*(C19*$C$10 +C20*$C$11)</f>
        <v>8.800000000000005E-2</v>
      </c>
      <c r="D23" s="18">
        <f t="shared" ref="D23:R23" si="9">100*(D19*$C$10 +D20*$C$11)</f>
        <v>0.96800000000000097</v>
      </c>
      <c r="E23" s="18">
        <f t="shared" si="9"/>
        <v>1.8480000000000021</v>
      </c>
      <c r="F23" s="18">
        <f t="shared" si="9"/>
        <v>2.7280000000000024</v>
      </c>
      <c r="G23" s="18">
        <f t="shared" si="9"/>
        <v>3.6080000000000036</v>
      </c>
      <c r="H23" s="18">
        <f t="shared" si="9"/>
        <v>4.4880000000000049</v>
      </c>
      <c r="I23" s="18">
        <f t="shared" si="9"/>
        <v>5.3680000000000057</v>
      </c>
      <c r="J23" s="18">
        <f t="shared" si="9"/>
        <v>6.2480000000000064</v>
      </c>
      <c r="K23" s="18">
        <f t="shared" si="9"/>
        <v>7.1280000000000081</v>
      </c>
      <c r="L23" s="18">
        <f t="shared" si="9"/>
        <v>8.008000000000008</v>
      </c>
      <c r="M23" s="18">
        <f t="shared" si="9"/>
        <v>8.8880000000000106</v>
      </c>
      <c r="N23" s="18">
        <f t="shared" si="9"/>
        <v>9.7680000000000096</v>
      </c>
      <c r="O23" s="18">
        <f t="shared" si="9"/>
        <v>10.648000000000012</v>
      </c>
      <c r="P23" s="18">
        <f t="shared" si="9"/>
        <v>11.528000000000011</v>
      </c>
      <c r="Q23" s="18">
        <f t="shared" si="9"/>
        <v>12.408000000000014</v>
      </c>
      <c r="R23" s="19">
        <f t="shared" si="9"/>
        <v>13.288000000000014</v>
      </c>
    </row>
    <row r="24" spans="2:18" ht="15.75" thickBot="1" x14ac:dyDescent="0.3">
      <c r="B24" s="20" t="s">
        <v>15</v>
      </c>
      <c r="C24" s="21">
        <f>IF(C19&gt;$C$9," ",SUM(C21:C23))</f>
        <v>99.2697</v>
      </c>
      <c r="D24" s="21">
        <f t="shared" ref="D24:R24" si="10">IF(D19&gt;$C$9,"NA",SUM(D21:D23))</f>
        <v>100.14970000000001</v>
      </c>
      <c r="E24" s="21" t="str">
        <f t="shared" si="10"/>
        <v>NA</v>
      </c>
      <c r="F24" s="21" t="str">
        <f t="shared" si="10"/>
        <v>NA</v>
      </c>
      <c r="G24" s="21" t="str">
        <f t="shared" si="10"/>
        <v>NA</v>
      </c>
      <c r="H24" s="21" t="str">
        <f t="shared" si="10"/>
        <v>NA</v>
      </c>
      <c r="I24" s="21" t="str">
        <f t="shared" si="10"/>
        <v>NA</v>
      </c>
      <c r="J24" s="21" t="str">
        <f t="shared" si="10"/>
        <v>NA</v>
      </c>
      <c r="K24" s="21" t="str">
        <f t="shared" si="10"/>
        <v>NA</v>
      </c>
      <c r="L24" s="21" t="str">
        <f t="shared" si="10"/>
        <v>NA</v>
      </c>
      <c r="M24" s="21" t="str">
        <f t="shared" si="10"/>
        <v>NA</v>
      </c>
      <c r="N24" s="21" t="str">
        <f t="shared" si="10"/>
        <v>NA</v>
      </c>
      <c r="O24" s="21" t="str">
        <f t="shared" si="10"/>
        <v>NA</v>
      </c>
      <c r="P24" s="21" t="str">
        <f t="shared" si="10"/>
        <v>NA</v>
      </c>
      <c r="Q24" s="21" t="str">
        <f t="shared" si="10"/>
        <v>NA</v>
      </c>
      <c r="R24" s="22" t="str">
        <f t="shared" si="10"/>
        <v>NA</v>
      </c>
    </row>
    <row r="26" spans="2:18" ht="15.75" thickBot="1" x14ac:dyDescent="0.3"/>
    <row r="27" spans="2:18" x14ac:dyDescent="0.25">
      <c r="B27" s="4" t="s">
        <v>7</v>
      </c>
      <c r="C27" s="5">
        <f>C14</f>
        <v>3.2500000000000001E-2</v>
      </c>
      <c r="D27" s="5">
        <f t="shared" ref="D27:R27" si="11">D14</f>
        <v>3.4500000000000003E-2</v>
      </c>
      <c r="E27" s="5">
        <f t="shared" si="11"/>
        <v>3.6500000000000005E-2</v>
      </c>
      <c r="F27" s="5">
        <f t="shared" si="11"/>
        <v>3.8500000000000006E-2</v>
      </c>
      <c r="G27" s="5">
        <f t="shared" si="11"/>
        <v>4.0500000000000008E-2</v>
      </c>
      <c r="H27" s="5">
        <f t="shared" si="11"/>
        <v>4.250000000000001E-2</v>
      </c>
      <c r="I27" s="5">
        <f t="shared" si="11"/>
        <v>4.4500000000000012E-2</v>
      </c>
      <c r="J27" s="5">
        <f t="shared" si="11"/>
        <v>4.6500000000000014E-2</v>
      </c>
      <c r="K27" s="5">
        <f t="shared" si="11"/>
        <v>4.8500000000000015E-2</v>
      </c>
      <c r="L27" s="5">
        <f t="shared" si="11"/>
        <v>5.0500000000000017E-2</v>
      </c>
      <c r="M27" s="5">
        <f t="shared" si="11"/>
        <v>5.2500000000000019E-2</v>
      </c>
      <c r="N27" s="5">
        <f t="shared" si="11"/>
        <v>5.4500000000000021E-2</v>
      </c>
      <c r="O27" s="5">
        <f t="shared" si="11"/>
        <v>5.6500000000000022E-2</v>
      </c>
      <c r="P27" s="5">
        <f t="shared" si="11"/>
        <v>5.8500000000000024E-2</v>
      </c>
      <c r="Q27" s="5">
        <f t="shared" si="11"/>
        <v>6.0500000000000026E-2</v>
      </c>
      <c r="R27" s="6">
        <f t="shared" si="11"/>
        <v>6.2500000000000028E-2</v>
      </c>
    </row>
    <row r="28" spans="2:18" x14ac:dyDescent="0.25">
      <c r="B28" s="7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9"/>
    </row>
    <row r="29" spans="2:18" x14ac:dyDescent="0.25">
      <c r="B29" s="10" t="s">
        <v>1</v>
      </c>
      <c r="C29" s="2">
        <f>$D$3</f>
        <v>3.0000000000000002E-2</v>
      </c>
      <c r="D29" s="2">
        <f t="shared" ref="D29:R29" si="12">$D$3</f>
        <v>3.0000000000000002E-2</v>
      </c>
      <c r="E29" s="2">
        <f t="shared" si="12"/>
        <v>3.0000000000000002E-2</v>
      </c>
      <c r="F29" s="2">
        <f t="shared" si="12"/>
        <v>3.0000000000000002E-2</v>
      </c>
      <c r="G29" s="2">
        <f t="shared" si="12"/>
        <v>3.0000000000000002E-2</v>
      </c>
      <c r="H29" s="2">
        <f t="shared" si="12"/>
        <v>3.0000000000000002E-2</v>
      </c>
      <c r="I29" s="2">
        <f t="shared" si="12"/>
        <v>3.0000000000000002E-2</v>
      </c>
      <c r="J29" s="2">
        <f t="shared" si="12"/>
        <v>3.0000000000000002E-2</v>
      </c>
      <c r="K29" s="2">
        <f t="shared" si="12"/>
        <v>3.0000000000000002E-2</v>
      </c>
      <c r="L29" s="2">
        <f t="shared" si="12"/>
        <v>3.0000000000000002E-2</v>
      </c>
      <c r="M29" s="2">
        <f t="shared" si="12"/>
        <v>3.0000000000000002E-2</v>
      </c>
      <c r="N29" s="2">
        <f t="shared" si="12"/>
        <v>3.0000000000000002E-2</v>
      </c>
      <c r="O29" s="2">
        <f t="shared" si="12"/>
        <v>3.0000000000000002E-2</v>
      </c>
      <c r="P29" s="2">
        <f t="shared" si="12"/>
        <v>3.0000000000000002E-2</v>
      </c>
      <c r="Q29" s="2">
        <f t="shared" si="12"/>
        <v>3.0000000000000002E-2</v>
      </c>
      <c r="R29" s="11">
        <f t="shared" si="12"/>
        <v>3.0000000000000002E-2</v>
      </c>
    </row>
    <row r="30" spans="2:18" x14ac:dyDescent="0.25">
      <c r="B30" s="7" t="s">
        <v>8</v>
      </c>
      <c r="C30" s="12">
        <f>$C$6</f>
        <v>4.7999999999999996E-3</v>
      </c>
      <c r="D30" s="12">
        <f t="shared" ref="D30:R30" si="13">$C$6</f>
        <v>4.7999999999999996E-3</v>
      </c>
      <c r="E30" s="12">
        <f t="shared" si="13"/>
        <v>4.7999999999999996E-3</v>
      </c>
      <c r="F30" s="12">
        <f t="shared" si="13"/>
        <v>4.7999999999999996E-3</v>
      </c>
      <c r="G30" s="12">
        <f t="shared" si="13"/>
        <v>4.7999999999999996E-3</v>
      </c>
      <c r="H30" s="12">
        <f t="shared" si="13"/>
        <v>4.7999999999999996E-3</v>
      </c>
      <c r="I30" s="12">
        <f t="shared" si="13"/>
        <v>4.7999999999999996E-3</v>
      </c>
      <c r="J30" s="12">
        <f t="shared" si="13"/>
        <v>4.7999999999999996E-3</v>
      </c>
      <c r="K30" s="12">
        <f t="shared" si="13"/>
        <v>4.7999999999999996E-3</v>
      </c>
      <c r="L30" s="12">
        <f t="shared" si="13"/>
        <v>4.7999999999999996E-3</v>
      </c>
      <c r="M30" s="12">
        <f t="shared" si="13"/>
        <v>4.7999999999999996E-3</v>
      </c>
      <c r="N30" s="12">
        <f t="shared" si="13"/>
        <v>4.7999999999999996E-3</v>
      </c>
      <c r="O30" s="12">
        <f t="shared" si="13"/>
        <v>4.7999999999999996E-3</v>
      </c>
      <c r="P30" s="12">
        <f t="shared" si="13"/>
        <v>4.7999999999999996E-3</v>
      </c>
      <c r="Q30" s="12">
        <f t="shared" si="13"/>
        <v>4.7999999999999996E-3</v>
      </c>
      <c r="R30" s="13">
        <f t="shared" si="13"/>
        <v>4.7999999999999996E-3</v>
      </c>
    </row>
    <row r="31" spans="2:18" x14ac:dyDescent="0.25">
      <c r="B31" s="14" t="s">
        <v>3</v>
      </c>
      <c r="C31" s="3">
        <f>$C$7</f>
        <v>2.5000000000000001E-3</v>
      </c>
      <c r="D31" s="3">
        <f t="shared" ref="D31:R31" si="14">$C$7</f>
        <v>2.5000000000000001E-3</v>
      </c>
      <c r="E31" s="3">
        <f t="shared" si="14"/>
        <v>2.5000000000000001E-3</v>
      </c>
      <c r="F31" s="3">
        <f t="shared" si="14"/>
        <v>2.5000000000000001E-3</v>
      </c>
      <c r="G31" s="3">
        <f t="shared" si="14"/>
        <v>2.5000000000000001E-3</v>
      </c>
      <c r="H31" s="3">
        <f t="shared" si="14"/>
        <v>2.5000000000000001E-3</v>
      </c>
      <c r="I31" s="3">
        <f t="shared" si="14"/>
        <v>2.5000000000000001E-3</v>
      </c>
      <c r="J31" s="3">
        <f t="shared" si="14"/>
        <v>2.5000000000000001E-3</v>
      </c>
      <c r="K31" s="3">
        <f t="shared" si="14"/>
        <v>2.5000000000000001E-3</v>
      </c>
      <c r="L31" s="3">
        <f t="shared" si="14"/>
        <v>2.5000000000000001E-3</v>
      </c>
      <c r="M31" s="3">
        <f t="shared" si="14"/>
        <v>2.5000000000000001E-3</v>
      </c>
      <c r="N31" s="3">
        <f t="shared" si="14"/>
        <v>2.5000000000000001E-3</v>
      </c>
      <c r="O31" s="3">
        <f t="shared" si="14"/>
        <v>2.5000000000000001E-3</v>
      </c>
      <c r="P31" s="3">
        <f t="shared" si="14"/>
        <v>2.5000000000000001E-3</v>
      </c>
      <c r="Q31" s="3">
        <f t="shared" si="14"/>
        <v>2.5000000000000001E-3</v>
      </c>
      <c r="R31" s="15">
        <f t="shared" si="14"/>
        <v>2.5000000000000001E-3</v>
      </c>
    </row>
    <row r="32" spans="2:18" x14ac:dyDescent="0.25">
      <c r="B32" s="7" t="s">
        <v>9</v>
      </c>
      <c r="C32" s="12">
        <f>IF((C27-C29-C30-C31)&lt;0,0,C27-C29-C30-C31)</f>
        <v>0</v>
      </c>
      <c r="D32" s="12">
        <f t="shared" ref="D32" si="15">IF((D27-D29-D30-D31)&lt;0,0,D27-D29-D30-D31)</f>
        <v>0</v>
      </c>
      <c r="E32" s="12">
        <f t="shared" ref="E32" si="16">IF((E27-E29-E30-E31)&lt;0,0,E27-E29-E30-E31)</f>
        <v>0</v>
      </c>
      <c r="F32" s="12">
        <f t="shared" ref="F32" si="17">IF((F27-F29-F30-F31)&lt;0,0,F27-F29-F30-F31)</f>
        <v>1.2000000000000044E-3</v>
      </c>
      <c r="G32" s="12">
        <f t="shared" ref="G32" si="18">IF((G27-G29-G30-G31)&lt;0,0,G27-G29-G30-G31)</f>
        <v>3.2000000000000062E-3</v>
      </c>
      <c r="H32" s="12">
        <f t="shared" ref="H32" si="19">IF((H27-H29-H30-H31)&lt;0,0,H27-H29-H30-H31)</f>
        <v>5.2000000000000084E-3</v>
      </c>
      <c r="I32" s="12">
        <f t="shared" ref="I32" si="20">IF((I27-I29-I30-I31)&lt;0,0,I27-I29-I30-I31)</f>
        <v>7.2000000000000102E-3</v>
      </c>
      <c r="J32" s="12">
        <f t="shared" ref="J32" si="21">IF((J27-J29-J30-J31)&lt;0,0,J27-J29-J30-J31)</f>
        <v>9.200000000000012E-3</v>
      </c>
      <c r="K32" s="12">
        <f t="shared" ref="K32" si="22">IF((K27-K29-K30-K31)&lt;0,0,K27-K29-K30-K31)</f>
        <v>1.1200000000000014E-2</v>
      </c>
      <c r="L32" s="12">
        <f t="shared" ref="L32" si="23">IF((L27-L29-L30-L31)&lt;0,0,L27-L29-L30-L31)</f>
        <v>1.3200000000000016E-2</v>
      </c>
      <c r="M32" s="12">
        <f t="shared" ref="M32" si="24">IF((M27-M29-M30-M31)&lt;0,0,M27-M29-M30-M31)</f>
        <v>1.5200000000000017E-2</v>
      </c>
      <c r="N32" s="12">
        <f t="shared" ref="N32" si="25">IF((N27-N29-N30-N31)&lt;0,0,N27-N29-N30-N31)</f>
        <v>1.7200000000000021E-2</v>
      </c>
      <c r="O32" s="12">
        <f t="shared" ref="O32" si="26">IF((O27-O29-O30-O31)&lt;0,0,O27-O29-O30-O31)</f>
        <v>1.9200000000000023E-2</v>
      </c>
      <c r="P32" s="12">
        <f t="shared" ref="P32" si="27">IF((P27-P29-P30-P31)&lt;0,0,P27-P29-P30-P31)</f>
        <v>2.1200000000000024E-2</v>
      </c>
      <c r="Q32" s="12">
        <f t="shared" ref="Q32" si="28">IF((Q27-Q29-Q30-Q31)&lt;0,0,Q27-Q29-Q30-Q31)</f>
        <v>2.3200000000000026E-2</v>
      </c>
      <c r="R32" s="13">
        <f t="shared" ref="R32" si="29">IF((R27-R29-R30-R31)&lt;0,0,R27-R29-R30-R31)</f>
        <v>2.5200000000000031E-2</v>
      </c>
    </row>
    <row r="33" spans="2:18" x14ac:dyDescent="0.25">
      <c r="B33" s="14" t="s">
        <v>10</v>
      </c>
      <c r="C33" s="1">
        <f>IF((C27-C29-C31-C30)&gt;0,0,C27-C29-C30-C31)</f>
        <v>-4.8000000000000004E-3</v>
      </c>
      <c r="D33" s="1">
        <f t="shared" ref="D33:R33" si="30">IF((D27-D29-D31-D30)&gt;0,0,D27-D29-D30-D31)</f>
        <v>-2.7999999999999991E-3</v>
      </c>
      <c r="E33" s="1">
        <f t="shared" si="30"/>
        <v>-7.9999999999999733E-4</v>
      </c>
      <c r="F33" s="1">
        <f t="shared" si="30"/>
        <v>0</v>
      </c>
      <c r="G33" s="1">
        <f t="shared" si="30"/>
        <v>0</v>
      </c>
      <c r="H33" s="1">
        <f t="shared" si="30"/>
        <v>0</v>
      </c>
      <c r="I33" s="1">
        <f t="shared" si="30"/>
        <v>0</v>
      </c>
      <c r="J33" s="1">
        <f t="shared" si="30"/>
        <v>0</v>
      </c>
      <c r="K33" s="1">
        <f t="shared" si="30"/>
        <v>0</v>
      </c>
      <c r="L33" s="1">
        <f t="shared" si="30"/>
        <v>0</v>
      </c>
      <c r="M33" s="1">
        <f t="shared" si="30"/>
        <v>0</v>
      </c>
      <c r="N33" s="1">
        <f t="shared" si="30"/>
        <v>0</v>
      </c>
      <c r="O33" s="1">
        <f t="shared" si="30"/>
        <v>0</v>
      </c>
      <c r="P33" s="1">
        <f t="shared" si="30"/>
        <v>0</v>
      </c>
      <c r="Q33" s="1">
        <f t="shared" si="30"/>
        <v>0</v>
      </c>
      <c r="R33" s="16">
        <f t="shared" si="30"/>
        <v>0</v>
      </c>
    </row>
    <row r="34" spans="2:18" x14ac:dyDescent="0.25">
      <c r="B34" s="17" t="s">
        <v>11</v>
      </c>
      <c r="C34" s="8">
        <f>$D$4</f>
        <v>101.6328</v>
      </c>
      <c r="D34" s="8">
        <f t="shared" ref="D34:R34" si="31">$D$4</f>
        <v>101.6328</v>
      </c>
      <c r="E34" s="8">
        <f t="shared" si="31"/>
        <v>101.6328</v>
      </c>
      <c r="F34" s="8">
        <f t="shared" si="31"/>
        <v>101.6328</v>
      </c>
      <c r="G34" s="8">
        <f t="shared" si="31"/>
        <v>101.6328</v>
      </c>
      <c r="H34" s="8">
        <f t="shared" si="31"/>
        <v>101.6328</v>
      </c>
      <c r="I34" s="8">
        <f t="shared" si="31"/>
        <v>101.6328</v>
      </c>
      <c r="J34" s="8">
        <f t="shared" si="31"/>
        <v>101.6328</v>
      </c>
      <c r="K34" s="8">
        <f t="shared" si="31"/>
        <v>101.6328</v>
      </c>
      <c r="L34" s="8">
        <f t="shared" si="31"/>
        <v>101.6328</v>
      </c>
      <c r="M34" s="8">
        <f t="shared" si="31"/>
        <v>101.6328</v>
      </c>
      <c r="N34" s="8">
        <f t="shared" si="31"/>
        <v>101.6328</v>
      </c>
      <c r="O34" s="8">
        <f t="shared" si="31"/>
        <v>101.6328</v>
      </c>
      <c r="P34" s="8">
        <f t="shared" si="31"/>
        <v>101.6328</v>
      </c>
      <c r="Q34" s="8">
        <f t="shared" si="31"/>
        <v>101.6328</v>
      </c>
      <c r="R34" s="9">
        <f t="shared" si="31"/>
        <v>101.6328</v>
      </c>
    </row>
    <row r="35" spans="2:18" x14ac:dyDescent="0.25">
      <c r="B35" s="17" t="s">
        <v>12</v>
      </c>
      <c r="C35" s="18">
        <f>100*C31*$C$8</f>
        <v>1</v>
      </c>
      <c r="D35" s="18">
        <f t="shared" ref="D35:R35" si="32">100*D31*$C$8</f>
        <v>1</v>
      </c>
      <c r="E35" s="18">
        <f t="shared" si="32"/>
        <v>1</v>
      </c>
      <c r="F35" s="18">
        <f t="shared" si="32"/>
        <v>1</v>
      </c>
      <c r="G35" s="18">
        <f t="shared" si="32"/>
        <v>1</v>
      </c>
      <c r="H35" s="18">
        <f t="shared" si="32"/>
        <v>1</v>
      </c>
      <c r="I35" s="18">
        <f t="shared" si="32"/>
        <v>1</v>
      </c>
      <c r="J35" s="18">
        <f t="shared" si="32"/>
        <v>1</v>
      </c>
      <c r="K35" s="18">
        <f t="shared" si="32"/>
        <v>1</v>
      </c>
      <c r="L35" s="18">
        <f t="shared" si="32"/>
        <v>1</v>
      </c>
      <c r="M35" s="18">
        <f t="shared" si="32"/>
        <v>1</v>
      </c>
      <c r="N35" s="18">
        <f t="shared" si="32"/>
        <v>1</v>
      </c>
      <c r="O35" s="18">
        <f t="shared" si="32"/>
        <v>1</v>
      </c>
      <c r="P35" s="18">
        <f t="shared" si="32"/>
        <v>1</v>
      </c>
      <c r="Q35" s="18">
        <f t="shared" si="32"/>
        <v>1</v>
      </c>
      <c r="R35" s="19">
        <f t="shared" si="32"/>
        <v>1</v>
      </c>
    </row>
    <row r="36" spans="2:18" x14ac:dyDescent="0.25">
      <c r="B36" s="17" t="s">
        <v>13</v>
      </c>
      <c r="C36" s="18">
        <f>100*(C32*$C$10 +C33*$C$11)</f>
        <v>-3.6960000000000006</v>
      </c>
      <c r="D36" s="18">
        <f t="shared" ref="D36:R36" si="33">100*(D32*$C$10 +D33*$C$11)</f>
        <v>-2.1559999999999993</v>
      </c>
      <c r="E36" s="18">
        <f t="shared" si="33"/>
        <v>-0.61599999999999799</v>
      </c>
      <c r="F36" s="18">
        <f t="shared" si="33"/>
        <v>0.52800000000000202</v>
      </c>
      <c r="G36" s="18">
        <f t="shared" si="33"/>
        <v>1.4080000000000028</v>
      </c>
      <c r="H36" s="18">
        <f t="shared" si="33"/>
        <v>2.2880000000000038</v>
      </c>
      <c r="I36" s="18">
        <f t="shared" si="33"/>
        <v>3.168000000000005</v>
      </c>
      <c r="J36" s="18">
        <f t="shared" si="33"/>
        <v>4.0480000000000054</v>
      </c>
      <c r="K36" s="18">
        <f t="shared" si="33"/>
        <v>4.928000000000007</v>
      </c>
      <c r="L36" s="18">
        <f t="shared" si="33"/>
        <v>5.8080000000000078</v>
      </c>
      <c r="M36" s="18">
        <f t="shared" si="33"/>
        <v>6.6880000000000077</v>
      </c>
      <c r="N36" s="18">
        <f t="shared" si="33"/>
        <v>7.5680000000000094</v>
      </c>
      <c r="O36" s="18">
        <f t="shared" si="33"/>
        <v>8.4480000000000111</v>
      </c>
      <c r="P36" s="18">
        <f t="shared" si="33"/>
        <v>9.3280000000000118</v>
      </c>
      <c r="Q36" s="18">
        <f t="shared" si="33"/>
        <v>10.208000000000013</v>
      </c>
      <c r="R36" s="19">
        <f t="shared" si="33"/>
        <v>11.088000000000015</v>
      </c>
    </row>
    <row r="37" spans="2:18" ht="15.75" thickBot="1" x14ac:dyDescent="0.3">
      <c r="B37" s="20" t="s">
        <v>16</v>
      </c>
      <c r="C37" s="21">
        <f>IF(C32&gt;$C$9,"NA",SUM(C34:C36))</f>
        <v>98.936800000000005</v>
      </c>
      <c r="D37" s="21">
        <f t="shared" ref="D37" si="34">IF(D32&gt;$C$9,"NA",SUM(D34:D36))</f>
        <v>100.4768</v>
      </c>
      <c r="E37" s="21">
        <f t="shared" ref="E37" si="35">IF(E32&gt;$C$9,"NA",SUM(E34:E36))</f>
        <v>102.0168</v>
      </c>
      <c r="F37" s="21">
        <f t="shared" ref="F37" si="36">IF(F32&gt;$C$9,"NA",SUM(F34:F36))</f>
        <v>103.16080000000001</v>
      </c>
      <c r="G37" s="21">
        <f t="shared" ref="G37" si="37">IF(G32&gt;$C$9,"NA",SUM(G34:G36))</f>
        <v>104.0408</v>
      </c>
      <c r="H37" s="21" t="str">
        <f t="shared" ref="H37" si="38">IF(H32&gt;$C$9,"NA",SUM(H34:H36))</f>
        <v>NA</v>
      </c>
      <c r="I37" s="21" t="str">
        <f t="shared" ref="I37" si="39">IF(I32&gt;$C$9,"NA",SUM(I34:I36))</f>
        <v>NA</v>
      </c>
      <c r="J37" s="21" t="str">
        <f t="shared" ref="J37" si="40">IF(J32&gt;$C$9,"NA",SUM(J34:J36))</f>
        <v>NA</v>
      </c>
      <c r="K37" s="21" t="str">
        <f t="shared" ref="K37" si="41">IF(K32&gt;$C$9,"NA",SUM(K34:K36))</f>
        <v>NA</v>
      </c>
      <c r="L37" s="21" t="str">
        <f t="shared" ref="L37" si="42">IF(L32&gt;$C$9,"NA",SUM(L34:L36))</f>
        <v>NA</v>
      </c>
      <c r="M37" s="21" t="str">
        <f t="shared" ref="M37" si="43">IF(M32&gt;$C$9,"NA",SUM(M34:M36))</f>
        <v>NA</v>
      </c>
      <c r="N37" s="21" t="str">
        <f t="shared" ref="N37" si="44">IF(N32&gt;$C$9,"NA",SUM(N34:N36))</f>
        <v>NA</v>
      </c>
      <c r="O37" s="21" t="str">
        <f t="shared" ref="O37" si="45">IF(O32&gt;$C$9,"NA",SUM(O34:O36))</f>
        <v>NA</v>
      </c>
      <c r="P37" s="21" t="str">
        <f t="shared" ref="P37" si="46">IF(P32&gt;$C$9,"NA",SUM(P34:P36))</f>
        <v>NA</v>
      </c>
      <c r="Q37" s="21" t="str">
        <f t="shared" ref="Q37" si="47">IF(Q32&gt;$C$9,"NA",SUM(Q34:Q36))</f>
        <v>NA</v>
      </c>
      <c r="R37" s="22" t="str">
        <f t="shared" ref="R37" si="48">IF(R32&gt;$C$9,"NA",SUM(R34:R36))</f>
        <v>NA</v>
      </c>
    </row>
    <row r="39" spans="2:18" ht="15.75" thickBot="1" x14ac:dyDescent="0.3"/>
    <row r="40" spans="2:18" x14ac:dyDescent="0.25">
      <c r="B40" s="4" t="s">
        <v>7</v>
      </c>
      <c r="C40" s="5">
        <f>C27</f>
        <v>3.2500000000000001E-2</v>
      </c>
      <c r="D40" s="5">
        <f t="shared" ref="D40:R40" si="49">D27</f>
        <v>3.4500000000000003E-2</v>
      </c>
      <c r="E40" s="5">
        <f t="shared" si="49"/>
        <v>3.6500000000000005E-2</v>
      </c>
      <c r="F40" s="5">
        <f t="shared" si="49"/>
        <v>3.8500000000000006E-2</v>
      </c>
      <c r="G40" s="5">
        <f t="shared" si="49"/>
        <v>4.0500000000000008E-2</v>
      </c>
      <c r="H40" s="5">
        <f t="shared" si="49"/>
        <v>4.250000000000001E-2</v>
      </c>
      <c r="I40" s="5">
        <f t="shared" si="49"/>
        <v>4.4500000000000012E-2</v>
      </c>
      <c r="J40" s="5">
        <f t="shared" si="49"/>
        <v>4.6500000000000014E-2</v>
      </c>
      <c r="K40" s="5">
        <f t="shared" si="49"/>
        <v>4.8500000000000015E-2</v>
      </c>
      <c r="L40" s="5">
        <f t="shared" si="49"/>
        <v>5.0500000000000017E-2</v>
      </c>
      <c r="M40" s="5">
        <f t="shared" si="49"/>
        <v>5.2500000000000019E-2</v>
      </c>
      <c r="N40" s="5">
        <f t="shared" si="49"/>
        <v>5.4500000000000021E-2</v>
      </c>
      <c r="O40" s="5">
        <f t="shared" si="49"/>
        <v>5.6500000000000022E-2</v>
      </c>
      <c r="P40" s="5">
        <f t="shared" si="49"/>
        <v>5.8500000000000024E-2</v>
      </c>
      <c r="Q40" s="5">
        <f t="shared" si="49"/>
        <v>6.0500000000000026E-2</v>
      </c>
      <c r="R40" s="6">
        <f t="shared" si="49"/>
        <v>6.2500000000000028E-2</v>
      </c>
    </row>
    <row r="41" spans="2:18" x14ac:dyDescent="0.25">
      <c r="B41" s="7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9"/>
    </row>
    <row r="42" spans="2:18" x14ac:dyDescent="0.25">
      <c r="B42" s="10" t="s">
        <v>1</v>
      </c>
      <c r="C42" s="2">
        <f>$E$3</f>
        <v>3.5000000000000003E-2</v>
      </c>
      <c r="D42" s="2">
        <f t="shared" ref="D42:R42" si="50">$E$3</f>
        <v>3.5000000000000003E-2</v>
      </c>
      <c r="E42" s="2">
        <f t="shared" si="50"/>
        <v>3.5000000000000003E-2</v>
      </c>
      <c r="F42" s="2">
        <f t="shared" si="50"/>
        <v>3.5000000000000003E-2</v>
      </c>
      <c r="G42" s="2">
        <f t="shared" si="50"/>
        <v>3.5000000000000003E-2</v>
      </c>
      <c r="H42" s="2">
        <f t="shared" si="50"/>
        <v>3.5000000000000003E-2</v>
      </c>
      <c r="I42" s="2">
        <f t="shared" si="50"/>
        <v>3.5000000000000003E-2</v>
      </c>
      <c r="J42" s="2">
        <f t="shared" si="50"/>
        <v>3.5000000000000003E-2</v>
      </c>
      <c r="K42" s="2">
        <f t="shared" si="50"/>
        <v>3.5000000000000003E-2</v>
      </c>
      <c r="L42" s="2">
        <f t="shared" si="50"/>
        <v>3.5000000000000003E-2</v>
      </c>
      <c r="M42" s="2">
        <f t="shared" si="50"/>
        <v>3.5000000000000003E-2</v>
      </c>
      <c r="N42" s="2">
        <f t="shared" si="50"/>
        <v>3.5000000000000003E-2</v>
      </c>
      <c r="O42" s="2">
        <f t="shared" si="50"/>
        <v>3.5000000000000003E-2</v>
      </c>
      <c r="P42" s="2">
        <f t="shared" si="50"/>
        <v>3.5000000000000003E-2</v>
      </c>
      <c r="Q42" s="2">
        <f t="shared" si="50"/>
        <v>3.5000000000000003E-2</v>
      </c>
      <c r="R42" s="11">
        <f t="shared" si="50"/>
        <v>3.5000000000000003E-2</v>
      </c>
    </row>
    <row r="43" spans="2:18" x14ac:dyDescent="0.25">
      <c r="B43" s="7" t="s">
        <v>8</v>
      </c>
      <c r="C43" s="12">
        <f>$C$6</f>
        <v>4.7999999999999996E-3</v>
      </c>
      <c r="D43" s="12">
        <f t="shared" ref="D43:R43" si="51">$C$6</f>
        <v>4.7999999999999996E-3</v>
      </c>
      <c r="E43" s="12">
        <f t="shared" si="51"/>
        <v>4.7999999999999996E-3</v>
      </c>
      <c r="F43" s="12">
        <f t="shared" si="51"/>
        <v>4.7999999999999996E-3</v>
      </c>
      <c r="G43" s="12">
        <f t="shared" si="51"/>
        <v>4.7999999999999996E-3</v>
      </c>
      <c r="H43" s="12">
        <f t="shared" si="51"/>
        <v>4.7999999999999996E-3</v>
      </c>
      <c r="I43" s="12">
        <f t="shared" si="51"/>
        <v>4.7999999999999996E-3</v>
      </c>
      <c r="J43" s="12">
        <f t="shared" si="51"/>
        <v>4.7999999999999996E-3</v>
      </c>
      <c r="K43" s="12">
        <f t="shared" si="51"/>
        <v>4.7999999999999996E-3</v>
      </c>
      <c r="L43" s="12">
        <f t="shared" si="51"/>
        <v>4.7999999999999996E-3</v>
      </c>
      <c r="M43" s="12">
        <f t="shared" si="51"/>
        <v>4.7999999999999996E-3</v>
      </c>
      <c r="N43" s="12">
        <f t="shared" si="51"/>
        <v>4.7999999999999996E-3</v>
      </c>
      <c r="O43" s="12">
        <f t="shared" si="51"/>
        <v>4.7999999999999996E-3</v>
      </c>
      <c r="P43" s="12">
        <f t="shared" si="51"/>
        <v>4.7999999999999996E-3</v>
      </c>
      <c r="Q43" s="12">
        <f t="shared" si="51"/>
        <v>4.7999999999999996E-3</v>
      </c>
      <c r="R43" s="13">
        <f t="shared" si="51"/>
        <v>4.7999999999999996E-3</v>
      </c>
    </row>
    <row r="44" spans="2:18" x14ac:dyDescent="0.25">
      <c r="B44" s="14" t="s">
        <v>3</v>
      </c>
      <c r="C44" s="3">
        <f>$C$7</f>
        <v>2.5000000000000001E-3</v>
      </c>
      <c r="D44" s="3">
        <f t="shared" ref="D44:R44" si="52">$C$7</f>
        <v>2.5000000000000001E-3</v>
      </c>
      <c r="E44" s="3">
        <f t="shared" si="52"/>
        <v>2.5000000000000001E-3</v>
      </c>
      <c r="F44" s="3">
        <f t="shared" si="52"/>
        <v>2.5000000000000001E-3</v>
      </c>
      <c r="G44" s="3">
        <f t="shared" si="52"/>
        <v>2.5000000000000001E-3</v>
      </c>
      <c r="H44" s="3">
        <f t="shared" si="52"/>
        <v>2.5000000000000001E-3</v>
      </c>
      <c r="I44" s="3">
        <f t="shared" si="52"/>
        <v>2.5000000000000001E-3</v>
      </c>
      <c r="J44" s="3">
        <f t="shared" si="52"/>
        <v>2.5000000000000001E-3</v>
      </c>
      <c r="K44" s="3">
        <f t="shared" si="52"/>
        <v>2.5000000000000001E-3</v>
      </c>
      <c r="L44" s="3">
        <f t="shared" si="52"/>
        <v>2.5000000000000001E-3</v>
      </c>
      <c r="M44" s="3">
        <f t="shared" si="52"/>
        <v>2.5000000000000001E-3</v>
      </c>
      <c r="N44" s="3">
        <f t="shared" si="52"/>
        <v>2.5000000000000001E-3</v>
      </c>
      <c r="O44" s="3">
        <f t="shared" si="52"/>
        <v>2.5000000000000001E-3</v>
      </c>
      <c r="P44" s="3">
        <f t="shared" si="52"/>
        <v>2.5000000000000001E-3</v>
      </c>
      <c r="Q44" s="3">
        <f t="shared" si="52"/>
        <v>2.5000000000000001E-3</v>
      </c>
      <c r="R44" s="15">
        <f t="shared" si="52"/>
        <v>2.5000000000000001E-3</v>
      </c>
    </row>
    <row r="45" spans="2:18" x14ac:dyDescent="0.25">
      <c r="B45" s="7" t="s">
        <v>9</v>
      </c>
      <c r="C45" s="12">
        <f>IF((C40-C42-C43-C44)&lt;0,0,C40-C42-C43-C44)</f>
        <v>0</v>
      </c>
      <c r="D45" s="12">
        <f t="shared" ref="D45" si="53">IF((D40-D42-D43-D44)&lt;0,0,D40-D42-D43-D44)</f>
        <v>0</v>
      </c>
      <c r="E45" s="12">
        <f t="shared" ref="E45" si="54">IF((E40-E42-E43-E44)&lt;0,0,E40-E42-E43-E44)</f>
        <v>0</v>
      </c>
      <c r="F45" s="12">
        <f t="shared" ref="F45" si="55">IF((F40-F42-F43-F44)&lt;0,0,F40-F42-F43-F44)</f>
        <v>0</v>
      </c>
      <c r="G45" s="12">
        <f t="shared" ref="G45" si="56">IF((G40-G42-G43-G44)&lt;0,0,G40-G42-G43-G44)</f>
        <v>0</v>
      </c>
      <c r="H45" s="12">
        <f t="shared" ref="H45" si="57">IF((H40-H42-H43-H44)&lt;0,0,H40-H42-H43-H44)</f>
        <v>2.0000000000000703E-4</v>
      </c>
      <c r="I45" s="12">
        <f t="shared" ref="I45" si="58">IF((I40-I42-I43-I44)&lt;0,0,I40-I42-I43-I44)</f>
        <v>2.2000000000000088E-3</v>
      </c>
      <c r="J45" s="12">
        <f t="shared" ref="J45" si="59">IF((J40-J42-J43-J44)&lt;0,0,J40-J42-J43-J44)</f>
        <v>4.200000000000011E-3</v>
      </c>
      <c r="K45" s="12">
        <f t="shared" ref="K45" si="60">IF((K40-K42-K43-K44)&lt;0,0,K40-K42-K43-K44)</f>
        <v>6.2000000000000128E-3</v>
      </c>
      <c r="L45" s="12">
        <f t="shared" ref="L45" si="61">IF((L40-L42-L43-L44)&lt;0,0,L40-L42-L43-L44)</f>
        <v>8.2000000000000146E-3</v>
      </c>
      <c r="M45" s="12">
        <f t="shared" ref="M45" si="62">IF((M40-M42-M43-M44)&lt;0,0,M40-M42-M43-M44)</f>
        <v>1.0200000000000016E-2</v>
      </c>
      <c r="N45" s="12">
        <f t="shared" ref="N45" si="63">IF((N40-N42-N43-N44)&lt;0,0,N40-N42-N43-N44)</f>
        <v>1.2200000000000018E-2</v>
      </c>
      <c r="O45" s="12">
        <f t="shared" ref="O45" si="64">IF((O40-O42-O43-O44)&lt;0,0,O40-O42-O43-O44)</f>
        <v>1.420000000000002E-2</v>
      </c>
      <c r="P45" s="12">
        <f t="shared" ref="P45" si="65">IF((P40-P42-P43-P44)&lt;0,0,P40-P42-P43-P44)</f>
        <v>1.6200000000000023E-2</v>
      </c>
      <c r="Q45" s="12">
        <f t="shared" ref="Q45" si="66">IF((Q40-Q42-Q43-Q44)&lt;0,0,Q40-Q42-Q43-Q44)</f>
        <v>1.8200000000000025E-2</v>
      </c>
      <c r="R45" s="13">
        <f t="shared" ref="R45" si="67">IF((R40-R42-R43-R44)&lt;0,0,R40-R42-R43-R44)</f>
        <v>2.0200000000000027E-2</v>
      </c>
    </row>
    <row r="46" spans="2:18" x14ac:dyDescent="0.25">
      <c r="B46" s="14" t="s">
        <v>10</v>
      </c>
      <c r="C46" s="1">
        <f>IF((C40-C42-C44-C43)&gt;0,0,C40-C42-C43-C44)</f>
        <v>-9.8000000000000014E-3</v>
      </c>
      <c r="D46" s="1">
        <f t="shared" ref="D46:R46" si="68">IF((D40-D42-D44-D43)&gt;0,0,D40-D42-D43-D44)</f>
        <v>-7.7999999999999996E-3</v>
      </c>
      <c r="E46" s="1">
        <f t="shared" si="68"/>
        <v>-5.7999999999999979E-3</v>
      </c>
      <c r="F46" s="1">
        <f t="shared" si="68"/>
        <v>-3.7999999999999965E-3</v>
      </c>
      <c r="G46" s="1">
        <f t="shared" si="68"/>
        <v>-1.7999999999999947E-3</v>
      </c>
      <c r="H46" s="1">
        <f t="shared" si="68"/>
        <v>0</v>
      </c>
      <c r="I46" s="1">
        <f t="shared" si="68"/>
        <v>0</v>
      </c>
      <c r="J46" s="1">
        <f t="shared" si="68"/>
        <v>0</v>
      </c>
      <c r="K46" s="1">
        <f t="shared" si="68"/>
        <v>0</v>
      </c>
      <c r="L46" s="1">
        <f t="shared" si="68"/>
        <v>0</v>
      </c>
      <c r="M46" s="1">
        <f t="shared" si="68"/>
        <v>0</v>
      </c>
      <c r="N46" s="1">
        <f t="shared" si="68"/>
        <v>0</v>
      </c>
      <c r="O46" s="1">
        <f t="shared" si="68"/>
        <v>0</v>
      </c>
      <c r="P46" s="1">
        <f t="shared" si="68"/>
        <v>0</v>
      </c>
      <c r="Q46" s="1">
        <f t="shared" si="68"/>
        <v>0</v>
      </c>
      <c r="R46" s="16">
        <f t="shared" si="68"/>
        <v>0</v>
      </c>
    </row>
    <row r="47" spans="2:18" x14ac:dyDescent="0.25">
      <c r="B47" s="17" t="s">
        <v>11</v>
      </c>
      <c r="C47" s="8">
        <f>$E$4</f>
        <v>104.5484</v>
      </c>
      <c r="D47" s="8">
        <f t="shared" ref="D47:R47" si="69">$E$4</f>
        <v>104.5484</v>
      </c>
      <c r="E47" s="8">
        <f t="shared" si="69"/>
        <v>104.5484</v>
      </c>
      <c r="F47" s="8">
        <f t="shared" si="69"/>
        <v>104.5484</v>
      </c>
      <c r="G47" s="8">
        <f t="shared" si="69"/>
        <v>104.5484</v>
      </c>
      <c r="H47" s="8">
        <f t="shared" si="69"/>
        <v>104.5484</v>
      </c>
      <c r="I47" s="8">
        <f t="shared" si="69"/>
        <v>104.5484</v>
      </c>
      <c r="J47" s="8">
        <f t="shared" si="69"/>
        <v>104.5484</v>
      </c>
      <c r="K47" s="8">
        <f t="shared" si="69"/>
        <v>104.5484</v>
      </c>
      <c r="L47" s="8">
        <f t="shared" si="69"/>
        <v>104.5484</v>
      </c>
      <c r="M47" s="8">
        <f t="shared" si="69"/>
        <v>104.5484</v>
      </c>
      <c r="N47" s="8">
        <f t="shared" si="69"/>
        <v>104.5484</v>
      </c>
      <c r="O47" s="8">
        <f t="shared" si="69"/>
        <v>104.5484</v>
      </c>
      <c r="P47" s="8">
        <f t="shared" si="69"/>
        <v>104.5484</v>
      </c>
      <c r="Q47" s="8">
        <f t="shared" si="69"/>
        <v>104.5484</v>
      </c>
      <c r="R47" s="9">
        <f t="shared" si="69"/>
        <v>104.5484</v>
      </c>
    </row>
    <row r="48" spans="2:18" x14ac:dyDescent="0.25">
      <c r="B48" s="17" t="s">
        <v>12</v>
      </c>
      <c r="C48" s="18">
        <f>100*C44*$C$8</f>
        <v>1</v>
      </c>
      <c r="D48" s="18">
        <f t="shared" ref="D48:R48" si="70">100*D44*$C$8</f>
        <v>1</v>
      </c>
      <c r="E48" s="18">
        <f t="shared" si="70"/>
        <v>1</v>
      </c>
      <c r="F48" s="18">
        <f t="shared" si="70"/>
        <v>1</v>
      </c>
      <c r="G48" s="18">
        <f t="shared" si="70"/>
        <v>1</v>
      </c>
      <c r="H48" s="18">
        <f t="shared" si="70"/>
        <v>1</v>
      </c>
      <c r="I48" s="18">
        <f t="shared" si="70"/>
        <v>1</v>
      </c>
      <c r="J48" s="18">
        <f t="shared" si="70"/>
        <v>1</v>
      </c>
      <c r="K48" s="18">
        <f t="shared" si="70"/>
        <v>1</v>
      </c>
      <c r="L48" s="18">
        <f t="shared" si="70"/>
        <v>1</v>
      </c>
      <c r="M48" s="18">
        <f t="shared" si="70"/>
        <v>1</v>
      </c>
      <c r="N48" s="18">
        <f t="shared" si="70"/>
        <v>1</v>
      </c>
      <c r="O48" s="18">
        <f t="shared" si="70"/>
        <v>1</v>
      </c>
      <c r="P48" s="18">
        <f t="shared" si="70"/>
        <v>1</v>
      </c>
      <c r="Q48" s="18">
        <f t="shared" si="70"/>
        <v>1</v>
      </c>
      <c r="R48" s="19">
        <f t="shared" si="70"/>
        <v>1</v>
      </c>
    </row>
    <row r="49" spans="2:18" x14ac:dyDescent="0.25">
      <c r="B49" s="17" t="s">
        <v>13</v>
      </c>
      <c r="C49" s="18">
        <f>100*(C45*$C$10 +C46*$C$11)</f>
        <v>-7.5460000000000012</v>
      </c>
      <c r="D49" s="18">
        <f t="shared" ref="D49:R49" si="71">100*(D45*$C$10 +D46*$C$11)</f>
        <v>-6.0059999999999993</v>
      </c>
      <c r="E49" s="18">
        <f t="shared" si="71"/>
        <v>-4.4659999999999984</v>
      </c>
      <c r="F49" s="18">
        <f t="shared" si="71"/>
        <v>-2.9259999999999975</v>
      </c>
      <c r="G49" s="18">
        <f t="shared" si="71"/>
        <v>-1.3859999999999959</v>
      </c>
      <c r="H49" s="18">
        <f t="shared" si="71"/>
        <v>8.8000000000003104E-2</v>
      </c>
      <c r="I49" s="18">
        <f t="shared" si="71"/>
        <v>0.96800000000000397</v>
      </c>
      <c r="J49" s="18">
        <f t="shared" si="71"/>
        <v>1.8480000000000047</v>
      </c>
      <c r="K49" s="18">
        <f t="shared" si="71"/>
        <v>2.728000000000006</v>
      </c>
      <c r="L49" s="18">
        <f t="shared" si="71"/>
        <v>3.6080000000000072</v>
      </c>
      <c r="M49" s="18">
        <f t="shared" si="71"/>
        <v>4.4880000000000075</v>
      </c>
      <c r="N49" s="18">
        <f t="shared" si="71"/>
        <v>5.3680000000000083</v>
      </c>
      <c r="O49" s="18">
        <f t="shared" si="71"/>
        <v>6.2480000000000091</v>
      </c>
      <c r="P49" s="18">
        <f t="shared" si="71"/>
        <v>7.1280000000000108</v>
      </c>
      <c r="Q49" s="18">
        <f t="shared" si="71"/>
        <v>8.0080000000000116</v>
      </c>
      <c r="R49" s="19">
        <f t="shared" si="71"/>
        <v>8.8880000000000123</v>
      </c>
    </row>
    <row r="50" spans="2:18" ht="15.75" thickBot="1" x14ac:dyDescent="0.3">
      <c r="B50" s="20" t="s">
        <v>17</v>
      </c>
      <c r="C50" s="21">
        <f>IF(C45&gt;$C$9,"NA",SUM(C47:C49))</f>
        <v>98.002399999999994</v>
      </c>
      <c r="D50" s="21">
        <f t="shared" ref="D50" si="72">IF(D45&gt;$C$9,"NA",SUM(D47:D49))</f>
        <v>99.542400000000001</v>
      </c>
      <c r="E50" s="21">
        <f t="shared" ref="E50" si="73">IF(E45&gt;$C$9,"NA",SUM(E47:E49))</f>
        <v>101.08240000000001</v>
      </c>
      <c r="F50" s="21">
        <f t="shared" ref="F50" si="74">IF(F45&gt;$C$9,"NA",SUM(F47:F49))</f>
        <v>102.6224</v>
      </c>
      <c r="G50" s="21">
        <f t="shared" ref="G50" si="75">IF(G45&gt;$C$9,"NA",SUM(G47:G49))</f>
        <v>104.16240000000001</v>
      </c>
      <c r="H50" s="21">
        <f t="shared" ref="H50" si="76">IF(H45&gt;$C$9,"NA",SUM(H47:H49))</f>
        <v>105.63640000000001</v>
      </c>
      <c r="I50" s="21">
        <f t="shared" ref="I50" si="77">IF(I45&gt;$C$9,"NA",SUM(I47:I49))</f>
        <v>106.5164</v>
      </c>
      <c r="J50" s="21" t="str">
        <f t="shared" ref="J50" si="78">IF(J45&gt;$C$9,"NA",SUM(J47:J49))</f>
        <v>NA</v>
      </c>
      <c r="K50" s="21" t="str">
        <f t="shared" ref="K50" si="79">IF(K45&gt;$C$9,"NA",SUM(K47:K49))</f>
        <v>NA</v>
      </c>
      <c r="L50" s="21" t="str">
        <f t="shared" ref="L50" si="80">IF(L45&gt;$C$9,"NA",SUM(L47:L49))</f>
        <v>NA</v>
      </c>
      <c r="M50" s="21" t="str">
        <f t="shared" ref="M50" si="81">IF(M45&gt;$C$9,"NA",SUM(M47:M49))</f>
        <v>NA</v>
      </c>
      <c r="N50" s="21" t="str">
        <f t="shared" ref="N50" si="82">IF(N45&gt;$C$9,"NA",SUM(N47:N49))</f>
        <v>NA</v>
      </c>
      <c r="O50" s="21" t="str">
        <f t="shared" ref="O50" si="83">IF(O45&gt;$C$9,"NA",SUM(O47:O49))</f>
        <v>NA</v>
      </c>
      <c r="P50" s="21" t="str">
        <f t="shared" ref="P50" si="84">IF(P45&gt;$C$9,"NA",SUM(P47:P49))</f>
        <v>NA</v>
      </c>
      <c r="Q50" s="21" t="str">
        <f t="shared" ref="Q50" si="85">IF(Q45&gt;$C$9,"NA",SUM(Q47:Q49))</f>
        <v>NA</v>
      </c>
      <c r="R50" s="22" t="str">
        <f t="shared" ref="R50" si="86">IF(R45&gt;$C$9,"NA",SUM(R47:R49))</f>
        <v>NA</v>
      </c>
    </row>
    <row r="52" spans="2:18" ht="15.75" thickBot="1" x14ac:dyDescent="0.3"/>
    <row r="53" spans="2:18" x14ac:dyDescent="0.25">
      <c r="B53" s="4" t="s">
        <v>7</v>
      </c>
      <c r="C53" s="5">
        <f>C40</f>
        <v>3.2500000000000001E-2</v>
      </c>
      <c r="D53" s="5">
        <f t="shared" ref="D53:R53" si="87">D40</f>
        <v>3.4500000000000003E-2</v>
      </c>
      <c r="E53" s="5">
        <f t="shared" si="87"/>
        <v>3.6500000000000005E-2</v>
      </c>
      <c r="F53" s="5">
        <f t="shared" si="87"/>
        <v>3.8500000000000006E-2</v>
      </c>
      <c r="G53" s="5">
        <f t="shared" si="87"/>
        <v>4.0500000000000008E-2</v>
      </c>
      <c r="H53" s="5">
        <f t="shared" si="87"/>
        <v>4.250000000000001E-2</v>
      </c>
      <c r="I53" s="5">
        <f t="shared" si="87"/>
        <v>4.4500000000000012E-2</v>
      </c>
      <c r="J53" s="5">
        <f t="shared" si="87"/>
        <v>4.6500000000000014E-2</v>
      </c>
      <c r="K53" s="5">
        <f t="shared" si="87"/>
        <v>4.8500000000000015E-2</v>
      </c>
      <c r="L53" s="5">
        <f t="shared" si="87"/>
        <v>5.0500000000000017E-2</v>
      </c>
      <c r="M53" s="5">
        <f t="shared" si="87"/>
        <v>5.2500000000000019E-2</v>
      </c>
      <c r="N53" s="5">
        <f t="shared" si="87"/>
        <v>5.4500000000000021E-2</v>
      </c>
      <c r="O53" s="5">
        <f t="shared" si="87"/>
        <v>5.6500000000000022E-2</v>
      </c>
      <c r="P53" s="5">
        <f t="shared" si="87"/>
        <v>5.8500000000000024E-2</v>
      </c>
      <c r="Q53" s="5">
        <f t="shared" si="87"/>
        <v>6.0500000000000026E-2</v>
      </c>
      <c r="R53" s="6">
        <f t="shared" si="87"/>
        <v>6.2500000000000028E-2</v>
      </c>
    </row>
    <row r="54" spans="2:18" x14ac:dyDescent="0.25">
      <c r="B54" s="7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9"/>
    </row>
    <row r="55" spans="2:18" x14ac:dyDescent="0.25">
      <c r="B55" s="10" t="s">
        <v>1</v>
      </c>
      <c r="C55" s="2">
        <f>$F$3</f>
        <v>0.04</v>
      </c>
      <c r="D55" s="2">
        <f t="shared" ref="D55:R55" si="88">$F$3</f>
        <v>0.04</v>
      </c>
      <c r="E55" s="2">
        <f t="shared" si="88"/>
        <v>0.04</v>
      </c>
      <c r="F55" s="2">
        <f t="shared" si="88"/>
        <v>0.04</v>
      </c>
      <c r="G55" s="2">
        <f t="shared" si="88"/>
        <v>0.04</v>
      </c>
      <c r="H55" s="2">
        <f t="shared" si="88"/>
        <v>0.04</v>
      </c>
      <c r="I55" s="2">
        <f t="shared" si="88"/>
        <v>0.04</v>
      </c>
      <c r="J55" s="2">
        <f t="shared" si="88"/>
        <v>0.04</v>
      </c>
      <c r="K55" s="2">
        <f t="shared" si="88"/>
        <v>0.04</v>
      </c>
      <c r="L55" s="2">
        <f t="shared" si="88"/>
        <v>0.04</v>
      </c>
      <c r="M55" s="2">
        <f t="shared" si="88"/>
        <v>0.04</v>
      </c>
      <c r="N55" s="2">
        <f t="shared" si="88"/>
        <v>0.04</v>
      </c>
      <c r="O55" s="2">
        <f t="shared" si="88"/>
        <v>0.04</v>
      </c>
      <c r="P55" s="2">
        <f t="shared" si="88"/>
        <v>0.04</v>
      </c>
      <c r="Q55" s="2">
        <f t="shared" si="88"/>
        <v>0.04</v>
      </c>
      <c r="R55" s="11">
        <f t="shared" si="88"/>
        <v>0.04</v>
      </c>
    </row>
    <row r="56" spans="2:18" x14ac:dyDescent="0.25">
      <c r="B56" s="7" t="s">
        <v>8</v>
      </c>
      <c r="C56" s="12">
        <f>$C$6</f>
        <v>4.7999999999999996E-3</v>
      </c>
      <c r="D56" s="12">
        <f t="shared" ref="D56:R56" si="89">$C$6</f>
        <v>4.7999999999999996E-3</v>
      </c>
      <c r="E56" s="12">
        <f t="shared" si="89"/>
        <v>4.7999999999999996E-3</v>
      </c>
      <c r="F56" s="12">
        <f t="shared" si="89"/>
        <v>4.7999999999999996E-3</v>
      </c>
      <c r="G56" s="12">
        <f t="shared" si="89"/>
        <v>4.7999999999999996E-3</v>
      </c>
      <c r="H56" s="12">
        <f t="shared" si="89"/>
        <v>4.7999999999999996E-3</v>
      </c>
      <c r="I56" s="12">
        <f t="shared" si="89"/>
        <v>4.7999999999999996E-3</v>
      </c>
      <c r="J56" s="12">
        <f t="shared" si="89"/>
        <v>4.7999999999999996E-3</v>
      </c>
      <c r="K56" s="12">
        <f t="shared" si="89"/>
        <v>4.7999999999999996E-3</v>
      </c>
      <c r="L56" s="12">
        <f t="shared" si="89"/>
        <v>4.7999999999999996E-3</v>
      </c>
      <c r="M56" s="12">
        <f t="shared" si="89"/>
        <v>4.7999999999999996E-3</v>
      </c>
      <c r="N56" s="12">
        <f t="shared" si="89"/>
        <v>4.7999999999999996E-3</v>
      </c>
      <c r="O56" s="12">
        <f t="shared" si="89"/>
        <v>4.7999999999999996E-3</v>
      </c>
      <c r="P56" s="12">
        <f t="shared" si="89"/>
        <v>4.7999999999999996E-3</v>
      </c>
      <c r="Q56" s="12">
        <f t="shared" si="89"/>
        <v>4.7999999999999996E-3</v>
      </c>
      <c r="R56" s="13">
        <f t="shared" si="89"/>
        <v>4.7999999999999996E-3</v>
      </c>
    </row>
    <row r="57" spans="2:18" x14ac:dyDescent="0.25">
      <c r="B57" s="14" t="s">
        <v>3</v>
      </c>
      <c r="C57" s="3">
        <f>$C$7</f>
        <v>2.5000000000000001E-3</v>
      </c>
      <c r="D57" s="3">
        <f t="shared" ref="D57:R57" si="90">$C$7</f>
        <v>2.5000000000000001E-3</v>
      </c>
      <c r="E57" s="3">
        <f t="shared" si="90"/>
        <v>2.5000000000000001E-3</v>
      </c>
      <c r="F57" s="3">
        <f t="shared" si="90"/>
        <v>2.5000000000000001E-3</v>
      </c>
      <c r="G57" s="3">
        <f t="shared" si="90"/>
        <v>2.5000000000000001E-3</v>
      </c>
      <c r="H57" s="3">
        <f t="shared" si="90"/>
        <v>2.5000000000000001E-3</v>
      </c>
      <c r="I57" s="3">
        <f t="shared" si="90"/>
        <v>2.5000000000000001E-3</v>
      </c>
      <c r="J57" s="3">
        <f t="shared" si="90"/>
        <v>2.5000000000000001E-3</v>
      </c>
      <c r="K57" s="3">
        <f t="shared" si="90"/>
        <v>2.5000000000000001E-3</v>
      </c>
      <c r="L57" s="3">
        <f t="shared" si="90"/>
        <v>2.5000000000000001E-3</v>
      </c>
      <c r="M57" s="3">
        <f t="shared" si="90"/>
        <v>2.5000000000000001E-3</v>
      </c>
      <c r="N57" s="3">
        <f t="shared" si="90"/>
        <v>2.5000000000000001E-3</v>
      </c>
      <c r="O57" s="3">
        <f t="shared" si="90"/>
        <v>2.5000000000000001E-3</v>
      </c>
      <c r="P57" s="3">
        <f t="shared" si="90"/>
        <v>2.5000000000000001E-3</v>
      </c>
      <c r="Q57" s="3">
        <f t="shared" si="90"/>
        <v>2.5000000000000001E-3</v>
      </c>
      <c r="R57" s="15">
        <f t="shared" si="90"/>
        <v>2.5000000000000001E-3</v>
      </c>
    </row>
    <row r="58" spans="2:18" x14ac:dyDescent="0.25">
      <c r="B58" s="7" t="s">
        <v>9</v>
      </c>
      <c r="C58" s="12">
        <f>IF((C53-C55-C56-C57)&lt;0,0,C53-C55-C56-C57)</f>
        <v>0</v>
      </c>
      <c r="D58" s="12">
        <f t="shared" ref="D58" si="91">IF((D53-D55-D56-D57)&lt;0,0,D53-D55-D56-D57)</f>
        <v>0</v>
      </c>
      <c r="E58" s="12">
        <f t="shared" ref="E58" si="92">IF((E53-E55-E56-E57)&lt;0,0,E53-E55-E56-E57)</f>
        <v>0</v>
      </c>
      <c r="F58" s="12">
        <f t="shared" ref="F58" si="93">IF((F53-F55-F56-F57)&lt;0,0,F53-F55-F56-F57)</f>
        <v>0</v>
      </c>
      <c r="G58" s="12">
        <f t="shared" ref="G58" si="94">IF((G53-G55-G56-G57)&lt;0,0,G53-G55-G56-G57)</f>
        <v>0</v>
      </c>
      <c r="H58" s="12">
        <f t="shared" ref="H58" si="95">IF((H53-H55-H56-H57)&lt;0,0,H53-H55-H56-H57)</f>
        <v>0</v>
      </c>
      <c r="I58" s="12">
        <f t="shared" ref="I58" si="96">IF((I53-I55-I56-I57)&lt;0,0,I53-I55-I56-I57)</f>
        <v>0</v>
      </c>
      <c r="J58" s="12">
        <f t="shared" ref="J58" si="97">IF((J53-J55-J56-J57)&lt;0,0,J53-J55-J56-J57)</f>
        <v>0</v>
      </c>
      <c r="K58" s="12">
        <f t="shared" ref="K58" si="98">IF((K53-K55-K56-K57)&lt;0,0,K53-K55-K56-K57)</f>
        <v>1.2000000000000149E-3</v>
      </c>
      <c r="L58" s="12">
        <f t="shared" ref="L58" si="99">IF((L53-L55-L56-L57)&lt;0,0,L53-L55-L56-L57)</f>
        <v>3.2000000000000166E-3</v>
      </c>
      <c r="M58" s="12">
        <f t="shared" ref="M58" si="100">IF((M53-M55-M56-M57)&lt;0,0,M53-M55-M56-M57)</f>
        <v>5.2000000000000188E-3</v>
      </c>
      <c r="N58" s="12">
        <f t="shared" ref="N58" si="101">IF((N53-N55-N56-N57)&lt;0,0,N53-N55-N56-N57)</f>
        <v>7.2000000000000206E-3</v>
      </c>
      <c r="O58" s="12">
        <f t="shared" ref="O58" si="102">IF((O53-O55-O56-O57)&lt;0,0,O53-O55-O56-O57)</f>
        <v>9.2000000000000224E-3</v>
      </c>
      <c r="P58" s="12">
        <f t="shared" ref="P58" si="103">IF((P53-P55-P56-P57)&lt;0,0,P53-P55-P56-P57)</f>
        <v>1.1200000000000024E-2</v>
      </c>
      <c r="Q58" s="12">
        <f t="shared" ref="Q58" si="104">IF((Q53-Q55-Q56-Q57)&lt;0,0,Q53-Q55-Q56-Q57)</f>
        <v>1.3200000000000026E-2</v>
      </c>
      <c r="R58" s="13">
        <f t="shared" ref="R58" si="105">IF((R53-R55-R56-R57)&lt;0,0,R53-R55-R56-R57)</f>
        <v>1.5200000000000028E-2</v>
      </c>
    </row>
    <row r="59" spans="2:18" x14ac:dyDescent="0.25">
      <c r="B59" s="14" t="s">
        <v>10</v>
      </c>
      <c r="C59" s="1">
        <f>IF((C53-C55-C57-C56)&gt;0,0,C53-C55-C56-C57)</f>
        <v>-1.4799999999999999E-2</v>
      </c>
      <c r="D59" s="1">
        <f t="shared" ref="D59:R59" si="106">IF((D53-D55-D57-D56)&gt;0,0,D53-D55-D56-D57)</f>
        <v>-1.2799999999999997E-2</v>
      </c>
      <c r="E59" s="1">
        <f t="shared" si="106"/>
        <v>-1.0799999999999995E-2</v>
      </c>
      <c r="F59" s="1">
        <f t="shared" si="106"/>
        <v>-8.7999999999999936E-3</v>
      </c>
      <c r="G59" s="1">
        <f t="shared" si="106"/>
        <v>-6.7999999999999918E-3</v>
      </c>
      <c r="H59" s="1">
        <f t="shared" si="106"/>
        <v>-4.79999999999999E-3</v>
      </c>
      <c r="I59" s="1">
        <f t="shared" si="106"/>
        <v>-2.7999999999999887E-3</v>
      </c>
      <c r="J59" s="1">
        <f t="shared" si="106"/>
        <v>-7.9999999999998692E-4</v>
      </c>
      <c r="K59" s="1">
        <f t="shared" si="106"/>
        <v>0</v>
      </c>
      <c r="L59" s="1">
        <f t="shared" si="106"/>
        <v>0</v>
      </c>
      <c r="M59" s="1">
        <f t="shared" si="106"/>
        <v>0</v>
      </c>
      <c r="N59" s="1">
        <f t="shared" si="106"/>
        <v>0</v>
      </c>
      <c r="O59" s="1">
        <f t="shared" si="106"/>
        <v>0</v>
      </c>
      <c r="P59" s="1">
        <f t="shared" si="106"/>
        <v>0</v>
      </c>
      <c r="Q59" s="1">
        <f t="shared" si="106"/>
        <v>0</v>
      </c>
      <c r="R59" s="16">
        <f t="shared" si="106"/>
        <v>0</v>
      </c>
    </row>
    <row r="60" spans="2:18" x14ac:dyDescent="0.25">
      <c r="B60" s="17" t="s">
        <v>11</v>
      </c>
      <c r="C60" s="8">
        <f>$F$4</f>
        <v>106.7187</v>
      </c>
      <c r="D60" s="8">
        <f t="shared" ref="D60:R60" si="107">$F$4</f>
        <v>106.7187</v>
      </c>
      <c r="E60" s="8">
        <f t="shared" si="107"/>
        <v>106.7187</v>
      </c>
      <c r="F60" s="8">
        <f t="shared" si="107"/>
        <v>106.7187</v>
      </c>
      <c r="G60" s="8">
        <f t="shared" si="107"/>
        <v>106.7187</v>
      </c>
      <c r="H60" s="8">
        <f t="shared" si="107"/>
        <v>106.7187</v>
      </c>
      <c r="I60" s="8">
        <f t="shared" si="107"/>
        <v>106.7187</v>
      </c>
      <c r="J60" s="8">
        <f t="shared" si="107"/>
        <v>106.7187</v>
      </c>
      <c r="K60" s="8">
        <f t="shared" si="107"/>
        <v>106.7187</v>
      </c>
      <c r="L60" s="8">
        <f t="shared" si="107"/>
        <v>106.7187</v>
      </c>
      <c r="M60" s="8">
        <f t="shared" si="107"/>
        <v>106.7187</v>
      </c>
      <c r="N60" s="8">
        <f t="shared" si="107"/>
        <v>106.7187</v>
      </c>
      <c r="O60" s="8">
        <f t="shared" si="107"/>
        <v>106.7187</v>
      </c>
      <c r="P60" s="8">
        <f t="shared" si="107"/>
        <v>106.7187</v>
      </c>
      <c r="Q60" s="8">
        <f t="shared" si="107"/>
        <v>106.7187</v>
      </c>
      <c r="R60" s="9">
        <f t="shared" si="107"/>
        <v>106.7187</v>
      </c>
    </row>
    <row r="61" spans="2:18" x14ac:dyDescent="0.25">
      <c r="B61" s="17" t="s">
        <v>12</v>
      </c>
      <c r="C61" s="18">
        <f>100*C57*$C$8</f>
        <v>1</v>
      </c>
      <c r="D61" s="18">
        <f t="shared" ref="D61:R61" si="108">100*D57*$C$8</f>
        <v>1</v>
      </c>
      <c r="E61" s="18">
        <f t="shared" si="108"/>
        <v>1</v>
      </c>
      <c r="F61" s="18">
        <f t="shared" si="108"/>
        <v>1</v>
      </c>
      <c r="G61" s="18">
        <f t="shared" si="108"/>
        <v>1</v>
      </c>
      <c r="H61" s="18">
        <f t="shared" si="108"/>
        <v>1</v>
      </c>
      <c r="I61" s="18">
        <f t="shared" si="108"/>
        <v>1</v>
      </c>
      <c r="J61" s="18">
        <f t="shared" si="108"/>
        <v>1</v>
      </c>
      <c r="K61" s="18">
        <f t="shared" si="108"/>
        <v>1</v>
      </c>
      <c r="L61" s="18">
        <f t="shared" si="108"/>
        <v>1</v>
      </c>
      <c r="M61" s="18">
        <f t="shared" si="108"/>
        <v>1</v>
      </c>
      <c r="N61" s="18">
        <f t="shared" si="108"/>
        <v>1</v>
      </c>
      <c r="O61" s="18">
        <f t="shared" si="108"/>
        <v>1</v>
      </c>
      <c r="P61" s="18">
        <f t="shared" si="108"/>
        <v>1</v>
      </c>
      <c r="Q61" s="18">
        <f t="shared" si="108"/>
        <v>1</v>
      </c>
      <c r="R61" s="19">
        <f t="shared" si="108"/>
        <v>1</v>
      </c>
    </row>
    <row r="62" spans="2:18" x14ac:dyDescent="0.25">
      <c r="B62" s="17" t="s">
        <v>13</v>
      </c>
      <c r="C62" s="18">
        <f>100*(C58*$C$10 +C59*$C$11)</f>
        <v>-11.395999999999999</v>
      </c>
      <c r="D62" s="18">
        <f t="shared" ref="D62:R62" si="109">100*(D58*$C$10 +D59*$C$11)</f>
        <v>-9.8559999999999981</v>
      </c>
      <c r="E62" s="18">
        <f t="shared" si="109"/>
        <v>-8.3159999999999972</v>
      </c>
      <c r="F62" s="18">
        <f t="shared" si="109"/>
        <v>-6.7759999999999962</v>
      </c>
      <c r="G62" s="18">
        <f t="shared" si="109"/>
        <v>-5.2359999999999944</v>
      </c>
      <c r="H62" s="18">
        <f t="shared" si="109"/>
        <v>-3.6959999999999922</v>
      </c>
      <c r="I62" s="18">
        <f t="shared" si="109"/>
        <v>-2.1559999999999913</v>
      </c>
      <c r="J62" s="18">
        <f t="shared" si="109"/>
        <v>-0.61599999999998989</v>
      </c>
      <c r="K62" s="18">
        <f t="shared" si="109"/>
        <v>0.52800000000000658</v>
      </c>
      <c r="L62" s="18">
        <f t="shared" si="109"/>
        <v>1.4080000000000075</v>
      </c>
      <c r="M62" s="18">
        <f t="shared" si="109"/>
        <v>2.2880000000000082</v>
      </c>
      <c r="N62" s="18">
        <f t="shared" si="109"/>
        <v>3.168000000000009</v>
      </c>
      <c r="O62" s="18">
        <f t="shared" si="109"/>
        <v>4.0480000000000098</v>
      </c>
      <c r="P62" s="18">
        <f t="shared" si="109"/>
        <v>4.9280000000000106</v>
      </c>
      <c r="Q62" s="18">
        <f t="shared" si="109"/>
        <v>5.8080000000000114</v>
      </c>
      <c r="R62" s="19">
        <f t="shared" si="109"/>
        <v>6.688000000000013</v>
      </c>
    </row>
    <row r="63" spans="2:18" ht="15.75" thickBot="1" x14ac:dyDescent="0.3">
      <c r="B63" s="20" t="s">
        <v>18</v>
      </c>
      <c r="C63" s="21">
        <f>IF(C58&gt;$C$9,"NA",SUM(C60:C62))</f>
        <v>96.322699999999998</v>
      </c>
      <c r="D63" s="21">
        <f t="shared" ref="D63" si="110">IF(D58&gt;$C$9,"NA",SUM(D60:D62))</f>
        <v>97.862700000000004</v>
      </c>
      <c r="E63" s="21">
        <f t="shared" ref="E63" si="111">IF(E58&gt;$C$9,"NA",SUM(E60:E62))</f>
        <v>99.402699999999996</v>
      </c>
      <c r="F63" s="21">
        <f t="shared" ref="F63" si="112">IF(F58&gt;$C$9,"NA",SUM(F60:F62))</f>
        <v>100.9427</v>
      </c>
      <c r="G63" s="21">
        <f t="shared" ref="G63" si="113">IF(G58&gt;$C$9,"NA",SUM(G60:G62))</f>
        <v>102.48270000000001</v>
      </c>
      <c r="H63" s="21">
        <f t="shared" ref="H63" si="114">IF(H58&gt;$C$9,"NA",SUM(H60:H62))</f>
        <v>104.0227</v>
      </c>
      <c r="I63" s="21">
        <f t="shared" ref="I63" si="115">IF(I58&gt;$C$9,"NA",SUM(I60:I62))</f>
        <v>105.56270000000001</v>
      </c>
      <c r="J63" s="21">
        <f t="shared" ref="J63" si="116">IF(J58&gt;$C$9,"NA",SUM(J60:J62))</f>
        <v>107.10270000000001</v>
      </c>
      <c r="K63" s="21">
        <f t="shared" ref="K63" si="117">IF(K58&gt;$C$9,"NA",SUM(K60:K62))</f>
        <v>108.2467</v>
      </c>
      <c r="L63" s="21">
        <f t="shared" ref="L63" si="118">IF(L58&gt;$C$9,"NA",SUM(L60:L62))</f>
        <v>109.1267</v>
      </c>
      <c r="M63" s="21" t="str">
        <f t="shared" ref="M63" si="119">IF(M58&gt;$C$9,"NA",SUM(M60:M62))</f>
        <v>NA</v>
      </c>
      <c r="N63" s="21" t="str">
        <f t="shared" ref="N63" si="120">IF(N58&gt;$C$9,"NA",SUM(N60:N62))</f>
        <v>NA</v>
      </c>
      <c r="O63" s="21" t="str">
        <f t="shared" ref="O63" si="121">IF(O58&gt;$C$9,"NA",SUM(O60:O62))</f>
        <v>NA</v>
      </c>
      <c r="P63" s="21" t="str">
        <f t="shared" ref="P63" si="122">IF(P58&gt;$C$9,"NA",SUM(P60:P62))</f>
        <v>NA</v>
      </c>
      <c r="Q63" s="21" t="str">
        <f t="shared" ref="Q63" si="123">IF(Q58&gt;$C$9,"NA",SUM(Q60:Q62))</f>
        <v>NA</v>
      </c>
      <c r="R63" s="22" t="str">
        <f t="shared" ref="R63" si="124">IF(R58&gt;$C$9,"NA",SUM(R60:R62))</f>
        <v>NA</v>
      </c>
    </row>
    <row r="65" spans="2:18" ht="15.75" thickBot="1" x14ac:dyDescent="0.3"/>
    <row r="66" spans="2:18" x14ac:dyDescent="0.25">
      <c r="B66" s="23" t="s">
        <v>14</v>
      </c>
      <c r="C66" s="24">
        <f>MAX(C24,C37,C50,C63)</f>
        <v>99.2697</v>
      </c>
      <c r="D66" s="24">
        <f t="shared" ref="D66:R66" si="125">MAX(D24,D37,D50,D63)</f>
        <v>100.4768</v>
      </c>
      <c r="E66" s="24">
        <f t="shared" si="125"/>
        <v>102.0168</v>
      </c>
      <c r="F66" s="24">
        <f t="shared" si="125"/>
        <v>103.16080000000001</v>
      </c>
      <c r="G66" s="24">
        <f t="shared" si="125"/>
        <v>104.16240000000001</v>
      </c>
      <c r="H66" s="24">
        <f t="shared" si="125"/>
        <v>105.63640000000001</v>
      </c>
      <c r="I66" s="24">
        <f t="shared" si="125"/>
        <v>106.5164</v>
      </c>
      <c r="J66" s="24">
        <f t="shared" si="125"/>
        <v>107.10270000000001</v>
      </c>
      <c r="K66" s="24">
        <f t="shared" si="125"/>
        <v>108.2467</v>
      </c>
      <c r="L66" s="24">
        <f t="shared" si="125"/>
        <v>109.1267</v>
      </c>
      <c r="M66" s="24">
        <f t="shared" si="125"/>
        <v>0</v>
      </c>
      <c r="N66" s="24">
        <f t="shared" si="125"/>
        <v>0</v>
      </c>
      <c r="O66" s="24">
        <f t="shared" si="125"/>
        <v>0</v>
      </c>
      <c r="P66" s="24">
        <f t="shared" si="125"/>
        <v>0</v>
      </c>
      <c r="Q66" s="24">
        <f t="shared" si="125"/>
        <v>0</v>
      </c>
      <c r="R66" s="25">
        <f t="shared" si="125"/>
        <v>0</v>
      </c>
    </row>
    <row r="67" spans="2:18" x14ac:dyDescent="0.25">
      <c r="B67" s="7" t="s">
        <v>7</v>
      </c>
      <c r="C67" s="12">
        <f>C53</f>
        <v>3.2500000000000001E-2</v>
      </c>
      <c r="D67" s="12">
        <f t="shared" ref="D67:R67" si="126">D53</f>
        <v>3.4500000000000003E-2</v>
      </c>
      <c r="E67" s="12">
        <f t="shared" si="126"/>
        <v>3.6500000000000005E-2</v>
      </c>
      <c r="F67" s="12">
        <f t="shared" si="126"/>
        <v>3.8500000000000006E-2</v>
      </c>
      <c r="G67" s="12">
        <f t="shared" si="126"/>
        <v>4.0500000000000008E-2</v>
      </c>
      <c r="H67" s="12">
        <f t="shared" si="126"/>
        <v>4.250000000000001E-2</v>
      </c>
      <c r="I67" s="12">
        <f t="shared" si="126"/>
        <v>4.4500000000000012E-2</v>
      </c>
      <c r="J67" s="12">
        <f t="shared" si="126"/>
        <v>4.6500000000000014E-2</v>
      </c>
      <c r="K67" s="12">
        <f t="shared" si="126"/>
        <v>4.8500000000000015E-2</v>
      </c>
      <c r="L67" s="12">
        <f t="shared" si="126"/>
        <v>5.0500000000000017E-2</v>
      </c>
      <c r="M67" s="12">
        <f t="shared" si="126"/>
        <v>5.2500000000000019E-2</v>
      </c>
      <c r="N67" s="12">
        <f t="shared" si="126"/>
        <v>5.4500000000000021E-2</v>
      </c>
      <c r="O67" s="12">
        <f t="shared" si="126"/>
        <v>5.6500000000000022E-2</v>
      </c>
      <c r="P67" s="12">
        <f t="shared" si="126"/>
        <v>5.8500000000000024E-2</v>
      </c>
      <c r="Q67" s="12">
        <f t="shared" si="126"/>
        <v>6.0500000000000026E-2</v>
      </c>
      <c r="R67" s="13">
        <f t="shared" si="126"/>
        <v>6.2500000000000028E-2</v>
      </c>
    </row>
    <row r="68" spans="2:18" ht="15.75" thickBot="1" x14ac:dyDescent="0.3">
      <c r="B68" s="26" t="s">
        <v>1</v>
      </c>
      <c r="C68" s="27">
        <f>IF(C66=C24,$C$3, IF(C66=C37,$D$3,IF(C66=C50,$E$3,$F$3)))</f>
        <v>2.5000000000000001E-2</v>
      </c>
      <c r="D68" s="27">
        <f t="shared" ref="D68:R68" si="127">IF(D66=D24,$C$3, IF(D66=D37,$D$3,IF(D66=D50,$E$3,$F$3)))</f>
        <v>3.0000000000000002E-2</v>
      </c>
      <c r="E68" s="27">
        <f t="shared" si="127"/>
        <v>3.0000000000000002E-2</v>
      </c>
      <c r="F68" s="27">
        <f t="shared" si="127"/>
        <v>3.0000000000000002E-2</v>
      </c>
      <c r="G68" s="27">
        <f t="shared" si="127"/>
        <v>3.5000000000000003E-2</v>
      </c>
      <c r="H68" s="27">
        <f t="shared" si="127"/>
        <v>3.5000000000000003E-2</v>
      </c>
      <c r="I68" s="27">
        <f t="shared" si="127"/>
        <v>3.5000000000000003E-2</v>
      </c>
      <c r="J68" s="27">
        <f t="shared" si="127"/>
        <v>0.04</v>
      </c>
      <c r="K68" s="27">
        <f t="shared" si="127"/>
        <v>0.04</v>
      </c>
      <c r="L68" s="27">
        <f t="shared" si="127"/>
        <v>0.04</v>
      </c>
      <c r="M68" s="27">
        <f t="shared" si="127"/>
        <v>0.04</v>
      </c>
      <c r="N68" s="27">
        <f t="shared" si="127"/>
        <v>0.04</v>
      </c>
      <c r="O68" s="27">
        <f t="shared" si="127"/>
        <v>0.04</v>
      </c>
      <c r="P68" s="27">
        <f t="shared" si="127"/>
        <v>0.04</v>
      </c>
      <c r="Q68" s="27">
        <f t="shared" si="127"/>
        <v>0.04</v>
      </c>
      <c r="R68" s="28">
        <f t="shared" si="127"/>
        <v>0.04</v>
      </c>
    </row>
  </sheetData>
  <pageMargins left="0.7" right="0.7" top="0.75" bottom="0.75" header="0.3" footer="0.3"/>
  <pageSetup scale="35" orientation="landscape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</dc:creator>
  <cp:lastModifiedBy>Lien Chen</cp:lastModifiedBy>
  <cp:lastPrinted>2015-03-06T15:41:48Z</cp:lastPrinted>
  <dcterms:created xsi:type="dcterms:W3CDTF">2013-04-04T19:42:48Z</dcterms:created>
  <dcterms:modified xsi:type="dcterms:W3CDTF">2015-03-06T15:52:15Z</dcterms:modified>
</cp:coreProperties>
</file>