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30675" windowHeight="17685"/>
  </bookViews>
  <sheets>
    <sheet name="Result" sheetId="1" r:id="rId1"/>
    <sheet name="5y10y Swaption Vol" sheetId="2" r:id="rId2"/>
    <sheet name="Realized Vol" sheetId="3" r:id="rId3"/>
    <sheet name="10y swap Vol" sheetId="4" r:id="rId4"/>
  </sheets>
  <externalReferences>
    <externalReference r:id="rId5"/>
  </externalReferences>
  <definedNames>
    <definedName name="CurrentCloseDate">[1]Report!$T$2</definedName>
    <definedName name="PDFReportDir">[1]Report!$T$3</definedName>
    <definedName name="temp" localSheetId="3">'10y swap Vol'!$B$2:$E$3809</definedName>
    <definedName name="temp" localSheetId="1">'5y10y Swaption Vol'!$B$1:$D$3696</definedName>
    <definedName name="temp_1" localSheetId="1">'5y10y Swaption Vol'!#REF!</definedName>
    <definedName name="temp_2" localSheetId="1">'5y10y Swaption Vol'!$B$1:$D$3726</definedName>
  </definedNames>
  <calcPr calcId="145621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3" i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2" i="4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 l="1"/>
  <c r="M1363" i="1" l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comma="1">
      <textFields count="4">
        <textField/>
        <textField/>
        <textField/>
        <textField/>
      </textFields>
    </textPr>
  </connection>
  <connection id="2" name="temp1" type="6" refreshedVersion="4" background="1" saveData="1">
    <textPr codePage="65001" sourceFile="C:\Users\lien.chen\Desktop\temp.csv" comma="1">
      <textFields count="4">
        <textField/>
        <textField/>
        <textField/>
        <textField/>
      </textFields>
    </textPr>
  </connection>
  <connection id="3" name="temp11" type="6" refreshedVersion="4" background="1" saveData="1">
    <textPr codePage="65001" sourceFile="C:\Users\lien.chen\Desktop\temp.csv" comma="1">
      <textFields count="4">
        <textField/>
        <textField/>
        <textField/>
        <textField/>
      </textFields>
    </textPr>
  </connection>
  <connection id="4" name="temp2" type="6" refreshedVersion="4" background="1" saveData="1">
    <textPr codePage="65001" sourceFile="C:\Users\lien.chen\Desktop\temp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<sst xmlns="http://schemas.openxmlformats.org/spreadsheetml/2006/main" count="12714" uniqueCount="11">
  <si>
    <t>asOfDate</t>
  </si>
  <si>
    <t>Realized Current Coupon Vol</t>
  </si>
  <si>
    <t>10yr Swap Rate</t>
  </si>
  <si>
    <t>5y10y_ATM</t>
  </si>
  <si>
    <t>5y10y Swaption Vol</t>
  </si>
  <si>
    <t>10 yr Swap Vol</t>
  </si>
  <si>
    <t>Rate</t>
  </si>
  <si>
    <t>Ticker</t>
  </si>
  <si>
    <t>Asofdate</t>
  </si>
  <si>
    <t>Return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</si>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</sst>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\£\ #,##0_);[Red]\(\£\ #,##0\)"/>
    <numFmt numFmtId="166" formatCode="\¥\ #,##0_);[Red]\(\¥\ #,##0\)"/>
    <numFmt numFmtId="167" formatCode="\•\ \ @"/>
    <numFmt numFmtId="168" formatCode="_(&quot;$&quot;* #,##0_);_(&quot;$&quot;* \(#,##0.0\);_(&quot;$&quot;* &quot;-&quot;??_);_(@_)"/>
    <numFmt numFmtId="169" formatCode="&quot;$&quot;#,##0.000"/>
    <numFmt numFmtId="170" formatCode="&quot;$&quot;#,##0.000000_);\(&quot;$&quot;#,##0.000000\)"/>
    <numFmt numFmtId="171" formatCode="#,##0.0_);[Red]\(&quot;$&quot;#,##0.0\)"/>
    <numFmt numFmtId="172" formatCode="0.000_)"/>
    <numFmt numFmtId="173" formatCode="\ \ _•\–\ \ \ \ @"/>
    <numFmt numFmtId="174" formatCode="0.00&quot;%&quot;"/>
    <numFmt numFmtId="175" formatCode="0&quot;%&quot;"/>
    <numFmt numFmtId="176" formatCode="mmmm\ d\,\ yyyy"/>
    <numFmt numFmtId="177" formatCode="0.000"/>
    <numFmt numFmtId="178" formatCode="0.0000000"/>
    <numFmt numFmtId="179" formatCode="_([$€-2]* #,##0.00_);_([$€-2]* \(#,##0.00\);_([$€-2]* &quot;-&quot;??_)"/>
    <numFmt numFmtId="180" formatCode="dd\-mmm\-yy\ hh:mm:ss"/>
    <numFmt numFmtId="181" formatCode="0.00_)"/>
    <numFmt numFmtId="182" formatCode="0.0#\%;\-0.0#\%"/>
    <numFmt numFmtId="183" formatCode="#,##0.0\ ;\(#,##0.0\)"/>
    <numFmt numFmtId="184" formatCode="#,##0\ \ \ ;\(#,##0\)\ \ "/>
    <numFmt numFmtId="185" formatCode="0.0"/>
    <numFmt numFmtId="186" formatCode="0.0000_)"/>
    <numFmt numFmtId="187" formatCode="0.000;\-0.000"/>
    <numFmt numFmtId="188" formatCode="0.00;\-0.00"/>
    <numFmt numFmtId="189" formatCode="#,##0.0_);\(#,##0.0\)"/>
    <numFmt numFmtId="190" formatCode="mm/dd/yy"/>
    <numFmt numFmtId="191" formatCode="#,###\ &quot;Months&quot;"/>
    <numFmt numFmtId="192" formatCode="##########.###"/>
    <numFmt numFmtId="193" formatCode="0.0#%"/>
    <numFmt numFmtId="194" formatCode="0.0;\-0.0"/>
  </numFmts>
  <fonts count="1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9"/>
      <color theme="1"/>
      <name val="Arial"/>
      <family val="2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0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25">
    <xf numFmtId="0" fontId="0" fillId="0" borderId="0"/>
    <xf numFmtId="0" fontId="4" fillId="5" borderId="0"/>
    <xf numFmtId="0" fontId="5" fillId="0" borderId="0" applyNumberFormat="0" applyFill="0" applyBorder="0" applyAlignment="0" applyProtection="0">
      <alignment horizontal="left" wrapText="1"/>
    </xf>
    <xf numFmtId="0" fontId="5" fillId="0" borderId="0" applyNumberFormat="0" applyFill="0" applyBorder="0" applyAlignment="0" applyProtection="0">
      <alignment horizontal="left" wrapText="1"/>
    </xf>
    <xf numFmtId="0" fontId="5" fillId="0" borderId="0" applyNumberFormat="0" applyFill="0" applyBorder="0" applyAlignment="0" applyProtection="0">
      <alignment horizontal="left" wrapText="1"/>
    </xf>
    <xf numFmtId="0" fontId="5" fillId="0" borderId="0" applyNumberFormat="0" applyFill="0" applyBorder="0" applyAlignment="0" applyProtection="0">
      <alignment horizontal="left" wrapText="1"/>
    </xf>
    <xf numFmtId="165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8" fillId="9" borderId="0" applyNumberFormat="0" applyBorder="0" applyAlignment="0" applyProtection="0"/>
    <xf numFmtId="0" fontId="9" fillId="9" borderId="0" applyNumberFormat="0" applyBorder="0" applyAlignment="0" applyProtection="0"/>
    <xf numFmtId="0" fontId="10" fillId="10" borderId="0" applyNumberFormat="0" applyBorder="0" applyAlignment="0" applyProtection="0"/>
    <xf numFmtId="0" fontId="8" fillId="11" borderId="0" applyNumberFormat="0" applyBorder="0" applyAlignment="0" applyProtection="0"/>
    <xf numFmtId="0" fontId="9" fillId="10" borderId="0" applyNumberFormat="0" applyBorder="0" applyAlignment="0" applyProtection="0"/>
    <xf numFmtId="0" fontId="10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10" fillId="13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7" borderId="0" applyNumberFormat="0" applyBorder="0" applyAlignment="0" applyProtection="0"/>
    <xf numFmtId="0" fontId="8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17" borderId="0" applyNumberFormat="0" applyBorder="0" applyAlignment="0" applyProtection="0"/>
    <xf numFmtId="0" fontId="8" fillId="18" borderId="0" applyNumberFormat="0" applyBorder="0" applyAlignment="0" applyProtection="0"/>
    <xf numFmtId="0" fontId="9" fillId="18" borderId="0" applyNumberFormat="0" applyBorder="0" applyAlignment="0" applyProtection="0"/>
    <xf numFmtId="0" fontId="10" fillId="18" borderId="0" applyNumberFormat="0" applyBorder="0" applyAlignment="0" applyProtection="0"/>
    <xf numFmtId="0" fontId="8" fillId="9" borderId="0" applyNumberFormat="0" applyBorder="0" applyAlignment="0" applyProtection="0"/>
    <xf numFmtId="0" fontId="9" fillId="12" borderId="0" applyNumberFormat="0" applyBorder="0" applyAlignment="0" applyProtection="0"/>
    <xf numFmtId="0" fontId="10" fillId="19" borderId="0" applyNumberFormat="0" applyBorder="0" applyAlignment="0" applyProtection="0"/>
    <xf numFmtId="0" fontId="8" fillId="15" borderId="0" applyNumberFormat="0" applyBorder="0" applyAlignment="0" applyProtection="0"/>
    <xf numFmtId="0" fontId="9" fillId="20" borderId="0" applyNumberFormat="0" applyBorder="0" applyAlignment="0" applyProtection="0"/>
    <xf numFmtId="0" fontId="10" fillId="12" borderId="0" applyNumberFormat="0" applyBorder="0" applyAlignment="0" applyProtection="0"/>
    <xf numFmtId="0" fontId="8" fillId="17" borderId="0" applyNumberFormat="0" applyBorder="0" applyAlignment="0" applyProtection="0"/>
    <xf numFmtId="0" fontId="9" fillId="14" borderId="0" applyNumberFormat="0" applyBorder="0" applyAlignment="0" applyProtection="0"/>
    <xf numFmtId="0" fontId="10" fillId="17" borderId="0" applyNumberFormat="0" applyBorder="0" applyAlignment="0" applyProtection="0"/>
    <xf numFmtId="0" fontId="8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21" borderId="0" applyNumberFormat="0" applyBorder="0" applyAlignment="0" applyProtection="0"/>
    <xf numFmtId="0" fontId="11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4" borderId="0" applyNumberFormat="0" applyBorder="0" applyAlignment="0" applyProtection="0"/>
    <xf numFmtId="0" fontId="11" fillId="18" borderId="0" applyNumberFormat="0" applyBorder="0" applyAlignment="0" applyProtection="0"/>
    <xf numFmtId="0" fontId="12" fillId="18" borderId="0" applyNumberFormat="0" applyBorder="0" applyAlignment="0" applyProtection="0"/>
    <xf numFmtId="0" fontId="13" fillId="18" borderId="0" applyNumberFormat="0" applyBorder="0" applyAlignment="0" applyProtection="0"/>
    <xf numFmtId="0" fontId="11" fillId="9" borderId="0" applyNumberFormat="0" applyBorder="0" applyAlignment="0" applyProtection="0"/>
    <xf numFmtId="0" fontId="12" fillId="12" borderId="0" applyNumberFormat="0" applyBorder="0" applyAlignment="0" applyProtection="0"/>
    <xf numFmtId="0" fontId="13" fillId="19" borderId="0" applyNumberFormat="0" applyBorder="0" applyAlignment="0" applyProtection="0"/>
    <xf numFmtId="0" fontId="11" fillId="15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1" fillId="22" borderId="0" applyNumberFormat="0" applyBorder="0" applyAlignment="0" applyProtection="0"/>
    <xf numFmtId="0" fontId="12" fillId="23" borderId="0" applyNumberFormat="0" applyBorder="0" applyAlignment="0" applyProtection="0"/>
    <xf numFmtId="0" fontId="13" fillId="22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3" fillId="27" borderId="0" applyNumberFormat="0" applyBorder="0" applyAlignment="0" applyProtection="0"/>
    <xf numFmtId="0" fontId="11" fillId="22" borderId="0" applyNumberFormat="0" applyBorder="0" applyAlignment="0" applyProtection="0"/>
    <xf numFmtId="0" fontId="12" fillId="28" borderId="0" applyNumberFormat="0" applyBorder="0" applyAlignment="0" applyProtection="0"/>
    <xf numFmtId="0" fontId="13" fillId="29" borderId="0" applyNumberFormat="0" applyBorder="0" applyAlignment="0" applyProtection="0"/>
    <xf numFmtId="0" fontId="11" fillId="30" borderId="0" applyNumberFormat="0" applyBorder="0" applyAlignment="0" applyProtection="0"/>
    <xf numFmtId="0" fontId="12" fillId="31" borderId="0" applyNumberFormat="0" applyBorder="0" applyAlignment="0" applyProtection="0"/>
    <xf numFmtId="0" fontId="13" fillId="30" borderId="0" applyNumberFormat="0" applyBorder="0" applyAlignment="0" applyProtection="0"/>
    <xf numFmtId="0" fontId="11" fillId="32" borderId="0" applyNumberFormat="0" applyBorder="0" applyAlignment="0" applyProtection="0"/>
    <xf numFmtId="0" fontId="12" fillId="31" borderId="0" applyNumberFormat="0" applyBorder="0" applyAlignment="0" applyProtection="0"/>
    <xf numFmtId="0" fontId="13" fillId="32" borderId="0" applyNumberFormat="0" applyBorder="0" applyAlignment="0" applyProtection="0"/>
    <xf numFmtId="0" fontId="11" fillId="28" borderId="0" applyNumberFormat="0" applyBorder="0" applyAlignment="0" applyProtection="0"/>
    <xf numFmtId="0" fontId="12" fillId="28" borderId="0" applyNumberFormat="0" applyBorder="0" applyAlignment="0" applyProtection="0"/>
    <xf numFmtId="0" fontId="13" fillId="26" borderId="0" applyNumberFormat="0" applyBorder="0" applyAlignment="0" applyProtection="0"/>
    <xf numFmtId="0" fontId="11" fillId="22" borderId="0" applyNumberFormat="0" applyBorder="0" applyAlignment="0" applyProtection="0"/>
    <xf numFmtId="0" fontId="12" fillId="32" borderId="0" applyNumberFormat="0" applyBorder="0" applyAlignment="0" applyProtection="0"/>
    <xf numFmtId="0" fontId="13" fillId="22" borderId="0" applyNumberFormat="0" applyBorder="0" applyAlignment="0" applyProtection="0"/>
    <xf numFmtId="0" fontId="11" fillId="33" borderId="0" applyNumberFormat="0" applyBorder="0" applyAlignment="0" applyProtection="0"/>
    <xf numFmtId="0" fontId="12" fillId="33" borderId="0" applyNumberFormat="0" applyBorder="0" applyAlignment="0" applyProtection="0"/>
    <xf numFmtId="0" fontId="13" fillId="33" borderId="0" applyNumberFormat="0" applyBorder="0" applyAlignment="0" applyProtection="0"/>
    <xf numFmtId="0" fontId="5" fillId="0" borderId="0"/>
    <xf numFmtId="17" fontId="5" fillId="0" borderId="0" applyFont="0" applyFill="0" applyBorder="0" applyProtection="0">
      <alignment horizontal="left"/>
    </xf>
    <xf numFmtId="0" fontId="5" fillId="0" borderId="0" applyFont="0" applyFill="0" applyBorder="0" applyProtection="0">
      <alignment horizontal="left"/>
    </xf>
    <xf numFmtId="0" fontId="14" fillId="8" borderId="0" applyNumberFormat="0" applyBorder="0" applyAlignment="0" applyProtection="0"/>
    <xf numFmtId="0" fontId="15" fillId="8" borderId="0" applyNumberFormat="0" applyBorder="0" applyAlignment="0" applyProtection="0"/>
    <xf numFmtId="0" fontId="16" fillId="8" borderId="0" applyNumberFormat="0" applyBorder="0" applyAlignment="0" applyProtection="0"/>
    <xf numFmtId="38" fontId="17" fillId="11" borderId="0"/>
    <xf numFmtId="0" fontId="18" fillId="0" borderId="0" applyNumberFormat="0" applyFill="0" applyBorder="0" applyAlignment="0" applyProtection="0"/>
    <xf numFmtId="0" fontId="19" fillId="34" borderId="0">
      <alignment horizontal="left"/>
    </xf>
    <xf numFmtId="2" fontId="20" fillId="35" borderId="5" applyProtection="0">
      <alignment horizontal="left"/>
      <protection locked="0"/>
    </xf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5" fillId="36" borderId="0"/>
    <xf numFmtId="167" fontId="6" fillId="0" borderId="0" applyFont="0" applyFill="0" applyBorder="0" applyAlignment="0" applyProtection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5" fillId="0" borderId="0" applyFill="0" applyBorder="0" applyAlignment="0"/>
    <xf numFmtId="170" fontId="5" fillId="0" borderId="0" applyFill="0" applyBorder="0" applyAlignment="0"/>
    <xf numFmtId="0" fontId="5" fillId="0" borderId="0" applyFill="0" applyBorder="0" applyAlignment="0"/>
    <xf numFmtId="168" fontId="24" fillId="0" borderId="0" applyFill="0" applyBorder="0" applyAlignment="0"/>
    <xf numFmtId="0" fontId="5" fillId="0" borderId="0" applyFill="0" applyBorder="0" applyAlignment="0"/>
    <xf numFmtId="171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25" fillId="11" borderId="7" applyNumberFormat="0" applyAlignment="0" applyProtection="0"/>
    <xf numFmtId="0" fontId="26" fillId="13" borderId="7" applyNumberFormat="0" applyAlignment="0" applyProtection="0"/>
    <xf numFmtId="0" fontId="27" fillId="15" borderId="7" applyNumberFormat="0" applyAlignment="0" applyProtection="0"/>
    <xf numFmtId="0" fontId="28" fillId="37" borderId="8" applyNumberFormat="0"/>
    <xf numFmtId="0" fontId="29" fillId="38" borderId="9" applyBorder="0">
      <alignment horizontal="center" wrapText="1"/>
    </xf>
    <xf numFmtId="0" fontId="29" fillId="39" borderId="9" applyBorder="0">
      <alignment horizontal="center" wrapText="1"/>
    </xf>
    <xf numFmtId="0" fontId="4" fillId="5" borderId="8" applyNumberFormat="0"/>
    <xf numFmtId="0" fontId="30" fillId="40" borderId="8" applyNumberFormat="0"/>
    <xf numFmtId="0" fontId="3" fillId="40" borderId="8" applyNumberFormat="0"/>
    <xf numFmtId="0" fontId="4" fillId="5" borderId="8" applyNumberFormat="0"/>
    <xf numFmtId="0" fontId="30" fillId="5" borderId="8" applyNumberFormat="0"/>
    <xf numFmtId="0" fontId="31" fillId="41" borderId="10" applyNumberFormat="0"/>
    <xf numFmtId="0" fontId="4" fillId="37" borderId="8" applyNumberFormat="0"/>
    <xf numFmtId="0" fontId="28" fillId="37" borderId="8" applyNumberFormat="0"/>
    <xf numFmtId="0" fontId="31" fillId="41" borderId="10" applyNumberFormat="0" applyBorder="0"/>
    <xf numFmtId="0" fontId="31" fillId="41" borderId="10" applyNumberFormat="0" applyBorder="0"/>
    <xf numFmtId="0" fontId="31" fillId="41" borderId="10" applyNumberFormat="0"/>
    <xf numFmtId="0" fontId="31" fillId="41" borderId="10" applyNumberFormat="0" applyBorder="0"/>
    <xf numFmtId="14" fontId="32" fillId="5" borderId="11" applyNumberFormat="0" applyAlignment="0"/>
    <xf numFmtId="14" fontId="32" fillId="40" borderId="11" applyNumberFormat="0" applyAlignment="0"/>
    <xf numFmtId="14" fontId="33" fillId="40" borderId="11" applyNumberFormat="0" applyAlignment="0"/>
    <xf numFmtId="0" fontId="34" fillId="42" borderId="12" applyNumberFormat="0" applyAlignment="0" applyProtection="0"/>
    <xf numFmtId="0" fontId="35" fillId="42" borderId="12" applyNumberFormat="0" applyAlignment="0" applyProtection="0"/>
    <xf numFmtId="0" fontId="36" fillId="42" borderId="12" applyNumberFormat="0" applyAlignment="0" applyProtection="0"/>
    <xf numFmtId="0" fontId="37" fillId="0" borderId="0" applyNumberFormat="0" applyFill="0" applyBorder="0" applyAlignment="0" applyProtection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172" fontId="38" fillId="0" borderId="0"/>
    <xf numFmtId="172" fontId="39" fillId="0" borderId="0"/>
    <xf numFmtId="0" fontId="23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ill="0" applyBorder="0" applyAlignment="0" applyProtection="0"/>
    <xf numFmtId="0" fontId="40" fillId="0" borderId="0"/>
    <xf numFmtId="0" fontId="41" fillId="0" borderId="0" applyNumberFormat="0" applyAlignment="0">
      <alignment horizontal="left"/>
    </xf>
    <xf numFmtId="0" fontId="42" fillId="0" borderId="0">
      <alignment horizontal="center"/>
    </xf>
    <xf numFmtId="0" fontId="40" fillId="0" borderId="0"/>
    <xf numFmtId="0" fontId="23" fillId="0" borderId="0" applyFont="0" applyFill="0" applyBorder="0" applyAlignment="0" applyProtection="0"/>
    <xf numFmtId="169" fontId="5" fillId="0" borderId="0" applyFont="0" applyFill="0" applyBorder="0" applyAlignment="0" applyProtection="0"/>
    <xf numFmtId="8" fontId="43" fillId="0" borderId="13">
      <protection locked="0"/>
    </xf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5" fontId="5" fillId="0" borderId="0" applyFill="0" applyBorder="0" applyAlignment="0" applyProtection="0"/>
    <xf numFmtId="173" fontId="6" fillId="0" borderId="0" applyFont="0" applyFill="0" applyBorder="0" applyAlignment="0" applyProtection="0"/>
    <xf numFmtId="10" fontId="5" fillId="0" borderId="0" applyFont="0" applyFill="0" applyBorder="0" applyProtection="0">
      <alignment horizontal="center"/>
    </xf>
    <xf numFmtId="174" fontId="5" fillId="0" borderId="0" applyFont="0" applyFill="0" applyBorder="0" applyProtection="0"/>
    <xf numFmtId="175" fontId="5" fillId="0" borderId="0" applyFont="0" applyFill="0" applyBorder="0" applyProtection="0"/>
    <xf numFmtId="15" fontId="44" fillId="0" borderId="0" applyFont="0" applyFill="0" applyBorder="0" applyAlignment="0" applyProtection="0"/>
    <xf numFmtId="0" fontId="40" fillId="0" borderId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76" fontId="5" fillId="0" borderId="0" applyFill="0" applyBorder="0" applyAlignment="0" applyProtection="0"/>
    <xf numFmtId="15" fontId="9" fillId="11" borderId="0"/>
    <xf numFmtId="14" fontId="9" fillId="0" borderId="0" applyFill="0" applyBorder="0" applyAlignment="0"/>
    <xf numFmtId="0" fontId="42" fillId="35" borderId="0">
      <alignment horizontal="left"/>
    </xf>
    <xf numFmtId="176" fontId="5" fillId="0" borderId="0" applyFill="0" applyBorder="0" applyAlignment="0" applyProtection="0"/>
    <xf numFmtId="14" fontId="5" fillId="0" borderId="0"/>
    <xf numFmtId="0" fontId="45" fillId="18" borderId="0">
      <alignment horizontal="left"/>
    </xf>
    <xf numFmtId="0" fontId="46" fillId="0" borderId="0">
      <alignment horizontal="left"/>
    </xf>
    <xf numFmtId="38" fontId="47" fillId="0" borderId="14">
      <alignment vertical="center"/>
    </xf>
    <xf numFmtId="177" fontId="5" fillId="0" borderId="0">
      <alignment horizontal="right"/>
    </xf>
    <xf numFmtId="1" fontId="5" fillId="0" borderId="0">
      <alignment horizontal="right"/>
    </xf>
    <xf numFmtId="1" fontId="5" fillId="0" borderId="0">
      <alignment horizontal="right"/>
    </xf>
    <xf numFmtId="178" fontId="5" fillId="0" borderId="0">
      <alignment horizontal="right"/>
    </xf>
    <xf numFmtId="49" fontId="5" fillId="0" borderId="0">
      <alignment horizontal="left"/>
    </xf>
    <xf numFmtId="49" fontId="5" fillId="0" borderId="0">
      <alignment horizontal="left"/>
    </xf>
    <xf numFmtId="49" fontId="5" fillId="0" borderId="0">
      <alignment horizontal="right"/>
    </xf>
    <xf numFmtId="14" fontId="5" fillId="0" borderId="0">
      <alignment horizontal="left"/>
    </xf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48" fillId="0" borderId="0" applyNumberFormat="0" applyAlignment="0">
      <alignment horizontal="left"/>
    </xf>
    <xf numFmtId="9" fontId="49" fillId="0" borderId="15" applyNumberFormat="0" applyBorder="0" applyAlignment="0">
      <protection locked="0"/>
    </xf>
    <xf numFmtId="179" fontId="5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2" fontId="5" fillId="0" borderId="0" applyFill="0" applyBorder="0" applyAlignment="0" applyProtection="0"/>
    <xf numFmtId="180" fontId="5" fillId="0" borderId="0" applyFont="0" applyFill="0" applyBorder="0" applyAlignment="0" applyProtection="0"/>
    <xf numFmtId="0" fontId="9" fillId="11" borderId="0"/>
    <xf numFmtId="0" fontId="53" fillId="10" borderId="0" applyNumberFormat="0" applyBorder="0" applyAlignment="0" applyProtection="0"/>
    <xf numFmtId="0" fontId="54" fillId="14" borderId="0" applyNumberFormat="0" applyBorder="0" applyAlignment="0" applyProtection="0"/>
    <xf numFmtId="0" fontId="55" fillId="10" borderId="0" applyNumberFormat="0" applyBorder="0" applyAlignment="0" applyProtection="0"/>
    <xf numFmtId="2" fontId="56" fillId="35" borderId="5" applyProtection="0">
      <alignment horizontal="left"/>
      <protection locked="0"/>
    </xf>
    <xf numFmtId="38" fontId="37" fillId="43" borderId="0" applyNumberFormat="0" applyBorder="0" applyAlignment="0" applyProtection="0"/>
    <xf numFmtId="0" fontId="57" fillId="0" borderId="16" applyNumberFormat="0" applyAlignment="0" applyProtection="0">
      <alignment horizontal="left" vertical="center"/>
    </xf>
    <xf numFmtId="0" fontId="57" fillId="0" borderId="17">
      <alignment horizontal="left" vertical="center"/>
    </xf>
    <xf numFmtId="0" fontId="58" fillId="15" borderId="15">
      <alignment horizontal="centerContinuous"/>
    </xf>
    <xf numFmtId="0" fontId="59" fillId="0" borderId="18" applyNumberFormat="0" applyFill="0" applyAlignment="0" applyProtection="0"/>
    <xf numFmtId="0" fontId="60" fillId="0" borderId="19" applyNumberFormat="0" applyFill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20" applyNumberFormat="0" applyFill="0" applyAlignment="0" applyProtection="0"/>
    <xf numFmtId="0" fontId="64" fillId="0" borderId="21" applyNumberFormat="0" applyFill="0" applyAlignment="0" applyProtection="0"/>
    <xf numFmtId="0" fontId="65" fillId="0" borderId="22" applyNumberFormat="0" applyFill="0" applyAlignment="0" applyProtection="0"/>
    <xf numFmtId="0" fontId="4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21" applyNumberFormat="0" applyFill="0" applyAlignment="0" applyProtection="0"/>
    <xf numFmtId="0" fontId="67" fillId="0" borderId="23" applyNumberFormat="0" applyFill="0" applyAlignment="0" applyProtection="0"/>
    <xf numFmtId="0" fontId="68" fillId="0" borderId="24" applyNumberFormat="0" applyFill="0" applyAlignment="0" applyProtection="0"/>
    <xf numFmtId="0" fontId="69" fillId="0" borderId="25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11" borderId="0"/>
    <xf numFmtId="0" fontId="62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0" fontId="37" fillId="44" borderId="15" applyNumberFormat="0" applyBorder="0" applyAlignment="0" applyProtection="0"/>
    <xf numFmtId="2" fontId="72" fillId="0" borderId="26" applyNumberFormat="0" applyFill="0" applyBorder="0" applyAlignment="0">
      <alignment horizontal="center"/>
      <protection locked="0"/>
    </xf>
    <xf numFmtId="2" fontId="72" fillId="0" borderId="26" applyNumberFormat="0" applyFill="0" applyBorder="0" applyAlignment="0">
      <alignment horizontal="center"/>
      <protection locked="0"/>
    </xf>
    <xf numFmtId="0" fontId="2" fillId="2" borderId="1" applyNumberFormat="0" applyAlignment="0" applyProtection="0"/>
    <xf numFmtId="0" fontId="73" fillId="7" borderId="7" applyNumberFormat="0" applyAlignment="0" applyProtection="0"/>
    <xf numFmtId="0" fontId="73" fillId="7" borderId="7" applyNumberFormat="0" applyAlignment="0" applyProtection="0"/>
    <xf numFmtId="0" fontId="73" fillId="7" borderId="7" applyNumberFormat="0" applyAlignment="0" applyProtection="0"/>
    <xf numFmtId="0" fontId="73" fillId="7" borderId="7" applyNumberFormat="0" applyAlignment="0" applyProtection="0"/>
    <xf numFmtId="37" fontId="74" fillId="0" borderId="0" applyNumberFormat="0" applyAlignment="0">
      <protection locked="0"/>
    </xf>
    <xf numFmtId="0" fontId="75" fillId="0" borderId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76" fillId="0" borderId="27" applyNumberFormat="0" applyFill="0" applyAlignment="0" applyProtection="0"/>
    <xf numFmtId="0" fontId="77" fillId="0" borderId="27" applyNumberFormat="0" applyFill="0" applyAlignment="0" applyProtection="0"/>
    <xf numFmtId="0" fontId="78" fillId="0" borderId="27" applyNumberFormat="0" applyFill="0" applyAlignment="0" applyProtection="0"/>
    <xf numFmtId="0" fontId="5" fillId="43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8" fontId="9" fillId="11" borderId="0"/>
    <xf numFmtId="0" fontId="79" fillId="7" borderId="0" applyNumberFormat="0" applyBorder="0" applyAlignment="0" applyProtection="0"/>
    <xf numFmtId="0" fontId="80" fillId="12" borderId="0" applyNumberFormat="0" applyBorder="0" applyAlignment="0" applyProtection="0"/>
    <xf numFmtId="0" fontId="81" fillId="36" borderId="0" applyNumberFormat="0" applyBorder="0" applyAlignment="0" applyProtection="0"/>
    <xf numFmtId="37" fontId="82" fillId="0" borderId="0"/>
    <xf numFmtId="0" fontId="45" fillId="11" borderId="0" applyNumberFormat="0" applyFont="0" applyFill="0" applyBorder="0" applyAlignment="0"/>
    <xf numFmtId="10" fontId="9" fillId="11" borderId="0"/>
    <xf numFmtId="181" fontId="83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40" borderId="0"/>
    <xf numFmtId="0" fontId="5" fillId="40" borderId="0"/>
    <xf numFmtId="0" fontId="5" fillId="0" borderId="0"/>
    <xf numFmtId="0" fontId="5" fillId="0" borderId="0"/>
    <xf numFmtId="0" fontId="4" fillId="5" borderId="0"/>
    <xf numFmtId="0" fontId="4" fillId="5" borderId="0"/>
    <xf numFmtId="0" fontId="4" fillId="5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5" borderId="0"/>
    <xf numFmtId="0" fontId="5" fillId="0" borderId="0"/>
    <xf numFmtId="0" fontId="5" fillId="0" borderId="0"/>
    <xf numFmtId="0" fontId="4" fillId="5" borderId="0"/>
    <xf numFmtId="0" fontId="1" fillId="0" borderId="0"/>
    <xf numFmtId="0" fontId="1" fillId="0" borderId="0"/>
    <xf numFmtId="0" fontId="5" fillId="0" borderId="0">
      <alignment vertical="top"/>
    </xf>
    <xf numFmtId="0" fontId="5" fillId="0" borderId="0">
      <alignment vertical="top"/>
    </xf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4" fillId="0" borderId="0"/>
    <xf numFmtId="0" fontId="5" fillId="0" borderId="0"/>
    <xf numFmtId="0" fontId="5" fillId="0" borderId="0"/>
    <xf numFmtId="0" fontId="4" fillId="3" borderId="2" applyNumberFormat="0" applyFont="0" applyAlignment="0" applyProtection="0"/>
    <xf numFmtId="0" fontId="9" fillId="9" borderId="28" applyNumberFormat="0" applyFont="0" applyAlignment="0" applyProtection="0"/>
    <xf numFmtId="0" fontId="85" fillId="9" borderId="28" applyNumberFormat="0" applyFont="0" applyAlignment="0" applyProtection="0"/>
    <xf numFmtId="0" fontId="4" fillId="3" borderId="2" applyNumberFormat="0" applyFont="0" applyAlignment="0" applyProtection="0"/>
    <xf numFmtId="0" fontId="86" fillId="0" borderId="0"/>
    <xf numFmtId="0" fontId="10" fillId="9" borderId="28" applyNumberFormat="0" applyFont="0" applyAlignment="0" applyProtection="0"/>
    <xf numFmtId="0" fontId="4" fillId="3" borderId="2" applyNumberFormat="0" applyFont="0" applyAlignment="0" applyProtection="0"/>
    <xf numFmtId="0" fontId="4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0" fontId="1" fillId="3" borderId="2" applyNumberFormat="0" applyFont="0" applyAlignment="0" applyProtection="0"/>
    <xf numFmtId="182" fontId="23" fillId="0" borderId="0">
      <alignment horizontal="center"/>
    </xf>
    <xf numFmtId="37" fontId="5" fillId="0" borderId="0"/>
    <xf numFmtId="183" fontId="3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84" fontId="87" fillId="0" borderId="0" applyNumberFormat="0" applyFill="0" applyBorder="0" applyAlignment="0" applyProtection="0"/>
    <xf numFmtId="185" fontId="23" fillId="0" borderId="0">
      <alignment horizontal="center"/>
    </xf>
    <xf numFmtId="0" fontId="4" fillId="45" borderId="0" applyNumberFormat="0" applyFont="0" applyBorder="0" applyAlignment="0" applyProtection="0"/>
    <xf numFmtId="0" fontId="87" fillId="0" borderId="29"/>
    <xf numFmtId="2" fontId="88" fillId="35" borderId="5">
      <alignment horizontal="left"/>
    </xf>
    <xf numFmtId="0" fontId="89" fillId="11" borderId="30" applyNumberFormat="0" applyAlignment="0" applyProtection="0"/>
    <xf numFmtId="0" fontId="90" fillId="13" borderId="30" applyNumberFormat="0" applyAlignment="0" applyProtection="0"/>
    <xf numFmtId="0" fontId="91" fillId="15" borderId="30" applyNumberFormat="0" applyAlignment="0" applyProtection="0"/>
    <xf numFmtId="40" fontId="9" fillId="35" borderId="0">
      <alignment horizontal="right"/>
    </xf>
    <xf numFmtId="0" fontId="92" fillId="44" borderId="0">
      <alignment horizontal="center"/>
    </xf>
    <xf numFmtId="0" fontId="35" fillId="46" borderId="5"/>
    <xf numFmtId="0" fontId="93" fillId="0" borderId="0" applyBorder="0">
      <alignment horizontal="centerContinuous"/>
    </xf>
    <xf numFmtId="0" fontId="94" fillId="0" borderId="0" applyBorder="0">
      <alignment horizontal="centerContinuous"/>
    </xf>
    <xf numFmtId="0" fontId="57" fillId="0" borderId="0"/>
    <xf numFmtId="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95" fillId="0" borderId="0" applyFont="0" applyFill="0" applyBorder="0" applyAlignment="0" applyProtection="0"/>
    <xf numFmtId="186" fontId="24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7" fillId="0" borderId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8" fontId="5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187" fontId="23" fillId="0" borderId="0">
      <alignment horizontal="center"/>
    </xf>
    <xf numFmtId="188" fontId="23" fillId="0" borderId="15">
      <alignment horizontal="center"/>
    </xf>
    <xf numFmtId="0" fontId="96" fillId="0" borderId="31" applyAlignment="0">
      <alignment horizontal="center"/>
    </xf>
    <xf numFmtId="0" fontId="97" fillId="43" borderId="0"/>
    <xf numFmtId="0" fontId="47" fillId="0" borderId="0" applyNumberFormat="0" applyFont="0" applyFill="0" applyBorder="0" applyAlignment="0" applyProtection="0">
      <alignment horizontal="left"/>
    </xf>
    <xf numFmtId="0" fontId="98" fillId="0" borderId="32">
      <alignment horizontal="center"/>
    </xf>
    <xf numFmtId="0" fontId="44" fillId="0" borderId="0">
      <alignment vertical="top"/>
    </xf>
    <xf numFmtId="189" fontId="44" fillId="0" borderId="0">
      <alignment vertical="top"/>
    </xf>
    <xf numFmtId="0" fontId="96" fillId="0" borderId="0">
      <alignment horizontal="left"/>
    </xf>
    <xf numFmtId="0" fontId="96" fillId="0" borderId="0">
      <alignment horizontal="right"/>
    </xf>
    <xf numFmtId="0" fontId="9" fillId="0" borderId="5" applyNumberFormat="0" applyBorder="0" applyAlignment="0"/>
    <xf numFmtId="190" fontId="99" fillId="0" borderId="0" applyNumberFormat="0" applyFill="0" applyBorder="0" applyAlignment="0" applyProtection="0">
      <alignment horizontal="left"/>
    </xf>
    <xf numFmtId="0" fontId="45" fillId="32" borderId="0">
      <alignment horizontal="left"/>
    </xf>
    <xf numFmtId="0" fontId="100" fillId="0" borderId="33"/>
    <xf numFmtId="188" fontId="20" fillId="9" borderId="0">
      <alignment horizontal="center"/>
    </xf>
    <xf numFmtId="188" fontId="101" fillId="9" borderId="0">
      <alignment horizontal="center"/>
    </xf>
    <xf numFmtId="188" fontId="20" fillId="10" borderId="0">
      <alignment horizontal="center"/>
    </xf>
    <xf numFmtId="0" fontId="20" fillId="9" borderId="0">
      <alignment horizontal="left"/>
    </xf>
    <xf numFmtId="0" fontId="102" fillId="0" borderId="0" applyFont="0" applyFill="0" applyBorder="0" applyAlignment="0" applyProtection="0"/>
    <xf numFmtId="191" fontId="24" fillId="0" borderId="0" applyFont="0" applyFill="0" applyBorder="0" applyAlignment="0" applyProtection="0"/>
    <xf numFmtId="192" fontId="5" fillId="0" borderId="0"/>
    <xf numFmtId="0" fontId="5" fillId="0" borderId="0"/>
    <xf numFmtId="0" fontId="5" fillId="0" borderId="0">
      <alignment horizontal="left" wrapText="1"/>
    </xf>
    <xf numFmtId="0" fontId="20" fillId="9" borderId="0">
      <alignment horizontal="center"/>
    </xf>
    <xf numFmtId="0" fontId="96" fillId="0" borderId="0"/>
    <xf numFmtId="0" fontId="103" fillId="0" borderId="0"/>
    <xf numFmtId="40" fontId="104" fillId="0" borderId="0" applyBorder="0">
      <alignment horizontal="right"/>
    </xf>
    <xf numFmtId="0" fontId="5" fillId="35" borderId="28"/>
    <xf numFmtId="0" fontId="23" fillId="0" borderId="0">
      <alignment horizontal="center"/>
    </xf>
    <xf numFmtId="15" fontId="23" fillId="0" borderId="0">
      <alignment horizontal="center"/>
    </xf>
    <xf numFmtId="0" fontId="105" fillId="0" borderId="0">
      <alignment horizontal="center"/>
    </xf>
    <xf numFmtId="3" fontId="23" fillId="0" borderId="0">
      <alignment horizontal="center"/>
    </xf>
    <xf numFmtId="193" fontId="23" fillId="0" borderId="0">
      <alignment horizontal="center"/>
    </xf>
    <xf numFmtId="188" fontId="23" fillId="0" borderId="0">
      <alignment horizontal="center"/>
    </xf>
    <xf numFmtId="0" fontId="106" fillId="47" borderId="0"/>
    <xf numFmtId="194" fontId="23" fillId="0" borderId="0">
      <alignment horizontal="center"/>
    </xf>
    <xf numFmtId="194" fontId="23" fillId="0" borderId="34">
      <alignment horizontal="center"/>
    </xf>
    <xf numFmtId="0" fontId="23" fillId="0" borderId="0">
      <alignment horizontal="left"/>
    </xf>
    <xf numFmtId="0" fontId="107" fillId="0" borderId="0">
      <alignment horizontal="center"/>
    </xf>
    <xf numFmtId="0" fontId="108" fillId="0" borderId="0" applyNumberFormat="0" applyFill="0" applyBorder="0"/>
    <xf numFmtId="0" fontId="9" fillId="11" borderId="0"/>
    <xf numFmtId="49" fontId="9" fillId="0" borderId="0" applyFill="0" applyBorder="0" applyAlignment="0"/>
    <xf numFmtId="0" fontId="23" fillId="0" borderId="0" applyFill="0" applyBorder="0" applyAlignment="0"/>
    <xf numFmtId="169" fontId="5" fillId="0" borderId="0" applyFill="0" applyBorder="0" applyAlignment="0"/>
    <xf numFmtId="0" fontId="5" fillId="0" borderId="0" applyFill="0" applyBorder="0" applyAlignment="0"/>
    <xf numFmtId="171" fontId="5" fillId="0" borderId="0" applyFill="0" applyBorder="0" applyAlignment="0"/>
    <xf numFmtId="49" fontId="5" fillId="0" borderId="0"/>
    <xf numFmtId="0" fontId="109" fillId="0" borderId="0">
      <alignment horizontal="right"/>
    </xf>
    <xf numFmtId="0" fontId="110" fillId="0" borderId="0">
      <alignment horizontal="right"/>
      <protection locked="0"/>
    </xf>
    <xf numFmtId="0" fontId="111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7" fillId="11" borderId="0"/>
    <xf numFmtId="0" fontId="4" fillId="48" borderId="35" applyBorder="0">
      <alignment horizontal="center" wrapText="1"/>
    </xf>
    <xf numFmtId="0" fontId="29" fillId="38" borderId="9" applyBorder="0">
      <alignment horizontal="center" wrapText="1"/>
    </xf>
    <xf numFmtId="0" fontId="4" fillId="49" borderId="9" applyBorder="0">
      <alignment horizontal="center" wrapText="1"/>
    </xf>
    <xf numFmtId="0" fontId="29" fillId="39" borderId="9" applyBorder="0">
      <alignment horizontal="center" wrapText="1"/>
    </xf>
    <xf numFmtId="0" fontId="7" fillId="50" borderId="9" applyBorder="0">
      <alignment horizontal="center" wrapText="1"/>
    </xf>
    <xf numFmtId="0" fontId="29" fillId="51" borderId="9" applyBorder="0">
      <alignment horizontal="center" wrapText="1"/>
    </xf>
    <xf numFmtId="0" fontId="29" fillId="51" borderId="9" applyBorder="0">
      <alignment horizontal="center" wrapText="1"/>
    </xf>
    <xf numFmtId="0" fontId="7" fillId="50" borderId="9" applyBorder="0">
      <alignment horizontal="center" wrapText="1"/>
    </xf>
    <xf numFmtId="0" fontId="7" fillId="50" borderId="9" applyBorder="0">
      <alignment horizontal="center" wrapText="1"/>
    </xf>
    <xf numFmtId="0" fontId="7" fillId="50" borderId="9" applyBorder="0">
      <alignment horizontal="center" wrapText="1"/>
    </xf>
    <xf numFmtId="0" fontId="7" fillId="50" borderId="9" applyBorder="0">
      <alignment horizontal="center" wrapText="1"/>
    </xf>
    <xf numFmtId="0" fontId="96" fillId="0" borderId="0" applyNumberFormat="0" applyFill="0" applyBorder="0" applyAlignment="0" applyProtection="0"/>
    <xf numFmtId="0" fontId="114" fillId="0" borderId="36" applyNumberFormat="0" applyFill="0" applyAlignment="0" applyProtection="0"/>
    <xf numFmtId="0" fontId="17" fillId="0" borderId="37" applyNumberFormat="0" applyFill="0" applyAlignment="0" applyProtection="0"/>
    <xf numFmtId="0" fontId="5" fillId="0" borderId="38" applyNumberFormat="0" applyFill="0" applyAlignment="0" applyProtection="0"/>
    <xf numFmtId="0" fontId="115" fillId="0" borderId="39" applyNumberFormat="0" applyFill="0" applyAlignment="0" applyProtection="0"/>
    <xf numFmtId="0" fontId="116" fillId="11" borderId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1" fontId="120" fillId="5" borderId="11"/>
    <xf numFmtId="1" fontId="120" fillId="40" borderId="11"/>
    <xf numFmtId="2" fontId="121" fillId="40" borderId="11"/>
    <xf numFmtId="0" fontId="122" fillId="5" borderId="10" applyNumberFormat="0" applyAlignment="0"/>
    <xf numFmtId="0" fontId="123" fillId="40" borderId="10" applyNumberFormat="0" applyAlignment="0"/>
    <xf numFmtId="1" fontId="124" fillId="40" borderId="11" applyNumberFormat="0"/>
    <xf numFmtId="177" fontId="125" fillId="40" borderId="11" applyNumberFormat="0"/>
    <xf numFmtId="0" fontId="5" fillId="0" borderId="0"/>
  </cellStyleXfs>
  <cellXfs count="6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126" fillId="6" borderId="3" xfId="1" applyNumberFormat="1" applyFont="1" applyFill="1" applyBorder="1" applyAlignment="1">
      <alignment horizontal="center"/>
    </xf>
    <xf numFmtId="0" fontId="126" fillId="6" borderId="4" xfId="1" applyNumberFormat="1" applyFont="1" applyFill="1" applyBorder="1" applyAlignment="1">
      <alignment horizontal="center"/>
    </xf>
    <xf numFmtId="0" fontId="126" fillId="6" borderId="0" xfId="1" applyNumberFormat="1" applyFont="1" applyFill="1" applyBorder="1" applyAlignment="1">
      <alignment horizontal="center"/>
    </xf>
  </cellXfs>
  <cellStyles count="525">
    <cellStyle name="_Bonds" xfId="2"/>
    <cellStyle name="_Bonds 2" xfId="3"/>
    <cellStyle name="_Offering" xfId="4"/>
    <cellStyle name="_Offering 2" xfId="5"/>
    <cellStyle name="£ BP" xfId="6"/>
    <cellStyle name="¥ JY" xfId="7"/>
    <cellStyle name="20% - Accent1 2" xfId="8"/>
    <cellStyle name="20% - Accent1 2 2" xfId="9"/>
    <cellStyle name="20% - Accent1 2 3" xfId="10"/>
    <cellStyle name="20% - Accent1 3" xfId="11"/>
    <cellStyle name="20% - Accent1 3 2" xfId="12"/>
    <cellStyle name="20% - Accent1 3 3" xfId="13"/>
    <cellStyle name="20% - Accent1 4" xfId="14"/>
    <cellStyle name="20% - Accent1 5" xfId="15"/>
    <cellStyle name="20% - Accent2 2" xfId="16"/>
    <cellStyle name="20% - Accent2 3" xfId="17"/>
    <cellStyle name="20% - Accent2 4" xfId="18"/>
    <cellStyle name="20% - Accent3 2" xfId="19"/>
    <cellStyle name="20% - Accent3 3" xfId="20"/>
    <cellStyle name="20% - Accent3 4" xfId="21"/>
    <cellStyle name="20% - Accent4 2" xfId="22"/>
    <cellStyle name="20% - Accent4 3" xfId="23"/>
    <cellStyle name="20% - Accent4 4" xfId="24"/>
    <cellStyle name="20% - Accent5 2" xfId="25"/>
    <cellStyle name="20% - Accent5 3" xfId="26"/>
    <cellStyle name="20% - Accent5 4" xfId="27"/>
    <cellStyle name="20% - Accent6 2" xfId="28"/>
    <cellStyle name="20% - Accent6 3" xfId="29"/>
    <cellStyle name="20% - Accent6 4" xfId="30"/>
    <cellStyle name="40% - Accent1 2" xfId="31"/>
    <cellStyle name="40% - Accent1 3" xfId="32"/>
    <cellStyle name="40% - Accent1 4" xfId="33"/>
    <cellStyle name="40% - Accent2 2" xfId="34"/>
    <cellStyle name="40% - Accent2 3" xfId="35"/>
    <cellStyle name="40% - Accent2 4" xfId="36"/>
    <cellStyle name="40% - Accent3 2" xfId="37"/>
    <cellStyle name="40% - Accent3 3" xfId="38"/>
    <cellStyle name="40% - Accent3 4" xfId="39"/>
    <cellStyle name="40% - Accent4 2" xfId="40"/>
    <cellStyle name="40% - Accent4 3" xfId="41"/>
    <cellStyle name="40% - Accent4 4" xfId="42"/>
    <cellStyle name="40% - Accent5 2" xfId="43"/>
    <cellStyle name="40% - Accent5 3" xfId="44"/>
    <cellStyle name="40% - Accent5 4" xfId="45"/>
    <cellStyle name="40% - Accent6 2" xfId="46"/>
    <cellStyle name="40% - Accent6 3" xfId="47"/>
    <cellStyle name="40% - Accent6 4" xfId="48"/>
    <cellStyle name="60% - Accent1 2" xfId="49"/>
    <cellStyle name="60% - Accent1 3" xfId="50"/>
    <cellStyle name="60% - Accent1 4" xfId="51"/>
    <cellStyle name="60% - Accent2 2" xfId="52"/>
    <cellStyle name="60% - Accent2 3" xfId="53"/>
    <cellStyle name="60% - Accent2 4" xfId="54"/>
    <cellStyle name="60% - Accent3 2" xfId="55"/>
    <cellStyle name="60% - Accent3 3" xfId="56"/>
    <cellStyle name="60% - Accent3 4" xfId="57"/>
    <cellStyle name="60% - Accent4 2" xfId="58"/>
    <cellStyle name="60% - Accent4 3" xfId="59"/>
    <cellStyle name="60% - Accent4 4" xfId="60"/>
    <cellStyle name="60% - Accent5 2" xfId="61"/>
    <cellStyle name="60% - Accent5 3" xfId="62"/>
    <cellStyle name="60% - Accent5 4" xfId="63"/>
    <cellStyle name="60% - Accent6 2" xfId="64"/>
    <cellStyle name="60% - Accent6 3" xfId="65"/>
    <cellStyle name="60% - Accent6 4" xfId="66"/>
    <cellStyle name="Accent1 2" xfId="67"/>
    <cellStyle name="Accent1 3" xfId="68"/>
    <cellStyle name="Accent1 4" xfId="69"/>
    <cellStyle name="Accent2 2" xfId="70"/>
    <cellStyle name="Accent2 3" xfId="71"/>
    <cellStyle name="Accent2 4" xfId="72"/>
    <cellStyle name="Accent3 2" xfId="73"/>
    <cellStyle name="Accent3 3" xfId="74"/>
    <cellStyle name="Accent3 4" xfId="75"/>
    <cellStyle name="Accent4 2" xfId="76"/>
    <cellStyle name="Accent4 3" xfId="77"/>
    <cellStyle name="Accent4 4" xfId="78"/>
    <cellStyle name="Accent5 2" xfId="79"/>
    <cellStyle name="Accent5 3" xfId="80"/>
    <cellStyle name="Accent5 4" xfId="81"/>
    <cellStyle name="Accent6 2" xfId="82"/>
    <cellStyle name="Accent6 3" xfId="83"/>
    <cellStyle name="Accent6 4" xfId="84"/>
    <cellStyle name="Auto_OpenAuto_CloseExtractD_Sheet1" xfId="85"/>
    <cellStyle name="Axis.EffectiveDate" xfId="86"/>
    <cellStyle name="Axis.Seasoning" xfId="87"/>
    <cellStyle name="Bad 2" xfId="88"/>
    <cellStyle name="Bad 3" xfId="89"/>
    <cellStyle name="Bad 4" xfId="90"/>
    <cellStyle name="Big Money" xfId="91"/>
    <cellStyle name="Blue" xfId="92"/>
    <cellStyle name="blue axis cells" xfId="93"/>
    <cellStyle name="blue text cells" xfId="94"/>
    <cellStyle name="Body" xfId="95"/>
    <cellStyle name="Bold/Border" xfId="96"/>
    <cellStyle name="Border" xfId="97"/>
    <cellStyle name="Bullet" xfId="98"/>
    <cellStyle name="Calc Currency (0)" xfId="99"/>
    <cellStyle name="Calc Currency (0) 2" xfId="100"/>
    <cellStyle name="Calc Currency (2)" xfId="101"/>
    <cellStyle name="Calc Currency (2) 2" xfId="102"/>
    <cellStyle name="Calc Percent (0)" xfId="103"/>
    <cellStyle name="Calc Percent (0) 2" xfId="104"/>
    <cellStyle name="Calc Percent (1)" xfId="105"/>
    <cellStyle name="Calc Percent (1) 2" xfId="106"/>
    <cellStyle name="Calc Percent (2)" xfId="107"/>
    <cellStyle name="Calc Percent (2) 2" xfId="108"/>
    <cellStyle name="Calc Units (0)" xfId="109"/>
    <cellStyle name="Calc Units (0) 2" xfId="110"/>
    <cellStyle name="Calc Units (1)" xfId="111"/>
    <cellStyle name="Calc Units (1) 2" xfId="112"/>
    <cellStyle name="Calc Units (2)" xfId="113"/>
    <cellStyle name="Calc Units (2) 2" xfId="114"/>
    <cellStyle name="Calculation 2" xfId="115"/>
    <cellStyle name="Calculation 3" xfId="116"/>
    <cellStyle name="Calculation 4" xfId="117"/>
    <cellStyle name="CCM Input" xfId="118"/>
    <cellStyle name="CCM Title Calculations" xfId="119"/>
    <cellStyle name="CCM Title Indicative" xfId="120"/>
    <cellStyle name="Cello Calculation" xfId="121"/>
    <cellStyle name="Cello Calculation 2" xfId="122"/>
    <cellStyle name="Cello Calculation 2 2" xfId="123"/>
    <cellStyle name="Cello Calculation 3" xfId="124"/>
    <cellStyle name="Cello Calculation 4" xfId="125"/>
    <cellStyle name="Cello Input" xfId="126"/>
    <cellStyle name="Cello Input 2" xfId="127"/>
    <cellStyle name="Cello Input 2 2" xfId="128"/>
    <cellStyle name="Cello Input 2 3" xfId="129"/>
    <cellStyle name="Cello Input 2 5" xfId="130"/>
    <cellStyle name="Cello Input 3" xfId="131"/>
    <cellStyle name="Cello Input 4" xfId="132"/>
    <cellStyle name="Cello Linked Cell" xfId="133"/>
    <cellStyle name="Cello Linked Cell 2" xfId="134"/>
    <cellStyle name="Cello Linked Cell 2 2" xfId="135"/>
    <cellStyle name="Check Cell 2" xfId="136"/>
    <cellStyle name="Check Cell 3" xfId="137"/>
    <cellStyle name="Check Cell 4" xfId="138"/>
    <cellStyle name="Co. Names" xfId="139"/>
    <cellStyle name="Comma  - Style1" xfId="140"/>
    <cellStyle name="Comma  - Style1 2" xfId="141"/>
    <cellStyle name="Comma  - Style2" xfId="142"/>
    <cellStyle name="Comma  - Style2 2" xfId="143"/>
    <cellStyle name="Comma  - Style3" xfId="144"/>
    <cellStyle name="Comma  - Style3 2" xfId="145"/>
    <cellStyle name="Comma  - Style4" xfId="146"/>
    <cellStyle name="Comma  - Style4 2" xfId="147"/>
    <cellStyle name="Comma  - Style5" xfId="148"/>
    <cellStyle name="Comma  - Style5 2" xfId="149"/>
    <cellStyle name="Comma  - Style6" xfId="150"/>
    <cellStyle name="Comma  - Style6 2" xfId="151"/>
    <cellStyle name="Comma  - Style7" xfId="152"/>
    <cellStyle name="Comma  - Style7 2" xfId="153"/>
    <cellStyle name="Comma  - Style8" xfId="154"/>
    <cellStyle name="Comma  - Style8 2" xfId="155"/>
    <cellStyle name="Comma [00]" xfId="156"/>
    <cellStyle name="Comma [00] 2" xfId="157"/>
    <cellStyle name="Comma 10" xfId="158"/>
    <cellStyle name="Comma 11" xfId="159"/>
    <cellStyle name="Comma 12" xfId="160"/>
    <cellStyle name="Comma 13" xfId="161"/>
    <cellStyle name="Comma 14" xfId="162"/>
    <cellStyle name="Comma 15" xfId="163"/>
    <cellStyle name="Comma 16" xfId="164"/>
    <cellStyle name="Comma 16 2" xfId="165"/>
    <cellStyle name="Comma 17" xfId="166"/>
    <cellStyle name="Comma 18" xfId="167"/>
    <cellStyle name="Comma 19" xfId="168"/>
    <cellStyle name="Comma 2" xfId="169"/>
    <cellStyle name="Comma 20" xfId="170"/>
    <cellStyle name="Comma 21" xfId="171"/>
    <cellStyle name="Comma 22" xfId="172"/>
    <cellStyle name="Comma 23" xfId="173"/>
    <cellStyle name="Comma 24" xfId="174"/>
    <cellStyle name="Comma 25" xfId="175"/>
    <cellStyle name="Comma 26" xfId="176"/>
    <cellStyle name="Comma 27" xfId="177"/>
    <cellStyle name="Comma 28" xfId="178"/>
    <cellStyle name="Comma 29" xfId="179"/>
    <cellStyle name="Comma 29 2" xfId="180"/>
    <cellStyle name="Comma 3" xfId="181"/>
    <cellStyle name="Comma 30" xfId="182"/>
    <cellStyle name="Comma 4" xfId="183"/>
    <cellStyle name="Comma 4 2" xfId="184"/>
    <cellStyle name="Comma 5" xfId="185"/>
    <cellStyle name="Comma 6" xfId="186"/>
    <cellStyle name="Comma 7" xfId="187"/>
    <cellStyle name="Comma 8" xfId="188"/>
    <cellStyle name="Comma 9" xfId="189"/>
    <cellStyle name="Comma0" xfId="190"/>
    <cellStyle name="Comma1 - Style1" xfId="191"/>
    <cellStyle name="Copied" xfId="192"/>
    <cellStyle name="CTDSwitchAnalysisHeader" xfId="193"/>
    <cellStyle name="Curren - Style2" xfId="194"/>
    <cellStyle name="Currency [00]" xfId="195"/>
    <cellStyle name="Currency [00] 2" xfId="196"/>
    <cellStyle name="Currency [2]" xfId="197"/>
    <cellStyle name="Currency 10" xfId="198"/>
    <cellStyle name="Currency 11" xfId="199"/>
    <cellStyle name="Currency 12" xfId="200"/>
    <cellStyle name="Currency 13" xfId="201"/>
    <cellStyle name="Currency 14" xfId="202"/>
    <cellStyle name="Currency 15" xfId="203"/>
    <cellStyle name="Currency 2" xfId="204"/>
    <cellStyle name="Currency 3" xfId="205"/>
    <cellStyle name="Currency 4" xfId="206"/>
    <cellStyle name="Currency 5" xfId="207"/>
    <cellStyle name="Currency 6" xfId="208"/>
    <cellStyle name="Currency 7" xfId="209"/>
    <cellStyle name="Currency 8" xfId="210"/>
    <cellStyle name="Currency 9" xfId="211"/>
    <cellStyle name="Currency0" xfId="212"/>
    <cellStyle name="Dash" xfId="213"/>
    <cellStyle name="Data.LongPercent" xfId="214"/>
    <cellStyle name="Data.NumPercent" xfId="215"/>
    <cellStyle name="Data.NumShortPercent" xfId="216"/>
    <cellStyle name="date" xfId="217"/>
    <cellStyle name="Date - Style3" xfId="218"/>
    <cellStyle name="Date 2" xfId="219"/>
    <cellStyle name="Date 3" xfId="220"/>
    <cellStyle name="Date 4" xfId="221"/>
    <cellStyle name="Date 5" xfId="222"/>
    <cellStyle name="Date 6" xfId="223"/>
    <cellStyle name="Date 7" xfId="224"/>
    <cellStyle name="Date Short" xfId="225"/>
    <cellStyle name="date title" xfId="226"/>
    <cellStyle name="Date_DV01" xfId="227"/>
    <cellStyle name="DateFormat" xfId="228"/>
    <cellStyle name="DBAHandle" xfId="229"/>
    <cellStyle name="DBAParameter" xfId="230"/>
    <cellStyle name="DELTA" xfId="231"/>
    <cellStyle name="DS 0" xfId="232"/>
    <cellStyle name="DS 1" xfId="233"/>
    <cellStyle name="DS 2" xfId="234"/>
    <cellStyle name="DS 3" xfId="235"/>
    <cellStyle name="DS 4" xfId="236"/>
    <cellStyle name="DS 5" xfId="237"/>
    <cellStyle name="DS 5 2" xfId="238"/>
    <cellStyle name="DS 6" xfId="239"/>
    <cellStyle name="Enter Currency (0)" xfId="240"/>
    <cellStyle name="Enter Currency (0) 2" xfId="241"/>
    <cellStyle name="Enter Currency (2)" xfId="242"/>
    <cellStyle name="Enter Currency (2) 2" xfId="243"/>
    <cellStyle name="Enter Units (0)" xfId="244"/>
    <cellStyle name="Enter Units (0) 2" xfId="245"/>
    <cellStyle name="Enter Units (1)" xfId="246"/>
    <cellStyle name="Enter Units (1) 2" xfId="247"/>
    <cellStyle name="Enter Units (2)" xfId="248"/>
    <cellStyle name="Enter Units (2) 2" xfId="249"/>
    <cellStyle name="Entered" xfId="250"/>
    <cellStyle name="Entries" xfId="251"/>
    <cellStyle name="Euro" xfId="252"/>
    <cellStyle name="Explanatory Text 2" xfId="253"/>
    <cellStyle name="Explanatory Text 3" xfId="254"/>
    <cellStyle name="Explanatory Text 4" xfId="255"/>
    <cellStyle name="Fixed" xfId="256"/>
    <cellStyle name="FullTime" xfId="257"/>
    <cellStyle name="General" xfId="258"/>
    <cellStyle name="Good 2" xfId="259"/>
    <cellStyle name="Good 3" xfId="260"/>
    <cellStyle name="Good 4" xfId="261"/>
    <cellStyle name="gray text cells" xfId="262"/>
    <cellStyle name="Grey" xfId="263"/>
    <cellStyle name="Header1" xfId="264"/>
    <cellStyle name="Header2" xfId="265"/>
    <cellStyle name="Heading" xfId="266"/>
    <cellStyle name="Heading 1 2" xfId="267"/>
    <cellStyle name="Heading 1 2 2" xfId="268"/>
    <cellStyle name="Heading 1 3" xfId="269"/>
    <cellStyle name="Heading 1 4" xfId="270"/>
    <cellStyle name="Heading 1 5" xfId="271"/>
    <cellStyle name="Heading 2 2" xfId="272"/>
    <cellStyle name="Heading 2 2 2" xfId="273"/>
    <cellStyle name="Heading 2 3" xfId="274"/>
    <cellStyle name="Heading 2 4" xfId="275"/>
    <cellStyle name="Heading 2 5" xfId="276"/>
    <cellStyle name="Heading 3 2" xfId="277"/>
    <cellStyle name="Heading 3 3" xfId="278"/>
    <cellStyle name="Heading 3 4" xfId="279"/>
    <cellStyle name="Heading 4 2" xfId="280"/>
    <cellStyle name="Heading 4 3" xfId="281"/>
    <cellStyle name="Heading 4 4" xfId="282"/>
    <cellStyle name="Heading 5" xfId="283"/>
    <cellStyle name="HEADING1" xfId="284"/>
    <cellStyle name="HEADING2" xfId="285"/>
    <cellStyle name="Hyperlink 2" xfId="286"/>
    <cellStyle name="Input [yellow]" xfId="287"/>
    <cellStyle name="Input 2" xfId="288"/>
    <cellStyle name="Input 2 2" xfId="289"/>
    <cellStyle name="Input 2 3" xfId="290"/>
    <cellStyle name="Input 3" xfId="291"/>
    <cellStyle name="Input 4" xfId="292"/>
    <cellStyle name="Input 5" xfId="293"/>
    <cellStyle name="Input 6" xfId="294"/>
    <cellStyle name="Input 7" xfId="295"/>
    <cellStyle name="Item" xfId="296"/>
    <cellStyle name="Link Currency (0)" xfId="297"/>
    <cellStyle name="Link Currency (0) 2" xfId="298"/>
    <cellStyle name="Link Currency (2)" xfId="299"/>
    <cellStyle name="Link Currency (2) 2" xfId="300"/>
    <cellStyle name="Link Units (0)" xfId="301"/>
    <cellStyle name="Link Units (0) 2" xfId="302"/>
    <cellStyle name="Link Units (1)" xfId="303"/>
    <cellStyle name="Link Units (1) 2" xfId="304"/>
    <cellStyle name="Link Units (2)" xfId="305"/>
    <cellStyle name="Link Units (2) 2" xfId="306"/>
    <cellStyle name="Linked Cell 2" xfId="307"/>
    <cellStyle name="Linked Cell 3" xfId="308"/>
    <cellStyle name="Linked Cell 4" xfId="309"/>
    <cellStyle name="Lookup" xfId="310"/>
    <cellStyle name="Milliers [0]_Basis" xfId="311"/>
    <cellStyle name="Milliers_Basis" xfId="312"/>
    <cellStyle name="Monétaire [0]_Basis" xfId="313"/>
    <cellStyle name="Monétaire_Basis" xfId="314"/>
    <cellStyle name="Money" xfId="315"/>
    <cellStyle name="Neutral 2" xfId="316"/>
    <cellStyle name="Neutral 3" xfId="317"/>
    <cellStyle name="Neutral 4" xfId="318"/>
    <cellStyle name="no dec" xfId="319"/>
    <cellStyle name="NoChange" xfId="320"/>
    <cellStyle name="Non Zero" xfId="321"/>
    <cellStyle name="Normal" xfId="0" builtinId="0"/>
    <cellStyle name="Normal - Style1" xfId="322"/>
    <cellStyle name="Normal 10" xfId="323"/>
    <cellStyle name="Normal 10 2" xfId="324"/>
    <cellStyle name="Normal 107" xfId="325"/>
    <cellStyle name="Normal 11" xfId="326"/>
    <cellStyle name="Normal 11 2" xfId="327"/>
    <cellStyle name="Normal 12" xfId="328"/>
    <cellStyle name="Normal 13" xfId="329"/>
    <cellStyle name="Normal 14" xfId="330"/>
    <cellStyle name="Normal 15" xfId="331"/>
    <cellStyle name="Normal 16" xfId="332"/>
    <cellStyle name="Normal 17" xfId="333"/>
    <cellStyle name="Normal 18" xfId="334"/>
    <cellStyle name="Normal 19" xfId="335"/>
    <cellStyle name="Normal 2" xfId="336"/>
    <cellStyle name="Normal 2 2" xfId="337"/>
    <cellStyle name="Normal 2 2 2" xfId="338"/>
    <cellStyle name="Normal 2 3" xfId="339"/>
    <cellStyle name="Normal 2 3 2" xfId="340"/>
    <cellStyle name="Normal 2 3 2 2" xfId="341"/>
    <cellStyle name="Normal 2 3 3" xfId="342"/>
    <cellStyle name="Normal 2 4" xfId="343"/>
    <cellStyle name="Normal 2 4 2" xfId="344"/>
    <cellStyle name="Normal 2 4 2 2" xfId="345"/>
    <cellStyle name="Normal 2 4 3" xfId="346"/>
    <cellStyle name="Normal 2 5" xfId="347"/>
    <cellStyle name="Normal 2 5 2" xfId="348"/>
    <cellStyle name="Normal 2 6" xfId="349"/>
    <cellStyle name="Normal 2 7" xfId="1"/>
    <cellStyle name="Normal 20" xfId="350"/>
    <cellStyle name="Normal 21" xfId="351"/>
    <cellStyle name="Normal 22" xfId="352"/>
    <cellStyle name="Normal 23" xfId="353"/>
    <cellStyle name="Normal 24" xfId="354"/>
    <cellStyle name="Normal 25" xfId="355"/>
    <cellStyle name="Normal 26" xfId="356"/>
    <cellStyle name="Normal 27" xfId="357"/>
    <cellStyle name="Normal 28" xfId="358"/>
    <cellStyle name="Normal 28 2" xfId="359"/>
    <cellStyle name="Normal 29" xfId="360"/>
    <cellStyle name="Normal 3" xfId="361"/>
    <cellStyle name="Normal 3 2" xfId="362"/>
    <cellStyle name="Normal 30" xfId="363"/>
    <cellStyle name="Normal 31" xfId="364"/>
    <cellStyle name="Normal 32" xfId="365"/>
    <cellStyle name="Normal 33" xfId="366"/>
    <cellStyle name="Normal 34" xfId="367"/>
    <cellStyle name="Normal 35" xfId="368"/>
    <cellStyle name="Normal 36" xfId="369"/>
    <cellStyle name="Normal 37" xfId="370"/>
    <cellStyle name="Normal 38" xfId="371"/>
    <cellStyle name="Normal 38 2" xfId="372"/>
    <cellStyle name="Normal 38 2 2" xfId="373"/>
    <cellStyle name="Normal 38 3" xfId="374"/>
    <cellStyle name="Normal 39" xfId="375"/>
    <cellStyle name="Normal 4" xfId="376"/>
    <cellStyle name="Normal 4 2" xfId="377"/>
    <cellStyle name="Normal 4 3" xfId="378"/>
    <cellStyle name="Normal 4 4" xfId="379"/>
    <cellStyle name="Normal 40" xfId="380"/>
    <cellStyle name="Normal 41" xfId="381"/>
    <cellStyle name="Normal 42" xfId="382"/>
    <cellStyle name="Normal 42 2" xfId="383"/>
    <cellStyle name="Normal 5" xfId="384"/>
    <cellStyle name="Normal 6" xfId="385"/>
    <cellStyle name="Normal 6 2" xfId="386"/>
    <cellStyle name="Normal 7" xfId="387"/>
    <cellStyle name="Normal 7 2" xfId="388"/>
    <cellStyle name="Normal 8" xfId="389"/>
    <cellStyle name="Normal 88" xfId="390"/>
    <cellStyle name="Normal 9" xfId="391"/>
    <cellStyle name="Normal 9 2" xfId="392"/>
    <cellStyle name="Note 2" xfId="393"/>
    <cellStyle name="Note 2 2" xfId="394"/>
    <cellStyle name="Note 2 3" xfId="395"/>
    <cellStyle name="Note 2 4" xfId="396"/>
    <cellStyle name="Note 3" xfId="397"/>
    <cellStyle name="Note 4" xfId="398"/>
    <cellStyle name="Note 5" xfId="399"/>
    <cellStyle name="Note 6" xfId="400"/>
    <cellStyle name="Note 7" xfId="401"/>
    <cellStyle name="Note 7 2" xfId="402"/>
    <cellStyle name="Note 8" xfId="403"/>
    <cellStyle name="NumberAsPercent" xfId="404"/>
    <cellStyle name="NumberFormat" xfId="405"/>
    <cellStyle name="Numbers" xfId="406"/>
    <cellStyle name="Numbers - Bold" xfId="407"/>
    <cellStyle name="Numbers_increm pf" xfId="408"/>
    <cellStyle name="NumberTo1DecPlace" xfId="409"/>
    <cellStyle name="OffWhite" xfId="410"/>
    <cellStyle name="Option" xfId="411"/>
    <cellStyle name="orange text cell" xfId="412"/>
    <cellStyle name="Output 2" xfId="413"/>
    <cellStyle name="Output 3" xfId="414"/>
    <cellStyle name="Output 4" xfId="415"/>
    <cellStyle name="Output Amounts" xfId="416"/>
    <cellStyle name="Output Column Headings" xfId="417"/>
    <cellStyle name="Output Line Items" xfId="418"/>
    <cellStyle name="Output Report Heading" xfId="419"/>
    <cellStyle name="Output Report Title" xfId="420"/>
    <cellStyle name="Pageheading" xfId="421"/>
    <cellStyle name="Percent [0]" xfId="422"/>
    <cellStyle name="Percent [0] 2" xfId="423"/>
    <cellStyle name="Percent [00]" xfId="424"/>
    <cellStyle name="Percent [00] 2" xfId="425"/>
    <cellStyle name="Percent [2]" xfId="426"/>
    <cellStyle name="Percent 2" xfId="427"/>
    <cellStyle name="Percent 2 2" xfId="428"/>
    <cellStyle name="Percent 3" xfId="429"/>
    <cellStyle name="Percentage" xfId="430"/>
    <cellStyle name="PrePop Currency (0)" xfId="431"/>
    <cellStyle name="PrePop Currency (0) 2" xfId="432"/>
    <cellStyle name="PrePop Currency (2)" xfId="433"/>
    <cellStyle name="PrePop Currency (2) 2" xfId="434"/>
    <cellStyle name="PrePop Units (0)" xfId="435"/>
    <cellStyle name="PrePop Units (0) 2" xfId="436"/>
    <cellStyle name="PrePop Units (1)" xfId="437"/>
    <cellStyle name="PrePop Units (1) 2" xfId="438"/>
    <cellStyle name="PrePop Units (2)" xfId="439"/>
    <cellStyle name="PrePop Units (2) 2" xfId="440"/>
    <cellStyle name="PriceTo3DecPlaces" xfId="441"/>
    <cellStyle name="PriceWithBorderAround" xfId="442"/>
    <cellStyle name="PRICING" xfId="443"/>
    <cellStyle name="Product Header" xfId="444"/>
    <cellStyle name="PSChar" xfId="445"/>
    <cellStyle name="PSHeading" xfId="446"/>
    <cellStyle name="r" xfId="447"/>
    <cellStyle name="r_pldt" xfId="448"/>
    <cellStyle name="ReportLeftHeader" xfId="449"/>
    <cellStyle name="ReportRightHeader" xfId="450"/>
    <cellStyle name="results" xfId="451"/>
    <cellStyle name="RevList" xfId="452"/>
    <cellStyle name="RVRQueryHandle" xfId="453"/>
    <cellStyle name="Section" xfId="454"/>
    <cellStyle name="SecuritiesPricingTable" xfId="455"/>
    <cellStyle name="SecuritiesPricingTableFinalData" xfId="456"/>
    <cellStyle name="SecuritiesPricingTableManualData" xfId="457"/>
    <cellStyle name="SecuritiesPricingTableText" xfId="458"/>
    <cellStyle name="Short $" xfId="459"/>
    <cellStyle name="Short $ 2" xfId="460"/>
    <cellStyle name="SIZE" xfId="461"/>
    <cellStyle name="Standard_Swaps-Bonds-Blending" xfId="462"/>
    <cellStyle name="Style 1" xfId="463"/>
    <cellStyle name="StyleSecuritiesPricingTableInteger" xfId="464"/>
    <cellStyle name="Subheading" xfId="465"/>
    <cellStyle name="subtitle" xfId="466"/>
    <cellStyle name="Subtotal" xfId="467"/>
    <cellStyle name="Table" xfId="468"/>
    <cellStyle name="Tablebody" xfId="469"/>
    <cellStyle name="TablebodyDate" xfId="470"/>
    <cellStyle name="TablebodyHeading" xfId="471"/>
    <cellStyle name="TablebodyOutstandingAmount" xfId="472"/>
    <cellStyle name="TablebodyPercent" xfId="473"/>
    <cellStyle name="TablebodyPrice" xfId="474"/>
    <cellStyle name="TablebodyReverse" xfId="475"/>
    <cellStyle name="TablebodySpread" xfId="476"/>
    <cellStyle name="TablebodySpreadBorder" xfId="477"/>
    <cellStyle name="TablebodyText" xfId="478"/>
    <cellStyle name="Tableheading" xfId="479"/>
    <cellStyle name="Text" xfId="480"/>
    <cellStyle name="Text 2" xfId="481"/>
    <cellStyle name="Text Indent A" xfId="482"/>
    <cellStyle name="Text Indent B" xfId="483"/>
    <cellStyle name="Text Indent B 2" xfId="484"/>
    <cellStyle name="Text Indent C" xfId="485"/>
    <cellStyle name="Text Indent C 2" xfId="486"/>
    <cellStyle name="TextStyle" xfId="487"/>
    <cellStyle name="tic display" xfId="488"/>
    <cellStyle name="tic input" xfId="489"/>
    <cellStyle name="Title - Underline" xfId="490"/>
    <cellStyle name="Title 2" xfId="491"/>
    <cellStyle name="Title 3" xfId="492"/>
    <cellStyle name="Title 4" xfId="493"/>
    <cellStyle name="Title 5" xfId="494"/>
    <cellStyle name="Title 6" xfId="495"/>
    <cellStyle name="Title 7" xfId="496"/>
    <cellStyle name="Title Calculations" xfId="497"/>
    <cellStyle name="Title Calculations 2" xfId="498"/>
    <cellStyle name="Title Indicative" xfId="499"/>
    <cellStyle name="Title Indicative 2" xfId="500"/>
    <cellStyle name="Title Pricing Assumptions" xfId="501"/>
    <cellStyle name="Title Pricing Assumptions 2" xfId="502"/>
    <cellStyle name="Title Pricing Assumptions 2 2" xfId="503"/>
    <cellStyle name="Title Pricing Assumptions 2 3" xfId="504"/>
    <cellStyle name="Title Pricing Assumptions 3" xfId="505"/>
    <cellStyle name="Title Pricing Assumptions 3 12 8" xfId="506"/>
    <cellStyle name="Title Pricing Assumptions 3 6 4 2 8" xfId="507"/>
    <cellStyle name="Titles - Other" xfId="508"/>
    <cellStyle name="Total 2" xfId="509"/>
    <cellStyle name="Total 2 2" xfId="510"/>
    <cellStyle name="Total 3" xfId="511"/>
    <cellStyle name="Total 4" xfId="512"/>
    <cellStyle name="Warning" xfId="513"/>
    <cellStyle name="Warning Text 2" xfId="514"/>
    <cellStyle name="Warning Text 3" xfId="515"/>
    <cellStyle name="Warning Text 4" xfId="516"/>
    <cellStyle name="YB Calculations" xfId="517"/>
    <cellStyle name="YB Calculations 2" xfId="518"/>
    <cellStyle name="YB Curve" xfId="519"/>
    <cellStyle name="YB Indicative" xfId="520"/>
    <cellStyle name="YBINDIC" xfId="521"/>
    <cellStyle name="YBIOPOBE" xfId="522"/>
    <cellStyle name="YBPRICE" xfId="523"/>
    <cellStyle name="一般_原始檔案" xfId="5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Result!$D$2</c:f>
              <c:strCache>
                <c:ptCount val="1"/>
                <c:pt idx="0">
                  <c:v>Realized Current Coupon Vol</c:v>
                </c:pt>
              </c:strCache>
            </c:strRef>
          </c:tx>
          <c:marker>
            <c:symbol val="none"/>
          </c:marker>
          <c:cat>
            <c:numRef>
              <c:f>Result!$C$3:$C$1393</c:f>
              <c:numCache>
                <c:formatCode>m/d/yyyy</c:formatCode>
                <c:ptCount val="1391"/>
                <c:pt idx="0">
                  <c:v>40053</c:v>
                </c:pt>
                <c:pt idx="1">
                  <c:v>40056</c:v>
                </c:pt>
                <c:pt idx="2">
                  <c:v>40057</c:v>
                </c:pt>
                <c:pt idx="3">
                  <c:v>40058</c:v>
                </c:pt>
                <c:pt idx="4">
                  <c:v>40059</c:v>
                </c:pt>
                <c:pt idx="5">
                  <c:v>40060</c:v>
                </c:pt>
                <c:pt idx="6">
                  <c:v>40064</c:v>
                </c:pt>
                <c:pt idx="7">
                  <c:v>40065</c:v>
                </c:pt>
                <c:pt idx="8">
                  <c:v>40066</c:v>
                </c:pt>
                <c:pt idx="9">
                  <c:v>40067</c:v>
                </c:pt>
                <c:pt idx="10">
                  <c:v>40070</c:v>
                </c:pt>
                <c:pt idx="11">
                  <c:v>40071</c:v>
                </c:pt>
                <c:pt idx="12">
                  <c:v>40072</c:v>
                </c:pt>
                <c:pt idx="13">
                  <c:v>40073</c:v>
                </c:pt>
                <c:pt idx="14">
                  <c:v>40074</c:v>
                </c:pt>
                <c:pt idx="15">
                  <c:v>40077</c:v>
                </c:pt>
                <c:pt idx="16">
                  <c:v>40078</c:v>
                </c:pt>
                <c:pt idx="17">
                  <c:v>40079</c:v>
                </c:pt>
                <c:pt idx="18">
                  <c:v>40080</c:v>
                </c:pt>
                <c:pt idx="19">
                  <c:v>40081</c:v>
                </c:pt>
                <c:pt idx="20">
                  <c:v>40084</c:v>
                </c:pt>
                <c:pt idx="21">
                  <c:v>40085</c:v>
                </c:pt>
                <c:pt idx="22">
                  <c:v>40086</c:v>
                </c:pt>
                <c:pt idx="23">
                  <c:v>40087</c:v>
                </c:pt>
                <c:pt idx="24">
                  <c:v>40088</c:v>
                </c:pt>
                <c:pt idx="25">
                  <c:v>40091</c:v>
                </c:pt>
                <c:pt idx="26">
                  <c:v>40092</c:v>
                </c:pt>
                <c:pt idx="27">
                  <c:v>40093</c:v>
                </c:pt>
                <c:pt idx="28">
                  <c:v>40094</c:v>
                </c:pt>
                <c:pt idx="29">
                  <c:v>40095</c:v>
                </c:pt>
                <c:pt idx="30">
                  <c:v>40099</c:v>
                </c:pt>
                <c:pt idx="31">
                  <c:v>40100</c:v>
                </c:pt>
                <c:pt idx="32">
                  <c:v>40101</c:v>
                </c:pt>
                <c:pt idx="33">
                  <c:v>40102</c:v>
                </c:pt>
                <c:pt idx="34">
                  <c:v>40105</c:v>
                </c:pt>
                <c:pt idx="35">
                  <c:v>40106</c:v>
                </c:pt>
                <c:pt idx="36">
                  <c:v>40107</c:v>
                </c:pt>
                <c:pt idx="37">
                  <c:v>40108</c:v>
                </c:pt>
                <c:pt idx="38">
                  <c:v>40109</c:v>
                </c:pt>
                <c:pt idx="39">
                  <c:v>40112</c:v>
                </c:pt>
                <c:pt idx="40">
                  <c:v>40113</c:v>
                </c:pt>
                <c:pt idx="41">
                  <c:v>40114</c:v>
                </c:pt>
                <c:pt idx="42">
                  <c:v>40115</c:v>
                </c:pt>
                <c:pt idx="43">
                  <c:v>40116</c:v>
                </c:pt>
                <c:pt idx="44">
                  <c:v>40119</c:v>
                </c:pt>
                <c:pt idx="45">
                  <c:v>40120</c:v>
                </c:pt>
                <c:pt idx="46">
                  <c:v>40121</c:v>
                </c:pt>
                <c:pt idx="47">
                  <c:v>40122</c:v>
                </c:pt>
                <c:pt idx="48">
                  <c:v>40123</c:v>
                </c:pt>
                <c:pt idx="49">
                  <c:v>40126</c:v>
                </c:pt>
                <c:pt idx="50">
                  <c:v>40127</c:v>
                </c:pt>
                <c:pt idx="51">
                  <c:v>40129</c:v>
                </c:pt>
                <c:pt idx="52">
                  <c:v>40130</c:v>
                </c:pt>
                <c:pt idx="53">
                  <c:v>40133</c:v>
                </c:pt>
                <c:pt idx="54">
                  <c:v>40134</c:v>
                </c:pt>
                <c:pt idx="55">
                  <c:v>40135</c:v>
                </c:pt>
                <c:pt idx="56">
                  <c:v>40136</c:v>
                </c:pt>
                <c:pt idx="57">
                  <c:v>40137</c:v>
                </c:pt>
                <c:pt idx="58">
                  <c:v>40140</c:v>
                </c:pt>
                <c:pt idx="59">
                  <c:v>40141</c:v>
                </c:pt>
                <c:pt idx="60">
                  <c:v>40142</c:v>
                </c:pt>
                <c:pt idx="61">
                  <c:v>40144</c:v>
                </c:pt>
                <c:pt idx="62">
                  <c:v>40147</c:v>
                </c:pt>
                <c:pt idx="63">
                  <c:v>40148</c:v>
                </c:pt>
                <c:pt idx="64">
                  <c:v>40149</c:v>
                </c:pt>
                <c:pt idx="65">
                  <c:v>40150</c:v>
                </c:pt>
                <c:pt idx="66">
                  <c:v>40151</c:v>
                </c:pt>
                <c:pt idx="67">
                  <c:v>40154</c:v>
                </c:pt>
                <c:pt idx="68">
                  <c:v>40155</c:v>
                </c:pt>
                <c:pt idx="69">
                  <c:v>40156</c:v>
                </c:pt>
                <c:pt idx="70">
                  <c:v>40157</c:v>
                </c:pt>
                <c:pt idx="71">
                  <c:v>40158</c:v>
                </c:pt>
                <c:pt idx="72">
                  <c:v>40161</c:v>
                </c:pt>
                <c:pt idx="73">
                  <c:v>40162</c:v>
                </c:pt>
                <c:pt idx="74">
                  <c:v>40163</c:v>
                </c:pt>
                <c:pt idx="75">
                  <c:v>40164</c:v>
                </c:pt>
                <c:pt idx="76">
                  <c:v>40165</c:v>
                </c:pt>
                <c:pt idx="77">
                  <c:v>40168</c:v>
                </c:pt>
                <c:pt idx="78">
                  <c:v>40169</c:v>
                </c:pt>
                <c:pt idx="79">
                  <c:v>40170</c:v>
                </c:pt>
                <c:pt idx="80">
                  <c:v>40171</c:v>
                </c:pt>
                <c:pt idx="81">
                  <c:v>40175</c:v>
                </c:pt>
                <c:pt idx="82">
                  <c:v>40176</c:v>
                </c:pt>
                <c:pt idx="83">
                  <c:v>40177</c:v>
                </c:pt>
                <c:pt idx="84">
                  <c:v>40178</c:v>
                </c:pt>
                <c:pt idx="85">
                  <c:v>40182</c:v>
                </c:pt>
                <c:pt idx="86">
                  <c:v>40183</c:v>
                </c:pt>
                <c:pt idx="87">
                  <c:v>40184</c:v>
                </c:pt>
                <c:pt idx="88">
                  <c:v>40185</c:v>
                </c:pt>
                <c:pt idx="89">
                  <c:v>40186</c:v>
                </c:pt>
                <c:pt idx="90">
                  <c:v>40189</c:v>
                </c:pt>
                <c:pt idx="91">
                  <c:v>40190</c:v>
                </c:pt>
                <c:pt idx="92">
                  <c:v>40191</c:v>
                </c:pt>
                <c:pt idx="93">
                  <c:v>40192</c:v>
                </c:pt>
                <c:pt idx="94">
                  <c:v>40193</c:v>
                </c:pt>
                <c:pt idx="95">
                  <c:v>40197</c:v>
                </c:pt>
                <c:pt idx="96">
                  <c:v>40198</c:v>
                </c:pt>
                <c:pt idx="97">
                  <c:v>40199</c:v>
                </c:pt>
                <c:pt idx="98">
                  <c:v>40200</c:v>
                </c:pt>
                <c:pt idx="99">
                  <c:v>40203</c:v>
                </c:pt>
                <c:pt idx="100">
                  <c:v>40204</c:v>
                </c:pt>
                <c:pt idx="101">
                  <c:v>40205</c:v>
                </c:pt>
                <c:pt idx="102">
                  <c:v>40206</c:v>
                </c:pt>
                <c:pt idx="103">
                  <c:v>40207</c:v>
                </c:pt>
                <c:pt idx="104">
                  <c:v>40210</c:v>
                </c:pt>
                <c:pt idx="105">
                  <c:v>40211</c:v>
                </c:pt>
                <c:pt idx="106">
                  <c:v>40212</c:v>
                </c:pt>
                <c:pt idx="107">
                  <c:v>40213</c:v>
                </c:pt>
                <c:pt idx="108">
                  <c:v>40214</c:v>
                </c:pt>
                <c:pt idx="109">
                  <c:v>40217</c:v>
                </c:pt>
                <c:pt idx="110">
                  <c:v>40218</c:v>
                </c:pt>
                <c:pt idx="111">
                  <c:v>40219</c:v>
                </c:pt>
                <c:pt idx="112">
                  <c:v>40220</c:v>
                </c:pt>
                <c:pt idx="113">
                  <c:v>40221</c:v>
                </c:pt>
                <c:pt idx="114">
                  <c:v>40225</c:v>
                </c:pt>
                <c:pt idx="115">
                  <c:v>40226</c:v>
                </c:pt>
                <c:pt idx="116">
                  <c:v>40227</c:v>
                </c:pt>
                <c:pt idx="117">
                  <c:v>40228</c:v>
                </c:pt>
                <c:pt idx="118">
                  <c:v>40231</c:v>
                </c:pt>
                <c:pt idx="119">
                  <c:v>40232</c:v>
                </c:pt>
                <c:pt idx="120">
                  <c:v>40233</c:v>
                </c:pt>
                <c:pt idx="121">
                  <c:v>40234</c:v>
                </c:pt>
                <c:pt idx="122">
                  <c:v>40235</c:v>
                </c:pt>
                <c:pt idx="123">
                  <c:v>40238</c:v>
                </c:pt>
                <c:pt idx="124">
                  <c:v>40239</c:v>
                </c:pt>
                <c:pt idx="125">
                  <c:v>40240</c:v>
                </c:pt>
                <c:pt idx="126">
                  <c:v>40241</c:v>
                </c:pt>
                <c:pt idx="127">
                  <c:v>40242</c:v>
                </c:pt>
                <c:pt idx="128">
                  <c:v>40245</c:v>
                </c:pt>
                <c:pt idx="129">
                  <c:v>40246</c:v>
                </c:pt>
                <c:pt idx="130">
                  <c:v>40247</c:v>
                </c:pt>
                <c:pt idx="131">
                  <c:v>40248</c:v>
                </c:pt>
                <c:pt idx="132">
                  <c:v>40249</c:v>
                </c:pt>
                <c:pt idx="133">
                  <c:v>40252</c:v>
                </c:pt>
                <c:pt idx="134">
                  <c:v>40253</c:v>
                </c:pt>
                <c:pt idx="135">
                  <c:v>40254</c:v>
                </c:pt>
                <c:pt idx="136">
                  <c:v>40255</c:v>
                </c:pt>
                <c:pt idx="137">
                  <c:v>40256</c:v>
                </c:pt>
                <c:pt idx="138">
                  <c:v>40259</c:v>
                </c:pt>
                <c:pt idx="139">
                  <c:v>40260</c:v>
                </c:pt>
                <c:pt idx="140">
                  <c:v>40261</c:v>
                </c:pt>
                <c:pt idx="141">
                  <c:v>40262</c:v>
                </c:pt>
                <c:pt idx="142">
                  <c:v>40263</c:v>
                </c:pt>
                <c:pt idx="143">
                  <c:v>40266</c:v>
                </c:pt>
                <c:pt idx="144">
                  <c:v>40267</c:v>
                </c:pt>
                <c:pt idx="145">
                  <c:v>40268</c:v>
                </c:pt>
                <c:pt idx="146">
                  <c:v>40269</c:v>
                </c:pt>
                <c:pt idx="147">
                  <c:v>40273</c:v>
                </c:pt>
                <c:pt idx="148">
                  <c:v>40274</c:v>
                </c:pt>
                <c:pt idx="149">
                  <c:v>40275</c:v>
                </c:pt>
                <c:pt idx="150">
                  <c:v>40276</c:v>
                </c:pt>
                <c:pt idx="151">
                  <c:v>40277</c:v>
                </c:pt>
                <c:pt idx="152">
                  <c:v>40280</c:v>
                </c:pt>
                <c:pt idx="153">
                  <c:v>40281</c:v>
                </c:pt>
                <c:pt idx="154">
                  <c:v>40282</c:v>
                </c:pt>
                <c:pt idx="155">
                  <c:v>40283</c:v>
                </c:pt>
                <c:pt idx="156">
                  <c:v>40284</c:v>
                </c:pt>
                <c:pt idx="157">
                  <c:v>40287</c:v>
                </c:pt>
                <c:pt idx="158">
                  <c:v>40288</c:v>
                </c:pt>
                <c:pt idx="159">
                  <c:v>40289</c:v>
                </c:pt>
                <c:pt idx="160">
                  <c:v>40290</c:v>
                </c:pt>
                <c:pt idx="161">
                  <c:v>40291</c:v>
                </c:pt>
                <c:pt idx="162">
                  <c:v>40294</c:v>
                </c:pt>
                <c:pt idx="163">
                  <c:v>40295</c:v>
                </c:pt>
                <c:pt idx="164">
                  <c:v>40296</c:v>
                </c:pt>
                <c:pt idx="165">
                  <c:v>40297</c:v>
                </c:pt>
                <c:pt idx="166">
                  <c:v>40298</c:v>
                </c:pt>
                <c:pt idx="167">
                  <c:v>40301</c:v>
                </c:pt>
                <c:pt idx="168">
                  <c:v>40302</c:v>
                </c:pt>
                <c:pt idx="169">
                  <c:v>40303</c:v>
                </c:pt>
                <c:pt idx="170">
                  <c:v>40304</c:v>
                </c:pt>
                <c:pt idx="171">
                  <c:v>40305</c:v>
                </c:pt>
                <c:pt idx="172">
                  <c:v>40308</c:v>
                </c:pt>
                <c:pt idx="173">
                  <c:v>40309</c:v>
                </c:pt>
                <c:pt idx="174">
                  <c:v>40310</c:v>
                </c:pt>
                <c:pt idx="175">
                  <c:v>40311</c:v>
                </c:pt>
                <c:pt idx="176">
                  <c:v>40312</c:v>
                </c:pt>
                <c:pt idx="177">
                  <c:v>40315</c:v>
                </c:pt>
                <c:pt idx="178">
                  <c:v>40316</c:v>
                </c:pt>
                <c:pt idx="179">
                  <c:v>40317</c:v>
                </c:pt>
                <c:pt idx="180">
                  <c:v>40318</c:v>
                </c:pt>
                <c:pt idx="181">
                  <c:v>40319</c:v>
                </c:pt>
                <c:pt idx="182">
                  <c:v>40322</c:v>
                </c:pt>
                <c:pt idx="183">
                  <c:v>40323</c:v>
                </c:pt>
                <c:pt idx="184">
                  <c:v>40324</c:v>
                </c:pt>
                <c:pt idx="185">
                  <c:v>40325</c:v>
                </c:pt>
                <c:pt idx="186">
                  <c:v>40326</c:v>
                </c:pt>
                <c:pt idx="187">
                  <c:v>40330</c:v>
                </c:pt>
                <c:pt idx="188">
                  <c:v>40331</c:v>
                </c:pt>
                <c:pt idx="189">
                  <c:v>40332</c:v>
                </c:pt>
                <c:pt idx="190">
                  <c:v>40333</c:v>
                </c:pt>
                <c:pt idx="191">
                  <c:v>40336</c:v>
                </c:pt>
                <c:pt idx="192">
                  <c:v>40337</c:v>
                </c:pt>
                <c:pt idx="193">
                  <c:v>40338</c:v>
                </c:pt>
                <c:pt idx="194">
                  <c:v>40339</c:v>
                </c:pt>
                <c:pt idx="195">
                  <c:v>40340</c:v>
                </c:pt>
                <c:pt idx="196">
                  <c:v>40343</c:v>
                </c:pt>
                <c:pt idx="197">
                  <c:v>40344</c:v>
                </c:pt>
                <c:pt idx="198">
                  <c:v>40345</c:v>
                </c:pt>
                <c:pt idx="199">
                  <c:v>40346</c:v>
                </c:pt>
                <c:pt idx="200">
                  <c:v>40347</c:v>
                </c:pt>
                <c:pt idx="201">
                  <c:v>40350</c:v>
                </c:pt>
                <c:pt idx="202">
                  <c:v>40351</c:v>
                </c:pt>
                <c:pt idx="203">
                  <c:v>40352</c:v>
                </c:pt>
                <c:pt idx="204">
                  <c:v>40353</c:v>
                </c:pt>
                <c:pt idx="205">
                  <c:v>40354</c:v>
                </c:pt>
                <c:pt idx="206">
                  <c:v>40357</c:v>
                </c:pt>
                <c:pt idx="207">
                  <c:v>40358</c:v>
                </c:pt>
                <c:pt idx="208">
                  <c:v>40359</c:v>
                </c:pt>
                <c:pt idx="209">
                  <c:v>40360</c:v>
                </c:pt>
                <c:pt idx="210">
                  <c:v>40361</c:v>
                </c:pt>
                <c:pt idx="211">
                  <c:v>40365</c:v>
                </c:pt>
                <c:pt idx="212">
                  <c:v>40366</c:v>
                </c:pt>
                <c:pt idx="213">
                  <c:v>40367</c:v>
                </c:pt>
                <c:pt idx="214">
                  <c:v>40368</c:v>
                </c:pt>
                <c:pt idx="215">
                  <c:v>40371</c:v>
                </c:pt>
                <c:pt idx="216">
                  <c:v>40372</c:v>
                </c:pt>
                <c:pt idx="217">
                  <c:v>40373</c:v>
                </c:pt>
                <c:pt idx="218">
                  <c:v>40374</c:v>
                </c:pt>
                <c:pt idx="219">
                  <c:v>40375</c:v>
                </c:pt>
                <c:pt idx="220">
                  <c:v>40378</c:v>
                </c:pt>
                <c:pt idx="221">
                  <c:v>40379</c:v>
                </c:pt>
                <c:pt idx="222">
                  <c:v>40380</c:v>
                </c:pt>
                <c:pt idx="223">
                  <c:v>40381</c:v>
                </c:pt>
                <c:pt idx="224">
                  <c:v>40382</c:v>
                </c:pt>
                <c:pt idx="225">
                  <c:v>40385</c:v>
                </c:pt>
                <c:pt idx="226">
                  <c:v>40386</c:v>
                </c:pt>
                <c:pt idx="227">
                  <c:v>40387</c:v>
                </c:pt>
                <c:pt idx="228">
                  <c:v>40388</c:v>
                </c:pt>
                <c:pt idx="229">
                  <c:v>40389</c:v>
                </c:pt>
                <c:pt idx="230">
                  <c:v>40392</c:v>
                </c:pt>
                <c:pt idx="231">
                  <c:v>40393</c:v>
                </c:pt>
                <c:pt idx="232">
                  <c:v>40394</c:v>
                </c:pt>
                <c:pt idx="233">
                  <c:v>40395</c:v>
                </c:pt>
                <c:pt idx="234">
                  <c:v>40396</c:v>
                </c:pt>
                <c:pt idx="235">
                  <c:v>40399</c:v>
                </c:pt>
                <c:pt idx="236">
                  <c:v>40400</c:v>
                </c:pt>
                <c:pt idx="237">
                  <c:v>40401</c:v>
                </c:pt>
                <c:pt idx="238">
                  <c:v>40402</c:v>
                </c:pt>
                <c:pt idx="239">
                  <c:v>40403</c:v>
                </c:pt>
                <c:pt idx="240">
                  <c:v>40406</c:v>
                </c:pt>
                <c:pt idx="241">
                  <c:v>40407</c:v>
                </c:pt>
                <c:pt idx="242">
                  <c:v>40408</c:v>
                </c:pt>
                <c:pt idx="243">
                  <c:v>40409</c:v>
                </c:pt>
                <c:pt idx="244">
                  <c:v>40410</c:v>
                </c:pt>
                <c:pt idx="245">
                  <c:v>40413</c:v>
                </c:pt>
                <c:pt idx="246">
                  <c:v>40414</c:v>
                </c:pt>
                <c:pt idx="247">
                  <c:v>40415</c:v>
                </c:pt>
                <c:pt idx="248">
                  <c:v>40416</c:v>
                </c:pt>
                <c:pt idx="249">
                  <c:v>40417</c:v>
                </c:pt>
                <c:pt idx="250">
                  <c:v>40420</c:v>
                </c:pt>
                <c:pt idx="251">
                  <c:v>40421</c:v>
                </c:pt>
                <c:pt idx="252">
                  <c:v>40422</c:v>
                </c:pt>
                <c:pt idx="253">
                  <c:v>40423</c:v>
                </c:pt>
                <c:pt idx="254">
                  <c:v>40424</c:v>
                </c:pt>
                <c:pt idx="255">
                  <c:v>40428</c:v>
                </c:pt>
                <c:pt idx="256">
                  <c:v>40429</c:v>
                </c:pt>
                <c:pt idx="257">
                  <c:v>40430</c:v>
                </c:pt>
                <c:pt idx="258">
                  <c:v>40431</c:v>
                </c:pt>
                <c:pt idx="259">
                  <c:v>40434</c:v>
                </c:pt>
                <c:pt idx="260">
                  <c:v>40435</c:v>
                </c:pt>
                <c:pt idx="261">
                  <c:v>40436</c:v>
                </c:pt>
                <c:pt idx="262">
                  <c:v>40437</c:v>
                </c:pt>
                <c:pt idx="263">
                  <c:v>40438</c:v>
                </c:pt>
                <c:pt idx="264">
                  <c:v>40441</c:v>
                </c:pt>
                <c:pt idx="265">
                  <c:v>40442</c:v>
                </c:pt>
                <c:pt idx="266">
                  <c:v>40443</c:v>
                </c:pt>
                <c:pt idx="267">
                  <c:v>40444</c:v>
                </c:pt>
                <c:pt idx="268">
                  <c:v>40445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40455</c:v>
                </c:pt>
                <c:pt idx="275">
                  <c:v>40456</c:v>
                </c:pt>
                <c:pt idx="276">
                  <c:v>40457</c:v>
                </c:pt>
                <c:pt idx="277">
                  <c:v>40458</c:v>
                </c:pt>
                <c:pt idx="278">
                  <c:v>40459</c:v>
                </c:pt>
                <c:pt idx="279">
                  <c:v>40463</c:v>
                </c:pt>
                <c:pt idx="280">
                  <c:v>40464</c:v>
                </c:pt>
                <c:pt idx="281">
                  <c:v>40465</c:v>
                </c:pt>
                <c:pt idx="282">
                  <c:v>40466</c:v>
                </c:pt>
                <c:pt idx="283">
                  <c:v>40469</c:v>
                </c:pt>
                <c:pt idx="284">
                  <c:v>40470</c:v>
                </c:pt>
                <c:pt idx="285">
                  <c:v>40471</c:v>
                </c:pt>
                <c:pt idx="286">
                  <c:v>40472</c:v>
                </c:pt>
                <c:pt idx="287">
                  <c:v>40473</c:v>
                </c:pt>
                <c:pt idx="288">
                  <c:v>40476</c:v>
                </c:pt>
                <c:pt idx="289">
                  <c:v>40477</c:v>
                </c:pt>
                <c:pt idx="290">
                  <c:v>40478</c:v>
                </c:pt>
                <c:pt idx="291">
                  <c:v>40479</c:v>
                </c:pt>
                <c:pt idx="292">
                  <c:v>40480</c:v>
                </c:pt>
                <c:pt idx="293">
                  <c:v>40483</c:v>
                </c:pt>
                <c:pt idx="294">
                  <c:v>40484</c:v>
                </c:pt>
                <c:pt idx="295">
                  <c:v>40485</c:v>
                </c:pt>
                <c:pt idx="296">
                  <c:v>40486</c:v>
                </c:pt>
                <c:pt idx="297">
                  <c:v>40487</c:v>
                </c:pt>
                <c:pt idx="298">
                  <c:v>40490</c:v>
                </c:pt>
                <c:pt idx="299">
                  <c:v>40491</c:v>
                </c:pt>
                <c:pt idx="300">
                  <c:v>40492</c:v>
                </c:pt>
                <c:pt idx="301">
                  <c:v>40494</c:v>
                </c:pt>
                <c:pt idx="302">
                  <c:v>40497</c:v>
                </c:pt>
                <c:pt idx="303">
                  <c:v>40498</c:v>
                </c:pt>
                <c:pt idx="304">
                  <c:v>40499</c:v>
                </c:pt>
                <c:pt idx="305">
                  <c:v>40500</c:v>
                </c:pt>
                <c:pt idx="306">
                  <c:v>40501</c:v>
                </c:pt>
                <c:pt idx="307">
                  <c:v>40504</c:v>
                </c:pt>
                <c:pt idx="308">
                  <c:v>40505</c:v>
                </c:pt>
                <c:pt idx="309">
                  <c:v>40506</c:v>
                </c:pt>
                <c:pt idx="310">
                  <c:v>40508</c:v>
                </c:pt>
                <c:pt idx="311">
                  <c:v>40511</c:v>
                </c:pt>
                <c:pt idx="312">
                  <c:v>40512</c:v>
                </c:pt>
                <c:pt idx="313">
                  <c:v>40513</c:v>
                </c:pt>
                <c:pt idx="314">
                  <c:v>40514</c:v>
                </c:pt>
                <c:pt idx="315">
                  <c:v>40515</c:v>
                </c:pt>
                <c:pt idx="316">
                  <c:v>40518</c:v>
                </c:pt>
                <c:pt idx="317">
                  <c:v>40519</c:v>
                </c:pt>
                <c:pt idx="318">
                  <c:v>40520</c:v>
                </c:pt>
                <c:pt idx="319">
                  <c:v>40521</c:v>
                </c:pt>
                <c:pt idx="320">
                  <c:v>40522</c:v>
                </c:pt>
                <c:pt idx="321">
                  <c:v>40525</c:v>
                </c:pt>
                <c:pt idx="322">
                  <c:v>40526</c:v>
                </c:pt>
                <c:pt idx="323">
                  <c:v>40527</c:v>
                </c:pt>
                <c:pt idx="324">
                  <c:v>40528</c:v>
                </c:pt>
                <c:pt idx="325">
                  <c:v>40529</c:v>
                </c:pt>
                <c:pt idx="326">
                  <c:v>40532</c:v>
                </c:pt>
                <c:pt idx="327">
                  <c:v>40533</c:v>
                </c:pt>
                <c:pt idx="328">
                  <c:v>40534</c:v>
                </c:pt>
                <c:pt idx="329">
                  <c:v>40535</c:v>
                </c:pt>
                <c:pt idx="330">
                  <c:v>40539</c:v>
                </c:pt>
                <c:pt idx="331">
                  <c:v>40540</c:v>
                </c:pt>
                <c:pt idx="332">
                  <c:v>40541</c:v>
                </c:pt>
                <c:pt idx="333">
                  <c:v>40542</c:v>
                </c:pt>
                <c:pt idx="334">
                  <c:v>40543</c:v>
                </c:pt>
                <c:pt idx="335">
                  <c:v>40546</c:v>
                </c:pt>
                <c:pt idx="336">
                  <c:v>40547</c:v>
                </c:pt>
                <c:pt idx="337">
                  <c:v>40548</c:v>
                </c:pt>
                <c:pt idx="338">
                  <c:v>40549</c:v>
                </c:pt>
                <c:pt idx="339">
                  <c:v>40550</c:v>
                </c:pt>
                <c:pt idx="340">
                  <c:v>40553</c:v>
                </c:pt>
                <c:pt idx="341">
                  <c:v>40554</c:v>
                </c:pt>
                <c:pt idx="342">
                  <c:v>40555</c:v>
                </c:pt>
                <c:pt idx="343">
                  <c:v>40556</c:v>
                </c:pt>
                <c:pt idx="344">
                  <c:v>40557</c:v>
                </c:pt>
                <c:pt idx="345">
                  <c:v>40561</c:v>
                </c:pt>
                <c:pt idx="346">
                  <c:v>40562</c:v>
                </c:pt>
                <c:pt idx="347">
                  <c:v>40563</c:v>
                </c:pt>
                <c:pt idx="348">
                  <c:v>40564</c:v>
                </c:pt>
                <c:pt idx="349">
                  <c:v>40567</c:v>
                </c:pt>
                <c:pt idx="350">
                  <c:v>40568</c:v>
                </c:pt>
                <c:pt idx="351">
                  <c:v>40569</c:v>
                </c:pt>
                <c:pt idx="352">
                  <c:v>40570</c:v>
                </c:pt>
                <c:pt idx="353">
                  <c:v>40571</c:v>
                </c:pt>
                <c:pt idx="354">
                  <c:v>40574</c:v>
                </c:pt>
                <c:pt idx="355">
                  <c:v>40575</c:v>
                </c:pt>
                <c:pt idx="356">
                  <c:v>40576</c:v>
                </c:pt>
                <c:pt idx="357">
                  <c:v>40577</c:v>
                </c:pt>
                <c:pt idx="358">
                  <c:v>40578</c:v>
                </c:pt>
                <c:pt idx="359">
                  <c:v>40581</c:v>
                </c:pt>
                <c:pt idx="360">
                  <c:v>40582</c:v>
                </c:pt>
                <c:pt idx="361">
                  <c:v>40583</c:v>
                </c:pt>
                <c:pt idx="362">
                  <c:v>40584</c:v>
                </c:pt>
                <c:pt idx="363">
                  <c:v>40585</c:v>
                </c:pt>
                <c:pt idx="364">
                  <c:v>40588</c:v>
                </c:pt>
                <c:pt idx="365">
                  <c:v>40589</c:v>
                </c:pt>
                <c:pt idx="366">
                  <c:v>40590</c:v>
                </c:pt>
                <c:pt idx="367">
                  <c:v>40591</c:v>
                </c:pt>
                <c:pt idx="368">
                  <c:v>40592</c:v>
                </c:pt>
                <c:pt idx="369">
                  <c:v>40596</c:v>
                </c:pt>
                <c:pt idx="370">
                  <c:v>40597</c:v>
                </c:pt>
                <c:pt idx="371">
                  <c:v>40598</c:v>
                </c:pt>
                <c:pt idx="372">
                  <c:v>40599</c:v>
                </c:pt>
                <c:pt idx="373">
                  <c:v>40602</c:v>
                </c:pt>
                <c:pt idx="374">
                  <c:v>40603</c:v>
                </c:pt>
                <c:pt idx="375">
                  <c:v>40604</c:v>
                </c:pt>
                <c:pt idx="376">
                  <c:v>40605</c:v>
                </c:pt>
                <c:pt idx="377">
                  <c:v>40606</c:v>
                </c:pt>
                <c:pt idx="378">
                  <c:v>40609</c:v>
                </c:pt>
                <c:pt idx="379">
                  <c:v>40610</c:v>
                </c:pt>
                <c:pt idx="380">
                  <c:v>40611</c:v>
                </c:pt>
                <c:pt idx="381">
                  <c:v>40612</c:v>
                </c:pt>
                <c:pt idx="382">
                  <c:v>40613</c:v>
                </c:pt>
                <c:pt idx="383">
                  <c:v>40616</c:v>
                </c:pt>
                <c:pt idx="384">
                  <c:v>40617</c:v>
                </c:pt>
                <c:pt idx="385">
                  <c:v>40618</c:v>
                </c:pt>
                <c:pt idx="386">
                  <c:v>40619</c:v>
                </c:pt>
                <c:pt idx="387">
                  <c:v>40620</c:v>
                </c:pt>
                <c:pt idx="388">
                  <c:v>40623</c:v>
                </c:pt>
                <c:pt idx="389">
                  <c:v>40624</c:v>
                </c:pt>
                <c:pt idx="390">
                  <c:v>40625</c:v>
                </c:pt>
                <c:pt idx="391">
                  <c:v>40626</c:v>
                </c:pt>
                <c:pt idx="392">
                  <c:v>40627</c:v>
                </c:pt>
                <c:pt idx="393">
                  <c:v>40630</c:v>
                </c:pt>
                <c:pt idx="394">
                  <c:v>40631</c:v>
                </c:pt>
                <c:pt idx="395">
                  <c:v>40632</c:v>
                </c:pt>
                <c:pt idx="396">
                  <c:v>40633</c:v>
                </c:pt>
                <c:pt idx="397">
                  <c:v>40634</c:v>
                </c:pt>
                <c:pt idx="398">
                  <c:v>40637</c:v>
                </c:pt>
                <c:pt idx="399">
                  <c:v>40638</c:v>
                </c:pt>
                <c:pt idx="400">
                  <c:v>40639</c:v>
                </c:pt>
                <c:pt idx="401">
                  <c:v>40640</c:v>
                </c:pt>
                <c:pt idx="402">
                  <c:v>40641</c:v>
                </c:pt>
                <c:pt idx="403">
                  <c:v>40644</c:v>
                </c:pt>
                <c:pt idx="404">
                  <c:v>40645</c:v>
                </c:pt>
                <c:pt idx="405">
                  <c:v>40646</c:v>
                </c:pt>
                <c:pt idx="406">
                  <c:v>40647</c:v>
                </c:pt>
                <c:pt idx="407">
                  <c:v>40648</c:v>
                </c:pt>
                <c:pt idx="408">
                  <c:v>40651</c:v>
                </c:pt>
                <c:pt idx="409">
                  <c:v>40652</c:v>
                </c:pt>
                <c:pt idx="410">
                  <c:v>40653</c:v>
                </c:pt>
                <c:pt idx="411">
                  <c:v>40654</c:v>
                </c:pt>
                <c:pt idx="412">
                  <c:v>40658</c:v>
                </c:pt>
                <c:pt idx="413">
                  <c:v>40659</c:v>
                </c:pt>
                <c:pt idx="414">
                  <c:v>40660</c:v>
                </c:pt>
                <c:pt idx="415">
                  <c:v>40661</c:v>
                </c:pt>
                <c:pt idx="416">
                  <c:v>40662</c:v>
                </c:pt>
                <c:pt idx="417">
                  <c:v>40665</c:v>
                </c:pt>
                <c:pt idx="418">
                  <c:v>40666</c:v>
                </c:pt>
                <c:pt idx="419">
                  <c:v>40667</c:v>
                </c:pt>
                <c:pt idx="420">
                  <c:v>40668</c:v>
                </c:pt>
                <c:pt idx="421">
                  <c:v>40669</c:v>
                </c:pt>
                <c:pt idx="422">
                  <c:v>40672</c:v>
                </c:pt>
                <c:pt idx="423">
                  <c:v>40673</c:v>
                </c:pt>
                <c:pt idx="424">
                  <c:v>40674</c:v>
                </c:pt>
                <c:pt idx="425">
                  <c:v>40675</c:v>
                </c:pt>
                <c:pt idx="426">
                  <c:v>40676</c:v>
                </c:pt>
                <c:pt idx="427">
                  <c:v>40679</c:v>
                </c:pt>
                <c:pt idx="428">
                  <c:v>40680</c:v>
                </c:pt>
                <c:pt idx="429">
                  <c:v>40681</c:v>
                </c:pt>
                <c:pt idx="430">
                  <c:v>40682</c:v>
                </c:pt>
                <c:pt idx="431">
                  <c:v>40683</c:v>
                </c:pt>
                <c:pt idx="432">
                  <c:v>40686</c:v>
                </c:pt>
                <c:pt idx="433">
                  <c:v>40687</c:v>
                </c:pt>
                <c:pt idx="434">
                  <c:v>40688</c:v>
                </c:pt>
                <c:pt idx="435">
                  <c:v>40689</c:v>
                </c:pt>
                <c:pt idx="436">
                  <c:v>40690</c:v>
                </c:pt>
                <c:pt idx="437">
                  <c:v>40694</c:v>
                </c:pt>
                <c:pt idx="438">
                  <c:v>40695</c:v>
                </c:pt>
                <c:pt idx="439">
                  <c:v>40696</c:v>
                </c:pt>
                <c:pt idx="440">
                  <c:v>40697</c:v>
                </c:pt>
                <c:pt idx="441">
                  <c:v>40700</c:v>
                </c:pt>
                <c:pt idx="442">
                  <c:v>40701</c:v>
                </c:pt>
                <c:pt idx="443">
                  <c:v>40702</c:v>
                </c:pt>
                <c:pt idx="444">
                  <c:v>40703</c:v>
                </c:pt>
                <c:pt idx="445">
                  <c:v>40704</c:v>
                </c:pt>
                <c:pt idx="446">
                  <c:v>40707</c:v>
                </c:pt>
                <c:pt idx="447">
                  <c:v>40708</c:v>
                </c:pt>
                <c:pt idx="448">
                  <c:v>40709</c:v>
                </c:pt>
                <c:pt idx="449">
                  <c:v>40710</c:v>
                </c:pt>
                <c:pt idx="450">
                  <c:v>40711</c:v>
                </c:pt>
                <c:pt idx="451">
                  <c:v>40714</c:v>
                </c:pt>
                <c:pt idx="452">
                  <c:v>40715</c:v>
                </c:pt>
                <c:pt idx="453">
                  <c:v>40716</c:v>
                </c:pt>
                <c:pt idx="454">
                  <c:v>40717</c:v>
                </c:pt>
                <c:pt idx="455">
                  <c:v>40718</c:v>
                </c:pt>
                <c:pt idx="456">
                  <c:v>40721</c:v>
                </c:pt>
                <c:pt idx="457">
                  <c:v>40722</c:v>
                </c:pt>
                <c:pt idx="458">
                  <c:v>40723</c:v>
                </c:pt>
                <c:pt idx="459">
                  <c:v>40724</c:v>
                </c:pt>
                <c:pt idx="460">
                  <c:v>40725</c:v>
                </c:pt>
                <c:pt idx="461">
                  <c:v>40729</c:v>
                </c:pt>
                <c:pt idx="462">
                  <c:v>40730</c:v>
                </c:pt>
                <c:pt idx="463">
                  <c:v>40731</c:v>
                </c:pt>
                <c:pt idx="464">
                  <c:v>40732</c:v>
                </c:pt>
                <c:pt idx="465">
                  <c:v>40735</c:v>
                </c:pt>
                <c:pt idx="466">
                  <c:v>40736</c:v>
                </c:pt>
                <c:pt idx="467">
                  <c:v>40737</c:v>
                </c:pt>
                <c:pt idx="468">
                  <c:v>40738</c:v>
                </c:pt>
                <c:pt idx="469">
                  <c:v>40739</c:v>
                </c:pt>
                <c:pt idx="470">
                  <c:v>40742</c:v>
                </c:pt>
                <c:pt idx="471">
                  <c:v>40743</c:v>
                </c:pt>
                <c:pt idx="472">
                  <c:v>40744</c:v>
                </c:pt>
                <c:pt idx="473">
                  <c:v>40745</c:v>
                </c:pt>
                <c:pt idx="474">
                  <c:v>40746</c:v>
                </c:pt>
                <c:pt idx="475">
                  <c:v>40749</c:v>
                </c:pt>
                <c:pt idx="476">
                  <c:v>40750</c:v>
                </c:pt>
                <c:pt idx="477">
                  <c:v>40751</c:v>
                </c:pt>
                <c:pt idx="478">
                  <c:v>40752</c:v>
                </c:pt>
                <c:pt idx="479">
                  <c:v>40753</c:v>
                </c:pt>
                <c:pt idx="480">
                  <c:v>40756</c:v>
                </c:pt>
                <c:pt idx="481">
                  <c:v>40757</c:v>
                </c:pt>
                <c:pt idx="482">
                  <c:v>40758</c:v>
                </c:pt>
                <c:pt idx="483">
                  <c:v>40759</c:v>
                </c:pt>
                <c:pt idx="484">
                  <c:v>40760</c:v>
                </c:pt>
                <c:pt idx="485">
                  <c:v>40763</c:v>
                </c:pt>
                <c:pt idx="486">
                  <c:v>40764</c:v>
                </c:pt>
                <c:pt idx="487">
                  <c:v>40765</c:v>
                </c:pt>
                <c:pt idx="488">
                  <c:v>40766</c:v>
                </c:pt>
                <c:pt idx="489">
                  <c:v>40767</c:v>
                </c:pt>
                <c:pt idx="490">
                  <c:v>40770</c:v>
                </c:pt>
                <c:pt idx="491">
                  <c:v>40771</c:v>
                </c:pt>
                <c:pt idx="492">
                  <c:v>40772</c:v>
                </c:pt>
                <c:pt idx="493">
                  <c:v>40773</c:v>
                </c:pt>
                <c:pt idx="494">
                  <c:v>40774</c:v>
                </c:pt>
                <c:pt idx="495">
                  <c:v>40777</c:v>
                </c:pt>
                <c:pt idx="496">
                  <c:v>40778</c:v>
                </c:pt>
                <c:pt idx="497">
                  <c:v>40779</c:v>
                </c:pt>
                <c:pt idx="498">
                  <c:v>40780</c:v>
                </c:pt>
                <c:pt idx="499">
                  <c:v>40781</c:v>
                </c:pt>
                <c:pt idx="500">
                  <c:v>40784</c:v>
                </c:pt>
                <c:pt idx="501">
                  <c:v>40785</c:v>
                </c:pt>
                <c:pt idx="502">
                  <c:v>40786</c:v>
                </c:pt>
                <c:pt idx="503">
                  <c:v>40787</c:v>
                </c:pt>
                <c:pt idx="504">
                  <c:v>40788</c:v>
                </c:pt>
                <c:pt idx="505">
                  <c:v>40792</c:v>
                </c:pt>
                <c:pt idx="506">
                  <c:v>40793</c:v>
                </c:pt>
                <c:pt idx="507">
                  <c:v>40794</c:v>
                </c:pt>
                <c:pt idx="508">
                  <c:v>40795</c:v>
                </c:pt>
                <c:pt idx="509">
                  <c:v>40798</c:v>
                </c:pt>
                <c:pt idx="510">
                  <c:v>40799</c:v>
                </c:pt>
                <c:pt idx="511">
                  <c:v>40800</c:v>
                </c:pt>
                <c:pt idx="512">
                  <c:v>40801</c:v>
                </c:pt>
                <c:pt idx="513">
                  <c:v>40802</c:v>
                </c:pt>
                <c:pt idx="514">
                  <c:v>40805</c:v>
                </c:pt>
                <c:pt idx="515">
                  <c:v>40806</c:v>
                </c:pt>
                <c:pt idx="516">
                  <c:v>40807</c:v>
                </c:pt>
                <c:pt idx="517">
                  <c:v>40808</c:v>
                </c:pt>
                <c:pt idx="518">
                  <c:v>40809</c:v>
                </c:pt>
                <c:pt idx="519">
                  <c:v>40812</c:v>
                </c:pt>
                <c:pt idx="520">
                  <c:v>40813</c:v>
                </c:pt>
                <c:pt idx="521">
                  <c:v>40814</c:v>
                </c:pt>
                <c:pt idx="522">
                  <c:v>40815</c:v>
                </c:pt>
                <c:pt idx="523">
                  <c:v>40816</c:v>
                </c:pt>
                <c:pt idx="524">
                  <c:v>40819</c:v>
                </c:pt>
                <c:pt idx="525">
                  <c:v>40820</c:v>
                </c:pt>
                <c:pt idx="526">
                  <c:v>40821</c:v>
                </c:pt>
                <c:pt idx="527">
                  <c:v>40822</c:v>
                </c:pt>
                <c:pt idx="528">
                  <c:v>40823</c:v>
                </c:pt>
                <c:pt idx="529">
                  <c:v>40827</c:v>
                </c:pt>
                <c:pt idx="530">
                  <c:v>40828</c:v>
                </c:pt>
                <c:pt idx="531">
                  <c:v>40829</c:v>
                </c:pt>
                <c:pt idx="532">
                  <c:v>40830</c:v>
                </c:pt>
                <c:pt idx="533">
                  <c:v>40833</c:v>
                </c:pt>
                <c:pt idx="534">
                  <c:v>40834</c:v>
                </c:pt>
                <c:pt idx="535">
                  <c:v>40835</c:v>
                </c:pt>
                <c:pt idx="536">
                  <c:v>40836</c:v>
                </c:pt>
                <c:pt idx="537">
                  <c:v>40837</c:v>
                </c:pt>
                <c:pt idx="538">
                  <c:v>40840</c:v>
                </c:pt>
                <c:pt idx="539">
                  <c:v>40841</c:v>
                </c:pt>
                <c:pt idx="540">
                  <c:v>40842</c:v>
                </c:pt>
                <c:pt idx="541">
                  <c:v>40843</c:v>
                </c:pt>
                <c:pt idx="542">
                  <c:v>40844</c:v>
                </c:pt>
                <c:pt idx="543">
                  <c:v>40847</c:v>
                </c:pt>
                <c:pt idx="544">
                  <c:v>40848</c:v>
                </c:pt>
                <c:pt idx="545">
                  <c:v>40849</c:v>
                </c:pt>
                <c:pt idx="546">
                  <c:v>40850</c:v>
                </c:pt>
                <c:pt idx="547">
                  <c:v>40851</c:v>
                </c:pt>
                <c:pt idx="548">
                  <c:v>40854</c:v>
                </c:pt>
                <c:pt idx="549">
                  <c:v>40855</c:v>
                </c:pt>
                <c:pt idx="550">
                  <c:v>40856</c:v>
                </c:pt>
                <c:pt idx="551">
                  <c:v>40857</c:v>
                </c:pt>
                <c:pt idx="552">
                  <c:v>40861</c:v>
                </c:pt>
                <c:pt idx="553">
                  <c:v>40862</c:v>
                </c:pt>
                <c:pt idx="554">
                  <c:v>40863</c:v>
                </c:pt>
                <c:pt idx="555">
                  <c:v>40864</c:v>
                </c:pt>
                <c:pt idx="556">
                  <c:v>40865</c:v>
                </c:pt>
                <c:pt idx="557">
                  <c:v>40868</c:v>
                </c:pt>
                <c:pt idx="558">
                  <c:v>40869</c:v>
                </c:pt>
                <c:pt idx="559">
                  <c:v>40870</c:v>
                </c:pt>
                <c:pt idx="560">
                  <c:v>40872</c:v>
                </c:pt>
                <c:pt idx="561">
                  <c:v>40875</c:v>
                </c:pt>
                <c:pt idx="562">
                  <c:v>40876</c:v>
                </c:pt>
                <c:pt idx="563">
                  <c:v>40877</c:v>
                </c:pt>
                <c:pt idx="564">
                  <c:v>40878</c:v>
                </c:pt>
                <c:pt idx="565">
                  <c:v>40879</c:v>
                </c:pt>
                <c:pt idx="566">
                  <c:v>40882</c:v>
                </c:pt>
                <c:pt idx="567">
                  <c:v>40883</c:v>
                </c:pt>
                <c:pt idx="568">
                  <c:v>40884</c:v>
                </c:pt>
                <c:pt idx="569">
                  <c:v>40885</c:v>
                </c:pt>
                <c:pt idx="570">
                  <c:v>40886</c:v>
                </c:pt>
                <c:pt idx="571">
                  <c:v>40889</c:v>
                </c:pt>
                <c:pt idx="572">
                  <c:v>40890</c:v>
                </c:pt>
                <c:pt idx="573">
                  <c:v>40891</c:v>
                </c:pt>
                <c:pt idx="574">
                  <c:v>40892</c:v>
                </c:pt>
                <c:pt idx="575">
                  <c:v>40893</c:v>
                </c:pt>
                <c:pt idx="576">
                  <c:v>40896</c:v>
                </c:pt>
                <c:pt idx="577">
                  <c:v>40897</c:v>
                </c:pt>
                <c:pt idx="578">
                  <c:v>40898</c:v>
                </c:pt>
                <c:pt idx="579">
                  <c:v>40899</c:v>
                </c:pt>
                <c:pt idx="580">
                  <c:v>40900</c:v>
                </c:pt>
                <c:pt idx="581">
                  <c:v>40904</c:v>
                </c:pt>
                <c:pt idx="582">
                  <c:v>40905</c:v>
                </c:pt>
                <c:pt idx="583">
                  <c:v>40906</c:v>
                </c:pt>
                <c:pt idx="584">
                  <c:v>40907</c:v>
                </c:pt>
                <c:pt idx="585">
                  <c:v>40911</c:v>
                </c:pt>
                <c:pt idx="586">
                  <c:v>40912</c:v>
                </c:pt>
                <c:pt idx="587">
                  <c:v>40913</c:v>
                </c:pt>
                <c:pt idx="588">
                  <c:v>40914</c:v>
                </c:pt>
                <c:pt idx="589">
                  <c:v>40917</c:v>
                </c:pt>
                <c:pt idx="590">
                  <c:v>40918</c:v>
                </c:pt>
                <c:pt idx="591">
                  <c:v>40919</c:v>
                </c:pt>
                <c:pt idx="592">
                  <c:v>40920</c:v>
                </c:pt>
                <c:pt idx="593">
                  <c:v>40921</c:v>
                </c:pt>
                <c:pt idx="594">
                  <c:v>40925</c:v>
                </c:pt>
                <c:pt idx="595">
                  <c:v>40926</c:v>
                </c:pt>
                <c:pt idx="596">
                  <c:v>40927</c:v>
                </c:pt>
                <c:pt idx="597">
                  <c:v>40928</c:v>
                </c:pt>
                <c:pt idx="598">
                  <c:v>40931</c:v>
                </c:pt>
                <c:pt idx="599">
                  <c:v>40932</c:v>
                </c:pt>
                <c:pt idx="600">
                  <c:v>40933</c:v>
                </c:pt>
                <c:pt idx="601">
                  <c:v>40934</c:v>
                </c:pt>
                <c:pt idx="602">
                  <c:v>40935</c:v>
                </c:pt>
                <c:pt idx="603">
                  <c:v>40938</c:v>
                </c:pt>
                <c:pt idx="604">
                  <c:v>40939</c:v>
                </c:pt>
                <c:pt idx="605">
                  <c:v>40940</c:v>
                </c:pt>
                <c:pt idx="606">
                  <c:v>40941</c:v>
                </c:pt>
                <c:pt idx="607">
                  <c:v>40942</c:v>
                </c:pt>
                <c:pt idx="608">
                  <c:v>40945</c:v>
                </c:pt>
                <c:pt idx="609">
                  <c:v>40946</c:v>
                </c:pt>
                <c:pt idx="610">
                  <c:v>40947</c:v>
                </c:pt>
                <c:pt idx="611">
                  <c:v>40948</c:v>
                </c:pt>
                <c:pt idx="612">
                  <c:v>40949</c:v>
                </c:pt>
                <c:pt idx="613">
                  <c:v>40952</c:v>
                </c:pt>
                <c:pt idx="614">
                  <c:v>40953</c:v>
                </c:pt>
                <c:pt idx="615">
                  <c:v>40954</c:v>
                </c:pt>
                <c:pt idx="616">
                  <c:v>40955</c:v>
                </c:pt>
                <c:pt idx="617">
                  <c:v>40956</c:v>
                </c:pt>
                <c:pt idx="618">
                  <c:v>40960</c:v>
                </c:pt>
                <c:pt idx="619">
                  <c:v>40961</c:v>
                </c:pt>
                <c:pt idx="620">
                  <c:v>40962</c:v>
                </c:pt>
                <c:pt idx="621">
                  <c:v>40963</c:v>
                </c:pt>
                <c:pt idx="622">
                  <c:v>40966</c:v>
                </c:pt>
                <c:pt idx="623">
                  <c:v>40967</c:v>
                </c:pt>
                <c:pt idx="624">
                  <c:v>40968</c:v>
                </c:pt>
                <c:pt idx="625">
                  <c:v>40969</c:v>
                </c:pt>
                <c:pt idx="626">
                  <c:v>40970</c:v>
                </c:pt>
                <c:pt idx="627">
                  <c:v>40973</c:v>
                </c:pt>
                <c:pt idx="628">
                  <c:v>40974</c:v>
                </c:pt>
                <c:pt idx="629">
                  <c:v>40975</c:v>
                </c:pt>
                <c:pt idx="630">
                  <c:v>40976</c:v>
                </c:pt>
                <c:pt idx="631">
                  <c:v>40977</c:v>
                </c:pt>
                <c:pt idx="632">
                  <c:v>40980</c:v>
                </c:pt>
                <c:pt idx="633">
                  <c:v>40981</c:v>
                </c:pt>
                <c:pt idx="634">
                  <c:v>40982</c:v>
                </c:pt>
                <c:pt idx="635">
                  <c:v>40983</c:v>
                </c:pt>
                <c:pt idx="636">
                  <c:v>40984</c:v>
                </c:pt>
                <c:pt idx="637">
                  <c:v>40987</c:v>
                </c:pt>
                <c:pt idx="638">
                  <c:v>40988</c:v>
                </c:pt>
                <c:pt idx="639">
                  <c:v>40989</c:v>
                </c:pt>
                <c:pt idx="640">
                  <c:v>40990</c:v>
                </c:pt>
                <c:pt idx="641">
                  <c:v>40991</c:v>
                </c:pt>
                <c:pt idx="642">
                  <c:v>40994</c:v>
                </c:pt>
                <c:pt idx="643">
                  <c:v>40995</c:v>
                </c:pt>
                <c:pt idx="644">
                  <c:v>40996</c:v>
                </c:pt>
                <c:pt idx="645">
                  <c:v>40997</c:v>
                </c:pt>
                <c:pt idx="646">
                  <c:v>40998</c:v>
                </c:pt>
                <c:pt idx="647">
                  <c:v>41001</c:v>
                </c:pt>
                <c:pt idx="648">
                  <c:v>41002</c:v>
                </c:pt>
                <c:pt idx="649">
                  <c:v>41003</c:v>
                </c:pt>
                <c:pt idx="650">
                  <c:v>41004</c:v>
                </c:pt>
                <c:pt idx="651">
                  <c:v>41005</c:v>
                </c:pt>
                <c:pt idx="652">
                  <c:v>41008</c:v>
                </c:pt>
                <c:pt idx="653">
                  <c:v>41009</c:v>
                </c:pt>
                <c:pt idx="654">
                  <c:v>41010</c:v>
                </c:pt>
                <c:pt idx="655">
                  <c:v>41011</c:v>
                </c:pt>
                <c:pt idx="656">
                  <c:v>41012</c:v>
                </c:pt>
                <c:pt idx="657">
                  <c:v>41015</c:v>
                </c:pt>
                <c:pt idx="658">
                  <c:v>41016</c:v>
                </c:pt>
                <c:pt idx="659">
                  <c:v>41017</c:v>
                </c:pt>
                <c:pt idx="660">
                  <c:v>41018</c:v>
                </c:pt>
                <c:pt idx="661">
                  <c:v>41019</c:v>
                </c:pt>
                <c:pt idx="662">
                  <c:v>41022</c:v>
                </c:pt>
                <c:pt idx="663">
                  <c:v>41023</c:v>
                </c:pt>
                <c:pt idx="664">
                  <c:v>41024</c:v>
                </c:pt>
                <c:pt idx="665">
                  <c:v>41025</c:v>
                </c:pt>
                <c:pt idx="666">
                  <c:v>41026</c:v>
                </c:pt>
                <c:pt idx="667">
                  <c:v>41029</c:v>
                </c:pt>
                <c:pt idx="668">
                  <c:v>41030</c:v>
                </c:pt>
                <c:pt idx="669">
                  <c:v>41031</c:v>
                </c:pt>
                <c:pt idx="670">
                  <c:v>41032</c:v>
                </c:pt>
                <c:pt idx="671">
                  <c:v>41033</c:v>
                </c:pt>
                <c:pt idx="672">
                  <c:v>41036</c:v>
                </c:pt>
                <c:pt idx="673">
                  <c:v>41037</c:v>
                </c:pt>
                <c:pt idx="674">
                  <c:v>41038</c:v>
                </c:pt>
                <c:pt idx="675">
                  <c:v>41039</c:v>
                </c:pt>
                <c:pt idx="676">
                  <c:v>41040</c:v>
                </c:pt>
                <c:pt idx="677">
                  <c:v>41043</c:v>
                </c:pt>
                <c:pt idx="678">
                  <c:v>41044</c:v>
                </c:pt>
                <c:pt idx="679">
                  <c:v>41045</c:v>
                </c:pt>
                <c:pt idx="680">
                  <c:v>41046</c:v>
                </c:pt>
                <c:pt idx="681">
                  <c:v>41047</c:v>
                </c:pt>
                <c:pt idx="682">
                  <c:v>41050</c:v>
                </c:pt>
                <c:pt idx="683">
                  <c:v>41051</c:v>
                </c:pt>
                <c:pt idx="684">
                  <c:v>41052</c:v>
                </c:pt>
                <c:pt idx="685">
                  <c:v>41053</c:v>
                </c:pt>
                <c:pt idx="686">
                  <c:v>41054</c:v>
                </c:pt>
                <c:pt idx="687">
                  <c:v>41058</c:v>
                </c:pt>
                <c:pt idx="688">
                  <c:v>41059</c:v>
                </c:pt>
                <c:pt idx="689">
                  <c:v>41060</c:v>
                </c:pt>
                <c:pt idx="690">
                  <c:v>41061</c:v>
                </c:pt>
                <c:pt idx="691">
                  <c:v>41064</c:v>
                </c:pt>
                <c:pt idx="692">
                  <c:v>41065</c:v>
                </c:pt>
                <c:pt idx="693">
                  <c:v>41066</c:v>
                </c:pt>
                <c:pt idx="694">
                  <c:v>41067</c:v>
                </c:pt>
                <c:pt idx="695">
                  <c:v>41068</c:v>
                </c:pt>
                <c:pt idx="696">
                  <c:v>41071</c:v>
                </c:pt>
                <c:pt idx="697">
                  <c:v>41072</c:v>
                </c:pt>
                <c:pt idx="698">
                  <c:v>41073</c:v>
                </c:pt>
                <c:pt idx="699">
                  <c:v>41074</c:v>
                </c:pt>
                <c:pt idx="700">
                  <c:v>41075</c:v>
                </c:pt>
                <c:pt idx="701">
                  <c:v>41078</c:v>
                </c:pt>
                <c:pt idx="702">
                  <c:v>41079</c:v>
                </c:pt>
                <c:pt idx="703">
                  <c:v>41080</c:v>
                </c:pt>
                <c:pt idx="704">
                  <c:v>41081</c:v>
                </c:pt>
                <c:pt idx="705">
                  <c:v>41082</c:v>
                </c:pt>
                <c:pt idx="706">
                  <c:v>41085</c:v>
                </c:pt>
                <c:pt idx="707">
                  <c:v>41086</c:v>
                </c:pt>
                <c:pt idx="708">
                  <c:v>41087</c:v>
                </c:pt>
                <c:pt idx="709">
                  <c:v>41088</c:v>
                </c:pt>
                <c:pt idx="710">
                  <c:v>41089</c:v>
                </c:pt>
                <c:pt idx="711">
                  <c:v>41092</c:v>
                </c:pt>
                <c:pt idx="712">
                  <c:v>41093</c:v>
                </c:pt>
                <c:pt idx="713">
                  <c:v>41095</c:v>
                </c:pt>
                <c:pt idx="714">
                  <c:v>41096</c:v>
                </c:pt>
                <c:pt idx="715">
                  <c:v>41099</c:v>
                </c:pt>
                <c:pt idx="716">
                  <c:v>41100</c:v>
                </c:pt>
                <c:pt idx="717">
                  <c:v>41101</c:v>
                </c:pt>
                <c:pt idx="718">
                  <c:v>41102</c:v>
                </c:pt>
                <c:pt idx="719">
                  <c:v>41103</c:v>
                </c:pt>
                <c:pt idx="720">
                  <c:v>41106</c:v>
                </c:pt>
                <c:pt idx="721">
                  <c:v>41107</c:v>
                </c:pt>
                <c:pt idx="722">
                  <c:v>41108</c:v>
                </c:pt>
                <c:pt idx="723">
                  <c:v>41109</c:v>
                </c:pt>
                <c:pt idx="724">
                  <c:v>41110</c:v>
                </c:pt>
                <c:pt idx="725">
                  <c:v>41113</c:v>
                </c:pt>
                <c:pt idx="726">
                  <c:v>41114</c:v>
                </c:pt>
                <c:pt idx="727">
                  <c:v>41115</c:v>
                </c:pt>
                <c:pt idx="728">
                  <c:v>41116</c:v>
                </c:pt>
                <c:pt idx="729">
                  <c:v>41117</c:v>
                </c:pt>
                <c:pt idx="730">
                  <c:v>41120</c:v>
                </c:pt>
                <c:pt idx="731">
                  <c:v>41121</c:v>
                </c:pt>
                <c:pt idx="732">
                  <c:v>41122</c:v>
                </c:pt>
                <c:pt idx="733">
                  <c:v>41123</c:v>
                </c:pt>
                <c:pt idx="734">
                  <c:v>41124</c:v>
                </c:pt>
                <c:pt idx="735">
                  <c:v>41127</c:v>
                </c:pt>
                <c:pt idx="736">
                  <c:v>41128</c:v>
                </c:pt>
                <c:pt idx="737">
                  <c:v>41129</c:v>
                </c:pt>
                <c:pt idx="738">
                  <c:v>41130</c:v>
                </c:pt>
                <c:pt idx="739">
                  <c:v>41131</c:v>
                </c:pt>
                <c:pt idx="740">
                  <c:v>41134</c:v>
                </c:pt>
                <c:pt idx="741">
                  <c:v>41135</c:v>
                </c:pt>
                <c:pt idx="742">
                  <c:v>41136</c:v>
                </c:pt>
                <c:pt idx="743">
                  <c:v>41137</c:v>
                </c:pt>
                <c:pt idx="744">
                  <c:v>41138</c:v>
                </c:pt>
                <c:pt idx="745">
                  <c:v>41141</c:v>
                </c:pt>
                <c:pt idx="746">
                  <c:v>41142</c:v>
                </c:pt>
                <c:pt idx="747">
                  <c:v>41143</c:v>
                </c:pt>
                <c:pt idx="748">
                  <c:v>41144</c:v>
                </c:pt>
                <c:pt idx="749">
                  <c:v>41145</c:v>
                </c:pt>
                <c:pt idx="750">
                  <c:v>41148</c:v>
                </c:pt>
                <c:pt idx="751">
                  <c:v>41149</c:v>
                </c:pt>
                <c:pt idx="752">
                  <c:v>41150</c:v>
                </c:pt>
                <c:pt idx="753">
                  <c:v>41151</c:v>
                </c:pt>
                <c:pt idx="754">
                  <c:v>41152</c:v>
                </c:pt>
                <c:pt idx="755">
                  <c:v>41156</c:v>
                </c:pt>
                <c:pt idx="756">
                  <c:v>41157</c:v>
                </c:pt>
                <c:pt idx="757">
                  <c:v>41158</c:v>
                </c:pt>
                <c:pt idx="758">
                  <c:v>41159</c:v>
                </c:pt>
                <c:pt idx="759">
                  <c:v>41162</c:v>
                </c:pt>
                <c:pt idx="760">
                  <c:v>41163</c:v>
                </c:pt>
                <c:pt idx="761">
                  <c:v>41164</c:v>
                </c:pt>
                <c:pt idx="762">
                  <c:v>41165</c:v>
                </c:pt>
                <c:pt idx="763">
                  <c:v>41166</c:v>
                </c:pt>
                <c:pt idx="764">
                  <c:v>41169</c:v>
                </c:pt>
                <c:pt idx="765">
                  <c:v>41170</c:v>
                </c:pt>
                <c:pt idx="766">
                  <c:v>41171</c:v>
                </c:pt>
                <c:pt idx="767">
                  <c:v>41172</c:v>
                </c:pt>
                <c:pt idx="768">
                  <c:v>41173</c:v>
                </c:pt>
                <c:pt idx="769">
                  <c:v>41176</c:v>
                </c:pt>
                <c:pt idx="770">
                  <c:v>41177</c:v>
                </c:pt>
                <c:pt idx="771">
                  <c:v>41178</c:v>
                </c:pt>
                <c:pt idx="772">
                  <c:v>41179</c:v>
                </c:pt>
                <c:pt idx="773">
                  <c:v>41180</c:v>
                </c:pt>
                <c:pt idx="774">
                  <c:v>41183</c:v>
                </c:pt>
                <c:pt idx="775">
                  <c:v>41184</c:v>
                </c:pt>
                <c:pt idx="776">
                  <c:v>41185</c:v>
                </c:pt>
                <c:pt idx="777">
                  <c:v>41186</c:v>
                </c:pt>
                <c:pt idx="778">
                  <c:v>41187</c:v>
                </c:pt>
                <c:pt idx="779">
                  <c:v>41191</c:v>
                </c:pt>
                <c:pt idx="780">
                  <c:v>41192</c:v>
                </c:pt>
                <c:pt idx="781">
                  <c:v>41193</c:v>
                </c:pt>
                <c:pt idx="782">
                  <c:v>41194</c:v>
                </c:pt>
                <c:pt idx="783">
                  <c:v>41197</c:v>
                </c:pt>
                <c:pt idx="784">
                  <c:v>41198</c:v>
                </c:pt>
                <c:pt idx="785">
                  <c:v>41199</c:v>
                </c:pt>
                <c:pt idx="786">
                  <c:v>41200</c:v>
                </c:pt>
                <c:pt idx="787">
                  <c:v>41201</c:v>
                </c:pt>
                <c:pt idx="788">
                  <c:v>41204</c:v>
                </c:pt>
                <c:pt idx="789">
                  <c:v>41205</c:v>
                </c:pt>
                <c:pt idx="790">
                  <c:v>41206</c:v>
                </c:pt>
                <c:pt idx="791">
                  <c:v>41207</c:v>
                </c:pt>
                <c:pt idx="792">
                  <c:v>41208</c:v>
                </c:pt>
                <c:pt idx="793">
                  <c:v>41211</c:v>
                </c:pt>
                <c:pt idx="794">
                  <c:v>41213</c:v>
                </c:pt>
                <c:pt idx="795">
                  <c:v>41214</c:v>
                </c:pt>
                <c:pt idx="796">
                  <c:v>41215</c:v>
                </c:pt>
                <c:pt idx="797">
                  <c:v>41218</c:v>
                </c:pt>
                <c:pt idx="798">
                  <c:v>41219</c:v>
                </c:pt>
                <c:pt idx="799">
                  <c:v>41220</c:v>
                </c:pt>
                <c:pt idx="800">
                  <c:v>41221</c:v>
                </c:pt>
                <c:pt idx="801">
                  <c:v>41222</c:v>
                </c:pt>
                <c:pt idx="802">
                  <c:v>41226</c:v>
                </c:pt>
                <c:pt idx="803">
                  <c:v>41227</c:v>
                </c:pt>
                <c:pt idx="804">
                  <c:v>41228</c:v>
                </c:pt>
                <c:pt idx="805">
                  <c:v>41229</c:v>
                </c:pt>
                <c:pt idx="806">
                  <c:v>41232</c:v>
                </c:pt>
                <c:pt idx="807">
                  <c:v>41233</c:v>
                </c:pt>
                <c:pt idx="808">
                  <c:v>41234</c:v>
                </c:pt>
                <c:pt idx="809">
                  <c:v>41236</c:v>
                </c:pt>
                <c:pt idx="810">
                  <c:v>41239</c:v>
                </c:pt>
                <c:pt idx="811">
                  <c:v>41240</c:v>
                </c:pt>
                <c:pt idx="812">
                  <c:v>41241</c:v>
                </c:pt>
                <c:pt idx="813">
                  <c:v>41242</c:v>
                </c:pt>
                <c:pt idx="814">
                  <c:v>41243</c:v>
                </c:pt>
                <c:pt idx="815">
                  <c:v>41246</c:v>
                </c:pt>
                <c:pt idx="816">
                  <c:v>41247</c:v>
                </c:pt>
                <c:pt idx="817">
                  <c:v>41248</c:v>
                </c:pt>
                <c:pt idx="818">
                  <c:v>41249</c:v>
                </c:pt>
                <c:pt idx="819">
                  <c:v>41250</c:v>
                </c:pt>
                <c:pt idx="820">
                  <c:v>41253</c:v>
                </c:pt>
                <c:pt idx="821">
                  <c:v>41254</c:v>
                </c:pt>
                <c:pt idx="822">
                  <c:v>41255</c:v>
                </c:pt>
                <c:pt idx="823">
                  <c:v>41256</c:v>
                </c:pt>
                <c:pt idx="824">
                  <c:v>41257</c:v>
                </c:pt>
                <c:pt idx="825">
                  <c:v>41260</c:v>
                </c:pt>
                <c:pt idx="826">
                  <c:v>41261</c:v>
                </c:pt>
                <c:pt idx="827">
                  <c:v>41262</c:v>
                </c:pt>
                <c:pt idx="828">
                  <c:v>41263</c:v>
                </c:pt>
                <c:pt idx="829">
                  <c:v>41264</c:v>
                </c:pt>
                <c:pt idx="830">
                  <c:v>41267</c:v>
                </c:pt>
                <c:pt idx="831">
                  <c:v>41269</c:v>
                </c:pt>
                <c:pt idx="832">
                  <c:v>41270</c:v>
                </c:pt>
                <c:pt idx="833">
                  <c:v>41271</c:v>
                </c:pt>
                <c:pt idx="834">
                  <c:v>41274</c:v>
                </c:pt>
                <c:pt idx="835">
                  <c:v>41276</c:v>
                </c:pt>
                <c:pt idx="836">
                  <c:v>41277</c:v>
                </c:pt>
                <c:pt idx="837">
                  <c:v>41278</c:v>
                </c:pt>
                <c:pt idx="838">
                  <c:v>41281</c:v>
                </c:pt>
                <c:pt idx="839">
                  <c:v>41282</c:v>
                </c:pt>
                <c:pt idx="840">
                  <c:v>41283</c:v>
                </c:pt>
                <c:pt idx="841">
                  <c:v>41284</c:v>
                </c:pt>
                <c:pt idx="842">
                  <c:v>41285</c:v>
                </c:pt>
                <c:pt idx="843">
                  <c:v>41288</c:v>
                </c:pt>
                <c:pt idx="844">
                  <c:v>41289</c:v>
                </c:pt>
                <c:pt idx="845">
                  <c:v>41290</c:v>
                </c:pt>
                <c:pt idx="846">
                  <c:v>41291</c:v>
                </c:pt>
                <c:pt idx="847">
                  <c:v>41292</c:v>
                </c:pt>
                <c:pt idx="848">
                  <c:v>41296</c:v>
                </c:pt>
                <c:pt idx="849">
                  <c:v>41297</c:v>
                </c:pt>
                <c:pt idx="850">
                  <c:v>41298</c:v>
                </c:pt>
                <c:pt idx="851">
                  <c:v>41299</c:v>
                </c:pt>
                <c:pt idx="852">
                  <c:v>41302</c:v>
                </c:pt>
                <c:pt idx="853">
                  <c:v>41303</c:v>
                </c:pt>
                <c:pt idx="854">
                  <c:v>41304</c:v>
                </c:pt>
                <c:pt idx="855">
                  <c:v>41305</c:v>
                </c:pt>
                <c:pt idx="856">
                  <c:v>41306</c:v>
                </c:pt>
                <c:pt idx="857">
                  <c:v>41309</c:v>
                </c:pt>
                <c:pt idx="858">
                  <c:v>41310</c:v>
                </c:pt>
                <c:pt idx="859">
                  <c:v>41311</c:v>
                </c:pt>
                <c:pt idx="860">
                  <c:v>41312</c:v>
                </c:pt>
                <c:pt idx="861">
                  <c:v>41313</c:v>
                </c:pt>
                <c:pt idx="862">
                  <c:v>41316</c:v>
                </c:pt>
                <c:pt idx="863">
                  <c:v>41317</c:v>
                </c:pt>
                <c:pt idx="864">
                  <c:v>41318</c:v>
                </c:pt>
                <c:pt idx="865">
                  <c:v>41319</c:v>
                </c:pt>
                <c:pt idx="866">
                  <c:v>41320</c:v>
                </c:pt>
                <c:pt idx="867">
                  <c:v>41324</c:v>
                </c:pt>
                <c:pt idx="868">
                  <c:v>41325</c:v>
                </c:pt>
                <c:pt idx="869">
                  <c:v>41326</c:v>
                </c:pt>
                <c:pt idx="870">
                  <c:v>41327</c:v>
                </c:pt>
                <c:pt idx="871">
                  <c:v>41330</c:v>
                </c:pt>
                <c:pt idx="872">
                  <c:v>41331</c:v>
                </c:pt>
                <c:pt idx="873">
                  <c:v>41332</c:v>
                </c:pt>
                <c:pt idx="874">
                  <c:v>41333</c:v>
                </c:pt>
                <c:pt idx="875">
                  <c:v>41334</c:v>
                </c:pt>
                <c:pt idx="876">
                  <c:v>41337</c:v>
                </c:pt>
                <c:pt idx="877">
                  <c:v>41338</c:v>
                </c:pt>
                <c:pt idx="878">
                  <c:v>41339</c:v>
                </c:pt>
                <c:pt idx="879">
                  <c:v>41340</c:v>
                </c:pt>
                <c:pt idx="880">
                  <c:v>41341</c:v>
                </c:pt>
                <c:pt idx="881">
                  <c:v>41344</c:v>
                </c:pt>
                <c:pt idx="882">
                  <c:v>41345</c:v>
                </c:pt>
                <c:pt idx="883">
                  <c:v>41346</c:v>
                </c:pt>
                <c:pt idx="884">
                  <c:v>41347</c:v>
                </c:pt>
                <c:pt idx="885">
                  <c:v>41348</c:v>
                </c:pt>
                <c:pt idx="886">
                  <c:v>41351</c:v>
                </c:pt>
                <c:pt idx="887">
                  <c:v>41352</c:v>
                </c:pt>
                <c:pt idx="888">
                  <c:v>41353</c:v>
                </c:pt>
                <c:pt idx="889">
                  <c:v>41354</c:v>
                </c:pt>
                <c:pt idx="890">
                  <c:v>41355</c:v>
                </c:pt>
                <c:pt idx="891">
                  <c:v>41358</c:v>
                </c:pt>
                <c:pt idx="892">
                  <c:v>41359</c:v>
                </c:pt>
                <c:pt idx="893">
                  <c:v>41360</c:v>
                </c:pt>
                <c:pt idx="894">
                  <c:v>41361</c:v>
                </c:pt>
                <c:pt idx="895">
                  <c:v>41365</c:v>
                </c:pt>
                <c:pt idx="896">
                  <c:v>41366</c:v>
                </c:pt>
                <c:pt idx="897">
                  <c:v>41367</c:v>
                </c:pt>
                <c:pt idx="898">
                  <c:v>41368</c:v>
                </c:pt>
                <c:pt idx="899">
                  <c:v>41369</c:v>
                </c:pt>
                <c:pt idx="900">
                  <c:v>41372</c:v>
                </c:pt>
                <c:pt idx="901">
                  <c:v>41373</c:v>
                </c:pt>
                <c:pt idx="902">
                  <c:v>41374</c:v>
                </c:pt>
                <c:pt idx="903">
                  <c:v>41375</c:v>
                </c:pt>
                <c:pt idx="904">
                  <c:v>41376</c:v>
                </c:pt>
                <c:pt idx="905">
                  <c:v>41379</c:v>
                </c:pt>
                <c:pt idx="906">
                  <c:v>41380</c:v>
                </c:pt>
                <c:pt idx="907">
                  <c:v>41381</c:v>
                </c:pt>
                <c:pt idx="908">
                  <c:v>41382</c:v>
                </c:pt>
                <c:pt idx="909">
                  <c:v>41383</c:v>
                </c:pt>
                <c:pt idx="910">
                  <c:v>41386</c:v>
                </c:pt>
                <c:pt idx="911">
                  <c:v>41387</c:v>
                </c:pt>
                <c:pt idx="912">
                  <c:v>41388</c:v>
                </c:pt>
                <c:pt idx="913">
                  <c:v>41389</c:v>
                </c:pt>
                <c:pt idx="914">
                  <c:v>41390</c:v>
                </c:pt>
                <c:pt idx="915">
                  <c:v>41393</c:v>
                </c:pt>
                <c:pt idx="916">
                  <c:v>41394</c:v>
                </c:pt>
                <c:pt idx="917">
                  <c:v>41395</c:v>
                </c:pt>
                <c:pt idx="918">
                  <c:v>41396</c:v>
                </c:pt>
                <c:pt idx="919">
                  <c:v>41397</c:v>
                </c:pt>
                <c:pt idx="920">
                  <c:v>41400</c:v>
                </c:pt>
                <c:pt idx="921">
                  <c:v>41401</c:v>
                </c:pt>
                <c:pt idx="922">
                  <c:v>41402</c:v>
                </c:pt>
                <c:pt idx="923">
                  <c:v>41403</c:v>
                </c:pt>
                <c:pt idx="924">
                  <c:v>41404</c:v>
                </c:pt>
                <c:pt idx="925">
                  <c:v>41407</c:v>
                </c:pt>
                <c:pt idx="926">
                  <c:v>41408</c:v>
                </c:pt>
                <c:pt idx="927">
                  <c:v>41409</c:v>
                </c:pt>
                <c:pt idx="928">
                  <c:v>41410</c:v>
                </c:pt>
                <c:pt idx="929">
                  <c:v>41411</c:v>
                </c:pt>
                <c:pt idx="930">
                  <c:v>41414</c:v>
                </c:pt>
                <c:pt idx="931">
                  <c:v>41415</c:v>
                </c:pt>
                <c:pt idx="932">
                  <c:v>41416</c:v>
                </c:pt>
                <c:pt idx="933">
                  <c:v>41417</c:v>
                </c:pt>
                <c:pt idx="934">
                  <c:v>41418</c:v>
                </c:pt>
                <c:pt idx="935">
                  <c:v>41422</c:v>
                </c:pt>
                <c:pt idx="936">
                  <c:v>41423</c:v>
                </c:pt>
                <c:pt idx="937">
                  <c:v>41424</c:v>
                </c:pt>
                <c:pt idx="938">
                  <c:v>41425</c:v>
                </c:pt>
                <c:pt idx="939">
                  <c:v>41428</c:v>
                </c:pt>
                <c:pt idx="940">
                  <c:v>41429</c:v>
                </c:pt>
                <c:pt idx="941">
                  <c:v>41430</c:v>
                </c:pt>
                <c:pt idx="942">
                  <c:v>41431</c:v>
                </c:pt>
                <c:pt idx="943">
                  <c:v>41432</c:v>
                </c:pt>
                <c:pt idx="944">
                  <c:v>41435</c:v>
                </c:pt>
                <c:pt idx="945">
                  <c:v>41436</c:v>
                </c:pt>
                <c:pt idx="946">
                  <c:v>41437</c:v>
                </c:pt>
                <c:pt idx="947">
                  <c:v>41438</c:v>
                </c:pt>
                <c:pt idx="948">
                  <c:v>41439</c:v>
                </c:pt>
                <c:pt idx="949">
                  <c:v>41442</c:v>
                </c:pt>
                <c:pt idx="950">
                  <c:v>41443</c:v>
                </c:pt>
                <c:pt idx="951">
                  <c:v>41444</c:v>
                </c:pt>
                <c:pt idx="952">
                  <c:v>41445</c:v>
                </c:pt>
                <c:pt idx="953">
                  <c:v>41446</c:v>
                </c:pt>
                <c:pt idx="954">
                  <c:v>41449</c:v>
                </c:pt>
                <c:pt idx="955">
                  <c:v>41450</c:v>
                </c:pt>
                <c:pt idx="956">
                  <c:v>41451</c:v>
                </c:pt>
                <c:pt idx="957">
                  <c:v>41452</c:v>
                </c:pt>
                <c:pt idx="958">
                  <c:v>41453</c:v>
                </c:pt>
                <c:pt idx="959">
                  <c:v>41456</c:v>
                </c:pt>
                <c:pt idx="960">
                  <c:v>41457</c:v>
                </c:pt>
                <c:pt idx="961">
                  <c:v>41458</c:v>
                </c:pt>
                <c:pt idx="962">
                  <c:v>41460</c:v>
                </c:pt>
                <c:pt idx="963">
                  <c:v>41463</c:v>
                </c:pt>
                <c:pt idx="964">
                  <c:v>41464</c:v>
                </c:pt>
                <c:pt idx="965">
                  <c:v>41465</c:v>
                </c:pt>
                <c:pt idx="966">
                  <c:v>41466</c:v>
                </c:pt>
                <c:pt idx="967">
                  <c:v>41467</c:v>
                </c:pt>
                <c:pt idx="968">
                  <c:v>41470</c:v>
                </c:pt>
                <c:pt idx="969">
                  <c:v>41471</c:v>
                </c:pt>
                <c:pt idx="970">
                  <c:v>41472</c:v>
                </c:pt>
                <c:pt idx="971">
                  <c:v>41473</c:v>
                </c:pt>
                <c:pt idx="972">
                  <c:v>41474</c:v>
                </c:pt>
                <c:pt idx="973">
                  <c:v>41477</c:v>
                </c:pt>
                <c:pt idx="974">
                  <c:v>41478</c:v>
                </c:pt>
                <c:pt idx="975">
                  <c:v>41479</c:v>
                </c:pt>
                <c:pt idx="976">
                  <c:v>41480</c:v>
                </c:pt>
                <c:pt idx="977">
                  <c:v>41481</c:v>
                </c:pt>
                <c:pt idx="978">
                  <c:v>41484</c:v>
                </c:pt>
                <c:pt idx="979">
                  <c:v>41485</c:v>
                </c:pt>
                <c:pt idx="980">
                  <c:v>41486</c:v>
                </c:pt>
                <c:pt idx="981">
                  <c:v>41487</c:v>
                </c:pt>
                <c:pt idx="982">
                  <c:v>41488</c:v>
                </c:pt>
                <c:pt idx="983">
                  <c:v>41491</c:v>
                </c:pt>
                <c:pt idx="984">
                  <c:v>41492</c:v>
                </c:pt>
                <c:pt idx="985">
                  <c:v>41493</c:v>
                </c:pt>
                <c:pt idx="986">
                  <c:v>41494</c:v>
                </c:pt>
                <c:pt idx="987">
                  <c:v>41495</c:v>
                </c:pt>
                <c:pt idx="988">
                  <c:v>41498</c:v>
                </c:pt>
                <c:pt idx="989">
                  <c:v>41499</c:v>
                </c:pt>
                <c:pt idx="990">
                  <c:v>41500</c:v>
                </c:pt>
                <c:pt idx="991">
                  <c:v>41501</c:v>
                </c:pt>
                <c:pt idx="992">
                  <c:v>41502</c:v>
                </c:pt>
                <c:pt idx="993">
                  <c:v>41505</c:v>
                </c:pt>
                <c:pt idx="994">
                  <c:v>41506</c:v>
                </c:pt>
                <c:pt idx="995">
                  <c:v>41507</c:v>
                </c:pt>
                <c:pt idx="996">
                  <c:v>41508</c:v>
                </c:pt>
                <c:pt idx="997">
                  <c:v>41509</c:v>
                </c:pt>
                <c:pt idx="998">
                  <c:v>41512</c:v>
                </c:pt>
                <c:pt idx="999">
                  <c:v>41513</c:v>
                </c:pt>
                <c:pt idx="1000">
                  <c:v>41514</c:v>
                </c:pt>
                <c:pt idx="1001">
                  <c:v>41515</c:v>
                </c:pt>
                <c:pt idx="1002">
                  <c:v>41516</c:v>
                </c:pt>
                <c:pt idx="1003">
                  <c:v>41520</c:v>
                </c:pt>
                <c:pt idx="1004">
                  <c:v>41521</c:v>
                </c:pt>
                <c:pt idx="1005">
                  <c:v>41522</c:v>
                </c:pt>
                <c:pt idx="1006">
                  <c:v>41523</c:v>
                </c:pt>
                <c:pt idx="1007">
                  <c:v>41526</c:v>
                </c:pt>
                <c:pt idx="1008">
                  <c:v>41527</c:v>
                </c:pt>
                <c:pt idx="1009">
                  <c:v>41528</c:v>
                </c:pt>
                <c:pt idx="1010">
                  <c:v>41529</c:v>
                </c:pt>
                <c:pt idx="1011">
                  <c:v>41530</c:v>
                </c:pt>
                <c:pt idx="1012">
                  <c:v>41533</c:v>
                </c:pt>
                <c:pt idx="1013">
                  <c:v>41534</c:v>
                </c:pt>
                <c:pt idx="1014">
                  <c:v>41535</c:v>
                </c:pt>
                <c:pt idx="1015">
                  <c:v>41536</c:v>
                </c:pt>
                <c:pt idx="1016">
                  <c:v>41537</c:v>
                </c:pt>
                <c:pt idx="1017">
                  <c:v>41540</c:v>
                </c:pt>
                <c:pt idx="1018">
                  <c:v>41541</c:v>
                </c:pt>
                <c:pt idx="1019">
                  <c:v>41542</c:v>
                </c:pt>
                <c:pt idx="1020">
                  <c:v>41543</c:v>
                </c:pt>
                <c:pt idx="1021">
                  <c:v>41544</c:v>
                </c:pt>
                <c:pt idx="1022">
                  <c:v>41547</c:v>
                </c:pt>
                <c:pt idx="1023">
                  <c:v>41548</c:v>
                </c:pt>
                <c:pt idx="1024">
                  <c:v>41549</c:v>
                </c:pt>
                <c:pt idx="1025">
                  <c:v>41550</c:v>
                </c:pt>
                <c:pt idx="1026">
                  <c:v>41551</c:v>
                </c:pt>
                <c:pt idx="1027">
                  <c:v>41554</c:v>
                </c:pt>
                <c:pt idx="1028">
                  <c:v>41555</c:v>
                </c:pt>
                <c:pt idx="1029">
                  <c:v>41556</c:v>
                </c:pt>
                <c:pt idx="1030">
                  <c:v>41557</c:v>
                </c:pt>
                <c:pt idx="1031">
                  <c:v>41558</c:v>
                </c:pt>
                <c:pt idx="1032">
                  <c:v>41562</c:v>
                </c:pt>
                <c:pt idx="1033">
                  <c:v>41563</c:v>
                </c:pt>
                <c:pt idx="1034">
                  <c:v>41564</c:v>
                </c:pt>
                <c:pt idx="1035">
                  <c:v>41565</c:v>
                </c:pt>
                <c:pt idx="1036">
                  <c:v>41568</c:v>
                </c:pt>
                <c:pt idx="1037">
                  <c:v>41569</c:v>
                </c:pt>
                <c:pt idx="1038">
                  <c:v>41570</c:v>
                </c:pt>
                <c:pt idx="1039">
                  <c:v>41571</c:v>
                </c:pt>
                <c:pt idx="1040">
                  <c:v>41572</c:v>
                </c:pt>
                <c:pt idx="1041">
                  <c:v>41575</c:v>
                </c:pt>
                <c:pt idx="1042">
                  <c:v>41576</c:v>
                </c:pt>
                <c:pt idx="1043">
                  <c:v>41577</c:v>
                </c:pt>
                <c:pt idx="1044">
                  <c:v>41578</c:v>
                </c:pt>
                <c:pt idx="1045">
                  <c:v>41579</c:v>
                </c:pt>
                <c:pt idx="1046">
                  <c:v>41582</c:v>
                </c:pt>
                <c:pt idx="1047">
                  <c:v>41583</c:v>
                </c:pt>
                <c:pt idx="1048">
                  <c:v>41584</c:v>
                </c:pt>
                <c:pt idx="1049">
                  <c:v>41585</c:v>
                </c:pt>
                <c:pt idx="1050">
                  <c:v>41586</c:v>
                </c:pt>
                <c:pt idx="1051">
                  <c:v>41590</c:v>
                </c:pt>
                <c:pt idx="1052">
                  <c:v>41591</c:v>
                </c:pt>
                <c:pt idx="1053">
                  <c:v>41592</c:v>
                </c:pt>
                <c:pt idx="1054">
                  <c:v>41593</c:v>
                </c:pt>
                <c:pt idx="1055">
                  <c:v>41596</c:v>
                </c:pt>
                <c:pt idx="1056">
                  <c:v>41597</c:v>
                </c:pt>
                <c:pt idx="1057">
                  <c:v>41598</c:v>
                </c:pt>
                <c:pt idx="1058">
                  <c:v>41599</c:v>
                </c:pt>
                <c:pt idx="1059">
                  <c:v>41600</c:v>
                </c:pt>
                <c:pt idx="1060">
                  <c:v>41611</c:v>
                </c:pt>
                <c:pt idx="1061">
                  <c:v>41612</c:v>
                </c:pt>
                <c:pt idx="1062">
                  <c:v>41613</c:v>
                </c:pt>
                <c:pt idx="1063">
                  <c:v>41614</c:v>
                </c:pt>
                <c:pt idx="1064">
                  <c:v>41617</c:v>
                </c:pt>
                <c:pt idx="1065">
                  <c:v>41618</c:v>
                </c:pt>
                <c:pt idx="1066">
                  <c:v>41619</c:v>
                </c:pt>
                <c:pt idx="1067">
                  <c:v>41620</c:v>
                </c:pt>
                <c:pt idx="1068">
                  <c:v>41621</c:v>
                </c:pt>
                <c:pt idx="1069">
                  <c:v>41624</c:v>
                </c:pt>
                <c:pt idx="1070">
                  <c:v>41625</c:v>
                </c:pt>
                <c:pt idx="1071">
                  <c:v>41626</c:v>
                </c:pt>
                <c:pt idx="1072">
                  <c:v>41627</c:v>
                </c:pt>
                <c:pt idx="1073">
                  <c:v>41628</c:v>
                </c:pt>
                <c:pt idx="1074">
                  <c:v>41631</c:v>
                </c:pt>
                <c:pt idx="1075">
                  <c:v>41632</c:v>
                </c:pt>
                <c:pt idx="1076">
                  <c:v>41634</c:v>
                </c:pt>
                <c:pt idx="1077">
                  <c:v>41635</c:v>
                </c:pt>
                <c:pt idx="1078">
                  <c:v>41638</c:v>
                </c:pt>
                <c:pt idx="1079">
                  <c:v>41639</c:v>
                </c:pt>
                <c:pt idx="1080">
                  <c:v>41641</c:v>
                </c:pt>
                <c:pt idx="1081">
                  <c:v>41642</c:v>
                </c:pt>
                <c:pt idx="1082">
                  <c:v>41645</c:v>
                </c:pt>
                <c:pt idx="1083">
                  <c:v>41646</c:v>
                </c:pt>
                <c:pt idx="1084">
                  <c:v>41647</c:v>
                </c:pt>
                <c:pt idx="1085">
                  <c:v>41648</c:v>
                </c:pt>
                <c:pt idx="1086">
                  <c:v>41649</c:v>
                </c:pt>
                <c:pt idx="1087">
                  <c:v>41652</c:v>
                </c:pt>
                <c:pt idx="1088">
                  <c:v>41653</c:v>
                </c:pt>
                <c:pt idx="1089">
                  <c:v>41654</c:v>
                </c:pt>
                <c:pt idx="1090">
                  <c:v>41655</c:v>
                </c:pt>
                <c:pt idx="1091">
                  <c:v>41656</c:v>
                </c:pt>
                <c:pt idx="1092">
                  <c:v>41660</c:v>
                </c:pt>
                <c:pt idx="1093">
                  <c:v>41661</c:v>
                </c:pt>
                <c:pt idx="1094">
                  <c:v>41662</c:v>
                </c:pt>
                <c:pt idx="1095">
                  <c:v>41663</c:v>
                </c:pt>
                <c:pt idx="1096">
                  <c:v>41666</c:v>
                </c:pt>
                <c:pt idx="1097">
                  <c:v>41667</c:v>
                </c:pt>
                <c:pt idx="1098">
                  <c:v>41668</c:v>
                </c:pt>
                <c:pt idx="1099">
                  <c:v>41669</c:v>
                </c:pt>
                <c:pt idx="1100">
                  <c:v>41670</c:v>
                </c:pt>
                <c:pt idx="1101">
                  <c:v>41673</c:v>
                </c:pt>
                <c:pt idx="1102">
                  <c:v>41674</c:v>
                </c:pt>
                <c:pt idx="1103">
                  <c:v>41675</c:v>
                </c:pt>
                <c:pt idx="1104">
                  <c:v>41676</c:v>
                </c:pt>
                <c:pt idx="1105">
                  <c:v>41677</c:v>
                </c:pt>
                <c:pt idx="1106">
                  <c:v>41680</c:v>
                </c:pt>
                <c:pt idx="1107">
                  <c:v>41681</c:v>
                </c:pt>
                <c:pt idx="1108">
                  <c:v>41682</c:v>
                </c:pt>
                <c:pt idx="1109">
                  <c:v>41683</c:v>
                </c:pt>
                <c:pt idx="1110">
                  <c:v>41684</c:v>
                </c:pt>
                <c:pt idx="1111">
                  <c:v>41688</c:v>
                </c:pt>
                <c:pt idx="1112">
                  <c:v>41689</c:v>
                </c:pt>
                <c:pt idx="1113">
                  <c:v>41690</c:v>
                </c:pt>
                <c:pt idx="1114">
                  <c:v>41691</c:v>
                </c:pt>
                <c:pt idx="1115">
                  <c:v>41694</c:v>
                </c:pt>
                <c:pt idx="1116">
                  <c:v>41695</c:v>
                </c:pt>
                <c:pt idx="1117">
                  <c:v>41696</c:v>
                </c:pt>
                <c:pt idx="1118">
                  <c:v>41697</c:v>
                </c:pt>
                <c:pt idx="1119">
                  <c:v>41698</c:v>
                </c:pt>
                <c:pt idx="1120">
                  <c:v>41701</c:v>
                </c:pt>
                <c:pt idx="1121">
                  <c:v>41702</c:v>
                </c:pt>
                <c:pt idx="1122">
                  <c:v>41703</c:v>
                </c:pt>
                <c:pt idx="1123">
                  <c:v>41704</c:v>
                </c:pt>
                <c:pt idx="1124">
                  <c:v>41705</c:v>
                </c:pt>
                <c:pt idx="1125">
                  <c:v>41708</c:v>
                </c:pt>
                <c:pt idx="1126">
                  <c:v>41709</c:v>
                </c:pt>
                <c:pt idx="1127">
                  <c:v>41710</c:v>
                </c:pt>
                <c:pt idx="1128">
                  <c:v>41711</c:v>
                </c:pt>
                <c:pt idx="1129">
                  <c:v>41712</c:v>
                </c:pt>
                <c:pt idx="1130">
                  <c:v>41715</c:v>
                </c:pt>
                <c:pt idx="1131">
                  <c:v>41716</c:v>
                </c:pt>
                <c:pt idx="1132">
                  <c:v>41717</c:v>
                </c:pt>
                <c:pt idx="1133">
                  <c:v>41718</c:v>
                </c:pt>
                <c:pt idx="1134">
                  <c:v>41719</c:v>
                </c:pt>
                <c:pt idx="1135">
                  <c:v>41722</c:v>
                </c:pt>
                <c:pt idx="1136">
                  <c:v>41723</c:v>
                </c:pt>
                <c:pt idx="1137">
                  <c:v>41724</c:v>
                </c:pt>
                <c:pt idx="1138">
                  <c:v>41725</c:v>
                </c:pt>
                <c:pt idx="1139">
                  <c:v>41726</c:v>
                </c:pt>
                <c:pt idx="1140">
                  <c:v>41729</c:v>
                </c:pt>
                <c:pt idx="1141">
                  <c:v>41730</c:v>
                </c:pt>
                <c:pt idx="1142">
                  <c:v>41731</c:v>
                </c:pt>
                <c:pt idx="1143">
                  <c:v>41732</c:v>
                </c:pt>
                <c:pt idx="1144">
                  <c:v>41733</c:v>
                </c:pt>
                <c:pt idx="1145">
                  <c:v>41736</c:v>
                </c:pt>
                <c:pt idx="1146">
                  <c:v>41737</c:v>
                </c:pt>
                <c:pt idx="1147">
                  <c:v>41738</c:v>
                </c:pt>
                <c:pt idx="1148">
                  <c:v>41739</c:v>
                </c:pt>
                <c:pt idx="1149">
                  <c:v>41740</c:v>
                </c:pt>
                <c:pt idx="1150">
                  <c:v>41743</c:v>
                </c:pt>
                <c:pt idx="1151">
                  <c:v>41744</c:v>
                </c:pt>
                <c:pt idx="1152">
                  <c:v>41745</c:v>
                </c:pt>
                <c:pt idx="1153">
                  <c:v>41746</c:v>
                </c:pt>
                <c:pt idx="1154">
                  <c:v>41750</c:v>
                </c:pt>
                <c:pt idx="1155">
                  <c:v>41751</c:v>
                </c:pt>
                <c:pt idx="1156">
                  <c:v>41752</c:v>
                </c:pt>
                <c:pt idx="1157">
                  <c:v>41753</c:v>
                </c:pt>
                <c:pt idx="1158">
                  <c:v>41754</c:v>
                </c:pt>
                <c:pt idx="1159">
                  <c:v>41757</c:v>
                </c:pt>
                <c:pt idx="1160">
                  <c:v>41758</c:v>
                </c:pt>
                <c:pt idx="1161">
                  <c:v>41759</c:v>
                </c:pt>
                <c:pt idx="1162">
                  <c:v>41760</c:v>
                </c:pt>
                <c:pt idx="1163">
                  <c:v>41761</c:v>
                </c:pt>
                <c:pt idx="1164">
                  <c:v>41764</c:v>
                </c:pt>
                <c:pt idx="1165">
                  <c:v>41765</c:v>
                </c:pt>
                <c:pt idx="1166">
                  <c:v>41766</c:v>
                </c:pt>
                <c:pt idx="1167">
                  <c:v>41767</c:v>
                </c:pt>
                <c:pt idx="1168">
                  <c:v>41768</c:v>
                </c:pt>
                <c:pt idx="1169">
                  <c:v>41771</c:v>
                </c:pt>
                <c:pt idx="1170">
                  <c:v>41772</c:v>
                </c:pt>
                <c:pt idx="1171">
                  <c:v>41773</c:v>
                </c:pt>
                <c:pt idx="1172">
                  <c:v>41774</c:v>
                </c:pt>
                <c:pt idx="1173">
                  <c:v>41775</c:v>
                </c:pt>
                <c:pt idx="1174">
                  <c:v>41778</c:v>
                </c:pt>
                <c:pt idx="1175">
                  <c:v>41779</c:v>
                </c:pt>
                <c:pt idx="1176">
                  <c:v>41780</c:v>
                </c:pt>
                <c:pt idx="1177">
                  <c:v>41781</c:v>
                </c:pt>
                <c:pt idx="1178">
                  <c:v>41782</c:v>
                </c:pt>
                <c:pt idx="1179">
                  <c:v>41786</c:v>
                </c:pt>
                <c:pt idx="1180">
                  <c:v>41787</c:v>
                </c:pt>
                <c:pt idx="1181">
                  <c:v>41788</c:v>
                </c:pt>
                <c:pt idx="1182">
                  <c:v>41789</c:v>
                </c:pt>
                <c:pt idx="1183">
                  <c:v>41792</c:v>
                </c:pt>
                <c:pt idx="1184">
                  <c:v>41793</c:v>
                </c:pt>
                <c:pt idx="1185">
                  <c:v>41794</c:v>
                </c:pt>
                <c:pt idx="1186">
                  <c:v>41795</c:v>
                </c:pt>
                <c:pt idx="1187">
                  <c:v>41796</c:v>
                </c:pt>
                <c:pt idx="1188">
                  <c:v>41799</c:v>
                </c:pt>
                <c:pt idx="1189">
                  <c:v>41800</c:v>
                </c:pt>
                <c:pt idx="1190">
                  <c:v>41801</c:v>
                </c:pt>
                <c:pt idx="1191">
                  <c:v>41802</c:v>
                </c:pt>
                <c:pt idx="1192">
                  <c:v>41803</c:v>
                </c:pt>
                <c:pt idx="1193">
                  <c:v>41806</c:v>
                </c:pt>
                <c:pt idx="1194">
                  <c:v>41807</c:v>
                </c:pt>
                <c:pt idx="1195">
                  <c:v>41808</c:v>
                </c:pt>
                <c:pt idx="1196">
                  <c:v>41809</c:v>
                </c:pt>
                <c:pt idx="1197">
                  <c:v>41810</c:v>
                </c:pt>
                <c:pt idx="1198">
                  <c:v>41813</c:v>
                </c:pt>
                <c:pt idx="1199">
                  <c:v>41814</c:v>
                </c:pt>
                <c:pt idx="1200">
                  <c:v>41815</c:v>
                </c:pt>
                <c:pt idx="1201">
                  <c:v>41816</c:v>
                </c:pt>
                <c:pt idx="1202">
                  <c:v>41817</c:v>
                </c:pt>
                <c:pt idx="1203">
                  <c:v>41820</c:v>
                </c:pt>
                <c:pt idx="1204">
                  <c:v>41821</c:v>
                </c:pt>
                <c:pt idx="1205">
                  <c:v>41822</c:v>
                </c:pt>
                <c:pt idx="1206">
                  <c:v>41823</c:v>
                </c:pt>
                <c:pt idx="1207">
                  <c:v>41827</c:v>
                </c:pt>
                <c:pt idx="1208">
                  <c:v>41828</c:v>
                </c:pt>
                <c:pt idx="1209">
                  <c:v>41829</c:v>
                </c:pt>
                <c:pt idx="1210">
                  <c:v>41830</c:v>
                </c:pt>
                <c:pt idx="1211">
                  <c:v>41831</c:v>
                </c:pt>
                <c:pt idx="1212">
                  <c:v>41834</c:v>
                </c:pt>
                <c:pt idx="1213">
                  <c:v>41835</c:v>
                </c:pt>
                <c:pt idx="1214">
                  <c:v>41836</c:v>
                </c:pt>
                <c:pt idx="1215">
                  <c:v>41837</c:v>
                </c:pt>
                <c:pt idx="1216">
                  <c:v>41838</c:v>
                </c:pt>
                <c:pt idx="1217">
                  <c:v>41841</c:v>
                </c:pt>
                <c:pt idx="1218">
                  <c:v>41842</c:v>
                </c:pt>
                <c:pt idx="1219">
                  <c:v>41843</c:v>
                </c:pt>
                <c:pt idx="1220">
                  <c:v>41844</c:v>
                </c:pt>
                <c:pt idx="1221">
                  <c:v>41845</c:v>
                </c:pt>
                <c:pt idx="1222">
                  <c:v>41848</c:v>
                </c:pt>
                <c:pt idx="1223">
                  <c:v>41849</c:v>
                </c:pt>
                <c:pt idx="1224">
                  <c:v>41850</c:v>
                </c:pt>
                <c:pt idx="1225">
                  <c:v>41851</c:v>
                </c:pt>
                <c:pt idx="1226">
                  <c:v>41852</c:v>
                </c:pt>
                <c:pt idx="1227">
                  <c:v>41855</c:v>
                </c:pt>
                <c:pt idx="1228">
                  <c:v>41856</c:v>
                </c:pt>
                <c:pt idx="1229">
                  <c:v>41857</c:v>
                </c:pt>
                <c:pt idx="1230">
                  <c:v>41858</c:v>
                </c:pt>
                <c:pt idx="1231">
                  <c:v>41859</c:v>
                </c:pt>
                <c:pt idx="1232">
                  <c:v>41862</c:v>
                </c:pt>
                <c:pt idx="1233">
                  <c:v>41863</c:v>
                </c:pt>
                <c:pt idx="1234">
                  <c:v>41864</c:v>
                </c:pt>
                <c:pt idx="1235">
                  <c:v>41865</c:v>
                </c:pt>
                <c:pt idx="1236">
                  <c:v>41866</c:v>
                </c:pt>
                <c:pt idx="1237">
                  <c:v>41869</c:v>
                </c:pt>
                <c:pt idx="1238">
                  <c:v>41870</c:v>
                </c:pt>
                <c:pt idx="1239">
                  <c:v>41871</c:v>
                </c:pt>
                <c:pt idx="1240">
                  <c:v>41872</c:v>
                </c:pt>
                <c:pt idx="1241">
                  <c:v>41873</c:v>
                </c:pt>
                <c:pt idx="1242">
                  <c:v>41876</c:v>
                </c:pt>
                <c:pt idx="1243">
                  <c:v>41877</c:v>
                </c:pt>
                <c:pt idx="1244">
                  <c:v>41878</c:v>
                </c:pt>
                <c:pt idx="1245">
                  <c:v>41879</c:v>
                </c:pt>
                <c:pt idx="1246">
                  <c:v>41880</c:v>
                </c:pt>
                <c:pt idx="1247">
                  <c:v>41884</c:v>
                </c:pt>
                <c:pt idx="1248">
                  <c:v>41885</c:v>
                </c:pt>
                <c:pt idx="1249">
                  <c:v>41886</c:v>
                </c:pt>
                <c:pt idx="1250">
                  <c:v>41887</c:v>
                </c:pt>
                <c:pt idx="1251">
                  <c:v>41890</c:v>
                </c:pt>
                <c:pt idx="1252">
                  <c:v>41891</c:v>
                </c:pt>
                <c:pt idx="1253">
                  <c:v>41892</c:v>
                </c:pt>
                <c:pt idx="1254">
                  <c:v>41893</c:v>
                </c:pt>
                <c:pt idx="1255">
                  <c:v>41894</c:v>
                </c:pt>
                <c:pt idx="1256">
                  <c:v>41897</c:v>
                </c:pt>
                <c:pt idx="1257">
                  <c:v>41898</c:v>
                </c:pt>
                <c:pt idx="1258">
                  <c:v>41899</c:v>
                </c:pt>
                <c:pt idx="1259">
                  <c:v>41900</c:v>
                </c:pt>
                <c:pt idx="1260">
                  <c:v>41901</c:v>
                </c:pt>
                <c:pt idx="1261">
                  <c:v>41904</c:v>
                </c:pt>
                <c:pt idx="1262">
                  <c:v>41905</c:v>
                </c:pt>
                <c:pt idx="1263">
                  <c:v>41906</c:v>
                </c:pt>
                <c:pt idx="1264">
                  <c:v>41907</c:v>
                </c:pt>
                <c:pt idx="1265">
                  <c:v>41908</c:v>
                </c:pt>
                <c:pt idx="1266">
                  <c:v>41911</c:v>
                </c:pt>
                <c:pt idx="1267">
                  <c:v>41912</c:v>
                </c:pt>
                <c:pt idx="1268">
                  <c:v>41913</c:v>
                </c:pt>
                <c:pt idx="1269">
                  <c:v>41914</c:v>
                </c:pt>
                <c:pt idx="1270">
                  <c:v>41915</c:v>
                </c:pt>
                <c:pt idx="1271">
                  <c:v>41918</c:v>
                </c:pt>
                <c:pt idx="1272">
                  <c:v>41919</c:v>
                </c:pt>
                <c:pt idx="1273">
                  <c:v>41920</c:v>
                </c:pt>
                <c:pt idx="1274">
                  <c:v>41921</c:v>
                </c:pt>
                <c:pt idx="1275">
                  <c:v>41922</c:v>
                </c:pt>
                <c:pt idx="1276">
                  <c:v>41926</c:v>
                </c:pt>
                <c:pt idx="1277">
                  <c:v>41927</c:v>
                </c:pt>
                <c:pt idx="1278">
                  <c:v>41928</c:v>
                </c:pt>
                <c:pt idx="1279">
                  <c:v>41929</c:v>
                </c:pt>
                <c:pt idx="1280">
                  <c:v>41932</c:v>
                </c:pt>
                <c:pt idx="1281">
                  <c:v>41933</c:v>
                </c:pt>
                <c:pt idx="1282">
                  <c:v>41934</c:v>
                </c:pt>
                <c:pt idx="1283">
                  <c:v>41935</c:v>
                </c:pt>
                <c:pt idx="1284">
                  <c:v>41936</c:v>
                </c:pt>
                <c:pt idx="1285">
                  <c:v>41939</c:v>
                </c:pt>
                <c:pt idx="1286">
                  <c:v>41940</c:v>
                </c:pt>
                <c:pt idx="1287">
                  <c:v>41941</c:v>
                </c:pt>
                <c:pt idx="1288">
                  <c:v>41942</c:v>
                </c:pt>
                <c:pt idx="1289">
                  <c:v>41943</c:v>
                </c:pt>
                <c:pt idx="1290">
                  <c:v>41946</c:v>
                </c:pt>
                <c:pt idx="1291">
                  <c:v>41947</c:v>
                </c:pt>
                <c:pt idx="1292">
                  <c:v>41948</c:v>
                </c:pt>
                <c:pt idx="1293">
                  <c:v>41949</c:v>
                </c:pt>
                <c:pt idx="1294">
                  <c:v>41950</c:v>
                </c:pt>
                <c:pt idx="1295">
                  <c:v>41953</c:v>
                </c:pt>
                <c:pt idx="1296">
                  <c:v>41955</c:v>
                </c:pt>
                <c:pt idx="1297">
                  <c:v>41956</c:v>
                </c:pt>
                <c:pt idx="1298">
                  <c:v>41957</c:v>
                </c:pt>
                <c:pt idx="1299">
                  <c:v>41960</c:v>
                </c:pt>
                <c:pt idx="1300">
                  <c:v>41961</c:v>
                </c:pt>
                <c:pt idx="1301">
                  <c:v>41962</c:v>
                </c:pt>
                <c:pt idx="1302">
                  <c:v>41963</c:v>
                </c:pt>
                <c:pt idx="1303">
                  <c:v>41964</c:v>
                </c:pt>
                <c:pt idx="1304">
                  <c:v>41967</c:v>
                </c:pt>
                <c:pt idx="1305">
                  <c:v>41968</c:v>
                </c:pt>
                <c:pt idx="1306">
                  <c:v>41969</c:v>
                </c:pt>
                <c:pt idx="1307">
                  <c:v>41971</c:v>
                </c:pt>
                <c:pt idx="1308">
                  <c:v>41974</c:v>
                </c:pt>
                <c:pt idx="1309">
                  <c:v>41975</c:v>
                </c:pt>
                <c:pt idx="1310">
                  <c:v>41976</c:v>
                </c:pt>
                <c:pt idx="1311">
                  <c:v>41977</c:v>
                </c:pt>
                <c:pt idx="1312">
                  <c:v>41978</c:v>
                </c:pt>
                <c:pt idx="1313">
                  <c:v>41981</c:v>
                </c:pt>
                <c:pt idx="1314">
                  <c:v>41982</c:v>
                </c:pt>
                <c:pt idx="1315">
                  <c:v>41983</c:v>
                </c:pt>
                <c:pt idx="1316">
                  <c:v>41984</c:v>
                </c:pt>
                <c:pt idx="1317">
                  <c:v>41985</c:v>
                </c:pt>
                <c:pt idx="1318">
                  <c:v>41988</c:v>
                </c:pt>
                <c:pt idx="1319">
                  <c:v>41989</c:v>
                </c:pt>
                <c:pt idx="1320">
                  <c:v>41990</c:v>
                </c:pt>
                <c:pt idx="1321">
                  <c:v>41991</c:v>
                </c:pt>
                <c:pt idx="1322">
                  <c:v>41992</c:v>
                </c:pt>
                <c:pt idx="1323">
                  <c:v>41995</c:v>
                </c:pt>
                <c:pt idx="1324">
                  <c:v>41996</c:v>
                </c:pt>
                <c:pt idx="1325">
                  <c:v>41997</c:v>
                </c:pt>
                <c:pt idx="1326">
                  <c:v>41999</c:v>
                </c:pt>
                <c:pt idx="1327">
                  <c:v>42002</c:v>
                </c:pt>
                <c:pt idx="1328">
                  <c:v>42003</c:v>
                </c:pt>
                <c:pt idx="1329">
                  <c:v>42004</c:v>
                </c:pt>
                <c:pt idx="1330">
                  <c:v>42006</c:v>
                </c:pt>
                <c:pt idx="1331">
                  <c:v>42009</c:v>
                </c:pt>
                <c:pt idx="1332">
                  <c:v>42010</c:v>
                </c:pt>
                <c:pt idx="1333">
                  <c:v>42011</c:v>
                </c:pt>
                <c:pt idx="1334">
                  <c:v>42012</c:v>
                </c:pt>
                <c:pt idx="1335">
                  <c:v>42013</c:v>
                </c:pt>
                <c:pt idx="1336">
                  <c:v>42016</c:v>
                </c:pt>
                <c:pt idx="1337">
                  <c:v>42017</c:v>
                </c:pt>
                <c:pt idx="1338">
                  <c:v>42018</c:v>
                </c:pt>
                <c:pt idx="1339">
                  <c:v>42019</c:v>
                </c:pt>
                <c:pt idx="1340">
                  <c:v>42020</c:v>
                </c:pt>
                <c:pt idx="1341">
                  <c:v>42024</c:v>
                </c:pt>
                <c:pt idx="1342">
                  <c:v>42025</c:v>
                </c:pt>
                <c:pt idx="1343">
                  <c:v>42026</c:v>
                </c:pt>
                <c:pt idx="1344">
                  <c:v>42027</c:v>
                </c:pt>
                <c:pt idx="1345">
                  <c:v>42030</c:v>
                </c:pt>
                <c:pt idx="1346">
                  <c:v>42031</c:v>
                </c:pt>
                <c:pt idx="1347">
                  <c:v>42032</c:v>
                </c:pt>
                <c:pt idx="1348">
                  <c:v>42033</c:v>
                </c:pt>
                <c:pt idx="1349">
                  <c:v>42034</c:v>
                </c:pt>
                <c:pt idx="1350">
                  <c:v>42037</c:v>
                </c:pt>
                <c:pt idx="1351">
                  <c:v>42038</c:v>
                </c:pt>
                <c:pt idx="1352">
                  <c:v>42039</c:v>
                </c:pt>
                <c:pt idx="1353">
                  <c:v>42040</c:v>
                </c:pt>
                <c:pt idx="1354">
                  <c:v>42041</c:v>
                </c:pt>
                <c:pt idx="1355">
                  <c:v>42044</c:v>
                </c:pt>
                <c:pt idx="1356">
                  <c:v>42045</c:v>
                </c:pt>
                <c:pt idx="1357">
                  <c:v>42046</c:v>
                </c:pt>
                <c:pt idx="1358">
                  <c:v>42047</c:v>
                </c:pt>
                <c:pt idx="1359">
                  <c:v>42048</c:v>
                </c:pt>
                <c:pt idx="1360">
                  <c:v>42052</c:v>
                </c:pt>
                <c:pt idx="1361">
                  <c:v>42053</c:v>
                </c:pt>
                <c:pt idx="1362">
                  <c:v>42054</c:v>
                </c:pt>
                <c:pt idx="1363">
                  <c:v>42055</c:v>
                </c:pt>
                <c:pt idx="1364">
                  <c:v>42058</c:v>
                </c:pt>
                <c:pt idx="1365">
                  <c:v>42059</c:v>
                </c:pt>
                <c:pt idx="1366">
                  <c:v>42060</c:v>
                </c:pt>
                <c:pt idx="1367">
                  <c:v>42061</c:v>
                </c:pt>
                <c:pt idx="1368">
                  <c:v>42062</c:v>
                </c:pt>
                <c:pt idx="1369">
                  <c:v>42065</c:v>
                </c:pt>
                <c:pt idx="1370">
                  <c:v>42066</c:v>
                </c:pt>
                <c:pt idx="1371">
                  <c:v>42067</c:v>
                </c:pt>
                <c:pt idx="1372">
                  <c:v>42068</c:v>
                </c:pt>
                <c:pt idx="1373">
                  <c:v>42069</c:v>
                </c:pt>
                <c:pt idx="1374">
                  <c:v>42072</c:v>
                </c:pt>
                <c:pt idx="1375">
                  <c:v>42073</c:v>
                </c:pt>
                <c:pt idx="1376">
                  <c:v>42074</c:v>
                </c:pt>
                <c:pt idx="1377">
                  <c:v>42075</c:v>
                </c:pt>
                <c:pt idx="1378">
                  <c:v>42076</c:v>
                </c:pt>
                <c:pt idx="1379">
                  <c:v>42079</c:v>
                </c:pt>
                <c:pt idx="1380">
                  <c:v>42080</c:v>
                </c:pt>
                <c:pt idx="1381">
                  <c:v>42081</c:v>
                </c:pt>
                <c:pt idx="1382">
                  <c:v>42082</c:v>
                </c:pt>
                <c:pt idx="1383">
                  <c:v>42083</c:v>
                </c:pt>
                <c:pt idx="1384">
                  <c:v>42086</c:v>
                </c:pt>
                <c:pt idx="1385">
                  <c:v>42087</c:v>
                </c:pt>
                <c:pt idx="1386">
                  <c:v>42088</c:v>
                </c:pt>
                <c:pt idx="1387">
                  <c:v>42089</c:v>
                </c:pt>
                <c:pt idx="1388">
                  <c:v>42090</c:v>
                </c:pt>
                <c:pt idx="1389">
                  <c:v>42093</c:v>
                </c:pt>
                <c:pt idx="1390">
                  <c:v>42094</c:v>
                </c:pt>
              </c:numCache>
            </c:numRef>
          </c:cat>
          <c:val>
            <c:numRef>
              <c:f>Result!$D$3:$D$1393</c:f>
              <c:numCache>
                <c:formatCode>General</c:formatCode>
                <c:ptCount val="1391"/>
                <c:pt idx="0">
                  <c:v>147.88647221756884</c:v>
                </c:pt>
                <c:pt idx="1">
                  <c:v>142.82016995898235</c:v>
                </c:pt>
                <c:pt idx="2">
                  <c:v>140.79497060576486</c:v>
                </c:pt>
                <c:pt idx="3">
                  <c:v>141.40473415050675</c:v>
                </c:pt>
                <c:pt idx="4">
                  <c:v>140.38009560888321</c:v>
                </c:pt>
                <c:pt idx="5">
                  <c:v>140.33250549198038</c:v>
                </c:pt>
                <c:pt idx="6">
                  <c:v>138.06317899244425</c:v>
                </c:pt>
                <c:pt idx="7">
                  <c:v>135.80654839461545</c:v>
                </c:pt>
                <c:pt idx="8">
                  <c:v>137.12250199388038</c:v>
                </c:pt>
                <c:pt idx="9">
                  <c:v>135.79976126621159</c:v>
                </c:pt>
                <c:pt idx="10">
                  <c:v>119.42267797008228</c:v>
                </c:pt>
                <c:pt idx="11">
                  <c:v>119.07089203641834</c:v>
                </c:pt>
                <c:pt idx="12">
                  <c:v>117.72323660446244</c:v>
                </c:pt>
                <c:pt idx="13">
                  <c:v>118.57545762320956</c:v>
                </c:pt>
                <c:pt idx="14">
                  <c:v>119.73503876778754</c:v>
                </c:pt>
                <c:pt idx="15">
                  <c:v>114.79486276132012</c:v>
                </c:pt>
                <c:pt idx="16">
                  <c:v>114.7939961656573</c:v>
                </c:pt>
                <c:pt idx="17">
                  <c:v>114.78476684099685</c:v>
                </c:pt>
                <c:pt idx="18">
                  <c:v>115.0780260711735</c:v>
                </c:pt>
                <c:pt idx="19">
                  <c:v>115.1526501285244</c:v>
                </c:pt>
                <c:pt idx="20">
                  <c:v>115.36777669291736</c:v>
                </c:pt>
                <c:pt idx="21">
                  <c:v>115.36236226000858</c:v>
                </c:pt>
                <c:pt idx="22">
                  <c:v>115.25193391492019</c:v>
                </c:pt>
                <c:pt idx="23">
                  <c:v>113.98543138653874</c:v>
                </c:pt>
                <c:pt idx="24">
                  <c:v>111.76963124416643</c:v>
                </c:pt>
                <c:pt idx="25">
                  <c:v>110.22780390928332</c:v>
                </c:pt>
                <c:pt idx="26">
                  <c:v>109.20675653961732</c:v>
                </c:pt>
                <c:pt idx="27">
                  <c:v>108.45484086706978</c:v>
                </c:pt>
                <c:pt idx="28">
                  <c:v>102.37652881120928</c:v>
                </c:pt>
                <c:pt idx="29">
                  <c:v>105.31393590061677</c:v>
                </c:pt>
                <c:pt idx="30">
                  <c:v>104.6179523024811</c:v>
                </c:pt>
                <c:pt idx="31">
                  <c:v>106.38286338414666</c:v>
                </c:pt>
                <c:pt idx="32">
                  <c:v>104.72664674577597</c:v>
                </c:pt>
                <c:pt idx="33">
                  <c:v>104.5083281641252</c:v>
                </c:pt>
                <c:pt idx="34">
                  <c:v>97.796080439397954</c:v>
                </c:pt>
                <c:pt idx="35">
                  <c:v>97.324833130562624</c:v>
                </c:pt>
                <c:pt idx="36">
                  <c:v>97.65598169175162</c:v>
                </c:pt>
                <c:pt idx="37">
                  <c:v>97.192289968299775</c:v>
                </c:pt>
                <c:pt idx="38">
                  <c:v>97.255998221795835</c:v>
                </c:pt>
                <c:pt idx="39">
                  <c:v>98.399177122112661</c:v>
                </c:pt>
                <c:pt idx="40">
                  <c:v>95.15921618503522</c:v>
                </c:pt>
                <c:pt idx="41">
                  <c:v>93.30368938014665</c:v>
                </c:pt>
                <c:pt idx="42">
                  <c:v>93.425298139564774</c:v>
                </c:pt>
                <c:pt idx="43">
                  <c:v>91.030994043529304</c:v>
                </c:pt>
                <c:pt idx="44">
                  <c:v>91.669918738154792</c:v>
                </c:pt>
                <c:pt idx="45">
                  <c:v>89.685598217107739</c:v>
                </c:pt>
                <c:pt idx="46">
                  <c:v>87.402795286496186</c:v>
                </c:pt>
                <c:pt idx="47">
                  <c:v>87.131918087618772</c:v>
                </c:pt>
                <c:pt idx="48">
                  <c:v>87.508308857976786</c:v>
                </c:pt>
                <c:pt idx="49">
                  <c:v>84.865437352323639</c:v>
                </c:pt>
                <c:pt idx="50">
                  <c:v>84.73579046321241</c:v>
                </c:pt>
                <c:pt idx="51">
                  <c:v>85.040756088279196</c:v>
                </c:pt>
                <c:pt idx="52">
                  <c:v>85.835699219878052</c:v>
                </c:pt>
                <c:pt idx="53">
                  <c:v>87.729145197109958</c:v>
                </c:pt>
                <c:pt idx="54">
                  <c:v>88.541727045240876</c:v>
                </c:pt>
                <c:pt idx="55">
                  <c:v>87.675712673483901</c:v>
                </c:pt>
                <c:pt idx="56">
                  <c:v>87.574167316942791</c:v>
                </c:pt>
                <c:pt idx="57">
                  <c:v>87.622045479099143</c:v>
                </c:pt>
                <c:pt idx="58">
                  <c:v>87.707453678530584</c:v>
                </c:pt>
                <c:pt idx="59">
                  <c:v>88.76152761619106</c:v>
                </c:pt>
                <c:pt idx="60">
                  <c:v>88.760695798436657</c:v>
                </c:pt>
                <c:pt idx="61">
                  <c:v>88.359727583020231</c:v>
                </c:pt>
                <c:pt idx="62">
                  <c:v>88.324828697479475</c:v>
                </c:pt>
                <c:pt idx="63">
                  <c:v>89.17554210794863</c:v>
                </c:pt>
                <c:pt idx="64">
                  <c:v>89.614709874552162</c:v>
                </c:pt>
                <c:pt idx="65">
                  <c:v>89.652549223956086</c:v>
                </c:pt>
                <c:pt idx="66">
                  <c:v>91.087203306913821</c:v>
                </c:pt>
                <c:pt idx="67">
                  <c:v>91.55862860462058</c:v>
                </c:pt>
                <c:pt idx="68">
                  <c:v>89.01297343498868</c:v>
                </c:pt>
                <c:pt idx="69">
                  <c:v>89.446161811875839</c:v>
                </c:pt>
                <c:pt idx="70">
                  <c:v>88.603486647725305</c:v>
                </c:pt>
                <c:pt idx="71">
                  <c:v>88.399557679692549</c:v>
                </c:pt>
                <c:pt idx="72">
                  <c:v>88.745965248808005</c:v>
                </c:pt>
                <c:pt idx="73">
                  <c:v>88.570424593152481</c:v>
                </c:pt>
                <c:pt idx="74">
                  <c:v>87.352684958803607</c:v>
                </c:pt>
                <c:pt idx="75">
                  <c:v>90.837344808223406</c:v>
                </c:pt>
                <c:pt idx="76">
                  <c:v>91.751915265005053</c:v>
                </c:pt>
                <c:pt idx="77">
                  <c:v>96.64465279696276</c:v>
                </c:pt>
                <c:pt idx="78">
                  <c:v>96.796369665690094</c:v>
                </c:pt>
                <c:pt idx="79">
                  <c:v>96.425568899030594</c:v>
                </c:pt>
                <c:pt idx="80">
                  <c:v>96.146149125347407</c:v>
                </c:pt>
                <c:pt idx="81">
                  <c:v>96.536053347376367</c:v>
                </c:pt>
                <c:pt idx="82">
                  <c:v>96.988230322408668</c:v>
                </c:pt>
                <c:pt idx="83">
                  <c:v>93.740757229860748</c:v>
                </c:pt>
                <c:pt idx="84">
                  <c:v>93.928582144372825</c:v>
                </c:pt>
                <c:pt idx="85">
                  <c:v>94.108752663194068</c:v>
                </c:pt>
                <c:pt idx="86">
                  <c:v>96.405403685687901</c:v>
                </c:pt>
                <c:pt idx="87">
                  <c:v>95.981718377841958</c:v>
                </c:pt>
                <c:pt idx="88">
                  <c:v>95.975436133304612</c:v>
                </c:pt>
                <c:pt idx="89">
                  <c:v>92.502510817369696</c:v>
                </c:pt>
                <c:pt idx="90">
                  <c:v>92.240746403071199</c:v>
                </c:pt>
                <c:pt idx="91">
                  <c:v>91.476598818411645</c:v>
                </c:pt>
                <c:pt idx="92">
                  <c:v>90.578183638459748</c:v>
                </c:pt>
                <c:pt idx="93">
                  <c:v>90.331075020449319</c:v>
                </c:pt>
                <c:pt idx="94">
                  <c:v>91.044824818347919</c:v>
                </c:pt>
                <c:pt idx="95">
                  <c:v>90.931717648910634</c:v>
                </c:pt>
                <c:pt idx="96">
                  <c:v>90.728717134155616</c:v>
                </c:pt>
                <c:pt idx="97">
                  <c:v>90.974868135073606</c:v>
                </c:pt>
                <c:pt idx="98">
                  <c:v>90.630579812977004</c:v>
                </c:pt>
                <c:pt idx="99">
                  <c:v>89.735604814628715</c:v>
                </c:pt>
                <c:pt idx="100">
                  <c:v>88.362640429704484</c:v>
                </c:pt>
                <c:pt idx="101">
                  <c:v>86.494561561700493</c:v>
                </c:pt>
                <c:pt idx="102">
                  <c:v>85.630785882754353</c:v>
                </c:pt>
                <c:pt idx="103">
                  <c:v>84.970907884607499</c:v>
                </c:pt>
                <c:pt idx="104">
                  <c:v>84.442436089619719</c:v>
                </c:pt>
                <c:pt idx="105">
                  <c:v>84.294974867591648</c:v>
                </c:pt>
                <c:pt idx="106">
                  <c:v>84.424155733253656</c:v>
                </c:pt>
                <c:pt idx="107">
                  <c:v>84.870442132744813</c:v>
                </c:pt>
                <c:pt idx="108">
                  <c:v>84.874098568304376</c:v>
                </c:pt>
                <c:pt idx="109">
                  <c:v>85.56322805325172</c:v>
                </c:pt>
                <c:pt idx="110">
                  <c:v>85.612848757206535</c:v>
                </c:pt>
                <c:pt idx="111">
                  <c:v>85.426202555619724</c:v>
                </c:pt>
                <c:pt idx="112">
                  <c:v>83.714844792224611</c:v>
                </c:pt>
                <c:pt idx="113">
                  <c:v>81.836044965425941</c:v>
                </c:pt>
                <c:pt idx="114">
                  <c:v>81.3469468720523</c:v>
                </c:pt>
                <c:pt idx="115">
                  <c:v>81.897350832666703</c:v>
                </c:pt>
                <c:pt idx="116">
                  <c:v>83.217097868457273</c:v>
                </c:pt>
                <c:pt idx="117">
                  <c:v>82.964858595288561</c:v>
                </c:pt>
                <c:pt idx="118">
                  <c:v>82.947989632502257</c:v>
                </c:pt>
                <c:pt idx="119">
                  <c:v>82.501410838148203</c:v>
                </c:pt>
                <c:pt idx="120">
                  <c:v>82.431465004414306</c:v>
                </c:pt>
                <c:pt idx="121">
                  <c:v>82.384833663316016</c:v>
                </c:pt>
                <c:pt idx="122">
                  <c:v>83.590537759774733</c:v>
                </c:pt>
                <c:pt idx="123">
                  <c:v>81.810515945146363</c:v>
                </c:pt>
                <c:pt idx="124">
                  <c:v>80.917470235069558</c:v>
                </c:pt>
                <c:pt idx="125">
                  <c:v>80.209057204944656</c:v>
                </c:pt>
                <c:pt idx="126">
                  <c:v>78.947913080966543</c:v>
                </c:pt>
                <c:pt idx="127">
                  <c:v>78.707493107168332</c:v>
                </c:pt>
                <c:pt idx="128">
                  <c:v>78.162876722018453</c:v>
                </c:pt>
                <c:pt idx="129">
                  <c:v>78.119356358786604</c:v>
                </c:pt>
                <c:pt idx="130">
                  <c:v>77.858622689978404</c:v>
                </c:pt>
                <c:pt idx="131">
                  <c:v>77.757971142523203</c:v>
                </c:pt>
                <c:pt idx="132">
                  <c:v>77.498824861843417</c:v>
                </c:pt>
                <c:pt idx="133">
                  <c:v>76.133432261214438</c:v>
                </c:pt>
                <c:pt idx="134">
                  <c:v>76.03591149828604</c:v>
                </c:pt>
                <c:pt idx="135">
                  <c:v>71.50276006794131</c:v>
                </c:pt>
                <c:pt idx="136">
                  <c:v>70.674677335044862</c:v>
                </c:pt>
                <c:pt idx="137">
                  <c:v>64.049699086615263</c:v>
                </c:pt>
                <c:pt idx="138">
                  <c:v>62.311521191669662</c:v>
                </c:pt>
                <c:pt idx="139">
                  <c:v>62.260698364520273</c:v>
                </c:pt>
                <c:pt idx="140">
                  <c:v>66.197472731520733</c:v>
                </c:pt>
                <c:pt idx="141">
                  <c:v>66.664574286863882</c:v>
                </c:pt>
                <c:pt idx="142">
                  <c:v>67.055193516524241</c:v>
                </c:pt>
                <c:pt idx="143">
                  <c:v>66.733364446341852</c:v>
                </c:pt>
                <c:pt idx="144">
                  <c:v>66.604133777139779</c:v>
                </c:pt>
                <c:pt idx="145">
                  <c:v>66.455185365912712</c:v>
                </c:pt>
                <c:pt idx="146">
                  <c:v>64.271131005933071</c:v>
                </c:pt>
                <c:pt idx="147">
                  <c:v>68.244035901981391</c:v>
                </c:pt>
                <c:pt idx="148">
                  <c:v>68.474848039366094</c:v>
                </c:pt>
                <c:pt idx="149">
                  <c:v>71.925794086178044</c:v>
                </c:pt>
                <c:pt idx="150">
                  <c:v>72.004137763230659</c:v>
                </c:pt>
                <c:pt idx="151">
                  <c:v>70.076160458714469</c:v>
                </c:pt>
                <c:pt idx="152">
                  <c:v>71.502332501284627</c:v>
                </c:pt>
                <c:pt idx="153">
                  <c:v>71.450424522922219</c:v>
                </c:pt>
                <c:pt idx="154">
                  <c:v>71.161218757500961</c:v>
                </c:pt>
                <c:pt idx="155">
                  <c:v>70.9049111936434</c:v>
                </c:pt>
                <c:pt idx="156">
                  <c:v>71.566256926141008</c:v>
                </c:pt>
                <c:pt idx="157">
                  <c:v>71.745626756071076</c:v>
                </c:pt>
                <c:pt idx="158">
                  <c:v>71.733419221783151</c:v>
                </c:pt>
                <c:pt idx="159">
                  <c:v>71.97363844722274</c:v>
                </c:pt>
                <c:pt idx="160">
                  <c:v>72.497165308585167</c:v>
                </c:pt>
                <c:pt idx="161">
                  <c:v>72.56577314949179</c:v>
                </c:pt>
                <c:pt idx="162">
                  <c:v>72.538470872141772</c:v>
                </c:pt>
                <c:pt idx="163">
                  <c:v>73.785506747039847</c:v>
                </c:pt>
                <c:pt idx="164">
                  <c:v>74.517036766391726</c:v>
                </c:pt>
                <c:pt idx="165">
                  <c:v>74.907840308269201</c:v>
                </c:pt>
                <c:pt idx="166">
                  <c:v>74.918325455463972</c:v>
                </c:pt>
                <c:pt idx="167">
                  <c:v>73.939667801096661</c:v>
                </c:pt>
                <c:pt idx="168">
                  <c:v>74.097503722734004</c:v>
                </c:pt>
                <c:pt idx="169">
                  <c:v>73.855862151406853</c:v>
                </c:pt>
                <c:pt idx="170">
                  <c:v>77.010123348019562</c:v>
                </c:pt>
                <c:pt idx="171">
                  <c:v>76.892649053411475</c:v>
                </c:pt>
                <c:pt idx="172">
                  <c:v>77.719996665531411</c:v>
                </c:pt>
                <c:pt idx="173">
                  <c:v>77.152470432893466</c:v>
                </c:pt>
                <c:pt idx="174">
                  <c:v>77.032629086973969</c:v>
                </c:pt>
                <c:pt idx="175">
                  <c:v>75.723600809241674</c:v>
                </c:pt>
                <c:pt idx="176">
                  <c:v>76.072246236935143</c:v>
                </c:pt>
                <c:pt idx="177">
                  <c:v>75.928479794441643</c:v>
                </c:pt>
                <c:pt idx="178">
                  <c:v>76.482238512272971</c:v>
                </c:pt>
                <c:pt idx="179">
                  <c:v>75.266447674991383</c:v>
                </c:pt>
                <c:pt idx="180">
                  <c:v>76.332795631847077</c:v>
                </c:pt>
                <c:pt idx="181">
                  <c:v>76.003347998011449</c:v>
                </c:pt>
                <c:pt idx="182">
                  <c:v>76.552444316449652</c:v>
                </c:pt>
                <c:pt idx="183">
                  <c:v>76.815842585895453</c:v>
                </c:pt>
                <c:pt idx="184">
                  <c:v>77.050969938391262</c:v>
                </c:pt>
                <c:pt idx="185">
                  <c:v>79.597276963983219</c:v>
                </c:pt>
                <c:pt idx="186">
                  <c:v>79.632684861554921</c:v>
                </c:pt>
                <c:pt idx="187">
                  <c:v>79.081983960738626</c:v>
                </c:pt>
                <c:pt idx="188">
                  <c:v>79.201925080077956</c:v>
                </c:pt>
                <c:pt idx="189">
                  <c:v>78.982292816984383</c:v>
                </c:pt>
                <c:pt idx="190">
                  <c:v>84.452600379344815</c:v>
                </c:pt>
                <c:pt idx="191">
                  <c:v>84.408433266350883</c:v>
                </c:pt>
                <c:pt idx="192">
                  <c:v>84.464319616042431</c:v>
                </c:pt>
                <c:pt idx="193">
                  <c:v>84.463966875376144</c:v>
                </c:pt>
                <c:pt idx="194">
                  <c:v>87.749961706858187</c:v>
                </c:pt>
                <c:pt idx="195">
                  <c:v>89.233464077835976</c:v>
                </c:pt>
                <c:pt idx="196">
                  <c:v>88.940929291541721</c:v>
                </c:pt>
                <c:pt idx="197">
                  <c:v>89.159919218340931</c:v>
                </c:pt>
                <c:pt idx="198">
                  <c:v>89.074455440532702</c:v>
                </c:pt>
                <c:pt idx="199">
                  <c:v>90.623539794694551</c:v>
                </c:pt>
                <c:pt idx="200">
                  <c:v>86.842765942177081</c:v>
                </c:pt>
                <c:pt idx="201">
                  <c:v>85.603191984252291</c:v>
                </c:pt>
                <c:pt idx="202">
                  <c:v>86.343953415817523</c:v>
                </c:pt>
                <c:pt idx="203">
                  <c:v>86.587083708106675</c:v>
                </c:pt>
                <c:pt idx="204">
                  <c:v>88.034629946249808</c:v>
                </c:pt>
                <c:pt idx="205">
                  <c:v>88.168882081166061</c:v>
                </c:pt>
                <c:pt idx="206">
                  <c:v>89.18316638368448</c:v>
                </c:pt>
                <c:pt idx="207">
                  <c:v>84.898464507906297</c:v>
                </c:pt>
                <c:pt idx="208">
                  <c:v>84.855971992166502</c:v>
                </c:pt>
                <c:pt idx="209">
                  <c:v>82.823917462227683</c:v>
                </c:pt>
                <c:pt idx="210">
                  <c:v>82.867833413349985</c:v>
                </c:pt>
                <c:pt idx="211">
                  <c:v>84.01723833999479</c:v>
                </c:pt>
                <c:pt idx="212">
                  <c:v>84.387930596144756</c:v>
                </c:pt>
                <c:pt idx="213">
                  <c:v>84.518780939727634</c:v>
                </c:pt>
                <c:pt idx="214">
                  <c:v>83.606768183911868</c:v>
                </c:pt>
                <c:pt idx="215">
                  <c:v>83.630169854485914</c:v>
                </c:pt>
                <c:pt idx="216">
                  <c:v>83.757552513188287</c:v>
                </c:pt>
                <c:pt idx="217">
                  <c:v>83.394859992904159</c:v>
                </c:pt>
                <c:pt idx="218">
                  <c:v>84.694152795147218</c:v>
                </c:pt>
                <c:pt idx="219">
                  <c:v>84.485153892699202</c:v>
                </c:pt>
                <c:pt idx="220">
                  <c:v>84.970812724744874</c:v>
                </c:pt>
                <c:pt idx="221">
                  <c:v>84.6453254091373</c:v>
                </c:pt>
                <c:pt idx="222">
                  <c:v>85.344683234139168</c:v>
                </c:pt>
                <c:pt idx="223">
                  <c:v>84.481387140739031</c:v>
                </c:pt>
                <c:pt idx="224">
                  <c:v>84.118818861198761</c:v>
                </c:pt>
                <c:pt idx="225">
                  <c:v>83.975921200586939</c:v>
                </c:pt>
                <c:pt idx="226">
                  <c:v>83.9228027813284</c:v>
                </c:pt>
                <c:pt idx="227">
                  <c:v>83.443778900301112</c:v>
                </c:pt>
                <c:pt idx="228">
                  <c:v>83.066053226752331</c:v>
                </c:pt>
                <c:pt idx="229">
                  <c:v>83.522528841220861</c:v>
                </c:pt>
                <c:pt idx="230">
                  <c:v>83.290812388179802</c:v>
                </c:pt>
                <c:pt idx="231">
                  <c:v>83.087538045151035</c:v>
                </c:pt>
                <c:pt idx="232">
                  <c:v>83.271071131763136</c:v>
                </c:pt>
                <c:pt idx="233">
                  <c:v>83.293830318144558</c:v>
                </c:pt>
                <c:pt idx="234">
                  <c:v>83.860540651158573</c:v>
                </c:pt>
                <c:pt idx="235">
                  <c:v>83.91882712591277</c:v>
                </c:pt>
                <c:pt idx="236">
                  <c:v>82.529924836681062</c:v>
                </c:pt>
                <c:pt idx="237">
                  <c:v>84.233530894452812</c:v>
                </c:pt>
                <c:pt idx="238">
                  <c:v>86.750969327430468</c:v>
                </c:pt>
                <c:pt idx="239">
                  <c:v>87.430198701348374</c:v>
                </c:pt>
                <c:pt idx="240">
                  <c:v>87.808782598164186</c:v>
                </c:pt>
                <c:pt idx="241">
                  <c:v>90.402434554130167</c:v>
                </c:pt>
                <c:pt idx="242">
                  <c:v>89.69094533642506</c:v>
                </c:pt>
                <c:pt idx="243">
                  <c:v>92.87230738023689</c:v>
                </c:pt>
                <c:pt idx="244">
                  <c:v>95.935773123275169</c:v>
                </c:pt>
                <c:pt idx="245">
                  <c:v>93.344005417042666</c:v>
                </c:pt>
                <c:pt idx="246">
                  <c:v>93.876800066526485</c:v>
                </c:pt>
                <c:pt idx="247">
                  <c:v>94.006792540379692</c:v>
                </c:pt>
                <c:pt idx="248">
                  <c:v>94.203009206213622</c:v>
                </c:pt>
                <c:pt idx="249">
                  <c:v>100.5098838610335</c:v>
                </c:pt>
                <c:pt idx="250">
                  <c:v>99.116848449442045</c:v>
                </c:pt>
                <c:pt idx="251">
                  <c:v>102.2678834846844</c:v>
                </c:pt>
                <c:pt idx="252">
                  <c:v>105.1909157236047</c:v>
                </c:pt>
                <c:pt idx="253">
                  <c:v>106.30925997497955</c:v>
                </c:pt>
                <c:pt idx="254">
                  <c:v>105.60280901423431</c:v>
                </c:pt>
                <c:pt idx="255">
                  <c:v>106.06963859677117</c:v>
                </c:pt>
                <c:pt idx="256">
                  <c:v>106.44663102864267</c:v>
                </c:pt>
                <c:pt idx="257">
                  <c:v>109.05617561859511</c:v>
                </c:pt>
                <c:pt idx="258">
                  <c:v>109.47727009955057</c:v>
                </c:pt>
                <c:pt idx="259">
                  <c:v>109.90778745100826</c:v>
                </c:pt>
                <c:pt idx="260">
                  <c:v>110.36641678177874</c:v>
                </c:pt>
                <c:pt idx="261">
                  <c:v>111.71271128888061</c:v>
                </c:pt>
                <c:pt idx="262">
                  <c:v>111.19373488261704</c:v>
                </c:pt>
                <c:pt idx="263">
                  <c:v>111.21832061060186</c:v>
                </c:pt>
                <c:pt idx="264">
                  <c:v>110.81059608116939</c:v>
                </c:pt>
                <c:pt idx="265">
                  <c:v>113.20691177330433</c:v>
                </c:pt>
                <c:pt idx="266">
                  <c:v>111.61007483017065</c:v>
                </c:pt>
                <c:pt idx="267">
                  <c:v>111.72791627861412</c:v>
                </c:pt>
                <c:pt idx="268">
                  <c:v>112.69515222311574</c:v>
                </c:pt>
                <c:pt idx="269">
                  <c:v>114.0230484045041</c:v>
                </c:pt>
                <c:pt idx="270">
                  <c:v>114.09944026454855</c:v>
                </c:pt>
                <c:pt idx="271">
                  <c:v>113.95157881943778</c:v>
                </c:pt>
                <c:pt idx="272">
                  <c:v>113.10905257109447</c:v>
                </c:pt>
                <c:pt idx="273">
                  <c:v>113.06380599339087</c:v>
                </c:pt>
                <c:pt idx="274">
                  <c:v>113.46336530583694</c:v>
                </c:pt>
                <c:pt idx="275">
                  <c:v>113.46958914120438</c:v>
                </c:pt>
                <c:pt idx="276">
                  <c:v>113.89520518525703</c:v>
                </c:pt>
                <c:pt idx="277">
                  <c:v>113.70518271231414</c:v>
                </c:pt>
                <c:pt idx="278">
                  <c:v>112.51207672171005</c:v>
                </c:pt>
                <c:pt idx="279">
                  <c:v>113.19645907610875</c:v>
                </c:pt>
                <c:pt idx="280">
                  <c:v>112.44928271104425</c:v>
                </c:pt>
                <c:pt idx="281">
                  <c:v>112.56681678767147</c:v>
                </c:pt>
                <c:pt idx="282">
                  <c:v>113.50114372602782</c:v>
                </c:pt>
                <c:pt idx="283">
                  <c:v>114.43217158834582</c:v>
                </c:pt>
                <c:pt idx="284">
                  <c:v>114.09527034507576</c:v>
                </c:pt>
                <c:pt idx="285">
                  <c:v>114.09872315542835</c:v>
                </c:pt>
                <c:pt idx="286">
                  <c:v>114.43687263796589</c:v>
                </c:pt>
                <c:pt idx="287">
                  <c:v>114.25182384916459</c:v>
                </c:pt>
                <c:pt idx="288">
                  <c:v>114.88073189248571</c:v>
                </c:pt>
                <c:pt idx="289">
                  <c:v>115.14584344369125</c:v>
                </c:pt>
                <c:pt idx="290">
                  <c:v>114.32809236117063</c:v>
                </c:pt>
                <c:pt idx="291">
                  <c:v>114.58609046992537</c:v>
                </c:pt>
                <c:pt idx="292">
                  <c:v>114.12564546684017</c:v>
                </c:pt>
                <c:pt idx="293">
                  <c:v>114.43530441029014</c:v>
                </c:pt>
                <c:pt idx="294">
                  <c:v>114.14503568413086</c:v>
                </c:pt>
                <c:pt idx="295">
                  <c:v>114.17654304712093</c:v>
                </c:pt>
                <c:pt idx="296">
                  <c:v>115.2294172323513</c:v>
                </c:pt>
                <c:pt idx="297">
                  <c:v>114.55325295909158</c:v>
                </c:pt>
                <c:pt idx="298">
                  <c:v>113.08399808573037</c:v>
                </c:pt>
                <c:pt idx="299">
                  <c:v>114.08501788859873</c:v>
                </c:pt>
                <c:pt idx="300">
                  <c:v>112.85483854561156</c:v>
                </c:pt>
                <c:pt idx="301">
                  <c:v>113.93920445657008</c:v>
                </c:pt>
                <c:pt idx="302">
                  <c:v>116.37168251351507</c:v>
                </c:pt>
                <c:pt idx="303">
                  <c:v>112.69336396698439</c:v>
                </c:pt>
                <c:pt idx="304">
                  <c:v>110.59629344036708</c:v>
                </c:pt>
                <c:pt idx="305">
                  <c:v>110.72398972990203</c:v>
                </c:pt>
                <c:pt idx="306">
                  <c:v>109.81536544470605</c:v>
                </c:pt>
                <c:pt idx="307">
                  <c:v>110.18592144571373</c:v>
                </c:pt>
                <c:pt idx="308">
                  <c:v>109.46738967935391</c:v>
                </c:pt>
                <c:pt idx="309">
                  <c:v>109.06682015970492</c:v>
                </c:pt>
                <c:pt idx="310">
                  <c:v>106.03587137925041</c:v>
                </c:pt>
                <c:pt idx="311">
                  <c:v>102.59826988041476</c:v>
                </c:pt>
                <c:pt idx="312">
                  <c:v>100.49160834785609</c:v>
                </c:pt>
                <c:pt idx="313">
                  <c:v>104.27457597663947</c:v>
                </c:pt>
                <c:pt idx="314">
                  <c:v>102.73076420275184</c:v>
                </c:pt>
                <c:pt idx="315">
                  <c:v>100.43779083203094</c:v>
                </c:pt>
                <c:pt idx="316">
                  <c:v>102.37533608710454</c:v>
                </c:pt>
                <c:pt idx="317">
                  <c:v>107.83868190461587</c:v>
                </c:pt>
                <c:pt idx="318">
                  <c:v>107.98904272895606</c:v>
                </c:pt>
                <c:pt idx="319">
                  <c:v>106.32002416840807</c:v>
                </c:pt>
                <c:pt idx="320">
                  <c:v>106.12104129427154</c:v>
                </c:pt>
                <c:pt idx="321">
                  <c:v>105.45904464981525</c:v>
                </c:pt>
                <c:pt idx="322">
                  <c:v>110.7150082822284</c:v>
                </c:pt>
                <c:pt idx="323">
                  <c:v>111.94895336533803</c:v>
                </c:pt>
                <c:pt idx="324">
                  <c:v>110.8137893102619</c:v>
                </c:pt>
                <c:pt idx="325">
                  <c:v>114.91037593619046</c:v>
                </c:pt>
                <c:pt idx="326">
                  <c:v>114.67072803728296</c:v>
                </c:pt>
                <c:pt idx="327">
                  <c:v>115.05968314386259</c:v>
                </c:pt>
                <c:pt idx="328">
                  <c:v>114.53967849451958</c:v>
                </c:pt>
                <c:pt idx="329">
                  <c:v>112.64408948779835</c:v>
                </c:pt>
                <c:pt idx="330">
                  <c:v>112.1914541224283</c:v>
                </c:pt>
                <c:pt idx="331">
                  <c:v>113.54464235552044</c:v>
                </c:pt>
                <c:pt idx="332">
                  <c:v>118.80377871631993</c:v>
                </c:pt>
                <c:pt idx="333">
                  <c:v>118.79494466956749</c:v>
                </c:pt>
                <c:pt idx="334">
                  <c:v>119.65672456643539</c:v>
                </c:pt>
                <c:pt idx="335">
                  <c:v>119.63160500529743</c:v>
                </c:pt>
                <c:pt idx="336">
                  <c:v>118.34759552496898</c:v>
                </c:pt>
                <c:pt idx="337">
                  <c:v>120.33089350515796</c:v>
                </c:pt>
                <c:pt idx="338">
                  <c:v>121.02120333383877</c:v>
                </c:pt>
                <c:pt idx="339">
                  <c:v>122.95045934087707</c:v>
                </c:pt>
                <c:pt idx="340">
                  <c:v>122.97687990826567</c:v>
                </c:pt>
                <c:pt idx="341">
                  <c:v>123.2422127342808</c:v>
                </c:pt>
                <c:pt idx="342">
                  <c:v>122.26078420797396</c:v>
                </c:pt>
                <c:pt idx="343">
                  <c:v>121.70265301596459</c:v>
                </c:pt>
                <c:pt idx="344">
                  <c:v>121.37554702444446</c:v>
                </c:pt>
                <c:pt idx="345">
                  <c:v>121.52602450881713</c:v>
                </c:pt>
                <c:pt idx="346">
                  <c:v>121.71718927537798</c:v>
                </c:pt>
                <c:pt idx="347">
                  <c:v>122.99865654874674</c:v>
                </c:pt>
                <c:pt idx="348">
                  <c:v>123.10369191641948</c:v>
                </c:pt>
                <c:pt idx="349">
                  <c:v>122.47861296268032</c:v>
                </c:pt>
                <c:pt idx="350">
                  <c:v>122.8187642583098</c:v>
                </c:pt>
                <c:pt idx="351">
                  <c:v>122.70068245843801</c:v>
                </c:pt>
                <c:pt idx="352">
                  <c:v>122.98352103758354</c:v>
                </c:pt>
                <c:pt idx="353">
                  <c:v>123.10097991833197</c:v>
                </c:pt>
                <c:pt idx="354">
                  <c:v>122.4663589653009</c:v>
                </c:pt>
                <c:pt idx="355">
                  <c:v>122.68606972745518</c:v>
                </c:pt>
                <c:pt idx="356">
                  <c:v>121.1310458108034</c:v>
                </c:pt>
                <c:pt idx="357">
                  <c:v>120.72818605305413</c:v>
                </c:pt>
                <c:pt idx="358">
                  <c:v>121.11708104507177</c:v>
                </c:pt>
                <c:pt idx="359">
                  <c:v>119.91492366990477</c:v>
                </c:pt>
                <c:pt idx="360">
                  <c:v>120.38501885265586</c:v>
                </c:pt>
                <c:pt idx="361">
                  <c:v>118.84550947049223</c:v>
                </c:pt>
                <c:pt idx="362">
                  <c:v>116.72862144238292</c:v>
                </c:pt>
                <c:pt idx="363">
                  <c:v>117.73707962663325</c:v>
                </c:pt>
                <c:pt idx="364">
                  <c:v>118.20127849254919</c:v>
                </c:pt>
                <c:pt idx="365">
                  <c:v>118.19237727882754</c:v>
                </c:pt>
                <c:pt idx="366">
                  <c:v>118.19031219020695</c:v>
                </c:pt>
                <c:pt idx="367">
                  <c:v>118.39138644807655</c:v>
                </c:pt>
                <c:pt idx="368">
                  <c:v>118.15772207407696</c:v>
                </c:pt>
                <c:pt idx="369">
                  <c:v>115.50827761749628</c:v>
                </c:pt>
                <c:pt idx="370">
                  <c:v>115.2329175593246</c:v>
                </c:pt>
                <c:pt idx="371">
                  <c:v>115.0468524135003</c:v>
                </c:pt>
                <c:pt idx="372">
                  <c:v>115.13550206414374</c:v>
                </c:pt>
                <c:pt idx="373">
                  <c:v>111.13856779241588</c:v>
                </c:pt>
                <c:pt idx="374">
                  <c:v>111.06059803767654</c:v>
                </c:pt>
                <c:pt idx="375">
                  <c:v>111.25092265299099</c:v>
                </c:pt>
                <c:pt idx="376">
                  <c:v>110.24822116502295</c:v>
                </c:pt>
                <c:pt idx="377">
                  <c:v>104.32215903025492</c:v>
                </c:pt>
                <c:pt idx="378">
                  <c:v>103.87894950242283</c:v>
                </c:pt>
                <c:pt idx="379">
                  <c:v>103.52806824339031</c:v>
                </c:pt>
                <c:pt idx="380">
                  <c:v>103.46253037627042</c:v>
                </c:pt>
                <c:pt idx="381">
                  <c:v>103.9191067607513</c:v>
                </c:pt>
                <c:pt idx="382">
                  <c:v>97.268411101907532</c:v>
                </c:pt>
                <c:pt idx="383">
                  <c:v>95.341275102407351</c:v>
                </c:pt>
                <c:pt idx="384">
                  <c:v>95.210246658110108</c:v>
                </c:pt>
                <c:pt idx="385">
                  <c:v>88.98145683934365</c:v>
                </c:pt>
                <c:pt idx="386">
                  <c:v>88.671210527086927</c:v>
                </c:pt>
                <c:pt idx="387">
                  <c:v>88.393983332973022</c:v>
                </c:pt>
                <c:pt idx="388">
                  <c:v>89.056673979476827</c:v>
                </c:pt>
                <c:pt idx="389">
                  <c:v>88.663525770101174</c:v>
                </c:pt>
                <c:pt idx="390">
                  <c:v>88.719052149040195</c:v>
                </c:pt>
                <c:pt idx="391">
                  <c:v>85.614914635229553</c:v>
                </c:pt>
                <c:pt idx="392">
                  <c:v>79.684074427511391</c:v>
                </c:pt>
                <c:pt idx="393">
                  <c:v>79.614364927472664</c:v>
                </c:pt>
                <c:pt idx="394">
                  <c:v>78.043876570548804</c:v>
                </c:pt>
                <c:pt idx="395">
                  <c:v>78.388008322515617</c:v>
                </c:pt>
                <c:pt idx="396">
                  <c:v>78.38109096639532</c:v>
                </c:pt>
                <c:pt idx="397">
                  <c:v>73.44915093362026</c:v>
                </c:pt>
                <c:pt idx="398">
                  <c:v>72.79294565812971</c:v>
                </c:pt>
                <c:pt idx="399">
                  <c:v>70.664143665378447</c:v>
                </c:pt>
                <c:pt idx="400">
                  <c:v>70.614334869707619</c:v>
                </c:pt>
                <c:pt idx="401">
                  <c:v>69.885817185402871</c:v>
                </c:pt>
                <c:pt idx="402">
                  <c:v>69.8796025782637</c:v>
                </c:pt>
                <c:pt idx="403">
                  <c:v>68.838148752641899</c:v>
                </c:pt>
                <c:pt idx="404">
                  <c:v>69.75317433612409</c:v>
                </c:pt>
                <c:pt idx="405">
                  <c:v>69.068911162036301</c:v>
                </c:pt>
                <c:pt idx="406">
                  <c:v>68.818561838546785</c:v>
                </c:pt>
                <c:pt idx="407">
                  <c:v>67.246319243498164</c:v>
                </c:pt>
                <c:pt idx="408">
                  <c:v>67.227880749860091</c:v>
                </c:pt>
                <c:pt idx="409">
                  <c:v>67.211449991702793</c:v>
                </c:pt>
                <c:pt idx="410">
                  <c:v>66.767971533644214</c:v>
                </c:pt>
                <c:pt idx="411">
                  <c:v>64.636305506563602</c:v>
                </c:pt>
                <c:pt idx="412">
                  <c:v>64.106955856239921</c:v>
                </c:pt>
                <c:pt idx="413">
                  <c:v>64.124522180514703</c:v>
                </c:pt>
                <c:pt idx="414">
                  <c:v>64.126717200545727</c:v>
                </c:pt>
                <c:pt idx="415">
                  <c:v>64.276116336161493</c:v>
                </c:pt>
                <c:pt idx="416">
                  <c:v>63.404765376587982</c:v>
                </c:pt>
                <c:pt idx="417">
                  <c:v>62.743891755547473</c:v>
                </c:pt>
                <c:pt idx="418">
                  <c:v>61.177119948926581</c:v>
                </c:pt>
                <c:pt idx="419">
                  <c:v>61.209978889490777</c:v>
                </c:pt>
                <c:pt idx="420">
                  <c:v>59.487781530161108</c:v>
                </c:pt>
                <c:pt idx="421">
                  <c:v>59.24468547710039</c:v>
                </c:pt>
                <c:pt idx="422">
                  <c:v>58.094973302282796</c:v>
                </c:pt>
                <c:pt idx="423">
                  <c:v>57.77418809190101</c:v>
                </c:pt>
                <c:pt idx="424">
                  <c:v>57.499549197854549</c:v>
                </c:pt>
                <c:pt idx="425">
                  <c:v>57.810861749330044</c:v>
                </c:pt>
                <c:pt idx="426">
                  <c:v>57.694315429761225</c:v>
                </c:pt>
                <c:pt idx="427">
                  <c:v>57.086324068512049</c:v>
                </c:pt>
                <c:pt idx="428">
                  <c:v>56.92570392899777</c:v>
                </c:pt>
                <c:pt idx="429">
                  <c:v>56.41649326719044</c:v>
                </c:pt>
                <c:pt idx="430">
                  <c:v>56.422008202453689</c:v>
                </c:pt>
                <c:pt idx="431">
                  <c:v>55.888081254973713</c:v>
                </c:pt>
                <c:pt idx="432">
                  <c:v>55.875618767493641</c:v>
                </c:pt>
                <c:pt idx="433">
                  <c:v>55.81814759857037</c:v>
                </c:pt>
                <c:pt idx="434">
                  <c:v>55.782918253715444</c:v>
                </c:pt>
                <c:pt idx="435">
                  <c:v>56.587653100822578</c:v>
                </c:pt>
                <c:pt idx="436">
                  <c:v>54.265857933330608</c:v>
                </c:pt>
                <c:pt idx="437">
                  <c:v>51.460860765083453</c:v>
                </c:pt>
                <c:pt idx="438">
                  <c:v>52.948102394708862</c:v>
                </c:pt>
                <c:pt idx="439">
                  <c:v>53.506324498559835</c:v>
                </c:pt>
                <c:pt idx="440">
                  <c:v>52.268861567193483</c:v>
                </c:pt>
                <c:pt idx="441">
                  <c:v>51.524610485711676</c:v>
                </c:pt>
                <c:pt idx="442">
                  <c:v>51.347763769658386</c:v>
                </c:pt>
                <c:pt idx="443">
                  <c:v>51.468787107514125</c:v>
                </c:pt>
                <c:pt idx="444">
                  <c:v>52.271661445045694</c:v>
                </c:pt>
                <c:pt idx="445">
                  <c:v>49.0798056808909</c:v>
                </c:pt>
                <c:pt idx="446">
                  <c:v>48.793384612705928</c:v>
                </c:pt>
                <c:pt idx="447">
                  <c:v>50.937613361750152</c:v>
                </c:pt>
                <c:pt idx="448">
                  <c:v>51.475067767937176</c:v>
                </c:pt>
                <c:pt idx="449">
                  <c:v>51.207020205828982</c:v>
                </c:pt>
                <c:pt idx="450">
                  <c:v>51.236579768067614</c:v>
                </c:pt>
                <c:pt idx="451">
                  <c:v>51.263768748553588</c:v>
                </c:pt>
                <c:pt idx="452">
                  <c:v>50.744934850970601</c:v>
                </c:pt>
                <c:pt idx="453">
                  <c:v>50.844313927117923</c:v>
                </c:pt>
                <c:pt idx="454">
                  <c:v>51.486667375937301</c:v>
                </c:pt>
                <c:pt idx="455">
                  <c:v>51.204400826093966</c:v>
                </c:pt>
                <c:pt idx="456">
                  <c:v>52.250386251558254</c:v>
                </c:pt>
                <c:pt idx="457">
                  <c:v>55.025554663545606</c:v>
                </c:pt>
                <c:pt idx="458">
                  <c:v>55.376219477677225</c:v>
                </c:pt>
                <c:pt idx="459">
                  <c:v>54.43585268204064</c:v>
                </c:pt>
                <c:pt idx="460">
                  <c:v>54.357242359029591</c:v>
                </c:pt>
                <c:pt idx="461">
                  <c:v>54.783300047682246</c:v>
                </c:pt>
                <c:pt idx="462">
                  <c:v>54.70741505133747</c:v>
                </c:pt>
                <c:pt idx="463">
                  <c:v>56.087724409740417</c:v>
                </c:pt>
                <c:pt idx="464">
                  <c:v>58.566210724653111</c:v>
                </c:pt>
                <c:pt idx="465">
                  <c:v>59.010940572494519</c:v>
                </c:pt>
                <c:pt idx="466">
                  <c:v>58.965783672235986</c:v>
                </c:pt>
                <c:pt idx="467">
                  <c:v>57.878497638615968</c:v>
                </c:pt>
                <c:pt idx="468">
                  <c:v>58.17096894873481</c:v>
                </c:pt>
                <c:pt idx="469">
                  <c:v>58.196647298219339</c:v>
                </c:pt>
                <c:pt idx="470">
                  <c:v>58.240795497301654</c:v>
                </c:pt>
                <c:pt idx="471">
                  <c:v>58.239262060611388</c:v>
                </c:pt>
                <c:pt idx="472">
                  <c:v>58.068540761403106</c:v>
                </c:pt>
                <c:pt idx="473">
                  <c:v>58.370248687068582</c:v>
                </c:pt>
                <c:pt idx="474">
                  <c:v>58.23209841340686</c:v>
                </c:pt>
                <c:pt idx="475">
                  <c:v>57.357841413686984</c:v>
                </c:pt>
                <c:pt idx="476">
                  <c:v>57.528169839356735</c:v>
                </c:pt>
                <c:pt idx="477">
                  <c:v>58.195311331660605</c:v>
                </c:pt>
                <c:pt idx="478">
                  <c:v>58.466590220320803</c:v>
                </c:pt>
                <c:pt idx="479">
                  <c:v>63.25416417989026</c:v>
                </c:pt>
                <c:pt idx="480">
                  <c:v>63.072932149506045</c:v>
                </c:pt>
                <c:pt idx="481">
                  <c:v>66.522923448206612</c:v>
                </c:pt>
                <c:pt idx="482">
                  <c:v>66.923654796329785</c:v>
                </c:pt>
                <c:pt idx="483">
                  <c:v>70.660514961055895</c:v>
                </c:pt>
                <c:pt idx="484">
                  <c:v>78.737565587139727</c:v>
                </c:pt>
                <c:pt idx="485">
                  <c:v>82.02027298541347</c:v>
                </c:pt>
                <c:pt idx="486">
                  <c:v>88.112173934560772</c:v>
                </c:pt>
                <c:pt idx="487">
                  <c:v>91.354576907474595</c:v>
                </c:pt>
                <c:pt idx="488">
                  <c:v>96.729544807690218</c:v>
                </c:pt>
                <c:pt idx="489">
                  <c:v>96.654672121197535</c:v>
                </c:pt>
                <c:pt idx="490">
                  <c:v>97.832714884147279</c:v>
                </c:pt>
                <c:pt idx="491">
                  <c:v>98.580765625357301</c:v>
                </c:pt>
                <c:pt idx="492">
                  <c:v>98.735413473714772</c:v>
                </c:pt>
                <c:pt idx="493">
                  <c:v>98.748829619083438</c:v>
                </c:pt>
                <c:pt idx="494">
                  <c:v>99.187591018126639</c:v>
                </c:pt>
                <c:pt idx="495">
                  <c:v>98.603669977922792</c:v>
                </c:pt>
                <c:pt idx="496">
                  <c:v>99.451742861326466</c:v>
                </c:pt>
                <c:pt idx="497">
                  <c:v>99.903309817305484</c:v>
                </c:pt>
                <c:pt idx="498">
                  <c:v>100.98145847312297</c:v>
                </c:pt>
                <c:pt idx="499">
                  <c:v>100.45070722572038</c:v>
                </c:pt>
                <c:pt idx="500">
                  <c:v>102.33900123291366</c:v>
                </c:pt>
                <c:pt idx="501">
                  <c:v>103.38225240342472</c:v>
                </c:pt>
                <c:pt idx="502">
                  <c:v>104.5851188443075</c:v>
                </c:pt>
                <c:pt idx="503">
                  <c:v>105.01794649188238</c:v>
                </c:pt>
                <c:pt idx="504">
                  <c:v>106.19585104391803</c:v>
                </c:pt>
                <c:pt idx="505">
                  <c:v>106.1901539507431</c:v>
                </c:pt>
                <c:pt idx="506">
                  <c:v>106.90781095676938</c:v>
                </c:pt>
                <c:pt idx="507">
                  <c:v>105.73992544277546</c:v>
                </c:pt>
                <c:pt idx="508">
                  <c:v>105.68752544004387</c:v>
                </c:pt>
                <c:pt idx="509">
                  <c:v>106.36129543022525</c:v>
                </c:pt>
                <c:pt idx="510">
                  <c:v>106.57054544036268</c:v>
                </c:pt>
                <c:pt idx="511">
                  <c:v>106.3998312889024</c:v>
                </c:pt>
                <c:pt idx="512">
                  <c:v>106.98157049275837</c:v>
                </c:pt>
                <c:pt idx="513">
                  <c:v>106.96248277943481</c:v>
                </c:pt>
                <c:pt idx="514">
                  <c:v>108.22509621390456</c:v>
                </c:pt>
                <c:pt idx="515">
                  <c:v>108.39778356600948</c:v>
                </c:pt>
                <c:pt idx="516">
                  <c:v>117.5479947680256</c:v>
                </c:pt>
                <c:pt idx="517">
                  <c:v>119.99979752940013</c:v>
                </c:pt>
                <c:pt idx="518">
                  <c:v>123.34283384865674</c:v>
                </c:pt>
                <c:pt idx="519">
                  <c:v>124.961455444772</c:v>
                </c:pt>
                <c:pt idx="520">
                  <c:v>127.74380680637354</c:v>
                </c:pt>
                <c:pt idx="521">
                  <c:v>127.67649466872018</c:v>
                </c:pt>
                <c:pt idx="522">
                  <c:v>128.43766155920511</c:v>
                </c:pt>
                <c:pt idx="523">
                  <c:v>127.72609633995235</c:v>
                </c:pt>
                <c:pt idx="524">
                  <c:v>127.11470508253751</c:v>
                </c:pt>
                <c:pt idx="525">
                  <c:v>128.40283656338926</c:v>
                </c:pt>
                <c:pt idx="526">
                  <c:v>129.71240691793</c:v>
                </c:pt>
                <c:pt idx="527">
                  <c:v>130.66174203311135</c:v>
                </c:pt>
                <c:pt idx="528">
                  <c:v>132.20120881520418</c:v>
                </c:pt>
                <c:pt idx="529">
                  <c:v>132.50424227003313</c:v>
                </c:pt>
                <c:pt idx="530">
                  <c:v>132.38570433150423</c:v>
                </c:pt>
                <c:pt idx="531">
                  <c:v>132.45796964269653</c:v>
                </c:pt>
                <c:pt idx="532">
                  <c:v>133.10745995819894</c:v>
                </c:pt>
                <c:pt idx="533">
                  <c:v>133.27883549348499</c:v>
                </c:pt>
                <c:pt idx="534">
                  <c:v>133.25369287224265</c:v>
                </c:pt>
                <c:pt idx="535">
                  <c:v>132.97911849966167</c:v>
                </c:pt>
                <c:pt idx="536">
                  <c:v>133.13086230070061</c:v>
                </c:pt>
                <c:pt idx="537">
                  <c:v>132.72098177223734</c:v>
                </c:pt>
                <c:pt idx="538">
                  <c:v>132.85695115571318</c:v>
                </c:pt>
                <c:pt idx="539">
                  <c:v>132.0489194734221</c:v>
                </c:pt>
                <c:pt idx="540">
                  <c:v>132.52393488369435</c:v>
                </c:pt>
                <c:pt idx="541">
                  <c:v>133.34400649191733</c:v>
                </c:pt>
                <c:pt idx="542">
                  <c:v>134.04729900786589</c:v>
                </c:pt>
                <c:pt idx="543">
                  <c:v>133.33090452113493</c:v>
                </c:pt>
                <c:pt idx="544">
                  <c:v>130.94891981657378</c:v>
                </c:pt>
                <c:pt idx="545">
                  <c:v>128.8728471619996</c:v>
                </c:pt>
                <c:pt idx="546">
                  <c:v>124.97359510902967</c:v>
                </c:pt>
                <c:pt idx="547">
                  <c:v>122.48586811510218</c:v>
                </c:pt>
                <c:pt idx="548">
                  <c:v>118.85557206807501</c:v>
                </c:pt>
                <c:pt idx="549">
                  <c:v>119.41047711316747</c:v>
                </c:pt>
                <c:pt idx="550">
                  <c:v>118.99312115326524</c:v>
                </c:pt>
                <c:pt idx="551">
                  <c:v>118.81685089544958</c:v>
                </c:pt>
                <c:pt idx="552">
                  <c:v>118.51881236841804</c:v>
                </c:pt>
                <c:pt idx="553">
                  <c:v>118.58170867424671</c:v>
                </c:pt>
                <c:pt idx="554">
                  <c:v>118.40745942067255</c:v>
                </c:pt>
                <c:pt idx="555">
                  <c:v>118.55225384370533</c:v>
                </c:pt>
                <c:pt idx="556">
                  <c:v>118.3139428805773</c:v>
                </c:pt>
                <c:pt idx="557">
                  <c:v>117.99390481646167</c:v>
                </c:pt>
                <c:pt idx="558">
                  <c:v>116.77712423626735</c:v>
                </c:pt>
                <c:pt idx="559">
                  <c:v>116.54969272997984</c:v>
                </c:pt>
                <c:pt idx="560">
                  <c:v>116.23920117700999</c:v>
                </c:pt>
                <c:pt idx="561">
                  <c:v>115.30897399713093</c:v>
                </c:pt>
                <c:pt idx="562">
                  <c:v>114.3547791871399</c:v>
                </c:pt>
                <c:pt idx="563">
                  <c:v>113.68218563136307</c:v>
                </c:pt>
                <c:pt idx="564">
                  <c:v>112.09226379006974</c:v>
                </c:pt>
                <c:pt idx="565">
                  <c:v>112.88370405555426</c:v>
                </c:pt>
                <c:pt idx="566">
                  <c:v>112.35273238261327</c:v>
                </c:pt>
                <c:pt idx="567">
                  <c:v>112.24449282077842</c:v>
                </c:pt>
                <c:pt idx="568">
                  <c:v>112.59362896696878</c:v>
                </c:pt>
                <c:pt idx="569">
                  <c:v>112.26343245228195</c:v>
                </c:pt>
                <c:pt idx="570">
                  <c:v>113.24096058524074</c:v>
                </c:pt>
                <c:pt idx="571">
                  <c:v>113.24612766630582</c:v>
                </c:pt>
                <c:pt idx="572">
                  <c:v>113.08476021361157</c:v>
                </c:pt>
                <c:pt idx="573">
                  <c:v>113.96142366937309</c:v>
                </c:pt>
                <c:pt idx="574">
                  <c:v>112.31228870682708</c:v>
                </c:pt>
                <c:pt idx="575">
                  <c:v>112.60347777608723</c:v>
                </c:pt>
                <c:pt idx="576">
                  <c:v>101.45290915722578</c:v>
                </c:pt>
                <c:pt idx="577">
                  <c:v>96.580156526044405</c:v>
                </c:pt>
                <c:pt idx="578">
                  <c:v>93.393910423080058</c:v>
                </c:pt>
                <c:pt idx="579">
                  <c:v>91.542656295910092</c:v>
                </c:pt>
                <c:pt idx="580">
                  <c:v>89.429769041959759</c:v>
                </c:pt>
                <c:pt idx="581">
                  <c:v>89.323103893922735</c:v>
                </c:pt>
                <c:pt idx="582">
                  <c:v>90.27217029176505</c:v>
                </c:pt>
                <c:pt idx="583">
                  <c:v>89.939377741308377</c:v>
                </c:pt>
                <c:pt idx="584">
                  <c:v>88.709614632297175</c:v>
                </c:pt>
                <c:pt idx="585">
                  <c:v>87.43030976688236</c:v>
                </c:pt>
                <c:pt idx="586">
                  <c:v>85.987339264766888</c:v>
                </c:pt>
                <c:pt idx="587">
                  <c:v>86.415359035308398</c:v>
                </c:pt>
                <c:pt idx="588">
                  <c:v>84.346396133818061</c:v>
                </c:pt>
                <c:pt idx="589">
                  <c:v>84.082469508433292</c:v>
                </c:pt>
                <c:pt idx="590">
                  <c:v>84.492418950519834</c:v>
                </c:pt>
                <c:pt idx="591">
                  <c:v>84.52989160224972</c:v>
                </c:pt>
                <c:pt idx="592">
                  <c:v>83.58856279837164</c:v>
                </c:pt>
                <c:pt idx="593">
                  <c:v>82.92766173707102</c:v>
                </c:pt>
                <c:pt idx="594">
                  <c:v>83.665189901108391</c:v>
                </c:pt>
                <c:pt idx="595">
                  <c:v>84.172322451330231</c:v>
                </c:pt>
                <c:pt idx="596">
                  <c:v>85.084982227616266</c:v>
                </c:pt>
                <c:pt idx="597">
                  <c:v>85.136486707462538</c:v>
                </c:pt>
                <c:pt idx="598">
                  <c:v>84.757913292903098</c:v>
                </c:pt>
                <c:pt idx="599">
                  <c:v>82.578247505788411</c:v>
                </c:pt>
                <c:pt idx="600">
                  <c:v>82.163020750436175</c:v>
                </c:pt>
                <c:pt idx="601">
                  <c:v>78.617944771611661</c:v>
                </c:pt>
                <c:pt idx="602">
                  <c:v>77.424362761764016</c:v>
                </c:pt>
                <c:pt idx="603">
                  <c:v>74.641109191564396</c:v>
                </c:pt>
                <c:pt idx="604">
                  <c:v>70.854552905589514</c:v>
                </c:pt>
                <c:pt idx="605">
                  <c:v>70.755870518322482</c:v>
                </c:pt>
                <c:pt idx="606">
                  <c:v>70.643359798059009</c:v>
                </c:pt>
                <c:pt idx="607">
                  <c:v>73.275064378748709</c:v>
                </c:pt>
                <c:pt idx="608">
                  <c:v>73.632389007595279</c:v>
                </c:pt>
                <c:pt idx="609">
                  <c:v>72.111103599723648</c:v>
                </c:pt>
                <c:pt idx="610">
                  <c:v>71.665134259691371</c:v>
                </c:pt>
                <c:pt idx="611">
                  <c:v>72.649638396051003</c:v>
                </c:pt>
                <c:pt idx="612">
                  <c:v>72.909445006613723</c:v>
                </c:pt>
                <c:pt idx="613">
                  <c:v>72.661228563996644</c:v>
                </c:pt>
                <c:pt idx="614">
                  <c:v>73.182013959433732</c:v>
                </c:pt>
                <c:pt idx="615">
                  <c:v>73.04750003572417</c:v>
                </c:pt>
                <c:pt idx="616">
                  <c:v>73.041904391371204</c:v>
                </c:pt>
                <c:pt idx="617">
                  <c:v>73.286811074120479</c:v>
                </c:pt>
                <c:pt idx="618">
                  <c:v>74.06773337591747</c:v>
                </c:pt>
                <c:pt idx="619">
                  <c:v>74.66094943565416</c:v>
                </c:pt>
                <c:pt idx="620">
                  <c:v>72.994751809002821</c:v>
                </c:pt>
                <c:pt idx="621">
                  <c:v>72.851346524509538</c:v>
                </c:pt>
                <c:pt idx="622">
                  <c:v>72.972891165835293</c:v>
                </c:pt>
                <c:pt idx="623">
                  <c:v>72.977566648469889</c:v>
                </c:pt>
                <c:pt idx="624">
                  <c:v>74.282759175674528</c:v>
                </c:pt>
                <c:pt idx="625">
                  <c:v>73.950396807466518</c:v>
                </c:pt>
                <c:pt idx="626">
                  <c:v>74.191289213923866</c:v>
                </c:pt>
                <c:pt idx="627">
                  <c:v>74.156546706422077</c:v>
                </c:pt>
                <c:pt idx="628">
                  <c:v>72.780511384132865</c:v>
                </c:pt>
                <c:pt idx="629">
                  <c:v>72.955341972771421</c:v>
                </c:pt>
                <c:pt idx="630">
                  <c:v>71.40874154231102</c:v>
                </c:pt>
                <c:pt idx="631">
                  <c:v>71.421393471364183</c:v>
                </c:pt>
                <c:pt idx="632">
                  <c:v>70.911378776208934</c:v>
                </c:pt>
                <c:pt idx="633">
                  <c:v>71.113724699368206</c:v>
                </c:pt>
                <c:pt idx="634">
                  <c:v>79.500966934262991</c:v>
                </c:pt>
                <c:pt idx="635">
                  <c:v>78.807681924214478</c:v>
                </c:pt>
                <c:pt idx="636">
                  <c:v>79.004178703167099</c:v>
                </c:pt>
                <c:pt idx="637">
                  <c:v>80.27166732908502</c:v>
                </c:pt>
                <c:pt idx="638">
                  <c:v>79.941718501035055</c:v>
                </c:pt>
                <c:pt idx="639">
                  <c:v>81.829725785237372</c:v>
                </c:pt>
                <c:pt idx="640">
                  <c:v>80.384882180170308</c:v>
                </c:pt>
                <c:pt idx="641">
                  <c:v>80.458763505410545</c:v>
                </c:pt>
                <c:pt idx="642">
                  <c:v>77.575711333806439</c:v>
                </c:pt>
                <c:pt idx="643">
                  <c:v>79.156603741088745</c:v>
                </c:pt>
                <c:pt idx="644">
                  <c:v>79.188405746797088</c:v>
                </c:pt>
                <c:pt idx="645">
                  <c:v>79.353794938480988</c:v>
                </c:pt>
                <c:pt idx="646">
                  <c:v>79.869937028776008</c:v>
                </c:pt>
                <c:pt idx="647">
                  <c:v>77.974015593164353</c:v>
                </c:pt>
                <c:pt idx="648">
                  <c:v>80.733182399535039</c:v>
                </c:pt>
                <c:pt idx="649">
                  <c:v>81.642266257242269</c:v>
                </c:pt>
                <c:pt idx="650">
                  <c:v>82.116666225023323</c:v>
                </c:pt>
                <c:pt idx="651">
                  <c:v>85.727661694462327</c:v>
                </c:pt>
                <c:pt idx="652">
                  <c:v>85.569166483235293</c:v>
                </c:pt>
                <c:pt idx="653">
                  <c:v>85.224503381148892</c:v>
                </c:pt>
                <c:pt idx="654">
                  <c:v>84.805071973447227</c:v>
                </c:pt>
                <c:pt idx="655">
                  <c:v>84.736981429946582</c:v>
                </c:pt>
                <c:pt idx="656">
                  <c:v>84.101687413721976</c:v>
                </c:pt>
                <c:pt idx="657">
                  <c:v>84.110237455086249</c:v>
                </c:pt>
                <c:pt idx="658">
                  <c:v>84.502729034043739</c:v>
                </c:pt>
                <c:pt idx="659">
                  <c:v>84.637643741357181</c:v>
                </c:pt>
                <c:pt idx="660">
                  <c:v>84.353033008089994</c:v>
                </c:pt>
                <c:pt idx="661">
                  <c:v>83.445907496045464</c:v>
                </c:pt>
                <c:pt idx="662">
                  <c:v>83.396145596432461</c:v>
                </c:pt>
                <c:pt idx="663">
                  <c:v>83.607498474892566</c:v>
                </c:pt>
                <c:pt idx="664">
                  <c:v>83.399157064275798</c:v>
                </c:pt>
                <c:pt idx="665">
                  <c:v>83.654678994575221</c:v>
                </c:pt>
                <c:pt idx="666">
                  <c:v>82.909018319990039</c:v>
                </c:pt>
                <c:pt idx="667">
                  <c:v>80.772418741564223</c:v>
                </c:pt>
                <c:pt idx="668">
                  <c:v>80.356149078828949</c:v>
                </c:pt>
                <c:pt idx="669">
                  <c:v>80.190964566479934</c:v>
                </c:pt>
                <c:pt idx="670">
                  <c:v>79.979812064251462</c:v>
                </c:pt>
                <c:pt idx="671">
                  <c:v>78.643667273761622</c:v>
                </c:pt>
                <c:pt idx="672">
                  <c:v>78.296750109856816</c:v>
                </c:pt>
                <c:pt idx="673">
                  <c:v>78.331798199326826</c:v>
                </c:pt>
                <c:pt idx="674">
                  <c:v>77.663765156490271</c:v>
                </c:pt>
                <c:pt idx="675">
                  <c:v>77.628835158979143</c:v>
                </c:pt>
                <c:pt idx="676">
                  <c:v>77.066111961715947</c:v>
                </c:pt>
                <c:pt idx="677">
                  <c:v>76.92770249070719</c:v>
                </c:pt>
                <c:pt idx="678">
                  <c:v>76.033412447355516</c:v>
                </c:pt>
                <c:pt idx="679">
                  <c:v>75.605922761554638</c:v>
                </c:pt>
                <c:pt idx="680">
                  <c:v>76.455414850840157</c:v>
                </c:pt>
                <c:pt idx="681">
                  <c:v>76.416807497895306</c:v>
                </c:pt>
                <c:pt idx="682">
                  <c:v>77.175003228022419</c:v>
                </c:pt>
                <c:pt idx="683">
                  <c:v>77.53014830947113</c:v>
                </c:pt>
                <c:pt idx="684">
                  <c:v>76.359822275778683</c:v>
                </c:pt>
                <c:pt idx="685">
                  <c:v>75.894227841250711</c:v>
                </c:pt>
                <c:pt idx="686">
                  <c:v>75.550538812223195</c:v>
                </c:pt>
                <c:pt idx="687">
                  <c:v>75.538458432156546</c:v>
                </c:pt>
                <c:pt idx="688">
                  <c:v>77.193586539464306</c:v>
                </c:pt>
                <c:pt idx="689">
                  <c:v>77.127198505562362</c:v>
                </c:pt>
                <c:pt idx="690">
                  <c:v>79.932306076378566</c:v>
                </c:pt>
                <c:pt idx="691">
                  <c:v>82.355690088507814</c:v>
                </c:pt>
                <c:pt idx="692">
                  <c:v>83.114117600222272</c:v>
                </c:pt>
                <c:pt idx="693">
                  <c:v>81.883794932108728</c:v>
                </c:pt>
                <c:pt idx="694">
                  <c:v>72.680534707988159</c:v>
                </c:pt>
                <c:pt idx="695">
                  <c:v>72.705671709633364</c:v>
                </c:pt>
                <c:pt idx="696">
                  <c:v>72.872096549436364</c:v>
                </c:pt>
                <c:pt idx="697">
                  <c:v>70.261092790400099</c:v>
                </c:pt>
                <c:pt idx="698">
                  <c:v>70.545574747387604</c:v>
                </c:pt>
                <c:pt idx="699">
                  <c:v>68.89030522888757</c:v>
                </c:pt>
                <c:pt idx="700">
                  <c:v>68.889223883948247</c:v>
                </c:pt>
                <c:pt idx="701">
                  <c:v>68.841224297709516</c:v>
                </c:pt>
                <c:pt idx="702">
                  <c:v>68.880870418327262</c:v>
                </c:pt>
                <c:pt idx="703">
                  <c:v>68.136573339931545</c:v>
                </c:pt>
                <c:pt idx="704">
                  <c:v>68.097536871250213</c:v>
                </c:pt>
                <c:pt idx="705">
                  <c:v>68.99297381387413</c:v>
                </c:pt>
                <c:pt idx="706">
                  <c:v>70.250698663430228</c:v>
                </c:pt>
                <c:pt idx="707">
                  <c:v>70.811777879479791</c:v>
                </c:pt>
                <c:pt idx="708">
                  <c:v>65.820875071031082</c:v>
                </c:pt>
                <c:pt idx="709">
                  <c:v>65.375412929345245</c:v>
                </c:pt>
                <c:pt idx="710">
                  <c:v>66.782171338472097</c:v>
                </c:pt>
                <c:pt idx="711">
                  <c:v>64.051255203491934</c:v>
                </c:pt>
                <c:pt idx="712">
                  <c:v>64.628287336770697</c:v>
                </c:pt>
                <c:pt idx="713">
                  <c:v>64.766919325382872</c:v>
                </c:pt>
                <c:pt idx="714">
                  <c:v>66.262121599177092</c:v>
                </c:pt>
                <c:pt idx="715">
                  <c:v>65.73887400230241</c:v>
                </c:pt>
                <c:pt idx="716">
                  <c:v>65.610225904056946</c:v>
                </c:pt>
                <c:pt idx="717">
                  <c:v>65.602473355918875</c:v>
                </c:pt>
                <c:pt idx="718">
                  <c:v>64.858930579226083</c:v>
                </c:pt>
                <c:pt idx="719">
                  <c:v>66.063033818896102</c:v>
                </c:pt>
                <c:pt idx="720">
                  <c:v>66.590848768056077</c:v>
                </c:pt>
                <c:pt idx="721">
                  <c:v>67.116996640573873</c:v>
                </c:pt>
                <c:pt idx="722">
                  <c:v>67.784930798662131</c:v>
                </c:pt>
                <c:pt idx="723">
                  <c:v>67.526132279592801</c:v>
                </c:pt>
                <c:pt idx="724">
                  <c:v>68.317052410881658</c:v>
                </c:pt>
                <c:pt idx="725">
                  <c:v>68.632427580835795</c:v>
                </c:pt>
                <c:pt idx="726">
                  <c:v>68.71908044870608</c:v>
                </c:pt>
                <c:pt idx="727">
                  <c:v>68.930272841866241</c:v>
                </c:pt>
                <c:pt idx="728">
                  <c:v>68.745505592029986</c:v>
                </c:pt>
                <c:pt idx="729">
                  <c:v>78.983566145206794</c:v>
                </c:pt>
                <c:pt idx="730">
                  <c:v>82.939454769201831</c:v>
                </c:pt>
                <c:pt idx="731">
                  <c:v>82.853166250943005</c:v>
                </c:pt>
                <c:pt idx="732">
                  <c:v>83.698162111767388</c:v>
                </c:pt>
                <c:pt idx="733">
                  <c:v>83.804365748047999</c:v>
                </c:pt>
                <c:pt idx="734">
                  <c:v>86.18198990025509</c:v>
                </c:pt>
                <c:pt idx="735">
                  <c:v>86.204509580611159</c:v>
                </c:pt>
                <c:pt idx="736">
                  <c:v>87.068773667803129</c:v>
                </c:pt>
                <c:pt idx="737">
                  <c:v>86.913910093241171</c:v>
                </c:pt>
                <c:pt idx="738">
                  <c:v>86.931543461550064</c:v>
                </c:pt>
                <c:pt idx="739">
                  <c:v>86.838403954363201</c:v>
                </c:pt>
                <c:pt idx="740">
                  <c:v>85.840485916082585</c:v>
                </c:pt>
                <c:pt idx="741">
                  <c:v>87.160698303220968</c:v>
                </c:pt>
                <c:pt idx="742">
                  <c:v>90.843324608899906</c:v>
                </c:pt>
                <c:pt idx="743">
                  <c:v>90.775616035912378</c:v>
                </c:pt>
                <c:pt idx="744">
                  <c:v>90.725193441056177</c:v>
                </c:pt>
                <c:pt idx="745">
                  <c:v>90.62813299912213</c:v>
                </c:pt>
                <c:pt idx="746">
                  <c:v>90.643002670214372</c:v>
                </c:pt>
                <c:pt idx="747">
                  <c:v>93.424852230344968</c:v>
                </c:pt>
                <c:pt idx="748">
                  <c:v>92.78652770392965</c:v>
                </c:pt>
                <c:pt idx="749">
                  <c:v>92.782627465191297</c:v>
                </c:pt>
                <c:pt idx="750">
                  <c:v>90.098373090677384</c:v>
                </c:pt>
                <c:pt idx="751">
                  <c:v>88.210551698986549</c:v>
                </c:pt>
                <c:pt idx="752">
                  <c:v>88.426076721914384</c:v>
                </c:pt>
                <c:pt idx="753">
                  <c:v>88.297022868188137</c:v>
                </c:pt>
                <c:pt idx="754">
                  <c:v>89.010603841223684</c:v>
                </c:pt>
                <c:pt idx="755">
                  <c:v>89.097913307092142</c:v>
                </c:pt>
                <c:pt idx="756">
                  <c:v>88.86900923795271</c:v>
                </c:pt>
                <c:pt idx="757">
                  <c:v>89.00989781732244</c:v>
                </c:pt>
                <c:pt idx="758">
                  <c:v>90.084936986759772</c:v>
                </c:pt>
                <c:pt idx="759">
                  <c:v>90.032151144011308</c:v>
                </c:pt>
                <c:pt idx="760">
                  <c:v>90.081881344419671</c:v>
                </c:pt>
                <c:pt idx="761">
                  <c:v>90.379776038435907</c:v>
                </c:pt>
                <c:pt idx="762">
                  <c:v>100.9422765893959</c:v>
                </c:pt>
                <c:pt idx="763">
                  <c:v>101.40547164035509</c:v>
                </c:pt>
                <c:pt idx="764">
                  <c:v>101.37729201613305</c:v>
                </c:pt>
                <c:pt idx="765">
                  <c:v>100.6227070490153</c:v>
                </c:pt>
                <c:pt idx="766">
                  <c:v>99.73030710375518</c:v>
                </c:pt>
                <c:pt idx="767">
                  <c:v>99.553816180305972</c:v>
                </c:pt>
                <c:pt idx="768">
                  <c:v>100.3767987638002</c:v>
                </c:pt>
                <c:pt idx="769">
                  <c:v>100.62218281002919</c:v>
                </c:pt>
                <c:pt idx="770">
                  <c:v>99.809267576272518</c:v>
                </c:pt>
                <c:pt idx="771">
                  <c:v>98.818865688915452</c:v>
                </c:pt>
                <c:pt idx="772">
                  <c:v>99.940181836359017</c:v>
                </c:pt>
                <c:pt idx="773">
                  <c:v>99.871366154839336</c:v>
                </c:pt>
                <c:pt idx="774">
                  <c:v>99.373789303515721</c:v>
                </c:pt>
                <c:pt idx="775">
                  <c:v>100.3720738402025</c:v>
                </c:pt>
                <c:pt idx="776">
                  <c:v>101.76674217114538</c:v>
                </c:pt>
                <c:pt idx="777">
                  <c:v>103.74448403266115</c:v>
                </c:pt>
                <c:pt idx="778">
                  <c:v>104.06016443184024</c:v>
                </c:pt>
                <c:pt idx="779">
                  <c:v>103.37669152781821</c:v>
                </c:pt>
                <c:pt idx="780">
                  <c:v>103.24315220498947</c:v>
                </c:pt>
                <c:pt idx="781">
                  <c:v>103.02140100935655</c:v>
                </c:pt>
                <c:pt idx="782">
                  <c:v>102.42665301055266</c:v>
                </c:pt>
                <c:pt idx="783">
                  <c:v>102.5607803856615</c:v>
                </c:pt>
                <c:pt idx="784">
                  <c:v>102.28687049557657</c:v>
                </c:pt>
                <c:pt idx="785">
                  <c:v>104.45084831615392</c:v>
                </c:pt>
                <c:pt idx="786">
                  <c:v>104.58192378832396</c:v>
                </c:pt>
                <c:pt idx="787">
                  <c:v>105.39466181473249</c:v>
                </c:pt>
                <c:pt idx="788">
                  <c:v>105.50295915014061</c:v>
                </c:pt>
                <c:pt idx="789">
                  <c:v>98.526656976737613</c:v>
                </c:pt>
                <c:pt idx="790">
                  <c:v>95.25052730589745</c:v>
                </c:pt>
                <c:pt idx="791">
                  <c:v>95.796649358895408</c:v>
                </c:pt>
                <c:pt idx="792">
                  <c:v>96.249105046567422</c:v>
                </c:pt>
                <c:pt idx="793">
                  <c:v>96.261887657723932</c:v>
                </c:pt>
                <c:pt idx="794">
                  <c:v>94.501045492668737</c:v>
                </c:pt>
                <c:pt idx="795">
                  <c:v>96.423695178661234</c:v>
                </c:pt>
                <c:pt idx="796">
                  <c:v>95.926035416235095</c:v>
                </c:pt>
                <c:pt idx="797">
                  <c:v>96.310048547500443</c:v>
                </c:pt>
                <c:pt idx="798">
                  <c:v>98.703791938307702</c:v>
                </c:pt>
                <c:pt idx="799">
                  <c:v>103.51594110496045</c:v>
                </c:pt>
                <c:pt idx="800">
                  <c:v>103.78547372747067</c:v>
                </c:pt>
                <c:pt idx="801">
                  <c:v>102.61182971031108</c:v>
                </c:pt>
                <c:pt idx="802">
                  <c:v>98.500319156513982</c:v>
                </c:pt>
                <c:pt idx="803">
                  <c:v>98.921605038364945</c:v>
                </c:pt>
                <c:pt idx="804">
                  <c:v>99.049730337366668</c:v>
                </c:pt>
                <c:pt idx="805">
                  <c:v>99.49200345075441</c:v>
                </c:pt>
                <c:pt idx="806">
                  <c:v>99.832156592841798</c:v>
                </c:pt>
                <c:pt idx="807">
                  <c:v>98.788575840617426</c:v>
                </c:pt>
                <c:pt idx="808">
                  <c:v>98.62427401923982</c:v>
                </c:pt>
                <c:pt idx="809">
                  <c:v>98.385914050338826</c:v>
                </c:pt>
                <c:pt idx="810">
                  <c:v>99.05210574766113</c:v>
                </c:pt>
                <c:pt idx="811">
                  <c:v>100.4003417883105</c:v>
                </c:pt>
                <c:pt idx="812">
                  <c:v>99.563043047888087</c:v>
                </c:pt>
                <c:pt idx="813">
                  <c:v>99.555563363642648</c:v>
                </c:pt>
                <c:pt idx="814">
                  <c:v>98.81157321507547</c:v>
                </c:pt>
                <c:pt idx="815">
                  <c:v>98.798845997113261</c:v>
                </c:pt>
                <c:pt idx="816">
                  <c:v>98.778979592005214</c:v>
                </c:pt>
                <c:pt idx="817">
                  <c:v>97.891239891667297</c:v>
                </c:pt>
                <c:pt idx="818">
                  <c:v>96.851762081420304</c:v>
                </c:pt>
                <c:pt idx="819">
                  <c:v>97.676129008640302</c:v>
                </c:pt>
                <c:pt idx="820">
                  <c:v>97.871868540011221</c:v>
                </c:pt>
                <c:pt idx="821">
                  <c:v>97.524047320808123</c:v>
                </c:pt>
                <c:pt idx="822">
                  <c:v>86.87133495813309</c:v>
                </c:pt>
                <c:pt idx="823">
                  <c:v>85.92401862919516</c:v>
                </c:pt>
                <c:pt idx="824">
                  <c:v>85.872972023862559</c:v>
                </c:pt>
                <c:pt idx="825">
                  <c:v>85.888832859476494</c:v>
                </c:pt>
                <c:pt idx="826">
                  <c:v>86.23349018685586</c:v>
                </c:pt>
                <c:pt idx="827">
                  <c:v>86.359848514622101</c:v>
                </c:pt>
                <c:pt idx="828">
                  <c:v>85.094164764748854</c:v>
                </c:pt>
                <c:pt idx="829">
                  <c:v>84.766052082411306</c:v>
                </c:pt>
                <c:pt idx="830">
                  <c:v>83.830832113767556</c:v>
                </c:pt>
                <c:pt idx="831">
                  <c:v>83.953599043680583</c:v>
                </c:pt>
                <c:pt idx="832">
                  <c:v>82.872279787492673</c:v>
                </c:pt>
                <c:pt idx="833">
                  <c:v>82.901728441358514</c:v>
                </c:pt>
                <c:pt idx="834">
                  <c:v>81.900734222458823</c:v>
                </c:pt>
                <c:pt idx="835">
                  <c:v>81.073504287501663</c:v>
                </c:pt>
                <c:pt idx="836">
                  <c:v>83.254478373395173</c:v>
                </c:pt>
                <c:pt idx="837">
                  <c:v>81.40314877780186</c:v>
                </c:pt>
                <c:pt idx="838">
                  <c:v>81.804937038275256</c:v>
                </c:pt>
                <c:pt idx="839">
                  <c:v>82.005200167899844</c:v>
                </c:pt>
                <c:pt idx="840">
                  <c:v>81.452442364942939</c:v>
                </c:pt>
                <c:pt idx="841">
                  <c:v>81.582858233697365</c:v>
                </c:pt>
                <c:pt idx="842">
                  <c:v>81.778039313163191</c:v>
                </c:pt>
                <c:pt idx="843">
                  <c:v>81.638803692859852</c:v>
                </c:pt>
                <c:pt idx="844">
                  <c:v>81.187944803324697</c:v>
                </c:pt>
                <c:pt idx="845">
                  <c:v>78.135847735673693</c:v>
                </c:pt>
                <c:pt idx="846">
                  <c:v>79.202870863193681</c:v>
                </c:pt>
                <c:pt idx="847">
                  <c:v>78.036276430729359</c:v>
                </c:pt>
                <c:pt idx="848">
                  <c:v>77.78195682917125</c:v>
                </c:pt>
                <c:pt idx="849">
                  <c:v>77.719009964468256</c:v>
                </c:pt>
                <c:pt idx="850">
                  <c:v>77.526983075058681</c:v>
                </c:pt>
                <c:pt idx="851">
                  <c:v>81.71298349003284</c:v>
                </c:pt>
                <c:pt idx="852">
                  <c:v>80.429747359151222</c:v>
                </c:pt>
                <c:pt idx="853">
                  <c:v>80.136518787551182</c:v>
                </c:pt>
                <c:pt idx="854">
                  <c:v>79.735377232809199</c:v>
                </c:pt>
                <c:pt idx="855">
                  <c:v>77.882910896547173</c:v>
                </c:pt>
                <c:pt idx="856">
                  <c:v>77.399101404049347</c:v>
                </c:pt>
                <c:pt idx="857">
                  <c:v>77.103427436218283</c:v>
                </c:pt>
                <c:pt idx="858">
                  <c:v>75.023896689998963</c:v>
                </c:pt>
                <c:pt idx="859">
                  <c:v>67.747682130760523</c:v>
                </c:pt>
                <c:pt idx="860">
                  <c:v>67.028331969783693</c:v>
                </c:pt>
                <c:pt idx="861">
                  <c:v>67.083876174398029</c:v>
                </c:pt>
                <c:pt idx="862">
                  <c:v>67.094567165169792</c:v>
                </c:pt>
                <c:pt idx="863">
                  <c:v>66.85846635349931</c:v>
                </c:pt>
                <c:pt idx="864">
                  <c:v>66.504925613768449</c:v>
                </c:pt>
                <c:pt idx="865">
                  <c:v>66.079670019192477</c:v>
                </c:pt>
                <c:pt idx="866">
                  <c:v>65.889595638183863</c:v>
                </c:pt>
                <c:pt idx="867">
                  <c:v>64.610032843873057</c:v>
                </c:pt>
                <c:pt idx="868">
                  <c:v>64.031232111634409</c:v>
                </c:pt>
                <c:pt idx="869">
                  <c:v>64.155927325626479</c:v>
                </c:pt>
                <c:pt idx="870">
                  <c:v>62.242136766138557</c:v>
                </c:pt>
                <c:pt idx="871">
                  <c:v>60.959541048702647</c:v>
                </c:pt>
                <c:pt idx="872">
                  <c:v>61.216376500628044</c:v>
                </c:pt>
                <c:pt idx="873">
                  <c:v>61.389930373557632</c:v>
                </c:pt>
                <c:pt idx="874">
                  <c:v>61.825750319749176</c:v>
                </c:pt>
                <c:pt idx="875">
                  <c:v>61.987085408830325</c:v>
                </c:pt>
                <c:pt idx="876">
                  <c:v>61.777174992612075</c:v>
                </c:pt>
                <c:pt idx="877">
                  <c:v>61.7881084726246</c:v>
                </c:pt>
                <c:pt idx="878">
                  <c:v>62.298576379079286</c:v>
                </c:pt>
                <c:pt idx="879">
                  <c:v>62.391986814989465</c:v>
                </c:pt>
                <c:pt idx="880">
                  <c:v>63.181279702223684</c:v>
                </c:pt>
                <c:pt idx="881">
                  <c:v>63.307171521502823</c:v>
                </c:pt>
                <c:pt idx="882">
                  <c:v>63.529548023903274</c:v>
                </c:pt>
                <c:pt idx="883">
                  <c:v>63.602580221136165</c:v>
                </c:pt>
                <c:pt idx="884">
                  <c:v>63.545601130789919</c:v>
                </c:pt>
                <c:pt idx="885">
                  <c:v>64.355431189209668</c:v>
                </c:pt>
                <c:pt idx="886">
                  <c:v>63.671419585294487</c:v>
                </c:pt>
                <c:pt idx="887">
                  <c:v>63.011907864675855</c:v>
                </c:pt>
                <c:pt idx="888">
                  <c:v>63.148248854537329</c:v>
                </c:pt>
                <c:pt idx="889">
                  <c:v>62.524320727985291</c:v>
                </c:pt>
                <c:pt idx="890">
                  <c:v>63.009942223915303</c:v>
                </c:pt>
                <c:pt idx="891">
                  <c:v>62.768562021328108</c:v>
                </c:pt>
                <c:pt idx="892">
                  <c:v>62.133588948945871</c:v>
                </c:pt>
                <c:pt idx="893">
                  <c:v>62.721389668202953</c:v>
                </c:pt>
                <c:pt idx="894">
                  <c:v>62.717260210551331</c:v>
                </c:pt>
                <c:pt idx="895">
                  <c:v>61.75597266303869</c:v>
                </c:pt>
                <c:pt idx="896">
                  <c:v>57.025959517619604</c:v>
                </c:pt>
                <c:pt idx="897">
                  <c:v>57.840043947003835</c:v>
                </c:pt>
                <c:pt idx="898">
                  <c:v>59.42671363099025</c:v>
                </c:pt>
                <c:pt idx="899">
                  <c:v>60.915418280759546</c:v>
                </c:pt>
                <c:pt idx="900">
                  <c:v>61.578206331270458</c:v>
                </c:pt>
                <c:pt idx="901">
                  <c:v>60.802697189497245</c:v>
                </c:pt>
                <c:pt idx="902">
                  <c:v>61.460072395262053</c:v>
                </c:pt>
                <c:pt idx="903">
                  <c:v>61.76929764857524</c:v>
                </c:pt>
                <c:pt idx="904">
                  <c:v>63.293780536870024</c:v>
                </c:pt>
                <c:pt idx="905">
                  <c:v>63.502142477621589</c:v>
                </c:pt>
                <c:pt idx="906">
                  <c:v>61.884083128414737</c:v>
                </c:pt>
                <c:pt idx="907">
                  <c:v>61.757488476625333</c:v>
                </c:pt>
                <c:pt idx="908">
                  <c:v>61.88942917548551</c:v>
                </c:pt>
                <c:pt idx="909">
                  <c:v>61.922894952971184</c:v>
                </c:pt>
                <c:pt idx="910">
                  <c:v>61.751849305195805</c:v>
                </c:pt>
                <c:pt idx="911">
                  <c:v>54.879429271083666</c:v>
                </c:pt>
                <c:pt idx="912">
                  <c:v>54.39697163868118</c:v>
                </c:pt>
                <c:pt idx="913">
                  <c:v>54.202018511338089</c:v>
                </c:pt>
                <c:pt idx="914">
                  <c:v>55.018635251866421</c:v>
                </c:pt>
                <c:pt idx="915">
                  <c:v>55.019756382674288</c:v>
                </c:pt>
                <c:pt idx="916">
                  <c:v>54.960567329873157</c:v>
                </c:pt>
                <c:pt idx="917">
                  <c:v>55.162545502236703</c:v>
                </c:pt>
                <c:pt idx="918">
                  <c:v>54.731552621373268</c:v>
                </c:pt>
                <c:pt idx="919">
                  <c:v>59.285436992111414</c:v>
                </c:pt>
                <c:pt idx="920">
                  <c:v>59.382888484571751</c:v>
                </c:pt>
                <c:pt idx="921">
                  <c:v>59.30556506028779</c:v>
                </c:pt>
                <c:pt idx="922">
                  <c:v>59.371549294472068</c:v>
                </c:pt>
                <c:pt idx="923">
                  <c:v>58.937351115639501</c:v>
                </c:pt>
                <c:pt idx="924">
                  <c:v>61.085001715371845</c:v>
                </c:pt>
                <c:pt idx="925">
                  <c:v>60.805943616046029</c:v>
                </c:pt>
                <c:pt idx="926">
                  <c:v>61.348638434430256</c:v>
                </c:pt>
                <c:pt idx="927">
                  <c:v>61.253079910289024</c:v>
                </c:pt>
                <c:pt idx="928">
                  <c:v>64.461784627768992</c:v>
                </c:pt>
                <c:pt idx="929">
                  <c:v>69.13992470430496</c:v>
                </c:pt>
                <c:pt idx="930">
                  <c:v>69.343174261916388</c:v>
                </c:pt>
                <c:pt idx="931">
                  <c:v>68.652409335157756</c:v>
                </c:pt>
                <c:pt idx="932">
                  <c:v>72.888370629777128</c:v>
                </c:pt>
                <c:pt idx="933">
                  <c:v>72.874628486539024</c:v>
                </c:pt>
                <c:pt idx="934">
                  <c:v>72.59997428979355</c:v>
                </c:pt>
                <c:pt idx="935">
                  <c:v>76.790567860138253</c:v>
                </c:pt>
                <c:pt idx="936">
                  <c:v>77.028726289086904</c:v>
                </c:pt>
                <c:pt idx="937">
                  <c:v>77.128021234086049</c:v>
                </c:pt>
                <c:pt idx="938">
                  <c:v>77.150293499330246</c:v>
                </c:pt>
                <c:pt idx="939">
                  <c:v>76.301440405799411</c:v>
                </c:pt>
                <c:pt idx="940">
                  <c:v>74.933079725580882</c:v>
                </c:pt>
                <c:pt idx="941">
                  <c:v>74.974399551236857</c:v>
                </c:pt>
                <c:pt idx="942">
                  <c:v>75.058728156166211</c:v>
                </c:pt>
                <c:pt idx="943">
                  <c:v>75.798791923299717</c:v>
                </c:pt>
                <c:pt idx="944">
                  <c:v>75.917134288261352</c:v>
                </c:pt>
                <c:pt idx="945">
                  <c:v>75.665474372012156</c:v>
                </c:pt>
                <c:pt idx="946">
                  <c:v>75.347108438033928</c:v>
                </c:pt>
                <c:pt idx="947">
                  <c:v>75.899305789905796</c:v>
                </c:pt>
                <c:pt idx="948">
                  <c:v>76.081522427118287</c:v>
                </c:pt>
                <c:pt idx="949">
                  <c:v>76.5066246315928</c:v>
                </c:pt>
                <c:pt idx="950">
                  <c:v>76.072093660985558</c:v>
                </c:pt>
                <c:pt idx="951">
                  <c:v>81.207069507169891</c:v>
                </c:pt>
                <c:pt idx="952">
                  <c:v>85.920177036805057</c:v>
                </c:pt>
                <c:pt idx="953">
                  <c:v>90.366902828010581</c:v>
                </c:pt>
                <c:pt idx="954">
                  <c:v>90.748445691014012</c:v>
                </c:pt>
                <c:pt idx="955">
                  <c:v>90.478838018191567</c:v>
                </c:pt>
                <c:pt idx="956">
                  <c:v>91.606678661079002</c:v>
                </c:pt>
                <c:pt idx="957">
                  <c:v>94.98257742972288</c:v>
                </c:pt>
                <c:pt idx="958">
                  <c:v>93.210242596653401</c:v>
                </c:pt>
                <c:pt idx="959">
                  <c:v>91.795474234764228</c:v>
                </c:pt>
                <c:pt idx="960">
                  <c:v>91.321268448436172</c:v>
                </c:pt>
                <c:pt idx="961">
                  <c:v>91.744856089426847</c:v>
                </c:pt>
                <c:pt idx="962">
                  <c:v>108.89619695630404</c:v>
                </c:pt>
                <c:pt idx="963">
                  <c:v>112.62375299493515</c:v>
                </c:pt>
                <c:pt idx="964">
                  <c:v>112.38269989413317</c:v>
                </c:pt>
                <c:pt idx="965">
                  <c:v>113.24504894270055</c:v>
                </c:pt>
                <c:pt idx="966">
                  <c:v>116.62137856834566</c:v>
                </c:pt>
                <c:pt idx="967">
                  <c:v>116.55541439651687</c:v>
                </c:pt>
                <c:pt idx="968">
                  <c:v>117.68800343993659</c:v>
                </c:pt>
                <c:pt idx="969">
                  <c:v>117.84493372731866</c:v>
                </c:pt>
                <c:pt idx="970">
                  <c:v>118.50310182830646</c:v>
                </c:pt>
                <c:pt idx="971">
                  <c:v>118.55667523510884</c:v>
                </c:pt>
                <c:pt idx="972">
                  <c:v>119.42698209548399</c:v>
                </c:pt>
                <c:pt idx="973">
                  <c:v>119.49133761875336</c:v>
                </c:pt>
                <c:pt idx="974">
                  <c:v>118.78010220300061</c:v>
                </c:pt>
                <c:pt idx="975">
                  <c:v>119.11741004175811</c:v>
                </c:pt>
                <c:pt idx="976">
                  <c:v>118.85751473652479</c:v>
                </c:pt>
                <c:pt idx="977">
                  <c:v>118.90834169914302</c:v>
                </c:pt>
                <c:pt idx="978">
                  <c:v>118.88315158332419</c:v>
                </c:pt>
                <c:pt idx="979">
                  <c:v>117.1971290980586</c:v>
                </c:pt>
                <c:pt idx="980">
                  <c:v>117.41797999900996</c:v>
                </c:pt>
                <c:pt idx="981">
                  <c:v>119.45920654080209</c:v>
                </c:pt>
                <c:pt idx="982">
                  <c:v>122.98281671315007</c:v>
                </c:pt>
                <c:pt idx="983">
                  <c:v>122.96979829360272</c:v>
                </c:pt>
                <c:pt idx="984">
                  <c:v>122.00562948520408</c:v>
                </c:pt>
                <c:pt idx="985">
                  <c:v>122.32061594261239</c:v>
                </c:pt>
                <c:pt idx="986">
                  <c:v>122.45875360959444</c:v>
                </c:pt>
                <c:pt idx="987">
                  <c:v>122.5801075237799</c:v>
                </c:pt>
                <c:pt idx="988">
                  <c:v>120.45374313849973</c:v>
                </c:pt>
                <c:pt idx="989">
                  <c:v>119.78367844337585</c:v>
                </c:pt>
                <c:pt idx="990">
                  <c:v>119.79225257248946</c:v>
                </c:pt>
                <c:pt idx="991">
                  <c:v>119.46200688457496</c:v>
                </c:pt>
                <c:pt idx="992">
                  <c:v>118.39138747020348</c:v>
                </c:pt>
                <c:pt idx="993">
                  <c:v>119.02098570943768</c:v>
                </c:pt>
                <c:pt idx="994">
                  <c:v>120.52399172526169</c:v>
                </c:pt>
                <c:pt idx="995">
                  <c:v>118.30384787598854</c:v>
                </c:pt>
                <c:pt idx="996">
                  <c:v>118.15302976819399</c:v>
                </c:pt>
                <c:pt idx="997">
                  <c:v>120.62310592473789</c:v>
                </c:pt>
                <c:pt idx="998">
                  <c:v>120.71062461003676</c:v>
                </c:pt>
                <c:pt idx="999">
                  <c:v>121.80611799996419</c:v>
                </c:pt>
                <c:pt idx="1000">
                  <c:v>122.36578953564377</c:v>
                </c:pt>
                <c:pt idx="1001">
                  <c:v>122.82500508767814</c:v>
                </c:pt>
                <c:pt idx="1002">
                  <c:v>122.45841511635737</c:v>
                </c:pt>
                <c:pt idx="1003">
                  <c:v>123.63246661296974</c:v>
                </c:pt>
                <c:pt idx="1004">
                  <c:v>123.95332441737187</c:v>
                </c:pt>
                <c:pt idx="1005">
                  <c:v>125.18301786622659</c:v>
                </c:pt>
                <c:pt idx="1006">
                  <c:v>126.16398480056976</c:v>
                </c:pt>
                <c:pt idx="1007">
                  <c:v>126.75612586566163</c:v>
                </c:pt>
                <c:pt idx="1008">
                  <c:v>126.62296519437035</c:v>
                </c:pt>
                <c:pt idx="1009">
                  <c:v>126.74677165295545</c:v>
                </c:pt>
                <c:pt idx="1010">
                  <c:v>126.74321829594209</c:v>
                </c:pt>
                <c:pt idx="1011">
                  <c:v>123.7629879759201</c:v>
                </c:pt>
                <c:pt idx="1012">
                  <c:v>120.91575819409709</c:v>
                </c:pt>
                <c:pt idx="1013">
                  <c:v>116.90314741283649</c:v>
                </c:pt>
                <c:pt idx="1014">
                  <c:v>122.29677517083333</c:v>
                </c:pt>
                <c:pt idx="1015">
                  <c:v>122.33219989594444</c:v>
                </c:pt>
                <c:pt idx="1016">
                  <c:v>121.83131587878779</c:v>
                </c:pt>
                <c:pt idx="1017">
                  <c:v>119.33767682443528</c:v>
                </c:pt>
                <c:pt idx="1018">
                  <c:v>120.01766579691289</c:v>
                </c:pt>
                <c:pt idx="1019">
                  <c:v>120.34684757324383</c:v>
                </c:pt>
                <c:pt idx="1020">
                  <c:v>120.44272547453075</c:v>
                </c:pt>
                <c:pt idx="1021">
                  <c:v>119.99506010820022</c:v>
                </c:pt>
                <c:pt idx="1022">
                  <c:v>101.86965129181318</c:v>
                </c:pt>
                <c:pt idx="1023">
                  <c:v>98.78066483256967</c:v>
                </c:pt>
                <c:pt idx="1024">
                  <c:v>98.175214747636019</c:v>
                </c:pt>
                <c:pt idx="1025">
                  <c:v>96.010444188996672</c:v>
                </c:pt>
                <c:pt idx="1026">
                  <c:v>93.367173313685242</c:v>
                </c:pt>
                <c:pt idx="1027">
                  <c:v>93.349566073794449</c:v>
                </c:pt>
                <c:pt idx="1028">
                  <c:v>92.356669809370047</c:v>
                </c:pt>
                <c:pt idx="1029">
                  <c:v>92.323808408420476</c:v>
                </c:pt>
                <c:pt idx="1030">
                  <c:v>91.866161655110616</c:v>
                </c:pt>
                <c:pt idx="1031">
                  <c:v>91.394209128748031</c:v>
                </c:pt>
                <c:pt idx="1032">
                  <c:v>91.007982475579681</c:v>
                </c:pt>
                <c:pt idx="1033">
                  <c:v>91.456796575478037</c:v>
                </c:pt>
                <c:pt idx="1034">
                  <c:v>92.902511894766022</c:v>
                </c:pt>
                <c:pt idx="1035">
                  <c:v>91.84771300775229</c:v>
                </c:pt>
                <c:pt idx="1036">
                  <c:v>91.949119788800431</c:v>
                </c:pt>
                <c:pt idx="1037">
                  <c:v>93.565790887616529</c:v>
                </c:pt>
                <c:pt idx="1038">
                  <c:v>93.665557761972678</c:v>
                </c:pt>
                <c:pt idx="1039">
                  <c:v>93.672956207476815</c:v>
                </c:pt>
                <c:pt idx="1040">
                  <c:v>93.721773039685516</c:v>
                </c:pt>
                <c:pt idx="1041">
                  <c:v>89.942774620615509</c:v>
                </c:pt>
                <c:pt idx="1042">
                  <c:v>86.23789238754091</c:v>
                </c:pt>
                <c:pt idx="1043">
                  <c:v>86.184036656724004</c:v>
                </c:pt>
                <c:pt idx="1044">
                  <c:v>86.104858767082433</c:v>
                </c:pt>
                <c:pt idx="1045">
                  <c:v>87.539096562166137</c:v>
                </c:pt>
                <c:pt idx="1046">
                  <c:v>87.459590460448595</c:v>
                </c:pt>
                <c:pt idx="1047">
                  <c:v>88.746753957717502</c:v>
                </c:pt>
                <c:pt idx="1048">
                  <c:v>88.670393661357139</c:v>
                </c:pt>
                <c:pt idx="1049">
                  <c:v>86.002209716520355</c:v>
                </c:pt>
                <c:pt idx="1050">
                  <c:v>90.018933429865598</c:v>
                </c:pt>
                <c:pt idx="1051">
                  <c:v>89.181766693977195</c:v>
                </c:pt>
                <c:pt idx="1052">
                  <c:v>87.309888713207528</c:v>
                </c:pt>
                <c:pt idx="1053">
                  <c:v>86.199959303400689</c:v>
                </c:pt>
                <c:pt idx="1054">
                  <c:v>84.817783827533418</c:v>
                </c:pt>
                <c:pt idx="1055">
                  <c:v>84.464578158115259</c:v>
                </c:pt>
                <c:pt idx="1056">
                  <c:v>84.467735599270611</c:v>
                </c:pt>
                <c:pt idx="1057">
                  <c:v>83.181096874184874</c:v>
                </c:pt>
                <c:pt idx="1058">
                  <c:v>82.898456493275901</c:v>
                </c:pt>
                <c:pt idx="1059">
                  <c:v>81.758713947206857</c:v>
                </c:pt>
                <c:pt idx="1060">
                  <c:v>74.359552990842175</c:v>
                </c:pt>
                <c:pt idx="1061">
                  <c:v>74.311905288102935</c:v>
                </c:pt>
                <c:pt idx="1062">
                  <c:v>73.004649539222143</c:v>
                </c:pt>
                <c:pt idx="1063">
                  <c:v>72.17164673125896</c:v>
                </c:pt>
                <c:pt idx="1064">
                  <c:v>72.09808362324469</c:v>
                </c:pt>
                <c:pt idx="1065">
                  <c:v>72.491237186783763</c:v>
                </c:pt>
                <c:pt idx="1066">
                  <c:v>73.283051933408117</c:v>
                </c:pt>
                <c:pt idx="1067">
                  <c:v>72.959426589308848</c:v>
                </c:pt>
                <c:pt idx="1068">
                  <c:v>72.914589118865536</c:v>
                </c:pt>
                <c:pt idx="1069">
                  <c:v>62.459342645802742</c:v>
                </c:pt>
                <c:pt idx="1070">
                  <c:v>62.711649619958507</c:v>
                </c:pt>
                <c:pt idx="1071">
                  <c:v>63.257818579990207</c:v>
                </c:pt>
                <c:pt idx="1072">
                  <c:v>63.600567152930651</c:v>
                </c:pt>
                <c:pt idx="1073">
                  <c:v>63.897800308597276</c:v>
                </c:pt>
                <c:pt idx="1074">
                  <c:v>63.23487944966719</c:v>
                </c:pt>
                <c:pt idx="1075">
                  <c:v>64.396225081606033</c:v>
                </c:pt>
                <c:pt idx="1076">
                  <c:v>64.031551307194306</c:v>
                </c:pt>
                <c:pt idx="1077">
                  <c:v>64.039647839312082</c:v>
                </c:pt>
                <c:pt idx="1078">
                  <c:v>64.475319854121665</c:v>
                </c:pt>
                <c:pt idx="1079">
                  <c:v>64.489874135457839</c:v>
                </c:pt>
                <c:pt idx="1080">
                  <c:v>64.23652410943977</c:v>
                </c:pt>
                <c:pt idx="1081">
                  <c:v>64.04245338676624</c:v>
                </c:pt>
                <c:pt idx="1082">
                  <c:v>64.365012749738341</c:v>
                </c:pt>
                <c:pt idx="1083">
                  <c:v>64.793587419284819</c:v>
                </c:pt>
                <c:pt idx="1084">
                  <c:v>65.589804272480407</c:v>
                </c:pt>
                <c:pt idx="1085">
                  <c:v>65.764142991027086</c:v>
                </c:pt>
                <c:pt idx="1086">
                  <c:v>69.291759946015858</c:v>
                </c:pt>
                <c:pt idx="1087">
                  <c:v>69.481128994283722</c:v>
                </c:pt>
                <c:pt idx="1088">
                  <c:v>69.778350069294717</c:v>
                </c:pt>
                <c:pt idx="1089">
                  <c:v>67.071058520466693</c:v>
                </c:pt>
                <c:pt idx="1090">
                  <c:v>67.609734525851849</c:v>
                </c:pt>
                <c:pt idx="1091">
                  <c:v>67.656124165044844</c:v>
                </c:pt>
                <c:pt idx="1092">
                  <c:v>64.437287408100701</c:v>
                </c:pt>
                <c:pt idx="1093">
                  <c:v>64.743056402709499</c:v>
                </c:pt>
                <c:pt idx="1094">
                  <c:v>65.807773315719118</c:v>
                </c:pt>
                <c:pt idx="1095">
                  <c:v>66.26902863377056</c:v>
                </c:pt>
                <c:pt idx="1096">
                  <c:v>66.740267064134017</c:v>
                </c:pt>
                <c:pt idx="1097">
                  <c:v>66.780029389349451</c:v>
                </c:pt>
                <c:pt idx="1098">
                  <c:v>67.813007731078557</c:v>
                </c:pt>
                <c:pt idx="1099">
                  <c:v>67.74707130617368</c:v>
                </c:pt>
                <c:pt idx="1100">
                  <c:v>66.224875521494127</c:v>
                </c:pt>
                <c:pt idx="1101">
                  <c:v>67.653112988566562</c:v>
                </c:pt>
                <c:pt idx="1102">
                  <c:v>66.470547902817074</c:v>
                </c:pt>
                <c:pt idx="1103">
                  <c:v>67.112658872744134</c:v>
                </c:pt>
                <c:pt idx="1104">
                  <c:v>67.214537142380323</c:v>
                </c:pt>
                <c:pt idx="1105">
                  <c:v>62.398787756624699</c:v>
                </c:pt>
                <c:pt idx="1106">
                  <c:v>62.395376491353858</c:v>
                </c:pt>
                <c:pt idx="1107">
                  <c:v>62.485475731778948</c:v>
                </c:pt>
                <c:pt idx="1108">
                  <c:v>62.338644812952751</c:v>
                </c:pt>
                <c:pt idx="1109">
                  <c:v>62.907032492548055</c:v>
                </c:pt>
                <c:pt idx="1110">
                  <c:v>62.595082437520276</c:v>
                </c:pt>
                <c:pt idx="1111">
                  <c:v>62.393006450312214</c:v>
                </c:pt>
                <c:pt idx="1112">
                  <c:v>60.834734223042574</c:v>
                </c:pt>
                <c:pt idx="1113">
                  <c:v>60.955408938441224</c:v>
                </c:pt>
                <c:pt idx="1114">
                  <c:v>60.995105289038939</c:v>
                </c:pt>
                <c:pt idx="1115">
                  <c:v>61.004133944816253</c:v>
                </c:pt>
                <c:pt idx="1116">
                  <c:v>61.952110232916354</c:v>
                </c:pt>
                <c:pt idx="1117">
                  <c:v>61.276041870686925</c:v>
                </c:pt>
                <c:pt idx="1118">
                  <c:v>61.464331178425233</c:v>
                </c:pt>
                <c:pt idx="1119">
                  <c:v>59.877899466087058</c:v>
                </c:pt>
                <c:pt idx="1120">
                  <c:v>60.076837890063651</c:v>
                </c:pt>
                <c:pt idx="1121">
                  <c:v>60.877412520232653</c:v>
                </c:pt>
                <c:pt idx="1122">
                  <c:v>60.792611789181372</c:v>
                </c:pt>
                <c:pt idx="1123">
                  <c:v>60.929543845982671</c:v>
                </c:pt>
                <c:pt idx="1124">
                  <c:v>61.144128067136506</c:v>
                </c:pt>
                <c:pt idx="1125">
                  <c:v>60.680268557964567</c:v>
                </c:pt>
                <c:pt idx="1126">
                  <c:v>59.742057348540776</c:v>
                </c:pt>
                <c:pt idx="1127">
                  <c:v>59.847160676967562</c:v>
                </c:pt>
                <c:pt idx="1128">
                  <c:v>60.965180510285919</c:v>
                </c:pt>
                <c:pt idx="1129">
                  <c:v>61.069922986826029</c:v>
                </c:pt>
                <c:pt idx="1130">
                  <c:v>61.86794588730293</c:v>
                </c:pt>
                <c:pt idx="1131">
                  <c:v>61.349080722676497</c:v>
                </c:pt>
                <c:pt idx="1132">
                  <c:v>62.723109563096756</c:v>
                </c:pt>
                <c:pt idx="1133">
                  <c:v>61.240586548245112</c:v>
                </c:pt>
                <c:pt idx="1134">
                  <c:v>61.427548654384246</c:v>
                </c:pt>
                <c:pt idx="1135">
                  <c:v>59.722030502295134</c:v>
                </c:pt>
                <c:pt idx="1136">
                  <c:v>59.71861366893387</c:v>
                </c:pt>
                <c:pt idx="1137">
                  <c:v>59.982699018642037</c:v>
                </c:pt>
                <c:pt idx="1138">
                  <c:v>59.690716353354176</c:v>
                </c:pt>
                <c:pt idx="1139">
                  <c:v>59.812735025766194</c:v>
                </c:pt>
                <c:pt idx="1140">
                  <c:v>59.908256862162787</c:v>
                </c:pt>
                <c:pt idx="1141">
                  <c:v>60.176573166554057</c:v>
                </c:pt>
                <c:pt idx="1142">
                  <c:v>60.39797740432077</c:v>
                </c:pt>
                <c:pt idx="1143">
                  <c:v>60.191275398301222</c:v>
                </c:pt>
                <c:pt idx="1144">
                  <c:v>60.084514926075272</c:v>
                </c:pt>
                <c:pt idx="1145">
                  <c:v>60.314317908300993</c:v>
                </c:pt>
                <c:pt idx="1146">
                  <c:v>56.777636200074745</c:v>
                </c:pt>
                <c:pt idx="1147">
                  <c:v>56.049982479048765</c:v>
                </c:pt>
                <c:pt idx="1148">
                  <c:v>56.004249138007523</c:v>
                </c:pt>
                <c:pt idx="1149">
                  <c:v>55.932046697919482</c:v>
                </c:pt>
                <c:pt idx="1150">
                  <c:v>55.739013131240114</c:v>
                </c:pt>
                <c:pt idx="1151">
                  <c:v>55.613749839525141</c:v>
                </c:pt>
                <c:pt idx="1152">
                  <c:v>55.682842614193952</c:v>
                </c:pt>
                <c:pt idx="1153">
                  <c:v>55.956866221150094</c:v>
                </c:pt>
                <c:pt idx="1154">
                  <c:v>54.89069657525539</c:v>
                </c:pt>
                <c:pt idx="1155">
                  <c:v>54.150372051028171</c:v>
                </c:pt>
                <c:pt idx="1156">
                  <c:v>54.201742508530792</c:v>
                </c:pt>
                <c:pt idx="1157">
                  <c:v>54.177569086396772</c:v>
                </c:pt>
                <c:pt idx="1158">
                  <c:v>53.239652943574796</c:v>
                </c:pt>
                <c:pt idx="1159">
                  <c:v>53.221944720361904</c:v>
                </c:pt>
                <c:pt idx="1160">
                  <c:v>53.041562736993257</c:v>
                </c:pt>
                <c:pt idx="1161">
                  <c:v>51.925504173607941</c:v>
                </c:pt>
                <c:pt idx="1162">
                  <c:v>51.938026332538278</c:v>
                </c:pt>
                <c:pt idx="1163">
                  <c:v>51.032845981934805</c:v>
                </c:pt>
                <c:pt idx="1164">
                  <c:v>50.89647401216051</c:v>
                </c:pt>
                <c:pt idx="1165">
                  <c:v>50.526333718470781</c:v>
                </c:pt>
                <c:pt idx="1166">
                  <c:v>50.876106945827779</c:v>
                </c:pt>
                <c:pt idx="1167">
                  <c:v>50.142426029498978</c:v>
                </c:pt>
                <c:pt idx="1168">
                  <c:v>49.684870270659538</c:v>
                </c:pt>
                <c:pt idx="1169">
                  <c:v>49.448446235040869</c:v>
                </c:pt>
                <c:pt idx="1170">
                  <c:v>49.254395106391271</c:v>
                </c:pt>
                <c:pt idx="1171">
                  <c:v>51.334183723807847</c:v>
                </c:pt>
                <c:pt idx="1172">
                  <c:v>51.207760862277006</c:v>
                </c:pt>
                <c:pt idx="1173">
                  <c:v>51.380867417130474</c:v>
                </c:pt>
                <c:pt idx="1174">
                  <c:v>51.493762221242569</c:v>
                </c:pt>
                <c:pt idx="1175">
                  <c:v>51.84144193094432</c:v>
                </c:pt>
                <c:pt idx="1176">
                  <c:v>50.875129285072816</c:v>
                </c:pt>
                <c:pt idx="1177">
                  <c:v>50.934972902726614</c:v>
                </c:pt>
                <c:pt idx="1178">
                  <c:v>50.737825901345033</c:v>
                </c:pt>
                <c:pt idx="1179">
                  <c:v>50.74575537199464</c:v>
                </c:pt>
                <c:pt idx="1180">
                  <c:v>53.569920317473894</c:v>
                </c:pt>
                <c:pt idx="1181">
                  <c:v>51.55985620938187</c:v>
                </c:pt>
                <c:pt idx="1182">
                  <c:v>51.611768381655629</c:v>
                </c:pt>
                <c:pt idx="1183">
                  <c:v>53.846765547100084</c:v>
                </c:pt>
                <c:pt idx="1184">
                  <c:v>54.377001379555267</c:v>
                </c:pt>
                <c:pt idx="1185">
                  <c:v>54.345279402914045</c:v>
                </c:pt>
                <c:pt idx="1186">
                  <c:v>54.542524575543418</c:v>
                </c:pt>
                <c:pt idx="1187">
                  <c:v>54.223656234357897</c:v>
                </c:pt>
                <c:pt idx="1188">
                  <c:v>53.006358204723156</c:v>
                </c:pt>
                <c:pt idx="1189">
                  <c:v>53.109034744648675</c:v>
                </c:pt>
                <c:pt idx="1190">
                  <c:v>51.855560858870845</c:v>
                </c:pt>
                <c:pt idx="1191">
                  <c:v>52.478366283242082</c:v>
                </c:pt>
                <c:pt idx="1192">
                  <c:v>49.899048356177637</c:v>
                </c:pt>
                <c:pt idx="1193">
                  <c:v>49.80770319206821</c:v>
                </c:pt>
                <c:pt idx="1194">
                  <c:v>50.875457191993057</c:v>
                </c:pt>
                <c:pt idx="1195">
                  <c:v>51.441754347318245</c:v>
                </c:pt>
                <c:pt idx="1196">
                  <c:v>51.491742634856116</c:v>
                </c:pt>
                <c:pt idx="1197">
                  <c:v>51.192880948690046</c:v>
                </c:pt>
                <c:pt idx="1198">
                  <c:v>51.132256680241106</c:v>
                </c:pt>
                <c:pt idx="1199">
                  <c:v>50.975714355246836</c:v>
                </c:pt>
                <c:pt idx="1200">
                  <c:v>50.962006462808773</c:v>
                </c:pt>
                <c:pt idx="1201">
                  <c:v>50.7383891386635</c:v>
                </c:pt>
                <c:pt idx="1202">
                  <c:v>50.113460085890125</c:v>
                </c:pt>
                <c:pt idx="1203">
                  <c:v>50.009325324429064</c:v>
                </c:pt>
                <c:pt idx="1204">
                  <c:v>50.244631807541062</c:v>
                </c:pt>
                <c:pt idx="1205">
                  <c:v>50.886290450430891</c:v>
                </c:pt>
                <c:pt idx="1206">
                  <c:v>50.991349842476133</c:v>
                </c:pt>
                <c:pt idx="1207">
                  <c:v>51.06230564533432</c:v>
                </c:pt>
                <c:pt idx="1208">
                  <c:v>50.081550617662671</c:v>
                </c:pt>
                <c:pt idx="1209">
                  <c:v>50.150286001631819</c:v>
                </c:pt>
                <c:pt idx="1210">
                  <c:v>49.952279506733063</c:v>
                </c:pt>
                <c:pt idx="1211">
                  <c:v>50.00499959163183</c:v>
                </c:pt>
                <c:pt idx="1212">
                  <c:v>50.539714059435994</c:v>
                </c:pt>
                <c:pt idx="1213">
                  <c:v>49.07767575519199</c:v>
                </c:pt>
                <c:pt idx="1214">
                  <c:v>48.976515393129247</c:v>
                </c:pt>
                <c:pt idx="1215">
                  <c:v>49.977624542148092</c:v>
                </c:pt>
                <c:pt idx="1216">
                  <c:v>49.261662754530455</c:v>
                </c:pt>
                <c:pt idx="1217">
                  <c:v>49.258373637527839</c:v>
                </c:pt>
                <c:pt idx="1218">
                  <c:v>49.127384315161081</c:v>
                </c:pt>
                <c:pt idx="1219">
                  <c:v>49.191600384637709</c:v>
                </c:pt>
                <c:pt idx="1220">
                  <c:v>50.181513213987294</c:v>
                </c:pt>
                <c:pt idx="1221">
                  <c:v>50.125254843890318</c:v>
                </c:pt>
                <c:pt idx="1222">
                  <c:v>49.607945830842098</c:v>
                </c:pt>
                <c:pt idx="1223">
                  <c:v>49.753429685439315</c:v>
                </c:pt>
                <c:pt idx="1224">
                  <c:v>52.623557669042931</c:v>
                </c:pt>
                <c:pt idx="1225">
                  <c:v>52.494924824924013</c:v>
                </c:pt>
                <c:pt idx="1226">
                  <c:v>53.018771216803451</c:v>
                </c:pt>
                <c:pt idx="1227">
                  <c:v>53.04694341951889</c:v>
                </c:pt>
                <c:pt idx="1228">
                  <c:v>52.459214513384232</c:v>
                </c:pt>
                <c:pt idx="1229">
                  <c:v>52.12216764642492</c:v>
                </c:pt>
                <c:pt idx="1230">
                  <c:v>52.405696608614029</c:v>
                </c:pt>
                <c:pt idx="1231">
                  <c:v>50.124363457805401</c:v>
                </c:pt>
                <c:pt idx="1232">
                  <c:v>50.044296272312607</c:v>
                </c:pt>
                <c:pt idx="1233">
                  <c:v>49.75601386003116</c:v>
                </c:pt>
                <c:pt idx="1234">
                  <c:v>50.001465655677769</c:v>
                </c:pt>
                <c:pt idx="1235">
                  <c:v>49.701862495680075</c:v>
                </c:pt>
                <c:pt idx="1236">
                  <c:v>50.508916943868428</c:v>
                </c:pt>
                <c:pt idx="1237">
                  <c:v>51.362946645288652</c:v>
                </c:pt>
                <c:pt idx="1238">
                  <c:v>51.616167128448339</c:v>
                </c:pt>
                <c:pt idx="1239">
                  <c:v>51.59815113158924</c:v>
                </c:pt>
                <c:pt idx="1240">
                  <c:v>48.449445192460381</c:v>
                </c:pt>
                <c:pt idx="1241">
                  <c:v>48.165948174656108</c:v>
                </c:pt>
                <c:pt idx="1242">
                  <c:v>48.200696933723329</c:v>
                </c:pt>
                <c:pt idx="1243">
                  <c:v>45.651517016335653</c:v>
                </c:pt>
                <c:pt idx="1244">
                  <c:v>44.681388954316176</c:v>
                </c:pt>
                <c:pt idx="1245">
                  <c:v>44.809603158483554</c:v>
                </c:pt>
                <c:pt idx="1246">
                  <c:v>44.573068947714468</c:v>
                </c:pt>
                <c:pt idx="1247">
                  <c:v>45.918357373759626</c:v>
                </c:pt>
                <c:pt idx="1248">
                  <c:v>45.795366899383815</c:v>
                </c:pt>
                <c:pt idx="1249">
                  <c:v>45.941170118802823</c:v>
                </c:pt>
                <c:pt idx="1250">
                  <c:v>46.080800862025391</c:v>
                </c:pt>
                <c:pt idx="1251">
                  <c:v>45.168445121964666</c:v>
                </c:pt>
                <c:pt idx="1252">
                  <c:v>45.424553695711083</c:v>
                </c:pt>
                <c:pt idx="1253">
                  <c:v>45.945800497094034</c:v>
                </c:pt>
                <c:pt idx="1254">
                  <c:v>44.486815134573078</c:v>
                </c:pt>
                <c:pt idx="1255">
                  <c:v>45.593522100535218</c:v>
                </c:pt>
                <c:pt idx="1256">
                  <c:v>45.68102736049768</c:v>
                </c:pt>
                <c:pt idx="1257">
                  <c:v>45.679530374631447</c:v>
                </c:pt>
                <c:pt idx="1258">
                  <c:v>45.684338694162903</c:v>
                </c:pt>
                <c:pt idx="1259">
                  <c:v>45.440964994851271</c:v>
                </c:pt>
                <c:pt idx="1260">
                  <c:v>46.098514985830811</c:v>
                </c:pt>
                <c:pt idx="1261">
                  <c:v>45.945803065506908</c:v>
                </c:pt>
                <c:pt idx="1262">
                  <c:v>46.255523822248058</c:v>
                </c:pt>
                <c:pt idx="1263">
                  <c:v>46.447849387293815</c:v>
                </c:pt>
                <c:pt idx="1264">
                  <c:v>46.185183689734721</c:v>
                </c:pt>
                <c:pt idx="1265">
                  <c:v>45.296073915060234</c:v>
                </c:pt>
                <c:pt idx="1266">
                  <c:v>45.223472343508035</c:v>
                </c:pt>
                <c:pt idx="1267">
                  <c:v>45.258401482916398</c:v>
                </c:pt>
                <c:pt idx="1268">
                  <c:v>48.273715628354374</c:v>
                </c:pt>
                <c:pt idx="1269">
                  <c:v>48.359439816844514</c:v>
                </c:pt>
                <c:pt idx="1270">
                  <c:v>48.257644093865096</c:v>
                </c:pt>
                <c:pt idx="1271">
                  <c:v>48.312239953743592</c:v>
                </c:pt>
                <c:pt idx="1272">
                  <c:v>49.444441935462606</c:v>
                </c:pt>
                <c:pt idx="1273">
                  <c:v>50.316824348741015</c:v>
                </c:pt>
                <c:pt idx="1274">
                  <c:v>50.312844763929107</c:v>
                </c:pt>
                <c:pt idx="1275">
                  <c:v>49.311915749546372</c:v>
                </c:pt>
                <c:pt idx="1276">
                  <c:v>52.465241796829851</c:v>
                </c:pt>
                <c:pt idx="1277">
                  <c:v>57.061607779727773</c:v>
                </c:pt>
                <c:pt idx="1278">
                  <c:v>60.263324948471165</c:v>
                </c:pt>
                <c:pt idx="1279">
                  <c:v>60.349088567244515</c:v>
                </c:pt>
                <c:pt idx="1280">
                  <c:v>59.372517080044126</c:v>
                </c:pt>
                <c:pt idx="1281">
                  <c:v>59.06312246867973</c:v>
                </c:pt>
                <c:pt idx="1282">
                  <c:v>59.057596032933027</c:v>
                </c:pt>
                <c:pt idx="1283">
                  <c:v>59.681953297088242</c:v>
                </c:pt>
                <c:pt idx="1284">
                  <c:v>56.958457165168483</c:v>
                </c:pt>
                <c:pt idx="1285">
                  <c:v>56.915816854749259</c:v>
                </c:pt>
                <c:pt idx="1286">
                  <c:v>56.511971369470061</c:v>
                </c:pt>
                <c:pt idx="1287">
                  <c:v>57.083033586606838</c:v>
                </c:pt>
                <c:pt idx="1288">
                  <c:v>57.189074183458523</c:v>
                </c:pt>
                <c:pt idx="1289">
                  <c:v>57.413028960503887</c:v>
                </c:pt>
                <c:pt idx="1290">
                  <c:v>57.620563376723354</c:v>
                </c:pt>
                <c:pt idx="1291">
                  <c:v>57.603142498291568</c:v>
                </c:pt>
                <c:pt idx="1292">
                  <c:v>57.546088028673822</c:v>
                </c:pt>
                <c:pt idx="1293">
                  <c:v>57.530786654102464</c:v>
                </c:pt>
                <c:pt idx="1294">
                  <c:v>58.08356403192456</c:v>
                </c:pt>
                <c:pt idx="1295">
                  <c:v>58.454545477486441</c:v>
                </c:pt>
                <c:pt idx="1296">
                  <c:v>57.715438620449142</c:v>
                </c:pt>
                <c:pt idx="1297">
                  <c:v>56.913656542750999</c:v>
                </c:pt>
                <c:pt idx="1298">
                  <c:v>57.049984406301668</c:v>
                </c:pt>
                <c:pt idx="1299">
                  <c:v>56.913625569579615</c:v>
                </c:pt>
                <c:pt idx="1300">
                  <c:v>56.744039381531167</c:v>
                </c:pt>
                <c:pt idx="1301">
                  <c:v>56.961423892978281</c:v>
                </c:pt>
                <c:pt idx="1302">
                  <c:v>57.059986256082709</c:v>
                </c:pt>
                <c:pt idx="1303">
                  <c:v>57.125304731199719</c:v>
                </c:pt>
                <c:pt idx="1304">
                  <c:v>56.864799858544387</c:v>
                </c:pt>
                <c:pt idx="1305">
                  <c:v>57.74206960017014</c:v>
                </c:pt>
                <c:pt idx="1306">
                  <c:v>57.780081864967102</c:v>
                </c:pt>
                <c:pt idx="1307">
                  <c:v>57.010006804925126</c:v>
                </c:pt>
                <c:pt idx="1308">
                  <c:v>57.171955665480766</c:v>
                </c:pt>
                <c:pt idx="1309">
                  <c:v>58.444675944166988</c:v>
                </c:pt>
                <c:pt idx="1310">
                  <c:v>58.355711433072479</c:v>
                </c:pt>
                <c:pt idx="1311">
                  <c:v>58.539114424476978</c:v>
                </c:pt>
                <c:pt idx="1312">
                  <c:v>59.305525733734363</c:v>
                </c:pt>
                <c:pt idx="1313">
                  <c:v>59.328725662791967</c:v>
                </c:pt>
                <c:pt idx="1314">
                  <c:v>59.424874585816553</c:v>
                </c:pt>
                <c:pt idx="1315">
                  <c:v>57.96334917926518</c:v>
                </c:pt>
                <c:pt idx="1316">
                  <c:v>58.038193216911239</c:v>
                </c:pt>
                <c:pt idx="1317">
                  <c:v>59.108094688479582</c:v>
                </c:pt>
                <c:pt idx="1318">
                  <c:v>59.525023188681125</c:v>
                </c:pt>
                <c:pt idx="1319">
                  <c:v>59.798467572316113</c:v>
                </c:pt>
                <c:pt idx="1320">
                  <c:v>60.515718462117199</c:v>
                </c:pt>
                <c:pt idx="1321">
                  <c:v>60.74949734871803</c:v>
                </c:pt>
                <c:pt idx="1322">
                  <c:v>60.742338377383255</c:v>
                </c:pt>
                <c:pt idx="1323">
                  <c:v>60.38220942583893</c:v>
                </c:pt>
                <c:pt idx="1324">
                  <c:v>62.713885383691292</c:v>
                </c:pt>
                <c:pt idx="1325">
                  <c:v>62.534672319662434</c:v>
                </c:pt>
                <c:pt idx="1326">
                  <c:v>62.493071977814864</c:v>
                </c:pt>
                <c:pt idx="1327">
                  <c:v>62.558479309581138</c:v>
                </c:pt>
                <c:pt idx="1328">
                  <c:v>60.12695787129941</c:v>
                </c:pt>
                <c:pt idx="1329">
                  <c:v>60.018610875937128</c:v>
                </c:pt>
                <c:pt idx="1330">
                  <c:v>60.629813571401726</c:v>
                </c:pt>
                <c:pt idx="1331">
                  <c:v>62.929026896493234</c:v>
                </c:pt>
                <c:pt idx="1332">
                  <c:v>63.548767879285748</c:v>
                </c:pt>
                <c:pt idx="1333">
                  <c:v>62.998251028379229</c:v>
                </c:pt>
                <c:pt idx="1334">
                  <c:v>64.117237931100362</c:v>
                </c:pt>
                <c:pt idx="1335">
                  <c:v>64.326813188795654</c:v>
                </c:pt>
                <c:pt idx="1336">
                  <c:v>62.646119468592644</c:v>
                </c:pt>
                <c:pt idx="1337">
                  <c:v>58.454561456368793</c:v>
                </c:pt>
                <c:pt idx="1338">
                  <c:v>57.77199750525709</c:v>
                </c:pt>
                <c:pt idx="1339">
                  <c:v>57.822876747830762</c:v>
                </c:pt>
                <c:pt idx="1340">
                  <c:v>61.015538366172947</c:v>
                </c:pt>
                <c:pt idx="1341">
                  <c:v>60.887817852507453</c:v>
                </c:pt>
                <c:pt idx="1342">
                  <c:v>61.874608082439018</c:v>
                </c:pt>
                <c:pt idx="1343">
                  <c:v>61.188561331947753</c:v>
                </c:pt>
                <c:pt idx="1344">
                  <c:v>61.707601907729057</c:v>
                </c:pt>
                <c:pt idx="1345">
                  <c:v>62.06526758944122</c:v>
                </c:pt>
                <c:pt idx="1346">
                  <c:v>61.788390965154214</c:v>
                </c:pt>
                <c:pt idx="1347">
                  <c:v>62.85060053286734</c:v>
                </c:pt>
                <c:pt idx="1348">
                  <c:v>62.862788817726589</c:v>
                </c:pt>
                <c:pt idx="1349">
                  <c:v>63.472470941230718</c:v>
                </c:pt>
                <c:pt idx="1350">
                  <c:v>62.73449524382643</c:v>
                </c:pt>
                <c:pt idx="1351">
                  <c:v>65.985793325089105</c:v>
                </c:pt>
                <c:pt idx="1352">
                  <c:v>66.373334788784774</c:v>
                </c:pt>
                <c:pt idx="1353">
                  <c:v>66.295245452962874</c:v>
                </c:pt>
                <c:pt idx="1354">
                  <c:v>70.374704761482448</c:v>
                </c:pt>
                <c:pt idx="1355">
                  <c:v>69.958251966916237</c:v>
                </c:pt>
                <c:pt idx="1356">
                  <c:v>71.207549595549125</c:v>
                </c:pt>
                <c:pt idx="1357">
                  <c:v>71.19079773841969</c:v>
                </c:pt>
                <c:pt idx="1358">
                  <c:v>70.949380321378442</c:v>
                </c:pt>
                <c:pt idx="1359">
                  <c:v>71.12860817621106</c:v>
                </c:pt>
                <c:pt idx="1360">
                  <c:v>75.538325944536183</c:v>
                </c:pt>
                <c:pt idx="1361">
                  <c:v>76.232716031866971</c:v>
                </c:pt>
                <c:pt idx="1362">
                  <c:v>76.344432621134487</c:v>
                </c:pt>
                <c:pt idx="1363">
                  <c:v>76.398943161582153</c:v>
                </c:pt>
                <c:pt idx="1364">
                  <c:v>76.865804245716205</c:v>
                </c:pt>
                <c:pt idx="1365">
                  <c:v>77.01102868803855</c:v>
                </c:pt>
                <c:pt idx="1366">
                  <c:v>77.049321545069731</c:v>
                </c:pt>
                <c:pt idx="1367">
                  <c:v>77.123532795113547</c:v>
                </c:pt>
                <c:pt idx="1368">
                  <c:v>77.215102800047717</c:v>
                </c:pt>
                <c:pt idx="1369">
                  <c:v>76.955837048127663</c:v>
                </c:pt>
                <c:pt idx="1370">
                  <c:v>77.475795016500953</c:v>
                </c:pt>
                <c:pt idx="1371">
                  <c:v>77.275944592439828</c:v>
                </c:pt>
                <c:pt idx="1372">
                  <c:v>76.487039499732774</c:v>
                </c:pt>
                <c:pt idx="1373">
                  <c:v>79.57650001268351</c:v>
                </c:pt>
                <c:pt idx="1374">
                  <c:v>79.649819440686272</c:v>
                </c:pt>
                <c:pt idx="1375">
                  <c:v>80.162810677022961</c:v>
                </c:pt>
                <c:pt idx="1376">
                  <c:v>80.210334342745227</c:v>
                </c:pt>
                <c:pt idx="1377">
                  <c:v>79.217298019453551</c:v>
                </c:pt>
                <c:pt idx="1378">
                  <c:v>79.082885273767545</c:v>
                </c:pt>
                <c:pt idx="1379">
                  <c:v>78.618934814893706</c:v>
                </c:pt>
                <c:pt idx="1380">
                  <c:v>78.161391845269463</c:v>
                </c:pt>
                <c:pt idx="1381">
                  <c:v>80.757221422026404</c:v>
                </c:pt>
                <c:pt idx="1382">
                  <c:v>80.725261759371335</c:v>
                </c:pt>
                <c:pt idx="1383">
                  <c:v>81.045991207422759</c:v>
                </c:pt>
                <c:pt idx="1384">
                  <c:v>79.024117196849303</c:v>
                </c:pt>
                <c:pt idx="1385">
                  <c:v>79.515255444207085</c:v>
                </c:pt>
                <c:pt idx="1386">
                  <c:v>80.376015491739579</c:v>
                </c:pt>
                <c:pt idx="1387">
                  <c:v>82.318831210566827</c:v>
                </c:pt>
                <c:pt idx="1388">
                  <c:v>83.118609410049842</c:v>
                </c:pt>
                <c:pt idx="1389">
                  <c:v>83.056448449326609</c:v>
                </c:pt>
                <c:pt idx="1390">
                  <c:v>82.702345884887848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Result!$E$2</c:f>
              <c:strCache>
                <c:ptCount val="1"/>
                <c:pt idx="0">
                  <c:v>10 yr Swap Vol</c:v>
                </c:pt>
              </c:strCache>
            </c:strRef>
          </c:tx>
          <c:marker>
            <c:symbol val="none"/>
          </c:marker>
          <c:cat>
            <c:numRef>
              <c:f>Result!$C$3:$C$1393</c:f>
              <c:numCache>
                <c:formatCode>m/d/yyyy</c:formatCode>
                <c:ptCount val="1391"/>
                <c:pt idx="0">
                  <c:v>40053</c:v>
                </c:pt>
                <c:pt idx="1">
                  <c:v>40056</c:v>
                </c:pt>
                <c:pt idx="2">
                  <c:v>40057</c:v>
                </c:pt>
                <c:pt idx="3">
                  <c:v>40058</c:v>
                </c:pt>
                <c:pt idx="4">
                  <c:v>40059</c:v>
                </c:pt>
                <c:pt idx="5">
                  <c:v>40060</c:v>
                </c:pt>
                <c:pt idx="6">
                  <c:v>40064</c:v>
                </c:pt>
                <c:pt idx="7">
                  <c:v>40065</c:v>
                </c:pt>
                <c:pt idx="8">
                  <c:v>40066</c:v>
                </c:pt>
                <c:pt idx="9">
                  <c:v>40067</c:v>
                </c:pt>
                <c:pt idx="10">
                  <c:v>40070</c:v>
                </c:pt>
                <c:pt idx="11">
                  <c:v>40071</c:v>
                </c:pt>
                <c:pt idx="12">
                  <c:v>40072</c:v>
                </c:pt>
                <c:pt idx="13">
                  <c:v>40073</c:v>
                </c:pt>
                <c:pt idx="14">
                  <c:v>40074</c:v>
                </c:pt>
                <c:pt idx="15">
                  <c:v>40077</c:v>
                </c:pt>
                <c:pt idx="16">
                  <c:v>40078</c:v>
                </c:pt>
                <c:pt idx="17">
                  <c:v>40079</c:v>
                </c:pt>
                <c:pt idx="18">
                  <c:v>40080</c:v>
                </c:pt>
                <c:pt idx="19">
                  <c:v>40081</c:v>
                </c:pt>
                <c:pt idx="20">
                  <c:v>40084</c:v>
                </c:pt>
                <c:pt idx="21">
                  <c:v>40085</c:v>
                </c:pt>
                <c:pt idx="22">
                  <c:v>40086</c:v>
                </c:pt>
                <c:pt idx="23">
                  <c:v>40087</c:v>
                </c:pt>
                <c:pt idx="24">
                  <c:v>40088</c:v>
                </c:pt>
                <c:pt idx="25">
                  <c:v>40091</c:v>
                </c:pt>
                <c:pt idx="26">
                  <c:v>40092</c:v>
                </c:pt>
                <c:pt idx="27">
                  <c:v>40093</c:v>
                </c:pt>
                <c:pt idx="28">
                  <c:v>40094</c:v>
                </c:pt>
                <c:pt idx="29">
                  <c:v>40095</c:v>
                </c:pt>
                <c:pt idx="30">
                  <c:v>40099</c:v>
                </c:pt>
                <c:pt idx="31">
                  <c:v>40100</c:v>
                </c:pt>
                <c:pt idx="32">
                  <c:v>40101</c:v>
                </c:pt>
                <c:pt idx="33">
                  <c:v>40102</c:v>
                </c:pt>
                <c:pt idx="34">
                  <c:v>40105</c:v>
                </c:pt>
                <c:pt idx="35">
                  <c:v>40106</c:v>
                </c:pt>
                <c:pt idx="36">
                  <c:v>40107</c:v>
                </c:pt>
                <c:pt idx="37">
                  <c:v>40108</c:v>
                </c:pt>
                <c:pt idx="38">
                  <c:v>40109</c:v>
                </c:pt>
                <c:pt idx="39">
                  <c:v>40112</c:v>
                </c:pt>
                <c:pt idx="40">
                  <c:v>40113</c:v>
                </c:pt>
                <c:pt idx="41">
                  <c:v>40114</c:v>
                </c:pt>
                <c:pt idx="42">
                  <c:v>40115</c:v>
                </c:pt>
                <c:pt idx="43">
                  <c:v>40116</c:v>
                </c:pt>
                <c:pt idx="44">
                  <c:v>40119</c:v>
                </c:pt>
                <c:pt idx="45">
                  <c:v>40120</c:v>
                </c:pt>
                <c:pt idx="46">
                  <c:v>40121</c:v>
                </c:pt>
                <c:pt idx="47">
                  <c:v>40122</c:v>
                </c:pt>
                <c:pt idx="48">
                  <c:v>40123</c:v>
                </c:pt>
                <c:pt idx="49">
                  <c:v>40126</c:v>
                </c:pt>
                <c:pt idx="50">
                  <c:v>40127</c:v>
                </c:pt>
                <c:pt idx="51">
                  <c:v>40129</c:v>
                </c:pt>
                <c:pt idx="52">
                  <c:v>40130</c:v>
                </c:pt>
                <c:pt idx="53">
                  <c:v>40133</c:v>
                </c:pt>
                <c:pt idx="54">
                  <c:v>40134</c:v>
                </c:pt>
                <c:pt idx="55">
                  <c:v>40135</c:v>
                </c:pt>
                <c:pt idx="56">
                  <c:v>40136</c:v>
                </c:pt>
                <c:pt idx="57">
                  <c:v>40137</c:v>
                </c:pt>
                <c:pt idx="58">
                  <c:v>40140</c:v>
                </c:pt>
                <c:pt idx="59">
                  <c:v>40141</c:v>
                </c:pt>
                <c:pt idx="60">
                  <c:v>40142</c:v>
                </c:pt>
                <c:pt idx="61">
                  <c:v>40144</c:v>
                </c:pt>
                <c:pt idx="62">
                  <c:v>40147</c:v>
                </c:pt>
                <c:pt idx="63">
                  <c:v>40148</c:v>
                </c:pt>
                <c:pt idx="64">
                  <c:v>40149</c:v>
                </c:pt>
                <c:pt idx="65">
                  <c:v>40150</c:v>
                </c:pt>
                <c:pt idx="66">
                  <c:v>40151</c:v>
                </c:pt>
                <c:pt idx="67">
                  <c:v>40154</c:v>
                </c:pt>
                <c:pt idx="68">
                  <c:v>40155</c:v>
                </c:pt>
                <c:pt idx="69">
                  <c:v>40156</c:v>
                </c:pt>
                <c:pt idx="70">
                  <c:v>40157</c:v>
                </c:pt>
                <c:pt idx="71">
                  <c:v>40158</c:v>
                </c:pt>
                <c:pt idx="72">
                  <c:v>40161</c:v>
                </c:pt>
                <c:pt idx="73">
                  <c:v>40162</c:v>
                </c:pt>
                <c:pt idx="74">
                  <c:v>40163</c:v>
                </c:pt>
                <c:pt idx="75">
                  <c:v>40164</c:v>
                </c:pt>
                <c:pt idx="76">
                  <c:v>40165</c:v>
                </c:pt>
                <c:pt idx="77">
                  <c:v>40168</c:v>
                </c:pt>
                <c:pt idx="78">
                  <c:v>40169</c:v>
                </c:pt>
                <c:pt idx="79">
                  <c:v>40170</c:v>
                </c:pt>
                <c:pt idx="80">
                  <c:v>40171</c:v>
                </c:pt>
                <c:pt idx="81">
                  <c:v>40175</c:v>
                </c:pt>
                <c:pt idx="82">
                  <c:v>40176</c:v>
                </c:pt>
                <c:pt idx="83">
                  <c:v>40177</c:v>
                </c:pt>
                <c:pt idx="84">
                  <c:v>40178</c:v>
                </c:pt>
                <c:pt idx="85">
                  <c:v>40182</c:v>
                </c:pt>
                <c:pt idx="86">
                  <c:v>40183</c:v>
                </c:pt>
                <c:pt idx="87">
                  <c:v>40184</c:v>
                </c:pt>
                <c:pt idx="88">
                  <c:v>40185</c:v>
                </c:pt>
                <c:pt idx="89">
                  <c:v>40186</c:v>
                </c:pt>
                <c:pt idx="90">
                  <c:v>40189</c:v>
                </c:pt>
                <c:pt idx="91">
                  <c:v>40190</c:v>
                </c:pt>
                <c:pt idx="92">
                  <c:v>40191</c:v>
                </c:pt>
                <c:pt idx="93">
                  <c:v>40192</c:v>
                </c:pt>
                <c:pt idx="94">
                  <c:v>40193</c:v>
                </c:pt>
                <c:pt idx="95">
                  <c:v>40197</c:v>
                </c:pt>
                <c:pt idx="96">
                  <c:v>40198</c:v>
                </c:pt>
                <c:pt idx="97">
                  <c:v>40199</c:v>
                </c:pt>
                <c:pt idx="98">
                  <c:v>40200</c:v>
                </c:pt>
                <c:pt idx="99">
                  <c:v>40203</c:v>
                </c:pt>
                <c:pt idx="100">
                  <c:v>40204</c:v>
                </c:pt>
                <c:pt idx="101">
                  <c:v>40205</c:v>
                </c:pt>
                <c:pt idx="102">
                  <c:v>40206</c:v>
                </c:pt>
                <c:pt idx="103">
                  <c:v>40207</c:v>
                </c:pt>
                <c:pt idx="104">
                  <c:v>40210</c:v>
                </c:pt>
                <c:pt idx="105">
                  <c:v>40211</c:v>
                </c:pt>
                <c:pt idx="106">
                  <c:v>40212</c:v>
                </c:pt>
                <c:pt idx="107">
                  <c:v>40213</c:v>
                </c:pt>
                <c:pt idx="108">
                  <c:v>40214</c:v>
                </c:pt>
                <c:pt idx="109">
                  <c:v>40217</c:v>
                </c:pt>
                <c:pt idx="110">
                  <c:v>40218</c:v>
                </c:pt>
                <c:pt idx="111">
                  <c:v>40219</c:v>
                </c:pt>
                <c:pt idx="112">
                  <c:v>40220</c:v>
                </c:pt>
                <c:pt idx="113">
                  <c:v>40221</c:v>
                </c:pt>
                <c:pt idx="114">
                  <c:v>40225</c:v>
                </c:pt>
                <c:pt idx="115">
                  <c:v>40226</c:v>
                </c:pt>
                <c:pt idx="116">
                  <c:v>40227</c:v>
                </c:pt>
                <c:pt idx="117">
                  <c:v>40228</c:v>
                </c:pt>
                <c:pt idx="118">
                  <c:v>40231</c:v>
                </c:pt>
                <c:pt idx="119">
                  <c:v>40232</c:v>
                </c:pt>
                <c:pt idx="120">
                  <c:v>40233</c:v>
                </c:pt>
                <c:pt idx="121">
                  <c:v>40234</c:v>
                </c:pt>
                <c:pt idx="122">
                  <c:v>40235</c:v>
                </c:pt>
                <c:pt idx="123">
                  <c:v>40238</c:v>
                </c:pt>
                <c:pt idx="124">
                  <c:v>40239</c:v>
                </c:pt>
                <c:pt idx="125">
                  <c:v>40240</c:v>
                </c:pt>
                <c:pt idx="126">
                  <c:v>40241</c:v>
                </c:pt>
                <c:pt idx="127">
                  <c:v>40242</c:v>
                </c:pt>
                <c:pt idx="128">
                  <c:v>40245</c:v>
                </c:pt>
                <c:pt idx="129">
                  <c:v>40246</c:v>
                </c:pt>
                <c:pt idx="130">
                  <c:v>40247</c:v>
                </c:pt>
                <c:pt idx="131">
                  <c:v>40248</c:v>
                </c:pt>
                <c:pt idx="132">
                  <c:v>40249</c:v>
                </c:pt>
                <c:pt idx="133">
                  <c:v>40252</c:v>
                </c:pt>
                <c:pt idx="134">
                  <c:v>40253</c:v>
                </c:pt>
                <c:pt idx="135">
                  <c:v>40254</c:v>
                </c:pt>
                <c:pt idx="136">
                  <c:v>40255</c:v>
                </c:pt>
                <c:pt idx="137">
                  <c:v>40256</c:v>
                </c:pt>
                <c:pt idx="138">
                  <c:v>40259</c:v>
                </c:pt>
                <c:pt idx="139">
                  <c:v>40260</c:v>
                </c:pt>
                <c:pt idx="140">
                  <c:v>40261</c:v>
                </c:pt>
                <c:pt idx="141">
                  <c:v>40262</c:v>
                </c:pt>
                <c:pt idx="142">
                  <c:v>40263</c:v>
                </c:pt>
                <c:pt idx="143">
                  <c:v>40266</c:v>
                </c:pt>
                <c:pt idx="144">
                  <c:v>40267</c:v>
                </c:pt>
                <c:pt idx="145">
                  <c:v>40268</c:v>
                </c:pt>
                <c:pt idx="146">
                  <c:v>40269</c:v>
                </c:pt>
                <c:pt idx="147">
                  <c:v>40273</c:v>
                </c:pt>
                <c:pt idx="148">
                  <c:v>40274</c:v>
                </c:pt>
                <c:pt idx="149">
                  <c:v>40275</c:v>
                </c:pt>
                <c:pt idx="150">
                  <c:v>40276</c:v>
                </c:pt>
                <c:pt idx="151">
                  <c:v>40277</c:v>
                </c:pt>
                <c:pt idx="152">
                  <c:v>40280</c:v>
                </c:pt>
                <c:pt idx="153">
                  <c:v>40281</c:v>
                </c:pt>
                <c:pt idx="154">
                  <c:v>40282</c:v>
                </c:pt>
                <c:pt idx="155">
                  <c:v>40283</c:v>
                </c:pt>
                <c:pt idx="156">
                  <c:v>40284</c:v>
                </c:pt>
                <c:pt idx="157">
                  <c:v>40287</c:v>
                </c:pt>
                <c:pt idx="158">
                  <c:v>40288</c:v>
                </c:pt>
                <c:pt idx="159">
                  <c:v>40289</c:v>
                </c:pt>
                <c:pt idx="160">
                  <c:v>40290</c:v>
                </c:pt>
                <c:pt idx="161">
                  <c:v>40291</c:v>
                </c:pt>
                <c:pt idx="162">
                  <c:v>40294</c:v>
                </c:pt>
                <c:pt idx="163">
                  <c:v>40295</c:v>
                </c:pt>
                <c:pt idx="164">
                  <c:v>40296</c:v>
                </c:pt>
                <c:pt idx="165">
                  <c:v>40297</c:v>
                </c:pt>
                <c:pt idx="166">
                  <c:v>40298</c:v>
                </c:pt>
                <c:pt idx="167">
                  <c:v>40301</c:v>
                </c:pt>
                <c:pt idx="168">
                  <c:v>40302</c:v>
                </c:pt>
                <c:pt idx="169">
                  <c:v>40303</c:v>
                </c:pt>
                <c:pt idx="170">
                  <c:v>40304</c:v>
                </c:pt>
                <c:pt idx="171">
                  <c:v>40305</c:v>
                </c:pt>
                <c:pt idx="172">
                  <c:v>40308</c:v>
                </c:pt>
                <c:pt idx="173">
                  <c:v>40309</c:v>
                </c:pt>
                <c:pt idx="174">
                  <c:v>40310</c:v>
                </c:pt>
                <c:pt idx="175">
                  <c:v>40311</c:v>
                </c:pt>
                <c:pt idx="176">
                  <c:v>40312</c:v>
                </c:pt>
                <c:pt idx="177">
                  <c:v>40315</c:v>
                </c:pt>
                <c:pt idx="178">
                  <c:v>40316</c:v>
                </c:pt>
                <c:pt idx="179">
                  <c:v>40317</c:v>
                </c:pt>
                <c:pt idx="180">
                  <c:v>40318</c:v>
                </c:pt>
                <c:pt idx="181">
                  <c:v>40319</c:v>
                </c:pt>
                <c:pt idx="182">
                  <c:v>40322</c:v>
                </c:pt>
                <c:pt idx="183">
                  <c:v>40323</c:v>
                </c:pt>
                <c:pt idx="184">
                  <c:v>40324</c:v>
                </c:pt>
                <c:pt idx="185">
                  <c:v>40325</c:v>
                </c:pt>
                <c:pt idx="186">
                  <c:v>40326</c:v>
                </c:pt>
                <c:pt idx="187">
                  <c:v>40330</c:v>
                </c:pt>
                <c:pt idx="188">
                  <c:v>40331</c:v>
                </c:pt>
                <c:pt idx="189">
                  <c:v>40332</c:v>
                </c:pt>
                <c:pt idx="190">
                  <c:v>40333</c:v>
                </c:pt>
                <c:pt idx="191">
                  <c:v>40336</c:v>
                </c:pt>
                <c:pt idx="192">
                  <c:v>40337</c:v>
                </c:pt>
                <c:pt idx="193">
                  <c:v>40338</c:v>
                </c:pt>
                <c:pt idx="194">
                  <c:v>40339</c:v>
                </c:pt>
                <c:pt idx="195">
                  <c:v>40340</c:v>
                </c:pt>
                <c:pt idx="196">
                  <c:v>40343</c:v>
                </c:pt>
                <c:pt idx="197">
                  <c:v>40344</c:v>
                </c:pt>
                <c:pt idx="198">
                  <c:v>40345</c:v>
                </c:pt>
                <c:pt idx="199">
                  <c:v>40346</c:v>
                </c:pt>
                <c:pt idx="200">
                  <c:v>40347</c:v>
                </c:pt>
                <c:pt idx="201">
                  <c:v>40350</c:v>
                </c:pt>
                <c:pt idx="202">
                  <c:v>40351</c:v>
                </c:pt>
                <c:pt idx="203">
                  <c:v>40352</c:v>
                </c:pt>
                <c:pt idx="204">
                  <c:v>40353</c:v>
                </c:pt>
                <c:pt idx="205">
                  <c:v>40354</c:v>
                </c:pt>
                <c:pt idx="206">
                  <c:v>40357</c:v>
                </c:pt>
                <c:pt idx="207">
                  <c:v>40358</c:v>
                </c:pt>
                <c:pt idx="208">
                  <c:v>40359</c:v>
                </c:pt>
                <c:pt idx="209">
                  <c:v>40360</c:v>
                </c:pt>
                <c:pt idx="210">
                  <c:v>40361</c:v>
                </c:pt>
                <c:pt idx="211">
                  <c:v>40365</c:v>
                </c:pt>
                <c:pt idx="212">
                  <c:v>40366</c:v>
                </c:pt>
                <c:pt idx="213">
                  <c:v>40367</c:v>
                </c:pt>
                <c:pt idx="214">
                  <c:v>40368</c:v>
                </c:pt>
                <c:pt idx="215">
                  <c:v>40371</c:v>
                </c:pt>
                <c:pt idx="216">
                  <c:v>40372</c:v>
                </c:pt>
                <c:pt idx="217">
                  <c:v>40373</c:v>
                </c:pt>
                <c:pt idx="218">
                  <c:v>40374</c:v>
                </c:pt>
                <c:pt idx="219">
                  <c:v>40375</c:v>
                </c:pt>
                <c:pt idx="220">
                  <c:v>40378</c:v>
                </c:pt>
                <c:pt idx="221">
                  <c:v>40379</c:v>
                </c:pt>
                <c:pt idx="222">
                  <c:v>40380</c:v>
                </c:pt>
                <c:pt idx="223">
                  <c:v>40381</c:v>
                </c:pt>
                <c:pt idx="224">
                  <c:v>40382</c:v>
                </c:pt>
                <c:pt idx="225">
                  <c:v>40385</c:v>
                </c:pt>
                <c:pt idx="226">
                  <c:v>40386</c:v>
                </c:pt>
                <c:pt idx="227">
                  <c:v>40387</c:v>
                </c:pt>
                <c:pt idx="228">
                  <c:v>40388</c:v>
                </c:pt>
                <c:pt idx="229">
                  <c:v>40389</c:v>
                </c:pt>
                <c:pt idx="230">
                  <c:v>40392</c:v>
                </c:pt>
                <c:pt idx="231">
                  <c:v>40393</c:v>
                </c:pt>
                <c:pt idx="232">
                  <c:v>40394</c:v>
                </c:pt>
                <c:pt idx="233">
                  <c:v>40395</c:v>
                </c:pt>
                <c:pt idx="234">
                  <c:v>40396</c:v>
                </c:pt>
                <c:pt idx="235">
                  <c:v>40399</c:v>
                </c:pt>
                <c:pt idx="236">
                  <c:v>40400</c:v>
                </c:pt>
                <c:pt idx="237">
                  <c:v>40401</c:v>
                </c:pt>
                <c:pt idx="238">
                  <c:v>40402</c:v>
                </c:pt>
                <c:pt idx="239">
                  <c:v>40403</c:v>
                </c:pt>
                <c:pt idx="240">
                  <c:v>40406</c:v>
                </c:pt>
                <c:pt idx="241">
                  <c:v>40407</c:v>
                </c:pt>
                <c:pt idx="242">
                  <c:v>40408</c:v>
                </c:pt>
                <c:pt idx="243">
                  <c:v>40409</c:v>
                </c:pt>
                <c:pt idx="244">
                  <c:v>40410</c:v>
                </c:pt>
                <c:pt idx="245">
                  <c:v>40413</c:v>
                </c:pt>
                <c:pt idx="246">
                  <c:v>40414</c:v>
                </c:pt>
                <c:pt idx="247">
                  <c:v>40415</c:v>
                </c:pt>
                <c:pt idx="248">
                  <c:v>40416</c:v>
                </c:pt>
                <c:pt idx="249">
                  <c:v>40417</c:v>
                </c:pt>
                <c:pt idx="250">
                  <c:v>40420</c:v>
                </c:pt>
                <c:pt idx="251">
                  <c:v>40421</c:v>
                </c:pt>
                <c:pt idx="252">
                  <c:v>40422</c:v>
                </c:pt>
                <c:pt idx="253">
                  <c:v>40423</c:v>
                </c:pt>
                <c:pt idx="254">
                  <c:v>40424</c:v>
                </c:pt>
                <c:pt idx="255">
                  <c:v>40428</c:v>
                </c:pt>
                <c:pt idx="256">
                  <c:v>40429</c:v>
                </c:pt>
                <c:pt idx="257">
                  <c:v>40430</c:v>
                </c:pt>
                <c:pt idx="258">
                  <c:v>40431</c:v>
                </c:pt>
                <c:pt idx="259">
                  <c:v>40434</c:v>
                </c:pt>
                <c:pt idx="260">
                  <c:v>40435</c:v>
                </c:pt>
                <c:pt idx="261">
                  <c:v>40436</c:v>
                </c:pt>
                <c:pt idx="262">
                  <c:v>40437</c:v>
                </c:pt>
                <c:pt idx="263">
                  <c:v>40438</c:v>
                </c:pt>
                <c:pt idx="264">
                  <c:v>40441</c:v>
                </c:pt>
                <c:pt idx="265">
                  <c:v>40442</c:v>
                </c:pt>
                <c:pt idx="266">
                  <c:v>40443</c:v>
                </c:pt>
                <c:pt idx="267">
                  <c:v>40444</c:v>
                </c:pt>
                <c:pt idx="268">
                  <c:v>40445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40455</c:v>
                </c:pt>
                <c:pt idx="275">
                  <c:v>40456</c:v>
                </c:pt>
                <c:pt idx="276">
                  <c:v>40457</c:v>
                </c:pt>
                <c:pt idx="277">
                  <c:v>40458</c:v>
                </c:pt>
                <c:pt idx="278">
                  <c:v>40459</c:v>
                </c:pt>
                <c:pt idx="279">
                  <c:v>40463</c:v>
                </c:pt>
                <c:pt idx="280">
                  <c:v>40464</c:v>
                </c:pt>
                <c:pt idx="281">
                  <c:v>40465</c:v>
                </c:pt>
                <c:pt idx="282">
                  <c:v>40466</c:v>
                </c:pt>
                <c:pt idx="283">
                  <c:v>40469</c:v>
                </c:pt>
                <c:pt idx="284">
                  <c:v>40470</c:v>
                </c:pt>
                <c:pt idx="285">
                  <c:v>40471</c:v>
                </c:pt>
                <c:pt idx="286">
                  <c:v>40472</c:v>
                </c:pt>
                <c:pt idx="287">
                  <c:v>40473</c:v>
                </c:pt>
                <c:pt idx="288">
                  <c:v>40476</c:v>
                </c:pt>
                <c:pt idx="289">
                  <c:v>40477</c:v>
                </c:pt>
                <c:pt idx="290">
                  <c:v>40478</c:v>
                </c:pt>
                <c:pt idx="291">
                  <c:v>40479</c:v>
                </c:pt>
                <c:pt idx="292">
                  <c:v>40480</c:v>
                </c:pt>
                <c:pt idx="293">
                  <c:v>40483</c:v>
                </c:pt>
                <c:pt idx="294">
                  <c:v>40484</c:v>
                </c:pt>
                <c:pt idx="295">
                  <c:v>40485</c:v>
                </c:pt>
                <c:pt idx="296">
                  <c:v>40486</c:v>
                </c:pt>
                <c:pt idx="297">
                  <c:v>40487</c:v>
                </c:pt>
                <c:pt idx="298">
                  <c:v>40490</c:v>
                </c:pt>
                <c:pt idx="299">
                  <c:v>40491</c:v>
                </c:pt>
                <c:pt idx="300">
                  <c:v>40492</c:v>
                </c:pt>
                <c:pt idx="301">
                  <c:v>40494</c:v>
                </c:pt>
                <c:pt idx="302">
                  <c:v>40497</c:v>
                </c:pt>
                <c:pt idx="303">
                  <c:v>40498</c:v>
                </c:pt>
                <c:pt idx="304">
                  <c:v>40499</c:v>
                </c:pt>
                <c:pt idx="305">
                  <c:v>40500</c:v>
                </c:pt>
                <c:pt idx="306">
                  <c:v>40501</c:v>
                </c:pt>
                <c:pt idx="307">
                  <c:v>40504</c:v>
                </c:pt>
                <c:pt idx="308">
                  <c:v>40505</c:v>
                </c:pt>
                <c:pt idx="309">
                  <c:v>40506</c:v>
                </c:pt>
                <c:pt idx="310">
                  <c:v>40508</c:v>
                </c:pt>
                <c:pt idx="311">
                  <c:v>40511</c:v>
                </c:pt>
                <c:pt idx="312">
                  <c:v>40512</c:v>
                </c:pt>
                <c:pt idx="313">
                  <c:v>40513</c:v>
                </c:pt>
                <c:pt idx="314">
                  <c:v>40514</c:v>
                </c:pt>
                <c:pt idx="315">
                  <c:v>40515</c:v>
                </c:pt>
                <c:pt idx="316">
                  <c:v>40518</c:v>
                </c:pt>
                <c:pt idx="317">
                  <c:v>40519</c:v>
                </c:pt>
                <c:pt idx="318">
                  <c:v>40520</c:v>
                </c:pt>
                <c:pt idx="319">
                  <c:v>40521</c:v>
                </c:pt>
                <c:pt idx="320">
                  <c:v>40522</c:v>
                </c:pt>
                <c:pt idx="321">
                  <c:v>40525</c:v>
                </c:pt>
                <c:pt idx="322">
                  <c:v>40526</c:v>
                </c:pt>
                <c:pt idx="323">
                  <c:v>40527</c:v>
                </c:pt>
                <c:pt idx="324">
                  <c:v>40528</c:v>
                </c:pt>
                <c:pt idx="325">
                  <c:v>40529</c:v>
                </c:pt>
                <c:pt idx="326">
                  <c:v>40532</c:v>
                </c:pt>
                <c:pt idx="327">
                  <c:v>40533</c:v>
                </c:pt>
                <c:pt idx="328">
                  <c:v>40534</c:v>
                </c:pt>
                <c:pt idx="329">
                  <c:v>40535</c:v>
                </c:pt>
                <c:pt idx="330">
                  <c:v>40539</c:v>
                </c:pt>
                <c:pt idx="331">
                  <c:v>40540</c:v>
                </c:pt>
                <c:pt idx="332">
                  <c:v>40541</c:v>
                </c:pt>
                <c:pt idx="333">
                  <c:v>40542</c:v>
                </c:pt>
                <c:pt idx="334">
                  <c:v>40543</c:v>
                </c:pt>
                <c:pt idx="335">
                  <c:v>40546</c:v>
                </c:pt>
                <c:pt idx="336">
                  <c:v>40547</c:v>
                </c:pt>
                <c:pt idx="337">
                  <c:v>40548</c:v>
                </c:pt>
                <c:pt idx="338">
                  <c:v>40549</c:v>
                </c:pt>
                <c:pt idx="339">
                  <c:v>40550</c:v>
                </c:pt>
                <c:pt idx="340">
                  <c:v>40553</c:v>
                </c:pt>
                <c:pt idx="341">
                  <c:v>40554</c:v>
                </c:pt>
                <c:pt idx="342">
                  <c:v>40555</c:v>
                </c:pt>
                <c:pt idx="343">
                  <c:v>40556</c:v>
                </c:pt>
                <c:pt idx="344">
                  <c:v>40557</c:v>
                </c:pt>
                <c:pt idx="345">
                  <c:v>40561</c:v>
                </c:pt>
                <c:pt idx="346">
                  <c:v>40562</c:v>
                </c:pt>
                <c:pt idx="347">
                  <c:v>40563</c:v>
                </c:pt>
                <c:pt idx="348">
                  <c:v>40564</c:v>
                </c:pt>
                <c:pt idx="349">
                  <c:v>40567</c:v>
                </c:pt>
                <c:pt idx="350">
                  <c:v>40568</c:v>
                </c:pt>
                <c:pt idx="351">
                  <c:v>40569</c:v>
                </c:pt>
                <c:pt idx="352">
                  <c:v>40570</c:v>
                </c:pt>
                <c:pt idx="353">
                  <c:v>40571</c:v>
                </c:pt>
                <c:pt idx="354">
                  <c:v>40574</c:v>
                </c:pt>
                <c:pt idx="355">
                  <c:v>40575</c:v>
                </c:pt>
                <c:pt idx="356">
                  <c:v>40576</c:v>
                </c:pt>
                <c:pt idx="357">
                  <c:v>40577</c:v>
                </c:pt>
                <c:pt idx="358">
                  <c:v>40578</c:v>
                </c:pt>
                <c:pt idx="359">
                  <c:v>40581</c:v>
                </c:pt>
                <c:pt idx="360">
                  <c:v>40582</c:v>
                </c:pt>
                <c:pt idx="361">
                  <c:v>40583</c:v>
                </c:pt>
                <c:pt idx="362">
                  <c:v>40584</c:v>
                </c:pt>
                <c:pt idx="363">
                  <c:v>40585</c:v>
                </c:pt>
                <c:pt idx="364">
                  <c:v>40588</c:v>
                </c:pt>
                <c:pt idx="365">
                  <c:v>40589</c:v>
                </c:pt>
                <c:pt idx="366">
                  <c:v>40590</c:v>
                </c:pt>
                <c:pt idx="367">
                  <c:v>40591</c:v>
                </c:pt>
                <c:pt idx="368">
                  <c:v>40592</c:v>
                </c:pt>
                <c:pt idx="369">
                  <c:v>40596</c:v>
                </c:pt>
                <c:pt idx="370">
                  <c:v>40597</c:v>
                </c:pt>
                <c:pt idx="371">
                  <c:v>40598</c:v>
                </c:pt>
                <c:pt idx="372">
                  <c:v>40599</c:v>
                </c:pt>
                <c:pt idx="373">
                  <c:v>40602</c:v>
                </c:pt>
                <c:pt idx="374">
                  <c:v>40603</c:v>
                </c:pt>
                <c:pt idx="375">
                  <c:v>40604</c:v>
                </c:pt>
                <c:pt idx="376">
                  <c:v>40605</c:v>
                </c:pt>
                <c:pt idx="377">
                  <c:v>40606</c:v>
                </c:pt>
                <c:pt idx="378">
                  <c:v>40609</c:v>
                </c:pt>
                <c:pt idx="379">
                  <c:v>40610</c:v>
                </c:pt>
                <c:pt idx="380">
                  <c:v>40611</c:v>
                </c:pt>
                <c:pt idx="381">
                  <c:v>40612</c:v>
                </c:pt>
                <c:pt idx="382">
                  <c:v>40613</c:v>
                </c:pt>
                <c:pt idx="383">
                  <c:v>40616</c:v>
                </c:pt>
                <c:pt idx="384">
                  <c:v>40617</c:v>
                </c:pt>
                <c:pt idx="385">
                  <c:v>40618</c:v>
                </c:pt>
                <c:pt idx="386">
                  <c:v>40619</c:v>
                </c:pt>
                <c:pt idx="387">
                  <c:v>40620</c:v>
                </c:pt>
                <c:pt idx="388">
                  <c:v>40623</c:v>
                </c:pt>
                <c:pt idx="389">
                  <c:v>40624</c:v>
                </c:pt>
                <c:pt idx="390">
                  <c:v>40625</c:v>
                </c:pt>
                <c:pt idx="391">
                  <c:v>40626</c:v>
                </c:pt>
                <c:pt idx="392">
                  <c:v>40627</c:v>
                </c:pt>
                <c:pt idx="393">
                  <c:v>40630</c:v>
                </c:pt>
                <c:pt idx="394">
                  <c:v>40631</c:v>
                </c:pt>
                <c:pt idx="395">
                  <c:v>40632</c:v>
                </c:pt>
                <c:pt idx="396">
                  <c:v>40633</c:v>
                </c:pt>
                <c:pt idx="397">
                  <c:v>40634</c:v>
                </c:pt>
                <c:pt idx="398">
                  <c:v>40637</c:v>
                </c:pt>
                <c:pt idx="399">
                  <c:v>40638</c:v>
                </c:pt>
                <c:pt idx="400">
                  <c:v>40639</c:v>
                </c:pt>
                <c:pt idx="401">
                  <c:v>40640</c:v>
                </c:pt>
                <c:pt idx="402">
                  <c:v>40641</c:v>
                </c:pt>
                <c:pt idx="403">
                  <c:v>40644</c:v>
                </c:pt>
                <c:pt idx="404">
                  <c:v>40645</c:v>
                </c:pt>
                <c:pt idx="405">
                  <c:v>40646</c:v>
                </c:pt>
                <c:pt idx="406">
                  <c:v>40647</c:v>
                </c:pt>
                <c:pt idx="407">
                  <c:v>40648</c:v>
                </c:pt>
                <c:pt idx="408">
                  <c:v>40651</c:v>
                </c:pt>
                <c:pt idx="409">
                  <c:v>40652</c:v>
                </c:pt>
                <c:pt idx="410">
                  <c:v>40653</c:v>
                </c:pt>
                <c:pt idx="411">
                  <c:v>40654</c:v>
                </c:pt>
                <c:pt idx="412">
                  <c:v>40658</c:v>
                </c:pt>
                <c:pt idx="413">
                  <c:v>40659</c:v>
                </c:pt>
                <c:pt idx="414">
                  <c:v>40660</c:v>
                </c:pt>
                <c:pt idx="415">
                  <c:v>40661</c:v>
                </c:pt>
                <c:pt idx="416">
                  <c:v>40662</c:v>
                </c:pt>
                <c:pt idx="417">
                  <c:v>40665</c:v>
                </c:pt>
                <c:pt idx="418">
                  <c:v>40666</c:v>
                </c:pt>
                <c:pt idx="419">
                  <c:v>40667</c:v>
                </c:pt>
                <c:pt idx="420">
                  <c:v>40668</c:v>
                </c:pt>
                <c:pt idx="421">
                  <c:v>40669</c:v>
                </c:pt>
                <c:pt idx="422">
                  <c:v>40672</c:v>
                </c:pt>
                <c:pt idx="423">
                  <c:v>40673</c:v>
                </c:pt>
                <c:pt idx="424">
                  <c:v>40674</c:v>
                </c:pt>
                <c:pt idx="425">
                  <c:v>40675</c:v>
                </c:pt>
                <c:pt idx="426">
                  <c:v>40676</c:v>
                </c:pt>
                <c:pt idx="427">
                  <c:v>40679</c:v>
                </c:pt>
                <c:pt idx="428">
                  <c:v>40680</c:v>
                </c:pt>
                <c:pt idx="429">
                  <c:v>40681</c:v>
                </c:pt>
                <c:pt idx="430">
                  <c:v>40682</c:v>
                </c:pt>
                <c:pt idx="431">
                  <c:v>40683</c:v>
                </c:pt>
                <c:pt idx="432">
                  <c:v>40686</c:v>
                </c:pt>
                <c:pt idx="433">
                  <c:v>40687</c:v>
                </c:pt>
                <c:pt idx="434">
                  <c:v>40688</c:v>
                </c:pt>
                <c:pt idx="435">
                  <c:v>40689</c:v>
                </c:pt>
                <c:pt idx="436">
                  <c:v>40690</c:v>
                </c:pt>
                <c:pt idx="437">
                  <c:v>40694</c:v>
                </c:pt>
                <c:pt idx="438">
                  <c:v>40695</c:v>
                </c:pt>
                <c:pt idx="439">
                  <c:v>40696</c:v>
                </c:pt>
                <c:pt idx="440">
                  <c:v>40697</c:v>
                </c:pt>
                <c:pt idx="441">
                  <c:v>40700</c:v>
                </c:pt>
                <c:pt idx="442">
                  <c:v>40701</c:v>
                </c:pt>
                <c:pt idx="443">
                  <c:v>40702</c:v>
                </c:pt>
                <c:pt idx="444">
                  <c:v>40703</c:v>
                </c:pt>
                <c:pt idx="445">
                  <c:v>40704</c:v>
                </c:pt>
                <c:pt idx="446">
                  <c:v>40707</c:v>
                </c:pt>
                <c:pt idx="447">
                  <c:v>40708</c:v>
                </c:pt>
                <c:pt idx="448">
                  <c:v>40709</c:v>
                </c:pt>
                <c:pt idx="449">
                  <c:v>40710</c:v>
                </c:pt>
                <c:pt idx="450">
                  <c:v>40711</c:v>
                </c:pt>
                <c:pt idx="451">
                  <c:v>40714</c:v>
                </c:pt>
                <c:pt idx="452">
                  <c:v>40715</c:v>
                </c:pt>
                <c:pt idx="453">
                  <c:v>40716</c:v>
                </c:pt>
                <c:pt idx="454">
                  <c:v>40717</c:v>
                </c:pt>
                <c:pt idx="455">
                  <c:v>40718</c:v>
                </c:pt>
                <c:pt idx="456">
                  <c:v>40721</c:v>
                </c:pt>
                <c:pt idx="457">
                  <c:v>40722</c:v>
                </c:pt>
                <c:pt idx="458">
                  <c:v>40723</c:v>
                </c:pt>
                <c:pt idx="459">
                  <c:v>40724</c:v>
                </c:pt>
                <c:pt idx="460">
                  <c:v>40725</c:v>
                </c:pt>
                <c:pt idx="461">
                  <c:v>40729</c:v>
                </c:pt>
                <c:pt idx="462">
                  <c:v>40730</c:v>
                </c:pt>
                <c:pt idx="463">
                  <c:v>40731</c:v>
                </c:pt>
                <c:pt idx="464">
                  <c:v>40732</c:v>
                </c:pt>
                <c:pt idx="465">
                  <c:v>40735</c:v>
                </c:pt>
                <c:pt idx="466">
                  <c:v>40736</c:v>
                </c:pt>
                <c:pt idx="467">
                  <c:v>40737</c:v>
                </c:pt>
                <c:pt idx="468">
                  <c:v>40738</c:v>
                </c:pt>
                <c:pt idx="469">
                  <c:v>40739</c:v>
                </c:pt>
                <c:pt idx="470">
                  <c:v>40742</c:v>
                </c:pt>
                <c:pt idx="471">
                  <c:v>40743</c:v>
                </c:pt>
                <c:pt idx="472">
                  <c:v>40744</c:v>
                </c:pt>
                <c:pt idx="473">
                  <c:v>40745</c:v>
                </c:pt>
                <c:pt idx="474">
                  <c:v>40746</c:v>
                </c:pt>
                <c:pt idx="475">
                  <c:v>40749</c:v>
                </c:pt>
                <c:pt idx="476">
                  <c:v>40750</c:v>
                </c:pt>
                <c:pt idx="477">
                  <c:v>40751</c:v>
                </c:pt>
                <c:pt idx="478">
                  <c:v>40752</c:v>
                </c:pt>
                <c:pt idx="479">
                  <c:v>40753</c:v>
                </c:pt>
                <c:pt idx="480">
                  <c:v>40756</c:v>
                </c:pt>
                <c:pt idx="481">
                  <c:v>40757</c:v>
                </c:pt>
                <c:pt idx="482">
                  <c:v>40758</c:v>
                </c:pt>
                <c:pt idx="483">
                  <c:v>40759</c:v>
                </c:pt>
                <c:pt idx="484">
                  <c:v>40760</c:v>
                </c:pt>
                <c:pt idx="485">
                  <c:v>40763</c:v>
                </c:pt>
                <c:pt idx="486">
                  <c:v>40764</c:v>
                </c:pt>
                <c:pt idx="487">
                  <c:v>40765</c:v>
                </c:pt>
                <c:pt idx="488">
                  <c:v>40766</c:v>
                </c:pt>
                <c:pt idx="489">
                  <c:v>40767</c:v>
                </c:pt>
                <c:pt idx="490">
                  <c:v>40770</c:v>
                </c:pt>
                <c:pt idx="491">
                  <c:v>40771</c:v>
                </c:pt>
                <c:pt idx="492">
                  <c:v>40772</c:v>
                </c:pt>
                <c:pt idx="493">
                  <c:v>40773</c:v>
                </c:pt>
                <c:pt idx="494">
                  <c:v>40774</c:v>
                </c:pt>
                <c:pt idx="495">
                  <c:v>40777</c:v>
                </c:pt>
                <c:pt idx="496">
                  <c:v>40778</c:v>
                </c:pt>
                <c:pt idx="497">
                  <c:v>40779</c:v>
                </c:pt>
                <c:pt idx="498">
                  <c:v>40780</c:v>
                </c:pt>
                <c:pt idx="499">
                  <c:v>40781</c:v>
                </c:pt>
                <c:pt idx="500">
                  <c:v>40784</c:v>
                </c:pt>
                <c:pt idx="501">
                  <c:v>40785</c:v>
                </c:pt>
                <c:pt idx="502">
                  <c:v>40786</c:v>
                </c:pt>
                <c:pt idx="503">
                  <c:v>40787</c:v>
                </c:pt>
                <c:pt idx="504">
                  <c:v>40788</c:v>
                </c:pt>
                <c:pt idx="505">
                  <c:v>40792</c:v>
                </c:pt>
                <c:pt idx="506">
                  <c:v>40793</c:v>
                </c:pt>
                <c:pt idx="507">
                  <c:v>40794</c:v>
                </c:pt>
                <c:pt idx="508">
                  <c:v>40795</c:v>
                </c:pt>
                <c:pt idx="509">
                  <c:v>40798</c:v>
                </c:pt>
                <c:pt idx="510">
                  <c:v>40799</c:v>
                </c:pt>
                <c:pt idx="511">
                  <c:v>40800</c:v>
                </c:pt>
                <c:pt idx="512">
                  <c:v>40801</c:v>
                </c:pt>
                <c:pt idx="513">
                  <c:v>40802</c:v>
                </c:pt>
                <c:pt idx="514">
                  <c:v>40805</c:v>
                </c:pt>
                <c:pt idx="515">
                  <c:v>40806</c:v>
                </c:pt>
                <c:pt idx="516">
                  <c:v>40807</c:v>
                </c:pt>
                <c:pt idx="517">
                  <c:v>40808</c:v>
                </c:pt>
                <c:pt idx="518">
                  <c:v>40809</c:v>
                </c:pt>
                <c:pt idx="519">
                  <c:v>40812</c:v>
                </c:pt>
                <c:pt idx="520">
                  <c:v>40813</c:v>
                </c:pt>
                <c:pt idx="521">
                  <c:v>40814</c:v>
                </c:pt>
                <c:pt idx="522">
                  <c:v>40815</c:v>
                </c:pt>
                <c:pt idx="523">
                  <c:v>40816</c:v>
                </c:pt>
                <c:pt idx="524">
                  <c:v>40819</c:v>
                </c:pt>
                <c:pt idx="525">
                  <c:v>40820</c:v>
                </c:pt>
                <c:pt idx="526">
                  <c:v>40821</c:v>
                </c:pt>
                <c:pt idx="527">
                  <c:v>40822</c:v>
                </c:pt>
                <c:pt idx="528">
                  <c:v>40823</c:v>
                </c:pt>
                <c:pt idx="529">
                  <c:v>40827</c:v>
                </c:pt>
                <c:pt idx="530">
                  <c:v>40828</c:v>
                </c:pt>
                <c:pt idx="531">
                  <c:v>40829</c:v>
                </c:pt>
                <c:pt idx="532">
                  <c:v>40830</c:v>
                </c:pt>
                <c:pt idx="533">
                  <c:v>40833</c:v>
                </c:pt>
                <c:pt idx="534">
                  <c:v>40834</c:v>
                </c:pt>
                <c:pt idx="535">
                  <c:v>40835</c:v>
                </c:pt>
                <c:pt idx="536">
                  <c:v>40836</c:v>
                </c:pt>
                <c:pt idx="537">
                  <c:v>40837</c:v>
                </c:pt>
                <c:pt idx="538">
                  <c:v>40840</c:v>
                </c:pt>
                <c:pt idx="539">
                  <c:v>40841</c:v>
                </c:pt>
                <c:pt idx="540">
                  <c:v>40842</c:v>
                </c:pt>
                <c:pt idx="541">
                  <c:v>40843</c:v>
                </c:pt>
                <c:pt idx="542">
                  <c:v>40844</c:v>
                </c:pt>
                <c:pt idx="543">
                  <c:v>40847</c:v>
                </c:pt>
                <c:pt idx="544">
                  <c:v>40848</c:v>
                </c:pt>
                <c:pt idx="545">
                  <c:v>40849</c:v>
                </c:pt>
                <c:pt idx="546">
                  <c:v>40850</c:v>
                </c:pt>
                <c:pt idx="547">
                  <c:v>40851</c:v>
                </c:pt>
                <c:pt idx="548">
                  <c:v>40854</c:v>
                </c:pt>
                <c:pt idx="549">
                  <c:v>40855</c:v>
                </c:pt>
                <c:pt idx="550">
                  <c:v>40856</c:v>
                </c:pt>
                <c:pt idx="551">
                  <c:v>40857</c:v>
                </c:pt>
                <c:pt idx="552">
                  <c:v>40861</c:v>
                </c:pt>
                <c:pt idx="553">
                  <c:v>40862</c:v>
                </c:pt>
                <c:pt idx="554">
                  <c:v>40863</c:v>
                </c:pt>
                <c:pt idx="555">
                  <c:v>40864</c:v>
                </c:pt>
                <c:pt idx="556">
                  <c:v>40865</c:v>
                </c:pt>
                <c:pt idx="557">
                  <c:v>40868</c:v>
                </c:pt>
                <c:pt idx="558">
                  <c:v>40869</c:v>
                </c:pt>
                <c:pt idx="559">
                  <c:v>40870</c:v>
                </c:pt>
                <c:pt idx="560">
                  <c:v>40872</c:v>
                </c:pt>
                <c:pt idx="561">
                  <c:v>40875</c:v>
                </c:pt>
                <c:pt idx="562">
                  <c:v>40876</c:v>
                </c:pt>
                <c:pt idx="563">
                  <c:v>40877</c:v>
                </c:pt>
                <c:pt idx="564">
                  <c:v>40878</c:v>
                </c:pt>
                <c:pt idx="565">
                  <c:v>40879</c:v>
                </c:pt>
                <c:pt idx="566">
                  <c:v>40882</c:v>
                </c:pt>
                <c:pt idx="567">
                  <c:v>40883</c:v>
                </c:pt>
                <c:pt idx="568">
                  <c:v>40884</c:v>
                </c:pt>
                <c:pt idx="569">
                  <c:v>40885</c:v>
                </c:pt>
                <c:pt idx="570">
                  <c:v>40886</c:v>
                </c:pt>
                <c:pt idx="571">
                  <c:v>40889</c:v>
                </c:pt>
                <c:pt idx="572">
                  <c:v>40890</c:v>
                </c:pt>
                <c:pt idx="573">
                  <c:v>40891</c:v>
                </c:pt>
                <c:pt idx="574">
                  <c:v>40892</c:v>
                </c:pt>
                <c:pt idx="575">
                  <c:v>40893</c:v>
                </c:pt>
                <c:pt idx="576">
                  <c:v>40896</c:v>
                </c:pt>
                <c:pt idx="577">
                  <c:v>40897</c:v>
                </c:pt>
                <c:pt idx="578">
                  <c:v>40898</c:v>
                </c:pt>
                <c:pt idx="579">
                  <c:v>40899</c:v>
                </c:pt>
                <c:pt idx="580">
                  <c:v>40900</c:v>
                </c:pt>
                <c:pt idx="581">
                  <c:v>40904</c:v>
                </c:pt>
                <c:pt idx="582">
                  <c:v>40905</c:v>
                </c:pt>
                <c:pt idx="583">
                  <c:v>40906</c:v>
                </c:pt>
                <c:pt idx="584">
                  <c:v>40907</c:v>
                </c:pt>
                <c:pt idx="585">
                  <c:v>40911</c:v>
                </c:pt>
                <c:pt idx="586">
                  <c:v>40912</c:v>
                </c:pt>
                <c:pt idx="587">
                  <c:v>40913</c:v>
                </c:pt>
                <c:pt idx="588">
                  <c:v>40914</c:v>
                </c:pt>
                <c:pt idx="589">
                  <c:v>40917</c:v>
                </c:pt>
                <c:pt idx="590">
                  <c:v>40918</c:v>
                </c:pt>
                <c:pt idx="591">
                  <c:v>40919</c:v>
                </c:pt>
                <c:pt idx="592">
                  <c:v>40920</c:v>
                </c:pt>
                <c:pt idx="593">
                  <c:v>40921</c:v>
                </c:pt>
                <c:pt idx="594">
                  <c:v>40925</c:v>
                </c:pt>
                <c:pt idx="595">
                  <c:v>40926</c:v>
                </c:pt>
                <c:pt idx="596">
                  <c:v>40927</c:v>
                </c:pt>
                <c:pt idx="597">
                  <c:v>40928</c:v>
                </c:pt>
                <c:pt idx="598">
                  <c:v>40931</c:v>
                </c:pt>
                <c:pt idx="599">
                  <c:v>40932</c:v>
                </c:pt>
                <c:pt idx="600">
                  <c:v>40933</c:v>
                </c:pt>
                <c:pt idx="601">
                  <c:v>40934</c:v>
                </c:pt>
                <c:pt idx="602">
                  <c:v>40935</c:v>
                </c:pt>
                <c:pt idx="603">
                  <c:v>40938</c:v>
                </c:pt>
                <c:pt idx="604">
                  <c:v>40939</c:v>
                </c:pt>
                <c:pt idx="605">
                  <c:v>40940</c:v>
                </c:pt>
                <c:pt idx="606">
                  <c:v>40941</c:v>
                </c:pt>
                <c:pt idx="607">
                  <c:v>40942</c:v>
                </c:pt>
                <c:pt idx="608">
                  <c:v>40945</c:v>
                </c:pt>
                <c:pt idx="609">
                  <c:v>40946</c:v>
                </c:pt>
                <c:pt idx="610">
                  <c:v>40947</c:v>
                </c:pt>
                <c:pt idx="611">
                  <c:v>40948</c:v>
                </c:pt>
                <c:pt idx="612">
                  <c:v>40949</c:v>
                </c:pt>
                <c:pt idx="613">
                  <c:v>40952</c:v>
                </c:pt>
                <c:pt idx="614">
                  <c:v>40953</c:v>
                </c:pt>
                <c:pt idx="615">
                  <c:v>40954</c:v>
                </c:pt>
                <c:pt idx="616">
                  <c:v>40955</c:v>
                </c:pt>
                <c:pt idx="617">
                  <c:v>40956</c:v>
                </c:pt>
                <c:pt idx="618">
                  <c:v>40960</c:v>
                </c:pt>
                <c:pt idx="619">
                  <c:v>40961</c:v>
                </c:pt>
                <c:pt idx="620">
                  <c:v>40962</c:v>
                </c:pt>
                <c:pt idx="621">
                  <c:v>40963</c:v>
                </c:pt>
                <c:pt idx="622">
                  <c:v>40966</c:v>
                </c:pt>
                <c:pt idx="623">
                  <c:v>40967</c:v>
                </c:pt>
                <c:pt idx="624">
                  <c:v>40968</c:v>
                </c:pt>
                <c:pt idx="625">
                  <c:v>40969</c:v>
                </c:pt>
                <c:pt idx="626">
                  <c:v>40970</c:v>
                </c:pt>
                <c:pt idx="627">
                  <c:v>40973</c:v>
                </c:pt>
                <c:pt idx="628">
                  <c:v>40974</c:v>
                </c:pt>
                <c:pt idx="629">
                  <c:v>40975</c:v>
                </c:pt>
                <c:pt idx="630">
                  <c:v>40976</c:v>
                </c:pt>
                <c:pt idx="631">
                  <c:v>40977</c:v>
                </c:pt>
                <c:pt idx="632">
                  <c:v>40980</c:v>
                </c:pt>
                <c:pt idx="633">
                  <c:v>40981</c:v>
                </c:pt>
                <c:pt idx="634">
                  <c:v>40982</c:v>
                </c:pt>
                <c:pt idx="635">
                  <c:v>40983</c:v>
                </c:pt>
                <c:pt idx="636">
                  <c:v>40984</c:v>
                </c:pt>
                <c:pt idx="637">
                  <c:v>40987</c:v>
                </c:pt>
                <c:pt idx="638">
                  <c:v>40988</c:v>
                </c:pt>
                <c:pt idx="639">
                  <c:v>40989</c:v>
                </c:pt>
                <c:pt idx="640">
                  <c:v>40990</c:v>
                </c:pt>
                <c:pt idx="641">
                  <c:v>40991</c:v>
                </c:pt>
                <c:pt idx="642">
                  <c:v>40994</c:v>
                </c:pt>
                <c:pt idx="643">
                  <c:v>40995</c:v>
                </c:pt>
                <c:pt idx="644">
                  <c:v>40996</c:v>
                </c:pt>
                <c:pt idx="645">
                  <c:v>40997</c:v>
                </c:pt>
                <c:pt idx="646">
                  <c:v>40998</c:v>
                </c:pt>
                <c:pt idx="647">
                  <c:v>41001</c:v>
                </c:pt>
                <c:pt idx="648">
                  <c:v>41002</c:v>
                </c:pt>
                <c:pt idx="649">
                  <c:v>41003</c:v>
                </c:pt>
                <c:pt idx="650">
                  <c:v>41004</c:v>
                </c:pt>
                <c:pt idx="651">
                  <c:v>41005</c:v>
                </c:pt>
                <c:pt idx="652">
                  <c:v>41008</c:v>
                </c:pt>
                <c:pt idx="653">
                  <c:v>41009</c:v>
                </c:pt>
                <c:pt idx="654">
                  <c:v>41010</c:v>
                </c:pt>
                <c:pt idx="655">
                  <c:v>41011</c:v>
                </c:pt>
                <c:pt idx="656">
                  <c:v>41012</c:v>
                </c:pt>
                <c:pt idx="657">
                  <c:v>41015</c:v>
                </c:pt>
                <c:pt idx="658">
                  <c:v>41016</c:v>
                </c:pt>
                <c:pt idx="659">
                  <c:v>41017</c:v>
                </c:pt>
                <c:pt idx="660">
                  <c:v>41018</c:v>
                </c:pt>
                <c:pt idx="661">
                  <c:v>41019</c:v>
                </c:pt>
                <c:pt idx="662">
                  <c:v>41022</c:v>
                </c:pt>
                <c:pt idx="663">
                  <c:v>41023</c:v>
                </c:pt>
                <c:pt idx="664">
                  <c:v>41024</c:v>
                </c:pt>
                <c:pt idx="665">
                  <c:v>41025</c:v>
                </c:pt>
                <c:pt idx="666">
                  <c:v>41026</c:v>
                </c:pt>
                <c:pt idx="667">
                  <c:v>41029</c:v>
                </c:pt>
                <c:pt idx="668">
                  <c:v>41030</c:v>
                </c:pt>
                <c:pt idx="669">
                  <c:v>41031</c:v>
                </c:pt>
                <c:pt idx="670">
                  <c:v>41032</c:v>
                </c:pt>
                <c:pt idx="671">
                  <c:v>41033</c:v>
                </c:pt>
                <c:pt idx="672">
                  <c:v>41036</c:v>
                </c:pt>
                <c:pt idx="673">
                  <c:v>41037</c:v>
                </c:pt>
                <c:pt idx="674">
                  <c:v>41038</c:v>
                </c:pt>
                <c:pt idx="675">
                  <c:v>41039</c:v>
                </c:pt>
                <c:pt idx="676">
                  <c:v>41040</c:v>
                </c:pt>
                <c:pt idx="677">
                  <c:v>41043</c:v>
                </c:pt>
                <c:pt idx="678">
                  <c:v>41044</c:v>
                </c:pt>
                <c:pt idx="679">
                  <c:v>41045</c:v>
                </c:pt>
                <c:pt idx="680">
                  <c:v>41046</c:v>
                </c:pt>
                <c:pt idx="681">
                  <c:v>41047</c:v>
                </c:pt>
                <c:pt idx="682">
                  <c:v>41050</c:v>
                </c:pt>
                <c:pt idx="683">
                  <c:v>41051</c:v>
                </c:pt>
                <c:pt idx="684">
                  <c:v>41052</c:v>
                </c:pt>
                <c:pt idx="685">
                  <c:v>41053</c:v>
                </c:pt>
                <c:pt idx="686">
                  <c:v>41054</c:v>
                </c:pt>
                <c:pt idx="687">
                  <c:v>41058</c:v>
                </c:pt>
                <c:pt idx="688">
                  <c:v>41059</c:v>
                </c:pt>
                <c:pt idx="689">
                  <c:v>41060</c:v>
                </c:pt>
                <c:pt idx="690">
                  <c:v>41061</c:v>
                </c:pt>
                <c:pt idx="691">
                  <c:v>41064</c:v>
                </c:pt>
                <c:pt idx="692">
                  <c:v>41065</c:v>
                </c:pt>
                <c:pt idx="693">
                  <c:v>41066</c:v>
                </c:pt>
                <c:pt idx="694">
                  <c:v>41067</c:v>
                </c:pt>
                <c:pt idx="695">
                  <c:v>41068</c:v>
                </c:pt>
                <c:pt idx="696">
                  <c:v>41071</c:v>
                </c:pt>
                <c:pt idx="697">
                  <c:v>41072</c:v>
                </c:pt>
                <c:pt idx="698">
                  <c:v>41073</c:v>
                </c:pt>
                <c:pt idx="699">
                  <c:v>41074</c:v>
                </c:pt>
                <c:pt idx="700">
                  <c:v>41075</c:v>
                </c:pt>
                <c:pt idx="701">
                  <c:v>41078</c:v>
                </c:pt>
                <c:pt idx="702">
                  <c:v>41079</c:v>
                </c:pt>
                <c:pt idx="703">
                  <c:v>41080</c:v>
                </c:pt>
                <c:pt idx="704">
                  <c:v>41081</c:v>
                </c:pt>
                <c:pt idx="705">
                  <c:v>41082</c:v>
                </c:pt>
                <c:pt idx="706">
                  <c:v>41085</c:v>
                </c:pt>
                <c:pt idx="707">
                  <c:v>41086</c:v>
                </c:pt>
                <c:pt idx="708">
                  <c:v>41087</c:v>
                </c:pt>
                <c:pt idx="709">
                  <c:v>41088</c:v>
                </c:pt>
                <c:pt idx="710">
                  <c:v>41089</c:v>
                </c:pt>
                <c:pt idx="711">
                  <c:v>41092</c:v>
                </c:pt>
                <c:pt idx="712">
                  <c:v>41093</c:v>
                </c:pt>
                <c:pt idx="713">
                  <c:v>41095</c:v>
                </c:pt>
                <c:pt idx="714">
                  <c:v>41096</c:v>
                </c:pt>
                <c:pt idx="715">
                  <c:v>41099</c:v>
                </c:pt>
                <c:pt idx="716">
                  <c:v>41100</c:v>
                </c:pt>
                <c:pt idx="717">
                  <c:v>41101</c:v>
                </c:pt>
                <c:pt idx="718">
                  <c:v>41102</c:v>
                </c:pt>
                <c:pt idx="719">
                  <c:v>41103</c:v>
                </c:pt>
                <c:pt idx="720">
                  <c:v>41106</c:v>
                </c:pt>
                <c:pt idx="721">
                  <c:v>41107</c:v>
                </c:pt>
                <c:pt idx="722">
                  <c:v>41108</c:v>
                </c:pt>
                <c:pt idx="723">
                  <c:v>41109</c:v>
                </c:pt>
                <c:pt idx="724">
                  <c:v>41110</c:v>
                </c:pt>
                <c:pt idx="725">
                  <c:v>41113</c:v>
                </c:pt>
                <c:pt idx="726">
                  <c:v>41114</c:v>
                </c:pt>
                <c:pt idx="727">
                  <c:v>41115</c:v>
                </c:pt>
                <c:pt idx="728">
                  <c:v>41116</c:v>
                </c:pt>
                <c:pt idx="729">
                  <c:v>41117</c:v>
                </c:pt>
                <c:pt idx="730">
                  <c:v>41120</c:v>
                </c:pt>
                <c:pt idx="731">
                  <c:v>41121</c:v>
                </c:pt>
                <c:pt idx="732">
                  <c:v>41122</c:v>
                </c:pt>
                <c:pt idx="733">
                  <c:v>41123</c:v>
                </c:pt>
                <c:pt idx="734">
                  <c:v>41124</c:v>
                </c:pt>
                <c:pt idx="735">
                  <c:v>41127</c:v>
                </c:pt>
                <c:pt idx="736">
                  <c:v>41128</c:v>
                </c:pt>
                <c:pt idx="737">
                  <c:v>41129</c:v>
                </c:pt>
                <c:pt idx="738">
                  <c:v>41130</c:v>
                </c:pt>
                <c:pt idx="739">
                  <c:v>41131</c:v>
                </c:pt>
                <c:pt idx="740">
                  <c:v>41134</c:v>
                </c:pt>
                <c:pt idx="741">
                  <c:v>41135</c:v>
                </c:pt>
                <c:pt idx="742">
                  <c:v>41136</c:v>
                </c:pt>
                <c:pt idx="743">
                  <c:v>41137</c:v>
                </c:pt>
                <c:pt idx="744">
                  <c:v>41138</c:v>
                </c:pt>
                <c:pt idx="745">
                  <c:v>41141</c:v>
                </c:pt>
                <c:pt idx="746">
                  <c:v>41142</c:v>
                </c:pt>
                <c:pt idx="747">
                  <c:v>41143</c:v>
                </c:pt>
                <c:pt idx="748">
                  <c:v>41144</c:v>
                </c:pt>
                <c:pt idx="749">
                  <c:v>41145</c:v>
                </c:pt>
                <c:pt idx="750">
                  <c:v>41148</c:v>
                </c:pt>
                <c:pt idx="751">
                  <c:v>41149</c:v>
                </c:pt>
                <c:pt idx="752">
                  <c:v>41150</c:v>
                </c:pt>
                <c:pt idx="753">
                  <c:v>41151</c:v>
                </c:pt>
                <c:pt idx="754">
                  <c:v>41152</c:v>
                </c:pt>
                <c:pt idx="755">
                  <c:v>41156</c:v>
                </c:pt>
                <c:pt idx="756">
                  <c:v>41157</c:v>
                </c:pt>
                <c:pt idx="757">
                  <c:v>41158</c:v>
                </c:pt>
                <c:pt idx="758">
                  <c:v>41159</c:v>
                </c:pt>
                <c:pt idx="759">
                  <c:v>41162</c:v>
                </c:pt>
                <c:pt idx="760">
                  <c:v>41163</c:v>
                </c:pt>
                <c:pt idx="761">
                  <c:v>41164</c:v>
                </c:pt>
                <c:pt idx="762">
                  <c:v>41165</c:v>
                </c:pt>
                <c:pt idx="763">
                  <c:v>41166</c:v>
                </c:pt>
                <c:pt idx="764">
                  <c:v>41169</c:v>
                </c:pt>
                <c:pt idx="765">
                  <c:v>41170</c:v>
                </c:pt>
                <c:pt idx="766">
                  <c:v>41171</c:v>
                </c:pt>
                <c:pt idx="767">
                  <c:v>41172</c:v>
                </c:pt>
                <c:pt idx="768">
                  <c:v>41173</c:v>
                </c:pt>
                <c:pt idx="769">
                  <c:v>41176</c:v>
                </c:pt>
                <c:pt idx="770">
                  <c:v>41177</c:v>
                </c:pt>
                <c:pt idx="771">
                  <c:v>41178</c:v>
                </c:pt>
                <c:pt idx="772">
                  <c:v>41179</c:v>
                </c:pt>
                <c:pt idx="773">
                  <c:v>41180</c:v>
                </c:pt>
                <c:pt idx="774">
                  <c:v>41183</c:v>
                </c:pt>
                <c:pt idx="775">
                  <c:v>41184</c:v>
                </c:pt>
                <c:pt idx="776">
                  <c:v>41185</c:v>
                </c:pt>
                <c:pt idx="777">
                  <c:v>41186</c:v>
                </c:pt>
                <c:pt idx="778">
                  <c:v>41187</c:v>
                </c:pt>
                <c:pt idx="779">
                  <c:v>41191</c:v>
                </c:pt>
                <c:pt idx="780">
                  <c:v>41192</c:v>
                </c:pt>
                <c:pt idx="781">
                  <c:v>41193</c:v>
                </c:pt>
                <c:pt idx="782">
                  <c:v>41194</c:v>
                </c:pt>
                <c:pt idx="783">
                  <c:v>41197</c:v>
                </c:pt>
                <c:pt idx="784">
                  <c:v>41198</c:v>
                </c:pt>
                <c:pt idx="785">
                  <c:v>41199</c:v>
                </c:pt>
                <c:pt idx="786">
                  <c:v>41200</c:v>
                </c:pt>
                <c:pt idx="787">
                  <c:v>41201</c:v>
                </c:pt>
                <c:pt idx="788">
                  <c:v>41204</c:v>
                </c:pt>
                <c:pt idx="789">
                  <c:v>41205</c:v>
                </c:pt>
                <c:pt idx="790">
                  <c:v>41206</c:v>
                </c:pt>
                <c:pt idx="791">
                  <c:v>41207</c:v>
                </c:pt>
                <c:pt idx="792">
                  <c:v>41208</c:v>
                </c:pt>
                <c:pt idx="793">
                  <c:v>41211</c:v>
                </c:pt>
                <c:pt idx="794">
                  <c:v>41213</c:v>
                </c:pt>
                <c:pt idx="795">
                  <c:v>41214</c:v>
                </c:pt>
                <c:pt idx="796">
                  <c:v>41215</c:v>
                </c:pt>
                <c:pt idx="797">
                  <c:v>41218</c:v>
                </c:pt>
                <c:pt idx="798">
                  <c:v>41219</c:v>
                </c:pt>
                <c:pt idx="799">
                  <c:v>41220</c:v>
                </c:pt>
                <c:pt idx="800">
                  <c:v>41221</c:v>
                </c:pt>
                <c:pt idx="801">
                  <c:v>41222</c:v>
                </c:pt>
                <c:pt idx="802">
                  <c:v>41226</c:v>
                </c:pt>
                <c:pt idx="803">
                  <c:v>41227</c:v>
                </c:pt>
                <c:pt idx="804">
                  <c:v>41228</c:v>
                </c:pt>
                <c:pt idx="805">
                  <c:v>41229</c:v>
                </c:pt>
                <c:pt idx="806">
                  <c:v>41232</c:v>
                </c:pt>
                <c:pt idx="807">
                  <c:v>41233</c:v>
                </c:pt>
                <c:pt idx="808">
                  <c:v>41234</c:v>
                </c:pt>
                <c:pt idx="809">
                  <c:v>41236</c:v>
                </c:pt>
                <c:pt idx="810">
                  <c:v>41239</c:v>
                </c:pt>
                <c:pt idx="811">
                  <c:v>41240</c:v>
                </c:pt>
                <c:pt idx="812">
                  <c:v>41241</c:v>
                </c:pt>
                <c:pt idx="813">
                  <c:v>41242</c:v>
                </c:pt>
                <c:pt idx="814">
                  <c:v>41243</c:v>
                </c:pt>
                <c:pt idx="815">
                  <c:v>41246</c:v>
                </c:pt>
                <c:pt idx="816">
                  <c:v>41247</c:v>
                </c:pt>
                <c:pt idx="817">
                  <c:v>41248</c:v>
                </c:pt>
                <c:pt idx="818">
                  <c:v>41249</c:v>
                </c:pt>
                <c:pt idx="819">
                  <c:v>41250</c:v>
                </c:pt>
                <c:pt idx="820">
                  <c:v>41253</c:v>
                </c:pt>
                <c:pt idx="821">
                  <c:v>41254</c:v>
                </c:pt>
                <c:pt idx="822">
                  <c:v>41255</c:v>
                </c:pt>
                <c:pt idx="823">
                  <c:v>41256</c:v>
                </c:pt>
                <c:pt idx="824">
                  <c:v>41257</c:v>
                </c:pt>
                <c:pt idx="825">
                  <c:v>41260</c:v>
                </c:pt>
                <c:pt idx="826">
                  <c:v>41261</c:v>
                </c:pt>
                <c:pt idx="827">
                  <c:v>41262</c:v>
                </c:pt>
                <c:pt idx="828">
                  <c:v>41263</c:v>
                </c:pt>
                <c:pt idx="829">
                  <c:v>41264</c:v>
                </c:pt>
                <c:pt idx="830">
                  <c:v>41267</c:v>
                </c:pt>
                <c:pt idx="831">
                  <c:v>41269</c:v>
                </c:pt>
                <c:pt idx="832">
                  <c:v>41270</c:v>
                </c:pt>
                <c:pt idx="833">
                  <c:v>41271</c:v>
                </c:pt>
                <c:pt idx="834">
                  <c:v>41274</c:v>
                </c:pt>
                <c:pt idx="835">
                  <c:v>41276</c:v>
                </c:pt>
                <c:pt idx="836">
                  <c:v>41277</c:v>
                </c:pt>
                <c:pt idx="837">
                  <c:v>41278</c:v>
                </c:pt>
                <c:pt idx="838">
                  <c:v>41281</c:v>
                </c:pt>
                <c:pt idx="839">
                  <c:v>41282</c:v>
                </c:pt>
                <c:pt idx="840">
                  <c:v>41283</c:v>
                </c:pt>
                <c:pt idx="841">
                  <c:v>41284</c:v>
                </c:pt>
                <c:pt idx="842">
                  <c:v>41285</c:v>
                </c:pt>
                <c:pt idx="843">
                  <c:v>41288</c:v>
                </c:pt>
                <c:pt idx="844">
                  <c:v>41289</c:v>
                </c:pt>
                <c:pt idx="845">
                  <c:v>41290</c:v>
                </c:pt>
                <c:pt idx="846">
                  <c:v>41291</c:v>
                </c:pt>
                <c:pt idx="847">
                  <c:v>41292</c:v>
                </c:pt>
                <c:pt idx="848">
                  <c:v>41296</c:v>
                </c:pt>
                <c:pt idx="849">
                  <c:v>41297</c:v>
                </c:pt>
                <c:pt idx="850">
                  <c:v>41298</c:v>
                </c:pt>
                <c:pt idx="851">
                  <c:v>41299</c:v>
                </c:pt>
                <c:pt idx="852">
                  <c:v>41302</c:v>
                </c:pt>
                <c:pt idx="853">
                  <c:v>41303</c:v>
                </c:pt>
                <c:pt idx="854">
                  <c:v>41304</c:v>
                </c:pt>
                <c:pt idx="855">
                  <c:v>41305</c:v>
                </c:pt>
                <c:pt idx="856">
                  <c:v>41306</c:v>
                </c:pt>
                <c:pt idx="857">
                  <c:v>41309</c:v>
                </c:pt>
                <c:pt idx="858">
                  <c:v>41310</c:v>
                </c:pt>
                <c:pt idx="859">
                  <c:v>41311</c:v>
                </c:pt>
                <c:pt idx="860">
                  <c:v>41312</c:v>
                </c:pt>
                <c:pt idx="861">
                  <c:v>41313</c:v>
                </c:pt>
                <c:pt idx="862">
                  <c:v>41316</c:v>
                </c:pt>
                <c:pt idx="863">
                  <c:v>41317</c:v>
                </c:pt>
                <c:pt idx="864">
                  <c:v>41318</c:v>
                </c:pt>
                <c:pt idx="865">
                  <c:v>41319</c:v>
                </c:pt>
                <c:pt idx="866">
                  <c:v>41320</c:v>
                </c:pt>
                <c:pt idx="867">
                  <c:v>41324</c:v>
                </c:pt>
                <c:pt idx="868">
                  <c:v>41325</c:v>
                </c:pt>
                <c:pt idx="869">
                  <c:v>41326</c:v>
                </c:pt>
                <c:pt idx="870">
                  <c:v>41327</c:v>
                </c:pt>
                <c:pt idx="871">
                  <c:v>41330</c:v>
                </c:pt>
                <c:pt idx="872">
                  <c:v>41331</c:v>
                </c:pt>
                <c:pt idx="873">
                  <c:v>41332</c:v>
                </c:pt>
                <c:pt idx="874">
                  <c:v>41333</c:v>
                </c:pt>
                <c:pt idx="875">
                  <c:v>41334</c:v>
                </c:pt>
                <c:pt idx="876">
                  <c:v>41337</c:v>
                </c:pt>
                <c:pt idx="877">
                  <c:v>41338</c:v>
                </c:pt>
                <c:pt idx="878">
                  <c:v>41339</c:v>
                </c:pt>
                <c:pt idx="879">
                  <c:v>41340</c:v>
                </c:pt>
                <c:pt idx="880">
                  <c:v>41341</c:v>
                </c:pt>
                <c:pt idx="881">
                  <c:v>41344</c:v>
                </c:pt>
                <c:pt idx="882">
                  <c:v>41345</c:v>
                </c:pt>
                <c:pt idx="883">
                  <c:v>41346</c:v>
                </c:pt>
                <c:pt idx="884">
                  <c:v>41347</c:v>
                </c:pt>
                <c:pt idx="885">
                  <c:v>41348</c:v>
                </c:pt>
                <c:pt idx="886">
                  <c:v>41351</c:v>
                </c:pt>
                <c:pt idx="887">
                  <c:v>41352</c:v>
                </c:pt>
                <c:pt idx="888">
                  <c:v>41353</c:v>
                </c:pt>
                <c:pt idx="889">
                  <c:v>41354</c:v>
                </c:pt>
                <c:pt idx="890">
                  <c:v>41355</c:v>
                </c:pt>
                <c:pt idx="891">
                  <c:v>41358</c:v>
                </c:pt>
                <c:pt idx="892">
                  <c:v>41359</c:v>
                </c:pt>
                <c:pt idx="893">
                  <c:v>41360</c:v>
                </c:pt>
                <c:pt idx="894">
                  <c:v>41361</c:v>
                </c:pt>
                <c:pt idx="895">
                  <c:v>41365</c:v>
                </c:pt>
                <c:pt idx="896">
                  <c:v>41366</c:v>
                </c:pt>
                <c:pt idx="897">
                  <c:v>41367</c:v>
                </c:pt>
                <c:pt idx="898">
                  <c:v>41368</c:v>
                </c:pt>
                <c:pt idx="899">
                  <c:v>41369</c:v>
                </c:pt>
                <c:pt idx="900">
                  <c:v>41372</c:v>
                </c:pt>
                <c:pt idx="901">
                  <c:v>41373</c:v>
                </c:pt>
                <c:pt idx="902">
                  <c:v>41374</c:v>
                </c:pt>
                <c:pt idx="903">
                  <c:v>41375</c:v>
                </c:pt>
                <c:pt idx="904">
                  <c:v>41376</c:v>
                </c:pt>
                <c:pt idx="905">
                  <c:v>41379</c:v>
                </c:pt>
                <c:pt idx="906">
                  <c:v>41380</c:v>
                </c:pt>
                <c:pt idx="907">
                  <c:v>41381</c:v>
                </c:pt>
                <c:pt idx="908">
                  <c:v>41382</c:v>
                </c:pt>
                <c:pt idx="909">
                  <c:v>41383</c:v>
                </c:pt>
                <c:pt idx="910">
                  <c:v>41386</c:v>
                </c:pt>
                <c:pt idx="911">
                  <c:v>41387</c:v>
                </c:pt>
                <c:pt idx="912">
                  <c:v>41388</c:v>
                </c:pt>
                <c:pt idx="913">
                  <c:v>41389</c:v>
                </c:pt>
                <c:pt idx="914">
                  <c:v>41390</c:v>
                </c:pt>
                <c:pt idx="915">
                  <c:v>41393</c:v>
                </c:pt>
                <c:pt idx="916">
                  <c:v>41394</c:v>
                </c:pt>
                <c:pt idx="917">
                  <c:v>41395</c:v>
                </c:pt>
                <c:pt idx="918">
                  <c:v>41396</c:v>
                </c:pt>
                <c:pt idx="919">
                  <c:v>41397</c:v>
                </c:pt>
                <c:pt idx="920">
                  <c:v>41400</c:v>
                </c:pt>
                <c:pt idx="921">
                  <c:v>41401</c:v>
                </c:pt>
                <c:pt idx="922">
                  <c:v>41402</c:v>
                </c:pt>
                <c:pt idx="923">
                  <c:v>41403</c:v>
                </c:pt>
                <c:pt idx="924">
                  <c:v>41404</c:v>
                </c:pt>
                <c:pt idx="925">
                  <c:v>41407</c:v>
                </c:pt>
                <c:pt idx="926">
                  <c:v>41408</c:v>
                </c:pt>
                <c:pt idx="927">
                  <c:v>41409</c:v>
                </c:pt>
                <c:pt idx="928">
                  <c:v>41410</c:v>
                </c:pt>
                <c:pt idx="929">
                  <c:v>41411</c:v>
                </c:pt>
                <c:pt idx="930">
                  <c:v>41414</c:v>
                </c:pt>
                <c:pt idx="931">
                  <c:v>41415</c:v>
                </c:pt>
                <c:pt idx="932">
                  <c:v>41416</c:v>
                </c:pt>
                <c:pt idx="933">
                  <c:v>41417</c:v>
                </c:pt>
                <c:pt idx="934">
                  <c:v>41418</c:v>
                </c:pt>
                <c:pt idx="935">
                  <c:v>41422</c:v>
                </c:pt>
                <c:pt idx="936">
                  <c:v>41423</c:v>
                </c:pt>
                <c:pt idx="937">
                  <c:v>41424</c:v>
                </c:pt>
                <c:pt idx="938">
                  <c:v>41425</c:v>
                </c:pt>
                <c:pt idx="939">
                  <c:v>41428</c:v>
                </c:pt>
                <c:pt idx="940">
                  <c:v>41429</c:v>
                </c:pt>
                <c:pt idx="941">
                  <c:v>41430</c:v>
                </c:pt>
                <c:pt idx="942">
                  <c:v>41431</c:v>
                </c:pt>
                <c:pt idx="943">
                  <c:v>41432</c:v>
                </c:pt>
                <c:pt idx="944">
                  <c:v>41435</c:v>
                </c:pt>
                <c:pt idx="945">
                  <c:v>41436</c:v>
                </c:pt>
                <c:pt idx="946">
                  <c:v>41437</c:v>
                </c:pt>
                <c:pt idx="947">
                  <c:v>41438</c:v>
                </c:pt>
                <c:pt idx="948">
                  <c:v>41439</c:v>
                </c:pt>
                <c:pt idx="949">
                  <c:v>41442</c:v>
                </c:pt>
                <c:pt idx="950">
                  <c:v>41443</c:v>
                </c:pt>
                <c:pt idx="951">
                  <c:v>41444</c:v>
                </c:pt>
                <c:pt idx="952">
                  <c:v>41445</c:v>
                </c:pt>
                <c:pt idx="953">
                  <c:v>41446</c:v>
                </c:pt>
                <c:pt idx="954">
                  <c:v>41449</c:v>
                </c:pt>
                <c:pt idx="955">
                  <c:v>41450</c:v>
                </c:pt>
                <c:pt idx="956">
                  <c:v>41451</c:v>
                </c:pt>
                <c:pt idx="957">
                  <c:v>41452</c:v>
                </c:pt>
                <c:pt idx="958">
                  <c:v>41453</c:v>
                </c:pt>
                <c:pt idx="959">
                  <c:v>41456</c:v>
                </c:pt>
                <c:pt idx="960">
                  <c:v>41457</c:v>
                </c:pt>
                <c:pt idx="961">
                  <c:v>41458</c:v>
                </c:pt>
                <c:pt idx="962">
                  <c:v>41460</c:v>
                </c:pt>
                <c:pt idx="963">
                  <c:v>41463</c:v>
                </c:pt>
                <c:pt idx="964">
                  <c:v>41464</c:v>
                </c:pt>
                <c:pt idx="965">
                  <c:v>41465</c:v>
                </c:pt>
                <c:pt idx="966">
                  <c:v>41466</c:v>
                </c:pt>
                <c:pt idx="967">
                  <c:v>41467</c:v>
                </c:pt>
                <c:pt idx="968">
                  <c:v>41470</c:v>
                </c:pt>
                <c:pt idx="969">
                  <c:v>41471</c:v>
                </c:pt>
                <c:pt idx="970">
                  <c:v>41472</c:v>
                </c:pt>
                <c:pt idx="971">
                  <c:v>41473</c:v>
                </c:pt>
                <c:pt idx="972">
                  <c:v>41474</c:v>
                </c:pt>
                <c:pt idx="973">
                  <c:v>41477</c:v>
                </c:pt>
                <c:pt idx="974">
                  <c:v>41478</c:v>
                </c:pt>
                <c:pt idx="975">
                  <c:v>41479</c:v>
                </c:pt>
                <c:pt idx="976">
                  <c:v>41480</c:v>
                </c:pt>
                <c:pt idx="977">
                  <c:v>41481</c:v>
                </c:pt>
                <c:pt idx="978">
                  <c:v>41484</c:v>
                </c:pt>
                <c:pt idx="979">
                  <c:v>41485</c:v>
                </c:pt>
                <c:pt idx="980">
                  <c:v>41486</c:v>
                </c:pt>
                <c:pt idx="981">
                  <c:v>41487</c:v>
                </c:pt>
                <c:pt idx="982">
                  <c:v>41488</c:v>
                </c:pt>
                <c:pt idx="983">
                  <c:v>41491</c:v>
                </c:pt>
                <c:pt idx="984">
                  <c:v>41492</c:v>
                </c:pt>
                <c:pt idx="985">
                  <c:v>41493</c:v>
                </c:pt>
                <c:pt idx="986">
                  <c:v>41494</c:v>
                </c:pt>
                <c:pt idx="987">
                  <c:v>41495</c:v>
                </c:pt>
                <c:pt idx="988">
                  <c:v>41498</c:v>
                </c:pt>
                <c:pt idx="989">
                  <c:v>41499</c:v>
                </c:pt>
                <c:pt idx="990">
                  <c:v>41500</c:v>
                </c:pt>
                <c:pt idx="991">
                  <c:v>41501</c:v>
                </c:pt>
                <c:pt idx="992">
                  <c:v>41502</c:v>
                </c:pt>
                <c:pt idx="993">
                  <c:v>41505</c:v>
                </c:pt>
                <c:pt idx="994">
                  <c:v>41506</c:v>
                </c:pt>
                <c:pt idx="995">
                  <c:v>41507</c:v>
                </c:pt>
                <c:pt idx="996">
                  <c:v>41508</c:v>
                </c:pt>
                <c:pt idx="997">
                  <c:v>41509</c:v>
                </c:pt>
                <c:pt idx="998">
                  <c:v>41512</c:v>
                </c:pt>
                <c:pt idx="999">
                  <c:v>41513</c:v>
                </c:pt>
                <c:pt idx="1000">
                  <c:v>41514</c:v>
                </c:pt>
                <c:pt idx="1001">
                  <c:v>41515</c:v>
                </c:pt>
                <c:pt idx="1002">
                  <c:v>41516</c:v>
                </c:pt>
                <c:pt idx="1003">
                  <c:v>41520</c:v>
                </c:pt>
                <c:pt idx="1004">
                  <c:v>41521</c:v>
                </c:pt>
                <c:pt idx="1005">
                  <c:v>41522</c:v>
                </c:pt>
                <c:pt idx="1006">
                  <c:v>41523</c:v>
                </c:pt>
                <c:pt idx="1007">
                  <c:v>41526</c:v>
                </c:pt>
                <c:pt idx="1008">
                  <c:v>41527</c:v>
                </c:pt>
                <c:pt idx="1009">
                  <c:v>41528</c:v>
                </c:pt>
                <c:pt idx="1010">
                  <c:v>41529</c:v>
                </c:pt>
                <c:pt idx="1011">
                  <c:v>41530</c:v>
                </c:pt>
                <c:pt idx="1012">
                  <c:v>41533</c:v>
                </c:pt>
                <c:pt idx="1013">
                  <c:v>41534</c:v>
                </c:pt>
                <c:pt idx="1014">
                  <c:v>41535</c:v>
                </c:pt>
                <c:pt idx="1015">
                  <c:v>41536</c:v>
                </c:pt>
                <c:pt idx="1016">
                  <c:v>41537</c:v>
                </c:pt>
                <c:pt idx="1017">
                  <c:v>41540</c:v>
                </c:pt>
                <c:pt idx="1018">
                  <c:v>41541</c:v>
                </c:pt>
                <c:pt idx="1019">
                  <c:v>41542</c:v>
                </c:pt>
                <c:pt idx="1020">
                  <c:v>41543</c:v>
                </c:pt>
                <c:pt idx="1021">
                  <c:v>41544</c:v>
                </c:pt>
                <c:pt idx="1022">
                  <c:v>41547</c:v>
                </c:pt>
                <c:pt idx="1023">
                  <c:v>41548</c:v>
                </c:pt>
                <c:pt idx="1024">
                  <c:v>41549</c:v>
                </c:pt>
                <c:pt idx="1025">
                  <c:v>41550</c:v>
                </c:pt>
                <c:pt idx="1026">
                  <c:v>41551</c:v>
                </c:pt>
                <c:pt idx="1027">
                  <c:v>41554</c:v>
                </c:pt>
                <c:pt idx="1028">
                  <c:v>41555</c:v>
                </c:pt>
                <c:pt idx="1029">
                  <c:v>41556</c:v>
                </c:pt>
                <c:pt idx="1030">
                  <c:v>41557</c:v>
                </c:pt>
                <c:pt idx="1031">
                  <c:v>41558</c:v>
                </c:pt>
                <c:pt idx="1032">
                  <c:v>41562</c:v>
                </c:pt>
                <c:pt idx="1033">
                  <c:v>41563</c:v>
                </c:pt>
                <c:pt idx="1034">
                  <c:v>41564</c:v>
                </c:pt>
                <c:pt idx="1035">
                  <c:v>41565</c:v>
                </c:pt>
                <c:pt idx="1036">
                  <c:v>41568</c:v>
                </c:pt>
                <c:pt idx="1037">
                  <c:v>41569</c:v>
                </c:pt>
                <c:pt idx="1038">
                  <c:v>41570</c:v>
                </c:pt>
                <c:pt idx="1039">
                  <c:v>41571</c:v>
                </c:pt>
                <c:pt idx="1040">
                  <c:v>41572</c:v>
                </c:pt>
                <c:pt idx="1041">
                  <c:v>41575</c:v>
                </c:pt>
                <c:pt idx="1042">
                  <c:v>41576</c:v>
                </c:pt>
                <c:pt idx="1043">
                  <c:v>41577</c:v>
                </c:pt>
                <c:pt idx="1044">
                  <c:v>41578</c:v>
                </c:pt>
                <c:pt idx="1045">
                  <c:v>41579</c:v>
                </c:pt>
                <c:pt idx="1046">
                  <c:v>41582</c:v>
                </c:pt>
                <c:pt idx="1047">
                  <c:v>41583</c:v>
                </c:pt>
                <c:pt idx="1048">
                  <c:v>41584</c:v>
                </c:pt>
                <c:pt idx="1049">
                  <c:v>41585</c:v>
                </c:pt>
                <c:pt idx="1050">
                  <c:v>41586</c:v>
                </c:pt>
                <c:pt idx="1051">
                  <c:v>41590</c:v>
                </c:pt>
                <c:pt idx="1052">
                  <c:v>41591</c:v>
                </c:pt>
                <c:pt idx="1053">
                  <c:v>41592</c:v>
                </c:pt>
                <c:pt idx="1054">
                  <c:v>41593</c:v>
                </c:pt>
                <c:pt idx="1055">
                  <c:v>41596</c:v>
                </c:pt>
                <c:pt idx="1056">
                  <c:v>41597</c:v>
                </c:pt>
                <c:pt idx="1057">
                  <c:v>41598</c:v>
                </c:pt>
                <c:pt idx="1058">
                  <c:v>41599</c:v>
                </c:pt>
                <c:pt idx="1059">
                  <c:v>41600</c:v>
                </c:pt>
                <c:pt idx="1060">
                  <c:v>41611</c:v>
                </c:pt>
                <c:pt idx="1061">
                  <c:v>41612</c:v>
                </c:pt>
                <c:pt idx="1062">
                  <c:v>41613</c:v>
                </c:pt>
                <c:pt idx="1063">
                  <c:v>41614</c:v>
                </c:pt>
                <c:pt idx="1064">
                  <c:v>41617</c:v>
                </c:pt>
                <c:pt idx="1065">
                  <c:v>41618</c:v>
                </c:pt>
                <c:pt idx="1066">
                  <c:v>41619</c:v>
                </c:pt>
                <c:pt idx="1067">
                  <c:v>41620</c:v>
                </c:pt>
                <c:pt idx="1068">
                  <c:v>41621</c:v>
                </c:pt>
                <c:pt idx="1069">
                  <c:v>41624</c:v>
                </c:pt>
                <c:pt idx="1070">
                  <c:v>41625</c:v>
                </c:pt>
                <c:pt idx="1071">
                  <c:v>41626</c:v>
                </c:pt>
                <c:pt idx="1072">
                  <c:v>41627</c:v>
                </c:pt>
                <c:pt idx="1073">
                  <c:v>41628</c:v>
                </c:pt>
                <c:pt idx="1074">
                  <c:v>41631</c:v>
                </c:pt>
                <c:pt idx="1075">
                  <c:v>41632</c:v>
                </c:pt>
                <c:pt idx="1076">
                  <c:v>41634</c:v>
                </c:pt>
                <c:pt idx="1077">
                  <c:v>41635</c:v>
                </c:pt>
                <c:pt idx="1078">
                  <c:v>41638</c:v>
                </c:pt>
                <c:pt idx="1079">
                  <c:v>41639</c:v>
                </c:pt>
                <c:pt idx="1080">
                  <c:v>41641</c:v>
                </c:pt>
                <c:pt idx="1081">
                  <c:v>41642</c:v>
                </c:pt>
                <c:pt idx="1082">
                  <c:v>41645</c:v>
                </c:pt>
                <c:pt idx="1083">
                  <c:v>41646</c:v>
                </c:pt>
                <c:pt idx="1084">
                  <c:v>41647</c:v>
                </c:pt>
                <c:pt idx="1085">
                  <c:v>41648</c:v>
                </c:pt>
                <c:pt idx="1086">
                  <c:v>41649</c:v>
                </c:pt>
                <c:pt idx="1087">
                  <c:v>41652</c:v>
                </c:pt>
                <c:pt idx="1088">
                  <c:v>41653</c:v>
                </c:pt>
                <c:pt idx="1089">
                  <c:v>41654</c:v>
                </c:pt>
                <c:pt idx="1090">
                  <c:v>41655</c:v>
                </c:pt>
                <c:pt idx="1091">
                  <c:v>41656</c:v>
                </c:pt>
                <c:pt idx="1092">
                  <c:v>41660</c:v>
                </c:pt>
                <c:pt idx="1093">
                  <c:v>41661</c:v>
                </c:pt>
                <c:pt idx="1094">
                  <c:v>41662</c:v>
                </c:pt>
                <c:pt idx="1095">
                  <c:v>41663</c:v>
                </c:pt>
                <c:pt idx="1096">
                  <c:v>41666</c:v>
                </c:pt>
                <c:pt idx="1097">
                  <c:v>41667</c:v>
                </c:pt>
                <c:pt idx="1098">
                  <c:v>41668</c:v>
                </c:pt>
                <c:pt idx="1099">
                  <c:v>41669</c:v>
                </c:pt>
                <c:pt idx="1100">
                  <c:v>41670</c:v>
                </c:pt>
                <c:pt idx="1101">
                  <c:v>41673</c:v>
                </c:pt>
                <c:pt idx="1102">
                  <c:v>41674</c:v>
                </c:pt>
                <c:pt idx="1103">
                  <c:v>41675</c:v>
                </c:pt>
                <c:pt idx="1104">
                  <c:v>41676</c:v>
                </c:pt>
                <c:pt idx="1105">
                  <c:v>41677</c:v>
                </c:pt>
                <c:pt idx="1106">
                  <c:v>41680</c:v>
                </c:pt>
                <c:pt idx="1107">
                  <c:v>41681</c:v>
                </c:pt>
                <c:pt idx="1108">
                  <c:v>41682</c:v>
                </c:pt>
                <c:pt idx="1109">
                  <c:v>41683</c:v>
                </c:pt>
                <c:pt idx="1110">
                  <c:v>41684</c:v>
                </c:pt>
                <c:pt idx="1111">
                  <c:v>41688</c:v>
                </c:pt>
                <c:pt idx="1112">
                  <c:v>41689</c:v>
                </c:pt>
                <c:pt idx="1113">
                  <c:v>41690</c:v>
                </c:pt>
                <c:pt idx="1114">
                  <c:v>41691</c:v>
                </c:pt>
                <c:pt idx="1115">
                  <c:v>41694</c:v>
                </c:pt>
                <c:pt idx="1116">
                  <c:v>41695</c:v>
                </c:pt>
                <c:pt idx="1117">
                  <c:v>41696</c:v>
                </c:pt>
                <c:pt idx="1118">
                  <c:v>41697</c:v>
                </c:pt>
                <c:pt idx="1119">
                  <c:v>41698</c:v>
                </c:pt>
                <c:pt idx="1120">
                  <c:v>41701</c:v>
                </c:pt>
                <c:pt idx="1121">
                  <c:v>41702</c:v>
                </c:pt>
                <c:pt idx="1122">
                  <c:v>41703</c:v>
                </c:pt>
                <c:pt idx="1123">
                  <c:v>41704</c:v>
                </c:pt>
                <c:pt idx="1124">
                  <c:v>41705</c:v>
                </c:pt>
                <c:pt idx="1125">
                  <c:v>41708</c:v>
                </c:pt>
                <c:pt idx="1126">
                  <c:v>41709</c:v>
                </c:pt>
                <c:pt idx="1127">
                  <c:v>41710</c:v>
                </c:pt>
                <c:pt idx="1128">
                  <c:v>41711</c:v>
                </c:pt>
                <c:pt idx="1129">
                  <c:v>41712</c:v>
                </c:pt>
                <c:pt idx="1130">
                  <c:v>41715</c:v>
                </c:pt>
                <c:pt idx="1131">
                  <c:v>41716</c:v>
                </c:pt>
                <c:pt idx="1132">
                  <c:v>41717</c:v>
                </c:pt>
                <c:pt idx="1133">
                  <c:v>41718</c:v>
                </c:pt>
                <c:pt idx="1134">
                  <c:v>41719</c:v>
                </c:pt>
                <c:pt idx="1135">
                  <c:v>41722</c:v>
                </c:pt>
                <c:pt idx="1136">
                  <c:v>41723</c:v>
                </c:pt>
                <c:pt idx="1137">
                  <c:v>41724</c:v>
                </c:pt>
                <c:pt idx="1138">
                  <c:v>41725</c:v>
                </c:pt>
                <c:pt idx="1139">
                  <c:v>41726</c:v>
                </c:pt>
                <c:pt idx="1140">
                  <c:v>41729</c:v>
                </c:pt>
                <c:pt idx="1141">
                  <c:v>41730</c:v>
                </c:pt>
                <c:pt idx="1142">
                  <c:v>41731</c:v>
                </c:pt>
                <c:pt idx="1143">
                  <c:v>41732</c:v>
                </c:pt>
                <c:pt idx="1144">
                  <c:v>41733</c:v>
                </c:pt>
                <c:pt idx="1145">
                  <c:v>41736</c:v>
                </c:pt>
                <c:pt idx="1146">
                  <c:v>41737</c:v>
                </c:pt>
                <c:pt idx="1147">
                  <c:v>41738</c:v>
                </c:pt>
                <c:pt idx="1148">
                  <c:v>41739</c:v>
                </c:pt>
                <c:pt idx="1149">
                  <c:v>41740</c:v>
                </c:pt>
                <c:pt idx="1150">
                  <c:v>41743</c:v>
                </c:pt>
                <c:pt idx="1151">
                  <c:v>41744</c:v>
                </c:pt>
                <c:pt idx="1152">
                  <c:v>41745</c:v>
                </c:pt>
                <c:pt idx="1153">
                  <c:v>41746</c:v>
                </c:pt>
                <c:pt idx="1154">
                  <c:v>41750</c:v>
                </c:pt>
                <c:pt idx="1155">
                  <c:v>41751</c:v>
                </c:pt>
                <c:pt idx="1156">
                  <c:v>41752</c:v>
                </c:pt>
                <c:pt idx="1157">
                  <c:v>41753</c:v>
                </c:pt>
                <c:pt idx="1158">
                  <c:v>41754</c:v>
                </c:pt>
                <c:pt idx="1159">
                  <c:v>41757</c:v>
                </c:pt>
                <c:pt idx="1160">
                  <c:v>41758</c:v>
                </c:pt>
                <c:pt idx="1161">
                  <c:v>41759</c:v>
                </c:pt>
                <c:pt idx="1162">
                  <c:v>41760</c:v>
                </c:pt>
                <c:pt idx="1163">
                  <c:v>41761</c:v>
                </c:pt>
                <c:pt idx="1164">
                  <c:v>41764</c:v>
                </c:pt>
                <c:pt idx="1165">
                  <c:v>41765</c:v>
                </c:pt>
                <c:pt idx="1166">
                  <c:v>41766</c:v>
                </c:pt>
                <c:pt idx="1167">
                  <c:v>41767</c:v>
                </c:pt>
                <c:pt idx="1168">
                  <c:v>41768</c:v>
                </c:pt>
                <c:pt idx="1169">
                  <c:v>41771</c:v>
                </c:pt>
                <c:pt idx="1170">
                  <c:v>41772</c:v>
                </c:pt>
                <c:pt idx="1171">
                  <c:v>41773</c:v>
                </c:pt>
                <c:pt idx="1172">
                  <c:v>41774</c:v>
                </c:pt>
                <c:pt idx="1173">
                  <c:v>41775</c:v>
                </c:pt>
                <c:pt idx="1174">
                  <c:v>41778</c:v>
                </c:pt>
                <c:pt idx="1175">
                  <c:v>41779</c:v>
                </c:pt>
                <c:pt idx="1176">
                  <c:v>41780</c:v>
                </c:pt>
                <c:pt idx="1177">
                  <c:v>41781</c:v>
                </c:pt>
                <c:pt idx="1178">
                  <c:v>41782</c:v>
                </c:pt>
                <c:pt idx="1179">
                  <c:v>41786</c:v>
                </c:pt>
                <c:pt idx="1180">
                  <c:v>41787</c:v>
                </c:pt>
                <c:pt idx="1181">
                  <c:v>41788</c:v>
                </c:pt>
                <c:pt idx="1182">
                  <c:v>41789</c:v>
                </c:pt>
                <c:pt idx="1183">
                  <c:v>41792</c:v>
                </c:pt>
                <c:pt idx="1184">
                  <c:v>41793</c:v>
                </c:pt>
                <c:pt idx="1185">
                  <c:v>41794</c:v>
                </c:pt>
                <c:pt idx="1186">
                  <c:v>41795</c:v>
                </c:pt>
                <c:pt idx="1187">
                  <c:v>41796</c:v>
                </c:pt>
                <c:pt idx="1188">
                  <c:v>41799</c:v>
                </c:pt>
                <c:pt idx="1189">
                  <c:v>41800</c:v>
                </c:pt>
                <c:pt idx="1190">
                  <c:v>41801</c:v>
                </c:pt>
                <c:pt idx="1191">
                  <c:v>41802</c:v>
                </c:pt>
                <c:pt idx="1192">
                  <c:v>41803</c:v>
                </c:pt>
                <c:pt idx="1193">
                  <c:v>41806</c:v>
                </c:pt>
                <c:pt idx="1194">
                  <c:v>41807</c:v>
                </c:pt>
                <c:pt idx="1195">
                  <c:v>41808</c:v>
                </c:pt>
                <c:pt idx="1196">
                  <c:v>41809</c:v>
                </c:pt>
                <c:pt idx="1197">
                  <c:v>41810</c:v>
                </c:pt>
                <c:pt idx="1198">
                  <c:v>41813</c:v>
                </c:pt>
                <c:pt idx="1199">
                  <c:v>41814</c:v>
                </c:pt>
                <c:pt idx="1200">
                  <c:v>41815</c:v>
                </c:pt>
                <c:pt idx="1201">
                  <c:v>41816</c:v>
                </c:pt>
                <c:pt idx="1202">
                  <c:v>41817</c:v>
                </c:pt>
                <c:pt idx="1203">
                  <c:v>41820</c:v>
                </c:pt>
                <c:pt idx="1204">
                  <c:v>41821</c:v>
                </c:pt>
                <c:pt idx="1205">
                  <c:v>41822</c:v>
                </c:pt>
                <c:pt idx="1206">
                  <c:v>41823</c:v>
                </c:pt>
                <c:pt idx="1207">
                  <c:v>41827</c:v>
                </c:pt>
                <c:pt idx="1208">
                  <c:v>41828</c:v>
                </c:pt>
                <c:pt idx="1209">
                  <c:v>41829</c:v>
                </c:pt>
                <c:pt idx="1210">
                  <c:v>41830</c:v>
                </c:pt>
                <c:pt idx="1211">
                  <c:v>41831</c:v>
                </c:pt>
                <c:pt idx="1212">
                  <c:v>41834</c:v>
                </c:pt>
                <c:pt idx="1213">
                  <c:v>41835</c:v>
                </c:pt>
                <c:pt idx="1214">
                  <c:v>41836</c:v>
                </c:pt>
                <c:pt idx="1215">
                  <c:v>41837</c:v>
                </c:pt>
                <c:pt idx="1216">
                  <c:v>41838</c:v>
                </c:pt>
                <c:pt idx="1217">
                  <c:v>41841</c:v>
                </c:pt>
                <c:pt idx="1218">
                  <c:v>41842</c:v>
                </c:pt>
                <c:pt idx="1219">
                  <c:v>41843</c:v>
                </c:pt>
                <c:pt idx="1220">
                  <c:v>41844</c:v>
                </c:pt>
                <c:pt idx="1221">
                  <c:v>41845</c:v>
                </c:pt>
                <c:pt idx="1222">
                  <c:v>41848</c:v>
                </c:pt>
                <c:pt idx="1223">
                  <c:v>41849</c:v>
                </c:pt>
                <c:pt idx="1224">
                  <c:v>41850</c:v>
                </c:pt>
                <c:pt idx="1225">
                  <c:v>41851</c:v>
                </c:pt>
                <c:pt idx="1226">
                  <c:v>41852</c:v>
                </c:pt>
                <c:pt idx="1227">
                  <c:v>41855</c:v>
                </c:pt>
                <c:pt idx="1228">
                  <c:v>41856</c:v>
                </c:pt>
                <c:pt idx="1229">
                  <c:v>41857</c:v>
                </c:pt>
                <c:pt idx="1230">
                  <c:v>41858</c:v>
                </c:pt>
                <c:pt idx="1231">
                  <c:v>41859</c:v>
                </c:pt>
                <c:pt idx="1232">
                  <c:v>41862</c:v>
                </c:pt>
                <c:pt idx="1233">
                  <c:v>41863</c:v>
                </c:pt>
                <c:pt idx="1234">
                  <c:v>41864</c:v>
                </c:pt>
                <c:pt idx="1235">
                  <c:v>41865</c:v>
                </c:pt>
                <c:pt idx="1236">
                  <c:v>41866</c:v>
                </c:pt>
                <c:pt idx="1237">
                  <c:v>41869</c:v>
                </c:pt>
                <c:pt idx="1238">
                  <c:v>41870</c:v>
                </c:pt>
                <c:pt idx="1239">
                  <c:v>41871</c:v>
                </c:pt>
                <c:pt idx="1240">
                  <c:v>41872</c:v>
                </c:pt>
                <c:pt idx="1241">
                  <c:v>41873</c:v>
                </c:pt>
                <c:pt idx="1242">
                  <c:v>41876</c:v>
                </c:pt>
                <c:pt idx="1243">
                  <c:v>41877</c:v>
                </c:pt>
                <c:pt idx="1244">
                  <c:v>41878</c:v>
                </c:pt>
                <c:pt idx="1245">
                  <c:v>41879</c:v>
                </c:pt>
                <c:pt idx="1246">
                  <c:v>41880</c:v>
                </c:pt>
                <c:pt idx="1247">
                  <c:v>41884</c:v>
                </c:pt>
                <c:pt idx="1248">
                  <c:v>41885</c:v>
                </c:pt>
                <c:pt idx="1249">
                  <c:v>41886</c:v>
                </c:pt>
                <c:pt idx="1250">
                  <c:v>41887</c:v>
                </c:pt>
                <c:pt idx="1251">
                  <c:v>41890</c:v>
                </c:pt>
                <c:pt idx="1252">
                  <c:v>41891</c:v>
                </c:pt>
                <c:pt idx="1253">
                  <c:v>41892</c:v>
                </c:pt>
                <c:pt idx="1254">
                  <c:v>41893</c:v>
                </c:pt>
                <c:pt idx="1255">
                  <c:v>41894</c:v>
                </c:pt>
                <c:pt idx="1256">
                  <c:v>41897</c:v>
                </c:pt>
                <c:pt idx="1257">
                  <c:v>41898</c:v>
                </c:pt>
                <c:pt idx="1258">
                  <c:v>41899</c:v>
                </c:pt>
                <c:pt idx="1259">
                  <c:v>41900</c:v>
                </c:pt>
                <c:pt idx="1260">
                  <c:v>41901</c:v>
                </c:pt>
                <c:pt idx="1261">
                  <c:v>41904</c:v>
                </c:pt>
                <c:pt idx="1262">
                  <c:v>41905</c:v>
                </c:pt>
                <c:pt idx="1263">
                  <c:v>41906</c:v>
                </c:pt>
                <c:pt idx="1264">
                  <c:v>41907</c:v>
                </c:pt>
                <c:pt idx="1265">
                  <c:v>41908</c:v>
                </c:pt>
                <c:pt idx="1266">
                  <c:v>41911</c:v>
                </c:pt>
                <c:pt idx="1267">
                  <c:v>41912</c:v>
                </c:pt>
                <c:pt idx="1268">
                  <c:v>41913</c:v>
                </c:pt>
                <c:pt idx="1269">
                  <c:v>41914</c:v>
                </c:pt>
                <c:pt idx="1270">
                  <c:v>41915</c:v>
                </c:pt>
                <c:pt idx="1271">
                  <c:v>41918</c:v>
                </c:pt>
                <c:pt idx="1272">
                  <c:v>41919</c:v>
                </c:pt>
                <c:pt idx="1273">
                  <c:v>41920</c:v>
                </c:pt>
                <c:pt idx="1274">
                  <c:v>41921</c:v>
                </c:pt>
                <c:pt idx="1275">
                  <c:v>41922</c:v>
                </c:pt>
                <c:pt idx="1276">
                  <c:v>41926</c:v>
                </c:pt>
                <c:pt idx="1277">
                  <c:v>41927</c:v>
                </c:pt>
                <c:pt idx="1278">
                  <c:v>41928</c:v>
                </c:pt>
                <c:pt idx="1279">
                  <c:v>41929</c:v>
                </c:pt>
                <c:pt idx="1280">
                  <c:v>41932</c:v>
                </c:pt>
                <c:pt idx="1281">
                  <c:v>41933</c:v>
                </c:pt>
                <c:pt idx="1282">
                  <c:v>41934</c:v>
                </c:pt>
                <c:pt idx="1283">
                  <c:v>41935</c:v>
                </c:pt>
                <c:pt idx="1284">
                  <c:v>41936</c:v>
                </c:pt>
                <c:pt idx="1285">
                  <c:v>41939</c:v>
                </c:pt>
                <c:pt idx="1286">
                  <c:v>41940</c:v>
                </c:pt>
                <c:pt idx="1287">
                  <c:v>41941</c:v>
                </c:pt>
                <c:pt idx="1288">
                  <c:v>41942</c:v>
                </c:pt>
                <c:pt idx="1289">
                  <c:v>41943</c:v>
                </c:pt>
                <c:pt idx="1290">
                  <c:v>41946</c:v>
                </c:pt>
                <c:pt idx="1291">
                  <c:v>41947</c:v>
                </c:pt>
                <c:pt idx="1292">
                  <c:v>41948</c:v>
                </c:pt>
                <c:pt idx="1293">
                  <c:v>41949</c:v>
                </c:pt>
                <c:pt idx="1294">
                  <c:v>41950</c:v>
                </c:pt>
                <c:pt idx="1295">
                  <c:v>41953</c:v>
                </c:pt>
                <c:pt idx="1296">
                  <c:v>41955</c:v>
                </c:pt>
                <c:pt idx="1297">
                  <c:v>41956</c:v>
                </c:pt>
                <c:pt idx="1298">
                  <c:v>41957</c:v>
                </c:pt>
                <c:pt idx="1299">
                  <c:v>41960</c:v>
                </c:pt>
                <c:pt idx="1300">
                  <c:v>41961</c:v>
                </c:pt>
                <c:pt idx="1301">
                  <c:v>41962</c:v>
                </c:pt>
                <c:pt idx="1302">
                  <c:v>41963</c:v>
                </c:pt>
                <c:pt idx="1303">
                  <c:v>41964</c:v>
                </c:pt>
                <c:pt idx="1304">
                  <c:v>41967</c:v>
                </c:pt>
                <c:pt idx="1305">
                  <c:v>41968</c:v>
                </c:pt>
                <c:pt idx="1306">
                  <c:v>41969</c:v>
                </c:pt>
                <c:pt idx="1307">
                  <c:v>41971</c:v>
                </c:pt>
                <c:pt idx="1308">
                  <c:v>41974</c:v>
                </c:pt>
                <c:pt idx="1309">
                  <c:v>41975</c:v>
                </c:pt>
                <c:pt idx="1310">
                  <c:v>41976</c:v>
                </c:pt>
                <c:pt idx="1311">
                  <c:v>41977</c:v>
                </c:pt>
                <c:pt idx="1312">
                  <c:v>41978</c:v>
                </c:pt>
                <c:pt idx="1313">
                  <c:v>41981</c:v>
                </c:pt>
                <c:pt idx="1314">
                  <c:v>41982</c:v>
                </c:pt>
                <c:pt idx="1315">
                  <c:v>41983</c:v>
                </c:pt>
                <c:pt idx="1316">
                  <c:v>41984</c:v>
                </c:pt>
                <c:pt idx="1317">
                  <c:v>41985</c:v>
                </c:pt>
                <c:pt idx="1318">
                  <c:v>41988</c:v>
                </c:pt>
                <c:pt idx="1319">
                  <c:v>41989</c:v>
                </c:pt>
                <c:pt idx="1320">
                  <c:v>41990</c:v>
                </c:pt>
                <c:pt idx="1321">
                  <c:v>41991</c:v>
                </c:pt>
                <c:pt idx="1322">
                  <c:v>41992</c:v>
                </c:pt>
                <c:pt idx="1323">
                  <c:v>41995</c:v>
                </c:pt>
                <c:pt idx="1324">
                  <c:v>41996</c:v>
                </c:pt>
                <c:pt idx="1325">
                  <c:v>41997</c:v>
                </c:pt>
                <c:pt idx="1326">
                  <c:v>41999</c:v>
                </c:pt>
                <c:pt idx="1327">
                  <c:v>42002</c:v>
                </c:pt>
                <c:pt idx="1328">
                  <c:v>42003</c:v>
                </c:pt>
                <c:pt idx="1329">
                  <c:v>42004</c:v>
                </c:pt>
                <c:pt idx="1330">
                  <c:v>42006</c:v>
                </c:pt>
                <c:pt idx="1331">
                  <c:v>42009</c:v>
                </c:pt>
                <c:pt idx="1332">
                  <c:v>42010</c:v>
                </c:pt>
                <c:pt idx="1333">
                  <c:v>42011</c:v>
                </c:pt>
                <c:pt idx="1334">
                  <c:v>42012</c:v>
                </c:pt>
                <c:pt idx="1335">
                  <c:v>42013</c:v>
                </c:pt>
                <c:pt idx="1336">
                  <c:v>42016</c:v>
                </c:pt>
                <c:pt idx="1337">
                  <c:v>42017</c:v>
                </c:pt>
                <c:pt idx="1338">
                  <c:v>42018</c:v>
                </c:pt>
                <c:pt idx="1339">
                  <c:v>42019</c:v>
                </c:pt>
                <c:pt idx="1340">
                  <c:v>42020</c:v>
                </c:pt>
                <c:pt idx="1341">
                  <c:v>42024</c:v>
                </c:pt>
                <c:pt idx="1342">
                  <c:v>42025</c:v>
                </c:pt>
                <c:pt idx="1343">
                  <c:v>42026</c:v>
                </c:pt>
                <c:pt idx="1344">
                  <c:v>42027</c:v>
                </c:pt>
                <c:pt idx="1345">
                  <c:v>42030</c:v>
                </c:pt>
                <c:pt idx="1346">
                  <c:v>42031</c:v>
                </c:pt>
                <c:pt idx="1347">
                  <c:v>42032</c:v>
                </c:pt>
                <c:pt idx="1348">
                  <c:v>42033</c:v>
                </c:pt>
                <c:pt idx="1349">
                  <c:v>42034</c:v>
                </c:pt>
                <c:pt idx="1350">
                  <c:v>42037</c:v>
                </c:pt>
                <c:pt idx="1351">
                  <c:v>42038</c:v>
                </c:pt>
                <c:pt idx="1352">
                  <c:v>42039</c:v>
                </c:pt>
                <c:pt idx="1353">
                  <c:v>42040</c:v>
                </c:pt>
                <c:pt idx="1354">
                  <c:v>42041</c:v>
                </c:pt>
                <c:pt idx="1355">
                  <c:v>42044</c:v>
                </c:pt>
                <c:pt idx="1356">
                  <c:v>42045</c:v>
                </c:pt>
                <c:pt idx="1357">
                  <c:v>42046</c:v>
                </c:pt>
                <c:pt idx="1358">
                  <c:v>42047</c:v>
                </c:pt>
                <c:pt idx="1359">
                  <c:v>42048</c:v>
                </c:pt>
                <c:pt idx="1360">
                  <c:v>42052</c:v>
                </c:pt>
                <c:pt idx="1361">
                  <c:v>42053</c:v>
                </c:pt>
                <c:pt idx="1362">
                  <c:v>42054</c:v>
                </c:pt>
                <c:pt idx="1363">
                  <c:v>42055</c:v>
                </c:pt>
                <c:pt idx="1364">
                  <c:v>42058</c:v>
                </c:pt>
                <c:pt idx="1365">
                  <c:v>42059</c:v>
                </c:pt>
                <c:pt idx="1366">
                  <c:v>42060</c:v>
                </c:pt>
                <c:pt idx="1367">
                  <c:v>42061</c:v>
                </c:pt>
                <c:pt idx="1368">
                  <c:v>42062</c:v>
                </c:pt>
                <c:pt idx="1369">
                  <c:v>42065</c:v>
                </c:pt>
                <c:pt idx="1370">
                  <c:v>42066</c:v>
                </c:pt>
                <c:pt idx="1371">
                  <c:v>42067</c:v>
                </c:pt>
                <c:pt idx="1372">
                  <c:v>42068</c:v>
                </c:pt>
                <c:pt idx="1373">
                  <c:v>42069</c:v>
                </c:pt>
                <c:pt idx="1374">
                  <c:v>42072</c:v>
                </c:pt>
                <c:pt idx="1375">
                  <c:v>42073</c:v>
                </c:pt>
                <c:pt idx="1376">
                  <c:v>42074</c:v>
                </c:pt>
                <c:pt idx="1377">
                  <c:v>42075</c:v>
                </c:pt>
                <c:pt idx="1378">
                  <c:v>42076</c:v>
                </c:pt>
                <c:pt idx="1379">
                  <c:v>42079</c:v>
                </c:pt>
                <c:pt idx="1380">
                  <c:v>42080</c:v>
                </c:pt>
                <c:pt idx="1381">
                  <c:v>42081</c:v>
                </c:pt>
                <c:pt idx="1382">
                  <c:v>42082</c:v>
                </c:pt>
                <c:pt idx="1383">
                  <c:v>42083</c:v>
                </c:pt>
                <c:pt idx="1384">
                  <c:v>42086</c:v>
                </c:pt>
                <c:pt idx="1385">
                  <c:v>42087</c:v>
                </c:pt>
                <c:pt idx="1386">
                  <c:v>42088</c:v>
                </c:pt>
                <c:pt idx="1387">
                  <c:v>42089</c:v>
                </c:pt>
                <c:pt idx="1388">
                  <c:v>42090</c:v>
                </c:pt>
                <c:pt idx="1389">
                  <c:v>42093</c:v>
                </c:pt>
                <c:pt idx="1390">
                  <c:v>42094</c:v>
                </c:pt>
              </c:numCache>
            </c:numRef>
          </c:cat>
          <c:val>
            <c:numRef>
              <c:f>Result!$E$3:$E$1393</c:f>
              <c:numCache>
                <c:formatCode>General</c:formatCode>
                <c:ptCount val="1391"/>
                <c:pt idx="0">
                  <c:v>160.88058412229563</c:v>
                </c:pt>
                <c:pt idx="1">
                  <c:v>156.61920000063515</c:v>
                </c:pt>
                <c:pt idx="2">
                  <c:v>154.93069670522021</c:v>
                </c:pt>
                <c:pt idx="3">
                  <c:v>154.75239226347463</c:v>
                </c:pt>
                <c:pt idx="4">
                  <c:v>152.895757792382</c:v>
                </c:pt>
                <c:pt idx="5">
                  <c:v>153.75712992521107</c:v>
                </c:pt>
                <c:pt idx="6">
                  <c:v>151.3754986451965</c:v>
                </c:pt>
                <c:pt idx="7">
                  <c:v>149.65054000041067</c:v>
                </c:pt>
                <c:pt idx="8">
                  <c:v>151.81411672330299</c:v>
                </c:pt>
                <c:pt idx="9">
                  <c:v>151.49822940907501</c:v>
                </c:pt>
                <c:pt idx="10">
                  <c:v>143.93194299557069</c:v>
                </c:pt>
                <c:pt idx="11">
                  <c:v>144.64404147968298</c:v>
                </c:pt>
                <c:pt idx="12">
                  <c:v>143.20840361378993</c:v>
                </c:pt>
                <c:pt idx="13">
                  <c:v>143.79011593411676</c:v>
                </c:pt>
                <c:pt idx="14">
                  <c:v>144.78674219499749</c:v>
                </c:pt>
                <c:pt idx="15">
                  <c:v>141.120054746851</c:v>
                </c:pt>
                <c:pt idx="16">
                  <c:v>140.73019179654557</c:v>
                </c:pt>
                <c:pt idx="17">
                  <c:v>141.29082671902771</c:v>
                </c:pt>
                <c:pt idx="18">
                  <c:v>140.96777156158615</c:v>
                </c:pt>
                <c:pt idx="19">
                  <c:v>141.56303442716242</c:v>
                </c:pt>
                <c:pt idx="20">
                  <c:v>141.28348476103795</c:v>
                </c:pt>
                <c:pt idx="21">
                  <c:v>141.28602660869248</c:v>
                </c:pt>
                <c:pt idx="22">
                  <c:v>140.89769173698596</c:v>
                </c:pt>
                <c:pt idx="23">
                  <c:v>137.20063269133982</c:v>
                </c:pt>
                <c:pt idx="24">
                  <c:v>135.03487479934785</c:v>
                </c:pt>
                <c:pt idx="25">
                  <c:v>133.24763194651189</c:v>
                </c:pt>
                <c:pt idx="26">
                  <c:v>132.50792841219118</c:v>
                </c:pt>
                <c:pt idx="27">
                  <c:v>130.78839223784465</c:v>
                </c:pt>
                <c:pt idx="28">
                  <c:v>125.98169606231124</c:v>
                </c:pt>
                <c:pt idx="29">
                  <c:v>129.32574854350921</c:v>
                </c:pt>
                <c:pt idx="30">
                  <c:v>127.97644036121466</c:v>
                </c:pt>
                <c:pt idx="31">
                  <c:v>129.61698292815481</c:v>
                </c:pt>
                <c:pt idx="32">
                  <c:v>126.81549751812855</c:v>
                </c:pt>
                <c:pt idx="33">
                  <c:v>126.03741779149557</c:v>
                </c:pt>
                <c:pt idx="34">
                  <c:v>119.17837701757125</c:v>
                </c:pt>
                <c:pt idx="35">
                  <c:v>119.27387837771516</c:v>
                </c:pt>
                <c:pt idx="36">
                  <c:v>119.91677599637043</c:v>
                </c:pt>
                <c:pt idx="37">
                  <c:v>119.8664598136604</c:v>
                </c:pt>
                <c:pt idx="38">
                  <c:v>120.35896178610088</c:v>
                </c:pt>
                <c:pt idx="39">
                  <c:v>121.77856519703467</c:v>
                </c:pt>
                <c:pt idx="40">
                  <c:v>119.4900128471018</c:v>
                </c:pt>
                <c:pt idx="41">
                  <c:v>115.21556686308455</c:v>
                </c:pt>
                <c:pt idx="42">
                  <c:v>116.45232262319266</c:v>
                </c:pt>
                <c:pt idx="43">
                  <c:v>115.97872296420047</c:v>
                </c:pt>
                <c:pt idx="44">
                  <c:v>116.39037044451376</c:v>
                </c:pt>
                <c:pt idx="45">
                  <c:v>112.49496372886227</c:v>
                </c:pt>
                <c:pt idx="46">
                  <c:v>111.82494839486455</c:v>
                </c:pt>
                <c:pt idx="47">
                  <c:v>109.89360652886451</c:v>
                </c:pt>
                <c:pt idx="48">
                  <c:v>109.99885198492805</c:v>
                </c:pt>
                <c:pt idx="49">
                  <c:v>106.27612005405037</c:v>
                </c:pt>
                <c:pt idx="50">
                  <c:v>106.04607097501196</c:v>
                </c:pt>
                <c:pt idx="51">
                  <c:v>105.94995200910154</c:v>
                </c:pt>
                <c:pt idx="52">
                  <c:v>104.67204324213002</c:v>
                </c:pt>
                <c:pt idx="53">
                  <c:v>106.72391468309858</c:v>
                </c:pt>
                <c:pt idx="54">
                  <c:v>106.51971925023889</c:v>
                </c:pt>
                <c:pt idx="55">
                  <c:v>103.23860802155413</c:v>
                </c:pt>
                <c:pt idx="56">
                  <c:v>102.67880061422738</c:v>
                </c:pt>
                <c:pt idx="57">
                  <c:v>102.29426328178768</c:v>
                </c:pt>
                <c:pt idx="58">
                  <c:v>102.22497082883864</c:v>
                </c:pt>
                <c:pt idx="59">
                  <c:v>102.59517859020919</c:v>
                </c:pt>
                <c:pt idx="60">
                  <c:v>103.14760829853998</c:v>
                </c:pt>
                <c:pt idx="61">
                  <c:v>103.04863876044479</c:v>
                </c:pt>
                <c:pt idx="62">
                  <c:v>103.0340795777681</c:v>
                </c:pt>
                <c:pt idx="63">
                  <c:v>102.61008302549652</c:v>
                </c:pt>
                <c:pt idx="64">
                  <c:v>102.94811797009227</c:v>
                </c:pt>
                <c:pt idx="65">
                  <c:v>100.80201706511369</c:v>
                </c:pt>
                <c:pt idx="66">
                  <c:v>103.96373832601262</c:v>
                </c:pt>
                <c:pt idx="67">
                  <c:v>104.09153768243225</c:v>
                </c:pt>
                <c:pt idx="68">
                  <c:v>100.99847718619014</c:v>
                </c:pt>
                <c:pt idx="69">
                  <c:v>101.09344435566572</c:v>
                </c:pt>
                <c:pt idx="70">
                  <c:v>100.10054907420295</c:v>
                </c:pt>
                <c:pt idx="71">
                  <c:v>99.904785961614522</c:v>
                </c:pt>
                <c:pt idx="72">
                  <c:v>99.965361120863804</c:v>
                </c:pt>
                <c:pt idx="73">
                  <c:v>99.400685612635471</c:v>
                </c:pt>
                <c:pt idx="74">
                  <c:v>97.799735741240582</c:v>
                </c:pt>
                <c:pt idx="75">
                  <c:v>100.26456748398911</c:v>
                </c:pt>
                <c:pt idx="76">
                  <c:v>100.55511217617286</c:v>
                </c:pt>
                <c:pt idx="77">
                  <c:v>104.99826826633556</c:v>
                </c:pt>
                <c:pt idx="78">
                  <c:v>105.43037217860716</c:v>
                </c:pt>
                <c:pt idx="79">
                  <c:v>104.34531320762612</c:v>
                </c:pt>
                <c:pt idx="80">
                  <c:v>103.95715186321037</c:v>
                </c:pt>
                <c:pt idx="81">
                  <c:v>104.39941630758479</c:v>
                </c:pt>
                <c:pt idx="82">
                  <c:v>104.7864158181191</c:v>
                </c:pt>
                <c:pt idx="83">
                  <c:v>102.44462572510533</c:v>
                </c:pt>
                <c:pt idx="84">
                  <c:v>102.55504789041041</c:v>
                </c:pt>
                <c:pt idx="85">
                  <c:v>102.65841253998038</c:v>
                </c:pt>
                <c:pt idx="86">
                  <c:v>105.12960794102017</c:v>
                </c:pt>
                <c:pt idx="87">
                  <c:v>104.18724226338097</c:v>
                </c:pt>
                <c:pt idx="88">
                  <c:v>103.67500245177229</c:v>
                </c:pt>
                <c:pt idx="89">
                  <c:v>99.738153054345688</c:v>
                </c:pt>
                <c:pt idx="90">
                  <c:v>98.444408856576302</c:v>
                </c:pt>
                <c:pt idx="91">
                  <c:v>98.464888864502683</c:v>
                </c:pt>
                <c:pt idx="92">
                  <c:v>98.812247286565267</c:v>
                </c:pt>
                <c:pt idx="93">
                  <c:v>99.172280481427904</c:v>
                </c:pt>
                <c:pt idx="94">
                  <c:v>99.593287303006562</c:v>
                </c:pt>
                <c:pt idx="95">
                  <c:v>98.823225435580312</c:v>
                </c:pt>
                <c:pt idx="96">
                  <c:v>98.378054931984536</c:v>
                </c:pt>
                <c:pt idx="97">
                  <c:v>98.857595771548773</c:v>
                </c:pt>
                <c:pt idx="98">
                  <c:v>98.388579487064177</c:v>
                </c:pt>
                <c:pt idx="99">
                  <c:v>96.863475495280056</c:v>
                </c:pt>
                <c:pt idx="100">
                  <c:v>94.760332107603801</c:v>
                </c:pt>
                <c:pt idx="101">
                  <c:v>94.039559351776376</c:v>
                </c:pt>
                <c:pt idx="102">
                  <c:v>92.556295594355547</c:v>
                </c:pt>
                <c:pt idx="103">
                  <c:v>90.385530053711577</c:v>
                </c:pt>
                <c:pt idx="104">
                  <c:v>90.487492732967624</c:v>
                </c:pt>
                <c:pt idx="105">
                  <c:v>90.0738716055086</c:v>
                </c:pt>
                <c:pt idx="106">
                  <c:v>89.874310019447449</c:v>
                </c:pt>
                <c:pt idx="107">
                  <c:v>92.112763269766745</c:v>
                </c:pt>
                <c:pt idx="108">
                  <c:v>92.942035920377393</c:v>
                </c:pt>
                <c:pt idx="109">
                  <c:v>93.179101177797733</c:v>
                </c:pt>
                <c:pt idx="110">
                  <c:v>93.54943387199728</c:v>
                </c:pt>
                <c:pt idx="111">
                  <c:v>93.157422679945682</c:v>
                </c:pt>
                <c:pt idx="112">
                  <c:v>93.300251385507408</c:v>
                </c:pt>
                <c:pt idx="113">
                  <c:v>90.102760554081286</c:v>
                </c:pt>
                <c:pt idx="114">
                  <c:v>90.16171803382376</c:v>
                </c:pt>
                <c:pt idx="115">
                  <c:v>90.840708941542971</c:v>
                </c:pt>
                <c:pt idx="116">
                  <c:v>91.263059591955113</c:v>
                </c:pt>
                <c:pt idx="117">
                  <c:v>91.274541219791828</c:v>
                </c:pt>
                <c:pt idx="118">
                  <c:v>91.26309724325327</c:v>
                </c:pt>
                <c:pt idx="119">
                  <c:v>93.603513311082352</c:v>
                </c:pt>
                <c:pt idx="120">
                  <c:v>92.726874165380721</c:v>
                </c:pt>
                <c:pt idx="121">
                  <c:v>92.599970894173083</c:v>
                </c:pt>
                <c:pt idx="122">
                  <c:v>93.317953011336428</c:v>
                </c:pt>
                <c:pt idx="123">
                  <c:v>91.923328155833545</c:v>
                </c:pt>
                <c:pt idx="124">
                  <c:v>91.482890818721657</c:v>
                </c:pt>
                <c:pt idx="125">
                  <c:v>90.519749693887647</c:v>
                </c:pt>
                <c:pt idx="126">
                  <c:v>87.196942800681455</c:v>
                </c:pt>
                <c:pt idx="127">
                  <c:v>88.700762129541971</c:v>
                </c:pt>
                <c:pt idx="128">
                  <c:v>87.583366179549799</c:v>
                </c:pt>
                <c:pt idx="129">
                  <c:v>87.555536441127757</c:v>
                </c:pt>
                <c:pt idx="130">
                  <c:v>87.026951725286494</c:v>
                </c:pt>
                <c:pt idx="131">
                  <c:v>86.217959021923491</c:v>
                </c:pt>
                <c:pt idx="132">
                  <c:v>86.111900352255859</c:v>
                </c:pt>
                <c:pt idx="133">
                  <c:v>84.920549225496003</c:v>
                </c:pt>
                <c:pt idx="134">
                  <c:v>85.416032608185461</c:v>
                </c:pt>
                <c:pt idx="135">
                  <c:v>82.442640004021143</c:v>
                </c:pt>
                <c:pt idx="136">
                  <c:v>82.101607235587466</c:v>
                </c:pt>
                <c:pt idx="137">
                  <c:v>75.107447093521131</c:v>
                </c:pt>
                <c:pt idx="138">
                  <c:v>73.746677668052058</c:v>
                </c:pt>
                <c:pt idx="139">
                  <c:v>74.082527274471971</c:v>
                </c:pt>
                <c:pt idx="140">
                  <c:v>76.075197769464509</c:v>
                </c:pt>
                <c:pt idx="141">
                  <c:v>76.779280851807712</c:v>
                </c:pt>
                <c:pt idx="142">
                  <c:v>76.788186611013103</c:v>
                </c:pt>
                <c:pt idx="143">
                  <c:v>76.455568278535395</c:v>
                </c:pt>
                <c:pt idx="144">
                  <c:v>75.73176912329788</c:v>
                </c:pt>
                <c:pt idx="145">
                  <c:v>75.776664480257594</c:v>
                </c:pt>
                <c:pt idx="146">
                  <c:v>73.620501004090045</c:v>
                </c:pt>
                <c:pt idx="147">
                  <c:v>80.730884893633174</c:v>
                </c:pt>
                <c:pt idx="148">
                  <c:v>81.864594740800953</c:v>
                </c:pt>
                <c:pt idx="149">
                  <c:v>84.871193200052133</c:v>
                </c:pt>
                <c:pt idx="150">
                  <c:v>84.989943989050943</c:v>
                </c:pt>
                <c:pt idx="151">
                  <c:v>82.513870766406512</c:v>
                </c:pt>
                <c:pt idx="152">
                  <c:v>82.188875992266645</c:v>
                </c:pt>
                <c:pt idx="153">
                  <c:v>81.918820713925797</c:v>
                </c:pt>
                <c:pt idx="154">
                  <c:v>82.080290166733889</c:v>
                </c:pt>
                <c:pt idx="155">
                  <c:v>81.773085713270731</c:v>
                </c:pt>
                <c:pt idx="156">
                  <c:v>82.514124606029114</c:v>
                </c:pt>
                <c:pt idx="157">
                  <c:v>82.717458422225661</c:v>
                </c:pt>
                <c:pt idx="158">
                  <c:v>82.723924957505517</c:v>
                </c:pt>
                <c:pt idx="159">
                  <c:v>83.55951129822148</c:v>
                </c:pt>
                <c:pt idx="160">
                  <c:v>84.036416516733226</c:v>
                </c:pt>
                <c:pt idx="161">
                  <c:v>84.433887698637193</c:v>
                </c:pt>
                <c:pt idx="162">
                  <c:v>84.451835488021871</c:v>
                </c:pt>
                <c:pt idx="163">
                  <c:v>87.442265812482887</c:v>
                </c:pt>
                <c:pt idx="164">
                  <c:v>87.949002068558087</c:v>
                </c:pt>
                <c:pt idx="165">
                  <c:v>88.832604710785617</c:v>
                </c:pt>
                <c:pt idx="166">
                  <c:v>88.667024241952717</c:v>
                </c:pt>
                <c:pt idx="167">
                  <c:v>87.270830180024888</c:v>
                </c:pt>
                <c:pt idx="168">
                  <c:v>87.925844631619114</c:v>
                </c:pt>
                <c:pt idx="169">
                  <c:v>88.448957110815186</c:v>
                </c:pt>
                <c:pt idx="170">
                  <c:v>90.493865145760438</c:v>
                </c:pt>
                <c:pt idx="171">
                  <c:v>89.779435761102491</c:v>
                </c:pt>
                <c:pt idx="172">
                  <c:v>92.24247686744566</c:v>
                </c:pt>
                <c:pt idx="173">
                  <c:v>91.938354359451935</c:v>
                </c:pt>
                <c:pt idx="174">
                  <c:v>91.975948975513873</c:v>
                </c:pt>
                <c:pt idx="175">
                  <c:v>90.456753160820455</c:v>
                </c:pt>
                <c:pt idx="176">
                  <c:v>92.381201010413463</c:v>
                </c:pt>
                <c:pt idx="177">
                  <c:v>92.539314152125471</c:v>
                </c:pt>
                <c:pt idx="178">
                  <c:v>93.358685285350091</c:v>
                </c:pt>
                <c:pt idx="179">
                  <c:v>91.047321126845929</c:v>
                </c:pt>
                <c:pt idx="180">
                  <c:v>93.143547333795624</c:v>
                </c:pt>
                <c:pt idx="181">
                  <c:v>93.530590535327036</c:v>
                </c:pt>
                <c:pt idx="182">
                  <c:v>93.87732104715613</c:v>
                </c:pt>
                <c:pt idx="183">
                  <c:v>93.997832508138785</c:v>
                </c:pt>
                <c:pt idx="184">
                  <c:v>94.822757217921591</c:v>
                </c:pt>
                <c:pt idx="185">
                  <c:v>98.274861577784833</c:v>
                </c:pt>
                <c:pt idx="186">
                  <c:v>98.478583371230428</c:v>
                </c:pt>
                <c:pt idx="187">
                  <c:v>96.767296593775924</c:v>
                </c:pt>
                <c:pt idx="188">
                  <c:v>96.817329914256504</c:v>
                </c:pt>
                <c:pt idx="189">
                  <c:v>97.343826406707961</c:v>
                </c:pt>
                <c:pt idx="190">
                  <c:v>102.88521320404777</c:v>
                </c:pt>
                <c:pt idx="191">
                  <c:v>102.85906266689319</c:v>
                </c:pt>
                <c:pt idx="192">
                  <c:v>102.84605474038919</c:v>
                </c:pt>
                <c:pt idx="193">
                  <c:v>102.89594111078164</c:v>
                </c:pt>
                <c:pt idx="194">
                  <c:v>105.77070619789626</c:v>
                </c:pt>
                <c:pt idx="195">
                  <c:v>107.20297292689087</c:v>
                </c:pt>
                <c:pt idx="196">
                  <c:v>107.45131252695255</c:v>
                </c:pt>
                <c:pt idx="197">
                  <c:v>107.44931738525143</c:v>
                </c:pt>
                <c:pt idx="198">
                  <c:v>107.40884134113475</c:v>
                </c:pt>
                <c:pt idx="199">
                  <c:v>108.95169768882371</c:v>
                </c:pt>
                <c:pt idx="200">
                  <c:v>107.22255227693316</c:v>
                </c:pt>
                <c:pt idx="201">
                  <c:v>105.7766723753506</c:v>
                </c:pt>
                <c:pt idx="202">
                  <c:v>106.03720993174737</c:v>
                </c:pt>
                <c:pt idx="203">
                  <c:v>105.91176504299509</c:v>
                </c:pt>
                <c:pt idx="204">
                  <c:v>106.01613989886869</c:v>
                </c:pt>
                <c:pt idx="205">
                  <c:v>106.00288853869984</c:v>
                </c:pt>
                <c:pt idx="206">
                  <c:v>106.41121127418049</c:v>
                </c:pt>
                <c:pt idx="207">
                  <c:v>99.948134449385435</c:v>
                </c:pt>
                <c:pt idx="208">
                  <c:v>99.368101824080128</c:v>
                </c:pt>
                <c:pt idx="209">
                  <c:v>97.358013541740789</c:v>
                </c:pt>
                <c:pt idx="210">
                  <c:v>98.191102313726702</c:v>
                </c:pt>
                <c:pt idx="211">
                  <c:v>98.389601803411608</c:v>
                </c:pt>
                <c:pt idx="212">
                  <c:v>98.156275190878432</c:v>
                </c:pt>
                <c:pt idx="213">
                  <c:v>98.243170852796993</c:v>
                </c:pt>
                <c:pt idx="214">
                  <c:v>98.000779568918816</c:v>
                </c:pt>
                <c:pt idx="215">
                  <c:v>98.015334608523887</c:v>
                </c:pt>
                <c:pt idx="216">
                  <c:v>97.790472769586771</c:v>
                </c:pt>
                <c:pt idx="217">
                  <c:v>97.427259729374498</c:v>
                </c:pt>
                <c:pt idx="218">
                  <c:v>98.857892481241095</c:v>
                </c:pt>
                <c:pt idx="219">
                  <c:v>98.384370047801212</c:v>
                </c:pt>
                <c:pt idx="220">
                  <c:v>98.106937432383361</c:v>
                </c:pt>
                <c:pt idx="221">
                  <c:v>97.439692340041987</c:v>
                </c:pt>
                <c:pt idx="222">
                  <c:v>97.729282283855497</c:v>
                </c:pt>
                <c:pt idx="223">
                  <c:v>95.837353211966047</c:v>
                </c:pt>
                <c:pt idx="224">
                  <c:v>96.177599358673916</c:v>
                </c:pt>
                <c:pt idx="225">
                  <c:v>95.619295744117366</c:v>
                </c:pt>
                <c:pt idx="226">
                  <c:v>95.676524633818318</c:v>
                </c:pt>
                <c:pt idx="227">
                  <c:v>95.062476758259052</c:v>
                </c:pt>
                <c:pt idx="228">
                  <c:v>93.816252394099081</c:v>
                </c:pt>
                <c:pt idx="229">
                  <c:v>94.031316878465034</c:v>
                </c:pt>
                <c:pt idx="230">
                  <c:v>92.369963854136856</c:v>
                </c:pt>
                <c:pt idx="231">
                  <c:v>92.570318398946554</c:v>
                </c:pt>
                <c:pt idx="232">
                  <c:v>90.139548359998429</c:v>
                </c:pt>
                <c:pt idx="233">
                  <c:v>90.10804800510472</c:v>
                </c:pt>
                <c:pt idx="234">
                  <c:v>90.384362483132833</c:v>
                </c:pt>
                <c:pt idx="235">
                  <c:v>90.437995025152432</c:v>
                </c:pt>
                <c:pt idx="236">
                  <c:v>88.272032647862559</c:v>
                </c:pt>
                <c:pt idx="237">
                  <c:v>89.113480485471257</c:v>
                </c:pt>
                <c:pt idx="238">
                  <c:v>89.057630100633403</c:v>
                </c:pt>
                <c:pt idx="239">
                  <c:v>89.710310758844471</c:v>
                </c:pt>
                <c:pt idx="240">
                  <c:v>89.283787518790703</c:v>
                </c:pt>
                <c:pt idx="241">
                  <c:v>89.666737125674615</c:v>
                </c:pt>
                <c:pt idx="242">
                  <c:v>88.953298482249537</c:v>
                </c:pt>
                <c:pt idx="243">
                  <c:v>89.488047902264896</c:v>
                </c:pt>
                <c:pt idx="244">
                  <c:v>89.107399397187024</c:v>
                </c:pt>
                <c:pt idx="245">
                  <c:v>84.815220638097315</c:v>
                </c:pt>
                <c:pt idx="246">
                  <c:v>86.363780203780266</c:v>
                </c:pt>
                <c:pt idx="247">
                  <c:v>86.800678207763355</c:v>
                </c:pt>
                <c:pt idx="248">
                  <c:v>86.421381717214118</c:v>
                </c:pt>
                <c:pt idx="249">
                  <c:v>93.839484049056992</c:v>
                </c:pt>
                <c:pt idx="250">
                  <c:v>91.109774200862788</c:v>
                </c:pt>
                <c:pt idx="251">
                  <c:v>91.9449288163391</c:v>
                </c:pt>
                <c:pt idx="252">
                  <c:v>94.800961288493554</c:v>
                </c:pt>
                <c:pt idx="253">
                  <c:v>95.301257136892843</c:v>
                </c:pt>
                <c:pt idx="254">
                  <c:v>92.580455346690542</c:v>
                </c:pt>
                <c:pt idx="255">
                  <c:v>93.699917560104993</c:v>
                </c:pt>
                <c:pt idx="256">
                  <c:v>93.999107785103348</c:v>
                </c:pt>
                <c:pt idx="257">
                  <c:v>97.452709251457676</c:v>
                </c:pt>
                <c:pt idx="258">
                  <c:v>97.888407356898227</c:v>
                </c:pt>
                <c:pt idx="259">
                  <c:v>96.41159375102292</c:v>
                </c:pt>
                <c:pt idx="260">
                  <c:v>97.416088365830461</c:v>
                </c:pt>
                <c:pt idx="261">
                  <c:v>98.744458611349117</c:v>
                </c:pt>
                <c:pt idx="262">
                  <c:v>99.171568318513167</c:v>
                </c:pt>
                <c:pt idx="263">
                  <c:v>98.916173183640183</c:v>
                </c:pt>
                <c:pt idx="264">
                  <c:v>98.99550472852188</c:v>
                </c:pt>
                <c:pt idx="265">
                  <c:v>101.08635580065439</c:v>
                </c:pt>
                <c:pt idx="266">
                  <c:v>99.795397963323879</c:v>
                </c:pt>
                <c:pt idx="267">
                  <c:v>99.040063549974775</c:v>
                </c:pt>
                <c:pt idx="268">
                  <c:v>99.746112896279641</c:v>
                </c:pt>
                <c:pt idx="269">
                  <c:v>101.30482827996212</c:v>
                </c:pt>
                <c:pt idx="270">
                  <c:v>101.11659377320765</c:v>
                </c:pt>
                <c:pt idx="271">
                  <c:v>101.7923871010302</c:v>
                </c:pt>
                <c:pt idx="272">
                  <c:v>101.87344442146727</c:v>
                </c:pt>
                <c:pt idx="273">
                  <c:v>101.80375566733215</c:v>
                </c:pt>
                <c:pt idx="274">
                  <c:v>101.35642745654678</c:v>
                </c:pt>
                <c:pt idx="275">
                  <c:v>101.51073663476569</c:v>
                </c:pt>
                <c:pt idx="276">
                  <c:v>101.60195374070999</c:v>
                </c:pt>
                <c:pt idx="277">
                  <c:v>101.0372629438132</c:v>
                </c:pt>
                <c:pt idx="278">
                  <c:v>99.508802264331948</c:v>
                </c:pt>
                <c:pt idx="279">
                  <c:v>99.609417075782815</c:v>
                </c:pt>
                <c:pt idx="280">
                  <c:v>99.308876032555972</c:v>
                </c:pt>
                <c:pt idx="281">
                  <c:v>100.5248826271941</c:v>
                </c:pt>
                <c:pt idx="282">
                  <c:v>100.81208462997218</c:v>
                </c:pt>
                <c:pt idx="283">
                  <c:v>101.70586563740048</c:v>
                </c:pt>
                <c:pt idx="284">
                  <c:v>100.37668346786401</c:v>
                </c:pt>
                <c:pt idx="285">
                  <c:v>100.37125832239194</c:v>
                </c:pt>
                <c:pt idx="286">
                  <c:v>101.22296249705438</c:v>
                </c:pt>
                <c:pt idx="287">
                  <c:v>101.08933239811722</c:v>
                </c:pt>
                <c:pt idx="288">
                  <c:v>101.0801334741947</c:v>
                </c:pt>
                <c:pt idx="289">
                  <c:v>101.96392428531283</c:v>
                </c:pt>
                <c:pt idx="290">
                  <c:v>102.94036681968714</c:v>
                </c:pt>
                <c:pt idx="291">
                  <c:v>103.09297752615853</c:v>
                </c:pt>
                <c:pt idx="292">
                  <c:v>103.02269553226833</c:v>
                </c:pt>
                <c:pt idx="293">
                  <c:v>103.09248279404875</c:v>
                </c:pt>
                <c:pt idx="294">
                  <c:v>102.47229192894831</c:v>
                </c:pt>
                <c:pt idx="295">
                  <c:v>102.45943182684036</c:v>
                </c:pt>
                <c:pt idx="296">
                  <c:v>104.0493077145975</c:v>
                </c:pt>
                <c:pt idx="297">
                  <c:v>103.11343886352546</c:v>
                </c:pt>
                <c:pt idx="298">
                  <c:v>103.03842895586132</c:v>
                </c:pt>
                <c:pt idx="299">
                  <c:v>105.4540846617094</c:v>
                </c:pt>
                <c:pt idx="300">
                  <c:v>103.70212515404927</c:v>
                </c:pt>
                <c:pt idx="301">
                  <c:v>104.23676082118835</c:v>
                </c:pt>
                <c:pt idx="302">
                  <c:v>108.26514140492944</c:v>
                </c:pt>
                <c:pt idx="303">
                  <c:v>107.75800636618197</c:v>
                </c:pt>
                <c:pt idx="304">
                  <c:v>107.61383854070714</c:v>
                </c:pt>
                <c:pt idx="305">
                  <c:v>107.56157800073625</c:v>
                </c:pt>
                <c:pt idx="306">
                  <c:v>105.39673038795723</c:v>
                </c:pt>
                <c:pt idx="307">
                  <c:v>106.426425469923</c:v>
                </c:pt>
                <c:pt idx="308">
                  <c:v>106.81125926474057</c:v>
                </c:pt>
                <c:pt idx="309">
                  <c:v>105.5706950118211</c:v>
                </c:pt>
                <c:pt idx="310">
                  <c:v>102.52792662986541</c:v>
                </c:pt>
                <c:pt idx="311">
                  <c:v>101.66831130865262</c:v>
                </c:pt>
                <c:pt idx="312">
                  <c:v>99.984112756480272</c:v>
                </c:pt>
                <c:pt idx="313">
                  <c:v>104.83766336316562</c:v>
                </c:pt>
                <c:pt idx="314">
                  <c:v>104.62289788941833</c:v>
                </c:pt>
                <c:pt idx="315">
                  <c:v>101.31148919925357</c:v>
                </c:pt>
                <c:pt idx="316">
                  <c:v>102.38584328051412</c:v>
                </c:pt>
                <c:pt idx="317">
                  <c:v>108.97281600160289</c:v>
                </c:pt>
                <c:pt idx="318">
                  <c:v>109.18064253866</c:v>
                </c:pt>
                <c:pt idx="319">
                  <c:v>109.40644176043783</c:v>
                </c:pt>
                <c:pt idx="320">
                  <c:v>108.77256804463804</c:v>
                </c:pt>
                <c:pt idx="321">
                  <c:v>108.3129975738177</c:v>
                </c:pt>
                <c:pt idx="322">
                  <c:v>113.24503562413047</c:v>
                </c:pt>
                <c:pt idx="323">
                  <c:v>113.98557611953476</c:v>
                </c:pt>
                <c:pt idx="324">
                  <c:v>113.93150637163301</c:v>
                </c:pt>
                <c:pt idx="325">
                  <c:v>118.83474535719527</c:v>
                </c:pt>
                <c:pt idx="326">
                  <c:v>118.55013452318548</c:v>
                </c:pt>
                <c:pt idx="327">
                  <c:v>118.81153432011253</c:v>
                </c:pt>
                <c:pt idx="328">
                  <c:v>118.58771819302704</c:v>
                </c:pt>
                <c:pt idx="329">
                  <c:v>116.62652478980932</c:v>
                </c:pt>
                <c:pt idx="330">
                  <c:v>116.1739671819998</c:v>
                </c:pt>
                <c:pt idx="331">
                  <c:v>118.16570915801113</c:v>
                </c:pt>
                <c:pt idx="332">
                  <c:v>122.26500412130112</c:v>
                </c:pt>
                <c:pt idx="333">
                  <c:v>122.28962848939172</c:v>
                </c:pt>
                <c:pt idx="334">
                  <c:v>123.06683917886532</c:v>
                </c:pt>
                <c:pt idx="335">
                  <c:v>123.20419476174148</c:v>
                </c:pt>
                <c:pt idx="336">
                  <c:v>122.12334885847544</c:v>
                </c:pt>
                <c:pt idx="337">
                  <c:v>125.33659425015546</c:v>
                </c:pt>
                <c:pt idx="338">
                  <c:v>126.65952017403788</c:v>
                </c:pt>
                <c:pt idx="339">
                  <c:v>128.44112474415849</c:v>
                </c:pt>
                <c:pt idx="340">
                  <c:v>128.63733977751568</c:v>
                </c:pt>
                <c:pt idx="341">
                  <c:v>128.11289944908518</c:v>
                </c:pt>
                <c:pt idx="342">
                  <c:v>127.74908117496587</c:v>
                </c:pt>
                <c:pt idx="343">
                  <c:v>127.1647669475395</c:v>
                </c:pt>
                <c:pt idx="344">
                  <c:v>126.98551250994117</c:v>
                </c:pt>
                <c:pt idx="345">
                  <c:v>126.93313346180145</c:v>
                </c:pt>
                <c:pt idx="346">
                  <c:v>126.75760675402393</c:v>
                </c:pt>
                <c:pt idx="347">
                  <c:v>128.47085722522294</c:v>
                </c:pt>
                <c:pt idx="348">
                  <c:v>128.96495209971553</c:v>
                </c:pt>
                <c:pt idx="349">
                  <c:v>127.96282251772459</c:v>
                </c:pt>
                <c:pt idx="350">
                  <c:v>128.61479981729033</c:v>
                </c:pt>
                <c:pt idx="351">
                  <c:v>129.28152081377962</c:v>
                </c:pt>
                <c:pt idx="352">
                  <c:v>129.2845330920189</c:v>
                </c:pt>
                <c:pt idx="353">
                  <c:v>129.83708720556203</c:v>
                </c:pt>
                <c:pt idx="354">
                  <c:v>130.03640916126724</c:v>
                </c:pt>
                <c:pt idx="355">
                  <c:v>130.43600094137503</c:v>
                </c:pt>
                <c:pt idx="356">
                  <c:v>128.6080355341563</c:v>
                </c:pt>
                <c:pt idx="357">
                  <c:v>128.76308782801715</c:v>
                </c:pt>
                <c:pt idx="358">
                  <c:v>129.72594601105547</c:v>
                </c:pt>
                <c:pt idx="359">
                  <c:v>127.65793908072851</c:v>
                </c:pt>
                <c:pt idx="360">
                  <c:v>127.99184352299389</c:v>
                </c:pt>
                <c:pt idx="361">
                  <c:v>128.42362085465786</c:v>
                </c:pt>
                <c:pt idx="362">
                  <c:v>125.77808756830862</c:v>
                </c:pt>
                <c:pt idx="363">
                  <c:v>126.09782103500773</c:v>
                </c:pt>
                <c:pt idx="364">
                  <c:v>126.4434351908652</c:v>
                </c:pt>
                <c:pt idx="365">
                  <c:v>126.50139383484355</c:v>
                </c:pt>
                <c:pt idx="366">
                  <c:v>126.3929041800827</c:v>
                </c:pt>
                <c:pt idx="367">
                  <c:v>126.02119162471892</c:v>
                </c:pt>
                <c:pt idx="368">
                  <c:v>125.07687941703168</c:v>
                </c:pt>
                <c:pt idx="369">
                  <c:v>123.9276127226747</c:v>
                </c:pt>
                <c:pt idx="370">
                  <c:v>123.56315256085382</c:v>
                </c:pt>
                <c:pt idx="371">
                  <c:v>123.64545154044788</c:v>
                </c:pt>
                <c:pt idx="372">
                  <c:v>123.60993015390207</c:v>
                </c:pt>
                <c:pt idx="373">
                  <c:v>119.47200450863266</c:v>
                </c:pt>
                <c:pt idx="374">
                  <c:v>119.1658221930027</c:v>
                </c:pt>
                <c:pt idx="375">
                  <c:v>119.64426321229236</c:v>
                </c:pt>
                <c:pt idx="376">
                  <c:v>120.2949982355523</c:v>
                </c:pt>
                <c:pt idx="377">
                  <c:v>113.90431668389922</c:v>
                </c:pt>
                <c:pt idx="378">
                  <c:v>113.44723976834565</c:v>
                </c:pt>
                <c:pt idx="379">
                  <c:v>112.91065694028065</c:v>
                </c:pt>
                <c:pt idx="380">
                  <c:v>112.6964829174226</c:v>
                </c:pt>
                <c:pt idx="381">
                  <c:v>113.61324423527013</c:v>
                </c:pt>
                <c:pt idx="382">
                  <c:v>107.54549526118646</c:v>
                </c:pt>
                <c:pt idx="383">
                  <c:v>106.52286035233975</c:v>
                </c:pt>
                <c:pt idx="384">
                  <c:v>106.41956130722083</c:v>
                </c:pt>
                <c:pt idx="385">
                  <c:v>101.81952052091718</c:v>
                </c:pt>
                <c:pt idx="386">
                  <c:v>102.02439379600747</c:v>
                </c:pt>
                <c:pt idx="387">
                  <c:v>101.95638112573617</c:v>
                </c:pt>
                <c:pt idx="388">
                  <c:v>102.47449144150083</c:v>
                </c:pt>
                <c:pt idx="389">
                  <c:v>102.18388930497575</c:v>
                </c:pt>
                <c:pt idx="390">
                  <c:v>101.68663123950117</c:v>
                </c:pt>
                <c:pt idx="391">
                  <c:v>98.701252076969382</c:v>
                </c:pt>
                <c:pt idx="392">
                  <c:v>94.828347254792803</c:v>
                </c:pt>
                <c:pt idx="393">
                  <c:v>94.654736970770003</c:v>
                </c:pt>
                <c:pt idx="394">
                  <c:v>93.705872657265971</c:v>
                </c:pt>
                <c:pt idx="395">
                  <c:v>93.85128677264558</c:v>
                </c:pt>
                <c:pt idx="396">
                  <c:v>93.842246928775353</c:v>
                </c:pt>
                <c:pt idx="397">
                  <c:v>88.21809741483689</c:v>
                </c:pt>
                <c:pt idx="398">
                  <c:v>86.929486272245441</c:v>
                </c:pt>
                <c:pt idx="399">
                  <c:v>85.828477399456688</c:v>
                </c:pt>
                <c:pt idx="400">
                  <c:v>86.299527284987477</c:v>
                </c:pt>
                <c:pt idx="401">
                  <c:v>86.117269774175142</c:v>
                </c:pt>
                <c:pt idx="402">
                  <c:v>86.131966439545238</c:v>
                </c:pt>
                <c:pt idx="403">
                  <c:v>85.086300360580111</c:v>
                </c:pt>
                <c:pt idx="404">
                  <c:v>86.405558844376714</c:v>
                </c:pt>
                <c:pt idx="405">
                  <c:v>86.648700538483396</c:v>
                </c:pt>
                <c:pt idx="406">
                  <c:v>86.595408528857149</c:v>
                </c:pt>
                <c:pt idx="407">
                  <c:v>84.913007965725924</c:v>
                </c:pt>
                <c:pt idx="408">
                  <c:v>85.267496268597341</c:v>
                </c:pt>
                <c:pt idx="409">
                  <c:v>85.271161396853429</c:v>
                </c:pt>
                <c:pt idx="410">
                  <c:v>84.206490326905026</c:v>
                </c:pt>
                <c:pt idx="411">
                  <c:v>81.282316727400485</c:v>
                </c:pt>
                <c:pt idx="412">
                  <c:v>81.003315772197865</c:v>
                </c:pt>
                <c:pt idx="413">
                  <c:v>81.034312418735695</c:v>
                </c:pt>
                <c:pt idx="414">
                  <c:v>80.600907319653743</c:v>
                </c:pt>
                <c:pt idx="415">
                  <c:v>80.300636265512779</c:v>
                </c:pt>
                <c:pt idx="416">
                  <c:v>79.429857270886785</c:v>
                </c:pt>
                <c:pt idx="417">
                  <c:v>78.488025246698697</c:v>
                </c:pt>
                <c:pt idx="418">
                  <c:v>75.716211276328849</c:v>
                </c:pt>
                <c:pt idx="419">
                  <c:v>75.873257144960576</c:v>
                </c:pt>
                <c:pt idx="420">
                  <c:v>74.497860672484009</c:v>
                </c:pt>
                <c:pt idx="421">
                  <c:v>73.435321042389887</c:v>
                </c:pt>
                <c:pt idx="422">
                  <c:v>72.044568361597541</c:v>
                </c:pt>
                <c:pt idx="423">
                  <c:v>72.539232909345515</c:v>
                </c:pt>
                <c:pt idx="424">
                  <c:v>72.520244012009812</c:v>
                </c:pt>
                <c:pt idx="425">
                  <c:v>73.445434433376107</c:v>
                </c:pt>
                <c:pt idx="426">
                  <c:v>73.667284538364513</c:v>
                </c:pt>
                <c:pt idx="427">
                  <c:v>73.2351175339479</c:v>
                </c:pt>
                <c:pt idx="428">
                  <c:v>73.285983573505803</c:v>
                </c:pt>
                <c:pt idx="429">
                  <c:v>71.859277163768482</c:v>
                </c:pt>
                <c:pt idx="430">
                  <c:v>71.698186622711546</c:v>
                </c:pt>
                <c:pt idx="431">
                  <c:v>71.262643869792385</c:v>
                </c:pt>
                <c:pt idx="432">
                  <c:v>71.268358449899523</c:v>
                </c:pt>
                <c:pt idx="433">
                  <c:v>71.263892765142103</c:v>
                </c:pt>
                <c:pt idx="434">
                  <c:v>71.2752214586544</c:v>
                </c:pt>
                <c:pt idx="435">
                  <c:v>71.393196962711386</c:v>
                </c:pt>
                <c:pt idx="436">
                  <c:v>67.084588522194082</c:v>
                </c:pt>
                <c:pt idx="437">
                  <c:v>64.81466452321078</c:v>
                </c:pt>
                <c:pt idx="438">
                  <c:v>66.011386435163715</c:v>
                </c:pt>
                <c:pt idx="439">
                  <c:v>66.888000342227144</c:v>
                </c:pt>
                <c:pt idx="440">
                  <c:v>65.592584139333653</c:v>
                </c:pt>
                <c:pt idx="441">
                  <c:v>64.410426819015612</c:v>
                </c:pt>
                <c:pt idx="442">
                  <c:v>64.433764797899798</c:v>
                </c:pt>
                <c:pt idx="443">
                  <c:v>64.906646505149922</c:v>
                </c:pt>
                <c:pt idx="444">
                  <c:v>65.035910260868533</c:v>
                </c:pt>
                <c:pt idx="445">
                  <c:v>61.060554845187255</c:v>
                </c:pt>
                <c:pt idx="446">
                  <c:v>60.832337774209918</c:v>
                </c:pt>
                <c:pt idx="447">
                  <c:v>64.582730771515671</c:v>
                </c:pt>
                <c:pt idx="448">
                  <c:v>66.498321581612956</c:v>
                </c:pt>
                <c:pt idx="449">
                  <c:v>66.770630428012581</c:v>
                </c:pt>
                <c:pt idx="450">
                  <c:v>66.925284201840924</c:v>
                </c:pt>
                <c:pt idx="451">
                  <c:v>66.031213162262034</c:v>
                </c:pt>
                <c:pt idx="452">
                  <c:v>65.625561109444092</c:v>
                </c:pt>
                <c:pt idx="453">
                  <c:v>65.578352572395914</c:v>
                </c:pt>
                <c:pt idx="454">
                  <c:v>66.332808041151836</c:v>
                </c:pt>
                <c:pt idx="455">
                  <c:v>66.051800649166097</c:v>
                </c:pt>
                <c:pt idx="456">
                  <c:v>67.229384112059734</c:v>
                </c:pt>
                <c:pt idx="457">
                  <c:v>70.970294166636208</c:v>
                </c:pt>
                <c:pt idx="458">
                  <c:v>72.15266920517567</c:v>
                </c:pt>
                <c:pt idx="459">
                  <c:v>71.385919106606181</c:v>
                </c:pt>
                <c:pt idx="460">
                  <c:v>71.245261027112065</c:v>
                </c:pt>
                <c:pt idx="461">
                  <c:v>71.934871805627722</c:v>
                </c:pt>
                <c:pt idx="462">
                  <c:v>71.909550984706044</c:v>
                </c:pt>
                <c:pt idx="463">
                  <c:v>72.849708512595029</c:v>
                </c:pt>
                <c:pt idx="464">
                  <c:v>75.666051920747861</c:v>
                </c:pt>
                <c:pt idx="465">
                  <c:v>76.625857999247032</c:v>
                </c:pt>
                <c:pt idx="466">
                  <c:v>76.256971901416705</c:v>
                </c:pt>
                <c:pt idx="467">
                  <c:v>74.779626015303862</c:v>
                </c:pt>
                <c:pt idx="468">
                  <c:v>74.611765278257963</c:v>
                </c:pt>
                <c:pt idx="469">
                  <c:v>74.824207026893347</c:v>
                </c:pt>
                <c:pt idx="470">
                  <c:v>74.069672535829255</c:v>
                </c:pt>
                <c:pt idx="471">
                  <c:v>74.108556256749154</c:v>
                </c:pt>
                <c:pt idx="472">
                  <c:v>74.43194780178132</c:v>
                </c:pt>
                <c:pt idx="473">
                  <c:v>75.244066196119377</c:v>
                </c:pt>
                <c:pt idx="474">
                  <c:v>75.76662146467676</c:v>
                </c:pt>
                <c:pt idx="475">
                  <c:v>75.396711881741879</c:v>
                </c:pt>
                <c:pt idx="476">
                  <c:v>75.905282334273465</c:v>
                </c:pt>
                <c:pt idx="477">
                  <c:v>76.221430038581801</c:v>
                </c:pt>
                <c:pt idx="478">
                  <c:v>76.151667374283278</c:v>
                </c:pt>
                <c:pt idx="479">
                  <c:v>80.718337792423327</c:v>
                </c:pt>
                <c:pt idx="480">
                  <c:v>80.89510923919525</c:v>
                </c:pt>
                <c:pt idx="481">
                  <c:v>83.932052085008451</c:v>
                </c:pt>
                <c:pt idx="482">
                  <c:v>84.017784423385962</c:v>
                </c:pt>
                <c:pt idx="483">
                  <c:v>85.7134940655381</c:v>
                </c:pt>
                <c:pt idx="484">
                  <c:v>89.751529766891366</c:v>
                </c:pt>
                <c:pt idx="485">
                  <c:v>94.279293592792385</c:v>
                </c:pt>
                <c:pt idx="486">
                  <c:v>99.887856190213867</c:v>
                </c:pt>
                <c:pt idx="487">
                  <c:v>99.974026281529675</c:v>
                </c:pt>
                <c:pt idx="488">
                  <c:v>104.65529317533742</c:v>
                </c:pt>
                <c:pt idx="489">
                  <c:v>104.39080030023793</c:v>
                </c:pt>
                <c:pt idx="490">
                  <c:v>104.61949126825323</c:v>
                </c:pt>
                <c:pt idx="491">
                  <c:v>105.49976608832878</c:v>
                </c:pt>
                <c:pt idx="492">
                  <c:v>106.03801876469765</c:v>
                </c:pt>
                <c:pt idx="493">
                  <c:v>106.81291701734507</c:v>
                </c:pt>
                <c:pt idx="494">
                  <c:v>106.82363605046581</c:v>
                </c:pt>
                <c:pt idx="495">
                  <c:v>106.75886130873566</c:v>
                </c:pt>
                <c:pt idx="496">
                  <c:v>107.35165133433694</c:v>
                </c:pt>
                <c:pt idx="497">
                  <c:v>110.82818431503374</c:v>
                </c:pt>
                <c:pt idx="498">
                  <c:v>110.20100212568691</c:v>
                </c:pt>
                <c:pt idx="499">
                  <c:v>109.46654291430863</c:v>
                </c:pt>
                <c:pt idx="500">
                  <c:v>110.98487835236442</c:v>
                </c:pt>
                <c:pt idx="501">
                  <c:v>111.58673688241348</c:v>
                </c:pt>
                <c:pt idx="502">
                  <c:v>112.09385642245608</c:v>
                </c:pt>
                <c:pt idx="503">
                  <c:v>112.39470381824917</c:v>
                </c:pt>
                <c:pt idx="504">
                  <c:v>114.82256104318628</c:v>
                </c:pt>
                <c:pt idx="505">
                  <c:v>114.82525728957866</c:v>
                </c:pt>
                <c:pt idx="506">
                  <c:v>115.10722230833106</c:v>
                </c:pt>
                <c:pt idx="507">
                  <c:v>112.79504329861876</c:v>
                </c:pt>
                <c:pt idx="508">
                  <c:v>111.53049844207</c:v>
                </c:pt>
                <c:pt idx="509">
                  <c:v>111.57529955260812</c:v>
                </c:pt>
                <c:pt idx="510">
                  <c:v>112.19913379605046</c:v>
                </c:pt>
                <c:pt idx="511">
                  <c:v>112.12051769401472</c:v>
                </c:pt>
                <c:pt idx="512">
                  <c:v>112.62399355380612</c:v>
                </c:pt>
                <c:pt idx="513">
                  <c:v>112.65178067747124</c:v>
                </c:pt>
                <c:pt idx="514">
                  <c:v>113.91698802526282</c:v>
                </c:pt>
                <c:pt idx="515">
                  <c:v>113.96007055710629</c:v>
                </c:pt>
                <c:pt idx="516">
                  <c:v>113.53143768163652</c:v>
                </c:pt>
                <c:pt idx="517">
                  <c:v>115.86690965612176</c:v>
                </c:pt>
                <c:pt idx="518">
                  <c:v>116.67366583937566</c:v>
                </c:pt>
                <c:pt idx="519">
                  <c:v>118.75092339086723</c:v>
                </c:pt>
                <c:pt idx="520">
                  <c:v>120.46469988435659</c:v>
                </c:pt>
                <c:pt idx="521">
                  <c:v>120.23495585319213</c:v>
                </c:pt>
                <c:pt idx="522">
                  <c:v>120.33338994807501</c:v>
                </c:pt>
                <c:pt idx="523">
                  <c:v>119.49114539665899</c:v>
                </c:pt>
                <c:pt idx="524">
                  <c:v>118.85939478101442</c:v>
                </c:pt>
                <c:pt idx="525">
                  <c:v>118.65859622108374</c:v>
                </c:pt>
                <c:pt idx="526">
                  <c:v>121.40476318396341</c:v>
                </c:pt>
                <c:pt idx="527">
                  <c:v>122.34089535243271</c:v>
                </c:pt>
                <c:pt idx="528">
                  <c:v>123.16393129704156</c:v>
                </c:pt>
                <c:pt idx="529">
                  <c:v>124.62668004290347</c:v>
                </c:pt>
                <c:pt idx="530">
                  <c:v>124.97659287761007</c:v>
                </c:pt>
                <c:pt idx="531">
                  <c:v>125.07768352976323</c:v>
                </c:pt>
                <c:pt idx="532">
                  <c:v>125.91903985763541</c:v>
                </c:pt>
                <c:pt idx="533">
                  <c:v>125.45472850578308</c:v>
                </c:pt>
                <c:pt idx="534">
                  <c:v>124.93787453378205</c:v>
                </c:pt>
                <c:pt idx="535">
                  <c:v>124.61214503526632</c:v>
                </c:pt>
                <c:pt idx="536">
                  <c:v>124.54248795848395</c:v>
                </c:pt>
                <c:pt idx="537">
                  <c:v>124.57399860717413</c:v>
                </c:pt>
                <c:pt idx="538">
                  <c:v>124.87698304182047</c:v>
                </c:pt>
                <c:pt idx="539">
                  <c:v>123.79458030135527</c:v>
                </c:pt>
                <c:pt idx="540">
                  <c:v>124.44254002958202</c:v>
                </c:pt>
                <c:pt idx="541">
                  <c:v>127.13699944680208</c:v>
                </c:pt>
                <c:pt idx="542">
                  <c:v>128.78574892718751</c:v>
                </c:pt>
                <c:pt idx="543">
                  <c:v>128.88100944485734</c:v>
                </c:pt>
                <c:pt idx="544">
                  <c:v>129.7893686440421</c:v>
                </c:pt>
                <c:pt idx="545">
                  <c:v>125.83009782507828</c:v>
                </c:pt>
                <c:pt idx="546">
                  <c:v>121.3802173023184</c:v>
                </c:pt>
                <c:pt idx="547">
                  <c:v>121.17905050350983</c:v>
                </c:pt>
                <c:pt idx="548">
                  <c:v>117.91292079761536</c:v>
                </c:pt>
                <c:pt idx="549">
                  <c:v>117.82162722986176</c:v>
                </c:pt>
                <c:pt idx="550">
                  <c:v>118.55312674266871</c:v>
                </c:pt>
                <c:pt idx="551">
                  <c:v>118.49550462168601</c:v>
                </c:pt>
                <c:pt idx="552">
                  <c:v>117.74813927792887</c:v>
                </c:pt>
                <c:pt idx="553">
                  <c:v>116.65644971507747</c:v>
                </c:pt>
                <c:pt idx="554">
                  <c:v>116.80350128048961</c:v>
                </c:pt>
                <c:pt idx="555">
                  <c:v>117.34165803117679</c:v>
                </c:pt>
                <c:pt idx="556">
                  <c:v>116.99093111495158</c:v>
                </c:pt>
                <c:pt idx="557">
                  <c:v>114.26447559813812</c:v>
                </c:pt>
                <c:pt idx="558">
                  <c:v>114.35769900355197</c:v>
                </c:pt>
                <c:pt idx="559">
                  <c:v>114.13614997697741</c:v>
                </c:pt>
                <c:pt idx="560">
                  <c:v>113.71456873046866</c:v>
                </c:pt>
                <c:pt idx="561">
                  <c:v>112.82524263582422</c:v>
                </c:pt>
                <c:pt idx="562">
                  <c:v>112.50436372021477</c:v>
                </c:pt>
                <c:pt idx="563">
                  <c:v>111.81156430231587</c:v>
                </c:pt>
                <c:pt idx="564">
                  <c:v>109.30236928945374</c:v>
                </c:pt>
                <c:pt idx="565">
                  <c:v>109.87254602485118</c:v>
                </c:pt>
                <c:pt idx="566">
                  <c:v>109.61878645378708</c:v>
                </c:pt>
                <c:pt idx="567">
                  <c:v>109.11193675843739</c:v>
                </c:pt>
                <c:pt idx="568">
                  <c:v>110.09829541287782</c:v>
                </c:pt>
                <c:pt idx="569">
                  <c:v>110.43458849486902</c:v>
                </c:pt>
                <c:pt idx="570">
                  <c:v>110.7962089041296</c:v>
                </c:pt>
                <c:pt idx="571">
                  <c:v>110.82286373522696</c:v>
                </c:pt>
                <c:pt idx="572">
                  <c:v>110.70578172620502</c:v>
                </c:pt>
                <c:pt idx="573">
                  <c:v>111.31936184452252</c:v>
                </c:pt>
                <c:pt idx="574">
                  <c:v>108.87858017639694</c:v>
                </c:pt>
                <c:pt idx="575">
                  <c:v>109.26885119120715</c:v>
                </c:pt>
                <c:pt idx="576">
                  <c:v>108.61576435507804</c:v>
                </c:pt>
                <c:pt idx="577">
                  <c:v>103.50474627284316</c:v>
                </c:pt>
                <c:pt idx="578">
                  <c:v>102.33037205388453</c:v>
                </c:pt>
                <c:pt idx="579">
                  <c:v>100.268378794396</c:v>
                </c:pt>
                <c:pt idx="580">
                  <c:v>99.584303929687124</c:v>
                </c:pt>
                <c:pt idx="581">
                  <c:v>99.640986140423166</c:v>
                </c:pt>
                <c:pt idx="582">
                  <c:v>101.50568625488698</c:v>
                </c:pt>
                <c:pt idx="583">
                  <c:v>101.40653181953643</c:v>
                </c:pt>
                <c:pt idx="584">
                  <c:v>98.942582524834094</c:v>
                </c:pt>
                <c:pt idx="585">
                  <c:v>99.924821127899861</c:v>
                </c:pt>
                <c:pt idx="586">
                  <c:v>97.499634561664791</c:v>
                </c:pt>
                <c:pt idx="587">
                  <c:v>96.723122124516365</c:v>
                </c:pt>
                <c:pt idx="588">
                  <c:v>95.651496350573638</c:v>
                </c:pt>
                <c:pt idx="589">
                  <c:v>94.005236558894069</c:v>
                </c:pt>
                <c:pt idx="590">
                  <c:v>93.774838320078729</c:v>
                </c:pt>
                <c:pt idx="591">
                  <c:v>94.206934522442694</c:v>
                </c:pt>
                <c:pt idx="592">
                  <c:v>92.909840114905208</c:v>
                </c:pt>
                <c:pt idx="593">
                  <c:v>92.875858149417965</c:v>
                </c:pt>
                <c:pt idx="594">
                  <c:v>92.892288142444698</c:v>
                </c:pt>
                <c:pt idx="595">
                  <c:v>93.514960680851672</c:v>
                </c:pt>
                <c:pt idx="596">
                  <c:v>94.490190215973399</c:v>
                </c:pt>
                <c:pt idx="597">
                  <c:v>95.157809832691356</c:v>
                </c:pt>
                <c:pt idx="598">
                  <c:v>95.126959077724081</c:v>
                </c:pt>
                <c:pt idx="599">
                  <c:v>92.547482407722796</c:v>
                </c:pt>
                <c:pt idx="600">
                  <c:v>92.011826900128909</c:v>
                </c:pt>
                <c:pt idx="601">
                  <c:v>86.386669430610397</c:v>
                </c:pt>
                <c:pt idx="602">
                  <c:v>83.999021087011883</c:v>
                </c:pt>
                <c:pt idx="603">
                  <c:v>81.374554774012637</c:v>
                </c:pt>
                <c:pt idx="604">
                  <c:v>75.791642084925002</c:v>
                </c:pt>
                <c:pt idx="605">
                  <c:v>76.062981320678105</c:v>
                </c:pt>
                <c:pt idx="606">
                  <c:v>75.141017922048263</c:v>
                </c:pt>
                <c:pt idx="607">
                  <c:v>79.868524075932427</c:v>
                </c:pt>
                <c:pt idx="608">
                  <c:v>79.901334552623439</c:v>
                </c:pt>
                <c:pt idx="609">
                  <c:v>79.920464800363078</c:v>
                </c:pt>
                <c:pt idx="610">
                  <c:v>78.603760972504361</c:v>
                </c:pt>
                <c:pt idx="611">
                  <c:v>77.46810661688059</c:v>
                </c:pt>
                <c:pt idx="612">
                  <c:v>78.879439855862159</c:v>
                </c:pt>
                <c:pt idx="613">
                  <c:v>79.0030681847159</c:v>
                </c:pt>
                <c:pt idx="614">
                  <c:v>79.896562169430311</c:v>
                </c:pt>
                <c:pt idx="615">
                  <c:v>78.764699429756504</c:v>
                </c:pt>
                <c:pt idx="616">
                  <c:v>79.576654236441087</c:v>
                </c:pt>
                <c:pt idx="617">
                  <c:v>79.550497506189998</c:v>
                </c:pt>
                <c:pt idx="618">
                  <c:v>80.122351898117245</c:v>
                </c:pt>
                <c:pt idx="619">
                  <c:v>80.254239223947181</c:v>
                </c:pt>
                <c:pt idx="620">
                  <c:v>79.229462483010366</c:v>
                </c:pt>
                <c:pt idx="621">
                  <c:v>79.219942882753614</c:v>
                </c:pt>
                <c:pt idx="622">
                  <c:v>79.88244250272119</c:v>
                </c:pt>
                <c:pt idx="623">
                  <c:v>79.551384968501793</c:v>
                </c:pt>
                <c:pt idx="624">
                  <c:v>78.706256429378698</c:v>
                </c:pt>
                <c:pt idx="625">
                  <c:v>78.81500605632273</c:v>
                </c:pt>
                <c:pt idx="626">
                  <c:v>79.334199062397872</c:v>
                </c:pt>
                <c:pt idx="627">
                  <c:v>79.149029655800589</c:v>
                </c:pt>
                <c:pt idx="628">
                  <c:v>78.1187424837305</c:v>
                </c:pt>
                <c:pt idx="629">
                  <c:v>77.773750860126981</c:v>
                </c:pt>
                <c:pt idx="630">
                  <c:v>76.867802323149675</c:v>
                </c:pt>
                <c:pt idx="631">
                  <c:v>76.903608099708336</c:v>
                </c:pt>
                <c:pt idx="632">
                  <c:v>76.398778731901089</c:v>
                </c:pt>
                <c:pt idx="633">
                  <c:v>76.977534347590392</c:v>
                </c:pt>
                <c:pt idx="634">
                  <c:v>82.534675253396443</c:v>
                </c:pt>
                <c:pt idx="635">
                  <c:v>81.864199681062658</c:v>
                </c:pt>
                <c:pt idx="636">
                  <c:v>81.683371389746966</c:v>
                </c:pt>
                <c:pt idx="637">
                  <c:v>81.787382454939248</c:v>
                </c:pt>
                <c:pt idx="638">
                  <c:v>81.656017089202749</c:v>
                </c:pt>
                <c:pt idx="639">
                  <c:v>83.719368000635569</c:v>
                </c:pt>
                <c:pt idx="640">
                  <c:v>82.221449451919611</c:v>
                </c:pt>
                <c:pt idx="641">
                  <c:v>82.481664116526474</c:v>
                </c:pt>
                <c:pt idx="642">
                  <c:v>79.492605818856944</c:v>
                </c:pt>
                <c:pt idx="643">
                  <c:v>80.908989009186712</c:v>
                </c:pt>
                <c:pt idx="644">
                  <c:v>80.797166593038838</c:v>
                </c:pt>
                <c:pt idx="645">
                  <c:v>79.792427256030322</c:v>
                </c:pt>
                <c:pt idx="646">
                  <c:v>80.764799850490704</c:v>
                </c:pt>
                <c:pt idx="647">
                  <c:v>80.795494915569577</c:v>
                </c:pt>
                <c:pt idx="648">
                  <c:v>82.794130234824564</c:v>
                </c:pt>
                <c:pt idx="649">
                  <c:v>83.271139556067624</c:v>
                </c:pt>
                <c:pt idx="650">
                  <c:v>84.233260984091757</c:v>
                </c:pt>
                <c:pt idx="651">
                  <c:v>87.674862813003259</c:v>
                </c:pt>
                <c:pt idx="652">
                  <c:v>87.799428691611865</c:v>
                </c:pt>
                <c:pt idx="653">
                  <c:v>86.8749571359931</c:v>
                </c:pt>
                <c:pt idx="654">
                  <c:v>87.033281904639807</c:v>
                </c:pt>
                <c:pt idx="655">
                  <c:v>86.618712334869286</c:v>
                </c:pt>
                <c:pt idx="656">
                  <c:v>86.179446864014039</c:v>
                </c:pt>
                <c:pt idx="657">
                  <c:v>85.376427432971823</c:v>
                </c:pt>
                <c:pt idx="658">
                  <c:v>85.429867665300321</c:v>
                </c:pt>
                <c:pt idx="659">
                  <c:v>85.445469125988765</c:v>
                </c:pt>
                <c:pt idx="660">
                  <c:v>84.852507734628645</c:v>
                </c:pt>
                <c:pt idx="661">
                  <c:v>83.432765314912146</c:v>
                </c:pt>
                <c:pt idx="662">
                  <c:v>83.45583897532606</c:v>
                </c:pt>
                <c:pt idx="663">
                  <c:v>82.964123577923459</c:v>
                </c:pt>
                <c:pt idx="664">
                  <c:v>82.362265845988588</c:v>
                </c:pt>
                <c:pt idx="665">
                  <c:v>82.307042765759846</c:v>
                </c:pt>
                <c:pt idx="666">
                  <c:v>82.484926211957529</c:v>
                </c:pt>
                <c:pt idx="667">
                  <c:v>78.262431784707033</c:v>
                </c:pt>
                <c:pt idx="668">
                  <c:v>78.041104942209643</c:v>
                </c:pt>
                <c:pt idx="669">
                  <c:v>77.090541544554995</c:v>
                </c:pt>
                <c:pt idx="670">
                  <c:v>77.039372280436524</c:v>
                </c:pt>
                <c:pt idx="671">
                  <c:v>77.016967879177457</c:v>
                </c:pt>
                <c:pt idx="672">
                  <c:v>75.467928081842118</c:v>
                </c:pt>
                <c:pt idx="673">
                  <c:v>75.470235229083414</c:v>
                </c:pt>
                <c:pt idx="674">
                  <c:v>74.273923877611665</c:v>
                </c:pt>
                <c:pt idx="675">
                  <c:v>74.401173354773675</c:v>
                </c:pt>
                <c:pt idx="676">
                  <c:v>73.714532802074402</c:v>
                </c:pt>
                <c:pt idx="677">
                  <c:v>74.048517850152621</c:v>
                </c:pt>
                <c:pt idx="678">
                  <c:v>73.179435882564633</c:v>
                </c:pt>
                <c:pt idx="679">
                  <c:v>72.986915177729031</c:v>
                </c:pt>
                <c:pt idx="680">
                  <c:v>74.172147606202145</c:v>
                </c:pt>
                <c:pt idx="681">
                  <c:v>74.165418594489836</c:v>
                </c:pt>
                <c:pt idx="682">
                  <c:v>73.690668636678538</c:v>
                </c:pt>
                <c:pt idx="683">
                  <c:v>74.937683471095625</c:v>
                </c:pt>
                <c:pt idx="684">
                  <c:v>75.231363281568818</c:v>
                </c:pt>
                <c:pt idx="685">
                  <c:v>74.726816791593436</c:v>
                </c:pt>
                <c:pt idx="686">
                  <c:v>74.129585106826028</c:v>
                </c:pt>
                <c:pt idx="687">
                  <c:v>74.059421259168175</c:v>
                </c:pt>
                <c:pt idx="688">
                  <c:v>75.874212133047735</c:v>
                </c:pt>
                <c:pt idx="689">
                  <c:v>75.910078666986635</c:v>
                </c:pt>
                <c:pt idx="690">
                  <c:v>76.476104725132089</c:v>
                </c:pt>
                <c:pt idx="691">
                  <c:v>77.458102481436455</c:v>
                </c:pt>
                <c:pt idx="692">
                  <c:v>77.590419064148207</c:v>
                </c:pt>
                <c:pt idx="693">
                  <c:v>77.131003271797127</c:v>
                </c:pt>
                <c:pt idx="694">
                  <c:v>70.209256028460459</c:v>
                </c:pt>
                <c:pt idx="695">
                  <c:v>70.068363961874994</c:v>
                </c:pt>
                <c:pt idx="696">
                  <c:v>70.180551300216038</c:v>
                </c:pt>
                <c:pt idx="697">
                  <c:v>67.353989455136158</c:v>
                </c:pt>
                <c:pt idx="698">
                  <c:v>68.233047374809232</c:v>
                </c:pt>
                <c:pt idx="699">
                  <c:v>66.432504457659462</c:v>
                </c:pt>
                <c:pt idx="700">
                  <c:v>66.472114891289252</c:v>
                </c:pt>
                <c:pt idx="701">
                  <c:v>66.285817411933721</c:v>
                </c:pt>
                <c:pt idx="702">
                  <c:v>66.848419577555802</c:v>
                </c:pt>
                <c:pt idx="703">
                  <c:v>65.779399823268804</c:v>
                </c:pt>
                <c:pt idx="704">
                  <c:v>65.695128531291672</c:v>
                </c:pt>
                <c:pt idx="705">
                  <c:v>65.959969575432225</c:v>
                </c:pt>
                <c:pt idx="706">
                  <c:v>65.021150679322275</c:v>
                </c:pt>
                <c:pt idx="707">
                  <c:v>65.238146737836033</c:v>
                </c:pt>
                <c:pt idx="708">
                  <c:v>61.48697456556134</c:v>
                </c:pt>
                <c:pt idx="709">
                  <c:v>61.467611515406219</c:v>
                </c:pt>
                <c:pt idx="710">
                  <c:v>62.699924987852604</c:v>
                </c:pt>
                <c:pt idx="711">
                  <c:v>58.134195083511464</c:v>
                </c:pt>
                <c:pt idx="712">
                  <c:v>58.868214014926615</c:v>
                </c:pt>
                <c:pt idx="713">
                  <c:v>58.923522924661484</c:v>
                </c:pt>
                <c:pt idx="714">
                  <c:v>59.073940317064</c:v>
                </c:pt>
                <c:pt idx="715">
                  <c:v>59.209595775191545</c:v>
                </c:pt>
                <c:pt idx="716">
                  <c:v>58.727419497188251</c:v>
                </c:pt>
                <c:pt idx="717">
                  <c:v>58.642129990054748</c:v>
                </c:pt>
                <c:pt idx="718">
                  <c:v>58.141989508899371</c:v>
                </c:pt>
                <c:pt idx="719">
                  <c:v>58.504809184233849</c:v>
                </c:pt>
                <c:pt idx="720">
                  <c:v>58.385276862814109</c:v>
                </c:pt>
                <c:pt idx="721">
                  <c:v>59.112288811061475</c:v>
                </c:pt>
                <c:pt idx="722">
                  <c:v>59.16874492845777</c:v>
                </c:pt>
                <c:pt idx="723">
                  <c:v>58.923935929043779</c:v>
                </c:pt>
                <c:pt idx="724">
                  <c:v>59.264656877953684</c:v>
                </c:pt>
                <c:pt idx="725">
                  <c:v>59.297360218990171</c:v>
                </c:pt>
                <c:pt idx="726">
                  <c:v>59.290483023771124</c:v>
                </c:pt>
                <c:pt idx="727">
                  <c:v>59.264617062001257</c:v>
                </c:pt>
                <c:pt idx="728">
                  <c:v>58.657313376895623</c:v>
                </c:pt>
                <c:pt idx="729">
                  <c:v>63.854911376276881</c:v>
                </c:pt>
                <c:pt idx="730">
                  <c:v>64.841899591723362</c:v>
                </c:pt>
                <c:pt idx="731">
                  <c:v>64.604286239070419</c:v>
                </c:pt>
                <c:pt idx="732">
                  <c:v>65.973765082624013</c:v>
                </c:pt>
                <c:pt idx="733">
                  <c:v>66.233566890141276</c:v>
                </c:pt>
                <c:pt idx="734">
                  <c:v>69.163862317216541</c:v>
                </c:pt>
                <c:pt idx="735">
                  <c:v>69.07101214569326</c:v>
                </c:pt>
                <c:pt idx="736">
                  <c:v>70.467390786458168</c:v>
                </c:pt>
                <c:pt idx="737">
                  <c:v>70.10404474989943</c:v>
                </c:pt>
                <c:pt idx="738">
                  <c:v>70.177772836335862</c:v>
                </c:pt>
                <c:pt idx="739">
                  <c:v>70.285666027802208</c:v>
                </c:pt>
                <c:pt idx="740">
                  <c:v>68.942407649223782</c:v>
                </c:pt>
                <c:pt idx="741">
                  <c:v>70.215899615069588</c:v>
                </c:pt>
                <c:pt idx="742">
                  <c:v>72.616393212030914</c:v>
                </c:pt>
                <c:pt idx="743">
                  <c:v>71.738809115952009</c:v>
                </c:pt>
                <c:pt idx="744">
                  <c:v>71.135385601388222</c:v>
                </c:pt>
                <c:pt idx="745">
                  <c:v>70.821980472107143</c:v>
                </c:pt>
                <c:pt idx="746">
                  <c:v>70.839494061543661</c:v>
                </c:pt>
                <c:pt idx="747">
                  <c:v>73.027771741574782</c:v>
                </c:pt>
                <c:pt idx="748">
                  <c:v>71.164625631194795</c:v>
                </c:pt>
                <c:pt idx="749">
                  <c:v>70.845205230800261</c:v>
                </c:pt>
                <c:pt idx="750">
                  <c:v>69.602653551369343</c:v>
                </c:pt>
                <c:pt idx="751">
                  <c:v>68.774335419449912</c:v>
                </c:pt>
                <c:pt idx="752">
                  <c:v>69.030042056253549</c:v>
                </c:pt>
                <c:pt idx="753">
                  <c:v>67.930465780331346</c:v>
                </c:pt>
                <c:pt idx="754">
                  <c:v>68.552468601081458</c:v>
                </c:pt>
                <c:pt idx="755">
                  <c:v>68.605327385216711</c:v>
                </c:pt>
                <c:pt idx="756">
                  <c:v>68.215839869518661</c:v>
                </c:pt>
                <c:pt idx="757">
                  <c:v>70.242830500965908</c:v>
                </c:pt>
                <c:pt idx="758">
                  <c:v>68.953387522312909</c:v>
                </c:pt>
                <c:pt idx="759">
                  <c:v>68.978423703488147</c:v>
                </c:pt>
                <c:pt idx="760">
                  <c:v>68.82384444417184</c:v>
                </c:pt>
                <c:pt idx="761">
                  <c:v>69.959643949889681</c:v>
                </c:pt>
                <c:pt idx="762">
                  <c:v>70.115260745052851</c:v>
                </c:pt>
                <c:pt idx="763">
                  <c:v>72.0795067741916</c:v>
                </c:pt>
                <c:pt idx="764">
                  <c:v>72.155269070006042</c:v>
                </c:pt>
                <c:pt idx="765">
                  <c:v>72.117636231492895</c:v>
                </c:pt>
                <c:pt idx="766">
                  <c:v>71.685949643050606</c:v>
                </c:pt>
                <c:pt idx="767">
                  <c:v>71.740748483965149</c:v>
                </c:pt>
                <c:pt idx="768">
                  <c:v>71.752390332292052</c:v>
                </c:pt>
                <c:pt idx="769">
                  <c:v>71.625793156078117</c:v>
                </c:pt>
                <c:pt idx="770">
                  <c:v>70.386768604730079</c:v>
                </c:pt>
                <c:pt idx="771">
                  <c:v>69.960173320632691</c:v>
                </c:pt>
                <c:pt idx="772">
                  <c:v>69.570845997845467</c:v>
                </c:pt>
                <c:pt idx="773">
                  <c:v>69.457270855316395</c:v>
                </c:pt>
                <c:pt idx="774">
                  <c:v>68.674165751083891</c:v>
                </c:pt>
                <c:pt idx="775">
                  <c:v>68.153179702169737</c:v>
                </c:pt>
                <c:pt idx="776">
                  <c:v>68.027591933170669</c:v>
                </c:pt>
                <c:pt idx="777">
                  <c:v>68.856442930257217</c:v>
                </c:pt>
                <c:pt idx="778">
                  <c:v>69.509308804155836</c:v>
                </c:pt>
                <c:pt idx="779">
                  <c:v>69.48681369097109</c:v>
                </c:pt>
                <c:pt idx="780">
                  <c:v>69.660423488527456</c:v>
                </c:pt>
                <c:pt idx="781">
                  <c:v>69.48090608563065</c:v>
                </c:pt>
                <c:pt idx="782">
                  <c:v>69.22624468835383</c:v>
                </c:pt>
                <c:pt idx="783">
                  <c:v>69.079570755060359</c:v>
                </c:pt>
                <c:pt idx="784">
                  <c:v>68.762852289775068</c:v>
                </c:pt>
                <c:pt idx="785">
                  <c:v>70.579102771102654</c:v>
                </c:pt>
                <c:pt idx="786">
                  <c:v>70.274885444176221</c:v>
                </c:pt>
                <c:pt idx="787">
                  <c:v>71.296940006300446</c:v>
                </c:pt>
                <c:pt idx="788">
                  <c:v>71.415305279220746</c:v>
                </c:pt>
                <c:pt idx="789">
                  <c:v>67.566318274781267</c:v>
                </c:pt>
                <c:pt idx="790">
                  <c:v>66.258631172881593</c:v>
                </c:pt>
                <c:pt idx="791">
                  <c:v>67.33661348012501</c:v>
                </c:pt>
                <c:pt idx="792">
                  <c:v>68.45873938247972</c:v>
                </c:pt>
                <c:pt idx="793">
                  <c:v>68.096318133542539</c:v>
                </c:pt>
                <c:pt idx="794">
                  <c:v>65.840041524123507</c:v>
                </c:pt>
                <c:pt idx="795">
                  <c:v>65.786463925372828</c:v>
                </c:pt>
                <c:pt idx="796">
                  <c:v>64.265428335221316</c:v>
                </c:pt>
                <c:pt idx="797">
                  <c:v>64.670040938920607</c:v>
                </c:pt>
                <c:pt idx="798">
                  <c:v>66.128811451350174</c:v>
                </c:pt>
                <c:pt idx="799">
                  <c:v>69.070402829716599</c:v>
                </c:pt>
                <c:pt idx="800">
                  <c:v>69.346273114998553</c:v>
                </c:pt>
                <c:pt idx="801">
                  <c:v>67.982529460414739</c:v>
                </c:pt>
                <c:pt idx="802">
                  <c:v>64.888752152872542</c:v>
                </c:pt>
                <c:pt idx="803">
                  <c:v>64.426219692940421</c:v>
                </c:pt>
                <c:pt idx="804">
                  <c:v>64.185417584476639</c:v>
                </c:pt>
                <c:pt idx="805">
                  <c:v>64.177251883942489</c:v>
                </c:pt>
                <c:pt idx="806">
                  <c:v>64.700849850659608</c:v>
                </c:pt>
                <c:pt idx="807">
                  <c:v>62.892777432172366</c:v>
                </c:pt>
                <c:pt idx="808">
                  <c:v>62.227643540394453</c:v>
                </c:pt>
                <c:pt idx="809">
                  <c:v>62.183416622835416</c:v>
                </c:pt>
                <c:pt idx="810">
                  <c:v>62.040225936859791</c:v>
                </c:pt>
                <c:pt idx="811">
                  <c:v>62.067133464084243</c:v>
                </c:pt>
                <c:pt idx="812">
                  <c:v>61.795577854802033</c:v>
                </c:pt>
                <c:pt idx="813">
                  <c:v>61.502045837423658</c:v>
                </c:pt>
                <c:pt idx="814">
                  <c:v>60.665638589708891</c:v>
                </c:pt>
                <c:pt idx="815">
                  <c:v>60.694474225924743</c:v>
                </c:pt>
                <c:pt idx="816">
                  <c:v>60.735818911631782</c:v>
                </c:pt>
                <c:pt idx="817">
                  <c:v>57.925344571125493</c:v>
                </c:pt>
                <c:pt idx="818">
                  <c:v>57.899476153059716</c:v>
                </c:pt>
                <c:pt idx="819">
                  <c:v>58.483927437422089</c:v>
                </c:pt>
                <c:pt idx="820">
                  <c:v>58.378996483285682</c:v>
                </c:pt>
                <c:pt idx="821">
                  <c:v>57.134524289351383</c:v>
                </c:pt>
                <c:pt idx="822">
                  <c:v>57.445462203674438</c:v>
                </c:pt>
                <c:pt idx="823">
                  <c:v>54.996447704306462</c:v>
                </c:pt>
                <c:pt idx="824">
                  <c:v>54.823984521395943</c:v>
                </c:pt>
                <c:pt idx="825">
                  <c:v>55.905013788143755</c:v>
                </c:pt>
                <c:pt idx="826">
                  <c:v>56.591536852916455</c:v>
                </c:pt>
                <c:pt idx="827">
                  <c:v>56.837581769686928</c:v>
                </c:pt>
                <c:pt idx="828">
                  <c:v>56.776867189889103</c:v>
                </c:pt>
                <c:pt idx="829">
                  <c:v>56.978138343661797</c:v>
                </c:pt>
                <c:pt idx="830">
                  <c:v>56.874466000467002</c:v>
                </c:pt>
                <c:pt idx="831">
                  <c:v>56.191472204318515</c:v>
                </c:pt>
                <c:pt idx="832">
                  <c:v>56.61603294275519</c:v>
                </c:pt>
                <c:pt idx="833">
                  <c:v>56.630486317144069</c:v>
                </c:pt>
                <c:pt idx="834">
                  <c:v>56.904420329031112</c:v>
                </c:pt>
                <c:pt idx="835">
                  <c:v>59.018383044181391</c:v>
                </c:pt>
                <c:pt idx="836">
                  <c:v>59.787952004195063</c:v>
                </c:pt>
                <c:pt idx="837">
                  <c:v>58.913645704730058</c:v>
                </c:pt>
                <c:pt idx="838">
                  <c:v>57.923607511328342</c:v>
                </c:pt>
                <c:pt idx="839">
                  <c:v>58.310558026952108</c:v>
                </c:pt>
                <c:pt idx="840">
                  <c:v>58.05331442721571</c:v>
                </c:pt>
                <c:pt idx="841">
                  <c:v>58.141601335151393</c:v>
                </c:pt>
                <c:pt idx="842">
                  <c:v>58.222294011460271</c:v>
                </c:pt>
                <c:pt idx="843">
                  <c:v>58.421263143424987</c:v>
                </c:pt>
                <c:pt idx="844">
                  <c:v>58.127261059260441</c:v>
                </c:pt>
                <c:pt idx="845">
                  <c:v>55.497801642953092</c:v>
                </c:pt>
                <c:pt idx="846">
                  <c:v>56.653319964518587</c:v>
                </c:pt>
                <c:pt idx="847">
                  <c:v>55.657345110538039</c:v>
                </c:pt>
                <c:pt idx="848">
                  <c:v>55.427310663738218</c:v>
                </c:pt>
                <c:pt idx="849">
                  <c:v>55.301583262625577</c:v>
                </c:pt>
                <c:pt idx="850">
                  <c:v>55.334117341752368</c:v>
                </c:pt>
                <c:pt idx="851">
                  <c:v>58.316518108334101</c:v>
                </c:pt>
                <c:pt idx="852">
                  <c:v>56.053868702725339</c:v>
                </c:pt>
                <c:pt idx="853">
                  <c:v>55.794735385487591</c:v>
                </c:pt>
                <c:pt idx="854">
                  <c:v>55.437119617425054</c:v>
                </c:pt>
                <c:pt idx="855">
                  <c:v>55.611023524534467</c:v>
                </c:pt>
                <c:pt idx="856">
                  <c:v>55.985922926823484</c:v>
                </c:pt>
                <c:pt idx="857">
                  <c:v>55.854761173473477</c:v>
                </c:pt>
                <c:pt idx="858">
                  <c:v>54.683334073377857</c:v>
                </c:pt>
                <c:pt idx="859">
                  <c:v>51.09734572785063</c:v>
                </c:pt>
                <c:pt idx="860">
                  <c:v>50.662340279048891</c:v>
                </c:pt>
                <c:pt idx="861">
                  <c:v>50.643953790767945</c:v>
                </c:pt>
                <c:pt idx="862">
                  <c:v>50.556239366792575</c:v>
                </c:pt>
                <c:pt idx="863">
                  <c:v>50.933874622148224</c:v>
                </c:pt>
                <c:pt idx="864">
                  <c:v>51.292846978071104</c:v>
                </c:pt>
                <c:pt idx="865">
                  <c:v>52.303819696749265</c:v>
                </c:pt>
                <c:pt idx="866">
                  <c:v>51.97142204009868</c:v>
                </c:pt>
                <c:pt idx="867">
                  <c:v>51.772674820397448</c:v>
                </c:pt>
                <c:pt idx="868">
                  <c:v>51.584183688764121</c:v>
                </c:pt>
                <c:pt idx="869">
                  <c:v>52.683952680082548</c:v>
                </c:pt>
                <c:pt idx="870">
                  <c:v>52.40582926035421</c:v>
                </c:pt>
                <c:pt idx="871">
                  <c:v>53.83761953199803</c:v>
                </c:pt>
                <c:pt idx="872">
                  <c:v>53.632431545002504</c:v>
                </c:pt>
                <c:pt idx="873">
                  <c:v>53.799127638764645</c:v>
                </c:pt>
                <c:pt idx="874">
                  <c:v>53.904957212818729</c:v>
                </c:pt>
                <c:pt idx="875">
                  <c:v>54.405163967317804</c:v>
                </c:pt>
                <c:pt idx="876">
                  <c:v>54.327778805141882</c:v>
                </c:pt>
                <c:pt idx="877">
                  <c:v>54.152779953368658</c:v>
                </c:pt>
                <c:pt idx="878">
                  <c:v>54.706569126093285</c:v>
                </c:pt>
                <c:pt idx="879">
                  <c:v>55.198509165488453</c:v>
                </c:pt>
                <c:pt idx="880">
                  <c:v>56.357996390677421</c:v>
                </c:pt>
                <c:pt idx="881">
                  <c:v>56.247429131733448</c:v>
                </c:pt>
                <c:pt idx="882">
                  <c:v>56.240560067024084</c:v>
                </c:pt>
                <c:pt idx="883">
                  <c:v>56.115549356771766</c:v>
                </c:pt>
                <c:pt idx="884">
                  <c:v>56.089451275295076</c:v>
                </c:pt>
                <c:pt idx="885">
                  <c:v>55.692258146073556</c:v>
                </c:pt>
                <c:pt idx="886">
                  <c:v>54.898910896618744</c:v>
                </c:pt>
                <c:pt idx="887">
                  <c:v>55.037739021347157</c:v>
                </c:pt>
                <c:pt idx="888">
                  <c:v>55.33072302918336</c:v>
                </c:pt>
                <c:pt idx="889">
                  <c:v>54.59435041192836</c:v>
                </c:pt>
                <c:pt idx="890">
                  <c:v>54.483300262401954</c:v>
                </c:pt>
                <c:pt idx="891">
                  <c:v>54.394370594639696</c:v>
                </c:pt>
                <c:pt idx="892">
                  <c:v>53.701344244187844</c:v>
                </c:pt>
                <c:pt idx="893">
                  <c:v>54.853624358776734</c:v>
                </c:pt>
                <c:pt idx="894">
                  <c:v>54.601109033322601</c:v>
                </c:pt>
                <c:pt idx="895">
                  <c:v>52.609590758600532</c:v>
                </c:pt>
                <c:pt idx="896">
                  <c:v>51.757601385961706</c:v>
                </c:pt>
                <c:pt idx="897">
                  <c:v>52.524245229285036</c:v>
                </c:pt>
                <c:pt idx="898">
                  <c:v>53.36912291755128</c:v>
                </c:pt>
                <c:pt idx="899">
                  <c:v>54.421738345621776</c:v>
                </c:pt>
                <c:pt idx="900">
                  <c:v>55.560642868107358</c:v>
                </c:pt>
                <c:pt idx="901">
                  <c:v>54.983055784619175</c:v>
                </c:pt>
                <c:pt idx="902">
                  <c:v>55.871285940661252</c:v>
                </c:pt>
                <c:pt idx="903">
                  <c:v>55.785048289055773</c:v>
                </c:pt>
                <c:pt idx="904">
                  <c:v>56.953613119879364</c:v>
                </c:pt>
                <c:pt idx="905">
                  <c:v>57.233922896040525</c:v>
                </c:pt>
                <c:pt idx="906">
                  <c:v>56.179320632923577</c:v>
                </c:pt>
                <c:pt idx="907">
                  <c:v>56.197165242960686</c:v>
                </c:pt>
                <c:pt idx="908">
                  <c:v>56.356168118845204</c:v>
                </c:pt>
                <c:pt idx="909">
                  <c:v>56.539406437777131</c:v>
                </c:pt>
                <c:pt idx="910">
                  <c:v>56.492554562244898</c:v>
                </c:pt>
                <c:pt idx="911">
                  <c:v>51.718632091978165</c:v>
                </c:pt>
                <c:pt idx="912">
                  <c:v>51.347547421687587</c:v>
                </c:pt>
                <c:pt idx="913">
                  <c:v>51.302484410957931</c:v>
                </c:pt>
                <c:pt idx="914">
                  <c:v>51.399054088845894</c:v>
                </c:pt>
                <c:pt idx="915">
                  <c:v>51.270065138346112</c:v>
                </c:pt>
                <c:pt idx="916">
                  <c:v>50.651965805733234</c:v>
                </c:pt>
                <c:pt idx="917">
                  <c:v>50.545973980978289</c:v>
                </c:pt>
                <c:pt idx="918">
                  <c:v>49.87151669274219</c:v>
                </c:pt>
                <c:pt idx="919">
                  <c:v>53.750173835193849</c:v>
                </c:pt>
                <c:pt idx="920">
                  <c:v>54.172840244225831</c:v>
                </c:pt>
                <c:pt idx="921">
                  <c:v>54.201836060484922</c:v>
                </c:pt>
                <c:pt idx="922">
                  <c:v>54.311286873808498</c:v>
                </c:pt>
                <c:pt idx="923">
                  <c:v>53.731924084173933</c:v>
                </c:pt>
                <c:pt idx="924">
                  <c:v>55.91215350331742</c:v>
                </c:pt>
                <c:pt idx="925">
                  <c:v>55.390932592084972</c:v>
                </c:pt>
                <c:pt idx="926">
                  <c:v>55.741727853242672</c:v>
                </c:pt>
                <c:pt idx="927">
                  <c:v>55.616239126876735</c:v>
                </c:pt>
                <c:pt idx="928">
                  <c:v>58.175658699166597</c:v>
                </c:pt>
                <c:pt idx="929">
                  <c:v>60.601426150360716</c:v>
                </c:pt>
                <c:pt idx="930">
                  <c:v>60.5864846924378</c:v>
                </c:pt>
                <c:pt idx="931">
                  <c:v>59.399449714459877</c:v>
                </c:pt>
                <c:pt idx="932">
                  <c:v>61.958598100903117</c:v>
                </c:pt>
                <c:pt idx="933">
                  <c:v>61.776962066867256</c:v>
                </c:pt>
                <c:pt idx="934">
                  <c:v>61.68502806569348</c:v>
                </c:pt>
                <c:pt idx="935">
                  <c:v>67.300319529404021</c:v>
                </c:pt>
                <c:pt idx="936">
                  <c:v>67.340411699651227</c:v>
                </c:pt>
                <c:pt idx="937">
                  <c:v>67.329643659655233</c:v>
                </c:pt>
                <c:pt idx="938">
                  <c:v>67.427516583545383</c:v>
                </c:pt>
                <c:pt idx="939">
                  <c:v>66.857816779256979</c:v>
                </c:pt>
                <c:pt idx="940">
                  <c:v>65.728683470029921</c:v>
                </c:pt>
                <c:pt idx="941">
                  <c:v>66.321874836446852</c:v>
                </c:pt>
                <c:pt idx="942">
                  <c:v>66.179703801558375</c:v>
                </c:pt>
                <c:pt idx="943">
                  <c:v>68.435215367743041</c:v>
                </c:pt>
                <c:pt idx="944">
                  <c:v>69.481395075195024</c:v>
                </c:pt>
                <c:pt idx="945">
                  <c:v>69.30181777391094</c:v>
                </c:pt>
                <c:pt idx="946">
                  <c:v>69.07885445982977</c:v>
                </c:pt>
                <c:pt idx="947">
                  <c:v>70.124859117636447</c:v>
                </c:pt>
                <c:pt idx="948">
                  <c:v>71.005904360901297</c:v>
                </c:pt>
                <c:pt idx="949">
                  <c:v>71.562969929574905</c:v>
                </c:pt>
                <c:pt idx="950">
                  <c:v>71.547956159539211</c:v>
                </c:pt>
                <c:pt idx="951">
                  <c:v>77.703804017374054</c:v>
                </c:pt>
                <c:pt idx="952">
                  <c:v>81.55392434846334</c:v>
                </c:pt>
                <c:pt idx="953">
                  <c:v>82.360654780535398</c:v>
                </c:pt>
                <c:pt idx="954">
                  <c:v>82.44102055554265</c:v>
                </c:pt>
                <c:pt idx="955">
                  <c:v>82.253162872622354</c:v>
                </c:pt>
                <c:pt idx="956">
                  <c:v>83.52516913851737</c:v>
                </c:pt>
                <c:pt idx="957">
                  <c:v>84.795869157375009</c:v>
                </c:pt>
                <c:pt idx="958">
                  <c:v>83.916098823644447</c:v>
                </c:pt>
                <c:pt idx="959">
                  <c:v>82.425241214156387</c:v>
                </c:pt>
                <c:pt idx="960">
                  <c:v>82.056823015817244</c:v>
                </c:pt>
                <c:pt idx="961">
                  <c:v>82.186049920180153</c:v>
                </c:pt>
                <c:pt idx="962">
                  <c:v>93.3345200310807</c:v>
                </c:pt>
                <c:pt idx="963">
                  <c:v>94.762047630584917</c:v>
                </c:pt>
                <c:pt idx="964">
                  <c:v>94.097345251323389</c:v>
                </c:pt>
                <c:pt idx="965">
                  <c:v>93.750734654940729</c:v>
                </c:pt>
                <c:pt idx="966">
                  <c:v>96.796664602094609</c:v>
                </c:pt>
                <c:pt idx="967">
                  <c:v>96.593108860776553</c:v>
                </c:pt>
                <c:pt idx="968">
                  <c:v>97.359910984687787</c:v>
                </c:pt>
                <c:pt idx="969">
                  <c:v>97.709151037918886</c:v>
                </c:pt>
                <c:pt idx="970">
                  <c:v>98.546321360196501</c:v>
                </c:pt>
                <c:pt idx="971">
                  <c:v>98.699114048118361</c:v>
                </c:pt>
                <c:pt idx="972">
                  <c:v>99.175200664215595</c:v>
                </c:pt>
                <c:pt idx="973">
                  <c:v>99.216638640506076</c:v>
                </c:pt>
                <c:pt idx="974">
                  <c:v>98.630633111492656</c:v>
                </c:pt>
                <c:pt idx="975">
                  <c:v>99.136992689149324</c:v>
                </c:pt>
                <c:pt idx="976">
                  <c:v>99.137598514989307</c:v>
                </c:pt>
                <c:pt idx="977">
                  <c:v>99.535280399084115</c:v>
                </c:pt>
                <c:pt idx="978">
                  <c:v>99.420835372802969</c:v>
                </c:pt>
                <c:pt idx="979">
                  <c:v>97.663527755079031</c:v>
                </c:pt>
                <c:pt idx="980">
                  <c:v>97.784915721453885</c:v>
                </c:pt>
                <c:pt idx="981">
                  <c:v>100.64638607498433</c:v>
                </c:pt>
                <c:pt idx="982">
                  <c:v>104.94967975423381</c:v>
                </c:pt>
                <c:pt idx="983">
                  <c:v>105.07272914809643</c:v>
                </c:pt>
                <c:pt idx="984">
                  <c:v>104.09920027144616</c:v>
                </c:pt>
                <c:pt idx="985">
                  <c:v>104.73369415378637</c:v>
                </c:pt>
                <c:pt idx="986">
                  <c:v>104.84076642748128</c:v>
                </c:pt>
                <c:pt idx="987">
                  <c:v>104.76549072695589</c:v>
                </c:pt>
                <c:pt idx="988">
                  <c:v>102.94953385924654</c:v>
                </c:pt>
                <c:pt idx="989">
                  <c:v>103.49398434104901</c:v>
                </c:pt>
                <c:pt idx="990">
                  <c:v>103.57934888552896</c:v>
                </c:pt>
                <c:pt idx="991">
                  <c:v>103.38509824280833</c:v>
                </c:pt>
                <c:pt idx="992">
                  <c:v>103.11099548836182</c:v>
                </c:pt>
                <c:pt idx="993">
                  <c:v>103.62507784346874</c:v>
                </c:pt>
                <c:pt idx="994">
                  <c:v>104.87583208551541</c:v>
                </c:pt>
                <c:pt idx="995">
                  <c:v>101.79928538278801</c:v>
                </c:pt>
                <c:pt idx="996">
                  <c:v>102.07291425174762</c:v>
                </c:pt>
                <c:pt idx="997">
                  <c:v>104.11224685210291</c:v>
                </c:pt>
                <c:pt idx="998">
                  <c:v>104.04647477187679</c:v>
                </c:pt>
                <c:pt idx="999">
                  <c:v>105.63196483589856</c:v>
                </c:pt>
                <c:pt idx="1000">
                  <c:v>106.14027818114127</c:v>
                </c:pt>
                <c:pt idx="1001">
                  <c:v>105.96034812491664</c:v>
                </c:pt>
                <c:pt idx="1002">
                  <c:v>105.70090083018616</c:v>
                </c:pt>
                <c:pt idx="1003">
                  <c:v>105.60523210461707</c:v>
                </c:pt>
                <c:pt idx="1004">
                  <c:v>105.21600374841948</c:v>
                </c:pt>
                <c:pt idx="1005">
                  <c:v>106.08746674384825</c:v>
                </c:pt>
                <c:pt idx="1006">
                  <c:v>106.56445803337211</c:v>
                </c:pt>
                <c:pt idx="1007">
                  <c:v>106.06182631183087</c:v>
                </c:pt>
                <c:pt idx="1008">
                  <c:v>105.43032527450862</c:v>
                </c:pt>
                <c:pt idx="1009">
                  <c:v>105.78301876606993</c:v>
                </c:pt>
                <c:pt idx="1010">
                  <c:v>105.90420112723378</c:v>
                </c:pt>
                <c:pt idx="1011">
                  <c:v>101.74805740751702</c:v>
                </c:pt>
                <c:pt idx="1012">
                  <c:v>99.036239356813041</c:v>
                </c:pt>
                <c:pt idx="1013">
                  <c:v>97.498117854537313</c:v>
                </c:pt>
                <c:pt idx="1014">
                  <c:v>102.63999865900395</c:v>
                </c:pt>
                <c:pt idx="1015">
                  <c:v>102.91557591994669</c:v>
                </c:pt>
                <c:pt idx="1016">
                  <c:v>102.25483261998542</c:v>
                </c:pt>
                <c:pt idx="1017">
                  <c:v>100.99243058918191</c:v>
                </c:pt>
                <c:pt idx="1018">
                  <c:v>101.72175526263717</c:v>
                </c:pt>
                <c:pt idx="1019">
                  <c:v>102.09663862100959</c:v>
                </c:pt>
                <c:pt idx="1020">
                  <c:v>102.24066653724542</c:v>
                </c:pt>
                <c:pt idx="1021">
                  <c:v>102.0822620350301</c:v>
                </c:pt>
                <c:pt idx="1022">
                  <c:v>89.996255385136664</c:v>
                </c:pt>
                <c:pt idx="1023">
                  <c:v>89.243764580390788</c:v>
                </c:pt>
                <c:pt idx="1024">
                  <c:v>88.988518677338348</c:v>
                </c:pt>
                <c:pt idx="1025">
                  <c:v>88.697534600894215</c:v>
                </c:pt>
                <c:pt idx="1026">
                  <c:v>86.692305180607192</c:v>
                </c:pt>
                <c:pt idx="1027">
                  <c:v>86.539089989457267</c:v>
                </c:pt>
                <c:pt idx="1028">
                  <c:v>85.844109469870617</c:v>
                </c:pt>
                <c:pt idx="1029">
                  <c:v>85.753696743209872</c:v>
                </c:pt>
                <c:pt idx="1030">
                  <c:v>85.259191309127658</c:v>
                </c:pt>
                <c:pt idx="1031">
                  <c:v>84.893088040604965</c:v>
                </c:pt>
                <c:pt idx="1032">
                  <c:v>84.766246117182263</c:v>
                </c:pt>
                <c:pt idx="1033">
                  <c:v>85.332980981728838</c:v>
                </c:pt>
                <c:pt idx="1034">
                  <c:v>86.835399744896208</c:v>
                </c:pt>
                <c:pt idx="1035">
                  <c:v>85.68397047983099</c:v>
                </c:pt>
                <c:pt idx="1036">
                  <c:v>85.647788997042468</c:v>
                </c:pt>
                <c:pt idx="1037">
                  <c:v>87.169410451069325</c:v>
                </c:pt>
                <c:pt idx="1038">
                  <c:v>87.159424750014949</c:v>
                </c:pt>
                <c:pt idx="1039">
                  <c:v>87.440569645075016</c:v>
                </c:pt>
                <c:pt idx="1040">
                  <c:v>87.464747261186687</c:v>
                </c:pt>
                <c:pt idx="1041">
                  <c:v>83.058537408045481</c:v>
                </c:pt>
                <c:pt idx="1042">
                  <c:v>78.612647932472015</c:v>
                </c:pt>
                <c:pt idx="1043">
                  <c:v>78.272094373691445</c:v>
                </c:pt>
                <c:pt idx="1044">
                  <c:v>78.312957731691696</c:v>
                </c:pt>
                <c:pt idx="1045">
                  <c:v>79.379150151586614</c:v>
                </c:pt>
                <c:pt idx="1046">
                  <c:v>79.375337484651084</c:v>
                </c:pt>
                <c:pt idx="1047">
                  <c:v>80.302911438010142</c:v>
                </c:pt>
                <c:pt idx="1048">
                  <c:v>80.342710759194489</c:v>
                </c:pt>
                <c:pt idx="1049">
                  <c:v>77.331237983600573</c:v>
                </c:pt>
                <c:pt idx="1050">
                  <c:v>81.860919413618447</c:v>
                </c:pt>
                <c:pt idx="1051">
                  <c:v>81.519641080165343</c:v>
                </c:pt>
                <c:pt idx="1052">
                  <c:v>80.408979716879031</c:v>
                </c:pt>
                <c:pt idx="1053">
                  <c:v>79.656711320115136</c:v>
                </c:pt>
                <c:pt idx="1054">
                  <c:v>78.678100776187264</c:v>
                </c:pt>
                <c:pt idx="1055">
                  <c:v>78.276167911046045</c:v>
                </c:pt>
                <c:pt idx="1056">
                  <c:v>#N/A</c:v>
                </c:pt>
                <c:pt idx="1057">
                  <c:v>79.774793163432008</c:v>
                </c:pt>
                <c:pt idx="1058">
                  <c:v>77.897519635435771</c:v>
                </c:pt>
                <c:pt idx="1059">
                  <c:v>77.825975337835033</c:v>
                </c:pt>
                <c:pt idx="1060">
                  <c:v>74.343444075961145</c:v>
                </c:pt>
                <c:pt idx="1061">
                  <c:v>73.350559443408542</c:v>
                </c:pt>
                <c:pt idx="1062">
                  <c:v>72.975264546120471</c:v>
                </c:pt>
                <c:pt idx="1063">
                  <c:v>72.42728289865579</c:v>
                </c:pt>
                <c:pt idx="1064">
                  <c:v>71.825658715419749</c:v>
                </c:pt>
                <c:pt idx="1065">
                  <c:v>72.038345980213691</c:v>
                </c:pt>
                <c:pt idx="1066">
                  <c:v>72.598856647795003</c:v>
                </c:pt>
                <c:pt idx="1067">
                  <c:v>72.972075065104207</c:v>
                </c:pt>
                <c:pt idx="1068">
                  <c:v>72.662557234414976</c:v>
                </c:pt>
                <c:pt idx="1069">
                  <c:v>72.501471078875269</c:v>
                </c:pt>
                <c:pt idx="1070">
                  <c:v>65.618001935702807</c:v>
                </c:pt>
                <c:pt idx="1071">
                  <c:v>65.278687517502732</c:v>
                </c:pt>
                <c:pt idx="1072">
                  <c:v>66.084717048358328</c:v>
                </c:pt>
                <c:pt idx="1073">
                  <c:v>66.543974175719853</c:v>
                </c:pt>
                <c:pt idx="1074">
                  <c:v>66.079948493203347</c:v>
                </c:pt>
                <c:pt idx="1075">
                  <c:v>66.262675392754161</c:v>
                </c:pt>
                <c:pt idx="1076">
                  <c:v>66.071175007503641</c:v>
                </c:pt>
                <c:pt idx="1077">
                  <c:v>65.854259521429725</c:v>
                </c:pt>
                <c:pt idx="1078">
                  <c:v>66.07015883654617</c:v>
                </c:pt>
                <c:pt idx="1079">
                  <c:v>#N/A</c:v>
                </c:pt>
                <c:pt idx="1080">
                  <c:v>65.878786718482388</c:v>
                </c:pt>
                <c:pt idx="1081">
                  <c:v>65.760166881970662</c:v>
                </c:pt>
                <c:pt idx="1082">
                  <c:v>66.103978064409787</c:v>
                </c:pt>
                <c:pt idx="1083">
                  <c:v>65.876520866222521</c:v>
                </c:pt>
                <c:pt idx="1084">
                  <c:v>66.477533793518234</c:v>
                </c:pt>
                <c:pt idx="1085">
                  <c:v>66.48619820722827</c:v>
                </c:pt>
                <c:pt idx="1086">
                  <c:v>69.551646448377355</c:v>
                </c:pt>
                <c:pt idx="1087">
                  <c:v>69.980708043405457</c:v>
                </c:pt>
                <c:pt idx="1088">
                  <c:v>70.722790934519779</c:v>
                </c:pt>
                <c:pt idx="1089">
                  <c:v>70.514474083424901</c:v>
                </c:pt>
                <c:pt idx="1090">
                  <c:v>70.234041545142674</c:v>
                </c:pt>
                <c:pt idx="1091">
                  <c:v>68.247648984030633</c:v>
                </c:pt>
                <c:pt idx="1092">
                  <c:v>68.335105620218457</c:v>
                </c:pt>
                <c:pt idx="1093">
                  <c:v>68.805095089224949</c:v>
                </c:pt>
                <c:pt idx="1094">
                  <c:v>67.962298858193407</c:v>
                </c:pt>
                <c:pt idx="1095">
                  <c:v>68.254078231333821</c:v>
                </c:pt>
                <c:pt idx="1096">
                  <c:v>68.144245144493681</c:v>
                </c:pt>
                <c:pt idx="1097">
                  <c:v>68.071302113473081</c:v>
                </c:pt>
                <c:pt idx="1098">
                  <c:v>69.369560494946214</c:v>
                </c:pt>
                <c:pt idx="1099">
                  <c:v>69.397131833239925</c:v>
                </c:pt>
                <c:pt idx="1100">
                  <c:v>69.536939046948746</c:v>
                </c:pt>
                <c:pt idx="1101">
                  <c:v>71.53135359270351</c:v>
                </c:pt>
                <c:pt idx="1102">
                  <c:v>70.424332350538236</c:v>
                </c:pt>
                <c:pt idx="1103">
                  <c:v>70.747670677407839</c:v>
                </c:pt>
                <c:pt idx="1104">
                  <c:v>69.970880906169157</c:v>
                </c:pt>
                <c:pt idx="1105">
                  <c:v>70.001852426034191</c:v>
                </c:pt>
                <c:pt idx="1106">
                  <c:v>69.705334857169561</c:v>
                </c:pt>
                <c:pt idx="1107">
                  <c:v>65.197526120899013</c:v>
                </c:pt>
                <c:pt idx="1108">
                  <c:v>65.703157367678443</c:v>
                </c:pt>
                <c:pt idx="1109">
                  <c:v>65.766579205194375</c:v>
                </c:pt>
                <c:pt idx="1110">
                  <c:v>65.037075744062946</c:v>
                </c:pt>
                <c:pt idx="1111">
                  <c:v>65.251424114900331</c:v>
                </c:pt>
                <c:pt idx="1112">
                  <c:v>64.892114843186647</c:v>
                </c:pt>
                <c:pt idx="1113">
                  <c:v>62.249728881917001</c:v>
                </c:pt>
                <c:pt idx="1114">
                  <c:v>62.540668289055425</c:v>
                </c:pt>
                <c:pt idx="1115">
                  <c:v>62.578888752833748</c:v>
                </c:pt>
                <c:pt idx="1116">
                  <c:v>63.406936628095487</c:v>
                </c:pt>
                <c:pt idx="1117">
                  <c:v>63.105886865857507</c:v>
                </c:pt>
                <c:pt idx="1118">
                  <c:v>62.413687370440904</c:v>
                </c:pt>
                <c:pt idx="1119">
                  <c:v>62.462139003427261</c:v>
                </c:pt>
                <c:pt idx="1120">
                  <c:v>61.663330152920039</c:v>
                </c:pt>
                <c:pt idx="1121">
                  <c:v>63.661584117566875</c:v>
                </c:pt>
                <c:pt idx="1122">
                  <c:v>62.061303763518197</c:v>
                </c:pt>
                <c:pt idx="1123">
                  <c:v>62.738637874357735</c:v>
                </c:pt>
                <c:pt idx="1124">
                  <c:v>63.453404835230153</c:v>
                </c:pt>
                <c:pt idx="1125">
                  <c:v>63.156918880807837</c:v>
                </c:pt>
                <c:pt idx="1126">
                  <c:v>62.462310575103139</c:v>
                </c:pt>
                <c:pt idx="1127">
                  <c:v>62.295950684228487</c:v>
                </c:pt>
                <c:pt idx="1128">
                  <c:v>63.055843456191617</c:v>
                </c:pt>
                <c:pt idx="1129">
                  <c:v>63.038073006545204</c:v>
                </c:pt>
                <c:pt idx="1130">
                  <c:v>64.021054984031252</c:v>
                </c:pt>
                <c:pt idx="1131">
                  <c:v>63.571153875808214</c:v>
                </c:pt>
                <c:pt idx="1132">
                  <c:v>65.631905666959639</c:v>
                </c:pt>
                <c:pt idx="1133">
                  <c:v>64.665723644275758</c:v>
                </c:pt>
                <c:pt idx="1134">
                  <c:v>64.443455286496743</c:v>
                </c:pt>
                <c:pt idx="1135">
                  <c:v>63.654178195976087</c:v>
                </c:pt>
                <c:pt idx="1136">
                  <c:v>62.523172875187996</c:v>
                </c:pt>
                <c:pt idx="1137">
                  <c:v>62.85810948843227</c:v>
                </c:pt>
                <c:pt idx="1138">
                  <c:v>63.042295568783921</c:v>
                </c:pt>
                <c:pt idx="1139">
                  <c:v>63.582272011808527</c:v>
                </c:pt>
                <c:pt idx="1140">
                  <c:v>63.473327701078034</c:v>
                </c:pt>
                <c:pt idx="1141">
                  <c:v>63.977148781375071</c:v>
                </c:pt>
                <c:pt idx="1142">
                  <c:v>64.241002438705735</c:v>
                </c:pt>
                <c:pt idx="1143">
                  <c:v>64.143811453414429</c:v>
                </c:pt>
                <c:pt idx="1144">
                  <c:v>64.347473192832155</c:v>
                </c:pt>
                <c:pt idx="1145">
                  <c:v>64.488031364825574</c:v>
                </c:pt>
                <c:pt idx="1146">
                  <c:v>61.638656899505797</c:v>
                </c:pt>
                <c:pt idx="1147">
                  <c:v>61.084053234186598</c:v>
                </c:pt>
                <c:pt idx="1148">
                  <c:v>60.762556705011974</c:v>
                </c:pt>
                <c:pt idx="1149">
                  <c:v>60.52007037156892</c:v>
                </c:pt>
                <c:pt idx="1150">
                  <c:v>60.466661797275243</c:v>
                </c:pt>
                <c:pt idx="1151">
                  <c:v>60.444042781582475</c:v>
                </c:pt>
                <c:pt idx="1152">
                  <c:v>60.527036222792589</c:v>
                </c:pt>
                <c:pt idx="1153">
                  <c:v>61.472039170564564</c:v>
                </c:pt>
                <c:pt idx="1154">
                  <c:v>59.493123263673588</c:v>
                </c:pt>
                <c:pt idx="1155">
                  <c:v>59.043575385635336</c:v>
                </c:pt>
                <c:pt idx="1156">
                  <c:v>59.391286110186456</c:v>
                </c:pt>
                <c:pt idx="1157">
                  <c:v>59.35454688409029</c:v>
                </c:pt>
                <c:pt idx="1158">
                  <c:v>58.132336019141427</c:v>
                </c:pt>
                <c:pt idx="1159">
                  <c:v>58.031666752471537</c:v>
                </c:pt>
                <c:pt idx="1160">
                  <c:v>57.899078022039809</c:v>
                </c:pt>
                <c:pt idx="1161">
                  <c:v>56.100094808140369</c:v>
                </c:pt>
                <c:pt idx="1162">
                  <c:v>55.720850110625918</c:v>
                </c:pt>
                <c:pt idx="1163">
                  <c:v>55.172234658774968</c:v>
                </c:pt>
                <c:pt idx="1164">
                  <c:v>54.883528586442601</c:v>
                </c:pt>
                <c:pt idx="1165">
                  <c:v>54.607728442912773</c:v>
                </c:pt>
                <c:pt idx="1166">
                  <c:v>54.647718270167367</c:v>
                </c:pt>
                <c:pt idx="1167">
                  <c:v>53.740217218866206</c:v>
                </c:pt>
                <c:pt idx="1168">
                  <c:v>53.240258284124643</c:v>
                </c:pt>
                <c:pt idx="1169">
                  <c:v>52.634266936641374</c:v>
                </c:pt>
                <c:pt idx="1170">
                  <c:v>52.88665611739556</c:v>
                </c:pt>
                <c:pt idx="1171">
                  <c:v>54.413183728911086</c:v>
                </c:pt>
                <c:pt idx="1172">
                  <c:v>54.634742689687407</c:v>
                </c:pt>
                <c:pt idx="1173">
                  <c:v>54.767289219773652</c:v>
                </c:pt>
                <c:pt idx="1174">
                  <c:v>54.753068662106642</c:v>
                </c:pt>
                <c:pt idx="1175">
                  <c:v>54.842917584318066</c:v>
                </c:pt>
                <c:pt idx="1176">
                  <c:v>54.219063166887238</c:v>
                </c:pt>
                <c:pt idx="1177">
                  <c:v>54.180005324758071</c:v>
                </c:pt>
                <c:pt idx="1178">
                  <c:v>54.24801367080736</c:v>
                </c:pt>
                <c:pt idx="1179">
                  <c:v>54.199427255453571</c:v>
                </c:pt>
                <c:pt idx="1180">
                  <c:v>55.643861818645448</c:v>
                </c:pt>
                <c:pt idx="1181">
                  <c:v>53.066048607253812</c:v>
                </c:pt>
                <c:pt idx="1182">
                  <c:v>53.260609694749959</c:v>
                </c:pt>
                <c:pt idx="1183">
                  <c:v>55.074910422149259</c:v>
                </c:pt>
                <c:pt idx="1184">
                  <c:v>55.641408129365686</c:v>
                </c:pt>
                <c:pt idx="1185">
                  <c:v>55.772026593809997</c:v>
                </c:pt>
                <c:pt idx="1186">
                  <c:v>55.726580147690022</c:v>
                </c:pt>
                <c:pt idx="1187">
                  <c:v>55.328793774070682</c:v>
                </c:pt>
                <c:pt idx="1188">
                  <c:v>54.04718330015065</c:v>
                </c:pt>
                <c:pt idx="1189">
                  <c:v>54.204481127194271</c:v>
                </c:pt>
                <c:pt idx="1190">
                  <c:v>53.092020678756704</c:v>
                </c:pt>
                <c:pt idx="1191">
                  <c:v>54.177273264077321</c:v>
                </c:pt>
                <c:pt idx="1192">
                  <c:v>50.846775545901167</c:v>
                </c:pt>
                <c:pt idx="1193">
                  <c:v>50.769442346171601</c:v>
                </c:pt>
                <c:pt idx="1194">
                  <c:v>51.549413273606781</c:v>
                </c:pt>
                <c:pt idx="1195">
                  <c:v>52.058041760498973</c:v>
                </c:pt>
                <c:pt idx="1196">
                  <c:v>52.061226232788485</c:v>
                </c:pt>
                <c:pt idx="1197">
                  <c:v>51.59375301011535</c:v>
                </c:pt>
                <c:pt idx="1198">
                  <c:v>51.309979567254672</c:v>
                </c:pt>
                <c:pt idx="1199">
                  <c:v>50.803184181723495</c:v>
                </c:pt>
                <c:pt idx="1200">
                  <c:v>50.945844631422496</c:v>
                </c:pt>
                <c:pt idx="1201">
                  <c:v>50.528582370588602</c:v>
                </c:pt>
                <c:pt idx="1202">
                  <c:v>49.785651554465829</c:v>
                </c:pt>
                <c:pt idx="1203">
                  <c:v>49.901262748216382</c:v>
                </c:pt>
                <c:pt idx="1204">
                  <c:v>49.530540802333398</c:v>
                </c:pt>
                <c:pt idx="1205">
                  <c:v>51.206234229634873</c:v>
                </c:pt>
                <c:pt idx="1206">
                  <c:v>51.153945492384636</c:v>
                </c:pt>
                <c:pt idx="1207">
                  <c:v>51.483883403684281</c:v>
                </c:pt>
                <c:pt idx="1208">
                  <c:v>51.672244853942317</c:v>
                </c:pt>
                <c:pt idx="1209">
                  <c:v>51.712808585680335</c:v>
                </c:pt>
                <c:pt idx="1210">
                  <c:v>51.429866622854838</c:v>
                </c:pt>
                <c:pt idx="1211">
                  <c:v>51.456900564815342</c:v>
                </c:pt>
                <c:pt idx="1212">
                  <c:v>51.669582990851126</c:v>
                </c:pt>
                <c:pt idx="1213">
                  <c:v>49.606087864327655</c:v>
                </c:pt>
                <c:pt idx="1214">
                  <c:v>49.625081372686616</c:v>
                </c:pt>
                <c:pt idx="1215">
                  <c:v>50.633843312226425</c:v>
                </c:pt>
                <c:pt idx="1216">
                  <c:v>49.935620672400383</c:v>
                </c:pt>
                <c:pt idx="1217">
                  <c:v>49.905427958825662</c:v>
                </c:pt>
                <c:pt idx="1218">
                  <c:v>49.788212272182406</c:v>
                </c:pt>
                <c:pt idx="1219">
                  <c:v>49.754297001523661</c:v>
                </c:pt>
                <c:pt idx="1220">
                  <c:v>50.557246629872878</c:v>
                </c:pt>
                <c:pt idx="1221">
                  <c:v>50.501451216072837</c:v>
                </c:pt>
                <c:pt idx="1222">
                  <c:v>50.439722545742974</c:v>
                </c:pt>
                <c:pt idx="1223">
                  <c:v>50.595817280472524</c:v>
                </c:pt>
                <c:pt idx="1224">
                  <c:v>53.901156691380855</c:v>
                </c:pt>
                <c:pt idx="1225">
                  <c:v>53.834112959828886</c:v>
                </c:pt>
                <c:pt idx="1226">
                  <c:v>54.677975107024444</c:v>
                </c:pt>
                <c:pt idx="1227">
                  <c:v>54.641610768831065</c:v>
                </c:pt>
                <c:pt idx="1228">
                  <c:v>54.353285532498084</c:v>
                </c:pt>
                <c:pt idx="1229">
                  <c:v>54.039187154756107</c:v>
                </c:pt>
                <c:pt idx="1230">
                  <c:v>54.4182819078503</c:v>
                </c:pt>
                <c:pt idx="1231">
                  <c:v>52.555985126993789</c:v>
                </c:pt>
                <c:pt idx="1232">
                  <c:v>52.021150314622069</c:v>
                </c:pt>
                <c:pt idx="1233">
                  <c:v>51.937464895655381</c:v>
                </c:pt>
                <c:pt idx="1234">
                  <c:v>52.187803540549702</c:v>
                </c:pt>
                <c:pt idx="1235">
                  <c:v>52.010633710232547</c:v>
                </c:pt>
                <c:pt idx="1236">
                  <c:v>52.678198686568514</c:v>
                </c:pt>
                <c:pt idx="1237">
                  <c:v>53.167488646064378</c:v>
                </c:pt>
                <c:pt idx="1238">
                  <c:v>53.208780044475127</c:v>
                </c:pt>
                <c:pt idx="1239">
                  <c:v>53.292267062574773</c:v>
                </c:pt>
                <c:pt idx="1240">
                  <c:v>51.311921899934532</c:v>
                </c:pt>
                <c:pt idx="1241">
                  <c:v>51.280516181748148</c:v>
                </c:pt>
                <c:pt idx="1242">
                  <c:v>51.344337999057402</c:v>
                </c:pt>
                <c:pt idx="1243">
                  <c:v>48.62695581418032</c:v>
                </c:pt>
                <c:pt idx="1244">
                  <c:v>47.069738100296618</c:v>
                </c:pt>
                <c:pt idx="1245">
                  <c:v>46.979921437015129</c:v>
                </c:pt>
                <c:pt idx="1246">
                  <c:v>46.965789374770928</c:v>
                </c:pt>
                <c:pt idx="1247">
                  <c:v>48.327834159615819</c:v>
                </c:pt>
                <c:pt idx="1248">
                  <c:v>48.320650675840348</c:v>
                </c:pt>
                <c:pt idx="1249">
                  <c:v>48.905079970636301</c:v>
                </c:pt>
                <c:pt idx="1250">
                  <c:v>49.007023907531</c:v>
                </c:pt>
                <c:pt idx="1251">
                  <c:v>47.834100383682888</c:v>
                </c:pt>
                <c:pt idx="1252">
                  <c:v>48.271718226268376</c:v>
                </c:pt>
                <c:pt idx="1253">
                  <c:v>49.088384597671421</c:v>
                </c:pt>
                <c:pt idx="1254">
                  <c:v>47.95775625581873</c:v>
                </c:pt>
                <c:pt idx="1255">
                  <c:v>50.178899315961935</c:v>
                </c:pt>
                <c:pt idx="1256">
                  <c:v>50.268750224243178</c:v>
                </c:pt>
                <c:pt idx="1257">
                  <c:v>50.2673241891912</c:v>
                </c:pt>
                <c:pt idx="1258">
                  <c:v>50.28891401749118</c:v>
                </c:pt>
                <c:pt idx="1259">
                  <c:v>50.276691815060083</c:v>
                </c:pt>
                <c:pt idx="1260">
                  <c:v>50.86161599345921</c:v>
                </c:pt>
                <c:pt idx="1261">
                  <c:v>51.01379914853522</c:v>
                </c:pt>
                <c:pt idx="1262">
                  <c:v>51.413832635905052</c:v>
                </c:pt>
                <c:pt idx="1263">
                  <c:v>51.827245190334672</c:v>
                </c:pt>
                <c:pt idx="1264">
                  <c:v>51.943305578250218</c:v>
                </c:pt>
                <c:pt idx="1265">
                  <c:v>50.29310512661587</c:v>
                </c:pt>
                <c:pt idx="1266">
                  <c:v>50.418488152166361</c:v>
                </c:pt>
                <c:pt idx="1267">
                  <c:v>50.189181017178797</c:v>
                </c:pt>
                <c:pt idx="1268">
                  <c:v>52.910324213688185</c:v>
                </c:pt>
                <c:pt idx="1269">
                  <c:v>53.19093911255132</c:v>
                </c:pt>
                <c:pt idx="1270">
                  <c:v>53.291304746106306</c:v>
                </c:pt>
                <c:pt idx="1271">
                  <c:v>53.356308997574345</c:v>
                </c:pt>
                <c:pt idx="1272">
                  <c:v>54.859729573277228</c:v>
                </c:pt>
                <c:pt idx="1273">
                  <c:v>55.339167260032909</c:v>
                </c:pt>
                <c:pt idx="1274">
                  <c:v>55.321373026215184</c:v>
                </c:pt>
                <c:pt idx="1275">
                  <c:v>54.620190585600689</c:v>
                </c:pt>
                <c:pt idx="1276">
                  <c:v>57.693481324267125</c:v>
                </c:pt>
                <c:pt idx="1277">
                  <c:v>60.779946255219976</c:v>
                </c:pt>
                <c:pt idx="1278">
                  <c:v>62.597346516359018</c:v>
                </c:pt>
                <c:pt idx="1279">
                  <c:v>63.183344220657354</c:v>
                </c:pt>
                <c:pt idx="1280">
                  <c:v>62.629019261394077</c:v>
                </c:pt>
                <c:pt idx="1281">
                  <c:v>62.434662180155541</c:v>
                </c:pt>
                <c:pt idx="1282">
                  <c:v>62.345599243567719</c:v>
                </c:pt>
                <c:pt idx="1283">
                  <c:v>63.329567758982463</c:v>
                </c:pt>
                <c:pt idx="1284">
                  <c:v>60.245477203775202</c:v>
                </c:pt>
                <c:pt idx="1285">
                  <c:v>60.179854625072984</c:v>
                </c:pt>
                <c:pt idx="1286">
                  <c:v>59.709417597121416</c:v>
                </c:pt>
                <c:pt idx="1287">
                  <c:v>60.22084669744293</c:v>
                </c:pt>
                <c:pt idx="1288">
                  <c:v>60.261186079876758</c:v>
                </c:pt>
                <c:pt idx="1289">
                  <c:v>60.614060179332405</c:v>
                </c:pt>
                <c:pt idx="1290">
                  <c:v>60.012300981721765</c:v>
                </c:pt>
                <c:pt idx="1291">
                  <c:v>60.014386087343077</c:v>
                </c:pt>
                <c:pt idx="1292">
                  <c:v>60.060125294977929</c:v>
                </c:pt>
                <c:pt idx="1293">
                  <c:v>60.093495992785172</c:v>
                </c:pt>
                <c:pt idx="1294">
                  <c:v>61.254971925633669</c:v>
                </c:pt>
                <c:pt idx="1295">
                  <c:v>61.881621313154298</c:v>
                </c:pt>
                <c:pt idx="1296">
                  <c:v>61.115995858505286</c:v>
                </c:pt>
                <c:pt idx="1297">
                  <c:v>60.674108912165416</c:v>
                </c:pt>
                <c:pt idx="1298">
                  <c:v>60.625280091402601</c:v>
                </c:pt>
                <c:pt idx="1299">
                  <c:v>60.551292084651351</c:v>
                </c:pt>
                <c:pt idx="1300">
                  <c:v>60.48489464294552</c:v>
                </c:pt>
                <c:pt idx="1301">
                  <c:v>60.719760547452509</c:v>
                </c:pt>
                <c:pt idx="1302">
                  <c:v>60.617175141688939</c:v>
                </c:pt>
                <c:pt idx="1303">
                  <c:v>60.737310179432754</c:v>
                </c:pt>
                <c:pt idx="1304">
                  <c:v>60.574101186954024</c:v>
                </c:pt>
                <c:pt idx="1305">
                  <c:v>61.01449090209362</c:v>
                </c:pt>
                <c:pt idx="1306">
                  <c:v>61.165414274946642</c:v>
                </c:pt>
                <c:pt idx="1307">
                  <c:v>60.472849224365554</c:v>
                </c:pt>
                <c:pt idx="1308">
                  <c:v>60.630188129360874</c:v>
                </c:pt>
                <c:pt idx="1309">
                  <c:v>61.548902109534986</c:v>
                </c:pt>
                <c:pt idx="1310">
                  <c:v>61.47229032599175</c:v>
                </c:pt>
                <c:pt idx="1311">
                  <c:v>61.838759320066025</c:v>
                </c:pt>
                <c:pt idx="1312">
                  <c:v>62.154677184456141</c:v>
                </c:pt>
                <c:pt idx="1313">
                  <c:v>61.925913144336334</c:v>
                </c:pt>
                <c:pt idx="1314">
                  <c:v>62.304414166941136</c:v>
                </c:pt>
                <c:pt idx="1315">
                  <c:v>60.410829087895046</c:v>
                </c:pt>
                <c:pt idx="1316">
                  <c:v>60.56570939175996</c:v>
                </c:pt>
                <c:pt idx="1317">
                  <c:v>61.984972008439321</c:v>
                </c:pt>
                <c:pt idx="1318">
                  <c:v>62.101785852501166</c:v>
                </c:pt>
                <c:pt idx="1319">
                  <c:v>62.184252580463017</c:v>
                </c:pt>
                <c:pt idx="1320">
                  <c:v>64.121296219349617</c:v>
                </c:pt>
                <c:pt idx="1321">
                  <c:v>65.221242922171101</c:v>
                </c:pt>
                <c:pt idx="1322">
                  <c:v>65.09016386943685</c:v>
                </c:pt>
                <c:pt idx="1323">
                  <c:v>64.401070559955485</c:v>
                </c:pt>
                <c:pt idx="1324">
                  <c:v>66.862797374813113</c:v>
                </c:pt>
                <c:pt idx="1325">
                  <c:v>66.690208039764045</c:v>
                </c:pt>
                <c:pt idx="1326">
                  <c:v>66.66253468683054</c:v>
                </c:pt>
                <c:pt idx="1327">
                  <c:v>66.999497333597986</c:v>
                </c:pt>
                <c:pt idx="1328">
                  <c:v>64.268217199807779</c:v>
                </c:pt>
                <c:pt idx="1329">
                  <c:v>63.928326838323066</c:v>
                </c:pt>
                <c:pt idx="1330">
                  <c:v>64.365354318092926</c:v>
                </c:pt>
                <c:pt idx="1331">
                  <c:v>66.615585858558319</c:v>
                </c:pt>
                <c:pt idx="1332">
                  <c:v>67.157585544703807</c:v>
                </c:pt>
                <c:pt idx="1333">
                  <c:v>#N/A</c:v>
                </c:pt>
                <c:pt idx="1334">
                  <c:v>#N/A</c:v>
                </c:pt>
                <c:pt idx="1335">
                  <c:v>67.157466797963977</c:v>
                </c:pt>
                <c:pt idx="1336">
                  <c:v>68.191429621066277</c:v>
                </c:pt>
                <c:pt idx="1337">
                  <c:v>68.107841235374238</c:v>
                </c:pt>
                <c:pt idx="1338">
                  <c:v>66.431239726238559</c:v>
                </c:pt>
                <c:pt idx="1339">
                  <c:v>64.556691973106851</c:v>
                </c:pt>
                <c:pt idx="1340">
                  <c:v>63.42200200920206</c:v>
                </c:pt>
                <c:pt idx="1341">
                  <c:v>62.805892769310624</c:v>
                </c:pt>
                <c:pt idx="1342">
                  <c:v>63.791055569615217</c:v>
                </c:pt>
                <c:pt idx="1343">
                  <c:v>64.295605935477212</c:v>
                </c:pt>
                <c:pt idx="1344">
                  <c:v>#N/A</c:v>
                </c:pt>
                <c:pt idx="1345">
                  <c:v>#N/A</c:v>
                </c:pt>
                <c:pt idx="1346">
                  <c:v>65.121274573704525</c:v>
                </c:pt>
                <c:pt idx="1347">
                  <c:v>66.993996125775496</c:v>
                </c:pt>
                <c:pt idx="1348">
                  <c:v>67.379751736130629</c:v>
                </c:pt>
                <c:pt idx="1349">
                  <c:v>68.65293225953738</c:v>
                </c:pt>
                <c:pt idx="1350">
                  <c:v>68.350445050109386</c:v>
                </c:pt>
                <c:pt idx="1351">
                  <c:v>72.486296463051431</c:v>
                </c:pt>
                <c:pt idx="1352">
                  <c:v>72.659257862232522</c:v>
                </c:pt>
                <c:pt idx="1353">
                  <c:v>72.437733772205831</c:v>
                </c:pt>
                <c:pt idx="1354">
                  <c:v>77.187708584937425</c:v>
                </c:pt>
                <c:pt idx="1355">
                  <c:v>77.272406974061411</c:v>
                </c:pt>
                <c:pt idx="1356">
                  <c:v>77.887286077377851</c:v>
                </c:pt>
                <c:pt idx="1357">
                  <c:v>77.697524701767577</c:v>
                </c:pt>
                <c:pt idx="1358">
                  <c:v>76.661025834624425</c:v>
                </c:pt>
                <c:pt idx="1359">
                  <c:v>76.320399013305376</c:v>
                </c:pt>
                <c:pt idx="1360">
                  <c:v>80.674946380083711</c:v>
                </c:pt>
                <c:pt idx="1361">
                  <c:v>81.845210734515589</c:v>
                </c:pt>
                <c:pt idx="1362">
                  <c:v>82.528890084185363</c:v>
                </c:pt>
                <c:pt idx="1363">
                  <c:v>82.489071355913708</c:v>
                </c:pt>
                <c:pt idx="1364">
                  <c:v>83.435073618335338</c:v>
                </c:pt>
                <c:pt idx="1365">
                  <c:v>84.405676582771889</c:v>
                </c:pt>
                <c:pt idx="1366">
                  <c:v>84.446430298308812</c:v>
                </c:pt>
                <c:pt idx="1367">
                  <c:v>84.948576043085552</c:v>
                </c:pt>
                <c:pt idx="1368">
                  <c:v>84.979643042591064</c:v>
                </c:pt>
                <c:pt idx="1369">
                  <c:v>86.369331825020126</c:v>
                </c:pt>
                <c:pt idx="1370">
                  <c:v>86.698090889301511</c:v>
                </c:pt>
                <c:pt idx="1371">
                  <c:v>86.37292113067727</c:v>
                </c:pt>
                <c:pt idx="1372">
                  <c:v>86.239778182283075</c:v>
                </c:pt>
                <c:pt idx="1373">
                  <c:v>88.932972900606316</c:v>
                </c:pt>
                <c:pt idx="1374">
                  <c:v>89.450217266472166</c:v>
                </c:pt>
                <c:pt idx="1375">
                  <c:v>89.934490928543525</c:v>
                </c:pt>
                <c:pt idx="1376">
                  <c:v>89.455796379460395</c:v>
                </c:pt>
                <c:pt idx="1377">
                  <c:v>89.129040837624245</c:v>
                </c:pt>
                <c:pt idx="1378">
                  <c:v>88.896451665552974</c:v>
                </c:pt>
                <c:pt idx="1379">
                  <c:v>88.316877908952094</c:v>
                </c:pt>
                <c:pt idx="1380">
                  <c:v>88.742485069995141</c:v>
                </c:pt>
                <c:pt idx="1381">
                  <c:v>90.826703448905832</c:v>
                </c:pt>
                <c:pt idx="1382">
                  <c:v>90.821536276935362</c:v>
                </c:pt>
                <c:pt idx="1383">
                  <c:v>90.517263679503259</c:v>
                </c:pt>
                <c:pt idx="1384">
                  <c:v>89.080121850189641</c:v>
                </c:pt>
                <c:pt idx="1385">
                  <c:v>88.370702987659868</c:v>
                </c:pt>
                <c:pt idx="1386">
                  <c:v>88.794650627397985</c:v>
                </c:pt>
                <c:pt idx="1387">
                  <c:v>90.813535021393847</c:v>
                </c:pt>
                <c:pt idx="1388">
                  <c:v>89.383007912135682</c:v>
                </c:pt>
                <c:pt idx="1389">
                  <c:v>89.507529125639849</c:v>
                </c:pt>
                <c:pt idx="1390">
                  <c:v>89.529750500052771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Result!$F$2</c:f>
              <c:strCache>
                <c:ptCount val="1"/>
                <c:pt idx="0">
                  <c:v>5y10y Swaption Vol</c:v>
                </c:pt>
              </c:strCache>
            </c:strRef>
          </c:tx>
          <c:marker>
            <c:symbol val="none"/>
          </c:marker>
          <c:cat>
            <c:numRef>
              <c:f>Result!$C$3:$C$1393</c:f>
              <c:numCache>
                <c:formatCode>m/d/yyyy</c:formatCode>
                <c:ptCount val="1391"/>
                <c:pt idx="0">
                  <c:v>40053</c:v>
                </c:pt>
                <c:pt idx="1">
                  <c:v>40056</c:v>
                </c:pt>
                <c:pt idx="2">
                  <c:v>40057</c:v>
                </c:pt>
                <c:pt idx="3">
                  <c:v>40058</c:v>
                </c:pt>
                <c:pt idx="4">
                  <c:v>40059</c:v>
                </c:pt>
                <c:pt idx="5">
                  <c:v>40060</c:v>
                </c:pt>
                <c:pt idx="6">
                  <c:v>40064</c:v>
                </c:pt>
                <c:pt idx="7">
                  <c:v>40065</c:v>
                </c:pt>
                <c:pt idx="8">
                  <c:v>40066</c:v>
                </c:pt>
                <c:pt idx="9">
                  <c:v>40067</c:v>
                </c:pt>
                <c:pt idx="10">
                  <c:v>40070</c:v>
                </c:pt>
                <c:pt idx="11">
                  <c:v>40071</c:v>
                </c:pt>
                <c:pt idx="12">
                  <c:v>40072</c:v>
                </c:pt>
                <c:pt idx="13">
                  <c:v>40073</c:v>
                </c:pt>
                <c:pt idx="14">
                  <c:v>40074</c:v>
                </c:pt>
                <c:pt idx="15">
                  <c:v>40077</c:v>
                </c:pt>
                <c:pt idx="16">
                  <c:v>40078</c:v>
                </c:pt>
                <c:pt idx="17">
                  <c:v>40079</c:v>
                </c:pt>
                <c:pt idx="18">
                  <c:v>40080</c:v>
                </c:pt>
                <c:pt idx="19">
                  <c:v>40081</c:v>
                </c:pt>
                <c:pt idx="20">
                  <c:v>40084</c:v>
                </c:pt>
                <c:pt idx="21">
                  <c:v>40085</c:v>
                </c:pt>
                <c:pt idx="22">
                  <c:v>40086</c:v>
                </c:pt>
                <c:pt idx="23">
                  <c:v>40087</c:v>
                </c:pt>
                <c:pt idx="24">
                  <c:v>40088</c:v>
                </c:pt>
                <c:pt idx="25">
                  <c:v>40091</c:v>
                </c:pt>
                <c:pt idx="26">
                  <c:v>40092</c:v>
                </c:pt>
                <c:pt idx="27">
                  <c:v>40093</c:v>
                </c:pt>
                <c:pt idx="28">
                  <c:v>40094</c:v>
                </c:pt>
                <c:pt idx="29">
                  <c:v>40095</c:v>
                </c:pt>
                <c:pt idx="30">
                  <c:v>40099</c:v>
                </c:pt>
                <c:pt idx="31">
                  <c:v>40100</c:v>
                </c:pt>
                <c:pt idx="32">
                  <c:v>40101</c:v>
                </c:pt>
                <c:pt idx="33">
                  <c:v>40102</c:v>
                </c:pt>
                <c:pt idx="34">
                  <c:v>40105</c:v>
                </c:pt>
                <c:pt idx="35">
                  <c:v>40106</c:v>
                </c:pt>
                <c:pt idx="36">
                  <c:v>40107</c:v>
                </c:pt>
                <c:pt idx="37">
                  <c:v>40108</c:v>
                </c:pt>
                <c:pt idx="38">
                  <c:v>40109</c:v>
                </c:pt>
                <c:pt idx="39">
                  <c:v>40112</c:v>
                </c:pt>
                <c:pt idx="40">
                  <c:v>40113</c:v>
                </c:pt>
                <c:pt idx="41">
                  <c:v>40114</c:v>
                </c:pt>
                <c:pt idx="42">
                  <c:v>40115</c:v>
                </c:pt>
                <c:pt idx="43">
                  <c:v>40116</c:v>
                </c:pt>
                <c:pt idx="44">
                  <c:v>40119</c:v>
                </c:pt>
                <c:pt idx="45">
                  <c:v>40120</c:v>
                </c:pt>
                <c:pt idx="46">
                  <c:v>40121</c:v>
                </c:pt>
                <c:pt idx="47">
                  <c:v>40122</c:v>
                </c:pt>
                <c:pt idx="48">
                  <c:v>40123</c:v>
                </c:pt>
                <c:pt idx="49">
                  <c:v>40126</c:v>
                </c:pt>
                <c:pt idx="50">
                  <c:v>40127</c:v>
                </c:pt>
                <c:pt idx="51">
                  <c:v>40129</c:v>
                </c:pt>
                <c:pt idx="52">
                  <c:v>40130</c:v>
                </c:pt>
                <c:pt idx="53">
                  <c:v>40133</c:v>
                </c:pt>
                <c:pt idx="54">
                  <c:v>40134</c:v>
                </c:pt>
                <c:pt idx="55">
                  <c:v>40135</c:v>
                </c:pt>
                <c:pt idx="56">
                  <c:v>40136</c:v>
                </c:pt>
                <c:pt idx="57">
                  <c:v>40137</c:v>
                </c:pt>
                <c:pt idx="58">
                  <c:v>40140</c:v>
                </c:pt>
                <c:pt idx="59">
                  <c:v>40141</c:v>
                </c:pt>
                <c:pt idx="60">
                  <c:v>40142</c:v>
                </c:pt>
                <c:pt idx="61">
                  <c:v>40144</c:v>
                </c:pt>
                <c:pt idx="62">
                  <c:v>40147</c:v>
                </c:pt>
                <c:pt idx="63">
                  <c:v>40148</c:v>
                </c:pt>
                <c:pt idx="64">
                  <c:v>40149</c:v>
                </c:pt>
                <c:pt idx="65">
                  <c:v>40150</c:v>
                </c:pt>
                <c:pt idx="66">
                  <c:v>40151</c:v>
                </c:pt>
                <c:pt idx="67">
                  <c:v>40154</c:v>
                </c:pt>
                <c:pt idx="68">
                  <c:v>40155</c:v>
                </c:pt>
                <c:pt idx="69">
                  <c:v>40156</c:v>
                </c:pt>
                <c:pt idx="70">
                  <c:v>40157</c:v>
                </c:pt>
                <c:pt idx="71">
                  <c:v>40158</c:v>
                </c:pt>
                <c:pt idx="72">
                  <c:v>40161</c:v>
                </c:pt>
                <c:pt idx="73">
                  <c:v>40162</c:v>
                </c:pt>
                <c:pt idx="74">
                  <c:v>40163</c:v>
                </c:pt>
                <c:pt idx="75">
                  <c:v>40164</c:v>
                </c:pt>
                <c:pt idx="76">
                  <c:v>40165</c:v>
                </c:pt>
                <c:pt idx="77">
                  <c:v>40168</c:v>
                </c:pt>
                <c:pt idx="78">
                  <c:v>40169</c:v>
                </c:pt>
                <c:pt idx="79">
                  <c:v>40170</c:v>
                </c:pt>
                <c:pt idx="80">
                  <c:v>40171</c:v>
                </c:pt>
                <c:pt idx="81">
                  <c:v>40175</c:v>
                </c:pt>
                <c:pt idx="82">
                  <c:v>40176</c:v>
                </c:pt>
                <c:pt idx="83">
                  <c:v>40177</c:v>
                </c:pt>
                <c:pt idx="84">
                  <c:v>40178</c:v>
                </c:pt>
                <c:pt idx="85">
                  <c:v>40182</c:v>
                </c:pt>
                <c:pt idx="86">
                  <c:v>40183</c:v>
                </c:pt>
                <c:pt idx="87">
                  <c:v>40184</c:v>
                </c:pt>
                <c:pt idx="88">
                  <c:v>40185</c:v>
                </c:pt>
                <c:pt idx="89">
                  <c:v>40186</c:v>
                </c:pt>
                <c:pt idx="90">
                  <c:v>40189</c:v>
                </c:pt>
                <c:pt idx="91">
                  <c:v>40190</c:v>
                </c:pt>
                <c:pt idx="92">
                  <c:v>40191</c:v>
                </c:pt>
                <c:pt idx="93">
                  <c:v>40192</c:v>
                </c:pt>
                <c:pt idx="94">
                  <c:v>40193</c:v>
                </c:pt>
                <c:pt idx="95">
                  <c:v>40197</c:v>
                </c:pt>
                <c:pt idx="96">
                  <c:v>40198</c:v>
                </c:pt>
                <c:pt idx="97">
                  <c:v>40199</c:v>
                </c:pt>
                <c:pt idx="98">
                  <c:v>40200</c:v>
                </c:pt>
                <c:pt idx="99">
                  <c:v>40203</c:v>
                </c:pt>
                <c:pt idx="100">
                  <c:v>40204</c:v>
                </c:pt>
                <c:pt idx="101">
                  <c:v>40205</c:v>
                </c:pt>
                <c:pt idx="102">
                  <c:v>40206</c:v>
                </c:pt>
                <c:pt idx="103">
                  <c:v>40207</c:v>
                </c:pt>
                <c:pt idx="104">
                  <c:v>40210</c:v>
                </c:pt>
                <c:pt idx="105">
                  <c:v>40211</c:v>
                </c:pt>
                <c:pt idx="106">
                  <c:v>40212</c:v>
                </c:pt>
                <c:pt idx="107">
                  <c:v>40213</c:v>
                </c:pt>
                <c:pt idx="108">
                  <c:v>40214</c:v>
                </c:pt>
                <c:pt idx="109">
                  <c:v>40217</c:v>
                </c:pt>
                <c:pt idx="110">
                  <c:v>40218</c:v>
                </c:pt>
                <c:pt idx="111">
                  <c:v>40219</c:v>
                </c:pt>
                <c:pt idx="112">
                  <c:v>40220</c:v>
                </c:pt>
                <c:pt idx="113">
                  <c:v>40221</c:v>
                </c:pt>
                <c:pt idx="114">
                  <c:v>40225</c:v>
                </c:pt>
                <c:pt idx="115">
                  <c:v>40226</c:v>
                </c:pt>
                <c:pt idx="116">
                  <c:v>40227</c:v>
                </c:pt>
                <c:pt idx="117">
                  <c:v>40228</c:v>
                </c:pt>
                <c:pt idx="118">
                  <c:v>40231</c:v>
                </c:pt>
                <c:pt idx="119">
                  <c:v>40232</c:v>
                </c:pt>
                <c:pt idx="120">
                  <c:v>40233</c:v>
                </c:pt>
                <c:pt idx="121">
                  <c:v>40234</c:v>
                </c:pt>
                <c:pt idx="122">
                  <c:v>40235</c:v>
                </c:pt>
                <c:pt idx="123">
                  <c:v>40238</c:v>
                </c:pt>
                <c:pt idx="124">
                  <c:v>40239</c:v>
                </c:pt>
                <c:pt idx="125">
                  <c:v>40240</c:v>
                </c:pt>
                <c:pt idx="126">
                  <c:v>40241</c:v>
                </c:pt>
                <c:pt idx="127">
                  <c:v>40242</c:v>
                </c:pt>
                <c:pt idx="128">
                  <c:v>40245</c:v>
                </c:pt>
                <c:pt idx="129">
                  <c:v>40246</c:v>
                </c:pt>
                <c:pt idx="130">
                  <c:v>40247</c:v>
                </c:pt>
                <c:pt idx="131">
                  <c:v>40248</c:v>
                </c:pt>
                <c:pt idx="132">
                  <c:v>40249</c:v>
                </c:pt>
                <c:pt idx="133">
                  <c:v>40252</c:v>
                </c:pt>
                <c:pt idx="134">
                  <c:v>40253</c:v>
                </c:pt>
                <c:pt idx="135">
                  <c:v>40254</c:v>
                </c:pt>
                <c:pt idx="136">
                  <c:v>40255</c:v>
                </c:pt>
                <c:pt idx="137">
                  <c:v>40256</c:v>
                </c:pt>
                <c:pt idx="138">
                  <c:v>40259</c:v>
                </c:pt>
                <c:pt idx="139">
                  <c:v>40260</c:v>
                </c:pt>
                <c:pt idx="140">
                  <c:v>40261</c:v>
                </c:pt>
                <c:pt idx="141">
                  <c:v>40262</c:v>
                </c:pt>
                <c:pt idx="142">
                  <c:v>40263</c:v>
                </c:pt>
                <c:pt idx="143">
                  <c:v>40266</c:v>
                </c:pt>
                <c:pt idx="144">
                  <c:v>40267</c:v>
                </c:pt>
                <c:pt idx="145">
                  <c:v>40268</c:v>
                </c:pt>
                <c:pt idx="146">
                  <c:v>40269</c:v>
                </c:pt>
                <c:pt idx="147">
                  <c:v>40273</c:v>
                </c:pt>
                <c:pt idx="148">
                  <c:v>40274</c:v>
                </c:pt>
                <c:pt idx="149">
                  <c:v>40275</c:v>
                </c:pt>
                <c:pt idx="150">
                  <c:v>40276</c:v>
                </c:pt>
                <c:pt idx="151">
                  <c:v>40277</c:v>
                </c:pt>
                <c:pt idx="152">
                  <c:v>40280</c:v>
                </c:pt>
                <c:pt idx="153">
                  <c:v>40281</c:v>
                </c:pt>
                <c:pt idx="154">
                  <c:v>40282</c:v>
                </c:pt>
                <c:pt idx="155">
                  <c:v>40283</c:v>
                </c:pt>
                <c:pt idx="156">
                  <c:v>40284</c:v>
                </c:pt>
                <c:pt idx="157">
                  <c:v>40287</c:v>
                </c:pt>
                <c:pt idx="158">
                  <c:v>40288</c:v>
                </c:pt>
                <c:pt idx="159">
                  <c:v>40289</c:v>
                </c:pt>
                <c:pt idx="160">
                  <c:v>40290</c:v>
                </c:pt>
                <c:pt idx="161">
                  <c:v>40291</c:v>
                </c:pt>
                <c:pt idx="162">
                  <c:v>40294</c:v>
                </c:pt>
                <c:pt idx="163">
                  <c:v>40295</c:v>
                </c:pt>
                <c:pt idx="164">
                  <c:v>40296</c:v>
                </c:pt>
                <c:pt idx="165">
                  <c:v>40297</c:v>
                </c:pt>
                <c:pt idx="166">
                  <c:v>40298</c:v>
                </c:pt>
                <c:pt idx="167">
                  <c:v>40301</c:v>
                </c:pt>
                <c:pt idx="168">
                  <c:v>40302</c:v>
                </c:pt>
                <c:pt idx="169">
                  <c:v>40303</c:v>
                </c:pt>
                <c:pt idx="170">
                  <c:v>40304</c:v>
                </c:pt>
                <c:pt idx="171">
                  <c:v>40305</c:v>
                </c:pt>
                <c:pt idx="172">
                  <c:v>40308</c:v>
                </c:pt>
                <c:pt idx="173">
                  <c:v>40309</c:v>
                </c:pt>
                <c:pt idx="174">
                  <c:v>40310</c:v>
                </c:pt>
                <c:pt idx="175">
                  <c:v>40311</c:v>
                </c:pt>
                <c:pt idx="176">
                  <c:v>40312</c:v>
                </c:pt>
                <c:pt idx="177">
                  <c:v>40315</c:v>
                </c:pt>
                <c:pt idx="178">
                  <c:v>40316</c:v>
                </c:pt>
                <c:pt idx="179">
                  <c:v>40317</c:v>
                </c:pt>
                <c:pt idx="180">
                  <c:v>40318</c:v>
                </c:pt>
                <c:pt idx="181">
                  <c:v>40319</c:v>
                </c:pt>
                <c:pt idx="182">
                  <c:v>40322</c:v>
                </c:pt>
                <c:pt idx="183">
                  <c:v>40323</c:v>
                </c:pt>
                <c:pt idx="184">
                  <c:v>40324</c:v>
                </c:pt>
                <c:pt idx="185">
                  <c:v>40325</c:v>
                </c:pt>
                <c:pt idx="186">
                  <c:v>40326</c:v>
                </c:pt>
                <c:pt idx="187">
                  <c:v>40330</c:v>
                </c:pt>
                <c:pt idx="188">
                  <c:v>40331</c:v>
                </c:pt>
                <c:pt idx="189">
                  <c:v>40332</c:v>
                </c:pt>
                <c:pt idx="190">
                  <c:v>40333</c:v>
                </c:pt>
                <c:pt idx="191">
                  <c:v>40336</c:v>
                </c:pt>
                <c:pt idx="192">
                  <c:v>40337</c:v>
                </c:pt>
                <c:pt idx="193">
                  <c:v>40338</c:v>
                </c:pt>
                <c:pt idx="194">
                  <c:v>40339</c:v>
                </c:pt>
                <c:pt idx="195">
                  <c:v>40340</c:v>
                </c:pt>
                <c:pt idx="196">
                  <c:v>40343</c:v>
                </c:pt>
                <c:pt idx="197">
                  <c:v>40344</c:v>
                </c:pt>
                <c:pt idx="198">
                  <c:v>40345</c:v>
                </c:pt>
                <c:pt idx="199">
                  <c:v>40346</c:v>
                </c:pt>
                <c:pt idx="200">
                  <c:v>40347</c:v>
                </c:pt>
                <c:pt idx="201">
                  <c:v>40350</c:v>
                </c:pt>
                <c:pt idx="202">
                  <c:v>40351</c:v>
                </c:pt>
                <c:pt idx="203">
                  <c:v>40352</c:v>
                </c:pt>
                <c:pt idx="204">
                  <c:v>40353</c:v>
                </c:pt>
                <c:pt idx="205">
                  <c:v>40354</c:v>
                </c:pt>
                <c:pt idx="206">
                  <c:v>40357</c:v>
                </c:pt>
                <c:pt idx="207">
                  <c:v>40358</c:v>
                </c:pt>
                <c:pt idx="208">
                  <c:v>40359</c:v>
                </c:pt>
                <c:pt idx="209">
                  <c:v>40360</c:v>
                </c:pt>
                <c:pt idx="210">
                  <c:v>40361</c:v>
                </c:pt>
                <c:pt idx="211">
                  <c:v>40365</c:v>
                </c:pt>
                <c:pt idx="212">
                  <c:v>40366</c:v>
                </c:pt>
                <c:pt idx="213">
                  <c:v>40367</c:v>
                </c:pt>
                <c:pt idx="214">
                  <c:v>40368</c:v>
                </c:pt>
                <c:pt idx="215">
                  <c:v>40371</c:v>
                </c:pt>
                <c:pt idx="216">
                  <c:v>40372</c:v>
                </c:pt>
                <c:pt idx="217">
                  <c:v>40373</c:v>
                </c:pt>
                <c:pt idx="218">
                  <c:v>40374</c:v>
                </c:pt>
                <c:pt idx="219">
                  <c:v>40375</c:v>
                </c:pt>
                <c:pt idx="220">
                  <c:v>40378</c:v>
                </c:pt>
                <c:pt idx="221">
                  <c:v>40379</c:v>
                </c:pt>
                <c:pt idx="222">
                  <c:v>40380</c:v>
                </c:pt>
                <c:pt idx="223">
                  <c:v>40381</c:v>
                </c:pt>
                <c:pt idx="224">
                  <c:v>40382</c:v>
                </c:pt>
                <c:pt idx="225">
                  <c:v>40385</c:v>
                </c:pt>
                <c:pt idx="226">
                  <c:v>40386</c:v>
                </c:pt>
                <c:pt idx="227">
                  <c:v>40387</c:v>
                </c:pt>
                <c:pt idx="228">
                  <c:v>40388</c:v>
                </c:pt>
                <c:pt idx="229">
                  <c:v>40389</c:v>
                </c:pt>
                <c:pt idx="230">
                  <c:v>40392</c:v>
                </c:pt>
                <c:pt idx="231">
                  <c:v>40393</c:v>
                </c:pt>
                <c:pt idx="232">
                  <c:v>40394</c:v>
                </c:pt>
                <c:pt idx="233">
                  <c:v>40395</c:v>
                </c:pt>
                <c:pt idx="234">
                  <c:v>40396</c:v>
                </c:pt>
                <c:pt idx="235">
                  <c:v>40399</c:v>
                </c:pt>
                <c:pt idx="236">
                  <c:v>40400</c:v>
                </c:pt>
                <c:pt idx="237">
                  <c:v>40401</c:v>
                </c:pt>
                <c:pt idx="238">
                  <c:v>40402</c:v>
                </c:pt>
                <c:pt idx="239">
                  <c:v>40403</c:v>
                </c:pt>
                <c:pt idx="240">
                  <c:v>40406</c:v>
                </c:pt>
                <c:pt idx="241">
                  <c:v>40407</c:v>
                </c:pt>
                <c:pt idx="242">
                  <c:v>40408</c:v>
                </c:pt>
                <c:pt idx="243">
                  <c:v>40409</c:v>
                </c:pt>
                <c:pt idx="244">
                  <c:v>40410</c:v>
                </c:pt>
                <c:pt idx="245">
                  <c:v>40413</c:v>
                </c:pt>
                <c:pt idx="246">
                  <c:v>40414</c:v>
                </c:pt>
                <c:pt idx="247">
                  <c:v>40415</c:v>
                </c:pt>
                <c:pt idx="248">
                  <c:v>40416</c:v>
                </c:pt>
                <c:pt idx="249">
                  <c:v>40417</c:v>
                </c:pt>
                <c:pt idx="250">
                  <c:v>40420</c:v>
                </c:pt>
                <c:pt idx="251">
                  <c:v>40421</c:v>
                </c:pt>
                <c:pt idx="252">
                  <c:v>40422</c:v>
                </c:pt>
                <c:pt idx="253">
                  <c:v>40423</c:v>
                </c:pt>
                <c:pt idx="254">
                  <c:v>40424</c:v>
                </c:pt>
                <c:pt idx="255">
                  <c:v>40428</c:v>
                </c:pt>
                <c:pt idx="256">
                  <c:v>40429</c:v>
                </c:pt>
                <c:pt idx="257">
                  <c:v>40430</c:v>
                </c:pt>
                <c:pt idx="258">
                  <c:v>40431</c:v>
                </c:pt>
                <c:pt idx="259">
                  <c:v>40434</c:v>
                </c:pt>
                <c:pt idx="260">
                  <c:v>40435</c:v>
                </c:pt>
                <c:pt idx="261">
                  <c:v>40436</c:v>
                </c:pt>
                <c:pt idx="262">
                  <c:v>40437</c:v>
                </c:pt>
                <c:pt idx="263">
                  <c:v>40438</c:v>
                </c:pt>
                <c:pt idx="264">
                  <c:v>40441</c:v>
                </c:pt>
                <c:pt idx="265">
                  <c:v>40442</c:v>
                </c:pt>
                <c:pt idx="266">
                  <c:v>40443</c:v>
                </c:pt>
                <c:pt idx="267">
                  <c:v>40444</c:v>
                </c:pt>
                <c:pt idx="268">
                  <c:v>40445</c:v>
                </c:pt>
                <c:pt idx="269">
                  <c:v>40448</c:v>
                </c:pt>
                <c:pt idx="270">
                  <c:v>40449</c:v>
                </c:pt>
                <c:pt idx="271">
                  <c:v>40450</c:v>
                </c:pt>
                <c:pt idx="272">
                  <c:v>40451</c:v>
                </c:pt>
                <c:pt idx="273">
                  <c:v>40452</c:v>
                </c:pt>
                <c:pt idx="274">
                  <c:v>40455</c:v>
                </c:pt>
                <c:pt idx="275">
                  <c:v>40456</c:v>
                </c:pt>
                <c:pt idx="276">
                  <c:v>40457</c:v>
                </c:pt>
                <c:pt idx="277">
                  <c:v>40458</c:v>
                </c:pt>
                <c:pt idx="278">
                  <c:v>40459</c:v>
                </c:pt>
                <c:pt idx="279">
                  <c:v>40463</c:v>
                </c:pt>
                <c:pt idx="280">
                  <c:v>40464</c:v>
                </c:pt>
                <c:pt idx="281">
                  <c:v>40465</c:v>
                </c:pt>
                <c:pt idx="282">
                  <c:v>40466</c:v>
                </c:pt>
                <c:pt idx="283">
                  <c:v>40469</c:v>
                </c:pt>
                <c:pt idx="284">
                  <c:v>40470</c:v>
                </c:pt>
                <c:pt idx="285">
                  <c:v>40471</c:v>
                </c:pt>
                <c:pt idx="286">
                  <c:v>40472</c:v>
                </c:pt>
                <c:pt idx="287">
                  <c:v>40473</c:v>
                </c:pt>
                <c:pt idx="288">
                  <c:v>40476</c:v>
                </c:pt>
                <c:pt idx="289">
                  <c:v>40477</c:v>
                </c:pt>
                <c:pt idx="290">
                  <c:v>40478</c:v>
                </c:pt>
                <c:pt idx="291">
                  <c:v>40479</c:v>
                </c:pt>
                <c:pt idx="292">
                  <c:v>40480</c:v>
                </c:pt>
                <c:pt idx="293">
                  <c:v>40483</c:v>
                </c:pt>
                <c:pt idx="294">
                  <c:v>40484</c:v>
                </c:pt>
                <c:pt idx="295">
                  <c:v>40485</c:v>
                </c:pt>
                <c:pt idx="296">
                  <c:v>40486</c:v>
                </c:pt>
                <c:pt idx="297">
                  <c:v>40487</c:v>
                </c:pt>
                <c:pt idx="298">
                  <c:v>40490</c:v>
                </c:pt>
                <c:pt idx="299">
                  <c:v>40491</c:v>
                </c:pt>
                <c:pt idx="300">
                  <c:v>40492</c:v>
                </c:pt>
                <c:pt idx="301">
                  <c:v>40494</c:v>
                </c:pt>
                <c:pt idx="302">
                  <c:v>40497</c:v>
                </c:pt>
                <c:pt idx="303">
                  <c:v>40498</c:v>
                </c:pt>
                <c:pt idx="304">
                  <c:v>40499</c:v>
                </c:pt>
                <c:pt idx="305">
                  <c:v>40500</c:v>
                </c:pt>
                <c:pt idx="306">
                  <c:v>40501</c:v>
                </c:pt>
                <c:pt idx="307">
                  <c:v>40504</c:v>
                </c:pt>
                <c:pt idx="308">
                  <c:v>40505</c:v>
                </c:pt>
                <c:pt idx="309">
                  <c:v>40506</c:v>
                </c:pt>
                <c:pt idx="310">
                  <c:v>40508</c:v>
                </c:pt>
                <c:pt idx="311">
                  <c:v>40511</c:v>
                </c:pt>
                <c:pt idx="312">
                  <c:v>40512</c:v>
                </c:pt>
                <c:pt idx="313">
                  <c:v>40513</c:v>
                </c:pt>
                <c:pt idx="314">
                  <c:v>40514</c:v>
                </c:pt>
                <c:pt idx="315">
                  <c:v>40515</c:v>
                </c:pt>
                <c:pt idx="316">
                  <c:v>40518</c:v>
                </c:pt>
                <c:pt idx="317">
                  <c:v>40519</c:v>
                </c:pt>
                <c:pt idx="318">
                  <c:v>40520</c:v>
                </c:pt>
                <c:pt idx="319">
                  <c:v>40521</c:v>
                </c:pt>
                <c:pt idx="320">
                  <c:v>40522</c:v>
                </c:pt>
                <c:pt idx="321">
                  <c:v>40525</c:v>
                </c:pt>
                <c:pt idx="322">
                  <c:v>40526</c:v>
                </c:pt>
                <c:pt idx="323">
                  <c:v>40527</c:v>
                </c:pt>
                <c:pt idx="324">
                  <c:v>40528</c:v>
                </c:pt>
                <c:pt idx="325">
                  <c:v>40529</c:v>
                </c:pt>
                <c:pt idx="326">
                  <c:v>40532</c:v>
                </c:pt>
                <c:pt idx="327">
                  <c:v>40533</c:v>
                </c:pt>
                <c:pt idx="328">
                  <c:v>40534</c:v>
                </c:pt>
                <c:pt idx="329">
                  <c:v>40535</c:v>
                </c:pt>
                <c:pt idx="330">
                  <c:v>40539</c:v>
                </c:pt>
                <c:pt idx="331">
                  <c:v>40540</c:v>
                </c:pt>
                <c:pt idx="332">
                  <c:v>40541</c:v>
                </c:pt>
                <c:pt idx="333">
                  <c:v>40542</c:v>
                </c:pt>
                <c:pt idx="334">
                  <c:v>40543</c:v>
                </c:pt>
                <c:pt idx="335">
                  <c:v>40546</c:v>
                </c:pt>
                <c:pt idx="336">
                  <c:v>40547</c:v>
                </c:pt>
                <c:pt idx="337">
                  <c:v>40548</c:v>
                </c:pt>
                <c:pt idx="338">
                  <c:v>40549</c:v>
                </c:pt>
                <c:pt idx="339">
                  <c:v>40550</c:v>
                </c:pt>
                <c:pt idx="340">
                  <c:v>40553</c:v>
                </c:pt>
                <c:pt idx="341">
                  <c:v>40554</c:v>
                </c:pt>
                <c:pt idx="342">
                  <c:v>40555</c:v>
                </c:pt>
                <c:pt idx="343">
                  <c:v>40556</c:v>
                </c:pt>
                <c:pt idx="344">
                  <c:v>40557</c:v>
                </c:pt>
                <c:pt idx="345">
                  <c:v>40561</c:v>
                </c:pt>
                <c:pt idx="346">
                  <c:v>40562</c:v>
                </c:pt>
                <c:pt idx="347">
                  <c:v>40563</c:v>
                </c:pt>
                <c:pt idx="348">
                  <c:v>40564</c:v>
                </c:pt>
                <c:pt idx="349">
                  <c:v>40567</c:v>
                </c:pt>
                <c:pt idx="350">
                  <c:v>40568</c:v>
                </c:pt>
                <c:pt idx="351">
                  <c:v>40569</c:v>
                </c:pt>
                <c:pt idx="352">
                  <c:v>40570</c:v>
                </c:pt>
                <c:pt idx="353">
                  <c:v>40571</c:v>
                </c:pt>
                <c:pt idx="354">
                  <c:v>40574</c:v>
                </c:pt>
                <c:pt idx="355">
                  <c:v>40575</c:v>
                </c:pt>
                <c:pt idx="356">
                  <c:v>40576</c:v>
                </c:pt>
                <c:pt idx="357">
                  <c:v>40577</c:v>
                </c:pt>
                <c:pt idx="358">
                  <c:v>40578</c:v>
                </c:pt>
                <c:pt idx="359">
                  <c:v>40581</c:v>
                </c:pt>
                <c:pt idx="360">
                  <c:v>40582</c:v>
                </c:pt>
                <c:pt idx="361">
                  <c:v>40583</c:v>
                </c:pt>
                <c:pt idx="362">
                  <c:v>40584</c:v>
                </c:pt>
                <c:pt idx="363">
                  <c:v>40585</c:v>
                </c:pt>
                <c:pt idx="364">
                  <c:v>40588</c:v>
                </c:pt>
                <c:pt idx="365">
                  <c:v>40589</c:v>
                </c:pt>
                <c:pt idx="366">
                  <c:v>40590</c:v>
                </c:pt>
                <c:pt idx="367">
                  <c:v>40591</c:v>
                </c:pt>
                <c:pt idx="368">
                  <c:v>40592</c:v>
                </c:pt>
                <c:pt idx="369">
                  <c:v>40596</c:v>
                </c:pt>
                <c:pt idx="370">
                  <c:v>40597</c:v>
                </c:pt>
                <c:pt idx="371">
                  <c:v>40598</c:v>
                </c:pt>
                <c:pt idx="372">
                  <c:v>40599</c:v>
                </c:pt>
                <c:pt idx="373">
                  <c:v>40602</c:v>
                </c:pt>
                <c:pt idx="374">
                  <c:v>40603</c:v>
                </c:pt>
                <c:pt idx="375">
                  <c:v>40604</c:v>
                </c:pt>
                <c:pt idx="376">
                  <c:v>40605</c:v>
                </c:pt>
                <c:pt idx="377">
                  <c:v>40606</c:v>
                </c:pt>
                <c:pt idx="378">
                  <c:v>40609</c:v>
                </c:pt>
                <c:pt idx="379">
                  <c:v>40610</c:v>
                </c:pt>
                <c:pt idx="380">
                  <c:v>40611</c:v>
                </c:pt>
                <c:pt idx="381">
                  <c:v>40612</c:v>
                </c:pt>
                <c:pt idx="382">
                  <c:v>40613</c:v>
                </c:pt>
                <c:pt idx="383">
                  <c:v>40616</c:v>
                </c:pt>
                <c:pt idx="384">
                  <c:v>40617</c:v>
                </c:pt>
                <c:pt idx="385">
                  <c:v>40618</c:v>
                </c:pt>
                <c:pt idx="386">
                  <c:v>40619</c:v>
                </c:pt>
                <c:pt idx="387">
                  <c:v>40620</c:v>
                </c:pt>
                <c:pt idx="388">
                  <c:v>40623</c:v>
                </c:pt>
                <c:pt idx="389">
                  <c:v>40624</c:v>
                </c:pt>
                <c:pt idx="390">
                  <c:v>40625</c:v>
                </c:pt>
                <c:pt idx="391">
                  <c:v>40626</c:v>
                </c:pt>
                <c:pt idx="392">
                  <c:v>40627</c:v>
                </c:pt>
                <c:pt idx="393">
                  <c:v>40630</c:v>
                </c:pt>
                <c:pt idx="394">
                  <c:v>40631</c:v>
                </c:pt>
                <c:pt idx="395">
                  <c:v>40632</c:v>
                </c:pt>
                <c:pt idx="396">
                  <c:v>40633</c:v>
                </c:pt>
                <c:pt idx="397">
                  <c:v>40634</c:v>
                </c:pt>
                <c:pt idx="398">
                  <c:v>40637</c:v>
                </c:pt>
                <c:pt idx="399">
                  <c:v>40638</c:v>
                </c:pt>
                <c:pt idx="400">
                  <c:v>40639</c:v>
                </c:pt>
                <c:pt idx="401">
                  <c:v>40640</c:v>
                </c:pt>
                <c:pt idx="402">
                  <c:v>40641</c:v>
                </c:pt>
                <c:pt idx="403">
                  <c:v>40644</c:v>
                </c:pt>
                <c:pt idx="404">
                  <c:v>40645</c:v>
                </c:pt>
                <c:pt idx="405">
                  <c:v>40646</c:v>
                </c:pt>
                <c:pt idx="406">
                  <c:v>40647</c:v>
                </c:pt>
                <c:pt idx="407">
                  <c:v>40648</c:v>
                </c:pt>
                <c:pt idx="408">
                  <c:v>40651</c:v>
                </c:pt>
                <c:pt idx="409">
                  <c:v>40652</c:v>
                </c:pt>
                <c:pt idx="410">
                  <c:v>40653</c:v>
                </c:pt>
                <c:pt idx="411">
                  <c:v>40654</c:v>
                </c:pt>
                <c:pt idx="412">
                  <c:v>40658</c:v>
                </c:pt>
                <c:pt idx="413">
                  <c:v>40659</c:v>
                </c:pt>
                <c:pt idx="414">
                  <c:v>40660</c:v>
                </c:pt>
                <c:pt idx="415">
                  <c:v>40661</c:v>
                </c:pt>
                <c:pt idx="416">
                  <c:v>40662</c:v>
                </c:pt>
                <c:pt idx="417">
                  <c:v>40665</c:v>
                </c:pt>
                <c:pt idx="418">
                  <c:v>40666</c:v>
                </c:pt>
                <c:pt idx="419">
                  <c:v>40667</c:v>
                </c:pt>
                <c:pt idx="420">
                  <c:v>40668</c:v>
                </c:pt>
                <c:pt idx="421">
                  <c:v>40669</c:v>
                </c:pt>
                <c:pt idx="422">
                  <c:v>40672</c:v>
                </c:pt>
                <c:pt idx="423">
                  <c:v>40673</c:v>
                </c:pt>
                <c:pt idx="424">
                  <c:v>40674</c:v>
                </c:pt>
                <c:pt idx="425">
                  <c:v>40675</c:v>
                </c:pt>
                <c:pt idx="426">
                  <c:v>40676</c:v>
                </c:pt>
                <c:pt idx="427">
                  <c:v>40679</c:v>
                </c:pt>
                <c:pt idx="428">
                  <c:v>40680</c:v>
                </c:pt>
                <c:pt idx="429">
                  <c:v>40681</c:v>
                </c:pt>
                <c:pt idx="430">
                  <c:v>40682</c:v>
                </c:pt>
                <c:pt idx="431">
                  <c:v>40683</c:v>
                </c:pt>
                <c:pt idx="432">
                  <c:v>40686</c:v>
                </c:pt>
                <c:pt idx="433">
                  <c:v>40687</c:v>
                </c:pt>
                <c:pt idx="434">
                  <c:v>40688</c:v>
                </c:pt>
                <c:pt idx="435">
                  <c:v>40689</c:v>
                </c:pt>
                <c:pt idx="436">
                  <c:v>40690</c:v>
                </c:pt>
                <c:pt idx="437">
                  <c:v>40694</c:v>
                </c:pt>
                <c:pt idx="438">
                  <c:v>40695</c:v>
                </c:pt>
                <c:pt idx="439">
                  <c:v>40696</c:v>
                </c:pt>
                <c:pt idx="440">
                  <c:v>40697</c:v>
                </c:pt>
                <c:pt idx="441">
                  <c:v>40700</c:v>
                </c:pt>
                <c:pt idx="442">
                  <c:v>40701</c:v>
                </c:pt>
                <c:pt idx="443">
                  <c:v>40702</c:v>
                </c:pt>
                <c:pt idx="444">
                  <c:v>40703</c:v>
                </c:pt>
                <c:pt idx="445">
                  <c:v>40704</c:v>
                </c:pt>
                <c:pt idx="446">
                  <c:v>40707</c:v>
                </c:pt>
                <c:pt idx="447">
                  <c:v>40708</c:v>
                </c:pt>
                <c:pt idx="448">
                  <c:v>40709</c:v>
                </c:pt>
                <c:pt idx="449">
                  <c:v>40710</c:v>
                </c:pt>
                <c:pt idx="450">
                  <c:v>40711</c:v>
                </c:pt>
                <c:pt idx="451">
                  <c:v>40714</c:v>
                </c:pt>
                <c:pt idx="452">
                  <c:v>40715</c:v>
                </c:pt>
                <c:pt idx="453">
                  <c:v>40716</c:v>
                </c:pt>
                <c:pt idx="454">
                  <c:v>40717</c:v>
                </c:pt>
                <c:pt idx="455">
                  <c:v>40718</c:v>
                </c:pt>
                <c:pt idx="456">
                  <c:v>40721</c:v>
                </c:pt>
                <c:pt idx="457">
                  <c:v>40722</c:v>
                </c:pt>
                <c:pt idx="458">
                  <c:v>40723</c:v>
                </c:pt>
                <c:pt idx="459">
                  <c:v>40724</c:v>
                </c:pt>
                <c:pt idx="460">
                  <c:v>40725</c:v>
                </c:pt>
                <c:pt idx="461">
                  <c:v>40729</c:v>
                </c:pt>
                <c:pt idx="462">
                  <c:v>40730</c:v>
                </c:pt>
                <c:pt idx="463">
                  <c:v>40731</c:v>
                </c:pt>
                <c:pt idx="464">
                  <c:v>40732</c:v>
                </c:pt>
                <c:pt idx="465">
                  <c:v>40735</c:v>
                </c:pt>
                <c:pt idx="466">
                  <c:v>40736</c:v>
                </c:pt>
                <c:pt idx="467">
                  <c:v>40737</c:v>
                </c:pt>
                <c:pt idx="468">
                  <c:v>40738</c:v>
                </c:pt>
                <c:pt idx="469">
                  <c:v>40739</c:v>
                </c:pt>
                <c:pt idx="470">
                  <c:v>40742</c:v>
                </c:pt>
                <c:pt idx="471">
                  <c:v>40743</c:v>
                </c:pt>
                <c:pt idx="472">
                  <c:v>40744</c:v>
                </c:pt>
                <c:pt idx="473">
                  <c:v>40745</c:v>
                </c:pt>
                <c:pt idx="474">
                  <c:v>40746</c:v>
                </c:pt>
                <c:pt idx="475">
                  <c:v>40749</c:v>
                </c:pt>
                <c:pt idx="476">
                  <c:v>40750</c:v>
                </c:pt>
                <c:pt idx="477">
                  <c:v>40751</c:v>
                </c:pt>
                <c:pt idx="478">
                  <c:v>40752</c:v>
                </c:pt>
                <c:pt idx="479">
                  <c:v>40753</c:v>
                </c:pt>
                <c:pt idx="480">
                  <c:v>40756</c:v>
                </c:pt>
                <c:pt idx="481">
                  <c:v>40757</c:v>
                </c:pt>
                <c:pt idx="482">
                  <c:v>40758</c:v>
                </c:pt>
                <c:pt idx="483">
                  <c:v>40759</c:v>
                </c:pt>
                <c:pt idx="484">
                  <c:v>40760</c:v>
                </c:pt>
                <c:pt idx="485">
                  <c:v>40763</c:v>
                </c:pt>
                <c:pt idx="486">
                  <c:v>40764</c:v>
                </c:pt>
                <c:pt idx="487">
                  <c:v>40765</c:v>
                </c:pt>
                <c:pt idx="488">
                  <c:v>40766</c:v>
                </c:pt>
                <c:pt idx="489">
                  <c:v>40767</c:v>
                </c:pt>
                <c:pt idx="490">
                  <c:v>40770</c:v>
                </c:pt>
                <c:pt idx="491">
                  <c:v>40771</c:v>
                </c:pt>
                <c:pt idx="492">
                  <c:v>40772</c:v>
                </c:pt>
                <c:pt idx="493">
                  <c:v>40773</c:v>
                </c:pt>
                <c:pt idx="494">
                  <c:v>40774</c:v>
                </c:pt>
                <c:pt idx="495">
                  <c:v>40777</c:v>
                </c:pt>
                <c:pt idx="496">
                  <c:v>40778</c:v>
                </c:pt>
                <c:pt idx="497">
                  <c:v>40779</c:v>
                </c:pt>
                <c:pt idx="498">
                  <c:v>40780</c:v>
                </c:pt>
                <c:pt idx="499">
                  <c:v>40781</c:v>
                </c:pt>
                <c:pt idx="500">
                  <c:v>40784</c:v>
                </c:pt>
                <c:pt idx="501">
                  <c:v>40785</c:v>
                </c:pt>
                <c:pt idx="502">
                  <c:v>40786</c:v>
                </c:pt>
                <c:pt idx="503">
                  <c:v>40787</c:v>
                </c:pt>
                <c:pt idx="504">
                  <c:v>40788</c:v>
                </c:pt>
                <c:pt idx="505">
                  <c:v>40792</c:v>
                </c:pt>
                <c:pt idx="506">
                  <c:v>40793</c:v>
                </c:pt>
                <c:pt idx="507">
                  <c:v>40794</c:v>
                </c:pt>
                <c:pt idx="508">
                  <c:v>40795</c:v>
                </c:pt>
                <c:pt idx="509">
                  <c:v>40798</c:v>
                </c:pt>
                <c:pt idx="510">
                  <c:v>40799</c:v>
                </c:pt>
                <c:pt idx="511">
                  <c:v>40800</c:v>
                </c:pt>
                <c:pt idx="512">
                  <c:v>40801</c:v>
                </c:pt>
                <c:pt idx="513">
                  <c:v>40802</c:v>
                </c:pt>
                <c:pt idx="514">
                  <c:v>40805</c:v>
                </c:pt>
                <c:pt idx="515">
                  <c:v>40806</c:v>
                </c:pt>
                <c:pt idx="516">
                  <c:v>40807</c:v>
                </c:pt>
                <c:pt idx="517">
                  <c:v>40808</c:v>
                </c:pt>
                <c:pt idx="518">
                  <c:v>40809</c:v>
                </c:pt>
                <c:pt idx="519">
                  <c:v>40812</c:v>
                </c:pt>
                <c:pt idx="520">
                  <c:v>40813</c:v>
                </c:pt>
                <c:pt idx="521">
                  <c:v>40814</c:v>
                </c:pt>
                <c:pt idx="522">
                  <c:v>40815</c:v>
                </c:pt>
                <c:pt idx="523">
                  <c:v>40816</c:v>
                </c:pt>
                <c:pt idx="524">
                  <c:v>40819</c:v>
                </c:pt>
                <c:pt idx="525">
                  <c:v>40820</c:v>
                </c:pt>
                <c:pt idx="526">
                  <c:v>40821</c:v>
                </c:pt>
                <c:pt idx="527">
                  <c:v>40822</c:v>
                </c:pt>
                <c:pt idx="528">
                  <c:v>40823</c:v>
                </c:pt>
                <c:pt idx="529">
                  <c:v>40827</c:v>
                </c:pt>
                <c:pt idx="530">
                  <c:v>40828</c:v>
                </c:pt>
                <c:pt idx="531">
                  <c:v>40829</c:v>
                </c:pt>
                <c:pt idx="532">
                  <c:v>40830</c:v>
                </c:pt>
                <c:pt idx="533">
                  <c:v>40833</c:v>
                </c:pt>
                <c:pt idx="534">
                  <c:v>40834</c:v>
                </c:pt>
                <c:pt idx="535">
                  <c:v>40835</c:v>
                </c:pt>
                <c:pt idx="536">
                  <c:v>40836</c:v>
                </c:pt>
                <c:pt idx="537">
                  <c:v>40837</c:v>
                </c:pt>
                <c:pt idx="538">
                  <c:v>40840</c:v>
                </c:pt>
                <c:pt idx="539">
                  <c:v>40841</c:v>
                </c:pt>
                <c:pt idx="540">
                  <c:v>40842</c:v>
                </c:pt>
                <c:pt idx="541">
                  <c:v>40843</c:v>
                </c:pt>
                <c:pt idx="542">
                  <c:v>40844</c:v>
                </c:pt>
                <c:pt idx="543">
                  <c:v>40847</c:v>
                </c:pt>
                <c:pt idx="544">
                  <c:v>40848</c:v>
                </c:pt>
                <c:pt idx="545">
                  <c:v>40849</c:v>
                </c:pt>
                <c:pt idx="546">
                  <c:v>40850</c:v>
                </c:pt>
                <c:pt idx="547">
                  <c:v>40851</c:v>
                </c:pt>
                <c:pt idx="548">
                  <c:v>40854</c:v>
                </c:pt>
                <c:pt idx="549">
                  <c:v>40855</c:v>
                </c:pt>
                <c:pt idx="550">
                  <c:v>40856</c:v>
                </c:pt>
                <c:pt idx="551">
                  <c:v>40857</c:v>
                </c:pt>
                <c:pt idx="552">
                  <c:v>40861</c:v>
                </c:pt>
                <c:pt idx="553">
                  <c:v>40862</c:v>
                </c:pt>
                <c:pt idx="554">
                  <c:v>40863</c:v>
                </c:pt>
                <c:pt idx="555">
                  <c:v>40864</c:v>
                </c:pt>
                <c:pt idx="556">
                  <c:v>40865</c:v>
                </c:pt>
                <c:pt idx="557">
                  <c:v>40868</c:v>
                </c:pt>
                <c:pt idx="558">
                  <c:v>40869</c:v>
                </c:pt>
                <c:pt idx="559">
                  <c:v>40870</c:v>
                </c:pt>
                <c:pt idx="560">
                  <c:v>40872</c:v>
                </c:pt>
                <c:pt idx="561">
                  <c:v>40875</c:v>
                </c:pt>
                <c:pt idx="562">
                  <c:v>40876</c:v>
                </c:pt>
                <c:pt idx="563">
                  <c:v>40877</c:v>
                </c:pt>
                <c:pt idx="564">
                  <c:v>40878</c:v>
                </c:pt>
                <c:pt idx="565">
                  <c:v>40879</c:v>
                </c:pt>
                <c:pt idx="566">
                  <c:v>40882</c:v>
                </c:pt>
                <c:pt idx="567">
                  <c:v>40883</c:v>
                </c:pt>
                <c:pt idx="568">
                  <c:v>40884</c:v>
                </c:pt>
                <c:pt idx="569">
                  <c:v>40885</c:v>
                </c:pt>
                <c:pt idx="570">
                  <c:v>40886</c:v>
                </c:pt>
                <c:pt idx="571">
                  <c:v>40889</c:v>
                </c:pt>
                <c:pt idx="572">
                  <c:v>40890</c:v>
                </c:pt>
                <c:pt idx="573">
                  <c:v>40891</c:v>
                </c:pt>
                <c:pt idx="574">
                  <c:v>40892</c:v>
                </c:pt>
                <c:pt idx="575">
                  <c:v>40893</c:v>
                </c:pt>
                <c:pt idx="576">
                  <c:v>40896</c:v>
                </c:pt>
                <c:pt idx="577">
                  <c:v>40897</c:v>
                </c:pt>
                <c:pt idx="578">
                  <c:v>40898</c:v>
                </c:pt>
                <c:pt idx="579">
                  <c:v>40899</c:v>
                </c:pt>
                <c:pt idx="580">
                  <c:v>40900</c:v>
                </c:pt>
                <c:pt idx="581">
                  <c:v>40904</c:v>
                </c:pt>
                <c:pt idx="582">
                  <c:v>40905</c:v>
                </c:pt>
                <c:pt idx="583">
                  <c:v>40906</c:v>
                </c:pt>
                <c:pt idx="584">
                  <c:v>40907</c:v>
                </c:pt>
                <c:pt idx="585">
                  <c:v>40911</c:v>
                </c:pt>
                <c:pt idx="586">
                  <c:v>40912</c:v>
                </c:pt>
                <c:pt idx="587">
                  <c:v>40913</c:v>
                </c:pt>
                <c:pt idx="588">
                  <c:v>40914</c:v>
                </c:pt>
                <c:pt idx="589">
                  <c:v>40917</c:v>
                </c:pt>
                <c:pt idx="590">
                  <c:v>40918</c:v>
                </c:pt>
                <c:pt idx="591">
                  <c:v>40919</c:v>
                </c:pt>
                <c:pt idx="592">
                  <c:v>40920</c:v>
                </c:pt>
                <c:pt idx="593">
                  <c:v>40921</c:v>
                </c:pt>
                <c:pt idx="594">
                  <c:v>40925</c:v>
                </c:pt>
                <c:pt idx="595">
                  <c:v>40926</c:v>
                </c:pt>
                <c:pt idx="596">
                  <c:v>40927</c:v>
                </c:pt>
                <c:pt idx="597">
                  <c:v>40928</c:v>
                </c:pt>
                <c:pt idx="598">
                  <c:v>40931</c:v>
                </c:pt>
                <c:pt idx="599">
                  <c:v>40932</c:v>
                </c:pt>
                <c:pt idx="600">
                  <c:v>40933</c:v>
                </c:pt>
                <c:pt idx="601">
                  <c:v>40934</c:v>
                </c:pt>
                <c:pt idx="602">
                  <c:v>40935</c:v>
                </c:pt>
                <c:pt idx="603">
                  <c:v>40938</c:v>
                </c:pt>
                <c:pt idx="604">
                  <c:v>40939</c:v>
                </c:pt>
                <c:pt idx="605">
                  <c:v>40940</c:v>
                </c:pt>
                <c:pt idx="606">
                  <c:v>40941</c:v>
                </c:pt>
                <c:pt idx="607">
                  <c:v>40942</c:v>
                </c:pt>
                <c:pt idx="608">
                  <c:v>40945</c:v>
                </c:pt>
                <c:pt idx="609">
                  <c:v>40946</c:v>
                </c:pt>
                <c:pt idx="610">
                  <c:v>40947</c:v>
                </c:pt>
                <c:pt idx="611">
                  <c:v>40948</c:v>
                </c:pt>
                <c:pt idx="612">
                  <c:v>40949</c:v>
                </c:pt>
                <c:pt idx="613">
                  <c:v>40952</c:v>
                </c:pt>
                <c:pt idx="614">
                  <c:v>40953</c:v>
                </c:pt>
                <c:pt idx="615">
                  <c:v>40954</c:v>
                </c:pt>
                <c:pt idx="616">
                  <c:v>40955</c:v>
                </c:pt>
                <c:pt idx="617">
                  <c:v>40956</c:v>
                </c:pt>
                <c:pt idx="618">
                  <c:v>40960</c:v>
                </c:pt>
                <c:pt idx="619">
                  <c:v>40961</c:v>
                </c:pt>
                <c:pt idx="620">
                  <c:v>40962</c:v>
                </c:pt>
                <c:pt idx="621">
                  <c:v>40963</c:v>
                </c:pt>
                <c:pt idx="622">
                  <c:v>40966</c:v>
                </c:pt>
                <c:pt idx="623">
                  <c:v>40967</c:v>
                </c:pt>
                <c:pt idx="624">
                  <c:v>40968</c:v>
                </c:pt>
                <c:pt idx="625">
                  <c:v>40969</c:v>
                </c:pt>
                <c:pt idx="626">
                  <c:v>40970</c:v>
                </c:pt>
                <c:pt idx="627">
                  <c:v>40973</c:v>
                </c:pt>
                <c:pt idx="628">
                  <c:v>40974</c:v>
                </c:pt>
                <c:pt idx="629">
                  <c:v>40975</c:v>
                </c:pt>
                <c:pt idx="630">
                  <c:v>40976</c:v>
                </c:pt>
                <c:pt idx="631">
                  <c:v>40977</c:v>
                </c:pt>
                <c:pt idx="632">
                  <c:v>40980</c:v>
                </c:pt>
                <c:pt idx="633">
                  <c:v>40981</c:v>
                </c:pt>
                <c:pt idx="634">
                  <c:v>40982</c:v>
                </c:pt>
                <c:pt idx="635">
                  <c:v>40983</c:v>
                </c:pt>
                <c:pt idx="636">
                  <c:v>40984</c:v>
                </c:pt>
                <c:pt idx="637">
                  <c:v>40987</c:v>
                </c:pt>
                <c:pt idx="638">
                  <c:v>40988</c:v>
                </c:pt>
                <c:pt idx="639">
                  <c:v>40989</c:v>
                </c:pt>
                <c:pt idx="640">
                  <c:v>40990</c:v>
                </c:pt>
                <c:pt idx="641">
                  <c:v>40991</c:v>
                </c:pt>
                <c:pt idx="642">
                  <c:v>40994</c:v>
                </c:pt>
                <c:pt idx="643">
                  <c:v>40995</c:v>
                </c:pt>
                <c:pt idx="644">
                  <c:v>40996</c:v>
                </c:pt>
                <c:pt idx="645">
                  <c:v>40997</c:v>
                </c:pt>
                <c:pt idx="646">
                  <c:v>40998</c:v>
                </c:pt>
                <c:pt idx="647">
                  <c:v>41001</c:v>
                </c:pt>
                <c:pt idx="648">
                  <c:v>41002</c:v>
                </c:pt>
                <c:pt idx="649">
                  <c:v>41003</c:v>
                </c:pt>
                <c:pt idx="650">
                  <c:v>41004</c:v>
                </c:pt>
                <c:pt idx="651">
                  <c:v>41005</c:v>
                </c:pt>
                <c:pt idx="652">
                  <c:v>41008</c:v>
                </c:pt>
                <c:pt idx="653">
                  <c:v>41009</c:v>
                </c:pt>
                <c:pt idx="654">
                  <c:v>41010</c:v>
                </c:pt>
                <c:pt idx="655">
                  <c:v>41011</c:v>
                </c:pt>
                <c:pt idx="656">
                  <c:v>41012</c:v>
                </c:pt>
                <c:pt idx="657">
                  <c:v>41015</c:v>
                </c:pt>
                <c:pt idx="658">
                  <c:v>41016</c:v>
                </c:pt>
                <c:pt idx="659">
                  <c:v>41017</c:v>
                </c:pt>
                <c:pt idx="660">
                  <c:v>41018</c:v>
                </c:pt>
                <c:pt idx="661">
                  <c:v>41019</c:v>
                </c:pt>
                <c:pt idx="662">
                  <c:v>41022</c:v>
                </c:pt>
                <c:pt idx="663">
                  <c:v>41023</c:v>
                </c:pt>
                <c:pt idx="664">
                  <c:v>41024</c:v>
                </c:pt>
                <c:pt idx="665">
                  <c:v>41025</c:v>
                </c:pt>
                <c:pt idx="666">
                  <c:v>41026</c:v>
                </c:pt>
                <c:pt idx="667">
                  <c:v>41029</c:v>
                </c:pt>
                <c:pt idx="668">
                  <c:v>41030</c:v>
                </c:pt>
                <c:pt idx="669">
                  <c:v>41031</c:v>
                </c:pt>
                <c:pt idx="670">
                  <c:v>41032</c:v>
                </c:pt>
                <c:pt idx="671">
                  <c:v>41033</c:v>
                </c:pt>
                <c:pt idx="672">
                  <c:v>41036</c:v>
                </c:pt>
                <c:pt idx="673">
                  <c:v>41037</c:v>
                </c:pt>
                <c:pt idx="674">
                  <c:v>41038</c:v>
                </c:pt>
                <c:pt idx="675">
                  <c:v>41039</c:v>
                </c:pt>
                <c:pt idx="676">
                  <c:v>41040</c:v>
                </c:pt>
                <c:pt idx="677">
                  <c:v>41043</c:v>
                </c:pt>
                <c:pt idx="678">
                  <c:v>41044</c:v>
                </c:pt>
                <c:pt idx="679">
                  <c:v>41045</c:v>
                </c:pt>
                <c:pt idx="680">
                  <c:v>41046</c:v>
                </c:pt>
                <c:pt idx="681">
                  <c:v>41047</c:v>
                </c:pt>
                <c:pt idx="682">
                  <c:v>41050</c:v>
                </c:pt>
                <c:pt idx="683">
                  <c:v>41051</c:v>
                </c:pt>
                <c:pt idx="684">
                  <c:v>41052</c:v>
                </c:pt>
                <c:pt idx="685">
                  <c:v>41053</c:v>
                </c:pt>
                <c:pt idx="686">
                  <c:v>41054</c:v>
                </c:pt>
                <c:pt idx="687">
                  <c:v>41058</c:v>
                </c:pt>
                <c:pt idx="688">
                  <c:v>41059</c:v>
                </c:pt>
                <c:pt idx="689">
                  <c:v>41060</c:v>
                </c:pt>
                <c:pt idx="690">
                  <c:v>41061</c:v>
                </c:pt>
                <c:pt idx="691">
                  <c:v>41064</c:v>
                </c:pt>
                <c:pt idx="692">
                  <c:v>41065</c:v>
                </c:pt>
                <c:pt idx="693">
                  <c:v>41066</c:v>
                </c:pt>
                <c:pt idx="694">
                  <c:v>41067</c:v>
                </c:pt>
                <c:pt idx="695">
                  <c:v>41068</c:v>
                </c:pt>
                <c:pt idx="696">
                  <c:v>41071</c:v>
                </c:pt>
                <c:pt idx="697">
                  <c:v>41072</c:v>
                </c:pt>
                <c:pt idx="698">
                  <c:v>41073</c:v>
                </c:pt>
                <c:pt idx="699">
                  <c:v>41074</c:v>
                </c:pt>
                <c:pt idx="700">
                  <c:v>41075</c:v>
                </c:pt>
                <c:pt idx="701">
                  <c:v>41078</c:v>
                </c:pt>
                <c:pt idx="702">
                  <c:v>41079</c:v>
                </c:pt>
                <c:pt idx="703">
                  <c:v>41080</c:v>
                </c:pt>
                <c:pt idx="704">
                  <c:v>41081</c:v>
                </c:pt>
                <c:pt idx="705">
                  <c:v>41082</c:v>
                </c:pt>
                <c:pt idx="706">
                  <c:v>41085</c:v>
                </c:pt>
                <c:pt idx="707">
                  <c:v>41086</c:v>
                </c:pt>
                <c:pt idx="708">
                  <c:v>41087</c:v>
                </c:pt>
                <c:pt idx="709">
                  <c:v>41088</c:v>
                </c:pt>
                <c:pt idx="710">
                  <c:v>41089</c:v>
                </c:pt>
                <c:pt idx="711">
                  <c:v>41092</c:v>
                </c:pt>
                <c:pt idx="712">
                  <c:v>41093</c:v>
                </c:pt>
                <c:pt idx="713">
                  <c:v>41095</c:v>
                </c:pt>
                <c:pt idx="714">
                  <c:v>41096</c:v>
                </c:pt>
                <c:pt idx="715">
                  <c:v>41099</c:v>
                </c:pt>
                <c:pt idx="716">
                  <c:v>41100</c:v>
                </c:pt>
                <c:pt idx="717">
                  <c:v>41101</c:v>
                </c:pt>
                <c:pt idx="718">
                  <c:v>41102</c:v>
                </c:pt>
                <c:pt idx="719">
                  <c:v>41103</c:v>
                </c:pt>
                <c:pt idx="720">
                  <c:v>41106</c:v>
                </c:pt>
                <c:pt idx="721">
                  <c:v>41107</c:v>
                </c:pt>
                <c:pt idx="722">
                  <c:v>41108</c:v>
                </c:pt>
                <c:pt idx="723">
                  <c:v>41109</c:v>
                </c:pt>
                <c:pt idx="724">
                  <c:v>41110</c:v>
                </c:pt>
                <c:pt idx="725">
                  <c:v>41113</c:v>
                </c:pt>
                <c:pt idx="726">
                  <c:v>41114</c:v>
                </c:pt>
                <c:pt idx="727">
                  <c:v>41115</c:v>
                </c:pt>
                <c:pt idx="728">
                  <c:v>41116</c:v>
                </c:pt>
                <c:pt idx="729">
                  <c:v>41117</c:v>
                </c:pt>
                <c:pt idx="730">
                  <c:v>41120</c:v>
                </c:pt>
                <c:pt idx="731">
                  <c:v>41121</c:v>
                </c:pt>
                <c:pt idx="732">
                  <c:v>41122</c:v>
                </c:pt>
                <c:pt idx="733">
                  <c:v>41123</c:v>
                </c:pt>
                <c:pt idx="734">
                  <c:v>41124</c:v>
                </c:pt>
                <c:pt idx="735">
                  <c:v>41127</c:v>
                </c:pt>
                <c:pt idx="736">
                  <c:v>41128</c:v>
                </c:pt>
                <c:pt idx="737">
                  <c:v>41129</c:v>
                </c:pt>
                <c:pt idx="738">
                  <c:v>41130</c:v>
                </c:pt>
                <c:pt idx="739">
                  <c:v>41131</c:v>
                </c:pt>
                <c:pt idx="740">
                  <c:v>41134</c:v>
                </c:pt>
                <c:pt idx="741">
                  <c:v>41135</c:v>
                </c:pt>
                <c:pt idx="742">
                  <c:v>41136</c:v>
                </c:pt>
                <c:pt idx="743">
                  <c:v>41137</c:v>
                </c:pt>
                <c:pt idx="744">
                  <c:v>41138</c:v>
                </c:pt>
                <c:pt idx="745">
                  <c:v>41141</c:v>
                </c:pt>
                <c:pt idx="746">
                  <c:v>41142</c:v>
                </c:pt>
                <c:pt idx="747">
                  <c:v>41143</c:v>
                </c:pt>
                <c:pt idx="748">
                  <c:v>41144</c:v>
                </c:pt>
                <c:pt idx="749">
                  <c:v>41145</c:v>
                </c:pt>
                <c:pt idx="750">
                  <c:v>41148</c:v>
                </c:pt>
                <c:pt idx="751">
                  <c:v>41149</c:v>
                </c:pt>
                <c:pt idx="752">
                  <c:v>41150</c:v>
                </c:pt>
                <c:pt idx="753">
                  <c:v>41151</c:v>
                </c:pt>
                <c:pt idx="754">
                  <c:v>41152</c:v>
                </c:pt>
                <c:pt idx="755">
                  <c:v>41156</c:v>
                </c:pt>
                <c:pt idx="756">
                  <c:v>41157</c:v>
                </c:pt>
                <c:pt idx="757">
                  <c:v>41158</c:v>
                </c:pt>
                <c:pt idx="758">
                  <c:v>41159</c:v>
                </c:pt>
                <c:pt idx="759">
                  <c:v>41162</c:v>
                </c:pt>
                <c:pt idx="760">
                  <c:v>41163</c:v>
                </c:pt>
                <c:pt idx="761">
                  <c:v>41164</c:v>
                </c:pt>
                <c:pt idx="762">
                  <c:v>41165</c:v>
                </c:pt>
                <c:pt idx="763">
                  <c:v>41166</c:v>
                </c:pt>
                <c:pt idx="764">
                  <c:v>41169</c:v>
                </c:pt>
                <c:pt idx="765">
                  <c:v>41170</c:v>
                </c:pt>
                <c:pt idx="766">
                  <c:v>41171</c:v>
                </c:pt>
                <c:pt idx="767">
                  <c:v>41172</c:v>
                </c:pt>
                <c:pt idx="768">
                  <c:v>41173</c:v>
                </c:pt>
                <c:pt idx="769">
                  <c:v>41176</c:v>
                </c:pt>
                <c:pt idx="770">
                  <c:v>41177</c:v>
                </c:pt>
                <c:pt idx="771">
                  <c:v>41178</c:v>
                </c:pt>
                <c:pt idx="772">
                  <c:v>41179</c:v>
                </c:pt>
                <c:pt idx="773">
                  <c:v>41180</c:v>
                </c:pt>
                <c:pt idx="774">
                  <c:v>41183</c:v>
                </c:pt>
                <c:pt idx="775">
                  <c:v>41184</c:v>
                </c:pt>
                <c:pt idx="776">
                  <c:v>41185</c:v>
                </c:pt>
                <c:pt idx="777">
                  <c:v>41186</c:v>
                </c:pt>
                <c:pt idx="778">
                  <c:v>41187</c:v>
                </c:pt>
                <c:pt idx="779">
                  <c:v>41191</c:v>
                </c:pt>
                <c:pt idx="780">
                  <c:v>41192</c:v>
                </c:pt>
                <c:pt idx="781">
                  <c:v>41193</c:v>
                </c:pt>
                <c:pt idx="782">
                  <c:v>41194</c:v>
                </c:pt>
                <c:pt idx="783">
                  <c:v>41197</c:v>
                </c:pt>
                <c:pt idx="784">
                  <c:v>41198</c:v>
                </c:pt>
                <c:pt idx="785">
                  <c:v>41199</c:v>
                </c:pt>
                <c:pt idx="786">
                  <c:v>41200</c:v>
                </c:pt>
                <c:pt idx="787">
                  <c:v>41201</c:v>
                </c:pt>
                <c:pt idx="788">
                  <c:v>41204</c:v>
                </c:pt>
                <c:pt idx="789">
                  <c:v>41205</c:v>
                </c:pt>
                <c:pt idx="790">
                  <c:v>41206</c:v>
                </c:pt>
                <c:pt idx="791">
                  <c:v>41207</c:v>
                </c:pt>
                <c:pt idx="792">
                  <c:v>41208</c:v>
                </c:pt>
                <c:pt idx="793">
                  <c:v>41211</c:v>
                </c:pt>
                <c:pt idx="794">
                  <c:v>41213</c:v>
                </c:pt>
                <c:pt idx="795">
                  <c:v>41214</c:v>
                </c:pt>
                <c:pt idx="796">
                  <c:v>41215</c:v>
                </c:pt>
                <c:pt idx="797">
                  <c:v>41218</c:v>
                </c:pt>
                <c:pt idx="798">
                  <c:v>41219</c:v>
                </c:pt>
                <c:pt idx="799">
                  <c:v>41220</c:v>
                </c:pt>
                <c:pt idx="800">
                  <c:v>41221</c:v>
                </c:pt>
                <c:pt idx="801">
                  <c:v>41222</c:v>
                </c:pt>
                <c:pt idx="802">
                  <c:v>41226</c:v>
                </c:pt>
                <c:pt idx="803">
                  <c:v>41227</c:v>
                </c:pt>
                <c:pt idx="804">
                  <c:v>41228</c:v>
                </c:pt>
                <c:pt idx="805">
                  <c:v>41229</c:v>
                </c:pt>
                <c:pt idx="806">
                  <c:v>41232</c:v>
                </c:pt>
                <c:pt idx="807">
                  <c:v>41233</c:v>
                </c:pt>
                <c:pt idx="808">
                  <c:v>41234</c:v>
                </c:pt>
                <c:pt idx="809">
                  <c:v>41236</c:v>
                </c:pt>
                <c:pt idx="810">
                  <c:v>41239</c:v>
                </c:pt>
                <c:pt idx="811">
                  <c:v>41240</c:v>
                </c:pt>
                <c:pt idx="812">
                  <c:v>41241</c:v>
                </c:pt>
                <c:pt idx="813">
                  <c:v>41242</c:v>
                </c:pt>
                <c:pt idx="814">
                  <c:v>41243</c:v>
                </c:pt>
                <c:pt idx="815">
                  <c:v>41246</c:v>
                </c:pt>
                <c:pt idx="816">
                  <c:v>41247</c:v>
                </c:pt>
                <c:pt idx="817">
                  <c:v>41248</c:v>
                </c:pt>
                <c:pt idx="818">
                  <c:v>41249</c:v>
                </c:pt>
                <c:pt idx="819">
                  <c:v>41250</c:v>
                </c:pt>
                <c:pt idx="820">
                  <c:v>41253</c:v>
                </c:pt>
                <c:pt idx="821">
                  <c:v>41254</c:v>
                </c:pt>
                <c:pt idx="822">
                  <c:v>41255</c:v>
                </c:pt>
                <c:pt idx="823">
                  <c:v>41256</c:v>
                </c:pt>
                <c:pt idx="824">
                  <c:v>41257</c:v>
                </c:pt>
                <c:pt idx="825">
                  <c:v>41260</c:v>
                </c:pt>
                <c:pt idx="826">
                  <c:v>41261</c:v>
                </c:pt>
                <c:pt idx="827">
                  <c:v>41262</c:v>
                </c:pt>
                <c:pt idx="828">
                  <c:v>41263</c:v>
                </c:pt>
                <c:pt idx="829">
                  <c:v>41264</c:v>
                </c:pt>
                <c:pt idx="830">
                  <c:v>41267</c:v>
                </c:pt>
                <c:pt idx="831">
                  <c:v>41269</c:v>
                </c:pt>
                <c:pt idx="832">
                  <c:v>41270</c:v>
                </c:pt>
                <c:pt idx="833">
                  <c:v>41271</c:v>
                </c:pt>
                <c:pt idx="834">
                  <c:v>41274</c:v>
                </c:pt>
                <c:pt idx="835">
                  <c:v>41276</c:v>
                </c:pt>
                <c:pt idx="836">
                  <c:v>41277</c:v>
                </c:pt>
                <c:pt idx="837">
                  <c:v>41278</c:v>
                </c:pt>
                <c:pt idx="838">
                  <c:v>41281</c:v>
                </c:pt>
                <c:pt idx="839">
                  <c:v>41282</c:v>
                </c:pt>
                <c:pt idx="840">
                  <c:v>41283</c:v>
                </c:pt>
                <c:pt idx="841">
                  <c:v>41284</c:v>
                </c:pt>
                <c:pt idx="842">
                  <c:v>41285</c:v>
                </c:pt>
                <c:pt idx="843">
                  <c:v>41288</c:v>
                </c:pt>
                <c:pt idx="844">
                  <c:v>41289</c:v>
                </c:pt>
                <c:pt idx="845">
                  <c:v>41290</c:v>
                </c:pt>
                <c:pt idx="846">
                  <c:v>41291</c:v>
                </c:pt>
                <c:pt idx="847">
                  <c:v>41292</c:v>
                </c:pt>
                <c:pt idx="848">
                  <c:v>41296</c:v>
                </c:pt>
                <c:pt idx="849">
                  <c:v>41297</c:v>
                </c:pt>
                <c:pt idx="850">
                  <c:v>41298</c:v>
                </c:pt>
                <c:pt idx="851">
                  <c:v>41299</c:v>
                </c:pt>
                <c:pt idx="852">
                  <c:v>41302</c:v>
                </c:pt>
                <c:pt idx="853">
                  <c:v>41303</c:v>
                </c:pt>
                <c:pt idx="854">
                  <c:v>41304</c:v>
                </c:pt>
                <c:pt idx="855">
                  <c:v>41305</c:v>
                </c:pt>
                <c:pt idx="856">
                  <c:v>41306</c:v>
                </c:pt>
                <c:pt idx="857">
                  <c:v>41309</c:v>
                </c:pt>
                <c:pt idx="858">
                  <c:v>41310</c:v>
                </c:pt>
                <c:pt idx="859">
                  <c:v>41311</c:v>
                </c:pt>
                <c:pt idx="860">
                  <c:v>41312</c:v>
                </c:pt>
                <c:pt idx="861">
                  <c:v>41313</c:v>
                </c:pt>
                <c:pt idx="862">
                  <c:v>41316</c:v>
                </c:pt>
                <c:pt idx="863">
                  <c:v>41317</c:v>
                </c:pt>
                <c:pt idx="864">
                  <c:v>41318</c:v>
                </c:pt>
                <c:pt idx="865">
                  <c:v>41319</c:v>
                </c:pt>
                <c:pt idx="866">
                  <c:v>41320</c:v>
                </c:pt>
                <c:pt idx="867">
                  <c:v>41324</c:v>
                </c:pt>
                <c:pt idx="868">
                  <c:v>41325</c:v>
                </c:pt>
                <c:pt idx="869">
                  <c:v>41326</c:v>
                </c:pt>
                <c:pt idx="870">
                  <c:v>41327</c:v>
                </c:pt>
                <c:pt idx="871">
                  <c:v>41330</c:v>
                </c:pt>
                <c:pt idx="872">
                  <c:v>41331</c:v>
                </c:pt>
                <c:pt idx="873">
                  <c:v>41332</c:v>
                </c:pt>
                <c:pt idx="874">
                  <c:v>41333</c:v>
                </c:pt>
                <c:pt idx="875">
                  <c:v>41334</c:v>
                </c:pt>
                <c:pt idx="876">
                  <c:v>41337</c:v>
                </c:pt>
                <c:pt idx="877">
                  <c:v>41338</c:v>
                </c:pt>
                <c:pt idx="878">
                  <c:v>41339</c:v>
                </c:pt>
                <c:pt idx="879">
                  <c:v>41340</c:v>
                </c:pt>
                <c:pt idx="880">
                  <c:v>41341</c:v>
                </c:pt>
                <c:pt idx="881">
                  <c:v>41344</c:v>
                </c:pt>
                <c:pt idx="882">
                  <c:v>41345</c:v>
                </c:pt>
                <c:pt idx="883">
                  <c:v>41346</c:v>
                </c:pt>
                <c:pt idx="884">
                  <c:v>41347</c:v>
                </c:pt>
                <c:pt idx="885">
                  <c:v>41348</c:v>
                </c:pt>
                <c:pt idx="886">
                  <c:v>41351</c:v>
                </c:pt>
                <c:pt idx="887">
                  <c:v>41352</c:v>
                </c:pt>
                <c:pt idx="888">
                  <c:v>41353</c:v>
                </c:pt>
                <c:pt idx="889">
                  <c:v>41354</c:v>
                </c:pt>
                <c:pt idx="890">
                  <c:v>41355</c:v>
                </c:pt>
                <c:pt idx="891">
                  <c:v>41358</c:v>
                </c:pt>
                <c:pt idx="892">
                  <c:v>41359</c:v>
                </c:pt>
                <c:pt idx="893">
                  <c:v>41360</c:v>
                </c:pt>
                <c:pt idx="894">
                  <c:v>41361</c:v>
                </c:pt>
                <c:pt idx="895">
                  <c:v>41365</c:v>
                </c:pt>
                <c:pt idx="896">
                  <c:v>41366</c:v>
                </c:pt>
                <c:pt idx="897">
                  <c:v>41367</c:v>
                </c:pt>
                <c:pt idx="898">
                  <c:v>41368</c:v>
                </c:pt>
                <c:pt idx="899">
                  <c:v>41369</c:v>
                </c:pt>
                <c:pt idx="900">
                  <c:v>41372</c:v>
                </c:pt>
                <c:pt idx="901">
                  <c:v>41373</c:v>
                </c:pt>
                <c:pt idx="902">
                  <c:v>41374</c:v>
                </c:pt>
                <c:pt idx="903">
                  <c:v>41375</c:v>
                </c:pt>
                <c:pt idx="904">
                  <c:v>41376</c:v>
                </c:pt>
                <c:pt idx="905">
                  <c:v>41379</c:v>
                </c:pt>
                <c:pt idx="906">
                  <c:v>41380</c:v>
                </c:pt>
                <c:pt idx="907">
                  <c:v>41381</c:v>
                </c:pt>
                <c:pt idx="908">
                  <c:v>41382</c:v>
                </c:pt>
                <c:pt idx="909">
                  <c:v>41383</c:v>
                </c:pt>
                <c:pt idx="910">
                  <c:v>41386</c:v>
                </c:pt>
                <c:pt idx="911">
                  <c:v>41387</c:v>
                </c:pt>
                <c:pt idx="912">
                  <c:v>41388</c:v>
                </c:pt>
                <c:pt idx="913">
                  <c:v>41389</c:v>
                </c:pt>
                <c:pt idx="914">
                  <c:v>41390</c:v>
                </c:pt>
                <c:pt idx="915">
                  <c:v>41393</c:v>
                </c:pt>
                <c:pt idx="916">
                  <c:v>41394</c:v>
                </c:pt>
                <c:pt idx="917">
                  <c:v>41395</c:v>
                </c:pt>
                <c:pt idx="918">
                  <c:v>41396</c:v>
                </c:pt>
                <c:pt idx="919">
                  <c:v>41397</c:v>
                </c:pt>
                <c:pt idx="920">
                  <c:v>41400</c:v>
                </c:pt>
                <c:pt idx="921">
                  <c:v>41401</c:v>
                </c:pt>
                <c:pt idx="922">
                  <c:v>41402</c:v>
                </c:pt>
                <c:pt idx="923">
                  <c:v>41403</c:v>
                </c:pt>
                <c:pt idx="924">
                  <c:v>41404</c:v>
                </c:pt>
                <c:pt idx="925">
                  <c:v>41407</c:v>
                </c:pt>
                <c:pt idx="926">
                  <c:v>41408</c:v>
                </c:pt>
                <c:pt idx="927">
                  <c:v>41409</c:v>
                </c:pt>
                <c:pt idx="928">
                  <c:v>41410</c:v>
                </c:pt>
                <c:pt idx="929">
                  <c:v>41411</c:v>
                </c:pt>
                <c:pt idx="930">
                  <c:v>41414</c:v>
                </c:pt>
                <c:pt idx="931">
                  <c:v>41415</c:v>
                </c:pt>
                <c:pt idx="932">
                  <c:v>41416</c:v>
                </c:pt>
                <c:pt idx="933">
                  <c:v>41417</c:v>
                </c:pt>
                <c:pt idx="934">
                  <c:v>41418</c:v>
                </c:pt>
                <c:pt idx="935">
                  <c:v>41422</c:v>
                </c:pt>
                <c:pt idx="936">
                  <c:v>41423</c:v>
                </c:pt>
                <c:pt idx="937">
                  <c:v>41424</c:v>
                </c:pt>
                <c:pt idx="938">
                  <c:v>41425</c:v>
                </c:pt>
                <c:pt idx="939">
                  <c:v>41428</c:v>
                </c:pt>
                <c:pt idx="940">
                  <c:v>41429</c:v>
                </c:pt>
                <c:pt idx="941">
                  <c:v>41430</c:v>
                </c:pt>
                <c:pt idx="942">
                  <c:v>41431</c:v>
                </c:pt>
                <c:pt idx="943">
                  <c:v>41432</c:v>
                </c:pt>
                <c:pt idx="944">
                  <c:v>41435</c:v>
                </c:pt>
                <c:pt idx="945">
                  <c:v>41436</c:v>
                </c:pt>
                <c:pt idx="946">
                  <c:v>41437</c:v>
                </c:pt>
                <c:pt idx="947">
                  <c:v>41438</c:v>
                </c:pt>
                <c:pt idx="948">
                  <c:v>41439</c:v>
                </c:pt>
                <c:pt idx="949">
                  <c:v>41442</c:v>
                </c:pt>
                <c:pt idx="950">
                  <c:v>41443</c:v>
                </c:pt>
                <c:pt idx="951">
                  <c:v>41444</c:v>
                </c:pt>
                <c:pt idx="952">
                  <c:v>41445</c:v>
                </c:pt>
                <c:pt idx="953">
                  <c:v>41446</c:v>
                </c:pt>
                <c:pt idx="954">
                  <c:v>41449</c:v>
                </c:pt>
                <c:pt idx="955">
                  <c:v>41450</c:v>
                </c:pt>
                <c:pt idx="956">
                  <c:v>41451</c:v>
                </c:pt>
                <c:pt idx="957">
                  <c:v>41452</c:v>
                </c:pt>
                <c:pt idx="958">
                  <c:v>41453</c:v>
                </c:pt>
                <c:pt idx="959">
                  <c:v>41456</c:v>
                </c:pt>
                <c:pt idx="960">
                  <c:v>41457</c:v>
                </c:pt>
                <c:pt idx="961">
                  <c:v>41458</c:v>
                </c:pt>
                <c:pt idx="962">
                  <c:v>41460</c:v>
                </c:pt>
                <c:pt idx="963">
                  <c:v>41463</c:v>
                </c:pt>
                <c:pt idx="964">
                  <c:v>41464</c:v>
                </c:pt>
                <c:pt idx="965">
                  <c:v>41465</c:v>
                </c:pt>
                <c:pt idx="966">
                  <c:v>41466</c:v>
                </c:pt>
                <c:pt idx="967">
                  <c:v>41467</c:v>
                </c:pt>
                <c:pt idx="968">
                  <c:v>41470</c:v>
                </c:pt>
                <c:pt idx="969">
                  <c:v>41471</c:v>
                </c:pt>
                <c:pt idx="970">
                  <c:v>41472</c:v>
                </c:pt>
                <c:pt idx="971">
                  <c:v>41473</c:v>
                </c:pt>
                <c:pt idx="972">
                  <c:v>41474</c:v>
                </c:pt>
                <c:pt idx="973">
                  <c:v>41477</c:v>
                </c:pt>
                <c:pt idx="974">
                  <c:v>41478</c:v>
                </c:pt>
                <c:pt idx="975">
                  <c:v>41479</c:v>
                </c:pt>
                <c:pt idx="976">
                  <c:v>41480</c:v>
                </c:pt>
                <c:pt idx="977">
                  <c:v>41481</c:v>
                </c:pt>
                <c:pt idx="978">
                  <c:v>41484</c:v>
                </c:pt>
                <c:pt idx="979">
                  <c:v>41485</c:v>
                </c:pt>
                <c:pt idx="980">
                  <c:v>41486</c:v>
                </c:pt>
                <c:pt idx="981">
                  <c:v>41487</c:v>
                </c:pt>
                <c:pt idx="982">
                  <c:v>41488</c:v>
                </c:pt>
                <c:pt idx="983">
                  <c:v>41491</c:v>
                </c:pt>
                <c:pt idx="984">
                  <c:v>41492</c:v>
                </c:pt>
                <c:pt idx="985">
                  <c:v>41493</c:v>
                </c:pt>
                <c:pt idx="986">
                  <c:v>41494</c:v>
                </c:pt>
                <c:pt idx="987">
                  <c:v>41495</c:v>
                </c:pt>
                <c:pt idx="988">
                  <c:v>41498</c:v>
                </c:pt>
                <c:pt idx="989">
                  <c:v>41499</c:v>
                </c:pt>
                <c:pt idx="990">
                  <c:v>41500</c:v>
                </c:pt>
                <c:pt idx="991">
                  <c:v>41501</c:v>
                </c:pt>
                <c:pt idx="992">
                  <c:v>41502</c:v>
                </c:pt>
                <c:pt idx="993">
                  <c:v>41505</c:v>
                </c:pt>
                <c:pt idx="994">
                  <c:v>41506</c:v>
                </c:pt>
                <c:pt idx="995">
                  <c:v>41507</c:v>
                </c:pt>
                <c:pt idx="996">
                  <c:v>41508</c:v>
                </c:pt>
                <c:pt idx="997">
                  <c:v>41509</c:v>
                </c:pt>
                <c:pt idx="998">
                  <c:v>41512</c:v>
                </c:pt>
                <c:pt idx="999">
                  <c:v>41513</c:v>
                </c:pt>
                <c:pt idx="1000">
                  <c:v>41514</c:v>
                </c:pt>
                <c:pt idx="1001">
                  <c:v>41515</c:v>
                </c:pt>
                <c:pt idx="1002">
                  <c:v>41516</c:v>
                </c:pt>
                <c:pt idx="1003">
                  <c:v>41520</c:v>
                </c:pt>
                <c:pt idx="1004">
                  <c:v>41521</c:v>
                </c:pt>
                <c:pt idx="1005">
                  <c:v>41522</c:v>
                </c:pt>
                <c:pt idx="1006">
                  <c:v>41523</c:v>
                </c:pt>
                <c:pt idx="1007">
                  <c:v>41526</c:v>
                </c:pt>
                <c:pt idx="1008">
                  <c:v>41527</c:v>
                </c:pt>
                <c:pt idx="1009">
                  <c:v>41528</c:v>
                </c:pt>
                <c:pt idx="1010">
                  <c:v>41529</c:v>
                </c:pt>
                <c:pt idx="1011">
                  <c:v>41530</c:v>
                </c:pt>
                <c:pt idx="1012">
                  <c:v>41533</c:v>
                </c:pt>
                <c:pt idx="1013">
                  <c:v>41534</c:v>
                </c:pt>
                <c:pt idx="1014">
                  <c:v>41535</c:v>
                </c:pt>
                <c:pt idx="1015">
                  <c:v>41536</c:v>
                </c:pt>
                <c:pt idx="1016">
                  <c:v>41537</c:v>
                </c:pt>
                <c:pt idx="1017">
                  <c:v>41540</c:v>
                </c:pt>
                <c:pt idx="1018">
                  <c:v>41541</c:v>
                </c:pt>
                <c:pt idx="1019">
                  <c:v>41542</c:v>
                </c:pt>
                <c:pt idx="1020">
                  <c:v>41543</c:v>
                </c:pt>
                <c:pt idx="1021">
                  <c:v>41544</c:v>
                </c:pt>
                <c:pt idx="1022">
                  <c:v>41547</c:v>
                </c:pt>
                <c:pt idx="1023">
                  <c:v>41548</c:v>
                </c:pt>
                <c:pt idx="1024">
                  <c:v>41549</c:v>
                </c:pt>
                <c:pt idx="1025">
                  <c:v>41550</c:v>
                </c:pt>
                <c:pt idx="1026">
                  <c:v>41551</c:v>
                </c:pt>
                <c:pt idx="1027">
                  <c:v>41554</c:v>
                </c:pt>
                <c:pt idx="1028">
                  <c:v>41555</c:v>
                </c:pt>
                <c:pt idx="1029">
                  <c:v>41556</c:v>
                </c:pt>
                <c:pt idx="1030">
                  <c:v>41557</c:v>
                </c:pt>
                <c:pt idx="1031">
                  <c:v>41558</c:v>
                </c:pt>
                <c:pt idx="1032">
                  <c:v>41562</c:v>
                </c:pt>
                <c:pt idx="1033">
                  <c:v>41563</c:v>
                </c:pt>
                <c:pt idx="1034">
                  <c:v>41564</c:v>
                </c:pt>
                <c:pt idx="1035">
                  <c:v>41565</c:v>
                </c:pt>
                <c:pt idx="1036">
                  <c:v>41568</c:v>
                </c:pt>
                <c:pt idx="1037">
                  <c:v>41569</c:v>
                </c:pt>
                <c:pt idx="1038">
                  <c:v>41570</c:v>
                </c:pt>
                <c:pt idx="1039">
                  <c:v>41571</c:v>
                </c:pt>
                <c:pt idx="1040">
                  <c:v>41572</c:v>
                </c:pt>
                <c:pt idx="1041">
                  <c:v>41575</c:v>
                </c:pt>
                <c:pt idx="1042">
                  <c:v>41576</c:v>
                </c:pt>
                <c:pt idx="1043">
                  <c:v>41577</c:v>
                </c:pt>
                <c:pt idx="1044">
                  <c:v>41578</c:v>
                </c:pt>
                <c:pt idx="1045">
                  <c:v>41579</c:v>
                </c:pt>
                <c:pt idx="1046">
                  <c:v>41582</c:v>
                </c:pt>
                <c:pt idx="1047">
                  <c:v>41583</c:v>
                </c:pt>
                <c:pt idx="1048">
                  <c:v>41584</c:v>
                </c:pt>
                <c:pt idx="1049">
                  <c:v>41585</c:v>
                </c:pt>
                <c:pt idx="1050">
                  <c:v>41586</c:v>
                </c:pt>
                <c:pt idx="1051">
                  <c:v>41590</c:v>
                </c:pt>
                <c:pt idx="1052">
                  <c:v>41591</c:v>
                </c:pt>
                <c:pt idx="1053">
                  <c:v>41592</c:v>
                </c:pt>
                <c:pt idx="1054">
                  <c:v>41593</c:v>
                </c:pt>
                <c:pt idx="1055">
                  <c:v>41596</c:v>
                </c:pt>
                <c:pt idx="1056">
                  <c:v>41597</c:v>
                </c:pt>
                <c:pt idx="1057">
                  <c:v>41598</c:v>
                </c:pt>
                <c:pt idx="1058">
                  <c:v>41599</c:v>
                </c:pt>
                <c:pt idx="1059">
                  <c:v>41600</c:v>
                </c:pt>
                <c:pt idx="1060">
                  <c:v>41611</c:v>
                </c:pt>
                <c:pt idx="1061">
                  <c:v>41612</c:v>
                </c:pt>
                <c:pt idx="1062">
                  <c:v>41613</c:v>
                </c:pt>
                <c:pt idx="1063">
                  <c:v>41614</c:v>
                </c:pt>
                <c:pt idx="1064">
                  <c:v>41617</c:v>
                </c:pt>
                <c:pt idx="1065">
                  <c:v>41618</c:v>
                </c:pt>
                <c:pt idx="1066">
                  <c:v>41619</c:v>
                </c:pt>
                <c:pt idx="1067">
                  <c:v>41620</c:v>
                </c:pt>
                <c:pt idx="1068">
                  <c:v>41621</c:v>
                </c:pt>
                <c:pt idx="1069">
                  <c:v>41624</c:v>
                </c:pt>
                <c:pt idx="1070">
                  <c:v>41625</c:v>
                </c:pt>
                <c:pt idx="1071">
                  <c:v>41626</c:v>
                </c:pt>
                <c:pt idx="1072">
                  <c:v>41627</c:v>
                </c:pt>
                <c:pt idx="1073">
                  <c:v>41628</c:v>
                </c:pt>
                <c:pt idx="1074">
                  <c:v>41631</c:v>
                </c:pt>
                <c:pt idx="1075">
                  <c:v>41632</c:v>
                </c:pt>
                <c:pt idx="1076">
                  <c:v>41634</c:v>
                </c:pt>
                <c:pt idx="1077">
                  <c:v>41635</c:v>
                </c:pt>
                <c:pt idx="1078">
                  <c:v>41638</c:v>
                </c:pt>
                <c:pt idx="1079">
                  <c:v>41639</c:v>
                </c:pt>
                <c:pt idx="1080">
                  <c:v>41641</c:v>
                </c:pt>
                <c:pt idx="1081">
                  <c:v>41642</c:v>
                </c:pt>
                <c:pt idx="1082">
                  <c:v>41645</c:v>
                </c:pt>
                <c:pt idx="1083">
                  <c:v>41646</c:v>
                </c:pt>
                <c:pt idx="1084">
                  <c:v>41647</c:v>
                </c:pt>
                <c:pt idx="1085">
                  <c:v>41648</c:v>
                </c:pt>
                <c:pt idx="1086">
                  <c:v>41649</c:v>
                </c:pt>
                <c:pt idx="1087">
                  <c:v>41652</c:v>
                </c:pt>
                <c:pt idx="1088">
                  <c:v>41653</c:v>
                </c:pt>
                <c:pt idx="1089">
                  <c:v>41654</c:v>
                </c:pt>
                <c:pt idx="1090">
                  <c:v>41655</c:v>
                </c:pt>
                <c:pt idx="1091">
                  <c:v>41656</c:v>
                </c:pt>
                <c:pt idx="1092">
                  <c:v>41660</c:v>
                </c:pt>
                <c:pt idx="1093">
                  <c:v>41661</c:v>
                </c:pt>
                <c:pt idx="1094">
                  <c:v>41662</c:v>
                </c:pt>
                <c:pt idx="1095">
                  <c:v>41663</c:v>
                </c:pt>
                <c:pt idx="1096">
                  <c:v>41666</c:v>
                </c:pt>
                <c:pt idx="1097">
                  <c:v>41667</c:v>
                </c:pt>
                <c:pt idx="1098">
                  <c:v>41668</c:v>
                </c:pt>
                <c:pt idx="1099">
                  <c:v>41669</c:v>
                </c:pt>
                <c:pt idx="1100">
                  <c:v>41670</c:v>
                </c:pt>
                <c:pt idx="1101">
                  <c:v>41673</c:v>
                </c:pt>
                <c:pt idx="1102">
                  <c:v>41674</c:v>
                </c:pt>
                <c:pt idx="1103">
                  <c:v>41675</c:v>
                </c:pt>
                <c:pt idx="1104">
                  <c:v>41676</c:v>
                </c:pt>
                <c:pt idx="1105">
                  <c:v>41677</c:v>
                </c:pt>
                <c:pt idx="1106">
                  <c:v>41680</c:v>
                </c:pt>
                <c:pt idx="1107">
                  <c:v>41681</c:v>
                </c:pt>
                <c:pt idx="1108">
                  <c:v>41682</c:v>
                </c:pt>
                <c:pt idx="1109">
                  <c:v>41683</c:v>
                </c:pt>
                <c:pt idx="1110">
                  <c:v>41684</c:v>
                </c:pt>
                <c:pt idx="1111">
                  <c:v>41688</c:v>
                </c:pt>
                <c:pt idx="1112">
                  <c:v>41689</c:v>
                </c:pt>
                <c:pt idx="1113">
                  <c:v>41690</c:v>
                </c:pt>
                <c:pt idx="1114">
                  <c:v>41691</c:v>
                </c:pt>
                <c:pt idx="1115">
                  <c:v>41694</c:v>
                </c:pt>
                <c:pt idx="1116">
                  <c:v>41695</c:v>
                </c:pt>
                <c:pt idx="1117">
                  <c:v>41696</c:v>
                </c:pt>
                <c:pt idx="1118">
                  <c:v>41697</c:v>
                </c:pt>
                <c:pt idx="1119">
                  <c:v>41698</c:v>
                </c:pt>
                <c:pt idx="1120">
                  <c:v>41701</c:v>
                </c:pt>
                <c:pt idx="1121">
                  <c:v>41702</c:v>
                </c:pt>
                <c:pt idx="1122">
                  <c:v>41703</c:v>
                </c:pt>
                <c:pt idx="1123">
                  <c:v>41704</c:v>
                </c:pt>
                <c:pt idx="1124">
                  <c:v>41705</c:v>
                </c:pt>
                <c:pt idx="1125">
                  <c:v>41708</c:v>
                </c:pt>
                <c:pt idx="1126">
                  <c:v>41709</c:v>
                </c:pt>
                <c:pt idx="1127">
                  <c:v>41710</c:v>
                </c:pt>
                <c:pt idx="1128">
                  <c:v>41711</c:v>
                </c:pt>
                <c:pt idx="1129">
                  <c:v>41712</c:v>
                </c:pt>
                <c:pt idx="1130">
                  <c:v>41715</c:v>
                </c:pt>
                <c:pt idx="1131">
                  <c:v>41716</c:v>
                </c:pt>
                <c:pt idx="1132">
                  <c:v>41717</c:v>
                </c:pt>
                <c:pt idx="1133">
                  <c:v>41718</c:v>
                </c:pt>
                <c:pt idx="1134">
                  <c:v>41719</c:v>
                </c:pt>
                <c:pt idx="1135">
                  <c:v>41722</c:v>
                </c:pt>
                <c:pt idx="1136">
                  <c:v>41723</c:v>
                </c:pt>
                <c:pt idx="1137">
                  <c:v>41724</c:v>
                </c:pt>
                <c:pt idx="1138">
                  <c:v>41725</c:v>
                </c:pt>
                <c:pt idx="1139">
                  <c:v>41726</c:v>
                </c:pt>
                <c:pt idx="1140">
                  <c:v>41729</c:v>
                </c:pt>
                <c:pt idx="1141">
                  <c:v>41730</c:v>
                </c:pt>
                <c:pt idx="1142">
                  <c:v>41731</c:v>
                </c:pt>
                <c:pt idx="1143">
                  <c:v>41732</c:v>
                </c:pt>
                <c:pt idx="1144">
                  <c:v>41733</c:v>
                </c:pt>
                <c:pt idx="1145">
                  <c:v>41736</c:v>
                </c:pt>
                <c:pt idx="1146">
                  <c:v>41737</c:v>
                </c:pt>
                <c:pt idx="1147">
                  <c:v>41738</c:v>
                </c:pt>
                <c:pt idx="1148">
                  <c:v>41739</c:v>
                </c:pt>
                <c:pt idx="1149">
                  <c:v>41740</c:v>
                </c:pt>
                <c:pt idx="1150">
                  <c:v>41743</c:v>
                </c:pt>
                <c:pt idx="1151">
                  <c:v>41744</c:v>
                </c:pt>
                <c:pt idx="1152">
                  <c:v>41745</c:v>
                </c:pt>
                <c:pt idx="1153">
                  <c:v>41746</c:v>
                </c:pt>
                <c:pt idx="1154">
                  <c:v>41750</c:v>
                </c:pt>
                <c:pt idx="1155">
                  <c:v>41751</c:v>
                </c:pt>
                <c:pt idx="1156">
                  <c:v>41752</c:v>
                </c:pt>
                <c:pt idx="1157">
                  <c:v>41753</c:v>
                </c:pt>
                <c:pt idx="1158">
                  <c:v>41754</c:v>
                </c:pt>
                <c:pt idx="1159">
                  <c:v>41757</c:v>
                </c:pt>
                <c:pt idx="1160">
                  <c:v>41758</c:v>
                </c:pt>
                <c:pt idx="1161">
                  <c:v>41759</c:v>
                </c:pt>
                <c:pt idx="1162">
                  <c:v>41760</c:v>
                </c:pt>
                <c:pt idx="1163">
                  <c:v>41761</c:v>
                </c:pt>
                <c:pt idx="1164">
                  <c:v>41764</c:v>
                </c:pt>
                <c:pt idx="1165">
                  <c:v>41765</c:v>
                </c:pt>
                <c:pt idx="1166">
                  <c:v>41766</c:v>
                </c:pt>
                <c:pt idx="1167">
                  <c:v>41767</c:v>
                </c:pt>
                <c:pt idx="1168">
                  <c:v>41768</c:v>
                </c:pt>
                <c:pt idx="1169">
                  <c:v>41771</c:v>
                </c:pt>
                <c:pt idx="1170">
                  <c:v>41772</c:v>
                </c:pt>
                <c:pt idx="1171">
                  <c:v>41773</c:v>
                </c:pt>
                <c:pt idx="1172">
                  <c:v>41774</c:v>
                </c:pt>
                <c:pt idx="1173">
                  <c:v>41775</c:v>
                </c:pt>
                <c:pt idx="1174">
                  <c:v>41778</c:v>
                </c:pt>
                <c:pt idx="1175">
                  <c:v>41779</c:v>
                </c:pt>
                <c:pt idx="1176">
                  <c:v>41780</c:v>
                </c:pt>
                <c:pt idx="1177">
                  <c:v>41781</c:v>
                </c:pt>
                <c:pt idx="1178">
                  <c:v>41782</c:v>
                </c:pt>
                <c:pt idx="1179">
                  <c:v>41786</c:v>
                </c:pt>
                <c:pt idx="1180">
                  <c:v>41787</c:v>
                </c:pt>
                <c:pt idx="1181">
                  <c:v>41788</c:v>
                </c:pt>
                <c:pt idx="1182">
                  <c:v>41789</c:v>
                </c:pt>
                <c:pt idx="1183">
                  <c:v>41792</c:v>
                </c:pt>
                <c:pt idx="1184">
                  <c:v>41793</c:v>
                </c:pt>
                <c:pt idx="1185">
                  <c:v>41794</c:v>
                </c:pt>
                <c:pt idx="1186">
                  <c:v>41795</c:v>
                </c:pt>
                <c:pt idx="1187">
                  <c:v>41796</c:v>
                </c:pt>
                <c:pt idx="1188">
                  <c:v>41799</c:v>
                </c:pt>
                <c:pt idx="1189">
                  <c:v>41800</c:v>
                </c:pt>
                <c:pt idx="1190">
                  <c:v>41801</c:v>
                </c:pt>
                <c:pt idx="1191">
                  <c:v>41802</c:v>
                </c:pt>
                <c:pt idx="1192">
                  <c:v>41803</c:v>
                </c:pt>
                <c:pt idx="1193">
                  <c:v>41806</c:v>
                </c:pt>
                <c:pt idx="1194">
                  <c:v>41807</c:v>
                </c:pt>
                <c:pt idx="1195">
                  <c:v>41808</c:v>
                </c:pt>
                <c:pt idx="1196">
                  <c:v>41809</c:v>
                </c:pt>
                <c:pt idx="1197">
                  <c:v>41810</c:v>
                </c:pt>
                <c:pt idx="1198">
                  <c:v>41813</c:v>
                </c:pt>
                <c:pt idx="1199">
                  <c:v>41814</c:v>
                </c:pt>
                <c:pt idx="1200">
                  <c:v>41815</c:v>
                </c:pt>
                <c:pt idx="1201">
                  <c:v>41816</c:v>
                </c:pt>
                <c:pt idx="1202">
                  <c:v>41817</c:v>
                </c:pt>
                <c:pt idx="1203">
                  <c:v>41820</c:v>
                </c:pt>
                <c:pt idx="1204">
                  <c:v>41821</c:v>
                </c:pt>
                <c:pt idx="1205">
                  <c:v>41822</c:v>
                </c:pt>
                <c:pt idx="1206">
                  <c:v>41823</c:v>
                </c:pt>
                <c:pt idx="1207">
                  <c:v>41827</c:v>
                </c:pt>
                <c:pt idx="1208">
                  <c:v>41828</c:v>
                </c:pt>
                <c:pt idx="1209">
                  <c:v>41829</c:v>
                </c:pt>
                <c:pt idx="1210">
                  <c:v>41830</c:v>
                </c:pt>
                <c:pt idx="1211">
                  <c:v>41831</c:v>
                </c:pt>
                <c:pt idx="1212">
                  <c:v>41834</c:v>
                </c:pt>
                <c:pt idx="1213">
                  <c:v>41835</c:v>
                </c:pt>
                <c:pt idx="1214">
                  <c:v>41836</c:v>
                </c:pt>
                <c:pt idx="1215">
                  <c:v>41837</c:v>
                </c:pt>
                <c:pt idx="1216">
                  <c:v>41838</c:v>
                </c:pt>
                <c:pt idx="1217">
                  <c:v>41841</c:v>
                </c:pt>
                <c:pt idx="1218">
                  <c:v>41842</c:v>
                </c:pt>
                <c:pt idx="1219">
                  <c:v>41843</c:v>
                </c:pt>
                <c:pt idx="1220">
                  <c:v>41844</c:v>
                </c:pt>
                <c:pt idx="1221">
                  <c:v>41845</c:v>
                </c:pt>
                <c:pt idx="1222">
                  <c:v>41848</c:v>
                </c:pt>
                <c:pt idx="1223">
                  <c:v>41849</c:v>
                </c:pt>
                <c:pt idx="1224">
                  <c:v>41850</c:v>
                </c:pt>
                <c:pt idx="1225">
                  <c:v>41851</c:v>
                </c:pt>
                <c:pt idx="1226">
                  <c:v>41852</c:v>
                </c:pt>
                <c:pt idx="1227">
                  <c:v>41855</c:v>
                </c:pt>
                <c:pt idx="1228">
                  <c:v>41856</c:v>
                </c:pt>
                <c:pt idx="1229">
                  <c:v>41857</c:v>
                </c:pt>
                <c:pt idx="1230">
                  <c:v>41858</c:v>
                </c:pt>
                <c:pt idx="1231">
                  <c:v>41859</c:v>
                </c:pt>
                <c:pt idx="1232">
                  <c:v>41862</c:v>
                </c:pt>
                <c:pt idx="1233">
                  <c:v>41863</c:v>
                </c:pt>
                <c:pt idx="1234">
                  <c:v>41864</c:v>
                </c:pt>
                <c:pt idx="1235">
                  <c:v>41865</c:v>
                </c:pt>
                <c:pt idx="1236">
                  <c:v>41866</c:v>
                </c:pt>
                <c:pt idx="1237">
                  <c:v>41869</c:v>
                </c:pt>
                <c:pt idx="1238">
                  <c:v>41870</c:v>
                </c:pt>
                <c:pt idx="1239">
                  <c:v>41871</c:v>
                </c:pt>
                <c:pt idx="1240">
                  <c:v>41872</c:v>
                </c:pt>
                <c:pt idx="1241">
                  <c:v>41873</c:v>
                </c:pt>
                <c:pt idx="1242">
                  <c:v>41876</c:v>
                </c:pt>
                <c:pt idx="1243">
                  <c:v>41877</c:v>
                </c:pt>
                <c:pt idx="1244">
                  <c:v>41878</c:v>
                </c:pt>
                <c:pt idx="1245">
                  <c:v>41879</c:v>
                </c:pt>
                <c:pt idx="1246">
                  <c:v>41880</c:v>
                </c:pt>
                <c:pt idx="1247">
                  <c:v>41884</c:v>
                </c:pt>
                <c:pt idx="1248">
                  <c:v>41885</c:v>
                </c:pt>
                <c:pt idx="1249">
                  <c:v>41886</c:v>
                </c:pt>
                <c:pt idx="1250">
                  <c:v>41887</c:v>
                </c:pt>
                <c:pt idx="1251">
                  <c:v>41890</c:v>
                </c:pt>
                <c:pt idx="1252">
                  <c:v>41891</c:v>
                </c:pt>
                <c:pt idx="1253">
                  <c:v>41892</c:v>
                </c:pt>
                <c:pt idx="1254">
                  <c:v>41893</c:v>
                </c:pt>
                <c:pt idx="1255">
                  <c:v>41894</c:v>
                </c:pt>
                <c:pt idx="1256">
                  <c:v>41897</c:v>
                </c:pt>
                <c:pt idx="1257">
                  <c:v>41898</c:v>
                </c:pt>
                <c:pt idx="1258">
                  <c:v>41899</c:v>
                </c:pt>
                <c:pt idx="1259">
                  <c:v>41900</c:v>
                </c:pt>
                <c:pt idx="1260">
                  <c:v>41901</c:v>
                </c:pt>
                <c:pt idx="1261">
                  <c:v>41904</c:v>
                </c:pt>
                <c:pt idx="1262">
                  <c:v>41905</c:v>
                </c:pt>
                <c:pt idx="1263">
                  <c:v>41906</c:v>
                </c:pt>
                <c:pt idx="1264">
                  <c:v>41907</c:v>
                </c:pt>
                <c:pt idx="1265">
                  <c:v>41908</c:v>
                </c:pt>
                <c:pt idx="1266">
                  <c:v>41911</c:v>
                </c:pt>
                <c:pt idx="1267">
                  <c:v>41912</c:v>
                </c:pt>
                <c:pt idx="1268">
                  <c:v>41913</c:v>
                </c:pt>
                <c:pt idx="1269">
                  <c:v>41914</c:v>
                </c:pt>
                <c:pt idx="1270">
                  <c:v>41915</c:v>
                </c:pt>
                <c:pt idx="1271">
                  <c:v>41918</c:v>
                </c:pt>
                <c:pt idx="1272">
                  <c:v>41919</c:v>
                </c:pt>
                <c:pt idx="1273">
                  <c:v>41920</c:v>
                </c:pt>
                <c:pt idx="1274">
                  <c:v>41921</c:v>
                </c:pt>
                <c:pt idx="1275">
                  <c:v>41922</c:v>
                </c:pt>
                <c:pt idx="1276">
                  <c:v>41926</c:v>
                </c:pt>
                <c:pt idx="1277">
                  <c:v>41927</c:v>
                </c:pt>
                <c:pt idx="1278">
                  <c:v>41928</c:v>
                </c:pt>
                <c:pt idx="1279">
                  <c:v>41929</c:v>
                </c:pt>
                <c:pt idx="1280">
                  <c:v>41932</c:v>
                </c:pt>
                <c:pt idx="1281">
                  <c:v>41933</c:v>
                </c:pt>
                <c:pt idx="1282">
                  <c:v>41934</c:v>
                </c:pt>
                <c:pt idx="1283">
                  <c:v>41935</c:v>
                </c:pt>
                <c:pt idx="1284">
                  <c:v>41936</c:v>
                </c:pt>
                <c:pt idx="1285">
                  <c:v>41939</c:v>
                </c:pt>
                <c:pt idx="1286">
                  <c:v>41940</c:v>
                </c:pt>
                <c:pt idx="1287">
                  <c:v>41941</c:v>
                </c:pt>
                <c:pt idx="1288">
                  <c:v>41942</c:v>
                </c:pt>
                <c:pt idx="1289">
                  <c:v>41943</c:v>
                </c:pt>
                <c:pt idx="1290">
                  <c:v>41946</c:v>
                </c:pt>
                <c:pt idx="1291">
                  <c:v>41947</c:v>
                </c:pt>
                <c:pt idx="1292">
                  <c:v>41948</c:v>
                </c:pt>
                <c:pt idx="1293">
                  <c:v>41949</c:v>
                </c:pt>
                <c:pt idx="1294">
                  <c:v>41950</c:v>
                </c:pt>
                <c:pt idx="1295">
                  <c:v>41953</c:v>
                </c:pt>
                <c:pt idx="1296">
                  <c:v>41955</c:v>
                </c:pt>
                <c:pt idx="1297">
                  <c:v>41956</c:v>
                </c:pt>
                <c:pt idx="1298">
                  <c:v>41957</c:v>
                </c:pt>
                <c:pt idx="1299">
                  <c:v>41960</c:v>
                </c:pt>
                <c:pt idx="1300">
                  <c:v>41961</c:v>
                </c:pt>
                <c:pt idx="1301">
                  <c:v>41962</c:v>
                </c:pt>
                <c:pt idx="1302">
                  <c:v>41963</c:v>
                </c:pt>
                <c:pt idx="1303">
                  <c:v>41964</c:v>
                </c:pt>
                <c:pt idx="1304">
                  <c:v>41967</c:v>
                </c:pt>
                <c:pt idx="1305">
                  <c:v>41968</c:v>
                </c:pt>
                <c:pt idx="1306">
                  <c:v>41969</c:v>
                </c:pt>
                <c:pt idx="1307">
                  <c:v>41971</c:v>
                </c:pt>
                <c:pt idx="1308">
                  <c:v>41974</c:v>
                </c:pt>
                <c:pt idx="1309">
                  <c:v>41975</c:v>
                </c:pt>
                <c:pt idx="1310">
                  <c:v>41976</c:v>
                </c:pt>
                <c:pt idx="1311">
                  <c:v>41977</c:v>
                </c:pt>
                <c:pt idx="1312">
                  <c:v>41978</c:v>
                </c:pt>
                <c:pt idx="1313">
                  <c:v>41981</c:v>
                </c:pt>
                <c:pt idx="1314">
                  <c:v>41982</c:v>
                </c:pt>
                <c:pt idx="1315">
                  <c:v>41983</c:v>
                </c:pt>
                <c:pt idx="1316">
                  <c:v>41984</c:v>
                </c:pt>
                <c:pt idx="1317">
                  <c:v>41985</c:v>
                </c:pt>
                <c:pt idx="1318">
                  <c:v>41988</c:v>
                </c:pt>
                <c:pt idx="1319">
                  <c:v>41989</c:v>
                </c:pt>
                <c:pt idx="1320">
                  <c:v>41990</c:v>
                </c:pt>
                <c:pt idx="1321">
                  <c:v>41991</c:v>
                </c:pt>
                <c:pt idx="1322">
                  <c:v>41992</c:v>
                </c:pt>
                <c:pt idx="1323">
                  <c:v>41995</c:v>
                </c:pt>
                <c:pt idx="1324">
                  <c:v>41996</c:v>
                </c:pt>
                <c:pt idx="1325">
                  <c:v>41997</c:v>
                </c:pt>
                <c:pt idx="1326">
                  <c:v>41999</c:v>
                </c:pt>
                <c:pt idx="1327">
                  <c:v>42002</c:v>
                </c:pt>
                <c:pt idx="1328">
                  <c:v>42003</c:v>
                </c:pt>
                <c:pt idx="1329">
                  <c:v>42004</c:v>
                </c:pt>
                <c:pt idx="1330">
                  <c:v>42006</c:v>
                </c:pt>
                <c:pt idx="1331">
                  <c:v>42009</c:v>
                </c:pt>
                <c:pt idx="1332">
                  <c:v>42010</c:v>
                </c:pt>
                <c:pt idx="1333">
                  <c:v>42011</c:v>
                </c:pt>
                <c:pt idx="1334">
                  <c:v>42012</c:v>
                </c:pt>
                <c:pt idx="1335">
                  <c:v>42013</c:v>
                </c:pt>
                <c:pt idx="1336">
                  <c:v>42016</c:v>
                </c:pt>
                <c:pt idx="1337">
                  <c:v>42017</c:v>
                </c:pt>
                <c:pt idx="1338">
                  <c:v>42018</c:v>
                </c:pt>
                <c:pt idx="1339">
                  <c:v>42019</c:v>
                </c:pt>
                <c:pt idx="1340">
                  <c:v>42020</c:v>
                </c:pt>
                <c:pt idx="1341">
                  <c:v>42024</c:v>
                </c:pt>
                <c:pt idx="1342">
                  <c:v>42025</c:v>
                </c:pt>
                <c:pt idx="1343">
                  <c:v>42026</c:v>
                </c:pt>
                <c:pt idx="1344">
                  <c:v>42027</c:v>
                </c:pt>
                <c:pt idx="1345">
                  <c:v>42030</c:v>
                </c:pt>
                <c:pt idx="1346">
                  <c:v>42031</c:v>
                </c:pt>
                <c:pt idx="1347">
                  <c:v>42032</c:v>
                </c:pt>
                <c:pt idx="1348">
                  <c:v>42033</c:v>
                </c:pt>
                <c:pt idx="1349">
                  <c:v>42034</c:v>
                </c:pt>
                <c:pt idx="1350">
                  <c:v>42037</c:v>
                </c:pt>
                <c:pt idx="1351">
                  <c:v>42038</c:v>
                </c:pt>
                <c:pt idx="1352">
                  <c:v>42039</c:v>
                </c:pt>
                <c:pt idx="1353">
                  <c:v>42040</c:v>
                </c:pt>
                <c:pt idx="1354">
                  <c:v>42041</c:v>
                </c:pt>
                <c:pt idx="1355">
                  <c:v>42044</c:v>
                </c:pt>
                <c:pt idx="1356">
                  <c:v>42045</c:v>
                </c:pt>
                <c:pt idx="1357">
                  <c:v>42046</c:v>
                </c:pt>
                <c:pt idx="1358">
                  <c:v>42047</c:v>
                </c:pt>
                <c:pt idx="1359">
                  <c:v>42048</c:v>
                </c:pt>
                <c:pt idx="1360">
                  <c:v>42052</c:v>
                </c:pt>
                <c:pt idx="1361">
                  <c:v>42053</c:v>
                </c:pt>
                <c:pt idx="1362">
                  <c:v>42054</c:v>
                </c:pt>
                <c:pt idx="1363">
                  <c:v>42055</c:v>
                </c:pt>
                <c:pt idx="1364">
                  <c:v>42058</c:v>
                </c:pt>
                <c:pt idx="1365">
                  <c:v>42059</c:v>
                </c:pt>
                <c:pt idx="1366">
                  <c:v>42060</c:v>
                </c:pt>
                <c:pt idx="1367">
                  <c:v>42061</c:v>
                </c:pt>
                <c:pt idx="1368">
                  <c:v>42062</c:v>
                </c:pt>
                <c:pt idx="1369">
                  <c:v>42065</c:v>
                </c:pt>
                <c:pt idx="1370">
                  <c:v>42066</c:v>
                </c:pt>
                <c:pt idx="1371">
                  <c:v>42067</c:v>
                </c:pt>
                <c:pt idx="1372">
                  <c:v>42068</c:v>
                </c:pt>
                <c:pt idx="1373">
                  <c:v>42069</c:v>
                </c:pt>
                <c:pt idx="1374">
                  <c:v>42072</c:v>
                </c:pt>
                <c:pt idx="1375">
                  <c:v>42073</c:v>
                </c:pt>
                <c:pt idx="1376">
                  <c:v>42074</c:v>
                </c:pt>
                <c:pt idx="1377">
                  <c:v>42075</c:v>
                </c:pt>
                <c:pt idx="1378">
                  <c:v>42076</c:v>
                </c:pt>
                <c:pt idx="1379">
                  <c:v>42079</c:v>
                </c:pt>
                <c:pt idx="1380">
                  <c:v>42080</c:v>
                </c:pt>
                <c:pt idx="1381">
                  <c:v>42081</c:v>
                </c:pt>
                <c:pt idx="1382">
                  <c:v>42082</c:v>
                </c:pt>
                <c:pt idx="1383">
                  <c:v>42083</c:v>
                </c:pt>
                <c:pt idx="1384">
                  <c:v>42086</c:v>
                </c:pt>
                <c:pt idx="1385">
                  <c:v>42087</c:v>
                </c:pt>
                <c:pt idx="1386">
                  <c:v>42088</c:v>
                </c:pt>
                <c:pt idx="1387">
                  <c:v>42089</c:v>
                </c:pt>
                <c:pt idx="1388">
                  <c:v>42090</c:v>
                </c:pt>
                <c:pt idx="1389">
                  <c:v>42093</c:v>
                </c:pt>
                <c:pt idx="1390">
                  <c:v>42094</c:v>
                </c:pt>
              </c:numCache>
            </c:numRef>
          </c:cat>
          <c:val>
            <c:numRef>
              <c:f>Result!$F$3:$F$1393</c:f>
              <c:numCache>
                <c:formatCode>General</c:formatCode>
                <c:ptCount val="1391"/>
                <c:pt idx="0">
                  <c:v>123.4585219832</c:v>
                </c:pt>
                <c:pt idx="1">
                  <c:v>123.5262562552</c:v>
                </c:pt>
                <c:pt idx="2">
                  <c:v>123.16319729280001</c:v>
                </c:pt>
                <c:pt idx="3">
                  <c:v>122.8906149856</c:v>
                </c:pt>
                <c:pt idx="4">
                  <c:v>122.8855707167</c:v>
                </c:pt>
                <c:pt idx="5">
                  <c:v>122.5010360127</c:v>
                </c:pt>
                <c:pt idx="6">
                  <c:v>122.998907565</c:v>
                </c:pt>
                <c:pt idx="7">
                  <c:v>122.0846710406</c:v>
                </c:pt>
                <c:pt idx="8">
                  <c:v>122.4534215157</c:v>
                </c:pt>
                <c:pt idx="9">
                  <c:v>123.01717188240001</c:v>
                </c:pt>
                <c:pt idx="10">
                  <c:v>123.95362478520001</c:v>
                </c:pt>
                <c:pt idx="11">
                  <c:v>125.23750402020001</c:v>
                </c:pt>
                <c:pt idx="12">
                  <c:v>126.2076110496</c:v>
                </c:pt>
                <c:pt idx="13">
                  <c:v>124.5479812506</c:v>
                </c:pt>
                <c:pt idx="14">
                  <c:v>123.4398959028</c:v>
                </c:pt>
                <c:pt idx="15">
                  <c:v>122.11296408139999</c:v>
                </c:pt>
                <c:pt idx="16">
                  <c:v>122.39351821619999</c:v>
                </c:pt>
                <c:pt idx="17">
                  <c:v>120.071855304</c:v>
                </c:pt>
                <c:pt idx="18">
                  <c:v>119.30915443719999</c:v>
                </c:pt>
                <c:pt idx="19">
                  <c:v>118.1021391108</c:v>
                </c:pt>
                <c:pt idx="20">
                  <c:v>117.6171270752</c:v>
                </c:pt>
                <c:pt idx="21">
                  <c:v>118.948509384</c:v>
                </c:pt>
                <c:pt idx="22">
                  <c:v>119.1960283854</c:v>
                </c:pt>
                <c:pt idx="23">
                  <c:v>119.0085104966</c:v>
                </c:pt>
                <c:pt idx="24">
                  <c:v>117.650162032</c:v>
                </c:pt>
                <c:pt idx="25">
                  <c:v>118.6535179334</c:v>
                </c:pt>
                <c:pt idx="26">
                  <c:v>118.8992250846</c:v>
                </c:pt>
                <c:pt idx="27">
                  <c:v>117.66200862399999</c:v>
                </c:pt>
                <c:pt idx="28">
                  <c:v>117.0814976285</c:v>
                </c:pt>
                <c:pt idx="29">
                  <c:v>120.86855413550001</c:v>
                </c:pt>
                <c:pt idx="30">
                  <c:v>119.31841111040001</c:v>
                </c:pt>
                <c:pt idx="31">
                  <c:v>121.0676896974</c:v>
                </c:pt>
                <c:pt idx="32">
                  <c:v>122.1341560908</c:v>
                </c:pt>
                <c:pt idx="33">
                  <c:v>121.0772576871</c:v>
                </c:pt>
                <c:pt idx="34">
                  <c:v>121.0269241328</c:v>
                </c:pt>
                <c:pt idx="35">
                  <c:v>120.4565843748</c:v>
                </c:pt>
                <c:pt idx="36">
                  <c:v>122.2249139379</c:v>
                </c:pt>
                <c:pt idx="37">
                  <c:v>122.28096027300001</c:v>
                </c:pt>
                <c:pt idx="38">
                  <c:v>123.75462633959999</c:v>
                </c:pt>
                <c:pt idx="39">
                  <c:v>124.6683114069</c:v>
                </c:pt>
                <c:pt idx="40">
                  <c:v>123.8680564794</c:v>
                </c:pt>
                <c:pt idx="41">
                  <c:v>123.0725437344</c:v>
                </c:pt>
                <c:pt idx="42">
                  <c:v>123.939489737</c:v>
                </c:pt>
                <c:pt idx="43">
                  <c:v>122.4337429312</c:v>
                </c:pt>
                <c:pt idx="44">
                  <c:v>122.3880628702</c:v>
                </c:pt>
                <c:pt idx="45">
                  <c:v>122.121323786</c:v>
                </c:pt>
                <c:pt idx="46">
                  <c:v>123.0996577798</c:v>
                </c:pt>
                <c:pt idx="47">
                  <c:v>122.49103227099999</c:v>
                </c:pt>
                <c:pt idx="48">
                  <c:v>121.00536002520001</c:v>
                </c:pt>
                <c:pt idx="49">
                  <c:v>119.46036285930001</c:v>
                </c:pt>
                <c:pt idx="50">
                  <c:v>118.699174204</c:v>
                </c:pt>
                <c:pt idx="51">
                  <c:v>118.058298372</c:v>
                </c:pt>
                <c:pt idx="52">
                  <c:v>119.17068738810001</c:v>
                </c:pt>
                <c:pt idx="53">
                  <c:v>118.23949809459999</c:v>
                </c:pt>
                <c:pt idx="54">
                  <c:v>118.5421871865</c:v>
                </c:pt>
                <c:pt idx="55">
                  <c:v>118.5975572672</c:v>
                </c:pt>
                <c:pt idx="56">
                  <c:v>117.3627083208</c:v>
                </c:pt>
                <c:pt idx="57">
                  <c:v>118.011947625</c:v>
                </c:pt>
                <c:pt idx="58">
                  <c:v>118.8331571245</c:v>
                </c:pt>
                <c:pt idx="59">
                  <c:v>117.9223939905</c:v>
                </c:pt>
                <c:pt idx="60">
                  <c:v>118.31278824419999</c:v>
                </c:pt>
                <c:pt idx="61">
                  <c:v>119.06604998260001</c:v>
                </c:pt>
                <c:pt idx="62">
                  <c:v>119.0695924052</c:v>
                </c:pt>
                <c:pt idx="63">
                  <c:v>120.6013454064</c:v>
                </c:pt>
                <c:pt idx="64">
                  <c:v>121.4839042263</c:v>
                </c:pt>
                <c:pt idx="65">
                  <c:v>122.979983375</c:v>
                </c:pt>
                <c:pt idx="66">
                  <c:v>123.17792804600001</c:v>
                </c:pt>
                <c:pt idx="67">
                  <c:v>120.95885199</c:v>
                </c:pt>
                <c:pt idx="68">
                  <c:v>119.8502570616</c:v>
                </c:pt>
                <c:pt idx="69">
                  <c:v>120.16652512669999</c:v>
                </c:pt>
                <c:pt idx="70">
                  <c:v>120.92999074719999</c:v>
                </c:pt>
                <c:pt idx="71">
                  <c:v>121.505155617</c:v>
                </c:pt>
                <c:pt idx="72">
                  <c:v>120.9000738945</c:v>
                </c:pt>
                <c:pt idx="73">
                  <c:v>123.614828215</c:v>
                </c:pt>
                <c:pt idx="74">
                  <c:v>123.2682352488</c:v>
                </c:pt>
                <c:pt idx="75">
                  <c:v>123.07378243799999</c:v>
                </c:pt>
                <c:pt idx="76">
                  <c:v>123.16340332030001</c:v>
                </c:pt>
                <c:pt idx="77">
                  <c:v>125.6226298365</c:v>
                </c:pt>
                <c:pt idx="78">
                  <c:v>125.65390095959999</c:v>
                </c:pt>
                <c:pt idx="79">
                  <c:v>123.1803473212</c:v>
                </c:pt>
                <c:pt idx="80">
                  <c:v>123.2063722676</c:v>
                </c:pt>
                <c:pt idx="81">
                  <c:v>123.2911877376</c:v>
                </c:pt>
                <c:pt idx="82">
                  <c:v>120.77275708720001</c:v>
                </c:pt>
                <c:pt idx="83">
                  <c:v>118.53860081640001</c:v>
                </c:pt>
                <c:pt idx="84">
                  <c:v>119.13101428</c:v>
                </c:pt>
                <c:pt idx="85">
                  <c:v>119.247949464</c:v>
                </c:pt>
                <c:pt idx="86">
                  <c:v>117.9490669528</c:v>
                </c:pt>
                <c:pt idx="87">
                  <c:v>118.64390400720001</c:v>
                </c:pt>
                <c:pt idx="88">
                  <c:v>118.1775507055</c:v>
                </c:pt>
                <c:pt idx="89">
                  <c:v>117.0402490403</c:v>
                </c:pt>
                <c:pt idx="90">
                  <c:v>116.0791537806</c:v>
                </c:pt>
                <c:pt idx="91">
                  <c:v>116.02544563799999</c:v>
                </c:pt>
                <c:pt idx="92">
                  <c:v>118.6322803477</c:v>
                </c:pt>
                <c:pt idx="93">
                  <c:v>118.94624503679999</c:v>
                </c:pt>
                <c:pt idx="94">
                  <c:v>119.6703302179</c:v>
                </c:pt>
                <c:pt idx="95">
                  <c:v>120.3615230006</c:v>
                </c:pt>
                <c:pt idx="96">
                  <c:v>119.94231592280001</c:v>
                </c:pt>
                <c:pt idx="97">
                  <c:v>119.54594681730001</c:v>
                </c:pt>
                <c:pt idx="98">
                  <c:v>120.063181344</c:v>
                </c:pt>
                <c:pt idx="99">
                  <c:v>120.1803777798</c:v>
                </c:pt>
                <c:pt idx="100">
                  <c:v>118.86147246189999</c:v>
                </c:pt>
                <c:pt idx="101">
                  <c:v>118.09045270199999</c:v>
                </c:pt>
                <c:pt idx="102">
                  <c:v>118.0614146481</c:v>
                </c:pt>
                <c:pt idx="103">
                  <c:v>116.9901918991</c:v>
                </c:pt>
                <c:pt idx="104">
                  <c:v>116.479058358</c:v>
                </c:pt>
                <c:pt idx="105">
                  <c:v>115.3590511502</c:v>
                </c:pt>
                <c:pt idx="106">
                  <c:v>115.85942083800001</c:v>
                </c:pt>
                <c:pt idx="107">
                  <c:v>114.821677073</c:v>
                </c:pt>
                <c:pt idx="108">
                  <c:v>114.72826301089999</c:v>
                </c:pt>
                <c:pt idx="109">
                  <c:v>114.79054513680001</c:v>
                </c:pt>
                <c:pt idx="110">
                  <c:v>116.63624642560001</c:v>
                </c:pt>
                <c:pt idx="111">
                  <c:v>117.2002526484</c:v>
                </c:pt>
                <c:pt idx="112">
                  <c:v>116.0790270497</c:v>
                </c:pt>
                <c:pt idx="113">
                  <c:v>114.35858908980001</c:v>
                </c:pt>
                <c:pt idx="114">
                  <c:v>113.659460784</c:v>
                </c:pt>
                <c:pt idx="115">
                  <c:v>113.4440159474</c:v>
                </c:pt>
                <c:pt idx="116">
                  <c:v>113.45891103460001</c:v>
                </c:pt>
                <c:pt idx="117">
                  <c:v>112.4259785313</c:v>
                </c:pt>
                <c:pt idx="118">
                  <c:v>110.8495402602</c:v>
                </c:pt>
                <c:pt idx="119">
                  <c:v>110.84155737899999</c:v>
                </c:pt>
                <c:pt idx="120">
                  <c:v>110.79049293600001</c:v>
                </c:pt>
                <c:pt idx="121">
                  <c:v>110.68027526900001</c:v>
                </c:pt>
                <c:pt idx="122">
                  <c:v>111.2152829458</c:v>
                </c:pt>
                <c:pt idx="123">
                  <c:v>111.2071429712</c:v>
                </c:pt>
                <c:pt idx="124">
                  <c:v>111.0015932463</c:v>
                </c:pt>
                <c:pt idx="125">
                  <c:v>111.28090564199999</c:v>
                </c:pt>
                <c:pt idx="126">
                  <c:v>110.1295134018</c:v>
                </c:pt>
                <c:pt idx="127">
                  <c:v>110.0577234708</c:v>
                </c:pt>
                <c:pt idx="128">
                  <c:v>109.52996105939999</c:v>
                </c:pt>
                <c:pt idx="129">
                  <c:v>108.4804539174</c:v>
                </c:pt>
                <c:pt idx="130">
                  <c:v>107.1636745468</c:v>
                </c:pt>
                <c:pt idx="131">
                  <c:v>108.2399960873</c:v>
                </c:pt>
                <c:pt idx="132">
                  <c:v>107.54010478079999</c:v>
                </c:pt>
                <c:pt idx="133">
                  <c:v>106.92988917</c:v>
                </c:pt>
                <c:pt idx="134">
                  <c:v>105.9086660814</c:v>
                </c:pt>
                <c:pt idx="135">
                  <c:v>104.6525198481</c:v>
                </c:pt>
                <c:pt idx="136">
                  <c:v>105.25662380270001</c:v>
                </c:pt>
                <c:pt idx="137">
                  <c:v>105.2951315728</c:v>
                </c:pt>
                <c:pt idx="138">
                  <c:v>105.3353184142</c:v>
                </c:pt>
                <c:pt idx="139">
                  <c:v>106.057806036</c:v>
                </c:pt>
                <c:pt idx="140">
                  <c:v>107.3316794463</c:v>
                </c:pt>
                <c:pt idx="141">
                  <c:v>106.2202329048</c:v>
                </c:pt>
                <c:pt idx="142">
                  <c:v>105.0292299294</c:v>
                </c:pt>
                <c:pt idx="143">
                  <c:v>105.3333021405</c:v>
                </c:pt>
                <c:pt idx="144">
                  <c:v>103.9290348264</c:v>
                </c:pt>
                <c:pt idx="145">
                  <c:v>103.85099835779999</c:v>
                </c:pt>
                <c:pt idx="146">
                  <c:v>105.026969517</c:v>
                </c:pt>
                <c:pt idx="147">
                  <c:v>103.51742421580001</c:v>
                </c:pt>
                <c:pt idx="148">
                  <c:v>103.1107852538</c:v>
                </c:pt>
                <c:pt idx="149">
                  <c:v>103.8693260304</c:v>
                </c:pt>
                <c:pt idx="150">
                  <c:v>105.4388959864</c:v>
                </c:pt>
                <c:pt idx="151">
                  <c:v>104.97582618840001</c:v>
                </c:pt>
                <c:pt idx="152">
                  <c:v>105.24734464159999</c:v>
                </c:pt>
                <c:pt idx="153">
                  <c:v>105.226658699</c:v>
                </c:pt>
                <c:pt idx="154">
                  <c:v>104.81872316640001</c:v>
                </c:pt>
                <c:pt idx="155">
                  <c:v>104.2511208192</c:v>
                </c:pt>
                <c:pt idx="156">
                  <c:v>103.50707168549999</c:v>
                </c:pt>
                <c:pt idx="157">
                  <c:v>104.06844081200001</c:v>
                </c:pt>
                <c:pt idx="158">
                  <c:v>104.792394042</c:v>
                </c:pt>
                <c:pt idx="159">
                  <c:v>106.2753082368</c:v>
                </c:pt>
                <c:pt idx="160">
                  <c:v>107.02559049</c:v>
                </c:pt>
                <c:pt idx="161">
                  <c:v>107.897364342</c:v>
                </c:pt>
                <c:pt idx="162">
                  <c:v>108.1244989195</c:v>
                </c:pt>
                <c:pt idx="163">
                  <c:v>111.07439684249999</c:v>
                </c:pt>
                <c:pt idx="164">
                  <c:v>110.3311725459</c:v>
                </c:pt>
                <c:pt idx="165">
                  <c:v>109.395039471</c:v>
                </c:pt>
                <c:pt idx="166">
                  <c:v>112.9182919167</c:v>
                </c:pt>
                <c:pt idx="167">
                  <c:v>113.03008930839999</c:v>
                </c:pt>
                <c:pt idx="168">
                  <c:v>118.0708932384</c:v>
                </c:pt>
                <c:pt idx="169">
                  <c:v>119.4090864704</c:v>
                </c:pt>
                <c:pt idx="170">
                  <c:v>122.07039418719999</c:v>
                </c:pt>
                <c:pt idx="171">
                  <c:v>116.4927347892</c:v>
                </c:pt>
                <c:pt idx="172">
                  <c:v>115.0978981392</c:v>
                </c:pt>
                <c:pt idx="173">
                  <c:v>113.22160799</c:v>
                </c:pt>
                <c:pt idx="174">
                  <c:v>112.71135896200001</c:v>
                </c:pt>
                <c:pt idx="175">
                  <c:v>111.3148076264</c:v>
                </c:pt>
                <c:pt idx="176">
                  <c:v>114.9818921163</c:v>
                </c:pt>
                <c:pt idx="177">
                  <c:v>114.77789032920001</c:v>
                </c:pt>
                <c:pt idx="178">
                  <c:v>115.63015179680001</c:v>
                </c:pt>
                <c:pt idx="179">
                  <c:v>116.9675339196</c:v>
                </c:pt>
                <c:pt idx="180">
                  <c:v>118.03025395260001</c:v>
                </c:pt>
                <c:pt idx="181">
                  <c:v>114.8131540068</c:v>
                </c:pt>
                <c:pt idx="182">
                  <c:v>113.0804145394</c:v>
                </c:pt>
                <c:pt idx="183">
                  <c:v>113.86948336259999</c:v>
                </c:pt>
                <c:pt idx="184">
                  <c:v>112.1147122725</c:v>
                </c:pt>
                <c:pt idx="185">
                  <c:v>111.202702956</c:v>
                </c:pt>
                <c:pt idx="186">
                  <c:v>110.7326777454</c:v>
                </c:pt>
                <c:pt idx="187">
                  <c:v>111.3373166187</c:v>
                </c:pt>
                <c:pt idx="188">
                  <c:v>110.4374186344</c:v>
                </c:pt>
                <c:pt idx="189">
                  <c:v>109.56817662</c:v>
                </c:pt>
                <c:pt idx="190">
                  <c:v>110.694963645</c:v>
                </c:pt>
                <c:pt idx="191">
                  <c:v>111.0861021204</c:v>
                </c:pt>
                <c:pt idx="192">
                  <c:v>112.47228823</c:v>
                </c:pt>
                <c:pt idx="193">
                  <c:v>110.91523655189999</c:v>
                </c:pt>
                <c:pt idx="194">
                  <c:v>110.12301545939999</c:v>
                </c:pt>
                <c:pt idx="195">
                  <c:v>109.7996503688</c:v>
                </c:pt>
                <c:pt idx="196">
                  <c:v>109.1561557042</c:v>
                </c:pt>
                <c:pt idx="197">
                  <c:v>108.98461029000001</c:v>
                </c:pt>
                <c:pt idx="198">
                  <c:v>108.6891131106</c:v>
                </c:pt>
                <c:pt idx="199">
                  <c:v>108.6856269597</c:v>
                </c:pt>
                <c:pt idx="200">
                  <c:v>108.90301051909999</c:v>
                </c:pt>
                <c:pt idx="201">
                  <c:v>108.4541655882</c:v>
                </c:pt>
                <c:pt idx="202">
                  <c:v>108.84301670879999</c:v>
                </c:pt>
                <c:pt idx="203">
                  <c:v>107.645580616</c:v>
                </c:pt>
                <c:pt idx="204">
                  <c:v>108.122498001</c:v>
                </c:pt>
                <c:pt idx="205">
                  <c:v>107.0520428028</c:v>
                </c:pt>
                <c:pt idx="206">
                  <c:v>105.09524456059999</c:v>
                </c:pt>
                <c:pt idx="207">
                  <c:v>105.0563239042</c:v>
                </c:pt>
                <c:pt idx="208">
                  <c:v>104.2798144631</c:v>
                </c:pt>
                <c:pt idx="209">
                  <c:v>103.71077886240001</c:v>
                </c:pt>
                <c:pt idx="210">
                  <c:v>101.95229801249999</c:v>
                </c:pt>
                <c:pt idx="211">
                  <c:v>101.2091427232</c:v>
                </c:pt>
                <c:pt idx="212">
                  <c:v>101.04812093460001</c:v>
                </c:pt>
                <c:pt idx="213">
                  <c:v>101.6851922723</c:v>
                </c:pt>
                <c:pt idx="214">
                  <c:v>101.009316496</c:v>
                </c:pt>
                <c:pt idx="215">
                  <c:v>100.3926705232</c:v>
                </c:pt>
                <c:pt idx="216">
                  <c:v>100.922058393</c:v>
                </c:pt>
                <c:pt idx="217">
                  <c:v>100.45475830469999</c:v>
                </c:pt>
                <c:pt idx="218">
                  <c:v>99.921108484000001</c:v>
                </c:pt>
                <c:pt idx="219">
                  <c:v>99.136311985000006</c:v>
                </c:pt>
                <c:pt idx="220">
                  <c:v>99.629216346000007</c:v>
                </c:pt>
                <c:pt idx="221">
                  <c:v>99.543010671000005</c:v>
                </c:pt>
                <c:pt idx="222">
                  <c:v>100.15925304</c:v>
                </c:pt>
                <c:pt idx="223">
                  <c:v>99.803544287999998</c:v>
                </c:pt>
                <c:pt idx="224">
                  <c:v>98.4368098116</c:v>
                </c:pt>
                <c:pt idx="225">
                  <c:v>98.017595138900006</c:v>
                </c:pt>
                <c:pt idx="226">
                  <c:v>99.423082598600004</c:v>
                </c:pt>
                <c:pt idx="227">
                  <c:v>97.846233248000004</c:v>
                </c:pt>
                <c:pt idx="228">
                  <c:v>98.456437782600005</c:v>
                </c:pt>
                <c:pt idx="229">
                  <c:v>98.496131314699994</c:v>
                </c:pt>
                <c:pt idx="230">
                  <c:v>99.198887917600004</c:v>
                </c:pt>
                <c:pt idx="231">
                  <c:v>99.076938468799995</c:v>
                </c:pt>
                <c:pt idx="232">
                  <c:v>98.797948313999996</c:v>
                </c:pt>
                <c:pt idx="233">
                  <c:v>97.1658849807</c:v>
                </c:pt>
                <c:pt idx="234">
                  <c:v>95.488424687999995</c:v>
                </c:pt>
                <c:pt idx="235">
                  <c:v>95.228929636000004</c:v>
                </c:pt>
                <c:pt idx="236">
                  <c:v>93.002171419600003</c:v>
                </c:pt>
                <c:pt idx="237">
                  <c:v>91.808119700000006</c:v>
                </c:pt>
                <c:pt idx="238">
                  <c:v>92.806420058100002</c:v>
                </c:pt>
                <c:pt idx="239">
                  <c:v>94.543993415200006</c:v>
                </c:pt>
                <c:pt idx="240">
                  <c:v>97.250980813799998</c:v>
                </c:pt>
                <c:pt idx="241">
                  <c:v>95.249579140799995</c:v>
                </c:pt>
                <c:pt idx="242">
                  <c:v>94.345104078000006</c:v>
                </c:pt>
                <c:pt idx="243">
                  <c:v>94.897997048500002</c:v>
                </c:pt>
                <c:pt idx="244">
                  <c:v>95.066893294799996</c:v>
                </c:pt>
                <c:pt idx="245">
                  <c:v>95.563362644999998</c:v>
                </c:pt>
                <c:pt idx="246">
                  <c:v>94.713580273000005</c:v>
                </c:pt>
                <c:pt idx="247">
                  <c:v>94.428930591599993</c:v>
                </c:pt>
                <c:pt idx="248">
                  <c:v>94.592309996099999</c:v>
                </c:pt>
                <c:pt idx="249">
                  <c:v>93.277133274400001</c:v>
                </c:pt>
                <c:pt idx="250">
                  <c:v>94.903971074400005</c:v>
                </c:pt>
                <c:pt idx="251">
                  <c:v>94.541705609999994</c:v>
                </c:pt>
                <c:pt idx="252">
                  <c:v>95.575736336600002</c:v>
                </c:pt>
                <c:pt idx="253">
                  <c:v>93.923561163599999</c:v>
                </c:pt>
                <c:pt idx="254">
                  <c:v>92.429973459999999</c:v>
                </c:pt>
                <c:pt idx="255">
                  <c:v>93.240702660500006</c:v>
                </c:pt>
                <c:pt idx="256">
                  <c:v>94.133167180800001</c:v>
                </c:pt>
                <c:pt idx="257">
                  <c:v>94.667082175999994</c:v>
                </c:pt>
                <c:pt idx="258">
                  <c:v>95.807618079199997</c:v>
                </c:pt>
                <c:pt idx="259">
                  <c:v>95.174976404999995</c:v>
                </c:pt>
                <c:pt idx="260">
                  <c:v>95.739144126799999</c:v>
                </c:pt>
                <c:pt idx="261">
                  <c:v>97.108989785600002</c:v>
                </c:pt>
                <c:pt idx="262">
                  <c:v>98.453807040599997</c:v>
                </c:pt>
                <c:pt idx="263">
                  <c:v>98.060715043599998</c:v>
                </c:pt>
                <c:pt idx="264">
                  <c:v>99.1069428096</c:v>
                </c:pt>
                <c:pt idx="265">
                  <c:v>98.261278566599998</c:v>
                </c:pt>
                <c:pt idx="266">
                  <c:v>97.939146510699999</c:v>
                </c:pt>
                <c:pt idx="267">
                  <c:v>98.894526231599997</c:v>
                </c:pt>
                <c:pt idx="268">
                  <c:v>100.458385408</c:v>
                </c:pt>
                <c:pt idx="269">
                  <c:v>102.1142438757</c:v>
                </c:pt>
                <c:pt idx="270">
                  <c:v>102.9635773367</c:v>
                </c:pt>
                <c:pt idx="271">
                  <c:v>105.1434220062</c:v>
                </c:pt>
                <c:pt idx="272">
                  <c:v>103.546495272</c:v>
                </c:pt>
                <c:pt idx="273">
                  <c:v>101.8783249155</c:v>
                </c:pt>
                <c:pt idx="274">
                  <c:v>102.0717048102</c:v>
                </c:pt>
                <c:pt idx="275">
                  <c:v>102.24148029440001</c:v>
                </c:pt>
                <c:pt idx="276">
                  <c:v>101.0136422658</c:v>
                </c:pt>
                <c:pt idx="277">
                  <c:v>100.8968137749</c:v>
                </c:pt>
                <c:pt idx="278">
                  <c:v>99.171904823999995</c:v>
                </c:pt>
                <c:pt idx="279">
                  <c:v>98.951681876500004</c:v>
                </c:pt>
                <c:pt idx="280">
                  <c:v>96.284347459399996</c:v>
                </c:pt>
                <c:pt idx="281">
                  <c:v>96.319899721599995</c:v>
                </c:pt>
                <c:pt idx="282">
                  <c:v>94.620009370700004</c:v>
                </c:pt>
                <c:pt idx="283">
                  <c:v>94.269438138799998</c:v>
                </c:pt>
                <c:pt idx="284">
                  <c:v>94.408452654399994</c:v>
                </c:pt>
                <c:pt idx="285">
                  <c:v>94.828445148</c:v>
                </c:pt>
                <c:pt idx="286">
                  <c:v>96.113097675299997</c:v>
                </c:pt>
                <c:pt idx="287">
                  <c:v>97.300284845500002</c:v>
                </c:pt>
                <c:pt idx="288">
                  <c:v>97.028760616</c:v>
                </c:pt>
                <c:pt idx="289">
                  <c:v>96.968050108</c:v>
                </c:pt>
                <c:pt idx="290">
                  <c:v>96.563272093199998</c:v>
                </c:pt>
                <c:pt idx="291">
                  <c:v>97.234118630599994</c:v>
                </c:pt>
                <c:pt idx="292">
                  <c:v>97.090269167200006</c:v>
                </c:pt>
                <c:pt idx="293">
                  <c:v>98.089363746000004</c:v>
                </c:pt>
                <c:pt idx="294">
                  <c:v>99.370984652800004</c:v>
                </c:pt>
                <c:pt idx="295">
                  <c:v>97.640608219000001</c:v>
                </c:pt>
                <c:pt idx="296">
                  <c:v>97.135730921199993</c:v>
                </c:pt>
                <c:pt idx="297">
                  <c:v>98.256926013300003</c:v>
                </c:pt>
                <c:pt idx="298">
                  <c:v>98.494244133999999</c:v>
                </c:pt>
                <c:pt idx="299">
                  <c:v>99.917493705400005</c:v>
                </c:pt>
                <c:pt idx="300">
                  <c:v>100.01110674</c:v>
                </c:pt>
                <c:pt idx="301">
                  <c:v>99.615549286800004</c:v>
                </c:pt>
                <c:pt idx="302">
                  <c:v>101.31702875000001</c:v>
                </c:pt>
                <c:pt idx="303">
                  <c:v>100.745993349</c:v>
                </c:pt>
                <c:pt idx="304">
                  <c:v>101.82350262209999</c:v>
                </c:pt>
                <c:pt idx="305">
                  <c:v>102.8703947756</c:v>
                </c:pt>
                <c:pt idx="306">
                  <c:v>102.76375840199999</c:v>
                </c:pt>
                <c:pt idx="307">
                  <c:v>102.475518984</c:v>
                </c:pt>
                <c:pt idx="308">
                  <c:v>102.7483758576</c:v>
                </c:pt>
                <c:pt idx="309">
                  <c:v>104.2087725786</c:v>
                </c:pt>
                <c:pt idx="310">
                  <c:v>104.22634485490001</c:v>
                </c:pt>
                <c:pt idx="311">
                  <c:v>104.99639937320001</c:v>
                </c:pt>
                <c:pt idx="312">
                  <c:v>106.47096367260001</c:v>
                </c:pt>
                <c:pt idx="313">
                  <c:v>107.5701205024</c:v>
                </c:pt>
                <c:pt idx="314">
                  <c:v>107.78754884</c:v>
                </c:pt>
                <c:pt idx="315">
                  <c:v>108.5729435375</c:v>
                </c:pt>
                <c:pt idx="316">
                  <c:v>109.4694163528</c:v>
                </c:pt>
                <c:pt idx="317">
                  <c:v>111.96234286559999</c:v>
                </c:pt>
                <c:pt idx="318">
                  <c:v>111.7220346782</c:v>
                </c:pt>
                <c:pt idx="319">
                  <c:v>110.8337490504</c:v>
                </c:pt>
                <c:pt idx="320">
                  <c:v>111.91435693619999</c:v>
                </c:pt>
                <c:pt idx="321">
                  <c:v>110.9629198695</c:v>
                </c:pt>
                <c:pt idx="322">
                  <c:v>111.6559227166</c:v>
                </c:pt>
                <c:pt idx="323">
                  <c:v>112.5766844944</c:v>
                </c:pt>
                <c:pt idx="324">
                  <c:v>112.09080803010001</c:v>
                </c:pt>
                <c:pt idx="325">
                  <c:v>110.91185445319999</c:v>
                </c:pt>
                <c:pt idx="326">
                  <c:v>110.1288263112</c:v>
                </c:pt>
                <c:pt idx="327">
                  <c:v>109.1112342528</c:v>
                </c:pt>
                <c:pt idx="328">
                  <c:v>109.2651378525</c:v>
                </c:pt>
                <c:pt idx="329">
                  <c:v>110.0895109314</c:v>
                </c:pt>
                <c:pt idx="330">
                  <c:v>109.5419346546</c:v>
                </c:pt>
                <c:pt idx="331">
                  <c:v>110.8798515054</c:v>
                </c:pt>
                <c:pt idx="332">
                  <c:v>110.3240043924</c:v>
                </c:pt>
                <c:pt idx="333">
                  <c:v>110.163527898</c:v>
                </c:pt>
                <c:pt idx="334">
                  <c:v>110.146768389</c:v>
                </c:pt>
                <c:pt idx="335">
                  <c:v>108.8848221192</c:v>
                </c:pt>
                <c:pt idx="336">
                  <c:v>106.77676083999999</c:v>
                </c:pt>
                <c:pt idx="337">
                  <c:v>108.442671135</c:v>
                </c:pt>
                <c:pt idx="338">
                  <c:v>108.1114519005</c:v>
                </c:pt>
                <c:pt idx="339">
                  <c:v>106.3421652928</c:v>
                </c:pt>
                <c:pt idx="340">
                  <c:v>106.325185695</c:v>
                </c:pt>
                <c:pt idx="341">
                  <c:v>107.0384062176</c:v>
                </c:pt>
                <c:pt idx="342">
                  <c:v>107.236204857</c:v>
                </c:pt>
                <c:pt idx="343">
                  <c:v>108.76741527439999</c:v>
                </c:pt>
                <c:pt idx="344">
                  <c:v>110.2201693495</c:v>
                </c:pt>
                <c:pt idx="345">
                  <c:v>111.1237556148</c:v>
                </c:pt>
                <c:pt idx="346">
                  <c:v>111.2734821968</c:v>
                </c:pt>
                <c:pt idx="347">
                  <c:v>110.345138869</c:v>
                </c:pt>
                <c:pt idx="348">
                  <c:v>110.2512195987</c:v>
                </c:pt>
                <c:pt idx="349">
                  <c:v>109.80879085799999</c:v>
                </c:pt>
                <c:pt idx="350">
                  <c:v>109.673212236</c:v>
                </c:pt>
                <c:pt idx="351">
                  <c:v>110.34097521050001</c:v>
                </c:pt>
                <c:pt idx="352">
                  <c:v>109.610131056</c:v>
                </c:pt>
                <c:pt idx="353">
                  <c:v>110.758999221</c:v>
                </c:pt>
                <c:pt idx="354">
                  <c:v>111.62808654040001</c:v>
                </c:pt>
                <c:pt idx="355">
                  <c:v>112.2921718962</c:v>
                </c:pt>
                <c:pt idx="356">
                  <c:v>112.202203883</c:v>
                </c:pt>
                <c:pt idx="357">
                  <c:v>111.8854314667</c:v>
                </c:pt>
                <c:pt idx="358">
                  <c:v>111.9321741303</c:v>
                </c:pt>
                <c:pt idx="359">
                  <c:v>111.11092090699999</c:v>
                </c:pt>
                <c:pt idx="360">
                  <c:v>110.4986205435</c:v>
                </c:pt>
                <c:pt idx="361">
                  <c:v>109.0861134272</c:v>
                </c:pt>
                <c:pt idx="362">
                  <c:v>107.7890992642</c:v>
                </c:pt>
                <c:pt idx="363">
                  <c:v>106.2797182008</c:v>
                </c:pt>
                <c:pt idx="364">
                  <c:v>105.7644652044</c:v>
                </c:pt>
                <c:pt idx="365">
                  <c:v>105.3222135629</c:v>
                </c:pt>
                <c:pt idx="366">
                  <c:v>106.71900737839999</c:v>
                </c:pt>
                <c:pt idx="367">
                  <c:v>106.9821278786</c:v>
                </c:pt>
                <c:pt idx="368">
                  <c:v>107.5588275714</c:v>
                </c:pt>
                <c:pt idx="369">
                  <c:v>107.8485147</c:v>
                </c:pt>
                <c:pt idx="370">
                  <c:v>108.223392585</c:v>
                </c:pt>
                <c:pt idx="371">
                  <c:v>108.04288709790001</c:v>
                </c:pt>
                <c:pt idx="372">
                  <c:v>106.747129962</c:v>
                </c:pt>
                <c:pt idx="373">
                  <c:v>106.68899867650001</c:v>
                </c:pt>
                <c:pt idx="374">
                  <c:v>106.8577439293</c:v>
                </c:pt>
                <c:pt idx="375">
                  <c:v>107.0516068514</c:v>
                </c:pt>
                <c:pt idx="376">
                  <c:v>107.0435066702</c:v>
                </c:pt>
                <c:pt idx="377">
                  <c:v>107.0668339488</c:v>
                </c:pt>
                <c:pt idx="378">
                  <c:v>107.170862232</c:v>
                </c:pt>
                <c:pt idx="379">
                  <c:v>108.25152815680001</c:v>
                </c:pt>
                <c:pt idx="380">
                  <c:v>107.51707380960001</c:v>
                </c:pt>
                <c:pt idx="381">
                  <c:v>107.654662218</c:v>
                </c:pt>
                <c:pt idx="382">
                  <c:v>108.024611663</c:v>
                </c:pt>
                <c:pt idx="383">
                  <c:v>108.3204153177</c:v>
                </c:pt>
                <c:pt idx="384">
                  <c:v>109.7406744084</c:v>
                </c:pt>
                <c:pt idx="385">
                  <c:v>110.6441823744</c:v>
                </c:pt>
                <c:pt idx="386">
                  <c:v>109.61487744999999</c:v>
                </c:pt>
                <c:pt idx="387">
                  <c:v>108.9664512846</c:v>
                </c:pt>
                <c:pt idx="388">
                  <c:v>108.13467095279999</c:v>
                </c:pt>
                <c:pt idx="389">
                  <c:v>107.4546470608</c:v>
                </c:pt>
                <c:pt idx="390">
                  <c:v>107.553519315</c:v>
                </c:pt>
                <c:pt idx="391">
                  <c:v>107.552304853</c:v>
                </c:pt>
                <c:pt idx="392">
                  <c:v>108.1426091152</c:v>
                </c:pt>
                <c:pt idx="393">
                  <c:v>108.38159091199999</c:v>
                </c:pt>
                <c:pt idx="394">
                  <c:v>108.408750302</c:v>
                </c:pt>
                <c:pt idx="395">
                  <c:v>108.091664626</c:v>
                </c:pt>
                <c:pt idx="396">
                  <c:v>108.56356757250001</c:v>
                </c:pt>
                <c:pt idx="397">
                  <c:v>107.2086294404</c:v>
                </c:pt>
                <c:pt idx="398">
                  <c:v>106.982156776</c:v>
                </c:pt>
                <c:pt idx="399">
                  <c:v>107.34744628919999</c:v>
                </c:pt>
                <c:pt idx="400">
                  <c:v>107.7861969384</c:v>
                </c:pt>
                <c:pt idx="401">
                  <c:v>107.97585164189999</c:v>
                </c:pt>
                <c:pt idx="402">
                  <c:v>108.326379223</c:v>
                </c:pt>
                <c:pt idx="403">
                  <c:v>108.12079797120001</c:v>
                </c:pt>
                <c:pt idx="404">
                  <c:v>107.8519928745</c:v>
                </c:pt>
                <c:pt idx="405">
                  <c:v>107.50364856</c:v>
                </c:pt>
                <c:pt idx="406">
                  <c:v>107.34076226880001</c:v>
                </c:pt>
                <c:pt idx="407">
                  <c:v>106.9187505813</c:v>
                </c:pt>
                <c:pt idx="408">
                  <c:v>107.319115032</c:v>
                </c:pt>
                <c:pt idx="409">
                  <c:v>107.2418557787</c:v>
                </c:pt>
                <c:pt idx="410">
                  <c:v>106.7820035158</c:v>
                </c:pt>
                <c:pt idx="411">
                  <c:v>106.36040652369999</c:v>
                </c:pt>
                <c:pt idx="412">
                  <c:v>106.1890437</c:v>
                </c:pt>
                <c:pt idx="413">
                  <c:v>106.97110404999999</c:v>
                </c:pt>
                <c:pt idx="414">
                  <c:v>106.8937942296</c:v>
                </c:pt>
                <c:pt idx="415">
                  <c:v>106.04670036509999</c:v>
                </c:pt>
                <c:pt idx="416">
                  <c:v>106.3250185635</c:v>
                </c:pt>
                <c:pt idx="417">
                  <c:v>106.77143497589999</c:v>
                </c:pt>
                <c:pt idx="418">
                  <c:v>107.1763886844</c:v>
                </c:pt>
                <c:pt idx="419">
                  <c:v>106.612608894</c:v>
                </c:pt>
                <c:pt idx="420">
                  <c:v>106.5011494992</c:v>
                </c:pt>
                <c:pt idx="421">
                  <c:v>106.2032310157</c:v>
                </c:pt>
                <c:pt idx="422">
                  <c:v>106.7659082131</c:v>
                </c:pt>
                <c:pt idx="423">
                  <c:v>106.99394061149999</c:v>
                </c:pt>
                <c:pt idx="424">
                  <c:v>107.0301946875</c:v>
                </c:pt>
                <c:pt idx="425">
                  <c:v>107.0606289868</c:v>
                </c:pt>
                <c:pt idx="426">
                  <c:v>106.845780404</c:v>
                </c:pt>
                <c:pt idx="427">
                  <c:v>107.086455488</c:v>
                </c:pt>
                <c:pt idx="428">
                  <c:v>107.4949034256</c:v>
                </c:pt>
                <c:pt idx="429">
                  <c:v>108.845852452</c:v>
                </c:pt>
                <c:pt idx="430">
                  <c:v>109.1862016855</c:v>
                </c:pt>
                <c:pt idx="431">
                  <c:v>109.0980356826</c:v>
                </c:pt>
                <c:pt idx="432">
                  <c:v>109.114176816</c:v>
                </c:pt>
                <c:pt idx="433">
                  <c:v>108.982354503</c:v>
                </c:pt>
                <c:pt idx="434">
                  <c:v>108.723275485</c:v>
                </c:pt>
                <c:pt idx="435">
                  <c:v>108.3087211955</c:v>
                </c:pt>
                <c:pt idx="436">
                  <c:v>108.2600156588</c:v>
                </c:pt>
                <c:pt idx="437">
                  <c:v>108.06583625579999</c:v>
                </c:pt>
                <c:pt idx="438">
                  <c:v>107.021388824</c:v>
                </c:pt>
                <c:pt idx="439">
                  <c:v>107.9319032568</c:v>
                </c:pt>
                <c:pt idx="440">
                  <c:v>108.17680151979999</c:v>
                </c:pt>
                <c:pt idx="441">
                  <c:v>108.374807355</c:v>
                </c:pt>
                <c:pt idx="442">
                  <c:v>108.03962536</c:v>
                </c:pt>
                <c:pt idx="443">
                  <c:v>107.745054115</c:v>
                </c:pt>
                <c:pt idx="444">
                  <c:v>107.64151060739999</c:v>
                </c:pt>
                <c:pt idx="445">
                  <c:v>107.6691649803</c:v>
                </c:pt>
                <c:pt idx="446">
                  <c:v>107.6865708017</c:v>
                </c:pt>
                <c:pt idx="447">
                  <c:v>107.9123882432</c:v>
                </c:pt>
                <c:pt idx="448">
                  <c:v>107.34093727360001</c:v>
                </c:pt>
                <c:pt idx="449">
                  <c:v>107.7345474777</c:v>
                </c:pt>
                <c:pt idx="450">
                  <c:v>107.67080922780001</c:v>
                </c:pt>
                <c:pt idx="451">
                  <c:v>108.38484843000001</c:v>
                </c:pt>
                <c:pt idx="452">
                  <c:v>108.309792664</c:v>
                </c:pt>
                <c:pt idx="453">
                  <c:v>108.58794401</c:v>
                </c:pt>
                <c:pt idx="454">
                  <c:v>108.66468130280001</c:v>
                </c:pt>
                <c:pt idx="455">
                  <c:v>109.183957096</c:v>
                </c:pt>
                <c:pt idx="456">
                  <c:v>109.27712521639999</c:v>
                </c:pt>
                <c:pt idx="457">
                  <c:v>109.9613001252</c:v>
                </c:pt>
                <c:pt idx="458">
                  <c:v>109.48619943760001</c:v>
                </c:pt>
                <c:pt idx="459">
                  <c:v>109.60123657450001</c:v>
                </c:pt>
                <c:pt idx="460">
                  <c:v>109.1416603182</c:v>
                </c:pt>
                <c:pt idx="461">
                  <c:v>108.7556391544</c:v>
                </c:pt>
                <c:pt idx="462">
                  <c:v>109.7807730104</c:v>
                </c:pt>
                <c:pt idx="463">
                  <c:v>110.23441904640001</c:v>
                </c:pt>
                <c:pt idx="464">
                  <c:v>109.8153687648</c:v>
                </c:pt>
                <c:pt idx="465">
                  <c:v>110.77327029600001</c:v>
                </c:pt>
                <c:pt idx="466">
                  <c:v>111.172477313</c:v>
                </c:pt>
                <c:pt idx="467">
                  <c:v>111.357309755</c:v>
                </c:pt>
                <c:pt idx="468">
                  <c:v>112.64325198</c:v>
                </c:pt>
                <c:pt idx="469">
                  <c:v>113.659475022</c:v>
                </c:pt>
                <c:pt idx="470">
                  <c:v>115.848652356</c:v>
                </c:pt>
                <c:pt idx="471">
                  <c:v>114.12226848</c:v>
                </c:pt>
                <c:pt idx="472">
                  <c:v>112.635962772</c:v>
                </c:pt>
                <c:pt idx="473">
                  <c:v>112.20530968</c:v>
                </c:pt>
                <c:pt idx="474">
                  <c:v>111.66156691800001</c:v>
                </c:pt>
                <c:pt idx="475">
                  <c:v>112.439095056</c:v>
                </c:pt>
                <c:pt idx="476">
                  <c:v>112.43267596</c:v>
                </c:pt>
                <c:pt idx="477">
                  <c:v>112.17234798</c:v>
                </c:pt>
                <c:pt idx="478">
                  <c:v>111.49422667</c:v>
                </c:pt>
                <c:pt idx="479">
                  <c:v>112.14332570000001</c:v>
                </c:pt>
                <c:pt idx="480">
                  <c:v>111.53643431499999</c:v>
                </c:pt>
                <c:pt idx="481">
                  <c:v>112.72052164500001</c:v>
                </c:pt>
                <c:pt idx="482">
                  <c:v>111.62186090100001</c:v>
                </c:pt>
                <c:pt idx="483">
                  <c:v>111.217222398</c:v>
                </c:pt>
                <c:pt idx="484">
                  <c:v>110.29058491799999</c:v>
                </c:pt>
                <c:pt idx="485">
                  <c:v>112.71852154</c:v>
                </c:pt>
                <c:pt idx="486">
                  <c:v>105.95724868400001</c:v>
                </c:pt>
                <c:pt idx="487">
                  <c:v>108.827436742</c:v>
                </c:pt>
                <c:pt idx="488">
                  <c:v>108.89972996500001</c:v>
                </c:pt>
                <c:pt idx="489">
                  <c:v>108.66059490000001</c:v>
                </c:pt>
                <c:pt idx="490">
                  <c:v>107.95465692000001</c:v>
                </c:pt>
                <c:pt idx="491">
                  <c:v>106.653257</c:v>
                </c:pt>
                <c:pt idx="492">
                  <c:v>106.965777933</c:v>
                </c:pt>
                <c:pt idx="493">
                  <c:v>108.139181748</c:v>
                </c:pt>
                <c:pt idx="494">
                  <c:v>108.70100395199999</c:v>
                </c:pt>
                <c:pt idx="495">
                  <c:v>108.33916536</c:v>
                </c:pt>
                <c:pt idx="496">
                  <c:v>108.91677637399999</c:v>
                </c:pt>
                <c:pt idx="497">
                  <c:v>107.440148998</c:v>
                </c:pt>
                <c:pt idx="498">
                  <c:v>108.515997482</c:v>
                </c:pt>
                <c:pt idx="499">
                  <c:v>107.987844094</c:v>
                </c:pt>
                <c:pt idx="500">
                  <c:v>108.08000691300001</c:v>
                </c:pt>
                <c:pt idx="501">
                  <c:v>107.875993671</c:v>
                </c:pt>
                <c:pt idx="502">
                  <c:v>107.495510366</c:v>
                </c:pt>
                <c:pt idx="503">
                  <c:v>107.684685964</c:v>
                </c:pt>
                <c:pt idx="504">
                  <c:v>108.007488595</c:v>
                </c:pt>
                <c:pt idx="505">
                  <c:v>108.713085447</c:v>
                </c:pt>
                <c:pt idx="506">
                  <c:v>108.083252255</c:v>
                </c:pt>
                <c:pt idx="507">
                  <c:v>107.352658182</c:v>
                </c:pt>
                <c:pt idx="508">
                  <c:v>107.13540707200001</c:v>
                </c:pt>
                <c:pt idx="509">
                  <c:v>106.9351578</c:v>
                </c:pt>
                <c:pt idx="510">
                  <c:v>107.66621902999999</c:v>
                </c:pt>
                <c:pt idx="511">
                  <c:v>107.979699978</c:v>
                </c:pt>
                <c:pt idx="512">
                  <c:v>108.124885018</c:v>
                </c:pt>
                <c:pt idx="513">
                  <c:v>108.482984952</c:v>
                </c:pt>
                <c:pt idx="514">
                  <c:v>107.55124068000001</c:v>
                </c:pt>
                <c:pt idx="515">
                  <c:v>108.745578534</c:v>
                </c:pt>
                <c:pt idx="516">
                  <c:v>108.224637546</c:v>
                </c:pt>
                <c:pt idx="517">
                  <c:v>109.349303679</c:v>
                </c:pt>
                <c:pt idx="518">
                  <c:v>107.30519209000001</c:v>
                </c:pt>
                <c:pt idx="519">
                  <c:v>107.843963832</c:v>
                </c:pt>
                <c:pt idx="520">
                  <c:v>108.08543204999999</c:v>
                </c:pt>
                <c:pt idx="521">
                  <c:v>107.129806136</c:v>
                </c:pt>
                <c:pt idx="522">
                  <c:v>106.261542424</c:v>
                </c:pt>
                <c:pt idx="523">
                  <c:v>106.15106187000001</c:v>
                </c:pt>
                <c:pt idx="524">
                  <c:v>106.877769152</c:v>
                </c:pt>
                <c:pt idx="525">
                  <c:v>106.19527512400001</c:v>
                </c:pt>
                <c:pt idx="526">
                  <c:v>105.81587528999999</c:v>
                </c:pt>
                <c:pt idx="527">
                  <c:v>105.33351737</c:v>
                </c:pt>
                <c:pt idx="528">
                  <c:v>105.012343233</c:v>
                </c:pt>
                <c:pt idx="529">
                  <c:v>105.416035506</c:v>
                </c:pt>
                <c:pt idx="530">
                  <c:v>105.870352</c:v>
                </c:pt>
                <c:pt idx="531">
                  <c:v>106.165473216</c:v>
                </c:pt>
                <c:pt idx="532">
                  <c:v>106.43096282</c:v>
                </c:pt>
                <c:pt idx="533">
                  <c:v>107.416310364</c:v>
                </c:pt>
                <c:pt idx="534">
                  <c:v>107.50690472399999</c:v>
                </c:pt>
                <c:pt idx="535">
                  <c:v>107.83327737</c:v>
                </c:pt>
                <c:pt idx="536">
                  <c:v>107.541219168</c:v>
                </c:pt>
                <c:pt idx="537">
                  <c:v>107.28754292000001</c:v>
                </c:pt>
                <c:pt idx="538">
                  <c:v>107.80839272999999</c:v>
                </c:pt>
                <c:pt idx="539">
                  <c:v>107.399102735</c:v>
                </c:pt>
                <c:pt idx="540">
                  <c:v>107.45030511500001</c:v>
                </c:pt>
                <c:pt idx="541">
                  <c:v>107.08842675</c:v>
                </c:pt>
                <c:pt idx="542">
                  <c:v>106.918167201</c:v>
                </c:pt>
                <c:pt idx="543">
                  <c:v>107.60314455</c:v>
                </c:pt>
                <c:pt idx="544">
                  <c:v>110.561764275</c:v>
                </c:pt>
                <c:pt idx="545">
                  <c:v>109.12563148300001</c:v>
                </c:pt>
                <c:pt idx="546">
                  <c:v>108.55288023</c:v>
                </c:pt>
                <c:pt idx="547">
                  <c:v>108.751119858</c:v>
                </c:pt>
                <c:pt idx="548">
                  <c:v>108.970494479</c:v>
                </c:pt>
                <c:pt idx="549">
                  <c:v>108.320326542</c:v>
                </c:pt>
                <c:pt idx="550">
                  <c:v>109.12705518</c:v>
                </c:pt>
                <c:pt idx="551">
                  <c:v>109.347536358</c:v>
                </c:pt>
                <c:pt idx="552">
                  <c:v>109.327400697</c:v>
                </c:pt>
                <c:pt idx="553">
                  <c:v>108.89438944</c:v>
                </c:pt>
                <c:pt idx="554">
                  <c:v>109.24806438</c:v>
                </c:pt>
                <c:pt idx="555">
                  <c:v>109.16498624800001</c:v>
                </c:pt>
                <c:pt idx="556">
                  <c:v>109.64847648</c:v>
                </c:pt>
                <c:pt idx="557">
                  <c:v>109.95952593600001</c:v>
                </c:pt>
                <c:pt idx="558">
                  <c:v>110.221318991</c:v>
                </c:pt>
                <c:pt idx="559">
                  <c:v>110.128525848</c:v>
                </c:pt>
                <c:pt idx="560">
                  <c:v>109.91915025599999</c:v>
                </c:pt>
                <c:pt idx="561">
                  <c:v>110.145230247</c:v>
                </c:pt>
                <c:pt idx="562">
                  <c:v>109.957882482</c:v>
                </c:pt>
                <c:pt idx="563">
                  <c:v>109.4107168</c:v>
                </c:pt>
                <c:pt idx="564">
                  <c:v>108.68079824</c:v>
                </c:pt>
                <c:pt idx="565">
                  <c:v>108.832933454</c:v>
                </c:pt>
                <c:pt idx="566">
                  <c:v>108.661502599</c:v>
                </c:pt>
                <c:pt idx="567">
                  <c:v>107.813634533</c:v>
                </c:pt>
                <c:pt idx="568">
                  <c:v>106.81558104</c:v>
                </c:pt>
                <c:pt idx="569">
                  <c:v>108.174566595</c:v>
                </c:pt>
                <c:pt idx="570">
                  <c:v>109.085828896</c:v>
                </c:pt>
                <c:pt idx="571">
                  <c:v>109.02354475999999</c:v>
                </c:pt>
                <c:pt idx="572">
                  <c:v>108.34515485</c:v>
                </c:pt>
                <c:pt idx="573">
                  <c:v>107.691085852</c:v>
                </c:pt>
                <c:pt idx="574">
                  <c:v>106.63726339999999</c:v>
                </c:pt>
                <c:pt idx="575">
                  <c:v>107.076154066</c:v>
                </c:pt>
                <c:pt idx="576">
                  <c:v>105.53536738</c:v>
                </c:pt>
                <c:pt idx="577">
                  <c:v>107.415783432</c:v>
                </c:pt>
                <c:pt idx="578">
                  <c:v>107.06094230399999</c:v>
                </c:pt>
                <c:pt idx="579">
                  <c:v>106.651354017</c:v>
                </c:pt>
                <c:pt idx="580">
                  <c:v>107.791473504</c:v>
                </c:pt>
                <c:pt idx="581">
                  <c:v>108.198230032</c:v>
                </c:pt>
                <c:pt idx="582">
                  <c:v>107.68804686</c:v>
                </c:pt>
                <c:pt idx="583">
                  <c:v>108.01539529</c:v>
                </c:pt>
                <c:pt idx="584">
                  <c:v>106.94812539599999</c:v>
                </c:pt>
                <c:pt idx="585">
                  <c:v>107.49438581</c:v>
                </c:pt>
                <c:pt idx="586">
                  <c:v>106.12042008900001</c:v>
                </c:pt>
                <c:pt idx="587">
                  <c:v>105.760910673</c:v>
                </c:pt>
                <c:pt idx="588">
                  <c:v>104.74488261899999</c:v>
                </c:pt>
                <c:pt idx="589">
                  <c:v>103.28523183999999</c:v>
                </c:pt>
                <c:pt idx="590">
                  <c:v>103.94068828</c:v>
                </c:pt>
                <c:pt idx="591">
                  <c:v>103.131240758</c:v>
                </c:pt>
                <c:pt idx="592">
                  <c:v>103.75468739999999</c:v>
                </c:pt>
                <c:pt idx="593">
                  <c:v>103.042189576</c:v>
                </c:pt>
                <c:pt idx="594">
                  <c:v>103.340909673</c:v>
                </c:pt>
                <c:pt idx="595">
                  <c:v>103.015152493</c:v>
                </c:pt>
                <c:pt idx="596">
                  <c:v>103.70136898</c:v>
                </c:pt>
                <c:pt idx="597">
                  <c:v>103.83280193</c:v>
                </c:pt>
                <c:pt idx="598">
                  <c:v>103.76328645700001</c:v>
                </c:pt>
                <c:pt idx="599">
                  <c:v>103.251470328</c:v>
                </c:pt>
                <c:pt idx="600">
                  <c:v>102.16642423499999</c:v>
                </c:pt>
                <c:pt idx="601">
                  <c:v>100.309579602</c:v>
                </c:pt>
                <c:pt idx="602">
                  <c:v>100.454829047</c:v>
                </c:pt>
                <c:pt idx="603">
                  <c:v>100.575841102</c:v>
                </c:pt>
                <c:pt idx="604">
                  <c:v>101.00779326</c:v>
                </c:pt>
                <c:pt idx="605">
                  <c:v>101.40928860699999</c:v>
                </c:pt>
                <c:pt idx="606">
                  <c:v>101.63824365399999</c:v>
                </c:pt>
                <c:pt idx="607">
                  <c:v>102.17253657800001</c:v>
                </c:pt>
                <c:pt idx="608">
                  <c:v>101.429063554</c:v>
                </c:pt>
                <c:pt idx="609">
                  <c:v>101.622819335</c:v>
                </c:pt>
                <c:pt idx="610">
                  <c:v>101.808938088</c:v>
                </c:pt>
                <c:pt idx="611">
                  <c:v>102.04631523800001</c:v>
                </c:pt>
                <c:pt idx="612">
                  <c:v>102.43740042899999</c:v>
                </c:pt>
                <c:pt idx="613">
                  <c:v>103.96210087999999</c:v>
                </c:pt>
                <c:pt idx="614">
                  <c:v>103.125953112</c:v>
                </c:pt>
                <c:pt idx="615">
                  <c:v>102.393790771</c:v>
                </c:pt>
                <c:pt idx="616">
                  <c:v>102.41069780700001</c:v>
                </c:pt>
                <c:pt idx="617">
                  <c:v>102.31843870100001</c:v>
                </c:pt>
                <c:pt idx="618">
                  <c:v>102.422808053</c:v>
                </c:pt>
                <c:pt idx="619">
                  <c:v>102.715655936</c:v>
                </c:pt>
                <c:pt idx="620">
                  <c:v>102.59464888399999</c:v>
                </c:pt>
                <c:pt idx="621">
                  <c:v>103.18487402300001</c:v>
                </c:pt>
                <c:pt idx="622">
                  <c:v>102.986047265</c:v>
                </c:pt>
                <c:pt idx="623">
                  <c:v>102.96151264</c:v>
                </c:pt>
                <c:pt idx="624">
                  <c:v>104.26855704</c:v>
                </c:pt>
                <c:pt idx="625">
                  <c:v>104.897876049</c:v>
                </c:pt>
                <c:pt idx="626">
                  <c:v>104.85951566599999</c:v>
                </c:pt>
                <c:pt idx="627">
                  <c:v>105.19474131600001</c:v>
                </c:pt>
                <c:pt idx="628">
                  <c:v>105.17475672</c:v>
                </c:pt>
                <c:pt idx="629">
                  <c:v>104.285661</c:v>
                </c:pt>
                <c:pt idx="630">
                  <c:v>103.919897381</c:v>
                </c:pt>
                <c:pt idx="631">
                  <c:v>103.81598286400001</c:v>
                </c:pt>
                <c:pt idx="632">
                  <c:v>104.094332368</c:v>
                </c:pt>
                <c:pt idx="633">
                  <c:v>104.692009971</c:v>
                </c:pt>
                <c:pt idx="634">
                  <c:v>105.552737794</c:v>
                </c:pt>
                <c:pt idx="635">
                  <c:v>104.56826135599999</c:v>
                </c:pt>
                <c:pt idx="636">
                  <c:v>103.529730716</c:v>
                </c:pt>
                <c:pt idx="637">
                  <c:v>104.41965833</c:v>
                </c:pt>
                <c:pt idx="638">
                  <c:v>104.112832301</c:v>
                </c:pt>
                <c:pt idx="639">
                  <c:v>103.70980627199999</c:v>
                </c:pt>
                <c:pt idx="640">
                  <c:v>103.204769136</c:v>
                </c:pt>
                <c:pt idx="641">
                  <c:v>103.22967500999999</c:v>
                </c:pt>
                <c:pt idx="642">
                  <c:v>102.95396791</c:v>
                </c:pt>
                <c:pt idx="643">
                  <c:v>102.580000215</c:v>
                </c:pt>
                <c:pt idx="644">
                  <c:v>101.77491680999999</c:v>
                </c:pt>
                <c:pt idx="645">
                  <c:v>100.97121129200001</c:v>
                </c:pt>
                <c:pt idx="646">
                  <c:v>101.68895646</c:v>
                </c:pt>
                <c:pt idx="647">
                  <c:v>101.056384665</c:v>
                </c:pt>
                <c:pt idx="648">
                  <c:v>101.792748948</c:v>
                </c:pt>
                <c:pt idx="649">
                  <c:v>102.488376774</c:v>
                </c:pt>
                <c:pt idx="650">
                  <c:v>102.81664658299999</c:v>
                </c:pt>
                <c:pt idx="651">
                  <c:v>101.487801261</c:v>
                </c:pt>
                <c:pt idx="652">
                  <c:v>100.46654074999999</c:v>
                </c:pt>
                <c:pt idx="653">
                  <c:v>101.373983456</c:v>
                </c:pt>
                <c:pt idx="654">
                  <c:v>101.43355201</c:v>
                </c:pt>
                <c:pt idx="655">
                  <c:v>101.69477120099999</c:v>
                </c:pt>
                <c:pt idx="656">
                  <c:v>101.992673645</c:v>
                </c:pt>
                <c:pt idx="657">
                  <c:v>102.16024041599999</c:v>
                </c:pt>
                <c:pt idx="658">
                  <c:v>102.762571776</c:v>
                </c:pt>
                <c:pt idx="659">
                  <c:v>102.68532092</c:v>
                </c:pt>
                <c:pt idx="660">
                  <c:v>102.265605927</c:v>
                </c:pt>
                <c:pt idx="661">
                  <c:v>102.431642274</c:v>
                </c:pt>
                <c:pt idx="662">
                  <c:v>102.188368932</c:v>
                </c:pt>
                <c:pt idx="663">
                  <c:v>102.08953008899999</c:v>
                </c:pt>
                <c:pt idx="664">
                  <c:v>101.763535576</c:v>
                </c:pt>
                <c:pt idx="665">
                  <c:v>101.332439964</c:v>
                </c:pt>
                <c:pt idx="666">
                  <c:v>99.602698623999999</c:v>
                </c:pt>
                <c:pt idx="667">
                  <c:v>98.533153404000004</c:v>
                </c:pt>
                <c:pt idx="668">
                  <c:v>100.291815156</c:v>
                </c:pt>
                <c:pt idx="669">
                  <c:v>99.030185099999997</c:v>
                </c:pt>
                <c:pt idx="670">
                  <c:v>98.872642064000004</c:v>
                </c:pt>
                <c:pt idx="671">
                  <c:v>97.272269813999998</c:v>
                </c:pt>
                <c:pt idx="672">
                  <c:v>97.799584319999994</c:v>
                </c:pt>
                <c:pt idx="673">
                  <c:v>97.601929841</c:v>
                </c:pt>
                <c:pt idx="674">
                  <c:v>97.929157611999997</c:v>
                </c:pt>
                <c:pt idx="675">
                  <c:v>97.592224896000005</c:v>
                </c:pt>
                <c:pt idx="676">
                  <c:v>97.641260775000006</c:v>
                </c:pt>
                <c:pt idx="677">
                  <c:v>98.112986711999994</c:v>
                </c:pt>
                <c:pt idx="678">
                  <c:v>98.124823403999997</c:v>
                </c:pt>
                <c:pt idx="679">
                  <c:v>97.342912116999997</c:v>
                </c:pt>
                <c:pt idx="680">
                  <c:v>97.064328959999997</c:v>
                </c:pt>
                <c:pt idx="681">
                  <c:v>96.832633560000005</c:v>
                </c:pt>
                <c:pt idx="682">
                  <c:v>97.007764895999998</c:v>
                </c:pt>
                <c:pt idx="683">
                  <c:v>98.105163340000004</c:v>
                </c:pt>
                <c:pt idx="684">
                  <c:v>97.382095002</c:v>
                </c:pt>
                <c:pt idx="685">
                  <c:v>96.830761846000001</c:v>
                </c:pt>
                <c:pt idx="686">
                  <c:v>96.687977885999999</c:v>
                </c:pt>
                <c:pt idx="687">
                  <c:v>96.068260452999994</c:v>
                </c:pt>
                <c:pt idx="688">
                  <c:v>94.276040910000006</c:v>
                </c:pt>
                <c:pt idx="689">
                  <c:v>94.138797530999994</c:v>
                </c:pt>
                <c:pt idx="690">
                  <c:v>93.942567420000003</c:v>
                </c:pt>
                <c:pt idx="691">
                  <c:v>94.466085227999997</c:v>
                </c:pt>
                <c:pt idx="692">
                  <c:v>94.249046231999998</c:v>
                </c:pt>
                <c:pt idx="693">
                  <c:v>94.150456399999996</c:v>
                </c:pt>
                <c:pt idx="694">
                  <c:v>94.619147264000006</c:v>
                </c:pt>
                <c:pt idx="695">
                  <c:v>94.082497541999999</c:v>
                </c:pt>
                <c:pt idx="696">
                  <c:v>94.366623223000005</c:v>
                </c:pt>
                <c:pt idx="697">
                  <c:v>94.526384633999996</c:v>
                </c:pt>
                <c:pt idx="698">
                  <c:v>94.1257904</c:v>
                </c:pt>
                <c:pt idx="699">
                  <c:v>94.255007778000007</c:v>
                </c:pt>
                <c:pt idx="700">
                  <c:v>94.285457751999999</c:v>
                </c:pt>
                <c:pt idx="701">
                  <c:v>93.540099327999997</c:v>
                </c:pt>
                <c:pt idx="702">
                  <c:v>93.677724327000007</c:v>
                </c:pt>
                <c:pt idx="703">
                  <c:v>92.845016172000001</c:v>
                </c:pt>
                <c:pt idx="704">
                  <c:v>93.316273894000005</c:v>
                </c:pt>
                <c:pt idx="705">
                  <c:v>93.667235550000001</c:v>
                </c:pt>
                <c:pt idx="706">
                  <c:v>93.238787590000001</c:v>
                </c:pt>
                <c:pt idx="707">
                  <c:v>93.742523969999993</c:v>
                </c:pt>
                <c:pt idx="708">
                  <c:v>93.654121337000007</c:v>
                </c:pt>
                <c:pt idx="709">
                  <c:v>93.662011152000005</c:v>
                </c:pt>
                <c:pt idx="710">
                  <c:v>93.869625247000002</c:v>
                </c:pt>
                <c:pt idx="711">
                  <c:v>94.075926241000005</c:v>
                </c:pt>
                <c:pt idx="712">
                  <c:v>93.984903971999998</c:v>
                </c:pt>
                <c:pt idx="713">
                  <c:v>93.692876455999993</c:v>
                </c:pt>
                <c:pt idx="714">
                  <c:v>93.355912122000007</c:v>
                </c:pt>
                <c:pt idx="715">
                  <c:v>93.070888014000005</c:v>
                </c:pt>
                <c:pt idx="716">
                  <c:v>93.341602640000005</c:v>
                </c:pt>
                <c:pt idx="717">
                  <c:v>92.651555040000005</c:v>
                </c:pt>
                <c:pt idx="718">
                  <c:v>92.501429071999993</c:v>
                </c:pt>
                <c:pt idx="719">
                  <c:v>92.686167323999996</c:v>
                </c:pt>
                <c:pt idx="720">
                  <c:v>92.810250893000003</c:v>
                </c:pt>
                <c:pt idx="721">
                  <c:v>92.893548221000003</c:v>
                </c:pt>
                <c:pt idx="722">
                  <c:v>92.471643775999993</c:v>
                </c:pt>
                <c:pt idx="723">
                  <c:v>91.793470663999997</c:v>
                </c:pt>
                <c:pt idx="724">
                  <c:v>91.609601650000002</c:v>
                </c:pt>
                <c:pt idx="725">
                  <c:v>91.502354514999993</c:v>
                </c:pt>
                <c:pt idx="726">
                  <c:v>91.672520860999995</c:v>
                </c:pt>
                <c:pt idx="727">
                  <c:v>91.661089967999999</c:v>
                </c:pt>
                <c:pt idx="728">
                  <c:v>91.697518020000004</c:v>
                </c:pt>
                <c:pt idx="729">
                  <c:v>92.273210567999996</c:v>
                </c:pt>
                <c:pt idx="730">
                  <c:v>92.304847116000005</c:v>
                </c:pt>
                <c:pt idx="731">
                  <c:v>92.191701570000006</c:v>
                </c:pt>
                <c:pt idx="732">
                  <c:v>92.620954691999998</c:v>
                </c:pt>
                <c:pt idx="733">
                  <c:v>92.699955338999999</c:v>
                </c:pt>
                <c:pt idx="734">
                  <c:v>93.287029423999996</c:v>
                </c:pt>
                <c:pt idx="735">
                  <c:v>92.943004653000003</c:v>
                </c:pt>
                <c:pt idx="736">
                  <c:v>93.569748341999997</c:v>
                </c:pt>
                <c:pt idx="737">
                  <c:v>93.584098608000005</c:v>
                </c:pt>
                <c:pt idx="738">
                  <c:v>93.639496437000005</c:v>
                </c:pt>
                <c:pt idx="739">
                  <c:v>93.552825503999998</c:v>
                </c:pt>
                <c:pt idx="740">
                  <c:v>94.168723701000005</c:v>
                </c:pt>
                <c:pt idx="741">
                  <c:v>95.119273149999998</c:v>
                </c:pt>
                <c:pt idx="742">
                  <c:v>96.183852603999995</c:v>
                </c:pt>
                <c:pt idx="743">
                  <c:v>96.949099740999998</c:v>
                </c:pt>
                <c:pt idx="744">
                  <c:v>96.161036706000004</c:v>
                </c:pt>
                <c:pt idx="745">
                  <c:v>96.077175045000004</c:v>
                </c:pt>
                <c:pt idx="746">
                  <c:v>93.221526372</c:v>
                </c:pt>
                <c:pt idx="747">
                  <c:v>94.48265585</c:v>
                </c:pt>
                <c:pt idx="748">
                  <c:v>94.520914039999994</c:v>
                </c:pt>
                <c:pt idx="749">
                  <c:v>94.940321775000001</c:v>
                </c:pt>
                <c:pt idx="750">
                  <c:v>94.959940008000004</c:v>
                </c:pt>
                <c:pt idx="751">
                  <c:v>95.231480207000004</c:v>
                </c:pt>
                <c:pt idx="752">
                  <c:v>95.481905322000003</c:v>
                </c:pt>
                <c:pt idx="753">
                  <c:v>95.694424499999997</c:v>
                </c:pt>
                <c:pt idx="754">
                  <c:v>95.404084859999998</c:v>
                </c:pt>
                <c:pt idx="755">
                  <c:v>94.836671397999993</c:v>
                </c:pt>
                <c:pt idx="756">
                  <c:v>94.412898996999999</c:v>
                </c:pt>
                <c:pt idx="757">
                  <c:v>94.986239744000002</c:v>
                </c:pt>
                <c:pt idx="758">
                  <c:v>94.514786603999994</c:v>
                </c:pt>
                <c:pt idx="759">
                  <c:v>94.290555784999995</c:v>
                </c:pt>
                <c:pt idx="760">
                  <c:v>94.290434676000004</c:v>
                </c:pt>
                <c:pt idx="761">
                  <c:v>95.829219339000005</c:v>
                </c:pt>
                <c:pt idx="762">
                  <c:v>94.078779878999995</c:v>
                </c:pt>
                <c:pt idx="763">
                  <c:v>95.052958434999994</c:v>
                </c:pt>
                <c:pt idx="764">
                  <c:v>94.290733446000004</c:v>
                </c:pt>
                <c:pt idx="765">
                  <c:v>92.973184877999998</c:v>
                </c:pt>
                <c:pt idx="766">
                  <c:v>92.869263395999994</c:v>
                </c:pt>
                <c:pt idx="767">
                  <c:v>92.651043263999995</c:v>
                </c:pt>
                <c:pt idx="768">
                  <c:v>92.556565075999998</c:v>
                </c:pt>
                <c:pt idx="769">
                  <c:v>92.324011138000003</c:v>
                </c:pt>
                <c:pt idx="770">
                  <c:v>91.880724623999996</c:v>
                </c:pt>
                <c:pt idx="771">
                  <c:v>91.343692688000004</c:v>
                </c:pt>
                <c:pt idx="772">
                  <c:v>91.525602321999997</c:v>
                </c:pt>
                <c:pt idx="773">
                  <c:v>91.710913293999994</c:v>
                </c:pt>
                <c:pt idx="774">
                  <c:v>91.575150500000007</c:v>
                </c:pt>
                <c:pt idx="775">
                  <c:v>91.685298144000001</c:v>
                </c:pt>
                <c:pt idx="776">
                  <c:v>91.648194197999999</c:v>
                </c:pt>
                <c:pt idx="777">
                  <c:v>91.799470967999994</c:v>
                </c:pt>
                <c:pt idx="778">
                  <c:v>91.531823321999994</c:v>
                </c:pt>
                <c:pt idx="779">
                  <c:v>91.164253672000001</c:v>
                </c:pt>
                <c:pt idx="780">
                  <c:v>90.553193247999999</c:v>
                </c:pt>
                <c:pt idx="781">
                  <c:v>90.460561279000004</c:v>
                </c:pt>
                <c:pt idx="782">
                  <c:v>90.095510202</c:v>
                </c:pt>
                <c:pt idx="783">
                  <c:v>90.678833850000004</c:v>
                </c:pt>
                <c:pt idx="784">
                  <c:v>90.620773229999998</c:v>
                </c:pt>
                <c:pt idx="785">
                  <c:v>91.227109131000006</c:v>
                </c:pt>
                <c:pt idx="786">
                  <c:v>90.982561349999997</c:v>
                </c:pt>
                <c:pt idx="787">
                  <c:v>90.384527540999997</c:v>
                </c:pt>
                <c:pt idx="788">
                  <c:v>92.371027311999995</c:v>
                </c:pt>
                <c:pt idx="789">
                  <c:v>90.371639520000002</c:v>
                </c:pt>
                <c:pt idx="790">
                  <c:v>90.640239600000001</c:v>
                </c:pt>
                <c:pt idx="791">
                  <c:v>90.195796086000001</c:v>
                </c:pt>
                <c:pt idx="792">
                  <c:v>89.569090947000007</c:v>
                </c:pt>
                <c:pt idx="793">
                  <c:v>89.246549168000001</c:v>
                </c:pt>
                <c:pt idx="794">
                  <c:v>89.248050759999998</c:v>
                </c:pt>
                <c:pt idx="795">
                  <c:v>89.622506688000001</c:v>
                </c:pt>
                <c:pt idx="796">
                  <c:v>89.738957393999996</c:v>
                </c:pt>
                <c:pt idx="797">
                  <c:v>89.637848783999999</c:v>
                </c:pt>
                <c:pt idx="798">
                  <c:v>89.741608601999999</c:v>
                </c:pt>
                <c:pt idx="799">
                  <c:v>88.463758807000005</c:v>
                </c:pt>
                <c:pt idx="800">
                  <c:v>88.306746696000005</c:v>
                </c:pt>
                <c:pt idx="801">
                  <c:v>89.184109437999993</c:v>
                </c:pt>
                <c:pt idx="802">
                  <c:v>89.308351164000001</c:v>
                </c:pt>
                <c:pt idx="803">
                  <c:v>89.602275594000005</c:v>
                </c:pt>
                <c:pt idx="804">
                  <c:v>89.912402909999997</c:v>
                </c:pt>
                <c:pt idx="805">
                  <c:v>90.018351550000006</c:v>
                </c:pt>
                <c:pt idx="806">
                  <c:v>90.504056136000003</c:v>
                </c:pt>
                <c:pt idx="807">
                  <c:v>91.012661930999997</c:v>
                </c:pt>
                <c:pt idx="808">
                  <c:v>90.581118642000007</c:v>
                </c:pt>
                <c:pt idx="809">
                  <c:v>90.519970022999999</c:v>
                </c:pt>
                <c:pt idx="810">
                  <c:v>90.259598126</c:v>
                </c:pt>
                <c:pt idx="811">
                  <c:v>89.711093837999996</c:v>
                </c:pt>
                <c:pt idx="812">
                  <c:v>89.388460916</c:v>
                </c:pt>
                <c:pt idx="813">
                  <c:v>89.566517951999998</c:v>
                </c:pt>
                <c:pt idx="814">
                  <c:v>89.808711324000001</c:v>
                </c:pt>
                <c:pt idx="815">
                  <c:v>89.499080503000002</c:v>
                </c:pt>
                <c:pt idx="816">
                  <c:v>89.288250911999995</c:v>
                </c:pt>
                <c:pt idx="817">
                  <c:v>89.290622099999993</c:v>
                </c:pt>
                <c:pt idx="818">
                  <c:v>89.259830346000001</c:v>
                </c:pt>
                <c:pt idx="819">
                  <c:v>89.370491987999998</c:v>
                </c:pt>
                <c:pt idx="820">
                  <c:v>89.199485228</c:v>
                </c:pt>
                <c:pt idx="821">
                  <c:v>89.457426807000004</c:v>
                </c:pt>
                <c:pt idx="822">
                  <c:v>90.042762207999999</c:v>
                </c:pt>
                <c:pt idx="823">
                  <c:v>90.056268900000006</c:v>
                </c:pt>
                <c:pt idx="824">
                  <c:v>90.243185568000001</c:v>
                </c:pt>
                <c:pt idx="825">
                  <c:v>90.883319643999997</c:v>
                </c:pt>
                <c:pt idx="826">
                  <c:v>91.113859872000006</c:v>
                </c:pt>
                <c:pt idx="827">
                  <c:v>90.447553678999995</c:v>
                </c:pt>
                <c:pt idx="828">
                  <c:v>89.471210060000004</c:v>
                </c:pt>
                <c:pt idx="829">
                  <c:v>89.299945350000002</c:v>
                </c:pt>
                <c:pt idx="830">
                  <c:v>89.322702777000003</c:v>
                </c:pt>
                <c:pt idx="831">
                  <c:v>89.046157367999996</c:v>
                </c:pt>
                <c:pt idx="832">
                  <c:v>89.229311803000002</c:v>
                </c:pt>
                <c:pt idx="833">
                  <c:v>88.945653089999993</c:v>
                </c:pt>
                <c:pt idx="834">
                  <c:v>89.931944755999993</c:v>
                </c:pt>
                <c:pt idx="835">
                  <c:v>89.786328646000001</c:v>
                </c:pt>
                <c:pt idx="836">
                  <c:v>88.939934440000002</c:v>
                </c:pt>
                <c:pt idx="837">
                  <c:v>88.460603169999999</c:v>
                </c:pt>
                <c:pt idx="838">
                  <c:v>88.337544601000005</c:v>
                </c:pt>
                <c:pt idx="839">
                  <c:v>88.432720665000005</c:v>
                </c:pt>
                <c:pt idx="840">
                  <c:v>88.462337005999998</c:v>
                </c:pt>
                <c:pt idx="841">
                  <c:v>88.554602076999998</c:v>
                </c:pt>
                <c:pt idx="842">
                  <c:v>87.690370250000001</c:v>
                </c:pt>
                <c:pt idx="843">
                  <c:v>87.593501807999999</c:v>
                </c:pt>
                <c:pt idx="844">
                  <c:v>86.909109311999998</c:v>
                </c:pt>
                <c:pt idx="845">
                  <c:v>86.990743792000004</c:v>
                </c:pt>
                <c:pt idx="846">
                  <c:v>87.293716755000005</c:v>
                </c:pt>
                <c:pt idx="847">
                  <c:v>87.065556263999994</c:v>
                </c:pt>
                <c:pt idx="848">
                  <c:v>87.261382944999994</c:v>
                </c:pt>
                <c:pt idx="849">
                  <c:v>87.858868220000005</c:v>
                </c:pt>
                <c:pt idx="850">
                  <c:v>88.648826592000006</c:v>
                </c:pt>
                <c:pt idx="851">
                  <c:v>89.427540160000007</c:v>
                </c:pt>
                <c:pt idx="852">
                  <c:v>89.83137807</c:v>
                </c:pt>
                <c:pt idx="853">
                  <c:v>90.580382634000003</c:v>
                </c:pt>
                <c:pt idx="854">
                  <c:v>90.631692713999996</c:v>
                </c:pt>
                <c:pt idx="855">
                  <c:v>90.873588725999994</c:v>
                </c:pt>
                <c:pt idx="856">
                  <c:v>91.163559551999995</c:v>
                </c:pt>
                <c:pt idx="857">
                  <c:v>90.772653082999994</c:v>
                </c:pt>
                <c:pt idx="858">
                  <c:v>92.780779956000003</c:v>
                </c:pt>
                <c:pt idx="859">
                  <c:v>92.365591499000004</c:v>
                </c:pt>
                <c:pt idx="860">
                  <c:v>92.547916443000005</c:v>
                </c:pt>
                <c:pt idx="861">
                  <c:v>92.318756449999995</c:v>
                </c:pt>
                <c:pt idx="862">
                  <c:v>92.660936199000005</c:v>
                </c:pt>
                <c:pt idx="863">
                  <c:v>92.533551176000003</c:v>
                </c:pt>
                <c:pt idx="864">
                  <c:v>92.948674026000006</c:v>
                </c:pt>
                <c:pt idx="865">
                  <c:v>92.143354303999999</c:v>
                </c:pt>
                <c:pt idx="866">
                  <c:v>92.227016109000004</c:v>
                </c:pt>
                <c:pt idx="867">
                  <c:v>92.161865015000004</c:v>
                </c:pt>
                <c:pt idx="868">
                  <c:v>91.912868459999999</c:v>
                </c:pt>
                <c:pt idx="869">
                  <c:v>92.290810160000007</c:v>
                </c:pt>
                <c:pt idx="870">
                  <c:v>92.344272720000006</c:v>
                </c:pt>
                <c:pt idx="871">
                  <c:v>92.577030987000001</c:v>
                </c:pt>
                <c:pt idx="872">
                  <c:v>93.118715445000007</c:v>
                </c:pt>
                <c:pt idx="873">
                  <c:v>93.615418890000001</c:v>
                </c:pt>
                <c:pt idx="874">
                  <c:v>93.738259999999997</c:v>
                </c:pt>
                <c:pt idx="875">
                  <c:v>94.219149422000001</c:v>
                </c:pt>
                <c:pt idx="876">
                  <c:v>93.767160211999993</c:v>
                </c:pt>
                <c:pt idx="877">
                  <c:v>93.775337867999994</c:v>
                </c:pt>
                <c:pt idx="878">
                  <c:v>93.802494695999997</c:v>
                </c:pt>
                <c:pt idx="879">
                  <c:v>93.655491979999994</c:v>
                </c:pt>
                <c:pt idx="880">
                  <c:v>93.675743280000006</c:v>
                </c:pt>
                <c:pt idx="881">
                  <c:v>93.367212839999993</c:v>
                </c:pt>
                <c:pt idx="882">
                  <c:v>92.839455185000006</c:v>
                </c:pt>
                <c:pt idx="883">
                  <c:v>93.099768695999998</c:v>
                </c:pt>
                <c:pt idx="884">
                  <c:v>93.365531630000007</c:v>
                </c:pt>
                <c:pt idx="885">
                  <c:v>93.645108973999996</c:v>
                </c:pt>
                <c:pt idx="886">
                  <c:v>94.597378656000004</c:v>
                </c:pt>
                <c:pt idx="887">
                  <c:v>94.507193364000003</c:v>
                </c:pt>
                <c:pt idx="888">
                  <c:v>94.632793050999993</c:v>
                </c:pt>
                <c:pt idx="889">
                  <c:v>94.536274636000002</c:v>
                </c:pt>
                <c:pt idx="890">
                  <c:v>94.352661077999997</c:v>
                </c:pt>
                <c:pt idx="891">
                  <c:v>93.656918187000002</c:v>
                </c:pt>
                <c:pt idx="892">
                  <c:v>93.480197085</c:v>
                </c:pt>
                <c:pt idx="893">
                  <c:v>93.352586189999997</c:v>
                </c:pt>
                <c:pt idx="894">
                  <c:v>93.393614702999997</c:v>
                </c:pt>
                <c:pt idx="895">
                  <c:v>93.374800464000003</c:v>
                </c:pt>
                <c:pt idx="896">
                  <c:v>93.342339425999995</c:v>
                </c:pt>
                <c:pt idx="897">
                  <c:v>93.042589273999994</c:v>
                </c:pt>
                <c:pt idx="898">
                  <c:v>92.796203188000007</c:v>
                </c:pt>
                <c:pt idx="899">
                  <c:v>92.746060020000002</c:v>
                </c:pt>
                <c:pt idx="900">
                  <c:v>92.996413709999999</c:v>
                </c:pt>
                <c:pt idx="901">
                  <c:v>92.978653915999999</c:v>
                </c:pt>
                <c:pt idx="902">
                  <c:v>93.429166887999997</c:v>
                </c:pt>
                <c:pt idx="903">
                  <c:v>92.479156223999993</c:v>
                </c:pt>
                <c:pt idx="904">
                  <c:v>93.106493401999998</c:v>
                </c:pt>
                <c:pt idx="905">
                  <c:v>93.020501030000005</c:v>
                </c:pt>
                <c:pt idx="906">
                  <c:v>93.419257139999999</c:v>
                </c:pt>
                <c:pt idx="907">
                  <c:v>93.326165498999998</c:v>
                </c:pt>
                <c:pt idx="908">
                  <c:v>93.196761502000001</c:v>
                </c:pt>
                <c:pt idx="909">
                  <c:v>93.610701734000003</c:v>
                </c:pt>
                <c:pt idx="910">
                  <c:v>93.529106229999996</c:v>
                </c:pt>
                <c:pt idx="911">
                  <c:v>93.489263464000004</c:v>
                </c:pt>
                <c:pt idx="912">
                  <c:v>93.527552987999997</c:v>
                </c:pt>
                <c:pt idx="913">
                  <c:v>93.192945074999997</c:v>
                </c:pt>
                <c:pt idx="914">
                  <c:v>92.940141464000007</c:v>
                </c:pt>
                <c:pt idx="915">
                  <c:v>92.998614575000005</c:v>
                </c:pt>
                <c:pt idx="916">
                  <c:v>93.011049184000001</c:v>
                </c:pt>
                <c:pt idx="917">
                  <c:v>93.022202903999997</c:v>
                </c:pt>
                <c:pt idx="918">
                  <c:v>93.023138549999999</c:v>
                </c:pt>
                <c:pt idx="919">
                  <c:v>93.265828347999999</c:v>
                </c:pt>
                <c:pt idx="920">
                  <c:v>93.104473876</c:v>
                </c:pt>
                <c:pt idx="921">
                  <c:v>93.099890131999999</c:v>
                </c:pt>
                <c:pt idx="922">
                  <c:v>93.118934358000004</c:v>
                </c:pt>
                <c:pt idx="923">
                  <c:v>92.422849780000007</c:v>
                </c:pt>
                <c:pt idx="924">
                  <c:v>91.592237060000002</c:v>
                </c:pt>
                <c:pt idx="925">
                  <c:v>91.704805472999993</c:v>
                </c:pt>
                <c:pt idx="926">
                  <c:v>91.901895877000001</c:v>
                </c:pt>
                <c:pt idx="927">
                  <c:v>91.705508674000001</c:v>
                </c:pt>
                <c:pt idx="928">
                  <c:v>91.672093493999995</c:v>
                </c:pt>
                <c:pt idx="929">
                  <c:v>91.744062803999995</c:v>
                </c:pt>
                <c:pt idx="930">
                  <c:v>91.771285422000005</c:v>
                </c:pt>
                <c:pt idx="931">
                  <c:v>91.743016819999994</c:v>
                </c:pt>
                <c:pt idx="932">
                  <c:v>91.935543733000003</c:v>
                </c:pt>
                <c:pt idx="933">
                  <c:v>91.943237088000004</c:v>
                </c:pt>
                <c:pt idx="934">
                  <c:v>92.274246207999994</c:v>
                </c:pt>
                <c:pt idx="935">
                  <c:v>93.751467711000004</c:v>
                </c:pt>
                <c:pt idx="936">
                  <c:v>94.271426207999994</c:v>
                </c:pt>
                <c:pt idx="937">
                  <c:v>94.973171699999995</c:v>
                </c:pt>
                <c:pt idx="938">
                  <c:v>95.565666379999996</c:v>
                </c:pt>
                <c:pt idx="939">
                  <c:v>96.941435760999994</c:v>
                </c:pt>
                <c:pt idx="940">
                  <c:v>97.998733853999994</c:v>
                </c:pt>
                <c:pt idx="941">
                  <c:v>98.120006774999993</c:v>
                </c:pt>
                <c:pt idx="942">
                  <c:v>97.757545863000004</c:v>
                </c:pt>
                <c:pt idx="943">
                  <c:v>98.527290719999996</c:v>
                </c:pt>
                <c:pt idx="944">
                  <c:v>98.887086885000002</c:v>
                </c:pt>
                <c:pt idx="945">
                  <c:v>98.901633743999994</c:v>
                </c:pt>
                <c:pt idx="946">
                  <c:v>98.577654120000005</c:v>
                </c:pt>
                <c:pt idx="947">
                  <c:v>97.562164420000002</c:v>
                </c:pt>
                <c:pt idx="948">
                  <c:v>97.241121251999999</c:v>
                </c:pt>
                <c:pt idx="949">
                  <c:v>97.604246700000004</c:v>
                </c:pt>
                <c:pt idx="950">
                  <c:v>97.664974763999993</c:v>
                </c:pt>
                <c:pt idx="951">
                  <c:v>99.661064475000003</c:v>
                </c:pt>
                <c:pt idx="952">
                  <c:v>100.147992399</c:v>
                </c:pt>
                <c:pt idx="953">
                  <c:v>99.925265874999994</c:v>
                </c:pt>
                <c:pt idx="954">
                  <c:v>100.375734816</c:v>
                </c:pt>
                <c:pt idx="955">
                  <c:v>99.785441266000007</c:v>
                </c:pt>
                <c:pt idx="956">
                  <c:v>99.633912280000004</c:v>
                </c:pt>
                <c:pt idx="957">
                  <c:v>98.615558132000004</c:v>
                </c:pt>
                <c:pt idx="958">
                  <c:v>99.523566665999994</c:v>
                </c:pt>
                <c:pt idx="959">
                  <c:v>99.213326351000006</c:v>
                </c:pt>
                <c:pt idx="960">
                  <c:v>99.249865553999996</c:v>
                </c:pt>
                <c:pt idx="961">
                  <c:v>99.656354394999994</c:v>
                </c:pt>
                <c:pt idx="962">
                  <c:v>100.99797074999999</c:v>
                </c:pt>
                <c:pt idx="963">
                  <c:v>100.297853988</c:v>
                </c:pt>
                <c:pt idx="964">
                  <c:v>99.675337811999995</c:v>
                </c:pt>
                <c:pt idx="965">
                  <c:v>99.964776256999997</c:v>
                </c:pt>
                <c:pt idx="966">
                  <c:v>99.529834014000002</c:v>
                </c:pt>
                <c:pt idx="967">
                  <c:v>99.773425295999999</c:v>
                </c:pt>
                <c:pt idx="968">
                  <c:v>99.505995654000003</c:v>
                </c:pt>
                <c:pt idx="969">
                  <c:v>99.254879110000005</c:v>
                </c:pt>
                <c:pt idx="970">
                  <c:v>98.547245923000006</c:v>
                </c:pt>
                <c:pt idx="971">
                  <c:v>98.641074614000004</c:v>
                </c:pt>
                <c:pt idx="972">
                  <c:v>98.473210257999995</c:v>
                </c:pt>
                <c:pt idx="973">
                  <c:v>98.675621879999994</c:v>
                </c:pt>
                <c:pt idx="974">
                  <c:v>98.955526324000004</c:v>
                </c:pt>
                <c:pt idx="975">
                  <c:v>100.709451583</c:v>
                </c:pt>
                <c:pt idx="976">
                  <c:v>100.709982009</c:v>
                </c:pt>
                <c:pt idx="977">
                  <c:v>101.068929825</c:v>
                </c:pt>
                <c:pt idx="978">
                  <c:v>101.17095392</c:v>
                </c:pt>
                <c:pt idx="979">
                  <c:v>101.199492768</c:v>
                </c:pt>
                <c:pt idx="980">
                  <c:v>101.254067292</c:v>
                </c:pt>
                <c:pt idx="981">
                  <c:v>102.149700565</c:v>
                </c:pt>
                <c:pt idx="982">
                  <c:v>101.54521894</c:v>
                </c:pt>
                <c:pt idx="983">
                  <c:v>101.677962519</c:v>
                </c:pt>
                <c:pt idx="984">
                  <c:v>101.758093045</c:v>
                </c:pt>
                <c:pt idx="985">
                  <c:v>101.070372053</c:v>
                </c:pt>
                <c:pt idx="986">
                  <c:v>100.605366456</c:v>
                </c:pt>
                <c:pt idx="987">
                  <c:v>100.49104452</c:v>
                </c:pt>
                <c:pt idx="988">
                  <c:v>100.77704322</c:v>
                </c:pt>
                <c:pt idx="989">
                  <c:v>101.23527198399999</c:v>
                </c:pt>
                <c:pt idx="990">
                  <c:v>101.2934951</c:v>
                </c:pt>
                <c:pt idx="991">
                  <c:v>101.74477770599999</c:v>
                </c:pt>
                <c:pt idx="992">
                  <c:v>101.781858525</c:v>
                </c:pt>
                <c:pt idx="993">
                  <c:v>102.31510785</c:v>
                </c:pt>
                <c:pt idx="994">
                  <c:v>102.065283936</c:v>
                </c:pt>
                <c:pt idx="995">
                  <c:v>102.954410395</c:v>
                </c:pt>
                <c:pt idx="996">
                  <c:v>102.62610888</c:v>
                </c:pt>
                <c:pt idx="997">
                  <c:v>102.331239666</c:v>
                </c:pt>
                <c:pt idx="998">
                  <c:v>102.08138252400001</c:v>
                </c:pt>
                <c:pt idx="999">
                  <c:v>101.97745772499999</c:v>
                </c:pt>
                <c:pt idx="1000">
                  <c:v>102.903514989</c:v>
                </c:pt>
                <c:pt idx="1001">
                  <c:v>102.986442375</c:v>
                </c:pt>
                <c:pt idx="1002">
                  <c:v>103.3595607</c:v>
                </c:pt>
                <c:pt idx="1003">
                  <c:v>103.90149166800001</c:v>
                </c:pt>
                <c:pt idx="1004">
                  <c:v>104.15605034399999</c:v>
                </c:pt>
                <c:pt idx="1005">
                  <c:v>104.91573302400001</c:v>
                </c:pt>
                <c:pt idx="1006">
                  <c:v>104.80515174999999</c:v>
                </c:pt>
                <c:pt idx="1007">
                  <c:v>104.85865665599999</c:v>
                </c:pt>
                <c:pt idx="1008">
                  <c:v>105.037626745</c:v>
                </c:pt>
                <c:pt idx="1009">
                  <c:v>104.35300029</c:v>
                </c:pt>
                <c:pt idx="1010">
                  <c:v>103.513701144</c:v>
                </c:pt>
                <c:pt idx="1011">
                  <c:v>103.14056196</c:v>
                </c:pt>
                <c:pt idx="1012">
                  <c:v>102.80277563</c:v>
                </c:pt>
                <c:pt idx="1013">
                  <c:v>101.83514754399999</c:v>
                </c:pt>
                <c:pt idx="1014">
                  <c:v>100.283735138</c:v>
                </c:pt>
                <c:pt idx="1015">
                  <c:v>100.23288304800001</c:v>
                </c:pt>
                <c:pt idx="1016">
                  <c:v>100.106283899</c:v>
                </c:pt>
                <c:pt idx="1017">
                  <c:v>99.689183639999996</c:v>
                </c:pt>
                <c:pt idx="1018">
                  <c:v>99.514982111999998</c:v>
                </c:pt>
                <c:pt idx="1019">
                  <c:v>99.210617639999995</c:v>
                </c:pt>
                <c:pt idx="1020">
                  <c:v>99.615379775999997</c:v>
                </c:pt>
                <c:pt idx="1021">
                  <c:v>100.14421054500001</c:v>
                </c:pt>
                <c:pt idx="1022">
                  <c:v>100.26934362900001</c:v>
                </c:pt>
                <c:pt idx="1023">
                  <c:v>100.37207077399999</c:v>
                </c:pt>
                <c:pt idx="1024">
                  <c:v>100.051053806</c:v>
                </c:pt>
                <c:pt idx="1025">
                  <c:v>99.381111274000006</c:v>
                </c:pt>
                <c:pt idx="1026">
                  <c:v>99.636052637999995</c:v>
                </c:pt>
                <c:pt idx="1027">
                  <c:v>99.485692596000007</c:v>
                </c:pt>
                <c:pt idx="1028">
                  <c:v>99.415289791999996</c:v>
                </c:pt>
                <c:pt idx="1029">
                  <c:v>99.651911904000002</c:v>
                </c:pt>
                <c:pt idx="1030">
                  <c:v>99.511876544000003</c:v>
                </c:pt>
                <c:pt idx="1031">
                  <c:v>99.572658598000004</c:v>
                </c:pt>
                <c:pt idx="1032">
                  <c:v>99.974802269999998</c:v>
                </c:pt>
                <c:pt idx="1033">
                  <c:v>99.633746880000004</c:v>
                </c:pt>
                <c:pt idx="1034">
                  <c:v>99.305187903999993</c:v>
                </c:pt>
                <c:pt idx="1035">
                  <c:v>99.412553450000004</c:v>
                </c:pt>
                <c:pt idx="1036">
                  <c:v>99.328987416000004</c:v>
                </c:pt>
                <c:pt idx="1037">
                  <c:v>98.416683057</c:v>
                </c:pt>
                <c:pt idx="1038">
                  <c:v>98.079649889999999</c:v>
                </c:pt>
                <c:pt idx="1039">
                  <c:v>98.173869991999993</c:v>
                </c:pt>
                <c:pt idx="1040">
                  <c:v>97.997705960000005</c:v>
                </c:pt>
                <c:pt idx="1041">
                  <c:v>97.487399640000007</c:v>
                </c:pt>
                <c:pt idx="1042">
                  <c:v>97.371158039999997</c:v>
                </c:pt>
                <c:pt idx="1043">
                  <c:v>97.706434135999999</c:v>
                </c:pt>
                <c:pt idx="1044">
                  <c:v>98.490174805999999</c:v>
                </c:pt>
                <c:pt idx="1045">
                  <c:v>98.995830261999998</c:v>
                </c:pt>
                <c:pt idx="1046">
                  <c:v>98.702372284000006</c:v>
                </c:pt>
                <c:pt idx="1047">
                  <c:v>99.582810768000002</c:v>
                </c:pt>
                <c:pt idx="1048">
                  <c:v>99.301634215999997</c:v>
                </c:pt>
                <c:pt idx="1049">
                  <c:v>99.005326221000004</c:v>
                </c:pt>
                <c:pt idx="1050">
                  <c:v>100.10343889000001</c:v>
                </c:pt>
                <c:pt idx="1051">
                  <c:v>100.294593632</c:v>
                </c:pt>
                <c:pt idx="1052">
                  <c:v>99.92011445</c:v>
                </c:pt>
                <c:pt idx="1053">
                  <c:v>98.928534524</c:v>
                </c:pt>
                <c:pt idx="1054">
                  <c:v>98.664037766000007</c:v>
                </c:pt>
                <c:pt idx="1055">
                  <c:v>98.027682357000003</c:v>
                </c:pt>
                <c:pt idx="1056">
                  <c:v>98.320183400000005</c:v>
                </c:pt>
                <c:pt idx="1057">
                  <c:v>99.079306388999996</c:v>
                </c:pt>
                <c:pt idx="1058">
                  <c:v>99.105447056000003</c:v>
                </c:pt>
                <c:pt idx="1059">
                  <c:v>99.039049035000005</c:v>
                </c:pt>
                <c:pt idx="1060">
                  <c:v>100.095755786</c:v>
                </c:pt>
                <c:pt idx="1061">
                  <c:v>100.36307187600001</c:v>
                </c:pt>
                <c:pt idx="1062">
                  <c:v>100.5387929</c:v>
                </c:pt>
                <c:pt idx="1063">
                  <c:v>100.089100242</c:v>
                </c:pt>
                <c:pt idx="1064">
                  <c:v>99.807311604000006</c:v>
                </c:pt>
                <c:pt idx="1065">
                  <c:v>99.391882296000006</c:v>
                </c:pt>
                <c:pt idx="1066">
                  <c:v>99.560516747999998</c:v>
                </c:pt>
                <c:pt idx="1067">
                  <c:v>99.693663983999997</c:v>
                </c:pt>
                <c:pt idx="1068">
                  <c:v>99.443296610000004</c:v>
                </c:pt>
                <c:pt idx="1069">
                  <c:v>99.357911423999994</c:v>
                </c:pt>
                <c:pt idx="1070">
                  <c:v>98.970481522</c:v>
                </c:pt>
                <c:pt idx="1071">
                  <c:v>99.066364062999995</c:v>
                </c:pt>
                <c:pt idx="1072">
                  <c:v>99.518416560000006</c:v>
                </c:pt>
                <c:pt idx="1073">
                  <c:v>98.937091260000003</c:v>
                </c:pt>
                <c:pt idx="1074">
                  <c:v>99.063927890000002</c:v>
                </c:pt>
                <c:pt idx="1075">
                  <c:v>99.321477995999999</c:v>
                </c:pt>
                <c:pt idx="1076">
                  <c:v>99.332236026000004</c:v>
                </c:pt>
                <c:pt idx="1077">
                  <c:v>98.918927912000001</c:v>
                </c:pt>
                <c:pt idx="1078">
                  <c:v>98.918211200000002</c:v>
                </c:pt>
                <c:pt idx="1079">
                  <c:v>99.505472814000001</c:v>
                </c:pt>
                <c:pt idx="1080">
                  <c:v>99.143789045000005</c:v>
                </c:pt>
                <c:pt idx="1081">
                  <c:v>98.439395469999994</c:v>
                </c:pt>
                <c:pt idx="1082">
                  <c:v>97.907158080000002</c:v>
                </c:pt>
                <c:pt idx="1083">
                  <c:v>96.90021376</c:v>
                </c:pt>
                <c:pt idx="1084">
                  <c:v>97.052304101999994</c:v>
                </c:pt>
                <c:pt idx="1085">
                  <c:v>96.273680694000006</c:v>
                </c:pt>
                <c:pt idx="1086">
                  <c:v>94.343277177000004</c:v>
                </c:pt>
                <c:pt idx="1087">
                  <c:v>93.553590130000003</c:v>
                </c:pt>
                <c:pt idx="1088">
                  <c:v>93.989569520000003</c:v>
                </c:pt>
                <c:pt idx="1089">
                  <c:v>94.063556001999999</c:v>
                </c:pt>
                <c:pt idx="1090">
                  <c:v>93.741374065000002</c:v>
                </c:pt>
                <c:pt idx="1091">
                  <c:v>93.547170553000001</c:v>
                </c:pt>
                <c:pt idx="1092">
                  <c:v>93.697014124000006</c:v>
                </c:pt>
                <c:pt idx="1093">
                  <c:v>93.820181930000004</c:v>
                </c:pt>
                <c:pt idx="1094">
                  <c:v>93.434447645000006</c:v>
                </c:pt>
                <c:pt idx="1095">
                  <c:v>93.254997176000003</c:v>
                </c:pt>
                <c:pt idx="1096">
                  <c:v>93.551087280000004</c:v>
                </c:pt>
                <c:pt idx="1097">
                  <c:v>94.407808590000002</c:v>
                </c:pt>
                <c:pt idx="1098">
                  <c:v>94.637566475</c:v>
                </c:pt>
                <c:pt idx="1099">
                  <c:v>95.117651705</c:v>
                </c:pt>
                <c:pt idx="1100">
                  <c:v>95.443978678999997</c:v>
                </c:pt>
                <c:pt idx="1101">
                  <c:v>95.596080775999994</c:v>
                </c:pt>
                <c:pt idx="1102">
                  <c:v>96.383639823999999</c:v>
                </c:pt>
                <c:pt idx="1103">
                  <c:v>96.418449248000002</c:v>
                </c:pt>
                <c:pt idx="1104">
                  <c:v>96.200147049999998</c:v>
                </c:pt>
                <c:pt idx="1105">
                  <c:v>95.754556754999996</c:v>
                </c:pt>
                <c:pt idx="1106">
                  <c:v>95.345154621000006</c:v>
                </c:pt>
                <c:pt idx="1107">
                  <c:v>95.389644380999997</c:v>
                </c:pt>
                <c:pt idx="1108">
                  <c:v>95.366595071999996</c:v>
                </c:pt>
                <c:pt idx="1109">
                  <c:v>94.925264616000007</c:v>
                </c:pt>
                <c:pt idx="1110">
                  <c:v>94.495113013999998</c:v>
                </c:pt>
                <c:pt idx="1111">
                  <c:v>94.361176139999998</c:v>
                </c:pt>
                <c:pt idx="1112">
                  <c:v>94.542731833000005</c:v>
                </c:pt>
                <c:pt idx="1113">
                  <c:v>94.379280731999998</c:v>
                </c:pt>
                <c:pt idx="1114">
                  <c:v>94.132731176999997</c:v>
                </c:pt>
                <c:pt idx="1115">
                  <c:v>93.680428904999999</c:v>
                </c:pt>
                <c:pt idx="1116">
                  <c:v>93.005106249999997</c:v>
                </c:pt>
                <c:pt idx="1117">
                  <c:v>92.641287293999994</c:v>
                </c:pt>
                <c:pt idx="1118">
                  <c:v>92.609713429999999</c:v>
                </c:pt>
                <c:pt idx="1119">
                  <c:v>92.461310777999998</c:v>
                </c:pt>
                <c:pt idx="1120">
                  <c:v>92.379528500000006</c:v>
                </c:pt>
                <c:pt idx="1121">
                  <c:v>93.433774385000007</c:v>
                </c:pt>
                <c:pt idx="1122">
                  <c:v>92.950739088000006</c:v>
                </c:pt>
                <c:pt idx="1123">
                  <c:v>93.062957466</c:v>
                </c:pt>
                <c:pt idx="1124">
                  <c:v>92.923129734</c:v>
                </c:pt>
                <c:pt idx="1125">
                  <c:v>92.573822079999999</c:v>
                </c:pt>
                <c:pt idx="1126">
                  <c:v>92.250746092</c:v>
                </c:pt>
                <c:pt idx="1127">
                  <c:v>92.059967999999998</c:v>
                </c:pt>
                <c:pt idx="1128">
                  <c:v>92.106062292000004</c:v>
                </c:pt>
                <c:pt idx="1129">
                  <c:v>92.507664633999994</c:v>
                </c:pt>
                <c:pt idx="1130">
                  <c:v>92.399087703999996</c:v>
                </c:pt>
                <c:pt idx="1131">
                  <c:v>92.460432855999997</c:v>
                </c:pt>
                <c:pt idx="1132">
                  <c:v>92.843695315000005</c:v>
                </c:pt>
                <c:pt idx="1133">
                  <c:v>92.423363123000001</c:v>
                </c:pt>
                <c:pt idx="1134">
                  <c:v>91.566058272000006</c:v>
                </c:pt>
                <c:pt idx="1135">
                  <c:v>91.221451238</c:v>
                </c:pt>
                <c:pt idx="1136">
                  <c:v>91.344702384000001</c:v>
                </c:pt>
                <c:pt idx="1137">
                  <c:v>90.926573270000006</c:v>
                </c:pt>
                <c:pt idx="1138">
                  <c:v>90.538897316000003</c:v>
                </c:pt>
                <c:pt idx="1139">
                  <c:v>90.611478489999996</c:v>
                </c:pt>
                <c:pt idx="1140">
                  <c:v>90.353633766000002</c:v>
                </c:pt>
                <c:pt idx="1141">
                  <c:v>90.353265225000001</c:v>
                </c:pt>
                <c:pt idx="1142">
                  <c:v>90.161683120999996</c:v>
                </c:pt>
                <c:pt idx="1143">
                  <c:v>90.003168744000007</c:v>
                </c:pt>
                <c:pt idx="1144">
                  <c:v>89.120001189999996</c:v>
                </c:pt>
                <c:pt idx="1145">
                  <c:v>88.538362535000005</c:v>
                </c:pt>
                <c:pt idx="1146">
                  <c:v>88.218986228999995</c:v>
                </c:pt>
                <c:pt idx="1147">
                  <c:v>88.358692919999996</c:v>
                </c:pt>
                <c:pt idx="1148">
                  <c:v>88.348300757999993</c:v>
                </c:pt>
                <c:pt idx="1149">
                  <c:v>88.729671538000005</c:v>
                </c:pt>
                <c:pt idx="1150">
                  <c:v>88.842836969999993</c:v>
                </c:pt>
                <c:pt idx="1151">
                  <c:v>88.564145358000005</c:v>
                </c:pt>
                <c:pt idx="1152">
                  <c:v>88.945922891999999</c:v>
                </c:pt>
                <c:pt idx="1153">
                  <c:v>89.513000888999997</c:v>
                </c:pt>
                <c:pt idx="1154">
                  <c:v>89.233609920000006</c:v>
                </c:pt>
                <c:pt idx="1155">
                  <c:v>89.248810383000006</c:v>
                </c:pt>
                <c:pt idx="1156">
                  <c:v>89.195101015999995</c:v>
                </c:pt>
                <c:pt idx="1157">
                  <c:v>89.059186851000007</c:v>
                </c:pt>
                <c:pt idx="1158">
                  <c:v>89.017764159999999</c:v>
                </c:pt>
                <c:pt idx="1159">
                  <c:v>89.355189766999999</c:v>
                </c:pt>
                <c:pt idx="1160">
                  <c:v>89.248500289999996</c:v>
                </c:pt>
                <c:pt idx="1161">
                  <c:v>89.274744847999997</c:v>
                </c:pt>
                <c:pt idx="1162">
                  <c:v>89.169025736999998</c:v>
                </c:pt>
                <c:pt idx="1163">
                  <c:v>88.861087679999997</c:v>
                </c:pt>
                <c:pt idx="1164">
                  <c:v>88.975695963000007</c:v>
                </c:pt>
                <c:pt idx="1165">
                  <c:v>89.007774459999993</c:v>
                </c:pt>
                <c:pt idx="1166">
                  <c:v>89.105002217000006</c:v>
                </c:pt>
                <c:pt idx="1167">
                  <c:v>88.999884909000002</c:v>
                </c:pt>
                <c:pt idx="1168">
                  <c:v>89.060858847999995</c:v>
                </c:pt>
                <c:pt idx="1169">
                  <c:v>89.253635885999998</c:v>
                </c:pt>
                <c:pt idx="1170">
                  <c:v>89.005323673000007</c:v>
                </c:pt>
                <c:pt idx="1171">
                  <c:v>89.048846609999998</c:v>
                </c:pt>
                <c:pt idx="1172">
                  <c:v>89.369130479999995</c:v>
                </c:pt>
                <c:pt idx="1173">
                  <c:v>89.403605440000007</c:v>
                </c:pt>
                <c:pt idx="1174">
                  <c:v>89.415656310000003</c:v>
                </c:pt>
                <c:pt idx="1175">
                  <c:v>89.206730160000006</c:v>
                </c:pt>
                <c:pt idx="1176">
                  <c:v>89.260403584000002</c:v>
                </c:pt>
                <c:pt idx="1177">
                  <c:v>89.368843662000003</c:v>
                </c:pt>
                <c:pt idx="1178">
                  <c:v>89.256290309999997</c:v>
                </c:pt>
                <c:pt idx="1179">
                  <c:v>89.252649071999997</c:v>
                </c:pt>
                <c:pt idx="1180">
                  <c:v>89.496323844000003</c:v>
                </c:pt>
                <c:pt idx="1181">
                  <c:v>90.251257047999999</c:v>
                </c:pt>
                <c:pt idx="1182">
                  <c:v>90.294937344000004</c:v>
                </c:pt>
                <c:pt idx="1183">
                  <c:v>90.791950466000003</c:v>
                </c:pt>
                <c:pt idx="1184">
                  <c:v>90.964515614999996</c:v>
                </c:pt>
                <c:pt idx="1185">
                  <c:v>91.096686183000003</c:v>
                </c:pt>
                <c:pt idx="1186">
                  <c:v>90.996506109999999</c:v>
                </c:pt>
                <c:pt idx="1187">
                  <c:v>90.471119013999996</c:v>
                </c:pt>
                <c:pt idx="1188">
                  <c:v>90.259845107999993</c:v>
                </c:pt>
                <c:pt idx="1189">
                  <c:v>89.961732499999997</c:v>
                </c:pt>
                <c:pt idx="1190">
                  <c:v>89.091823567999995</c:v>
                </c:pt>
                <c:pt idx="1191">
                  <c:v>88.600057632000002</c:v>
                </c:pt>
                <c:pt idx="1192">
                  <c:v>88.622540964999999</c:v>
                </c:pt>
                <c:pt idx="1193">
                  <c:v>87.405020340999997</c:v>
                </c:pt>
                <c:pt idx="1194">
                  <c:v>87.542324363999995</c:v>
                </c:pt>
                <c:pt idx="1195">
                  <c:v>87.186607171999995</c:v>
                </c:pt>
                <c:pt idx="1196">
                  <c:v>87.855491074</c:v>
                </c:pt>
                <c:pt idx="1197">
                  <c:v>87.809163378999997</c:v>
                </c:pt>
                <c:pt idx="1198">
                  <c:v>87.944032211000007</c:v>
                </c:pt>
                <c:pt idx="1199">
                  <c:v>87.545324489999999</c:v>
                </c:pt>
                <c:pt idx="1200">
                  <c:v>87.165351336000001</c:v>
                </c:pt>
                <c:pt idx="1201">
                  <c:v>86.995236856999995</c:v>
                </c:pt>
                <c:pt idx="1202">
                  <c:v>87.053804040000003</c:v>
                </c:pt>
                <c:pt idx="1203">
                  <c:v>87.045280718000001</c:v>
                </c:pt>
                <c:pt idx="1204">
                  <c:v>87.335228375</c:v>
                </c:pt>
                <c:pt idx="1205">
                  <c:v>87.633492575999995</c:v>
                </c:pt>
                <c:pt idx="1206">
                  <c:v>87.344594279999995</c:v>
                </c:pt>
                <c:pt idx="1207">
                  <c:v>87.254474328000001</c:v>
                </c:pt>
                <c:pt idx="1208">
                  <c:v>86.655060790999997</c:v>
                </c:pt>
                <c:pt idx="1209">
                  <c:v>86.791721808000005</c:v>
                </c:pt>
                <c:pt idx="1210">
                  <c:v>86.839577117999994</c:v>
                </c:pt>
                <c:pt idx="1211">
                  <c:v>86.812626207999998</c:v>
                </c:pt>
                <c:pt idx="1212">
                  <c:v>87.068745375000006</c:v>
                </c:pt>
                <c:pt idx="1213">
                  <c:v>87.129652922000005</c:v>
                </c:pt>
                <c:pt idx="1214">
                  <c:v>87.006049653000005</c:v>
                </c:pt>
                <c:pt idx="1215">
                  <c:v>87.205127700999995</c:v>
                </c:pt>
                <c:pt idx="1216">
                  <c:v>87.359604497999996</c:v>
                </c:pt>
                <c:pt idx="1217">
                  <c:v>87.636379050000002</c:v>
                </c:pt>
                <c:pt idx="1218">
                  <c:v>87.753882047999994</c:v>
                </c:pt>
                <c:pt idx="1219">
                  <c:v>87.783029016</c:v>
                </c:pt>
                <c:pt idx="1220">
                  <c:v>88.06573152</c:v>
                </c:pt>
                <c:pt idx="1221">
                  <c:v>88.189210075999995</c:v>
                </c:pt>
                <c:pt idx="1222">
                  <c:v>88.434854134000005</c:v>
                </c:pt>
                <c:pt idx="1223">
                  <c:v>89.165602109999995</c:v>
                </c:pt>
                <c:pt idx="1224">
                  <c:v>89.928954000000004</c:v>
                </c:pt>
                <c:pt idx="1225">
                  <c:v>89.966215250000005</c:v>
                </c:pt>
                <c:pt idx="1226">
                  <c:v>90.045602324000001</c:v>
                </c:pt>
                <c:pt idx="1227">
                  <c:v>90.028575970000006</c:v>
                </c:pt>
                <c:pt idx="1228">
                  <c:v>89.863003402000004</c:v>
                </c:pt>
                <c:pt idx="1229">
                  <c:v>89.943136031999998</c:v>
                </c:pt>
                <c:pt idx="1230">
                  <c:v>90.382161984000007</c:v>
                </c:pt>
                <c:pt idx="1231">
                  <c:v>90.629908112999999</c:v>
                </c:pt>
                <c:pt idx="1232">
                  <c:v>90.373852176</c:v>
                </c:pt>
                <c:pt idx="1233">
                  <c:v>90.533122370000001</c:v>
                </c:pt>
                <c:pt idx="1234">
                  <c:v>90.566763867999995</c:v>
                </c:pt>
                <c:pt idx="1235">
                  <c:v>90.936592750000003</c:v>
                </c:pt>
                <c:pt idx="1236">
                  <c:v>91.618018769000003</c:v>
                </c:pt>
                <c:pt idx="1237">
                  <c:v>91.803800928000001</c:v>
                </c:pt>
                <c:pt idx="1238">
                  <c:v>91.679271068999995</c:v>
                </c:pt>
                <c:pt idx="1239">
                  <c:v>91.416510283999997</c:v>
                </c:pt>
                <c:pt idx="1240">
                  <c:v>91.106458599999996</c:v>
                </c:pt>
                <c:pt idx="1241">
                  <c:v>90.472766167000003</c:v>
                </c:pt>
                <c:pt idx="1242">
                  <c:v>89.544852035999995</c:v>
                </c:pt>
                <c:pt idx="1243">
                  <c:v>89.210297659999995</c:v>
                </c:pt>
                <c:pt idx="1244">
                  <c:v>89.141666856000001</c:v>
                </c:pt>
                <c:pt idx="1245">
                  <c:v>89.301872176000003</c:v>
                </c:pt>
                <c:pt idx="1246">
                  <c:v>89.428560880000006</c:v>
                </c:pt>
                <c:pt idx="1247">
                  <c:v>89.742488420000001</c:v>
                </c:pt>
                <c:pt idx="1248">
                  <c:v>89.344458978000006</c:v>
                </c:pt>
                <c:pt idx="1249">
                  <c:v>89.553921567000003</c:v>
                </c:pt>
                <c:pt idx="1250">
                  <c:v>89.420268755999999</c:v>
                </c:pt>
                <c:pt idx="1251">
                  <c:v>89.688281184999994</c:v>
                </c:pt>
                <c:pt idx="1252">
                  <c:v>89.626256573999996</c:v>
                </c:pt>
                <c:pt idx="1253">
                  <c:v>89.180581502999999</c:v>
                </c:pt>
                <c:pt idx="1254">
                  <c:v>88.385454100000004</c:v>
                </c:pt>
                <c:pt idx="1255">
                  <c:v>87.079121327999999</c:v>
                </c:pt>
                <c:pt idx="1256">
                  <c:v>87.120673388</c:v>
                </c:pt>
                <c:pt idx="1257">
                  <c:v>87.466742433999997</c:v>
                </c:pt>
                <c:pt idx="1258">
                  <c:v>87.667822375</c:v>
                </c:pt>
                <c:pt idx="1259">
                  <c:v>87.650284176</c:v>
                </c:pt>
                <c:pt idx="1260">
                  <c:v>87.424182509999994</c:v>
                </c:pt>
                <c:pt idx="1261">
                  <c:v>86.444965800000006</c:v>
                </c:pt>
                <c:pt idx="1262">
                  <c:v>86.432927340000006</c:v>
                </c:pt>
                <c:pt idx="1263">
                  <c:v>86.479700328000007</c:v>
                </c:pt>
                <c:pt idx="1264">
                  <c:v>86.659359232</c:v>
                </c:pt>
                <c:pt idx="1265">
                  <c:v>87.313419875999998</c:v>
                </c:pt>
                <c:pt idx="1266">
                  <c:v>87.872964039999999</c:v>
                </c:pt>
                <c:pt idx="1267">
                  <c:v>88.011864054</c:v>
                </c:pt>
                <c:pt idx="1268">
                  <c:v>88.153246899999999</c:v>
                </c:pt>
                <c:pt idx="1269">
                  <c:v>89.125798447999998</c:v>
                </c:pt>
                <c:pt idx="1270">
                  <c:v>88.940315639999994</c:v>
                </c:pt>
                <c:pt idx="1271">
                  <c:v>88.877141253000005</c:v>
                </c:pt>
                <c:pt idx="1272">
                  <c:v>89.025757549999994</c:v>
                </c:pt>
                <c:pt idx="1273">
                  <c:v>89.066110223999999</c:v>
                </c:pt>
                <c:pt idx="1274">
                  <c:v>89.151914232999999</c:v>
                </c:pt>
                <c:pt idx="1275">
                  <c:v>89.555830212000004</c:v>
                </c:pt>
                <c:pt idx="1276">
                  <c:v>90.153183771000002</c:v>
                </c:pt>
                <c:pt idx="1277">
                  <c:v>93.410392454999993</c:v>
                </c:pt>
                <c:pt idx="1278">
                  <c:v>92.086694245000004</c:v>
                </c:pt>
                <c:pt idx="1279">
                  <c:v>90.164103023999999</c:v>
                </c:pt>
                <c:pt idx="1280">
                  <c:v>90.231596388</c:v>
                </c:pt>
                <c:pt idx="1281">
                  <c:v>91.056554370000001</c:v>
                </c:pt>
                <c:pt idx="1282">
                  <c:v>91.436013279999997</c:v>
                </c:pt>
                <c:pt idx="1283">
                  <c:v>92.055175407999997</c:v>
                </c:pt>
                <c:pt idx="1284">
                  <c:v>91.972188494999997</c:v>
                </c:pt>
                <c:pt idx="1285">
                  <c:v>91.817195201999994</c:v>
                </c:pt>
                <c:pt idx="1286">
                  <c:v>91.657893971999997</c:v>
                </c:pt>
                <c:pt idx="1287">
                  <c:v>89.861501730000001</c:v>
                </c:pt>
                <c:pt idx="1288">
                  <c:v>88.986773374999999</c:v>
                </c:pt>
                <c:pt idx="1289">
                  <c:v>88.964212157999995</c:v>
                </c:pt>
                <c:pt idx="1290">
                  <c:v>88.528142721999998</c:v>
                </c:pt>
                <c:pt idx="1291">
                  <c:v>88.501971609999998</c:v>
                </c:pt>
                <c:pt idx="1292">
                  <c:v>88.345867679999998</c:v>
                </c:pt>
                <c:pt idx="1293">
                  <c:v>88.528068888000007</c:v>
                </c:pt>
                <c:pt idx="1294">
                  <c:v>87.393002609000007</c:v>
                </c:pt>
                <c:pt idx="1295">
                  <c:v>87.561358894999998</c:v>
                </c:pt>
                <c:pt idx="1296">
                  <c:v>87.302002462000004</c:v>
                </c:pt>
                <c:pt idx="1297">
                  <c:v>86.768071571999997</c:v>
                </c:pt>
                <c:pt idx="1298">
                  <c:v>86.937602354999996</c:v>
                </c:pt>
                <c:pt idx="1299">
                  <c:v>87.059723849999997</c:v>
                </c:pt>
                <c:pt idx="1300">
                  <c:v>86.974288896000004</c:v>
                </c:pt>
                <c:pt idx="1301">
                  <c:v>87.408785924</c:v>
                </c:pt>
                <c:pt idx="1302">
                  <c:v>87.362775220000003</c:v>
                </c:pt>
                <c:pt idx="1303">
                  <c:v>87.147821772</c:v>
                </c:pt>
                <c:pt idx="1304">
                  <c:v>87.139186092000003</c:v>
                </c:pt>
                <c:pt idx="1305">
                  <c:v>87.356194172000002</c:v>
                </c:pt>
                <c:pt idx="1306">
                  <c:v>87.509470676000007</c:v>
                </c:pt>
                <c:pt idx="1307">
                  <c:v>87.399345088000004</c:v>
                </c:pt>
                <c:pt idx="1308">
                  <c:v>87.890628315000001</c:v>
                </c:pt>
                <c:pt idx="1309">
                  <c:v>87.974179405000001</c:v>
                </c:pt>
                <c:pt idx="1310">
                  <c:v>87.439996929000003</c:v>
                </c:pt>
                <c:pt idx="1311">
                  <c:v>87.035145392999993</c:v>
                </c:pt>
                <c:pt idx="1312">
                  <c:v>87.101953559999998</c:v>
                </c:pt>
                <c:pt idx="1313">
                  <c:v>86.822180251999995</c:v>
                </c:pt>
                <c:pt idx="1314">
                  <c:v>86.803940724</c:v>
                </c:pt>
                <c:pt idx="1315">
                  <c:v>87.247949070000004</c:v>
                </c:pt>
                <c:pt idx="1316">
                  <c:v>87.817104</c:v>
                </c:pt>
                <c:pt idx="1317">
                  <c:v>88.854272910000006</c:v>
                </c:pt>
                <c:pt idx="1318">
                  <c:v>89.224059503999996</c:v>
                </c:pt>
                <c:pt idx="1319">
                  <c:v>90.332264523000006</c:v>
                </c:pt>
                <c:pt idx="1320">
                  <c:v>89.414969337000002</c:v>
                </c:pt>
                <c:pt idx="1321">
                  <c:v>89.899372764000006</c:v>
                </c:pt>
                <c:pt idx="1322">
                  <c:v>89.382592975999998</c:v>
                </c:pt>
                <c:pt idx="1323">
                  <c:v>89.18504403</c:v>
                </c:pt>
                <c:pt idx="1324">
                  <c:v>88.963690139999997</c:v>
                </c:pt>
                <c:pt idx="1325">
                  <c:v>88.439825892000002</c:v>
                </c:pt>
                <c:pt idx="1326">
                  <c:v>88.258510525999995</c:v>
                </c:pt>
                <c:pt idx="1327">
                  <c:v>88.110349487999997</c:v>
                </c:pt>
                <c:pt idx="1328">
                  <c:v>87.817055436000004</c:v>
                </c:pt>
                <c:pt idx="1329">
                  <c:v>87.840077745000002</c:v>
                </c:pt>
                <c:pt idx="1330">
                  <c:v>87.505744301999997</c:v>
                </c:pt>
                <c:pt idx="1331">
                  <c:v>88.511079248000001</c:v>
                </c:pt>
                <c:pt idx="1332">
                  <c:v>90.342237753999996</c:v>
                </c:pt>
                <c:pt idx="1333">
                  <c:v>91.201624838000001</c:v>
                </c:pt>
                <c:pt idx="1334">
                  <c:v>90.874401234000004</c:v>
                </c:pt>
                <c:pt idx="1335">
                  <c:v>90.698680424000003</c:v>
                </c:pt>
                <c:pt idx="1336">
                  <c:v>91.717080989999999</c:v>
                </c:pt>
                <c:pt idx="1337">
                  <c:v>92.008069305000006</c:v>
                </c:pt>
                <c:pt idx="1338">
                  <c:v>93.103695134999995</c:v>
                </c:pt>
                <c:pt idx="1339">
                  <c:v>93.961748540000002</c:v>
                </c:pt>
                <c:pt idx="1340">
                  <c:v>93.564352200000002</c:v>
                </c:pt>
                <c:pt idx="1341">
                  <c:v>93.045655515999997</c:v>
                </c:pt>
                <c:pt idx="1342">
                  <c:v>92.185703196000006</c:v>
                </c:pt>
                <c:pt idx="1343">
                  <c:v>90.627526247999995</c:v>
                </c:pt>
                <c:pt idx="1344">
                  <c:v>90.23382986</c:v>
                </c:pt>
                <c:pt idx="1345">
                  <c:v>89.505183703</c:v>
                </c:pt>
                <c:pt idx="1346">
                  <c:v>89.518733280000006</c:v>
                </c:pt>
                <c:pt idx="1347">
                  <c:v>89.586542499999993</c:v>
                </c:pt>
                <c:pt idx="1348">
                  <c:v>89.718403383999998</c:v>
                </c:pt>
                <c:pt idx="1349">
                  <c:v>89.649380608000001</c:v>
                </c:pt>
                <c:pt idx="1350">
                  <c:v>90.813980970000003</c:v>
                </c:pt>
                <c:pt idx="1351">
                  <c:v>91.425323254999995</c:v>
                </c:pt>
                <c:pt idx="1352">
                  <c:v>90.724070975999993</c:v>
                </c:pt>
                <c:pt idx="1353">
                  <c:v>91.658172433999994</c:v>
                </c:pt>
                <c:pt idx="1354">
                  <c:v>90.670176994000002</c:v>
                </c:pt>
                <c:pt idx="1355">
                  <c:v>89.849327778000003</c:v>
                </c:pt>
                <c:pt idx="1356">
                  <c:v>89.592406960000005</c:v>
                </c:pt>
                <c:pt idx="1357">
                  <c:v>89.659410257999994</c:v>
                </c:pt>
                <c:pt idx="1358">
                  <c:v>89.278742527999995</c:v>
                </c:pt>
                <c:pt idx="1359">
                  <c:v>89.022807327999999</c:v>
                </c:pt>
                <c:pt idx="1360">
                  <c:v>88.657097480000004</c:v>
                </c:pt>
                <c:pt idx="1361">
                  <c:v>89.114105316000007</c:v>
                </c:pt>
                <c:pt idx="1362">
                  <c:v>90.157665537</c:v>
                </c:pt>
                <c:pt idx="1363">
                  <c:v>89.937807539999994</c:v>
                </c:pt>
                <c:pt idx="1364">
                  <c:v>90.138489767999999</c:v>
                </c:pt>
                <c:pt idx="1365">
                  <c:v>90.018676232000004</c:v>
                </c:pt>
                <c:pt idx="1366">
                  <c:v>90.099287008000005</c:v>
                </c:pt>
                <c:pt idx="1367">
                  <c:v>90.518138448000002</c:v>
                </c:pt>
                <c:pt idx="1368">
                  <c:v>90.775166580000004</c:v>
                </c:pt>
                <c:pt idx="1369">
                  <c:v>91.030669301000003</c:v>
                </c:pt>
                <c:pt idx="1370">
                  <c:v>90.581423094000002</c:v>
                </c:pt>
                <c:pt idx="1371">
                  <c:v>90.153401970000004</c:v>
                </c:pt>
                <c:pt idx="1372">
                  <c:v>89.856816699999996</c:v>
                </c:pt>
                <c:pt idx="1373">
                  <c:v>89.224521760000002</c:v>
                </c:pt>
                <c:pt idx="1374">
                  <c:v>88.269984957999995</c:v>
                </c:pt>
                <c:pt idx="1375">
                  <c:v>88.462606821999998</c:v>
                </c:pt>
                <c:pt idx="1376">
                  <c:v>88.966707865999993</c:v>
                </c:pt>
                <c:pt idx="1377">
                  <c:v>89.688855899999993</c:v>
                </c:pt>
                <c:pt idx="1378">
                  <c:v>90.886981280000001</c:v>
                </c:pt>
                <c:pt idx="1379">
                  <c:v>90.740053544000006</c:v>
                </c:pt>
                <c:pt idx="1380">
                  <c:v>91.053523200000001</c:v>
                </c:pt>
                <c:pt idx="1381">
                  <c:v>91.413793818000002</c:v>
                </c:pt>
                <c:pt idx="1382">
                  <c:v>92.726434331999997</c:v>
                </c:pt>
                <c:pt idx="1383">
                  <c:v>93.131768464000004</c:v>
                </c:pt>
                <c:pt idx="1384">
                  <c:v>93.508603359999995</c:v>
                </c:pt>
                <c:pt idx="1385">
                  <c:v>93.387206500000005</c:v>
                </c:pt>
                <c:pt idx="1386">
                  <c:v>94.203001220999994</c:v>
                </c:pt>
                <c:pt idx="1387">
                  <c:v>93.845603600000004</c:v>
                </c:pt>
                <c:pt idx="1388">
                  <c:v>93.859920485000004</c:v>
                </c:pt>
                <c:pt idx="1389">
                  <c:v>94.213958744999999</c:v>
                </c:pt>
                <c:pt idx="1390">
                  <c:v>93.615529416000001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792512"/>
        <c:axId val="265795072"/>
      </c:lineChart>
      <c:dateAx>
        <c:axId val="265792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65795072"/>
        <c:crosses val="autoZero"/>
        <c:auto val="1"/>
        <c:lblOffset val="100"/>
        <c:baseTimeUnit val="days"/>
      </c:dateAx>
      <c:valAx>
        <c:axId val="265795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5792512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4</xdr:row>
      <xdr:rowOff>0</xdr:rowOff>
    </xdr:from>
    <xdr:to>
      <xdr:col>26</xdr:col>
      <xdr:colOff>495300</xdr:colOff>
      <xdr:row>28</xdr:row>
      <xdr:rowOff>123826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xy%20for%20Pipeline%20Hedging%20Costs%20Master%202015-03-3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Time Series Query"/>
      <sheetName val="Historic Change"/>
      <sheetName val="Cross Check for Bloomberg"/>
      <sheetName val="Sheet1"/>
      <sheetName val="Sheet2"/>
    </sheetNames>
    <sheetDataSet>
      <sheetData sheetId="0">
        <row r="2">
          <cell r="T2">
            <v>42094</v>
          </cell>
        </row>
        <row r="3">
          <cell r="T3" t="str">
            <v>s:\it\tmp\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queryTables/queryTable1.xml><?xml version="1.0" encoding="utf-8"?>
<queryTable xmlns="http://schemas.openxmlformats.org/spreadsheetml/2006/main" name="temp_2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emp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M1393"/>
  <sheetViews>
    <sheetView tabSelected="1" workbookViewId="0">
      <selection activeCell="R34" sqref="R34"/>
    </sheetView>
  </sheetViews>
  <sheetFormatPr defaultRowHeight="15"/>
  <cols>
    <col min="3" max="3" width="10.42578125" bestFit="1" customWidth="1"/>
    <col min="4" max="4" width="23.85546875" bestFit="1" customWidth="1"/>
    <col min="5" max="5" width="18.5703125" bestFit="1" customWidth="1"/>
    <col min="6" max="6" width="16.5703125" bestFit="1" customWidth="1"/>
    <col min="8" max="8" width="10.42578125" hidden="1" customWidth="1"/>
    <col min="9" max="11" width="0" hidden="1" customWidth="1"/>
    <col min="12" max="12" width="12" hidden="1" customWidth="1"/>
    <col min="13" max="13" width="0" hidden="1" customWidth="1"/>
  </cols>
  <sheetData>
    <row r="2" spans="3:13">
      <c r="C2" s="3" t="s">
        <v>0</v>
      </c>
      <c r="D2" s="4" t="s">
        <v>1</v>
      </c>
      <c r="E2" s="4" t="s">
        <v>5</v>
      </c>
      <c r="F2" s="5" t="s">
        <v>4</v>
      </c>
    </row>
    <row r="3" spans="3:13">
      <c r="C3" s="2">
        <v>40053</v>
      </c>
      <c r="D3">
        <v>147.88647221756884</v>
      </c>
      <c r="E3">
        <f>VLOOKUP(C3,'10y swap Vol'!$C$2:$G$3809,5,0)</f>
        <v>160.88058412229563</v>
      </c>
      <c r="F3">
        <f>VLOOKUP(C3,'5y10y Swaption Vol'!temp,3,0)</f>
        <v>123.4585219832</v>
      </c>
      <c r="H3" s="1">
        <v>40081</v>
      </c>
      <c r="I3" t="s">
        <v>2</v>
      </c>
      <c r="J3">
        <v>3.4924620000000002</v>
      </c>
      <c r="K3">
        <v>-6.8613999999999731E-2</v>
      </c>
      <c r="L3">
        <v>141.56303442716242</v>
      </c>
      <c r="M3">
        <f t="shared" ref="M3:M66" si="0">C3-H3</f>
        <v>-28</v>
      </c>
    </row>
    <row r="4" spans="3:13">
      <c r="C4" s="2">
        <v>40056</v>
      </c>
      <c r="D4">
        <v>142.82016995898235</v>
      </c>
      <c r="E4">
        <f>VLOOKUP(C4,'10y swap Vol'!$C$2:$G$3809,5,0)</f>
        <v>156.61920000063515</v>
      </c>
      <c r="F4">
        <f>VLOOKUP(C4,'5y10y Swaption Vol'!temp,3,0)</f>
        <v>123.5262562552</v>
      </c>
      <c r="H4" s="1">
        <v>40084</v>
      </c>
      <c r="I4" t="s">
        <v>2</v>
      </c>
      <c r="J4">
        <v>3.4438520000000001</v>
      </c>
      <c r="K4">
        <v>-4.8610000000000042E-2</v>
      </c>
      <c r="L4">
        <v>141.28348476103795</v>
      </c>
      <c r="M4">
        <f t="shared" si="0"/>
        <v>-28</v>
      </c>
    </row>
    <row r="5" spans="3:13">
      <c r="C5" s="2">
        <v>40057</v>
      </c>
      <c r="D5">
        <v>140.79497060576486</v>
      </c>
      <c r="E5">
        <f>VLOOKUP(C5,'10y swap Vol'!$C$2:$G$3809,5,0)</f>
        <v>154.93069670522021</v>
      </c>
      <c r="F5">
        <f>VLOOKUP(C5,'5y10y Swaption Vol'!temp,3,0)</f>
        <v>123.16319729280001</v>
      </c>
      <c r="H5" s="1">
        <v>40085</v>
      </c>
      <c r="I5" t="s">
        <v>2</v>
      </c>
      <c r="J5">
        <v>3.434796</v>
      </c>
      <c r="K5">
        <v>-9.056000000000175E-3</v>
      </c>
      <c r="L5">
        <v>141.28602660869248</v>
      </c>
      <c r="M5">
        <f t="shared" si="0"/>
        <v>-28</v>
      </c>
    </row>
    <row r="6" spans="3:13">
      <c r="C6" s="2">
        <v>40058</v>
      </c>
      <c r="D6">
        <v>141.40473415050675</v>
      </c>
      <c r="E6">
        <f>VLOOKUP(C6,'10y swap Vol'!$C$2:$G$3809,5,0)</f>
        <v>154.75239226347463</v>
      </c>
      <c r="F6">
        <f>VLOOKUP(C6,'5y10y Swaption Vol'!temp,3,0)</f>
        <v>122.8906149856</v>
      </c>
      <c r="H6" s="1">
        <v>40086</v>
      </c>
      <c r="I6" t="s">
        <v>2</v>
      </c>
      <c r="J6">
        <v>3.4491429999999998</v>
      </c>
      <c r="K6">
        <v>1.4346999999999888E-2</v>
      </c>
      <c r="L6">
        <v>140.89769173698596</v>
      </c>
      <c r="M6">
        <f t="shared" si="0"/>
        <v>-28</v>
      </c>
    </row>
    <row r="7" spans="3:13">
      <c r="C7" s="2">
        <v>40059</v>
      </c>
      <c r="D7">
        <v>140.38009560888321</v>
      </c>
      <c r="E7">
        <f>VLOOKUP(C7,'10y swap Vol'!$C$2:$G$3809,5,0)</f>
        <v>152.895757792382</v>
      </c>
      <c r="F7">
        <f>VLOOKUP(C7,'5y10y Swaption Vol'!temp,3,0)</f>
        <v>122.8855707167</v>
      </c>
      <c r="H7" s="1">
        <v>40087</v>
      </c>
      <c r="I7" t="s">
        <v>2</v>
      </c>
      <c r="J7">
        <v>3.336074</v>
      </c>
      <c r="K7">
        <v>-0.11306899999999986</v>
      </c>
      <c r="L7">
        <v>137.20063269133982</v>
      </c>
      <c r="M7">
        <f t="shared" si="0"/>
        <v>-28</v>
      </c>
    </row>
    <row r="8" spans="3:13">
      <c r="C8" s="2">
        <v>40060</v>
      </c>
      <c r="D8">
        <v>140.33250549198038</v>
      </c>
      <c r="E8">
        <f>VLOOKUP(C8,'10y swap Vol'!$C$2:$G$3809,5,0)</f>
        <v>153.75712992521107</v>
      </c>
      <c r="F8">
        <f>VLOOKUP(C8,'5y10y Swaption Vol'!temp,3,0)</f>
        <v>122.5010360127</v>
      </c>
      <c r="H8" s="1">
        <v>40088</v>
      </c>
      <c r="I8" t="s">
        <v>2</v>
      </c>
      <c r="J8">
        <v>3.378161</v>
      </c>
      <c r="K8">
        <v>4.2086999999999986E-2</v>
      </c>
      <c r="L8">
        <v>135.03487479934785</v>
      </c>
      <c r="M8">
        <f t="shared" si="0"/>
        <v>-28</v>
      </c>
    </row>
    <row r="9" spans="3:13">
      <c r="C9" s="2">
        <v>40064</v>
      </c>
      <c r="D9">
        <v>138.06317899244425</v>
      </c>
      <c r="E9">
        <f>VLOOKUP(C9,'10y swap Vol'!$C$2:$G$3809,5,0)</f>
        <v>151.3754986451965</v>
      </c>
      <c r="F9">
        <f>VLOOKUP(C9,'5y10y Swaption Vol'!temp,3,0)</f>
        <v>122.998907565</v>
      </c>
      <c r="H9" s="1">
        <v>40091</v>
      </c>
      <c r="I9" t="s">
        <v>2</v>
      </c>
      <c r="J9">
        <v>3.3921030000000001</v>
      </c>
      <c r="K9">
        <v>1.3942000000000121E-2</v>
      </c>
      <c r="L9">
        <v>133.24763194651189</v>
      </c>
      <c r="M9">
        <f t="shared" si="0"/>
        <v>-27</v>
      </c>
    </row>
    <row r="10" spans="3:13">
      <c r="C10" s="2">
        <v>40065</v>
      </c>
      <c r="D10">
        <v>135.80654839461545</v>
      </c>
      <c r="E10">
        <f>VLOOKUP(C10,'10y swap Vol'!$C$2:$G$3809,5,0)</f>
        <v>149.65054000041067</v>
      </c>
      <c r="F10">
        <f>VLOOKUP(C10,'5y10y Swaption Vol'!temp,3,0)</f>
        <v>122.0846710406</v>
      </c>
      <c r="H10" s="1">
        <v>40092</v>
      </c>
      <c r="I10" t="s">
        <v>2</v>
      </c>
      <c r="J10">
        <v>3.4168240000000001</v>
      </c>
      <c r="K10">
        <v>2.4720999999999993E-2</v>
      </c>
      <c r="L10">
        <v>132.50792841219118</v>
      </c>
      <c r="M10">
        <f t="shared" si="0"/>
        <v>-27</v>
      </c>
    </row>
    <row r="11" spans="3:13">
      <c r="C11" s="2">
        <v>40066</v>
      </c>
      <c r="D11">
        <v>137.12250199388038</v>
      </c>
      <c r="E11">
        <f>VLOOKUP(C11,'10y swap Vol'!$C$2:$G$3809,5,0)</f>
        <v>151.81411672330299</v>
      </c>
      <c r="F11">
        <f>VLOOKUP(C11,'5y10y Swaption Vol'!temp,3,0)</f>
        <v>122.4534215157</v>
      </c>
      <c r="H11" s="1">
        <v>40093</v>
      </c>
      <c r="I11" t="s">
        <v>2</v>
      </c>
      <c r="J11">
        <v>3.3424140000000002</v>
      </c>
      <c r="K11">
        <v>-7.4409999999999865E-2</v>
      </c>
      <c r="L11">
        <v>130.78839223784465</v>
      </c>
      <c r="M11">
        <f t="shared" si="0"/>
        <v>-27</v>
      </c>
    </row>
    <row r="12" spans="3:13">
      <c r="C12" s="2">
        <v>40067</v>
      </c>
      <c r="D12">
        <v>135.79976126621159</v>
      </c>
      <c r="E12">
        <f>VLOOKUP(C12,'10y swap Vol'!$C$2:$G$3809,5,0)</f>
        <v>151.49822940907501</v>
      </c>
      <c r="F12">
        <f>VLOOKUP(C12,'5y10y Swaption Vol'!temp,3,0)</f>
        <v>123.01717188240001</v>
      </c>
      <c r="H12" s="1">
        <v>40094</v>
      </c>
      <c r="I12" t="s">
        <v>2</v>
      </c>
      <c r="J12">
        <v>3.4043770000000002</v>
      </c>
      <c r="K12">
        <v>6.196299999999999E-2</v>
      </c>
      <c r="L12">
        <v>125.98169606231124</v>
      </c>
      <c r="M12">
        <f t="shared" si="0"/>
        <v>-27</v>
      </c>
    </row>
    <row r="13" spans="3:13">
      <c r="C13" s="2">
        <v>40070</v>
      </c>
      <c r="D13">
        <v>119.42267797008228</v>
      </c>
      <c r="E13">
        <f>VLOOKUP(C13,'10y swap Vol'!$C$2:$G$3809,5,0)</f>
        <v>143.93194299557069</v>
      </c>
      <c r="F13">
        <f>VLOOKUP(C13,'5y10y Swaption Vol'!temp,3,0)</f>
        <v>123.95362478520001</v>
      </c>
      <c r="H13" s="1">
        <v>40095</v>
      </c>
      <c r="I13" t="s">
        <v>2</v>
      </c>
      <c r="J13">
        <v>3.5524939999999998</v>
      </c>
      <c r="K13">
        <v>0.14811699999999961</v>
      </c>
      <c r="L13">
        <v>129.32574854350921</v>
      </c>
      <c r="M13">
        <f t="shared" si="0"/>
        <v>-25</v>
      </c>
    </row>
    <row r="14" spans="3:13">
      <c r="C14" s="2">
        <v>40071</v>
      </c>
      <c r="D14">
        <v>119.07089203641834</v>
      </c>
      <c r="E14">
        <f>VLOOKUP(C14,'10y swap Vol'!$C$2:$G$3809,5,0)</f>
        <v>144.64404147968298</v>
      </c>
      <c r="F14">
        <f>VLOOKUP(C14,'5y10y Swaption Vol'!temp,3,0)</f>
        <v>125.23750402020001</v>
      </c>
      <c r="H14" s="1">
        <v>40099</v>
      </c>
      <c r="I14" t="s">
        <v>2</v>
      </c>
      <c r="J14">
        <v>3.4812370000000001</v>
      </c>
      <c r="K14">
        <v>-7.1256999999999682E-2</v>
      </c>
      <c r="L14">
        <v>127.97644036121466</v>
      </c>
      <c r="M14">
        <f t="shared" si="0"/>
        <v>-28</v>
      </c>
    </row>
    <row r="15" spans="3:13">
      <c r="C15" s="2">
        <v>40072</v>
      </c>
      <c r="D15">
        <v>117.72323660446244</v>
      </c>
      <c r="E15">
        <f>VLOOKUP(C15,'10y swap Vol'!$C$2:$G$3809,5,0)</f>
        <v>143.20840361378993</v>
      </c>
      <c r="F15">
        <f>VLOOKUP(C15,'5y10y Swaption Vol'!temp,3,0)</f>
        <v>126.2076110496</v>
      </c>
      <c r="H15" s="1">
        <v>40100</v>
      </c>
      <c r="I15" t="s">
        <v>2</v>
      </c>
      <c r="J15">
        <v>3.5906410000000002</v>
      </c>
      <c r="K15">
        <v>0.10940400000000006</v>
      </c>
      <c r="L15">
        <v>129.61698292815481</v>
      </c>
      <c r="M15">
        <f t="shared" si="0"/>
        <v>-28</v>
      </c>
    </row>
    <row r="16" spans="3:13">
      <c r="C16" s="2">
        <v>40073</v>
      </c>
      <c r="D16">
        <v>118.57545762320956</v>
      </c>
      <c r="E16">
        <f>VLOOKUP(C16,'10y swap Vol'!$C$2:$G$3809,5,0)</f>
        <v>143.79011593411676</v>
      </c>
      <c r="F16">
        <f>VLOOKUP(C16,'5y10y Swaption Vol'!temp,3,0)</f>
        <v>124.5479812506</v>
      </c>
      <c r="H16" s="1">
        <v>40101</v>
      </c>
      <c r="I16" t="s">
        <v>2</v>
      </c>
      <c r="J16">
        <v>3.6460789999999998</v>
      </c>
      <c r="K16">
        <v>5.5437999999999654E-2</v>
      </c>
      <c r="L16">
        <v>126.81549751812855</v>
      </c>
      <c r="M16">
        <f t="shared" si="0"/>
        <v>-28</v>
      </c>
    </row>
    <row r="17" spans="3:13">
      <c r="C17" s="2">
        <v>40074</v>
      </c>
      <c r="D17">
        <v>119.73503876778754</v>
      </c>
      <c r="E17">
        <f>VLOOKUP(C17,'10y swap Vol'!$C$2:$G$3809,5,0)</f>
        <v>144.78674219499749</v>
      </c>
      <c r="F17">
        <f>VLOOKUP(C17,'5y10y Swaption Vol'!temp,3,0)</f>
        <v>123.4398959028</v>
      </c>
      <c r="H17" s="1">
        <v>40102</v>
      </c>
      <c r="I17" t="s">
        <v>2</v>
      </c>
      <c r="J17">
        <v>3.602087</v>
      </c>
      <c r="K17">
        <v>-4.3991999999999809E-2</v>
      </c>
      <c r="L17">
        <v>126.03741779149557</v>
      </c>
      <c r="M17">
        <f t="shared" si="0"/>
        <v>-28</v>
      </c>
    </row>
    <row r="18" spans="3:13">
      <c r="C18" s="2">
        <v>40077</v>
      </c>
      <c r="D18">
        <v>114.79486276132012</v>
      </c>
      <c r="E18">
        <f>VLOOKUP(C18,'10y swap Vol'!$C$2:$G$3809,5,0)</f>
        <v>141.120054746851</v>
      </c>
      <c r="F18">
        <f>VLOOKUP(C18,'5y10y Swaption Vol'!temp,3,0)</f>
        <v>122.11296408139999</v>
      </c>
      <c r="H18" s="1">
        <v>40105</v>
      </c>
      <c r="I18" t="s">
        <v>2</v>
      </c>
      <c r="J18">
        <v>3.5732309999999998</v>
      </c>
      <c r="K18">
        <v>-2.8856000000000215E-2</v>
      </c>
      <c r="L18">
        <v>119.17837701757125</v>
      </c>
      <c r="M18">
        <f t="shared" si="0"/>
        <v>-28</v>
      </c>
    </row>
    <row r="19" spans="3:13">
      <c r="C19" s="2">
        <v>40078</v>
      </c>
      <c r="D19">
        <v>114.7939961656573</v>
      </c>
      <c r="E19">
        <f>VLOOKUP(C19,'10y swap Vol'!$C$2:$G$3809,5,0)</f>
        <v>140.73019179654557</v>
      </c>
      <c r="F19">
        <f>VLOOKUP(C19,'5y10y Swaption Vol'!temp,3,0)</f>
        <v>122.39351821619999</v>
      </c>
      <c r="H19" s="1">
        <v>40106</v>
      </c>
      <c r="I19" t="s">
        <v>2</v>
      </c>
      <c r="J19">
        <v>3.5097119999999999</v>
      </c>
      <c r="K19">
        <v>-6.3518999999999881E-2</v>
      </c>
      <c r="L19">
        <v>119.27387837771516</v>
      </c>
      <c r="M19">
        <f t="shared" si="0"/>
        <v>-28</v>
      </c>
    </row>
    <row r="20" spans="3:13">
      <c r="C20" s="2">
        <v>40079</v>
      </c>
      <c r="D20">
        <v>114.78476684099685</v>
      </c>
      <c r="E20">
        <f>VLOOKUP(C20,'10y swap Vol'!$C$2:$G$3809,5,0)</f>
        <v>141.29082671902771</v>
      </c>
      <c r="F20">
        <f>VLOOKUP(C20,'5y10y Swaption Vol'!temp,3,0)</f>
        <v>120.071855304</v>
      </c>
      <c r="H20" s="1">
        <v>40107</v>
      </c>
      <c r="I20" t="s">
        <v>2</v>
      </c>
      <c r="J20">
        <v>3.5846439999999999</v>
      </c>
      <c r="K20">
        <v>7.4931999999999999E-2</v>
      </c>
      <c r="L20">
        <v>119.91677599637043</v>
      </c>
      <c r="M20">
        <f t="shared" si="0"/>
        <v>-28</v>
      </c>
    </row>
    <row r="21" spans="3:13">
      <c r="C21" s="2">
        <v>40080</v>
      </c>
      <c r="D21">
        <v>115.0780260711735</v>
      </c>
      <c r="E21">
        <f>VLOOKUP(C21,'10y swap Vol'!$C$2:$G$3809,5,0)</f>
        <v>140.96777156158615</v>
      </c>
      <c r="F21">
        <f>VLOOKUP(C21,'5y10y Swaption Vol'!temp,3,0)</f>
        <v>119.30915443719999</v>
      </c>
      <c r="H21" s="1">
        <v>40108</v>
      </c>
      <c r="I21" t="s">
        <v>2</v>
      </c>
      <c r="J21">
        <v>3.5996980000000001</v>
      </c>
      <c r="K21">
        <v>1.5054000000000123E-2</v>
      </c>
      <c r="L21">
        <v>119.8664598136604</v>
      </c>
      <c r="M21">
        <f t="shared" si="0"/>
        <v>-28</v>
      </c>
    </row>
    <row r="22" spans="3:13">
      <c r="C22" s="2">
        <v>40081</v>
      </c>
      <c r="D22">
        <v>115.1526501285244</v>
      </c>
      <c r="E22">
        <f>VLOOKUP(C22,'10y swap Vol'!$C$2:$G$3809,5,0)</f>
        <v>141.56303442716242</v>
      </c>
      <c r="F22">
        <f>VLOOKUP(C22,'5y10y Swaption Vol'!temp,3,0)</f>
        <v>118.1021391108</v>
      </c>
      <c r="H22" s="1">
        <v>40109</v>
      </c>
      <c r="I22" t="s">
        <v>2</v>
      </c>
      <c r="J22">
        <v>3.6479210000000002</v>
      </c>
      <c r="K22">
        <v>4.8223000000000127E-2</v>
      </c>
      <c r="L22">
        <v>120.35896178610088</v>
      </c>
      <c r="M22">
        <f t="shared" si="0"/>
        <v>-28</v>
      </c>
    </row>
    <row r="23" spans="3:13">
      <c r="C23" s="2">
        <v>40084</v>
      </c>
      <c r="D23">
        <v>115.36777669291736</v>
      </c>
      <c r="E23">
        <f>VLOOKUP(C23,'10y swap Vol'!$C$2:$G$3809,5,0)</f>
        <v>141.28348476103795</v>
      </c>
      <c r="F23">
        <f>VLOOKUP(C23,'5y10y Swaption Vol'!temp,3,0)</f>
        <v>117.6171270752</v>
      </c>
      <c r="H23" s="1">
        <v>40112</v>
      </c>
      <c r="I23" t="s">
        <v>2</v>
      </c>
      <c r="J23">
        <v>3.736907</v>
      </c>
      <c r="K23">
        <v>8.8985999999999787E-2</v>
      </c>
      <c r="L23">
        <v>121.77856519703467</v>
      </c>
      <c r="M23">
        <f t="shared" si="0"/>
        <v>-28</v>
      </c>
    </row>
    <row r="24" spans="3:13">
      <c r="C24" s="2">
        <v>40085</v>
      </c>
      <c r="D24">
        <v>115.36236226000858</v>
      </c>
      <c r="E24">
        <f>VLOOKUP(C24,'10y swap Vol'!$C$2:$G$3809,5,0)</f>
        <v>141.28602660869248</v>
      </c>
      <c r="F24">
        <f>VLOOKUP(C24,'5y10y Swaption Vol'!temp,3,0)</f>
        <v>118.948509384</v>
      </c>
      <c r="H24" s="1">
        <v>40113</v>
      </c>
      <c r="I24" t="s">
        <v>2</v>
      </c>
      <c r="J24">
        <v>3.6402909999999999</v>
      </c>
      <c r="K24">
        <v>-9.6616000000000035E-2</v>
      </c>
      <c r="L24">
        <v>119.4900128471018</v>
      </c>
      <c r="M24">
        <f t="shared" si="0"/>
        <v>-28</v>
      </c>
    </row>
    <row r="25" spans="3:13">
      <c r="C25" s="2">
        <v>40086</v>
      </c>
      <c r="D25">
        <v>115.25193391492019</v>
      </c>
      <c r="E25">
        <f>VLOOKUP(C25,'10y swap Vol'!$C$2:$G$3809,5,0)</f>
        <v>140.89769173698596</v>
      </c>
      <c r="F25">
        <f>VLOOKUP(C25,'5y10y Swaption Vol'!temp,3,0)</f>
        <v>119.1960283854</v>
      </c>
      <c r="H25" s="1">
        <v>40114</v>
      </c>
      <c r="I25" t="s">
        <v>2</v>
      </c>
      <c r="J25">
        <v>3.5827789999999999</v>
      </c>
      <c r="K25">
        <v>-5.7512000000000008E-2</v>
      </c>
      <c r="L25">
        <v>115.21556686308455</v>
      </c>
      <c r="M25">
        <f t="shared" si="0"/>
        <v>-28</v>
      </c>
    </row>
    <row r="26" spans="3:13">
      <c r="C26" s="2">
        <v>40087</v>
      </c>
      <c r="D26">
        <v>113.98543138653874</v>
      </c>
      <c r="E26">
        <f>VLOOKUP(C26,'10y swap Vol'!$C$2:$G$3809,5,0)</f>
        <v>137.20063269133982</v>
      </c>
      <c r="F26">
        <f>VLOOKUP(C26,'5y10y Swaption Vol'!temp,3,0)</f>
        <v>119.0085104966</v>
      </c>
      <c r="H26" s="1">
        <v>40115</v>
      </c>
      <c r="I26" t="s">
        <v>2</v>
      </c>
      <c r="J26">
        <v>3.6661079999999999</v>
      </c>
      <c r="K26">
        <v>8.3328999999999986E-2</v>
      </c>
      <c r="L26">
        <v>116.45232262319266</v>
      </c>
      <c r="M26">
        <f t="shared" si="0"/>
        <v>-28</v>
      </c>
    </row>
    <row r="27" spans="3:13">
      <c r="C27" s="2">
        <v>40088</v>
      </c>
      <c r="D27">
        <v>111.76963124416643</v>
      </c>
      <c r="E27">
        <f>VLOOKUP(C27,'10y swap Vol'!$C$2:$G$3809,5,0)</f>
        <v>135.03487479934785</v>
      </c>
      <c r="F27">
        <f>VLOOKUP(C27,'5y10y Swaption Vol'!temp,3,0)</f>
        <v>117.650162032</v>
      </c>
      <c r="H27" s="1">
        <v>40116</v>
      </c>
      <c r="I27" t="s">
        <v>2</v>
      </c>
      <c r="J27">
        <v>3.5607549999999999</v>
      </c>
      <c r="K27">
        <v>-0.10535300000000003</v>
      </c>
      <c r="L27">
        <v>115.97872296420047</v>
      </c>
      <c r="M27">
        <f t="shared" si="0"/>
        <v>-28</v>
      </c>
    </row>
    <row r="28" spans="3:13">
      <c r="C28" s="2">
        <v>40091</v>
      </c>
      <c r="D28">
        <v>110.22780390928332</v>
      </c>
      <c r="E28">
        <f>VLOOKUP(C28,'10y swap Vol'!$C$2:$G$3809,5,0)</f>
        <v>133.24763194651189</v>
      </c>
      <c r="F28">
        <f>VLOOKUP(C28,'5y10y Swaption Vol'!temp,3,0)</f>
        <v>118.6535179334</v>
      </c>
      <c r="H28" s="1">
        <v>40119</v>
      </c>
      <c r="I28" t="s">
        <v>2</v>
      </c>
      <c r="J28">
        <v>3.602233</v>
      </c>
      <c r="K28">
        <v>4.1478000000000126E-2</v>
      </c>
      <c r="L28">
        <v>116.39037044451376</v>
      </c>
      <c r="M28">
        <f t="shared" si="0"/>
        <v>-28</v>
      </c>
    </row>
    <row r="29" spans="3:13">
      <c r="C29" s="2">
        <v>40092</v>
      </c>
      <c r="D29">
        <v>109.20675653961732</v>
      </c>
      <c r="E29">
        <f>VLOOKUP(C29,'10y swap Vol'!$C$2:$G$3809,5,0)</f>
        <v>132.50792841219118</v>
      </c>
      <c r="F29">
        <f>VLOOKUP(C29,'5y10y Swaption Vol'!temp,3,0)</f>
        <v>118.8992250846</v>
      </c>
      <c r="H29" s="1">
        <v>40120</v>
      </c>
      <c r="I29" t="s">
        <v>2</v>
      </c>
      <c r="J29">
        <v>3.6509490000000002</v>
      </c>
      <c r="K29">
        <v>4.8716000000000204E-2</v>
      </c>
      <c r="L29">
        <v>112.49496372886227</v>
      </c>
      <c r="M29">
        <f t="shared" si="0"/>
        <v>-28</v>
      </c>
    </row>
    <row r="30" spans="3:13">
      <c r="C30" s="2">
        <v>40093</v>
      </c>
      <c r="D30">
        <v>108.45484086706978</v>
      </c>
      <c r="E30">
        <f>VLOOKUP(C30,'10y swap Vol'!$C$2:$G$3809,5,0)</f>
        <v>130.78839223784465</v>
      </c>
      <c r="F30">
        <f>VLOOKUP(C30,'5y10y Swaption Vol'!temp,3,0)</f>
        <v>117.66200862399999</v>
      </c>
      <c r="H30" s="1">
        <v>40121</v>
      </c>
      <c r="I30" t="s">
        <v>2</v>
      </c>
      <c r="J30">
        <v>3.7126299999999999</v>
      </c>
      <c r="K30">
        <v>6.1680999999999653E-2</v>
      </c>
      <c r="L30">
        <v>111.82494839486455</v>
      </c>
      <c r="M30">
        <f t="shared" si="0"/>
        <v>-28</v>
      </c>
    </row>
    <row r="31" spans="3:13">
      <c r="C31" s="2">
        <v>40094</v>
      </c>
      <c r="D31">
        <v>102.37652881120928</v>
      </c>
      <c r="E31">
        <f>VLOOKUP(C31,'10y swap Vol'!$C$2:$G$3809,5,0)</f>
        <v>125.98169606231124</v>
      </c>
      <c r="F31">
        <f>VLOOKUP(C31,'5y10y Swaption Vol'!temp,3,0)</f>
        <v>117.0814976285</v>
      </c>
      <c r="H31" s="1">
        <v>40122</v>
      </c>
      <c r="I31" t="s">
        <v>2</v>
      </c>
      <c r="J31">
        <v>3.6946829999999999</v>
      </c>
      <c r="K31">
        <v>-1.7946999999999935E-2</v>
      </c>
      <c r="L31">
        <v>109.89360652886451</v>
      </c>
      <c r="M31">
        <f t="shared" si="0"/>
        <v>-28</v>
      </c>
    </row>
    <row r="32" spans="3:13">
      <c r="C32" s="2">
        <v>40095</v>
      </c>
      <c r="D32">
        <v>105.31393590061677</v>
      </c>
      <c r="E32">
        <f>VLOOKUP(C32,'10y swap Vol'!$C$2:$G$3809,5,0)</f>
        <v>129.32574854350921</v>
      </c>
      <c r="F32">
        <f>VLOOKUP(C32,'5y10y Swaption Vol'!temp,3,0)</f>
        <v>120.86855413550001</v>
      </c>
      <c r="H32" s="1">
        <v>40123</v>
      </c>
      <c r="I32" t="s">
        <v>2</v>
      </c>
      <c r="J32">
        <v>3.6615150000000001</v>
      </c>
      <c r="K32">
        <v>-3.3167999999999864E-2</v>
      </c>
      <c r="L32">
        <v>109.99885198492805</v>
      </c>
      <c r="M32">
        <f t="shared" si="0"/>
        <v>-28</v>
      </c>
    </row>
    <row r="33" spans="3:13">
      <c r="C33" s="2">
        <v>40099</v>
      </c>
      <c r="D33">
        <v>104.6179523024811</v>
      </c>
      <c r="E33">
        <f>VLOOKUP(C33,'10y swap Vol'!$C$2:$G$3809,5,0)</f>
        <v>127.97644036121466</v>
      </c>
      <c r="F33">
        <f>VLOOKUP(C33,'5y10y Swaption Vol'!temp,3,0)</f>
        <v>119.31841111040001</v>
      </c>
      <c r="H33" s="1">
        <v>40126</v>
      </c>
      <c r="I33" t="s">
        <v>2</v>
      </c>
      <c r="J33">
        <v>3.6308250000000002</v>
      </c>
      <c r="K33">
        <v>-3.0689999999999884E-2</v>
      </c>
      <c r="L33">
        <v>106.27612005405037</v>
      </c>
      <c r="M33">
        <f t="shared" si="0"/>
        <v>-27</v>
      </c>
    </row>
    <row r="34" spans="3:13">
      <c r="C34" s="2">
        <v>40100</v>
      </c>
      <c r="D34">
        <v>106.38286338414666</v>
      </c>
      <c r="E34">
        <f>VLOOKUP(C34,'10y swap Vol'!$C$2:$G$3809,5,0)</f>
        <v>129.61698292815481</v>
      </c>
      <c r="F34">
        <f>VLOOKUP(C34,'5y10y Swaption Vol'!temp,3,0)</f>
        <v>121.0676896974</v>
      </c>
      <c r="H34" s="1">
        <v>40127</v>
      </c>
      <c r="I34" t="s">
        <v>2</v>
      </c>
      <c r="J34">
        <v>3.6176919999999999</v>
      </c>
      <c r="K34">
        <v>-1.3133000000000283E-2</v>
      </c>
      <c r="L34">
        <v>106.04607097501196</v>
      </c>
      <c r="M34">
        <f t="shared" si="0"/>
        <v>-27</v>
      </c>
    </row>
    <row r="35" spans="3:13">
      <c r="C35" s="2">
        <v>40101</v>
      </c>
      <c r="D35">
        <v>104.72664674577597</v>
      </c>
      <c r="E35">
        <f>VLOOKUP(C35,'10y swap Vol'!$C$2:$G$3809,5,0)</f>
        <v>126.81549751812855</v>
      </c>
      <c r="F35">
        <f>VLOOKUP(C35,'5y10y Swaption Vol'!temp,3,0)</f>
        <v>122.1341560908</v>
      </c>
      <c r="H35" s="1">
        <v>40129</v>
      </c>
      <c r="I35" t="s">
        <v>2</v>
      </c>
      <c r="J35">
        <v>3.5527169999999999</v>
      </c>
      <c r="K35">
        <v>-6.4975000000000005E-2</v>
      </c>
      <c r="L35">
        <v>105.94995200910154</v>
      </c>
      <c r="M35">
        <f t="shared" si="0"/>
        <v>-28</v>
      </c>
    </row>
    <row r="36" spans="3:13">
      <c r="C36" s="2">
        <v>40102</v>
      </c>
      <c r="D36">
        <v>104.5083281641252</v>
      </c>
      <c r="E36">
        <f>VLOOKUP(C36,'10y swap Vol'!$C$2:$G$3809,5,0)</f>
        <v>126.03741779149557</v>
      </c>
      <c r="F36">
        <f>VLOOKUP(C36,'5y10y Swaption Vol'!temp,3,0)</f>
        <v>121.0772576871</v>
      </c>
      <c r="H36" s="1">
        <v>40130</v>
      </c>
      <c r="I36" t="s">
        <v>2</v>
      </c>
      <c r="J36">
        <v>3.541334</v>
      </c>
      <c r="K36">
        <v>-1.1382999999999921E-2</v>
      </c>
      <c r="L36">
        <v>104.67204324213002</v>
      </c>
      <c r="M36">
        <f t="shared" si="0"/>
        <v>-28</v>
      </c>
    </row>
    <row r="37" spans="3:13">
      <c r="C37" s="2">
        <v>40105</v>
      </c>
      <c r="D37">
        <v>97.796080439397954</v>
      </c>
      <c r="E37">
        <f>VLOOKUP(C37,'10y swap Vol'!$C$2:$G$3809,5,0)</f>
        <v>119.17837701757125</v>
      </c>
      <c r="F37">
        <f>VLOOKUP(C37,'5y10y Swaption Vol'!temp,3,0)</f>
        <v>121.0269241328</v>
      </c>
      <c r="H37" s="1">
        <v>40133</v>
      </c>
      <c r="I37" t="s">
        <v>2</v>
      </c>
      <c r="J37">
        <v>3.4203489999999999</v>
      </c>
      <c r="K37">
        <v>-0.12098500000000012</v>
      </c>
      <c r="L37">
        <v>106.72391468309858</v>
      </c>
      <c r="M37">
        <f t="shared" si="0"/>
        <v>-28</v>
      </c>
    </row>
    <row r="38" spans="3:13">
      <c r="C38" s="2">
        <v>40106</v>
      </c>
      <c r="D38">
        <v>97.324833130562624</v>
      </c>
      <c r="E38">
        <f>VLOOKUP(C38,'10y swap Vol'!$C$2:$G$3809,5,0)</f>
        <v>119.27387837771516</v>
      </c>
      <c r="F38">
        <f>VLOOKUP(C38,'5y10y Swaption Vol'!temp,3,0)</f>
        <v>120.4565843748</v>
      </c>
      <c r="H38" s="1">
        <v>40134</v>
      </c>
      <c r="I38" t="s">
        <v>2</v>
      </c>
      <c r="J38">
        <v>3.4024239999999999</v>
      </c>
      <c r="K38">
        <v>-1.7924999999999969E-2</v>
      </c>
      <c r="L38">
        <v>106.51971925023889</v>
      </c>
      <c r="M38">
        <f t="shared" si="0"/>
        <v>-28</v>
      </c>
    </row>
    <row r="39" spans="3:13">
      <c r="C39" s="2">
        <v>40107</v>
      </c>
      <c r="D39">
        <v>97.65598169175162</v>
      </c>
      <c r="E39">
        <f>VLOOKUP(C39,'10y swap Vol'!$C$2:$G$3809,5,0)</f>
        <v>119.91677599637043</v>
      </c>
      <c r="F39">
        <f>VLOOKUP(C39,'5y10y Swaption Vol'!temp,3,0)</f>
        <v>122.2249139379</v>
      </c>
      <c r="H39" s="1">
        <v>40135</v>
      </c>
      <c r="I39" t="s">
        <v>2</v>
      </c>
      <c r="J39">
        <v>3.455492</v>
      </c>
      <c r="K39">
        <v>5.3068000000000115E-2</v>
      </c>
      <c r="L39">
        <v>103.23860802155413</v>
      </c>
      <c r="M39">
        <f t="shared" si="0"/>
        <v>-28</v>
      </c>
    </row>
    <row r="40" spans="3:13">
      <c r="C40" s="2">
        <v>40108</v>
      </c>
      <c r="D40">
        <v>97.192289968299775</v>
      </c>
      <c r="E40">
        <f>VLOOKUP(C40,'10y swap Vol'!$C$2:$G$3809,5,0)</f>
        <v>119.8664598136604</v>
      </c>
      <c r="F40">
        <f>VLOOKUP(C40,'5y10y Swaption Vol'!temp,3,0)</f>
        <v>122.28096027300001</v>
      </c>
      <c r="H40" s="1">
        <v>40136</v>
      </c>
      <c r="I40" t="s">
        <v>2</v>
      </c>
      <c r="J40">
        <v>3.454774</v>
      </c>
      <c r="K40">
        <v>-7.1799999999999642E-4</v>
      </c>
      <c r="L40">
        <v>102.67880061422738</v>
      </c>
      <c r="M40">
        <f t="shared" si="0"/>
        <v>-28</v>
      </c>
    </row>
    <row r="41" spans="3:13">
      <c r="C41" s="2">
        <v>40109</v>
      </c>
      <c r="D41">
        <v>97.255998221795835</v>
      </c>
      <c r="E41">
        <f>VLOOKUP(C41,'10y swap Vol'!$C$2:$G$3809,5,0)</f>
        <v>120.35896178610088</v>
      </c>
      <c r="F41">
        <f>VLOOKUP(C41,'5y10y Swaption Vol'!temp,3,0)</f>
        <v>123.75462633959999</v>
      </c>
      <c r="H41" s="1">
        <v>40137</v>
      </c>
      <c r="I41" t="s">
        <v>2</v>
      </c>
      <c r="J41">
        <v>3.4697789999999999</v>
      </c>
      <c r="K41">
        <v>1.5004999999999935E-2</v>
      </c>
      <c r="L41">
        <v>102.29426328178768</v>
      </c>
      <c r="M41">
        <f t="shared" si="0"/>
        <v>-28</v>
      </c>
    </row>
    <row r="42" spans="3:13">
      <c r="C42" s="2">
        <v>40112</v>
      </c>
      <c r="D42">
        <v>98.399177122112661</v>
      </c>
      <c r="E42">
        <f>VLOOKUP(C42,'10y swap Vol'!$C$2:$G$3809,5,0)</f>
        <v>121.77856519703467</v>
      </c>
      <c r="F42">
        <f>VLOOKUP(C42,'5y10y Swaption Vol'!temp,3,0)</f>
        <v>124.6683114069</v>
      </c>
      <c r="H42" s="1">
        <v>40140</v>
      </c>
      <c r="I42" t="s">
        <v>2</v>
      </c>
      <c r="J42">
        <v>3.469643</v>
      </c>
      <c r="K42">
        <v>-1.3599999999991397E-4</v>
      </c>
      <c r="L42">
        <v>102.22497082883864</v>
      </c>
      <c r="M42">
        <f t="shared" si="0"/>
        <v>-28</v>
      </c>
    </row>
    <row r="43" spans="3:13">
      <c r="C43" s="2">
        <v>40113</v>
      </c>
      <c r="D43">
        <v>95.15921618503522</v>
      </c>
      <c r="E43">
        <f>VLOOKUP(C43,'10y swap Vol'!$C$2:$G$3809,5,0)</f>
        <v>119.4900128471018</v>
      </c>
      <c r="F43">
        <f>VLOOKUP(C43,'5y10y Swaption Vol'!temp,3,0)</f>
        <v>123.8680564794</v>
      </c>
      <c r="H43" s="1">
        <v>40141</v>
      </c>
      <c r="I43" t="s">
        <v>2</v>
      </c>
      <c r="J43">
        <v>3.4215119999999999</v>
      </c>
      <c r="K43">
        <v>-4.8131000000000146E-2</v>
      </c>
      <c r="L43">
        <v>102.59517859020919</v>
      </c>
      <c r="M43">
        <f t="shared" si="0"/>
        <v>-28</v>
      </c>
    </row>
    <row r="44" spans="3:13">
      <c r="C44" s="2">
        <v>40114</v>
      </c>
      <c r="D44">
        <v>93.30368938014665</v>
      </c>
      <c r="E44">
        <f>VLOOKUP(C44,'10y swap Vol'!$C$2:$G$3809,5,0)</f>
        <v>115.21556686308455</v>
      </c>
      <c r="F44">
        <f>VLOOKUP(C44,'5y10y Swaption Vol'!temp,3,0)</f>
        <v>123.0725437344</v>
      </c>
      <c r="H44" s="1">
        <v>40142</v>
      </c>
      <c r="I44" t="s">
        <v>2</v>
      </c>
      <c r="J44">
        <v>3.364738</v>
      </c>
      <c r="K44">
        <v>-5.677399999999988E-2</v>
      </c>
      <c r="L44">
        <v>103.14760829853998</v>
      </c>
      <c r="M44">
        <f t="shared" si="0"/>
        <v>-28</v>
      </c>
    </row>
    <row r="45" spans="3:13">
      <c r="C45" s="2">
        <v>40115</v>
      </c>
      <c r="D45">
        <v>93.425298139564774</v>
      </c>
      <c r="E45">
        <f>VLOOKUP(C45,'10y swap Vol'!$C$2:$G$3809,5,0)</f>
        <v>116.45232262319266</v>
      </c>
      <c r="F45">
        <f>VLOOKUP(C45,'5y10y Swaption Vol'!temp,3,0)</f>
        <v>123.939489737</v>
      </c>
      <c r="H45" s="1">
        <v>40144</v>
      </c>
      <c r="I45" t="s">
        <v>2</v>
      </c>
      <c r="J45">
        <v>3.297593</v>
      </c>
      <c r="K45">
        <v>-6.714500000000001E-2</v>
      </c>
      <c r="L45">
        <v>103.04863876044479</v>
      </c>
      <c r="M45">
        <f t="shared" si="0"/>
        <v>-29</v>
      </c>
    </row>
    <row r="46" spans="3:13">
      <c r="C46" s="2">
        <v>40116</v>
      </c>
      <c r="D46">
        <v>91.030994043529304</v>
      </c>
      <c r="E46">
        <f>VLOOKUP(C46,'10y swap Vol'!$C$2:$G$3809,5,0)</f>
        <v>115.97872296420047</v>
      </c>
      <c r="F46">
        <f>VLOOKUP(C46,'5y10y Swaption Vol'!temp,3,0)</f>
        <v>122.4337429312</v>
      </c>
      <c r="H46" s="1">
        <v>40147</v>
      </c>
      <c r="I46" t="s">
        <v>2</v>
      </c>
      <c r="J46">
        <v>3.2950279999999998</v>
      </c>
      <c r="K46">
        <v>-2.5650000000001505E-3</v>
      </c>
      <c r="L46">
        <v>103.0340795777681</v>
      </c>
      <c r="M46">
        <f t="shared" si="0"/>
        <v>-31</v>
      </c>
    </row>
    <row r="47" spans="3:13">
      <c r="C47" s="2">
        <v>40119</v>
      </c>
      <c r="D47">
        <v>91.669918738154792</v>
      </c>
      <c r="E47">
        <f>VLOOKUP(C47,'10y swap Vol'!$C$2:$G$3809,5,0)</f>
        <v>116.39037044451376</v>
      </c>
      <c r="F47">
        <f>VLOOKUP(C47,'5y10y Swaption Vol'!temp,3,0)</f>
        <v>122.3880628702</v>
      </c>
      <c r="H47" s="1">
        <v>40148</v>
      </c>
      <c r="I47" t="s">
        <v>2</v>
      </c>
      <c r="J47">
        <v>3.379016</v>
      </c>
      <c r="K47">
        <v>8.3988000000000174E-2</v>
      </c>
      <c r="L47">
        <v>102.61008302549652</v>
      </c>
      <c r="M47">
        <f t="shared" si="0"/>
        <v>-29</v>
      </c>
    </row>
    <row r="48" spans="3:13">
      <c r="C48" s="2">
        <v>40120</v>
      </c>
      <c r="D48">
        <v>89.685598217107739</v>
      </c>
      <c r="E48">
        <f>VLOOKUP(C48,'10y swap Vol'!$C$2:$G$3809,5,0)</f>
        <v>112.49496372886227</v>
      </c>
      <c r="F48">
        <f>VLOOKUP(C48,'5y10y Swaption Vol'!temp,3,0)</f>
        <v>122.121323786</v>
      </c>
      <c r="H48" s="1">
        <v>40149</v>
      </c>
      <c r="I48" t="s">
        <v>2</v>
      </c>
      <c r="J48">
        <v>3.4282149999999998</v>
      </c>
      <c r="K48">
        <v>4.9198999999999771E-2</v>
      </c>
      <c r="L48">
        <v>102.94811797009227</v>
      </c>
      <c r="M48">
        <f t="shared" si="0"/>
        <v>-29</v>
      </c>
    </row>
    <row r="49" spans="3:13">
      <c r="C49" s="2">
        <v>40121</v>
      </c>
      <c r="D49">
        <v>87.402795286496186</v>
      </c>
      <c r="E49">
        <f>VLOOKUP(C49,'10y swap Vol'!$C$2:$G$3809,5,0)</f>
        <v>111.82494839486455</v>
      </c>
      <c r="F49">
        <f>VLOOKUP(C49,'5y10y Swaption Vol'!temp,3,0)</f>
        <v>123.0996577798</v>
      </c>
      <c r="H49" s="1">
        <v>40150</v>
      </c>
      <c r="I49" t="s">
        <v>2</v>
      </c>
      <c r="J49">
        <v>3.4973139999999998</v>
      </c>
      <c r="K49">
        <v>6.9099000000000022E-2</v>
      </c>
      <c r="L49">
        <v>100.80201706511369</v>
      </c>
      <c r="M49">
        <f t="shared" si="0"/>
        <v>-29</v>
      </c>
    </row>
    <row r="50" spans="3:13">
      <c r="C50" s="2">
        <v>40122</v>
      </c>
      <c r="D50">
        <v>87.131918087618772</v>
      </c>
      <c r="E50">
        <f>VLOOKUP(C50,'10y swap Vol'!$C$2:$G$3809,5,0)</f>
        <v>109.89360652886451</v>
      </c>
      <c r="F50">
        <f>VLOOKUP(C50,'5y10y Swaption Vol'!temp,3,0)</f>
        <v>122.49103227099999</v>
      </c>
      <c r="H50" s="1">
        <v>40151</v>
      </c>
      <c r="I50" t="s">
        <v>2</v>
      </c>
      <c r="J50">
        <v>3.6211679999999999</v>
      </c>
      <c r="K50">
        <v>0.12385400000000013</v>
      </c>
      <c r="L50">
        <v>103.96373832601262</v>
      </c>
      <c r="M50">
        <f t="shared" si="0"/>
        <v>-29</v>
      </c>
    </row>
    <row r="51" spans="3:13">
      <c r="C51" s="2">
        <v>40123</v>
      </c>
      <c r="D51">
        <v>87.508308857976786</v>
      </c>
      <c r="E51">
        <f>VLOOKUP(C51,'10y swap Vol'!$C$2:$G$3809,5,0)</f>
        <v>109.99885198492805</v>
      </c>
      <c r="F51">
        <f>VLOOKUP(C51,'5y10y Swaption Vol'!temp,3,0)</f>
        <v>121.00536002520001</v>
      </c>
      <c r="H51" s="1">
        <v>40154</v>
      </c>
      <c r="I51" t="s">
        <v>2</v>
      </c>
      <c r="J51">
        <v>3.5936409999999999</v>
      </c>
      <c r="K51">
        <v>-2.7527000000000079E-2</v>
      </c>
      <c r="L51">
        <v>104.09153768243225</v>
      </c>
      <c r="M51">
        <f t="shared" si="0"/>
        <v>-31</v>
      </c>
    </row>
    <row r="52" spans="3:13">
      <c r="C52" s="2">
        <v>40126</v>
      </c>
      <c r="D52">
        <v>84.865437352323639</v>
      </c>
      <c r="E52">
        <f>VLOOKUP(C52,'10y swap Vol'!$C$2:$G$3809,5,0)</f>
        <v>106.27612005405037</v>
      </c>
      <c r="F52">
        <f>VLOOKUP(C52,'5y10y Swaption Vol'!temp,3,0)</f>
        <v>119.46036285930001</v>
      </c>
      <c r="H52" s="1">
        <v>40155</v>
      </c>
      <c r="I52" t="s">
        <v>2</v>
      </c>
      <c r="J52">
        <v>3.5219429999999998</v>
      </c>
      <c r="K52">
        <v>-7.1698000000000039E-2</v>
      </c>
      <c r="L52">
        <v>100.99847718619014</v>
      </c>
      <c r="M52">
        <f t="shared" si="0"/>
        <v>-29</v>
      </c>
    </row>
    <row r="53" spans="3:13">
      <c r="C53" s="2">
        <v>40127</v>
      </c>
      <c r="D53">
        <v>84.73579046321241</v>
      </c>
      <c r="E53">
        <f>VLOOKUP(C53,'10y swap Vol'!$C$2:$G$3809,5,0)</f>
        <v>106.04607097501196</v>
      </c>
      <c r="F53">
        <f>VLOOKUP(C53,'5y10y Swaption Vol'!temp,3,0)</f>
        <v>118.699174204</v>
      </c>
      <c r="H53" s="1">
        <v>40156</v>
      </c>
      <c r="I53" t="s">
        <v>2</v>
      </c>
      <c r="J53">
        <v>3.5437240000000001</v>
      </c>
      <c r="K53">
        <v>2.1781000000000272E-2</v>
      </c>
      <c r="L53">
        <v>101.09344435566572</v>
      </c>
      <c r="M53">
        <f t="shared" si="0"/>
        <v>-29</v>
      </c>
    </row>
    <row r="54" spans="3:13">
      <c r="C54" s="2">
        <v>40129</v>
      </c>
      <c r="D54">
        <v>85.040756088279196</v>
      </c>
      <c r="E54">
        <f>VLOOKUP(C54,'10y swap Vol'!$C$2:$G$3809,5,0)</f>
        <v>105.94995200910154</v>
      </c>
      <c r="F54">
        <f>VLOOKUP(C54,'5y10y Swaption Vol'!temp,3,0)</f>
        <v>118.058298372</v>
      </c>
      <c r="H54" s="1">
        <v>40157</v>
      </c>
      <c r="I54" t="s">
        <v>2</v>
      </c>
      <c r="J54">
        <v>3.5932979999999999</v>
      </c>
      <c r="K54">
        <v>4.9573999999999785E-2</v>
      </c>
      <c r="L54">
        <v>100.10054907420295</v>
      </c>
      <c r="M54">
        <f t="shared" si="0"/>
        <v>-28</v>
      </c>
    </row>
    <row r="55" spans="3:13">
      <c r="C55" s="2">
        <v>40130</v>
      </c>
      <c r="D55">
        <v>85.835699219878052</v>
      </c>
      <c r="E55">
        <f>VLOOKUP(C55,'10y swap Vol'!$C$2:$G$3809,5,0)</f>
        <v>104.67204324213002</v>
      </c>
      <c r="F55">
        <f>VLOOKUP(C55,'5y10y Swaption Vol'!temp,3,0)</f>
        <v>119.17068738810001</v>
      </c>
      <c r="H55" s="1">
        <v>40158</v>
      </c>
      <c r="I55" t="s">
        <v>2</v>
      </c>
      <c r="J55">
        <v>3.6529120000000002</v>
      </c>
      <c r="K55">
        <v>5.9614000000000278E-2</v>
      </c>
      <c r="L55">
        <v>99.904785961614522</v>
      </c>
      <c r="M55">
        <f t="shared" si="0"/>
        <v>-28</v>
      </c>
    </row>
    <row r="56" spans="3:13">
      <c r="C56" s="2">
        <v>40133</v>
      </c>
      <c r="D56">
        <v>87.729145197109958</v>
      </c>
      <c r="E56">
        <f>VLOOKUP(C56,'10y swap Vol'!$C$2:$G$3809,5,0)</f>
        <v>106.72391468309858</v>
      </c>
      <c r="F56">
        <f>VLOOKUP(C56,'5y10y Swaption Vol'!temp,3,0)</f>
        <v>118.23949809459999</v>
      </c>
      <c r="H56" s="1">
        <v>40161</v>
      </c>
      <c r="I56" t="s">
        <v>2</v>
      </c>
      <c r="J56">
        <v>3.6750919999999998</v>
      </c>
      <c r="K56">
        <v>2.2179999999999644E-2</v>
      </c>
      <c r="L56">
        <v>99.965361120863804</v>
      </c>
      <c r="M56">
        <f t="shared" si="0"/>
        <v>-28</v>
      </c>
    </row>
    <row r="57" spans="3:13">
      <c r="C57" s="2">
        <v>40134</v>
      </c>
      <c r="D57">
        <v>88.541727045240876</v>
      </c>
      <c r="E57">
        <f>VLOOKUP(C57,'10y swap Vol'!$C$2:$G$3809,5,0)</f>
        <v>106.51971925023889</v>
      </c>
      <c r="F57">
        <f>VLOOKUP(C57,'5y10y Swaption Vol'!temp,3,0)</f>
        <v>118.5421871865</v>
      </c>
      <c r="H57" s="1">
        <v>40162</v>
      </c>
      <c r="I57" t="s">
        <v>2</v>
      </c>
      <c r="J57">
        <v>3.7459120000000001</v>
      </c>
      <c r="K57">
        <v>7.0820000000000327E-2</v>
      </c>
      <c r="L57">
        <v>99.400685612635471</v>
      </c>
      <c r="M57">
        <f t="shared" si="0"/>
        <v>-28</v>
      </c>
    </row>
    <row r="58" spans="3:13">
      <c r="C58" s="2">
        <v>40135</v>
      </c>
      <c r="D58">
        <v>87.675712673483901</v>
      </c>
      <c r="E58">
        <f>VLOOKUP(C58,'10y swap Vol'!$C$2:$G$3809,5,0)</f>
        <v>103.23860802155413</v>
      </c>
      <c r="F58">
        <f>VLOOKUP(C58,'5y10y Swaption Vol'!temp,3,0)</f>
        <v>118.5975572672</v>
      </c>
      <c r="H58" s="1">
        <v>40163</v>
      </c>
      <c r="I58" t="s">
        <v>2</v>
      </c>
      <c r="J58">
        <v>3.7335500000000001</v>
      </c>
      <c r="K58">
        <v>-1.2361999999999984E-2</v>
      </c>
      <c r="L58">
        <v>97.799735741240582</v>
      </c>
      <c r="M58">
        <f t="shared" si="0"/>
        <v>-28</v>
      </c>
    </row>
    <row r="59" spans="3:13">
      <c r="C59" s="2">
        <v>40136</v>
      </c>
      <c r="D59">
        <v>87.574167316942791</v>
      </c>
      <c r="E59">
        <f>VLOOKUP(C59,'10y swap Vol'!$C$2:$G$3809,5,0)</f>
        <v>102.67880061422738</v>
      </c>
      <c r="F59">
        <f>VLOOKUP(C59,'5y10y Swaption Vol'!temp,3,0)</f>
        <v>117.3627083208</v>
      </c>
      <c r="H59" s="1">
        <v>40164</v>
      </c>
      <c r="I59" t="s">
        <v>2</v>
      </c>
      <c r="J59">
        <v>3.623472</v>
      </c>
      <c r="K59">
        <v>-0.11007800000000012</v>
      </c>
      <c r="L59">
        <v>100.26456748398911</v>
      </c>
      <c r="M59">
        <f t="shared" si="0"/>
        <v>-28</v>
      </c>
    </row>
    <row r="60" spans="3:13">
      <c r="C60" s="2">
        <v>40137</v>
      </c>
      <c r="D60">
        <v>87.622045479099143</v>
      </c>
      <c r="E60">
        <f>VLOOKUP(C60,'10y swap Vol'!$C$2:$G$3809,5,0)</f>
        <v>102.29426328178768</v>
      </c>
      <c r="F60">
        <f>VLOOKUP(C60,'5y10y Swaption Vol'!temp,3,0)</f>
        <v>118.011947625</v>
      </c>
      <c r="H60" s="1">
        <v>40165</v>
      </c>
      <c r="I60" t="s">
        <v>2</v>
      </c>
      <c r="J60">
        <v>3.67056</v>
      </c>
      <c r="K60">
        <v>4.7088000000000019E-2</v>
      </c>
      <c r="L60">
        <v>100.55511217617286</v>
      </c>
      <c r="M60">
        <f t="shared" si="0"/>
        <v>-28</v>
      </c>
    </row>
    <row r="61" spans="3:13">
      <c r="C61" s="2">
        <v>40140</v>
      </c>
      <c r="D61">
        <v>87.707453678530584</v>
      </c>
      <c r="E61">
        <f>VLOOKUP(C61,'10y swap Vol'!$C$2:$G$3809,5,0)</f>
        <v>102.22497082883864</v>
      </c>
      <c r="F61">
        <f>VLOOKUP(C61,'5y10y Swaption Vol'!temp,3,0)</f>
        <v>118.8331571245</v>
      </c>
      <c r="H61" s="1">
        <v>40168</v>
      </c>
      <c r="I61" t="s">
        <v>2</v>
      </c>
      <c r="J61">
        <v>3.8326739999999999</v>
      </c>
      <c r="K61">
        <v>0.16211399999999987</v>
      </c>
      <c r="L61">
        <v>104.99826826633556</v>
      </c>
      <c r="M61">
        <f t="shared" si="0"/>
        <v>-28</v>
      </c>
    </row>
    <row r="62" spans="3:13">
      <c r="C62" s="2">
        <v>40141</v>
      </c>
      <c r="D62">
        <v>88.76152761619106</v>
      </c>
      <c r="E62">
        <f>VLOOKUP(C62,'10y swap Vol'!$C$2:$G$3809,5,0)</f>
        <v>102.59517859020919</v>
      </c>
      <c r="F62">
        <f>VLOOKUP(C62,'5y10y Swaption Vol'!temp,3,0)</f>
        <v>117.9223939905</v>
      </c>
      <c r="H62" s="1">
        <v>40169</v>
      </c>
      <c r="I62" t="s">
        <v>2</v>
      </c>
      <c r="J62">
        <v>3.9068429999999998</v>
      </c>
      <c r="K62">
        <v>7.4168999999999929E-2</v>
      </c>
      <c r="L62">
        <v>105.43037217860716</v>
      </c>
      <c r="M62">
        <f t="shared" si="0"/>
        <v>-28</v>
      </c>
    </row>
    <row r="63" spans="3:13">
      <c r="C63" s="2">
        <v>40142</v>
      </c>
      <c r="D63">
        <v>88.760695798436657</v>
      </c>
      <c r="E63">
        <f>VLOOKUP(C63,'10y swap Vol'!$C$2:$G$3809,5,0)</f>
        <v>103.14760829853998</v>
      </c>
      <c r="F63">
        <f>VLOOKUP(C63,'5y10y Swaption Vol'!temp,3,0)</f>
        <v>118.31278824419999</v>
      </c>
      <c r="H63" s="1">
        <v>40170</v>
      </c>
      <c r="I63" t="s">
        <v>2</v>
      </c>
      <c r="J63">
        <v>3.897799</v>
      </c>
      <c r="K63">
        <v>-9.04399999999983E-3</v>
      </c>
      <c r="L63">
        <v>104.34531320762612</v>
      </c>
      <c r="M63">
        <f t="shared" si="0"/>
        <v>-28</v>
      </c>
    </row>
    <row r="64" spans="3:13">
      <c r="C64" s="2">
        <v>40144</v>
      </c>
      <c r="D64">
        <v>88.359727583020231</v>
      </c>
      <c r="E64">
        <f>VLOOKUP(C64,'10y swap Vol'!$C$2:$G$3809,5,0)</f>
        <v>103.04863876044479</v>
      </c>
      <c r="F64">
        <f>VLOOKUP(C64,'5y10y Swaption Vol'!temp,3,0)</f>
        <v>119.06604998260001</v>
      </c>
      <c r="H64" s="1">
        <v>40171</v>
      </c>
      <c r="I64" t="s">
        <v>2</v>
      </c>
      <c r="J64">
        <v>3.9405589999999999</v>
      </c>
      <c r="K64">
        <v>4.2759999999999909E-2</v>
      </c>
      <c r="L64">
        <v>103.95715186321037</v>
      </c>
      <c r="M64">
        <f t="shared" si="0"/>
        <v>-27</v>
      </c>
    </row>
    <row r="65" spans="3:13">
      <c r="C65" s="2">
        <v>40147</v>
      </c>
      <c r="D65">
        <v>88.324828697479475</v>
      </c>
      <c r="E65">
        <f>VLOOKUP(C65,'10y swap Vol'!$C$2:$G$3809,5,0)</f>
        <v>103.0340795777681</v>
      </c>
      <c r="F65">
        <f>VLOOKUP(C65,'5y10y Swaption Vol'!temp,3,0)</f>
        <v>119.0695924052</v>
      </c>
      <c r="H65" s="1">
        <v>40175</v>
      </c>
      <c r="I65" t="s">
        <v>2</v>
      </c>
      <c r="J65">
        <v>3.9993539999999999</v>
      </c>
      <c r="K65">
        <v>5.8794999999999931E-2</v>
      </c>
      <c r="L65">
        <v>104.39941630758479</v>
      </c>
      <c r="M65">
        <f t="shared" si="0"/>
        <v>-28</v>
      </c>
    </row>
    <row r="66" spans="3:13">
      <c r="C66" s="2">
        <v>40148</v>
      </c>
      <c r="D66">
        <v>89.17554210794863</v>
      </c>
      <c r="E66">
        <f>VLOOKUP(C66,'10y swap Vol'!$C$2:$G$3809,5,0)</f>
        <v>102.61008302549652</v>
      </c>
      <c r="F66">
        <f>VLOOKUP(C66,'5y10y Swaption Vol'!temp,3,0)</f>
        <v>120.6013454064</v>
      </c>
      <c r="H66" s="1">
        <v>40176</v>
      </c>
      <c r="I66" t="s">
        <v>2</v>
      </c>
      <c r="J66">
        <v>3.9643160000000002</v>
      </c>
      <c r="K66">
        <v>-3.5037999999999681E-2</v>
      </c>
      <c r="L66">
        <v>104.7864158181191</v>
      </c>
      <c r="M66">
        <f t="shared" si="0"/>
        <v>-28</v>
      </c>
    </row>
    <row r="67" spans="3:13">
      <c r="C67" s="2">
        <v>40149</v>
      </c>
      <c r="D67">
        <v>89.614709874552162</v>
      </c>
      <c r="E67">
        <f>VLOOKUP(C67,'10y swap Vol'!$C$2:$G$3809,5,0)</f>
        <v>102.94811797009227</v>
      </c>
      <c r="F67">
        <f>VLOOKUP(C67,'5y10y Swaption Vol'!temp,3,0)</f>
        <v>121.4839042263</v>
      </c>
      <c r="H67" s="1">
        <v>40177</v>
      </c>
      <c r="I67" t="s">
        <v>2</v>
      </c>
      <c r="J67">
        <v>3.9144749999999999</v>
      </c>
      <c r="K67">
        <v>-4.9841000000000246E-2</v>
      </c>
      <c r="L67">
        <v>102.44462572510533</v>
      </c>
      <c r="M67">
        <f t="shared" ref="M67:M130" si="1">C67-H67</f>
        <v>-28</v>
      </c>
    </row>
    <row r="68" spans="3:13">
      <c r="C68" s="2">
        <v>40150</v>
      </c>
      <c r="D68">
        <v>89.652549223956086</v>
      </c>
      <c r="E68">
        <f>VLOOKUP(C68,'10y swap Vol'!$C$2:$G$3809,5,0)</f>
        <v>100.80201706511369</v>
      </c>
      <c r="F68">
        <f>VLOOKUP(C68,'5y10y Swaption Vol'!temp,3,0)</f>
        <v>122.979983375</v>
      </c>
      <c r="H68" s="1">
        <v>40178</v>
      </c>
      <c r="I68" t="s">
        <v>2</v>
      </c>
      <c r="J68">
        <v>3.9639639999999998</v>
      </c>
      <c r="K68">
        <v>4.9488999999999894E-2</v>
      </c>
      <c r="L68">
        <v>102.55504789041041</v>
      </c>
      <c r="M68">
        <f t="shared" si="1"/>
        <v>-28</v>
      </c>
    </row>
    <row r="69" spans="3:13">
      <c r="C69" s="2">
        <v>40151</v>
      </c>
      <c r="D69">
        <v>91.087203306913821</v>
      </c>
      <c r="E69">
        <f>VLOOKUP(C69,'10y swap Vol'!$C$2:$G$3809,5,0)</f>
        <v>103.96373832601262</v>
      </c>
      <c r="F69">
        <f>VLOOKUP(C69,'5y10y Swaption Vol'!temp,3,0)</f>
        <v>123.17792804600001</v>
      </c>
      <c r="H69" s="1">
        <v>40182</v>
      </c>
      <c r="I69" t="s">
        <v>2</v>
      </c>
      <c r="J69">
        <v>3.9506969999999999</v>
      </c>
      <c r="K69">
        <v>-1.3266999999999918E-2</v>
      </c>
      <c r="L69">
        <v>102.65841253998038</v>
      </c>
      <c r="M69">
        <f t="shared" si="1"/>
        <v>-31</v>
      </c>
    </row>
    <row r="70" spans="3:13">
      <c r="C70" s="2">
        <v>40154</v>
      </c>
      <c r="D70">
        <v>91.55862860462058</v>
      </c>
      <c r="E70">
        <f>VLOOKUP(C70,'10y swap Vol'!$C$2:$G$3809,5,0)</f>
        <v>104.09153768243225</v>
      </c>
      <c r="F70">
        <f>VLOOKUP(C70,'5y10y Swaption Vol'!temp,3,0)</f>
        <v>120.95885199</v>
      </c>
      <c r="H70" s="1">
        <v>40183</v>
      </c>
      <c r="I70" t="s">
        <v>2</v>
      </c>
      <c r="J70">
        <v>3.8476330000000001</v>
      </c>
      <c r="K70">
        <v>-0.10306399999999982</v>
      </c>
      <c r="L70">
        <v>105.12960794102017</v>
      </c>
      <c r="M70">
        <f t="shared" si="1"/>
        <v>-29</v>
      </c>
    </row>
    <row r="71" spans="3:13">
      <c r="C71" s="2">
        <v>40155</v>
      </c>
      <c r="D71">
        <v>89.01297343498868</v>
      </c>
      <c r="E71">
        <f>VLOOKUP(C71,'10y swap Vol'!$C$2:$G$3809,5,0)</f>
        <v>100.99847718619014</v>
      </c>
      <c r="F71">
        <f>VLOOKUP(C71,'5y10y Swaption Vol'!temp,3,0)</f>
        <v>119.8502570616</v>
      </c>
      <c r="H71" s="1">
        <v>40184</v>
      </c>
      <c r="I71" t="s">
        <v>2</v>
      </c>
      <c r="J71">
        <v>3.9025690000000002</v>
      </c>
      <c r="K71">
        <v>5.4936000000000096E-2</v>
      </c>
      <c r="L71">
        <v>104.18724226338097</v>
      </c>
      <c r="M71">
        <f t="shared" si="1"/>
        <v>-29</v>
      </c>
    </row>
    <row r="72" spans="3:13">
      <c r="C72" s="2">
        <v>40156</v>
      </c>
      <c r="D72">
        <v>89.446161811875839</v>
      </c>
      <c r="E72">
        <f>VLOOKUP(C72,'10y swap Vol'!$C$2:$G$3809,5,0)</f>
        <v>101.09344435566572</v>
      </c>
      <c r="F72">
        <f>VLOOKUP(C72,'5y10y Swaption Vol'!temp,3,0)</f>
        <v>120.16652512669999</v>
      </c>
      <c r="H72" s="1">
        <v>40185</v>
      </c>
      <c r="I72" t="s">
        <v>2</v>
      </c>
      <c r="J72">
        <v>3.928588</v>
      </c>
      <c r="K72">
        <v>2.6018999999999792E-2</v>
      </c>
      <c r="L72">
        <v>103.67500245177229</v>
      </c>
      <c r="M72">
        <f t="shared" si="1"/>
        <v>-29</v>
      </c>
    </row>
    <row r="73" spans="3:13">
      <c r="C73" s="2">
        <v>40157</v>
      </c>
      <c r="D73">
        <v>88.603486647725305</v>
      </c>
      <c r="E73">
        <f>VLOOKUP(C73,'10y swap Vol'!$C$2:$G$3809,5,0)</f>
        <v>100.10054907420295</v>
      </c>
      <c r="F73">
        <f>VLOOKUP(C73,'5y10y Swaption Vol'!temp,3,0)</f>
        <v>120.92999074719999</v>
      </c>
      <c r="H73" s="1">
        <v>40186</v>
      </c>
      <c r="I73" t="s">
        <v>2</v>
      </c>
      <c r="J73">
        <v>3.90544</v>
      </c>
      <c r="K73">
        <v>-2.3147999999999946E-2</v>
      </c>
      <c r="L73">
        <v>99.738153054345688</v>
      </c>
      <c r="M73">
        <f t="shared" si="1"/>
        <v>-29</v>
      </c>
    </row>
    <row r="74" spans="3:13">
      <c r="C74" s="2">
        <v>40158</v>
      </c>
      <c r="D74">
        <v>88.399557679692549</v>
      </c>
      <c r="E74">
        <f>VLOOKUP(C74,'10y swap Vol'!$C$2:$G$3809,5,0)</f>
        <v>99.904785961614522</v>
      </c>
      <c r="F74">
        <f>VLOOKUP(C74,'5y10y Swaption Vol'!temp,3,0)</f>
        <v>121.505155617</v>
      </c>
      <c r="H74" s="1">
        <v>40189</v>
      </c>
      <c r="I74" t="s">
        <v>2</v>
      </c>
      <c r="J74">
        <v>3.9132400000000001</v>
      </c>
      <c r="K74">
        <v>7.8000000000000291E-3</v>
      </c>
      <c r="L74">
        <v>98.444408856576302</v>
      </c>
      <c r="M74">
        <f t="shared" si="1"/>
        <v>-31</v>
      </c>
    </row>
    <row r="75" spans="3:13">
      <c r="C75" s="2">
        <v>40161</v>
      </c>
      <c r="D75">
        <v>88.745965248808005</v>
      </c>
      <c r="E75">
        <f>VLOOKUP(C75,'10y swap Vol'!$C$2:$G$3809,5,0)</f>
        <v>99.965361120863804</v>
      </c>
      <c r="F75">
        <f>VLOOKUP(C75,'5y10y Swaption Vol'!temp,3,0)</f>
        <v>120.9000738945</v>
      </c>
      <c r="H75" s="1">
        <v>40190</v>
      </c>
      <c r="I75" t="s">
        <v>2</v>
      </c>
      <c r="J75">
        <v>3.8143069999999999</v>
      </c>
      <c r="K75">
        <v>-9.893300000000016E-2</v>
      </c>
      <c r="L75">
        <v>98.464888864502683</v>
      </c>
      <c r="M75">
        <f t="shared" si="1"/>
        <v>-29</v>
      </c>
    </row>
    <row r="76" spans="3:13">
      <c r="C76" s="2">
        <v>40162</v>
      </c>
      <c r="D76">
        <v>88.570424593152481</v>
      </c>
      <c r="E76">
        <f>VLOOKUP(C76,'10y swap Vol'!$C$2:$G$3809,5,0)</f>
        <v>99.400685612635471</v>
      </c>
      <c r="F76">
        <f>VLOOKUP(C76,'5y10y Swaption Vol'!temp,3,0)</f>
        <v>123.614828215</v>
      </c>
      <c r="H76" s="1">
        <v>40191</v>
      </c>
      <c r="I76" t="s">
        <v>2</v>
      </c>
      <c r="J76">
        <v>3.8835660000000001</v>
      </c>
      <c r="K76">
        <v>6.9259000000000182E-2</v>
      </c>
      <c r="L76">
        <v>98.812247286565267</v>
      </c>
      <c r="M76">
        <f t="shared" si="1"/>
        <v>-29</v>
      </c>
    </row>
    <row r="77" spans="3:13">
      <c r="C77" s="2">
        <v>40163</v>
      </c>
      <c r="D77">
        <v>87.352684958803607</v>
      </c>
      <c r="E77">
        <f>VLOOKUP(C77,'10y swap Vol'!$C$2:$G$3809,5,0)</f>
        <v>97.799735741240582</v>
      </c>
      <c r="F77">
        <f>VLOOKUP(C77,'5y10y Swaption Vol'!temp,3,0)</f>
        <v>123.2682352488</v>
      </c>
      <c r="H77" s="1">
        <v>40192</v>
      </c>
      <c r="I77" t="s">
        <v>2</v>
      </c>
      <c r="J77">
        <v>3.824395</v>
      </c>
      <c r="K77">
        <v>-5.9171000000000085E-2</v>
      </c>
      <c r="L77">
        <v>99.172280481427904</v>
      </c>
      <c r="M77">
        <f t="shared" si="1"/>
        <v>-29</v>
      </c>
    </row>
    <row r="78" spans="3:13">
      <c r="C78" s="2">
        <v>40164</v>
      </c>
      <c r="D78">
        <v>90.837344808223406</v>
      </c>
      <c r="E78">
        <f>VLOOKUP(C78,'10y swap Vol'!$C$2:$G$3809,5,0)</f>
        <v>100.26456748398911</v>
      </c>
      <c r="F78">
        <f>VLOOKUP(C78,'5y10y Swaption Vol'!temp,3,0)</f>
        <v>123.07378243799999</v>
      </c>
      <c r="H78" s="1">
        <v>40193</v>
      </c>
      <c r="I78" t="s">
        <v>2</v>
      </c>
      <c r="J78">
        <v>3.7729309999999998</v>
      </c>
      <c r="K78">
        <v>-5.1464000000000176E-2</v>
      </c>
      <c r="L78">
        <v>99.593287303006562</v>
      </c>
      <c r="M78">
        <f t="shared" si="1"/>
        <v>-29</v>
      </c>
    </row>
    <row r="79" spans="3:13">
      <c r="C79" s="2">
        <v>40165</v>
      </c>
      <c r="D79">
        <v>91.751915265005053</v>
      </c>
      <c r="E79">
        <f>VLOOKUP(C79,'10y swap Vol'!$C$2:$G$3809,5,0)</f>
        <v>100.55511217617286</v>
      </c>
      <c r="F79">
        <f>VLOOKUP(C79,'5y10y Swaption Vol'!temp,3,0)</f>
        <v>123.16340332030001</v>
      </c>
      <c r="H79" s="1">
        <v>40197</v>
      </c>
      <c r="I79" t="s">
        <v>2</v>
      </c>
      <c r="J79">
        <v>3.808284</v>
      </c>
      <c r="K79">
        <v>3.535300000000019E-2</v>
      </c>
      <c r="L79">
        <v>98.823225435580312</v>
      </c>
      <c r="M79">
        <f t="shared" si="1"/>
        <v>-32</v>
      </c>
    </row>
    <row r="80" spans="3:13">
      <c r="C80" s="2">
        <v>40168</v>
      </c>
      <c r="D80">
        <v>96.64465279696276</v>
      </c>
      <c r="E80">
        <f>VLOOKUP(C80,'10y swap Vol'!$C$2:$G$3809,5,0)</f>
        <v>104.99826826633556</v>
      </c>
      <c r="F80">
        <f>VLOOKUP(C80,'5y10y Swaption Vol'!temp,3,0)</f>
        <v>125.6226298365</v>
      </c>
      <c r="H80" s="1">
        <v>40198</v>
      </c>
      <c r="I80" t="s">
        <v>2</v>
      </c>
      <c r="J80">
        <v>3.7577219999999998</v>
      </c>
      <c r="K80">
        <v>-5.0562000000000218E-2</v>
      </c>
      <c r="L80">
        <v>98.378054931984536</v>
      </c>
      <c r="M80">
        <f t="shared" si="1"/>
        <v>-30</v>
      </c>
    </row>
    <row r="81" spans="3:13">
      <c r="C81" s="2">
        <v>40169</v>
      </c>
      <c r="D81">
        <v>96.796369665690094</v>
      </c>
      <c r="E81">
        <f>VLOOKUP(C81,'10y swap Vol'!$C$2:$G$3809,5,0)</f>
        <v>105.43037217860716</v>
      </c>
      <c r="F81">
        <f>VLOOKUP(C81,'5y10y Swaption Vol'!temp,3,0)</f>
        <v>125.65390095959999</v>
      </c>
      <c r="H81" s="1">
        <v>40199</v>
      </c>
      <c r="I81" t="s">
        <v>2</v>
      </c>
      <c r="J81">
        <v>3.7111749999999999</v>
      </c>
      <c r="K81">
        <v>-4.6546999999999894E-2</v>
      </c>
      <c r="L81">
        <v>98.857595771548773</v>
      </c>
      <c r="M81">
        <f t="shared" si="1"/>
        <v>-30</v>
      </c>
    </row>
    <row r="82" spans="3:13">
      <c r="C82" s="2">
        <v>40170</v>
      </c>
      <c r="D82">
        <v>96.425568899030594</v>
      </c>
      <c r="E82">
        <f>VLOOKUP(C82,'10y swap Vol'!$C$2:$G$3809,5,0)</f>
        <v>104.34531320762612</v>
      </c>
      <c r="F82">
        <f>VLOOKUP(C82,'5y10y Swaption Vol'!temp,3,0)</f>
        <v>123.1803473212</v>
      </c>
      <c r="H82" s="1">
        <v>40200</v>
      </c>
      <c r="I82" t="s">
        <v>2</v>
      </c>
      <c r="J82">
        <v>3.7139579999999999</v>
      </c>
      <c r="K82">
        <v>2.7829999999999799E-3</v>
      </c>
      <c r="L82">
        <v>98.388579487064177</v>
      </c>
      <c r="M82">
        <f t="shared" si="1"/>
        <v>-30</v>
      </c>
    </row>
    <row r="83" spans="3:13">
      <c r="C83" s="2">
        <v>40171</v>
      </c>
      <c r="D83">
        <v>96.146149125347407</v>
      </c>
      <c r="E83">
        <f>VLOOKUP(C83,'10y swap Vol'!$C$2:$G$3809,5,0)</f>
        <v>103.95715186321037</v>
      </c>
      <c r="F83">
        <f>VLOOKUP(C83,'5y10y Swaption Vol'!temp,3,0)</f>
        <v>123.2063722676</v>
      </c>
      <c r="H83" s="1">
        <v>40203</v>
      </c>
      <c r="I83" t="s">
        <v>2</v>
      </c>
      <c r="J83">
        <v>3.742572</v>
      </c>
      <c r="K83">
        <v>2.8614000000000139E-2</v>
      </c>
      <c r="L83">
        <v>96.863475495280056</v>
      </c>
      <c r="M83">
        <f t="shared" si="1"/>
        <v>-32</v>
      </c>
    </row>
    <row r="84" spans="3:13">
      <c r="C84" s="2">
        <v>40175</v>
      </c>
      <c r="D84">
        <v>96.536053347376367</v>
      </c>
      <c r="E84">
        <f>VLOOKUP(C84,'10y swap Vol'!$C$2:$G$3809,5,0)</f>
        <v>104.39941630758479</v>
      </c>
      <c r="F84">
        <f>VLOOKUP(C84,'5y10y Swaption Vol'!temp,3,0)</f>
        <v>123.2911877376</v>
      </c>
      <c r="H84" s="1">
        <v>40204</v>
      </c>
      <c r="I84" t="s">
        <v>2</v>
      </c>
      <c r="J84">
        <v>3.7437200000000002</v>
      </c>
      <c r="K84">
        <v>1.1480000000001489E-3</v>
      </c>
      <c r="L84">
        <v>94.760332107603801</v>
      </c>
      <c r="M84">
        <f t="shared" si="1"/>
        <v>-29</v>
      </c>
    </row>
    <row r="85" spans="3:13">
      <c r="C85" s="2">
        <v>40176</v>
      </c>
      <c r="D85">
        <v>96.988230322408668</v>
      </c>
      <c r="E85">
        <f>VLOOKUP(C85,'10y swap Vol'!$C$2:$G$3809,5,0)</f>
        <v>104.7864158181191</v>
      </c>
      <c r="F85">
        <f>VLOOKUP(C85,'5y10y Swaption Vol'!temp,3,0)</f>
        <v>120.77275708720001</v>
      </c>
      <c r="H85" s="1">
        <v>40205</v>
      </c>
      <c r="I85" t="s">
        <v>2</v>
      </c>
      <c r="J85">
        <v>3.7654969999999999</v>
      </c>
      <c r="K85">
        <v>2.1776999999999713E-2</v>
      </c>
      <c r="L85">
        <v>94.039559351776376</v>
      </c>
      <c r="M85">
        <f t="shared" si="1"/>
        <v>-29</v>
      </c>
    </row>
    <row r="86" spans="3:13">
      <c r="C86" s="2">
        <v>40177</v>
      </c>
      <c r="D86">
        <v>93.740757229860748</v>
      </c>
      <c r="E86">
        <f>VLOOKUP(C86,'10y swap Vol'!$C$2:$G$3809,5,0)</f>
        <v>102.44462572510533</v>
      </c>
      <c r="F86">
        <f>VLOOKUP(C86,'5y10y Swaption Vol'!temp,3,0)</f>
        <v>118.53860081640001</v>
      </c>
      <c r="H86" s="1">
        <v>40206</v>
      </c>
      <c r="I86" t="s">
        <v>2</v>
      </c>
      <c r="J86">
        <v>3.7720099999999999</v>
      </c>
      <c r="K86">
        <v>6.512999999999991E-3</v>
      </c>
      <c r="L86">
        <v>92.556295594355547</v>
      </c>
      <c r="M86">
        <f t="shared" si="1"/>
        <v>-29</v>
      </c>
    </row>
    <row r="87" spans="3:13">
      <c r="C87" s="2">
        <v>40178</v>
      </c>
      <c r="D87">
        <v>93.928582144372825</v>
      </c>
      <c r="E87">
        <f>VLOOKUP(C87,'10y swap Vol'!$C$2:$G$3809,5,0)</f>
        <v>102.55504789041041</v>
      </c>
      <c r="F87">
        <f>VLOOKUP(C87,'5y10y Swaption Vol'!temp,3,0)</f>
        <v>119.13101428</v>
      </c>
      <c r="H87" s="1">
        <v>40207</v>
      </c>
      <c r="I87" t="s">
        <v>2</v>
      </c>
      <c r="J87">
        <v>3.7272630000000002</v>
      </c>
      <c r="K87">
        <v>-4.4746999999999648E-2</v>
      </c>
      <c r="L87">
        <v>90.385530053711577</v>
      </c>
      <c r="M87">
        <f t="shared" si="1"/>
        <v>-29</v>
      </c>
    </row>
    <row r="88" spans="3:13">
      <c r="C88" s="2">
        <v>40182</v>
      </c>
      <c r="D88">
        <v>94.108752663194068</v>
      </c>
      <c r="E88">
        <f>VLOOKUP(C88,'10y swap Vol'!$C$2:$G$3809,5,0)</f>
        <v>102.65841253998038</v>
      </c>
      <c r="F88">
        <f>VLOOKUP(C88,'5y10y Swaption Vol'!temp,3,0)</f>
        <v>119.247949464</v>
      </c>
      <c r="H88" s="1">
        <v>40210</v>
      </c>
      <c r="I88" t="s">
        <v>2</v>
      </c>
      <c r="J88">
        <v>3.7740109999999998</v>
      </c>
      <c r="K88">
        <v>4.6747999999999568E-2</v>
      </c>
      <c r="L88">
        <v>90.487492732967624</v>
      </c>
      <c r="M88">
        <f t="shared" si="1"/>
        <v>-28</v>
      </c>
    </row>
    <row r="89" spans="3:13">
      <c r="C89" s="2">
        <v>40183</v>
      </c>
      <c r="D89">
        <v>96.405403685687901</v>
      </c>
      <c r="E89">
        <f>VLOOKUP(C89,'10y swap Vol'!$C$2:$G$3809,5,0)</f>
        <v>105.12960794102017</v>
      </c>
      <c r="F89">
        <f>VLOOKUP(C89,'5y10y Swaption Vol'!temp,3,0)</f>
        <v>117.9490669528</v>
      </c>
      <c r="H89" s="1">
        <v>40211</v>
      </c>
      <c r="I89" t="s">
        <v>2</v>
      </c>
      <c r="J89">
        <v>3.7565529999999998</v>
      </c>
      <c r="K89">
        <v>-1.7457999999999974E-2</v>
      </c>
      <c r="L89">
        <v>90.0738716055086</v>
      </c>
      <c r="M89">
        <f t="shared" si="1"/>
        <v>-28</v>
      </c>
    </row>
    <row r="90" spans="3:13">
      <c r="C90" s="2">
        <v>40184</v>
      </c>
      <c r="D90">
        <v>95.981718377841958</v>
      </c>
      <c r="E90">
        <f>VLOOKUP(C90,'10y swap Vol'!$C$2:$G$3809,5,0)</f>
        <v>104.18724226338097</v>
      </c>
      <c r="F90">
        <f>VLOOKUP(C90,'5y10y Swaption Vol'!temp,3,0)</f>
        <v>118.64390400720001</v>
      </c>
      <c r="H90" s="1">
        <v>40212</v>
      </c>
      <c r="I90" t="s">
        <v>2</v>
      </c>
      <c r="J90">
        <v>3.8106960000000001</v>
      </c>
      <c r="K90">
        <v>5.4143000000000274E-2</v>
      </c>
      <c r="L90">
        <v>89.874310019447449</v>
      </c>
      <c r="M90">
        <f t="shared" si="1"/>
        <v>-28</v>
      </c>
    </row>
    <row r="91" spans="3:13">
      <c r="C91" s="2">
        <v>40185</v>
      </c>
      <c r="D91">
        <v>95.975436133304612</v>
      </c>
      <c r="E91">
        <f>VLOOKUP(C91,'10y swap Vol'!$C$2:$G$3809,5,0)</f>
        <v>103.67500245177229</v>
      </c>
      <c r="F91">
        <f>VLOOKUP(C91,'5y10y Swaption Vol'!temp,3,0)</f>
        <v>118.1775507055</v>
      </c>
      <c r="H91" s="1">
        <v>40213</v>
      </c>
      <c r="I91" t="s">
        <v>2</v>
      </c>
      <c r="J91">
        <v>3.7117990000000001</v>
      </c>
      <c r="K91">
        <v>-9.8897000000000013E-2</v>
      </c>
      <c r="L91">
        <v>92.112763269766745</v>
      </c>
      <c r="M91">
        <f t="shared" si="1"/>
        <v>-28</v>
      </c>
    </row>
    <row r="92" spans="3:13">
      <c r="C92" s="2">
        <v>40186</v>
      </c>
      <c r="D92">
        <v>92.502510817369696</v>
      </c>
      <c r="E92">
        <f>VLOOKUP(C92,'10y swap Vol'!$C$2:$G$3809,5,0)</f>
        <v>99.738153054345688</v>
      </c>
      <c r="F92">
        <f>VLOOKUP(C92,'5y10y Swaption Vol'!temp,3,0)</f>
        <v>117.0402490403</v>
      </c>
      <c r="H92" s="1">
        <v>40214</v>
      </c>
      <c r="I92" t="s">
        <v>2</v>
      </c>
      <c r="J92">
        <v>3.643078</v>
      </c>
      <c r="K92">
        <v>-6.8721000000000032E-2</v>
      </c>
      <c r="L92">
        <v>92.942035920377393</v>
      </c>
      <c r="M92">
        <f t="shared" si="1"/>
        <v>-28</v>
      </c>
    </row>
    <row r="93" spans="3:13">
      <c r="C93" s="2">
        <v>40189</v>
      </c>
      <c r="D93">
        <v>92.240746403071199</v>
      </c>
      <c r="E93">
        <f>VLOOKUP(C93,'10y swap Vol'!$C$2:$G$3809,5,0)</f>
        <v>98.444408856576302</v>
      </c>
      <c r="F93">
        <f>VLOOKUP(C93,'5y10y Swaption Vol'!temp,3,0)</f>
        <v>116.0791537806</v>
      </c>
      <c r="H93" s="1">
        <v>40217</v>
      </c>
      <c r="I93" t="s">
        <v>2</v>
      </c>
      <c r="J93">
        <v>3.6881590000000002</v>
      </c>
      <c r="K93">
        <v>4.5081000000000149E-2</v>
      </c>
      <c r="L93">
        <v>93.179101177797733</v>
      </c>
      <c r="M93">
        <f t="shared" si="1"/>
        <v>-28</v>
      </c>
    </row>
    <row r="94" spans="3:13">
      <c r="C94" s="2">
        <v>40190</v>
      </c>
      <c r="D94">
        <v>91.476598818411645</v>
      </c>
      <c r="E94">
        <f>VLOOKUP(C94,'10y swap Vol'!$C$2:$G$3809,5,0)</f>
        <v>98.464888864502683</v>
      </c>
      <c r="F94">
        <f>VLOOKUP(C94,'5y10y Swaption Vol'!temp,3,0)</f>
        <v>116.02544563799999</v>
      </c>
      <c r="H94" s="1">
        <v>40218</v>
      </c>
      <c r="I94" t="s">
        <v>2</v>
      </c>
      <c r="J94">
        <v>3.7325379999999999</v>
      </c>
      <c r="K94">
        <v>4.4378999999999724E-2</v>
      </c>
      <c r="L94">
        <v>93.54943387199728</v>
      </c>
      <c r="M94">
        <f t="shared" si="1"/>
        <v>-28</v>
      </c>
    </row>
    <row r="95" spans="3:13">
      <c r="C95" s="2">
        <v>40191</v>
      </c>
      <c r="D95">
        <v>90.578183638459748</v>
      </c>
      <c r="E95">
        <f>VLOOKUP(C95,'10y swap Vol'!$C$2:$G$3809,5,0)</f>
        <v>98.812247286565267</v>
      </c>
      <c r="F95">
        <f>VLOOKUP(C95,'5y10y Swaption Vol'!temp,3,0)</f>
        <v>118.6322803477</v>
      </c>
      <c r="H95" s="1">
        <v>40219</v>
      </c>
      <c r="I95" t="s">
        <v>2</v>
      </c>
      <c r="J95">
        <v>3.7891629999999998</v>
      </c>
      <c r="K95">
        <v>5.6624999999999925E-2</v>
      </c>
      <c r="L95">
        <v>93.157422679945682</v>
      </c>
      <c r="M95">
        <f t="shared" si="1"/>
        <v>-28</v>
      </c>
    </row>
    <row r="96" spans="3:13">
      <c r="C96" s="2">
        <v>40192</v>
      </c>
      <c r="D96">
        <v>90.331075020449319</v>
      </c>
      <c r="E96">
        <f>VLOOKUP(C96,'10y swap Vol'!$C$2:$G$3809,5,0)</f>
        <v>99.172280481427904</v>
      </c>
      <c r="F96">
        <f>VLOOKUP(C96,'5y10y Swaption Vol'!temp,3,0)</f>
        <v>118.94624503679999</v>
      </c>
      <c r="H96" s="1">
        <v>40220</v>
      </c>
      <c r="I96" t="s">
        <v>2</v>
      </c>
      <c r="J96">
        <v>3.8230620000000002</v>
      </c>
      <c r="K96">
        <v>3.3899000000000346E-2</v>
      </c>
      <c r="L96">
        <v>93.300251385507408</v>
      </c>
      <c r="M96">
        <f t="shared" si="1"/>
        <v>-28</v>
      </c>
    </row>
    <row r="97" spans="3:13">
      <c r="C97" s="2">
        <v>40193</v>
      </c>
      <c r="D97">
        <v>91.044824818347919</v>
      </c>
      <c r="E97">
        <f>VLOOKUP(C97,'10y swap Vol'!$C$2:$G$3809,5,0)</f>
        <v>99.593287303006562</v>
      </c>
      <c r="F97">
        <f>VLOOKUP(C97,'5y10y Swaption Vol'!temp,3,0)</f>
        <v>119.6703302179</v>
      </c>
      <c r="H97" s="1">
        <v>40221</v>
      </c>
      <c r="I97" t="s">
        <v>2</v>
      </c>
      <c r="J97">
        <v>3.7823349999999998</v>
      </c>
      <c r="K97">
        <v>-4.0727000000000402E-2</v>
      </c>
      <c r="L97">
        <v>90.102760554081286</v>
      </c>
      <c r="M97">
        <f t="shared" si="1"/>
        <v>-28</v>
      </c>
    </row>
    <row r="98" spans="3:13">
      <c r="C98" s="2">
        <v>40197</v>
      </c>
      <c r="D98">
        <v>90.931717648910634</v>
      </c>
      <c r="E98">
        <f>VLOOKUP(C98,'10y swap Vol'!$C$2:$G$3809,5,0)</f>
        <v>98.823225435580312</v>
      </c>
      <c r="F98">
        <f>VLOOKUP(C98,'5y10y Swaption Vol'!temp,3,0)</f>
        <v>120.3615230006</v>
      </c>
      <c r="H98" s="1">
        <v>40225</v>
      </c>
      <c r="I98" t="s">
        <v>2</v>
      </c>
      <c r="J98">
        <v>3.7596419999999999</v>
      </c>
      <c r="K98">
        <v>-2.2692999999999852E-2</v>
      </c>
      <c r="L98">
        <v>90.16171803382376</v>
      </c>
      <c r="M98">
        <f t="shared" si="1"/>
        <v>-28</v>
      </c>
    </row>
    <row r="99" spans="3:13">
      <c r="C99" s="2">
        <v>40198</v>
      </c>
      <c r="D99">
        <v>90.728717134155616</v>
      </c>
      <c r="E99">
        <f>VLOOKUP(C99,'10y swap Vol'!$C$2:$G$3809,5,0)</f>
        <v>98.378054931984536</v>
      </c>
      <c r="F99">
        <f>VLOOKUP(C99,'5y10y Swaption Vol'!temp,3,0)</f>
        <v>119.94231592280001</v>
      </c>
      <c r="H99" s="1">
        <v>40226</v>
      </c>
      <c r="I99" t="s">
        <v>2</v>
      </c>
      <c r="J99">
        <v>3.837221</v>
      </c>
      <c r="K99">
        <v>7.7579000000000065E-2</v>
      </c>
      <c r="L99">
        <v>90.840708941542971</v>
      </c>
      <c r="M99">
        <f t="shared" si="1"/>
        <v>-28</v>
      </c>
    </row>
    <row r="100" spans="3:13">
      <c r="C100" s="2">
        <v>40199</v>
      </c>
      <c r="D100">
        <v>90.974868135073606</v>
      </c>
      <c r="E100">
        <f>VLOOKUP(C100,'10y swap Vol'!$C$2:$G$3809,5,0)</f>
        <v>98.857595771548773</v>
      </c>
      <c r="F100">
        <f>VLOOKUP(C100,'5y10y Swaption Vol'!temp,3,0)</f>
        <v>119.54594681730001</v>
      </c>
      <c r="H100" s="1">
        <v>40227</v>
      </c>
      <c r="I100" t="s">
        <v>2</v>
      </c>
      <c r="J100">
        <v>3.8872659999999999</v>
      </c>
      <c r="K100">
        <v>5.0044999999999895E-2</v>
      </c>
      <c r="L100">
        <v>91.263059591955113</v>
      </c>
      <c r="M100">
        <f t="shared" si="1"/>
        <v>-28</v>
      </c>
    </row>
    <row r="101" spans="3:13">
      <c r="C101" s="2">
        <v>40200</v>
      </c>
      <c r="D101">
        <v>90.630579812977004</v>
      </c>
      <c r="E101">
        <f>VLOOKUP(C101,'10y swap Vol'!$C$2:$G$3809,5,0)</f>
        <v>98.388579487064177</v>
      </c>
      <c r="F101">
        <f>VLOOKUP(C101,'5y10y Swaption Vol'!temp,3,0)</f>
        <v>120.063181344</v>
      </c>
      <c r="H101" s="1">
        <v>40228</v>
      </c>
      <c r="I101" t="s">
        <v>2</v>
      </c>
      <c r="J101">
        <v>3.8837039999999998</v>
      </c>
      <c r="K101">
        <v>-3.5620000000000651E-3</v>
      </c>
      <c r="L101">
        <v>91.274541219791828</v>
      </c>
      <c r="M101">
        <f t="shared" si="1"/>
        <v>-28</v>
      </c>
    </row>
    <row r="102" spans="3:13">
      <c r="C102" s="2">
        <v>40203</v>
      </c>
      <c r="D102">
        <v>89.735604814628715</v>
      </c>
      <c r="E102">
        <f>VLOOKUP(C102,'10y swap Vol'!$C$2:$G$3809,5,0)</f>
        <v>96.863475495280056</v>
      </c>
      <c r="F102">
        <f>VLOOKUP(C102,'5y10y Swaption Vol'!temp,3,0)</f>
        <v>120.1803777798</v>
      </c>
      <c r="H102" s="1">
        <v>40231</v>
      </c>
      <c r="I102" t="s">
        <v>2</v>
      </c>
      <c r="J102">
        <v>3.8917440000000001</v>
      </c>
      <c r="K102">
        <v>8.0400000000002692E-3</v>
      </c>
      <c r="L102">
        <v>91.26309724325327</v>
      </c>
      <c r="M102">
        <f t="shared" si="1"/>
        <v>-28</v>
      </c>
    </row>
    <row r="103" spans="3:13">
      <c r="C103" s="2">
        <v>40204</v>
      </c>
      <c r="D103">
        <v>88.362640429704484</v>
      </c>
      <c r="E103">
        <f>VLOOKUP(C103,'10y swap Vol'!$C$2:$G$3809,5,0)</f>
        <v>94.760332107603801</v>
      </c>
      <c r="F103">
        <f>VLOOKUP(C103,'5y10y Swaption Vol'!temp,3,0)</f>
        <v>118.86147246189999</v>
      </c>
      <c r="H103" s="1">
        <v>40232</v>
      </c>
      <c r="I103" t="s">
        <v>2</v>
      </c>
      <c r="J103">
        <v>3.7833899999999998</v>
      </c>
      <c r="K103">
        <v>-0.10835400000000028</v>
      </c>
      <c r="L103">
        <v>93.603513311082352</v>
      </c>
      <c r="M103">
        <f t="shared" si="1"/>
        <v>-28</v>
      </c>
    </row>
    <row r="104" spans="3:13">
      <c r="C104" s="2">
        <v>40205</v>
      </c>
      <c r="D104">
        <v>86.494561561700493</v>
      </c>
      <c r="E104">
        <f>VLOOKUP(C104,'10y swap Vol'!$C$2:$G$3809,5,0)</f>
        <v>94.039559351776376</v>
      </c>
      <c r="F104">
        <f>VLOOKUP(C104,'5y10y Swaption Vol'!temp,3,0)</f>
        <v>118.09045270199999</v>
      </c>
      <c r="H104" s="1">
        <v>40233</v>
      </c>
      <c r="I104" t="s">
        <v>2</v>
      </c>
      <c r="J104">
        <v>3.777873</v>
      </c>
      <c r="K104">
        <v>-5.5169999999997721E-3</v>
      </c>
      <c r="L104">
        <v>92.726874165380721</v>
      </c>
      <c r="M104">
        <f t="shared" si="1"/>
        <v>-28</v>
      </c>
    </row>
    <row r="105" spans="3:13">
      <c r="C105" s="2">
        <v>40206</v>
      </c>
      <c r="D105">
        <v>85.630785882754353</v>
      </c>
      <c r="E105">
        <f>VLOOKUP(C105,'10y swap Vol'!$C$2:$G$3809,5,0)</f>
        <v>92.556295594355547</v>
      </c>
      <c r="F105">
        <f>VLOOKUP(C105,'5y10y Swaption Vol'!temp,3,0)</f>
        <v>118.0614146481</v>
      </c>
      <c r="H105" s="1">
        <v>40234</v>
      </c>
      <c r="I105" t="s">
        <v>2</v>
      </c>
      <c r="J105">
        <v>3.714575</v>
      </c>
      <c r="K105">
        <v>-6.3298000000000076E-2</v>
      </c>
      <c r="L105">
        <v>92.599970894173083</v>
      </c>
      <c r="M105">
        <f t="shared" si="1"/>
        <v>-28</v>
      </c>
    </row>
    <row r="106" spans="3:13">
      <c r="C106" s="2">
        <v>40207</v>
      </c>
      <c r="D106">
        <v>84.970907884607499</v>
      </c>
      <c r="E106">
        <f>VLOOKUP(C106,'10y swap Vol'!$C$2:$G$3809,5,0)</f>
        <v>90.385530053711577</v>
      </c>
      <c r="F106">
        <f>VLOOKUP(C106,'5y10y Swaption Vol'!temp,3,0)</f>
        <v>116.9901918991</v>
      </c>
      <c r="H106" s="1">
        <v>40235</v>
      </c>
      <c r="I106" t="s">
        <v>2</v>
      </c>
      <c r="J106">
        <v>3.6642640000000002</v>
      </c>
      <c r="K106">
        <v>-5.0310999999999773E-2</v>
      </c>
      <c r="L106">
        <v>93.317953011336428</v>
      </c>
      <c r="M106">
        <f t="shared" si="1"/>
        <v>-28</v>
      </c>
    </row>
    <row r="107" spans="3:13">
      <c r="C107" s="2">
        <v>40210</v>
      </c>
      <c r="D107">
        <v>84.442436089619719</v>
      </c>
      <c r="E107">
        <f>VLOOKUP(C107,'10y swap Vol'!$C$2:$G$3809,5,0)</f>
        <v>90.487492732967624</v>
      </c>
      <c r="F107">
        <f>VLOOKUP(C107,'5y10y Swaption Vol'!temp,3,0)</f>
        <v>116.479058358</v>
      </c>
      <c r="H107" s="1">
        <v>40238</v>
      </c>
      <c r="I107" t="s">
        <v>2</v>
      </c>
      <c r="J107">
        <v>3.6771630000000002</v>
      </c>
      <c r="K107">
        <v>1.2898999999999994E-2</v>
      </c>
      <c r="L107">
        <v>91.923328155833545</v>
      </c>
      <c r="M107">
        <f t="shared" si="1"/>
        <v>-28</v>
      </c>
    </row>
    <row r="108" spans="3:13">
      <c r="C108" s="2">
        <v>40211</v>
      </c>
      <c r="D108">
        <v>84.294974867591648</v>
      </c>
      <c r="E108">
        <f>VLOOKUP(C108,'10y swap Vol'!$C$2:$G$3809,5,0)</f>
        <v>90.0738716055086</v>
      </c>
      <c r="F108">
        <f>VLOOKUP(C108,'5y10y Swaption Vol'!temp,3,0)</f>
        <v>115.3590511502</v>
      </c>
      <c r="H108" s="1">
        <v>40239</v>
      </c>
      <c r="I108" t="s">
        <v>2</v>
      </c>
      <c r="J108">
        <v>3.6721919999999999</v>
      </c>
      <c r="K108">
        <v>-4.9710000000002807E-3</v>
      </c>
      <c r="L108">
        <v>91.482890818721657</v>
      </c>
      <c r="M108">
        <f t="shared" si="1"/>
        <v>-28</v>
      </c>
    </row>
    <row r="109" spans="3:13">
      <c r="C109" s="2">
        <v>40212</v>
      </c>
      <c r="D109">
        <v>84.424155733253656</v>
      </c>
      <c r="E109">
        <f>VLOOKUP(C109,'10y swap Vol'!$C$2:$G$3809,5,0)</f>
        <v>89.874310019447449</v>
      </c>
      <c r="F109">
        <f>VLOOKUP(C109,'5y10y Swaption Vol'!temp,3,0)</f>
        <v>115.85942083800001</v>
      </c>
      <c r="H109" s="1">
        <v>40240</v>
      </c>
      <c r="I109" t="s">
        <v>2</v>
      </c>
      <c r="J109">
        <v>3.662242</v>
      </c>
      <c r="K109">
        <v>-9.9499999999999034E-3</v>
      </c>
      <c r="L109">
        <v>90.519749693887647</v>
      </c>
      <c r="M109">
        <f t="shared" si="1"/>
        <v>-28</v>
      </c>
    </row>
    <row r="110" spans="3:13">
      <c r="C110" s="2">
        <v>40213</v>
      </c>
      <c r="D110">
        <v>84.870442132744813</v>
      </c>
      <c r="E110">
        <f>VLOOKUP(C110,'10y swap Vol'!$C$2:$G$3809,5,0)</f>
        <v>92.112763269766745</v>
      </c>
      <c r="F110">
        <f>VLOOKUP(C110,'5y10y Swaption Vol'!temp,3,0)</f>
        <v>114.821677073</v>
      </c>
      <c r="H110" s="1">
        <v>40241</v>
      </c>
      <c r="I110" t="s">
        <v>2</v>
      </c>
      <c r="J110">
        <v>3.6313879999999998</v>
      </c>
      <c r="K110">
        <v>-3.0854000000000159E-2</v>
      </c>
      <c r="L110">
        <v>87.196942800681455</v>
      </c>
      <c r="M110">
        <f t="shared" si="1"/>
        <v>-28</v>
      </c>
    </row>
    <row r="111" spans="3:13">
      <c r="C111" s="2">
        <v>40214</v>
      </c>
      <c r="D111">
        <v>84.874098568304376</v>
      </c>
      <c r="E111">
        <f>VLOOKUP(C111,'10y swap Vol'!$C$2:$G$3809,5,0)</f>
        <v>92.942035920377393</v>
      </c>
      <c r="F111">
        <f>VLOOKUP(C111,'5y10y Swaption Vol'!temp,3,0)</f>
        <v>114.72826301089999</v>
      </c>
      <c r="H111" s="1">
        <v>40242</v>
      </c>
      <c r="I111" t="s">
        <v>2</v>
      </c>
      <c r="J111">
        <v>3.7165370000000002</v>
      </c>
      <c r="K111">
        <v>8.5149000000000363E-2</v>
      </c>
      <c r="L111">
        <v>88.700762129541971</v>
      </c>
      <c r="M111">
        <f t="shared" si="1"/>
        <v>-28</v>
      </c>
    </row>
    <row r="112" spans="3:13">
      <c r="C112" s="2">
        <v>40217</v>
      </c>
      <c r="D112">
        <v>85.56322805325172</v>
      </c>
      <c r="E112">
        <f>VLOOKUP(C112,'10y swap Vol'!$C$2:$G$3809,5,0)</f>
        <v>93.179101177797733</v>
      </c>
      <c r="F112">
        <f>VLOOKUP(C112,'5y10y Swaption Vol'!temp,3,0)</f>
        <v>114.79054513680001</v>
      </c>
      <c r="H112" s="1">
        <v>40245</v>
      </c>
      <c r="I112" t="s">
        <v>2</v>
      </c>
      <c r="J112">
        <v>3.749784</v>
      </c>
      <c r="K112">
        <v>3.3246999999999804E-2</v>
      </c>
      <c r="L112">
        <v>87.583366179549799</v>
      </c>
      <c r="M112">
        <f t="shared" si="1"/>
        <v>-28</v>
      </c>
    </row>
    <row r="113" spans="3:13">
      <c r="C113" s="2">
        <v>40218</v>
      </c>
      <c r="D113">
        <v>85.612848757206535</v>
      </c>
      <c r="E113">
        <f>VLOOKUP(C113,'10y swap Vol'!$C$2:$G$3809,5,0)</f>
        <v>93.54943387199728</v>
      </c>
      <c r="F113">
        <f>VLOOKUP(C113,'5y10y Swaption Vol'!temp,3,0)</f>
        <v>116.63624642560001</v>
      </c>
      <c r="H113" s="1">
        <v>40246</v>
      </c>
      <c r="I113" t="s">
        <v>2</v>
      </c>
      <c r="J113">
        <v>3.7385290000000002</v>
      </c>
      <c r="K113">
        <v>-1.1254999999999793E-2</v>
      </c>
      <c r="L113">
        <v>87.555536441127757</v>
      </c>
      <c r="M113">
        <f t="shared" si="1"/>
        <v>-28</v>
      </c>
    </row>
    <row r="114" spans="3:13">
      <c r="C114" s="2">
        <v>40219</v>
      </c>
      <c r="D114">
        <v>85.426202555619724</v>
      </c>
      <c r="E114">
        <f>VLOOKUP(C114,'10y swap Vol'!$C$2:$G$3809,5,0)</f>
        <v>93.157422679945682</v>
      </c>
      <c r="F114">
        <f>VLOOKUP(C114,'5y10y Swaption Vol'!temp,3,0)</f>
        <v>117.2002526484</v>
      </c>
      <c r="H114" s="1">
        <v>40247</v>
      </c>
      <c r="I114" t="s">
        <v>2</v>
      </c>
      <c r="J114">
        <v>3.7431869999999998</v>
      </c>
      <c r="K114">
        <v>4.6579999999996069E-3</v>
      </c>
      <c r="L114">
        <v>87.026951725286494</v>
      </c>
      <c r="M114">
        <f t="shared" si="1"/>
        <v>-28</v>
      </c>
    </row>
    <row r="115" spans="3:13">
      <c r="C115" s="2">
        <v>40220</v>
      </c>
      <c r="D115">
        <v>83.714844792224611</v>
      </c>
      <c r="E115">
        <f>VLOOKUP(C115,'10y swap Vol'!$C$2:$G$3809,5,0)</f>
        <v>93.300251385507408</v>
      </c>
      <c r="F115">
        <f>VLOOKUP(C115,'5y10y Swaption Vol'!temp,3,0)</f>
        <v>116.0790270497</v>
      </c>
      <c r="H115" s="1">
        <v>40248</v>
      </c>
      <c r="I115" t="s">
        <v>2</v>
      </c>
      <c r="J115">
        <v>3.747887</v>
      </c>
      <c r="K115">
        <v>4.7000000000001485E-3</v>
      </c>
      <c r="L115">
        <v>86.217959021923491</v>
      </c>
      <c r="M115">
        <f t="shared" si="1"/>
        <v>-28</v>
      </c>
    </row>
    <row r="116" spans="3:13">
      <c r="C116" s="2">
        <v>40221</v>
      </c>
      <c r="D116">
        <v>81.836044965425941</v>
      </c>
      <c r="E116">
        <f>VLOOKUP(C116,'10y swap Vol'!$C$2:$G$3809,5,0)</f>
        <v>90.102760554081286</v>
      </c>
      <c r="F116">
        <f>VLOOKUP(C116,'5y10y Swaption Vol'!temp,3,0)</f>
        <v>114.35858908980001</v>
      </c>
      <c r="H116" s="1">
        <v>40249</v>
      </c>
      <c r="I116" t="s">
        <v>2</v>
      </c>
      <c r="J116">
        <v>3.7488160000000001</v>
      </c>
      <c r="K116">
        <v>9.2900000000017968E-4</v>
      </c>
      <c r="L116">
        <v>86.111900352255859</v>
      </c>
      <c r="M116">
        <f t="shared" si="1"/>
        <v>-28</v>
      </c>
    </row>
    <row r="117" spans="3:13">
      <c r="C117" s="2">
        <v>40225</v>
      </c>
      <c r="D117">
        <v>81.3469468720523</v>
      </c>
      <c r="E117">
        <f>VLOOKUP(C117,'10y swap Vol'!$C$2:$G$3809,5,0)</f>
        <v>90.16171803382376</v>
      </c>
      <c r="F117">
        <f>VLOOKUP(C117,'5y10y Swaption Vol'!temp,3,0)</f>
        <v>113.659460784</v>
      </c>
      <c r="H117" s="1">
        <v>40252</v>
      </c>
      <c r="I117" t="s">
        <v>2</v>
      </c>
      <c r="J117">
        <v>3.7379899999999999</v>
      </c>
      <c r="K117">
        <v>-1.0826000000000224E-2</v>
      </c>
      <c r="L117">
        <v>84.920549225496003</v>
      </c>
      <c r="M117">
        <f t="shared" si="1"/>
        <v>-27</v>
      </c>
    </row>
    <row r="118" spans="3:13">
      <c r="C118" s="2">
        <v>40226</v>
      </c>
      <c r="D118">
        <v>81.897350832666703</v>
      </c>
      <c r="E118">
        <f>VLOOKUP(C118,'10y swap Vol'!$C$2:$G$3809,5,0)</f>
        <v>90.840708941542971</v>
      </c>
      <c r="F118">
        <f>VLOOKUP(C118,'5y10y Swaption Vol'!temp,3,0)</f>
        <v>113.4440159474</v>
      </c>
      <c r="H118" s="1">
        <v>40253</v>
      </c>
      <c r="I118" t="s">
        <v>2</v>
      </c>
      <c r="J118">
        <v>3.6913719999999999</v>
      </c>
      <c r="K118">
        <v>-4.6618000000000048E-2</v>
      </c>
      <c r="L118">
        <v>85.416032608185461</v>
      </c>
      <c r="M118">
        <f t="shared" si="1"/>
        <v>-27</v>
      </c>
    </row>
    <row r="119" spans="3:13">
      <c r="C119" s="2">
        <v>40227</v>
      </c>
      <c r="D119">
        <v>83.217097868457273</v>
      </c>
      <c r="E119">
        <f>VLOOKUP(C119,'10y swap Vol'!$C$2:$G$3809,5,0)</f>
        <v>91.263059591955113</v>
      </c>
      <c r="F119">
        <f>VLOOKUP(C119,'5y10y Swaption Vol'!temp,3,0)</f>
        <v>113.45891103460001</v>
      </c>
      <c r="H119" s="1">
        <v>40254</v>
      </c>
      <c r="I119" t="s">
        <v>2</v>
      </c>
      <c r="J119">
        <v>3.6726930000000002</v>
      </c>
      <c r="K119">
        <v>-1.8678999999999668E-2</v>
      </c>
      <c r="L119">
        <v>82.442640004021143</v>
      </c>
      <c r="M119">
        <f t="shared" si="1"/>
        <v>-27</v>
      </c>
    </row>
    <row r="120" spans="3:13">
      <c r="C120" s="2">
        <v>40228</v>
      </c>
      <c r="D120">
        <v>82.964858595288561</v>
      </c>
      <c r="E120">
        <f>VLOOKUP(C120,'10y swap Vol'!$C$2:$G$3809,5,0)</f>
        <v>91.274541219791828</v>
      </c>
      <c r="F120">
        <f>VLOOKUP(C120,'5y10y Swaption Vol'!temp,3,0)</f>
        <v>112.4259785313</v>
      </c>
      <c r="H120" s="1">
        <v>40255</v>
      </c>
      <c r="I120" t="s">
        <v>2</v>
      </c>
      <c r="J120">
        <v>3.7021760000000001</v>
      </c>
      <c r="K120">
        <v>2.9482999999999926E-2</v>
      </c>
      <c r="L120">
        <v>82.101607235587466</v>
      </c>
      <c r="M120">
        <f t="shared" si="1"/>
        <v>-27</v>
      </c>
    </row>
    <row r="121" spans="3:13">
      <c r="C121" s="2">
        <v>40231</v>
      </c>
      <c r="D121">
        <v>82.947989632502257</v>
      </c>
      <c r="E121">
        <f>VLOOKUP(C121,'10y swap Vol'!$C$2:$G$3809,5,0)</f>
        <v>91.26309724325327</v>
      </c>
      <c r="F121">
        <f>VLOOKUP(C121,'5y10y Swaption Vol'!temp,3,0)</f>
        <v>110.8495402602</v>
      </c>
      <c r="H121" s="1">
        <v>40256</v>
      </c>
      <c r="I121" t="s">
        <v>2</v>
      </c>
      <c r="J121">
        <v>3.7247409999999999</v>
      </c>
      <c r="K121">
        <v>2.2564999999999724E-2</v>
      </c>
      <c r="L121">
        <v>75.107447093521131</v>
      </c>
      <c r="M121">
        <f t="shared" si="1"/>
        <v>-25</v>
      </c>
    </row>
    <row r="122" spans="3:13">
      <c r="C122" s="2">
        <v>40232</v>
      </c>
      <c r="D122">
        <v>82.501410838148203</v>
      </c>
      <c r="E122">
        <f>VLOOKUP(C122,'10y swap Vol'!$C$2:$G$3809,5,0)</f>
        <v>93.603513311082352</v>
      </c>
      <c r="F122">
        <f>VLOOKUP(C122,'5y10y Swaption Vol'!temp,3,0)</f>
        <v>110.84155737899999</v>
      </c>
      <c r="H122" s="1">
        <v>40259</v>
      </c>
      <c r="I122" t="s">
        <v>2</v>
      </c>
      <c r="J122">
        <v>3.6883819999999998</v>
      </c>
      <c r="K122">
        <v>-3.635900000000003E-2</v>
      </c>
      <c r="L122">
        <v>73.746677668052058</v>
      </c>
      <c r="M122">
        <f t="shared" si="1"/>
        <v>-27</v>
      </c>
    </row>
    <row r="123" spans="3:13">
      <c r="C123" s="2">
        <v>40233</v>
      </c>
      <c r="D123">
        <v>82.431465004414306</v>
      </c>
      <c r="E123">
        <f>VLOOKUP(C123,'10y swap Vol'!$C$2:$G$3809,5,0)</f>
        <v>92.726874165380721</v>
      </c>
      <c r="F123">
        <f>VLOOKUP(C123,'5y10y Swaption Vol'!temp,3,0)</f>
        <v>110.79049293600001</v>
      </c>
      <c r="H123" s="1">
        <v>40260</v>
      </c>
      <c r="I123" t="s">
        <v>2</v>
      </c>
      <c r="J123">
        <v>3.6498789999999999</v>
      </c>
      <c r="K123">
        <v>-3.8502999999999954E-2</v>
      </c>
      <c r="L123">
        <v>74.082527274471971</v>
      </c>
      <c r="M123">
        <f t="shared" si="1"/>
        <v>-27</v>
      </c>
    </row>
    <row r="124" spans="3:13">
      <c r="C124" s="2">
        <v>40234</v>
      </c>
      <c r="D124">
        <v>82.384833663316016</v>
      </c>
      <c r="E124">
        <f>VLOOKUP(C124,'10y swap Vol'!$C$2:$G$3809,5,0)</f>
        <v>92.599970894173083</v>
      </c>
      <c r="F124">
        <f>VLOOKUP(C124,'5y10y Swaption Vol'!temp,3,0)</f>
        <v>110.68027526900001</v>
      </c>
      <c r="H124" s="1">
        <v>40261</v>
      </c>
      <c r="I124" t="s">
        <v>2</v>
      </c>
      <c r="J124">
        <v>3.7421899999999999</v>
      </c>
      <c r="K124">
        <v>9.2311000000000032E-2</v>
      </c>
      <c r="L124">
        <v>76.075197769464509</v>
      </c>
      <c r="M124">
        <f t="shared" si="1"/>
        <v>-27</v>
      </c>
    </row>
    <row r="125" spans="3:13">
      <c r="C125" s="2">
        <v>40235</v>
      </c>
      <c r="D125">
        <v>83.590537759774733</v>
      </c>
      <c r="E125">
        <f>VLOOKUP(C125,'10y swap Vol'!$C$2:$G$3809,5,0)</f>
        <v>93.317953011336428</v>
      </c>
      <c r="F125">
        <f>VLOOKUP(C125,'5y10y Swaption Vol'!temp,3,0)</f>
        <v>111.2152829458</v>
      </c>
      <c r="H125" s="1">
        <v>40262</v>
      </c>
      <c r="I125" t="s">
        <v>2</v>
      </c>
      <c r="J125">
        <v>3.8188949999999999</v>
      </c>
      <c r="K125">
        <v>7.6705000000000023E-2</v>
      </c>
      <c r="L125">
        <v>76.779280851807712</v>
      </c>
      <c r="M125">
        <f t="shared" si="1"/>
        <v>-27</v>
      </c>
    </row>
    <row r="126" spans="3:13">
      <c r="C126" s="2">
        <v>40238</v>
      </c>
      <c r="D126">
        <v>81.810515945146363</v>
      </c>
      <c r="E126">
        <f>VLOOKUP(C126,'10y swap Vol'!$C$2:$G$3809,5,0)</f>
        <v>91.923328155833545</v>
      </c>
      <c r="F126">
        <f>VLOOKUP(C126,'5y10y Swaption Vol'!temp,3,0)</f>
        <v>111.2071429712</v>
      </c>
      <c r="H126" s="1">
        <v>40263</v>
      </c>
      <c r="I126" t="s">
        <v>2</v>
      </c>
      <c r="J126">
        <v>3.7833570000000001</v>
      </c>
      <c r="K126">
        <v>-3.5537999999999847E-2</v>
      </c>
      <c r="L126">
        <v>76.788186611013103</v>
      </c>
      <c r="M126">
        <f t="shared" si="1"/>
        <v>-25</v>
      </c>
    </row>
    <row r="127" spans="3:13">
      <c r="C127" s="2">
        <v>40239</v>
      </c>
      <c r="D127">
        <v>80.917470235069558</v>
      </c>
      <c r="E127">
        <f>VLOOKUP(C127,'10y swap Vol'!$C$2:$G$3809,5,0)</f>
        <v>91.482890818721657</v>
      </c>
      <c r="F127">
        <f>VLOOKUP(C127,'5y10y Swaption Vol'!temp,3,0)</f>
        <v>111.0015932463</v>
      </c>
      <c r="H127" s="1">
        <v>40266</v>
      </c>
      <c r="I127" t="s">
        <v>2</v>
      </c>
      <c r="J127">
        <v>3.8134489999999999</v>
      </c>
      <c r="K127">
        <v>3.0091999999999786E-2</v>
      </c>
      <c r="L127">
        <v>76.455568278535395</v>
      </c>
      <c r="M127">
        <f t="shared" si="1"/>
        <v>-27</v>
      </c>
    </row>
    <row r="128" spans="3:13">
      <c r="C128" s="2">
        <v>40240</v>
      </c>
      <c r="D128">
        <v>80.209057204944656</v>
      </c>
      <c r="E128">
        <f>VLOOKUP(C128,'10y swap Vol'!$C$2:$G$3809,5,0)</f>
        <v>90.519749693887647</v>
      </c>
      <c r="F128">
        <f>VLOOKUP(C128,'5y10y Swaption Vol'!temp,3,0)</f>
        <v>111.28090564199999</v>
      </c>
      <c r="H128" s="1">
        <v>40267</v>
      </c>
      <c r="I128" t="s">
        <v>2</v>
      </c>
      <c r="J128">
        <v>3.8189289999999998</v>
      </c>
      <c r="K128">
        <v>5.4799999999999294E-3</v>
      </c>
      <c r="L128">
        <v>75.73176912329788</v>
      </c>
      <c r="M128">
        <f t="shared" si="1"/>
        <v>-27</v>
      </c>
    </row>
    <row r="129" spans="3:13">
      <c r="C129" s="2">
        <v>40241</v>
      </c>
      <c r="D129">
        <v>78.947913080966543</v>
      </c>
      <c r="E129">
        <f>VLOOKUP(C129,'10y swap Vol'!$C$2:$G$3809,5,0)</f>
        <v>87.196942800681455</v>
      </c>
      <c r="F129">
        <f>VLOOKUP(C129,'5y10y Swaption Vol'!temp,3,0)</f>
        <v>110.1295134018</v>
      </c>
      <c r="H129" s="1">
        <v>40268</v>
      </c>
      <c r="I129" t="s">
        <v>2</v>
      </c>
      <c r="J129">
        <v>3.799814</v>
      </c>
      <c r="K129">
        <v>-1.9114999999999771E-2</v>
      </c>
      <c r="L129">
        <v>75.776664480257594</v>
      </c>
      <c r="M129">
        <f t="shared" si="1"/>
        <v>-27</v>
      </c>
    </row>
    <row r="130" spans="3:13">
      <c r="C130" s="2">
        <v>40242</v>
      </c>
      <c r="D130">
        <v>78.707493107168332</v>
      </c>
      <c r="E130">
        <f>VLOOKUP(C130,'10y swap Vol'!$C$2:$G$3809,5,0)</f>
        <v>88.700762129541971</v>
      </c>
      <c r="F130">
        <f>VLOOKUP(C130,'5y10y Swaption Vol'!temp,3,0)</f>
        <v>110.0577234708</v>
      </c>
      <c r="H130" s="1">
        <v>40269</v>
      </c>
      <c r="I130" t="s">
        <v>2</v>
      </c>
      <c r="J130">
        <v>3.8512029999999999</v>
      </c>
      <c r="K130">
        <v>5.1388999999999907E-2</v>
      </c>
      <c r="L130">
        <v>73.620501004090045</v>
      </c>
      <c r="M130">
        <f t="shared" si="1"/>
        <v>-27</v>
      </c>
    </row>
    <row r="131" spans="3:13">
      <c r="C131" s="2">
        <v>40245</v>
      </c>
      <c r="D131">
        <v>78.162876722018453</v>
      </c>
      <c r="E131">
        <f>VLOOKUP(C131,'10y swap Vol'!$C$2:$G$3809,5,0)</f>
        <v>87.583366179549799</v>
      </c>
      <c r="F131">
        <f>VLOOKUP(C131,'5y10y Swaption Vol'!temp,3,0)</f>
        <v>109.52996105939999</v>
      </c>
      <c r="H131" s="1">
        <v>40273</v>
      </c>
      <c r="I131" t="s">
        <v>2</v>
      </c>
      <c r="J131">
        <v>4.0219550000000002</v>
      </c>
      <c r="K131">
        <v>0.17075200000000024</v>
      </c>
      <c r="L131">
        <v>80.730884893633174</v>
      </c>
      <c r="M131">
        <f t="shared" ref="M131:M194" si="2">C131-H131</f>
        <v>-28</v>
      </c>
    </row>
    <row r="132" spans="3:13">
      <c r="C132" s="2">
        <v>40246</v>
      </c>
      <c r="D132">
        <v>78.119356358786604</v>
      </c>
      <c r="E132">
        <f>VLOOKUP(C132,'10y swap Vol'!$C$2:$G$3809,5,0)</f>
        <v>87.555536441127757</v>
      </c>
      <c r="F132">
        <f>VLOOKUP(C132,'5y10y Swaption Vol'!temp,3,0)</f>
        <v>108.4804539174</v>
      </c>
      <c r="H132" s="1">
        <v>40274</v>
      </c>
      <c r="I132" t="s">
        <v>2</v>
      </c>
      <c r="J132">
        <v>3.952677</v>
      </c>
      <c r="K132">
        <v>-6.9278000000000173E-2</v>
      </c>
      <c r="L132">
        <v>81.864594740800953</v>
      </c>
      <c r="M132">
        <f t="shared" si="2"/>
        <v>-28</v>
      </c>
    </row>
    <row r="133" spans="3:13">
      <c r="C133" s="2">
        <v>40247</v>
      </c>
      <c r="D133">
        <v>77.858622689978404</v>
      </c>
      <c r="E133">
        <f>VLOOKUP(C133,'10y swap Vol'!$C$2:$G$3809,5,0)</f>
        <v>87.026951725286494</v>
      </c>
      <c r="F133">
        <f>VLOOKUP(C133,'5y10y Swaption Vol'!temp,3,0)</f>
        <v>107.1636745468</v>
      </c>
      <c r="H133" s="1">
        <v>40275</v>
      </c>
      <c r="I133" t="s">
        <v>2</v>
      </c>
      <c r="J133">
        <v>3.8412060000000001</v>
      </c>
      <c r="K133">
        <v>-0.11147099999999988</v>
      </c>
      <c r="L133">
        <v>84.871193200052133</v>
      </c>
      <c r="M133">
        <f t="shared" si="2"/>
        <v>-28</v>
      </c>
    </row>
    <row r="134" spans="3:13">
      <c r="C134" s="2">
        <v>40248</v>
      </c>
      <c r="D134">
        <v>77.757971142523203</v>
      </c>
      <c r="E134">
        <f>VLOOKUP(C134,'10y swap Vol'!$C$2:$G$3809,5,0)</f>
        <v>86.217959021923491</v>
      </c>
      <c r="F134">
        <f>VLOOKUP(C134,'5y10y Swaption Vol'!temp,3,0)</f>
        <v>108.2399960873</v>
      </c>
      <c r="H134" s="1">
        <v>40276</v>
      </c>
      <c r="I134" t="s">
        <v>2</v>
      </c>
      <c r="J134">
        <v>3.8637649999999999</v>
      </c>
      <c r="K134">
        <v>2.2558999999999774E-2</v>
      </c>
      <c r="L134">
        <v>84.989943989050943</v>
      </c>
      <c r="M134">
        <f t="shared" si="2"/>
        <v>-28</v>
      </c>
    </row>
    <row r="135" spans="3:13">
      <c r="C135" s="2">
        <v>40249</v>
      </c>
      <c r="D135">
        <v>77.498824861843417</v>
      </c>
      <c r="E135">
        <f>VLOOKUP(C135,'10y swap Vol'!$C$2:$G$3809,5,0)</f>
        <v>86.111900352255859</v>
      </c>
      <c r="F135">
        <f>VLOOKUP(C135,'5y10y Swaption Vol'!temp,3,0)</f>
        <v>107.54010478079999</v>
      </c>
      <c r="H135" s="1">
        <v>40277</v>
      </c>
      <c r="I135" t="s">
        <v>2</v>
      </c>
      <c r="J135">
        <v>3.8640880000000002</v>
      </c>
      <c r="K135">
        <v>3.2300000000029527E-4</v>
      </c>
      <c r="L135">
        <v>82.513870766406512</v>
      </c>
      <c r="M135">
        <f t="shared" si="2"/>
        <v>-28</v>
      </c>
    </row>
    <row r="136" spans="3:13">
      <c r="C136" s="2">
        <v>40252</v>
      </c>
      <c r="D136">
        <v>76.133432261214438</v>
      </c>
      <c r="E136">
        <f>VLOOKUP(C136,'10y swap Vol'!$C$2:$G$3809,5,0)</f>
        <v>84.920549225496003</v>
      </c>
      <c r="F136">
        <f>VLOOKUP(C136,'5y10y Swaption Vol'!temp,3,0)</f>
        <v>106.92988917</v>
      </c>
      <c r="H136" s="1">
        <v>40280</v>
      </c>
      <c r="I136" t="s">
        <v>2</v>
      </c>
      <c r="J136">
        <v>3.804109</v>
      </c>
      <c r="K136">
        <v>-5.9979000000000227E-2</v>
      </c>
      <c r="L136">
        <v>82.188875992266645</v>
      </c>
      <c r="M136">
        <f t="shared" si="2"/>
        <v>-28</v>
      </c>
    </row>
    <row r="137" spans="3:13">
      <c r="C137" s="2">
        <v>40253</v>
      </c>
      <c r="D137">
        <v>76.03591149828604</v>
      </c>
      <c r="E137">
        <f>VLOOKUP(C137,'10y swap Vol'!$C$2:$G$3809,5,0)</f>
        <v>85.416032608185461</v>
      </c>
      <c r="F137">
        <f>VLOOKUP(C137,'5y10y Swaption Vol'!temp,3,0)</f>
        <v>105.9086660814</v>
      </c>
      <c r="H137" s="1">
        <v>40281</v>
      </c>
      <c r="I137" t="s">
        <v>2</v>
      </c>
      <c r="J137">
        <v>3.7548059999999999</v>
      </c>
      <c r="K137">
        <v>-4.9303000000000097E-2</v>
      </c>
      <c r="L137">
        <v>81.918820713925797</v>
      </c>
      <c r="M137">
        <f t="shared" si="2"/>
        <v>-28</v>
      </c>
    </row>
    <row r="138" spans="3:13">
      <c r="C138" s="2">
        <v>40254</v>
      </c>
      <c r="D138">
        <v>71.50276006794131</v>
      </c>
      <c r="E138">
        <f>VLOOKUP(C138,'10y swap Vol'!$C$2:$G$3809,5,0)</f>
        <v>82.442640004021143</v>
      </c>
      <c r="F138">
        <f>VLOOKUP(C138,'5y10y Swaption Vol'!temp,3,0)</f>
        <v>104.6525198481</v>
      </c>
      <c r="H138" s="1">
        <v>40282</v>
      </c>
      <c r="I138" t="s">
        <v>2</v>
      </c>
      <c r="J138">
        <v>3.8115299999999999</v>
      </c>
      <c r="K138">
        <v>5.6723999999999997E-2</v>
      </c>
      <c r="L138">
        <v>82.080290166733889</v>
      </c>
      <c r="M138">
        <f t="shared" si="2"/>
        <v>-28</v>
      </c>
    </row>
    <row r="139" spans="3:13">
      <c r="C139" s="2">
        <v>40255</v>
      </c>
      <c r="D139">
        <v>70.674677335044862</v>
      </c>
      <c r="E139">
        <f>VLOOKUP(C139,'10y swap Vol'!$C$2:$G$3809,5,0)</f>
        <v>82.101607235587466</v>
      </c>
      <c r="F139">
        <f>VLOOKUP(C139,'5y10y Swaption Vol'!temp,3,0)</f>
        <v>105.25662380270001</v>
      </c>
      <c r="H139" s="1">
        <v>40283</v>
      </c>
      <c r="I139" t="s">
        <v>2</v>
      </c>
      <c r="J139">
        <v>3.805431</v>
      </c>
      <c r="K139">
        <v>-6.0989999999998545E-3</v>
      </c>
      <c r="L139">
        <v>81.773085713270731</v>
      </c>
      <c r="M139">
        <f t="shared" si="2"/>
        <v>-28</v>
      </c>
    </row>
    <row r="140" spans="3:13">
      <c r="C140" s="2">
        <v>40256</v>
      </c>
      <c r="D140">
        <v>64.049699086615263</v>
      </c>
      <c r="E140">
        <f>VLOOKUP(C140,'10y swap Vol'!$C$2:$G$3809,5,0)</f>
        <v>75.107447093521131</v>
      </c>
      <c r="F140">
        <f>VLOOKUP(C140,'5y10y Swaption Vol'!temp,3,0)</f>
        <v>105.2951315728</v>
      </c>
      <c r="H140" s="1">
        <v>40284</v>
      </c>
      <c r="I140" t="s">
        <v>2</v>
      </c>
      <c r="J140">
        <v>3.7316690000000001</v>
      </c>
      <c r="K140">
        <v>-7.3761999999999883E-2</v>
      </c>
      <c r="L140">
        <v>82.514124606029114</v>
      </c>
      <c r="M140">
        <f t="shared" si="2"/>
        <v>-28</v>
      </c>
    </row>
    <row r="141" spans="3:13">
      <c r="C141" s="2">
        <v>40259</v>
      </c>
      <c r="D141">
        <v>62.311521191669662</v>
      </c>
      <c r="E141">
        <f>VLOOKUP(C141,'10y swap Vol'!$C$2:$G$3809,5,0)</f>
        <v>73.746677668052058</v>
      </c>
      <c r="F141">
        <f>VLOOKUP(C141,'5y10y Swaption Vol'!temp,3,0)</f>
        <v>105.3353184142</v>
      </c>
      <c r="H141" s="1">
        <v>40287</v>
      </c>
      <c r="I141" t="s">
        <v>2</v>
      </c>
      <c r="J141">
        <v>3.7868379999999999</v>
      </c>
      <c r="K141">
        <v>5.5168999999999802E-2</v>
      </c>
      <c r="L141">
        <v>82.717458422225661</v>
      </c>
      <c r="M141">
        <f t="shared" si="2"/>
        <v>-28</v>
      </c>
    </row>
    <row r="142" spans="3:13">
      <c r="C142" s="2">
        <v>40260</v>
      </c>
      <c r="D142">
        <v>62.260698364520273</v>
      </c>
      <c r="E142">
        <f>VLOOKUP(C142,'10y swap Vol'!$C$2:$G$3809,5,0)</f>
        <v>74.082527274471971</v>
      </c>
      <c r="F142">
        <f>VLOOKUP(C142,'5y10y Swaption Vol'!temp,3,0)</f>
        <v>106.057806036</v>
      </c>
      <c r="H142" s="1">
        <v>40288</v>
      </c>
      <c r="I142" t="s">
        <v>2</v>
      </c>
      <c r="J142">
        <v>3.782775</v>
      </c>
      <c r="K142">
        <v>-4.0629999999999278E-3</v>
      </c>
      <c r="L142">
        <v>82.723924957505517</v>
      </c>
      <c r="M142">
        <f t="shared" si="2"/>
        <v>-28</v>
      </c>
    </row>
    <row r="143" spans="3:13">
      <c r="C143" s="2">
        <v>40261</v>
      </c>
      <c r="D143">
        <v>66.197472731520733</v>
      </c>
      <c r="E143">
        <f>VLOOKUP(C143,'10y swap Vol'!$C$2:$G$3809,5,0)</f>
        <v>76.075197769464509</v>
      </c>
      <c r="F143">
        <f>VLOOKUP(C143,'5y10y Swaption Vol'!temp,3,0)</f>
        <v>107.3316794463</v>
      </c>
      <c r="H143" s="1">
        <v>40289</v>
      </c>
      <c r="I143" t="s">
        <v>2</v>
      </c>
      <c r="J143">
        <v>3.719309</v>
      </c>
      <c r="K143">
        <v>-6.3466000000000022E-2</v>
      </c>
      <c r="L143">
        <v>83.55951129822148</v>
      </c>
      <c r="M143">
        <f t="shared" si="2"/>
        <v>-28</v>
      </c>
    </row>
    <row r="144" spans="3:13">
      <c r="C144" s="2">
        <v>40262</v>
      </c>
      <c r="D144">
        <v>66.664574286863882</v>
      </c>
      <c r="E144">
        <f>VLOOKUP(C144,'10y swap Vol'!$C$2:$G$3809,5,0)</f>
        <v>76.779280851807712</v>
      </c>
      <c r="F144">
        <f>VLOOKUP(C144,'5y10y Swaption Vol'!temp,3,0)</f>
        <v>106.2202329048</v>
      </c>
      <c r="H144" s="1">
        <v>40290</v>
      </c>
      <c r="I144" t="s">
        <v>2</v>
      </c>
      <c r="J144">
        <v>3.762721</v>
      </c>
      <c r="K144">
        <v>4.3412000000000006E-2</v>
      </c>
      <c r="L144">
        <v>84.036416516733226</v>
      </c>
      <c r="M144">
        <f t="shared" si="2"/>
        <v>-28</v>
      </c>
    </row>
    <row r="145" spans="3:13">
      <c r="C145" s="2">
        <v>40263</v>
      </c>
      <c r="D145">
        <v>67.055193516524241</v>
      </c>
      <c r="E145">
        <f>VLOOKUP(C145,'10y swap Vol'!$C$2:$G$3809,5,0)</f>
        <v>76.788186611013103</v>
      </c>
      <c r="F145">
        <f>VLOOKUP(C145,'5y10y Swaption Vol'!temp,3,0)</f>
        <v>105.0292299294</v>
      </c>
      <c r="H145" s="1">
        <v>40291</v>
      </c>
      <c r="I145" t="s">
        <v>2</v>
      </c>
      <c r="J145">
        <v>3.8083179999999999</v>
      </c>
      <c r="K145">
        <v>4.5596999999999888E-2</v>
      </c>
      <c r="L145">
        <v>84.433887698637193</v>
      </c>
      <c r="M145">
        <f t="shared" si="2"/>
        <v>-28</v>
      </c>
    </row>
    <row r="146" spans="3:13">
      <c r="C146" s="2">
        <v>40266</v>
      </c>
      <c r="D146">
        <v>66.733364446341852</v>
      </c>
      <c r="E146">
        <f>VLOOKUP(C146,'10y swap Vol'!$C$2:$G$3809,5,0)</f>
        <v>76.455568278535395</v>
      </c>
      <c r="F146">
        <f>VLOOKUP(C146,'5y10y Swaption Vol'!temp,3,0)</f>
        <v>105.3333021405</v>
      </c>
      <c r="H146" s="1">
        <v>40294</v>
      </c>
      <c r="I146" t="s">
        <v>2</v>
      </c>
      <c r="J146">
        <v>3.8193030000000001</v>
      </c>
      <c r="K146">
        <v>1.0985000000000245E-2</v>
      </c>
      <c r="L146">
        <v>84.451835488021871</v>
      </c>
      <c r="M146">
        <f t="shared" si="2"/>
        <v>-28</v>
      </c>
    </row>
    <row r="147" spans="3:13">
      <c r="C147" s="2">
        <v>40267</v>
      </c>
      <c r="D147">
        <v>66.604133777139779</v>
      </c>
      <c r="E147">
        <f>VLOOKUP(C147,'10y swap Vol'!$C$2:$G$3809,5,0)</f>
        <v>75.73176912329788</v>
      </c>
      <c r="F147">
        <f>VLOOKUP(C147,'5y10y Swaption Vol'!temp,3,0)</f>
        <v>103.9290348264</v>
      </c>
      <c r="H147" s="1">
        <v>40295</v>
      </c>
      <c r="I147" t="s">
        <v>2</v>
      </c>
      <c r="J147">
        <v>3.7005249999999998</v>
      </c>
      <c r="K147">
        <v>-0.11877800000000027</v>
      </c>
      <c r="L147">
        <v>87.442265812482887</v>
      </c>
      <c r="M147">
        <f t="shared" si="2"/>
        <v>-28</v>
      </c>
    </row>
    <row r="148" spans="3:13">
      <c r="C148" s="2">
        <v>40268</v>
      </c>
      <c r="D148">
        <v>66.455185365912712</v>
      </c>
      <c r="E148">
        <f>VLOOKUP(C148,'10y swap Vol'!$C$2:$G$3809,5,0)</f>
        <v>75.776664480257594</v>
      </c>
      <c r="F148">
        <f>VLOOKUP(C148,'5y10y Swaption Vol'!temp,3,0)</f>
        <v>103.85099835779999</v>
      </c>
      <c r="H148" s="1">
        <v>40296</v>
      </c>
      <c r="I148" t="s">
        <v>2</v>
      </c>
      <c r="J148">
        <v>3.7658860000000001</v>
      </c>
      <c r="K148">
        <v>6.5361000000000224E-2</v>
      </c>
      <c r="L148">
        <v>87.949002068558087</v>
      </c>
      <c r="M148">
        <f t="shared" si="2"/>
        <v>-28</v>
      </c>
    </row>
    <row r="149" spans="3:13">
      <c r="C149" s="2">
        <v>40269</v>
      </c>
      <c r="D149">
        <v>64.271131005933071</v>
      </c>
      <c r="E149">
        <f>VLOOKUP(C149,'10y swap Vol'!$C$2:$G$3809,5,0)</f>
        <v>73.620501004090045</v>
      </c>
      <c r="F149">
        <f>VLOOKUP(C149,'5y10y Swaption Vol'!temp,3,0)</f>
        <v>105.026969517</v>
      </c>
      <c r="H149" s="1">
        <v>40297</v>
      </c>
      <c r="I149" t="s">
        <v>2</v>
      </c>
      <c r="J149">
        <v>3.7023320000000002</v>
      </c>
      <c r="K149">
        <v>-6.3553999999999888E-2</v>
      </c>
      <c r="L149">
        <v>88.832604710785617</v>
      </c>
      <c r="M149">
        <f t="shared" si="2"/>
        <v>-28</v>
      </c>
    </row>
    <row r="150" spans="3:13">
      <c r="C150" s="2">
        <v>40273</v>
      </c>
      <c r="D150">
        <v>68.244035901981391</v>
      </c>
      <c r="E150">
        <f>VLOOKUP(C150,'10y swap Vol'!$C$2:$G$3809,5,0)</f>
        <v>80.730884893633174</v>
      </c>
      <c r="F150">
        <f>VLOOKUP(C150,'5y10y Swaption Vol'!temp,3,0)</f>
        <v>103.51742421580001</v>
      </c>
      <c r="H150" s="1">
        <v>40298</v>
      </c>
      <c r="I150" t="s">
        <v>2</v>
      </c>
      <c r="J150">
        <v>3.6512169999999999</v>
      </c>
      <c r="K150">
        <v>-5.1115000000000244E-2</v>
      </c>
      <c r="L150">
        <v>88.667024241952717</v>
      </c>
      <c r="M150">
        <f t="shared" si="2"/>
        <v>-25</v>
      </c>
    </row>
    <row r="151" spans="3:13">
      <c r="C151" s="2">
        <v>40274</v>
      </c>
      <c r="D151">
        <v>68.474848039366094</v>
      </c>
      <c r="E151">
        <f>VLOOKUP(C151,'10y swap Vol'!$C$2:$G$3809,5,0)</f>
        <v>81.864594740800953</v>
      </c>
      <c r="F151">
        <f>VLOOKUP(C151,'5y10y Swaption Vol'!temp,3,0)</f>
        <v>103.1107852538</v>
      </c>
      <c r="H151" s="1">
        <v>40301</v>
      </c>
      <c r="I151" t="s">
        <v>2</v>
      </c>
      <c r="J151">
        <v>3.7108789999999998</v>
      </c>
      <c r="K151">
        <v>5.9661999999999882E-2</v>
      </c>
      <c r="L151">
        <v>87.270830180024888</v>
      </c>
      <c r="M151">
        <f t="shared" si="2"/>
        <v>-27</v>
      </c>
    </row>
    <row r="152" spans="3:13">
      <c r="C152" s="2">
        <v>40275</v>
      </c>
      <c r="D152">
        <v>71.925794086178044</v>
      </c>
      <c r="E152">
        <f>VLOOKUP(C152,'10y swap Vol'!$C$2:$G$3809,5,0)</f>
        <v>84.871193200052133</v>
      </c>
      <c r="F152">
        <f>VLOOKUP(C152,'5y10y Swaption Vol'!temp,3,0)</f>
        <v>103.8693260304</v>
      </c>
      <c r="H152" s="1">
        <v>40302</v>
      </c>
      <c r="I152" t="s">
        <v>2</v>
      </c>
      <c r="J152">
        <v>3.624644</v>
      </c>
      <c r="K152">
        <v>-8.623499999999984E-2</v>
      </c>
      <c r="L152">
        <v>87.925844631619114</v>
      </c>
      <c r="M152">
        <f t="shared" si="2"/>
        <v>-27</v>
      </c>
    </row>
    <row r="153" spans="3:13">
      <c r="C153" s="2">
        <v>40276</v>
      </c>
      <c r="D153">
        <v>72.004137763230659</v>
      </c>
      <c r="E153">
        <f>VLOOKUP(C153,'10y swap Vol'!$C$2:$G$3809,5,0)</f>
        <v>84.989943989050943</v>
      </c>
      <c r="F153">
        <f>VLOOKUP(C153,'5y10y Swaption Vol'!temp,3,0)</f>
        <v>105.4388959864</v>
      </c>
      <c r="H153" s="1">
        <v>40303</v>
      </c>
      <c r="I153" t="s">
        <v>2</v>
      </c>
      <c r="J153">
        <v>3.557652</v>
      </c>
      <c r="K153">
        <v>-6.699199999999994E-2</v>
      </c>
      <c r="L153">
        <v>88.448957110815186</v>
      </c>
      <c r="M153">
        <f t="shared" si="2"/>
        <v>-27</v>
      </c>
    </row>
    <row r="154" spans="3:13">
      <c r="C154" s="2">
        <v>40277</v>
      </c>
      <c r="D154">
        <v>70.076160458714469</v>
      </c>
      <c r="E154">
        <f>VLOOKUP(C154,'10y swap Vol'!$C$2:$G$3809,5,0)</f>
        <v>82.513870766406512</v>
      </c>
      <c r="F154">
        <f>VLOOKUP(C154,'5y10y Swaption Vol'!temp,3,0)</f>
        <v>104.97582618840001</v>
      </c>
      <c r="H154" s="1">
        <v>40304</v>
      </c>
      <c r="I154" t="s">
        <v>2</v>
      </c>
      <c r="J154">
        <v>3.4496950000000002</v>
      </c>
      <c r="K154">
        <v>-0.10795699999999986</v>
      </c>
      <c r="L154">
        <v>90.493865145760438</v>
      </c>
      <c r="M154">
        <f t="shared" si="2"/>
        <v>-27</v>
      </c>
    </row>
    <row r="155" spans="3:13">
      <c r="C155" s="2">
        <v>40280</v>
      </c>
      <c r="D155">
        <v>71.502332501284627</v>
      </c>
      <c r="E155">
        <f>VLOOKUP(C155,'10y swap Vol'!$C$2:$G$3809,5,0)</f>
        <v>82.188875992266645</v>
      </c>
      <c r="F155">
        <f>VLOOKUP(C155,'5y10y Swaption Vol'!temp,3,0)</f>
        <v>105.24734464159999</v>
      </c>
      <c r="H155" s="1">
        <v>40305</v>
      </c>
      <c r="I155" t="s">
        <v>2</v>
      </c>
      <c r="J155">
        <v>3.4722270000000002</v>
      </c>
      <c r="K155">
        <v>2.2531999999999996E-2</v>
      </c>
      <c r="L155">
        <v>89.779435761102491</v>
      </c>
      <c r="M155">
        <f t="shared" si="2"/>
        <v>-25</v>
      </c>
    </row>
    <row r="156" spans="3:13">
      <c r="C156" s="2">
        <v>40281</v>
      </c>
      <c r="D156">
        <v>71.450424522922219</v>
      </c>
      <c r="E156">
        <f>VLOOKUP(C156,'10y swap Vol'!$C$2:$G$3809,5,0)</f>
        <v>81.918820713925797</v>
      </c>
      <c r="F156">
        <f>VLOOKUP(C156,'5y10y Swaption Vol'!temp,3,0)</f>
        <v>105.226658699</v>
      </c>
      <c r="H156" s="1">
        <v>40308</v>
      </c>
      <c r="I156" t="s">
        <v>2</v>
      </c>
      <c r="J156">
        <v>3.5773999999999999</v>
      </c>
      <c r="K156">
        <v>0.10517299999999974</v>
      </c>
      <c r="L156">
        <v>92.24247686744566</v>
      </c>
      <c r="M156">
        <f t="shared" si="2"/>
        <v>-27</v>
      </c>
    </row>
    <row r="157" spans="3:13">
      <c r="C157" s="2">
        <v>40282</v>
      </c>
      <c r="D157">
        <v>71.161218757500961</v>
      </c>
      <c r="E157">
        <f>VLOOKUP(C157,'10y swap Vol'!$C$2:$G$3809,5,0)</f>
        <v>82.080290166733889</v>
      </c>
      <c r="F157">
        <f>VLOOKUP(C157,'5y10y Swaption Vol'!temp,3,0)</f>
        <v>104.81872316640001</v>
      </c>
      <c r="H157" s="1">
        <v>40309</v>
      </c>
      <c r="I157" t="s">
        <v>2</v>
      </c>
      <c r="J157">
        <v>3.5805220000000002</v>
      </c>
      <c r="K157">
        <v>3.1220000000002912E-3</v>
      </c>
      <c r="L157">
        <v>91.938354359451935</v>
      </c>
      <c r="M157">
        <f t="shared" si="2"/>
        <v>-27</v>
      </c>
    </row>
    <row r="158" spans="3:13">
      <c r="C158" s="2">
        <v>40283</v>
      </c>
      <c r="D158">
        <v>70.9049111936434</v>
      </c>
      <c r="E158">
        <f>VLOOKUP(C158,'10y swap Vol'!$C$2:$G$3809,5,0)</f>
        <v>81.773085713270731</v>
      </c>
      <c r="F158">
        <f>VLOOKUP(C158,'5y10y Swaption Vol'!temp,3,0)</f>
        <v>104.2511208192</v>
      </c>
      <c r="H158" s="1">
        <v>40310</v>
      </c>
      <c r="I158" t="s">
        <v>2</v>
      </c>
      <c r="J158">
        <v>3.6009880000000001</v>
      </c>
      <c r="K158">
        <v>2.0465999999999873E-2</v>
      </c>
      <c r="L158">
        <v>91.975948975513873</v>
      </c>
      <c r="M158">
        <f t="shared" si="2"/>
        <v>-27</v>
      </c>
    </row>
    <row r="159" spans="3:13">
      <c r="C159" s="2">
        <v>40284</v>
      </c>
      <c r="D159">
        <v>71.566256926141008</v>
      </c>
      <c r="E159">
        <f>VLOOKUP(C159,'10y swap Vol'!$C$2:$G$3809,5,0)</f>
        <v>82.514124606029114</v>
      </c>
      <c r="F159">
        <f>VLOOKUP(C159,'5y10y Swaption Vol'!temp,3,0)</f>
        <v>103.50707168549999</v>
      </c>
      <c r="H159" s="1">
        <v>40311</v>
      </c>
      <c r="I159" t="s">
        <v>2</v>
      </c>
      <c r="J159">
        <v>3.5949460000000002</v>
      </c>
      <c r="K159">
        <v>-6.0419999999998808E-3</v>
      </c>
      <c r="L159">
        <v>90.456753160820455</v>
      </c>
      <c r="M159">
        <f t="shared" si="2"/>
        <v>-27</v>
      </c>
    </row>
    <row r="160" spans="3:13">
      <c r="C160" s="2">
        <v>40287</v>
      </c>
      <c r="D160">
        <v>71.745626756071076</v>
      </c>
      <c r="E160">
        <f>VLOOKUP(C160,'10y swap Vol'!$C$2:$G$3809,5,0)</f>
        <v>82.717458422225661</v>
      </c>
      <c r="F160">
        <f>VLOOKUP(C160,'5y10y Swaption Vol'!temp,3,0)</f>
        <v>104.06844081200001</v>
      </c>
      <c r="H160" s="1">
        <v>40312</v>
      </c>
      <c r="I160" t="s">
        <v>2</v>
      </c>
      <c r="J160">
        <v>3.4828950000000001</v>
      </c>
      <c r="K160">
        <v>-0.11205100000000012</v>
      </c>
      <c r="L160">
        <v>92.381201010413463</v>
      </c>
      <c r="M160">
        <f t="shared" si="2"/>
        <v>-25</v>
      </c>
    </row>
    <row r="161" spans="3:13">
      <c r="C161" s="2">
        <v>40288</v>
      </c>
      <c r="D161">
        <v>71.733419221783151</v>
      </c>
      <c r="E161">
        <f>VLOOKUP(C161,'10y swap Vol'!$C$2:$G$3809,5,0)</f>
        <v>82.723924957505517</v>
      </c>
      <c r="F161">
        <f>VLOOKUP(C161,'5y10y Swaption Vol'!temp,3,0)</f>
        <v>104.792394042</v>
      </c>
      <c r="H161" s="1">
        <v>40315</v>
      </c>
      <c r="I161" t="s">
        <v>2</v>
      </c>
      <c r="J161">
        <v>3.5027879999999998</v>
      </c>
      <c r="K161">
        <v>1.9892999999999716E-2</v>
      </c>
      <c r="L161">
        <v>92.539314152125471</v>
      </c>
      <c r="M161">
        <f t="shared" si="2"/>
        <v>-27</v>
      </c>
    </row>
    <row r="162" spans="3:13">
      <c r="C162" s="2">
        <v>40289</v>
      </c>
      <c r="D162">
        <v>71.97363844722274</v>
      </c>
      <c r="E162">
        <f>VLOOKUP(C162,'10y swap Vol'!$C$2:$G$3809,5,0)</f>
        <v>83.55951129822148</v>
      </c>
      <c r="F162">
        <f>VLOOKUP(C162,'5y10y Swaption Vol'!temp,3,0)</f>
        <v>106.2753082368</v>
      </c>
      <c r="H162" s="1">
        <v>40316</v>
      </c>
      <c r="I162" t="s">
        <v>2</v>
      </c>
      <c r="J162">
        <v>3.4339879999999998</v>
      </c>
      <c r="K162">
        <v>-6.8799999999999972E-2</v>
      </c>
      <c r="L162">
        <v>93.358685285350091</v>
      </c>
      <c r="M162">
        <f t="shared" si="2"/>
        <v>-27</v>
      </c>
    </row>
    <row r="163" spans="3:13">
      <c r="C163" s="2">
        <v>40290</v>
      </c>
      <c r="D163">
        <v>72.497165308585167</v>
      </c>
      <c r="E163">
        <f>VLOOKUP(C163,'10y swap Vol'!$C$2:$G$3809,5,0)</f>
        <v>84.036416516733226</v>
      </c>
      <c r="F163">
        <f>VLOOKUP(C163,'5y10y Swaption Vol'!temp,3,0)</f>
        <v>107.02559049</v>
      </c>
      <c r="H163" s="1">
        <v>40317</v>
      </c>
      <c r="I163" t="s">
        <v>2</v>
      </c>
      <c r="J163">
        <v>3.4118550000000001</v>
      </c>
      <c r="K163">
        <v>-2.2132999999999736E-2</v>
      </c>
      <c r="L163">
        <v>91.047321126845929</v>
      </c>
      <c r="M163">
        <f t="shared" si="2"/>
        <v>-27</v>
      </c>
    </row>
    <row r="164" spans="3:13">
      <c r="C164" s="2">
        <v>40291</v>
      </c>
      <c r="D164">
        <v>72.56577314949179</v>
      </c>
      <c r="E164">
        <f>VLOOKUP(C164,'10y swap Vol'!$C$2:$G$3809,5,0)</f>
        <v>84.433887698637193</v>
      </c>
      <c r="F164">
        <f>VLOOKUP(C164,'5y10y Swaption Vol'!temp,3,0)</f>
        <v>107.897364342</v>
      </c>
      <c r="H164" s="1">
        <v>40318</v>
      </c>
      <c r="I164" t="s">
        <v>2</v>
      </c>
      <c r="J164">
        <v>3.3093859999999999</v>
      </c>
      <c r="K164">
        <v>-0.10246900000000014</v>
      </c>
      <c r="L164">
        <v>93.143547333795624</v>
      </c>
      <c r="M164">
        <f t="shared" si="2"/>
        <v>-27</v>
      </c>
    </row>
    <row r="165" spans="3:13">
      <c r="C165" s="2">
        <v>40294</v>
      </c>
      <c r="D165">
        <v>72.538470872141772</v>
      </c>
      <c r="E165">
        <f>VLOOKUP(C165,'10y swap Vol'!$C$2:$G$3809,5,0)</f>
        <v>84.451835488021871</v>
      </c>
      <c r="F165">
        <f>VLOOKUP(C165,'5y10y Swaption Vol'!temp,3,0)</f>
        <v>108.1244989195</v>
      </c>
      <c r="H165" s="1">
        <v>40319</v>
      </c>
      <c r="I165" t="s">
        <v>2</v>
      </c>
      <c r="J165">
        <v>3.2323870000000001</v>
      </c>
      <c r="K165">
        <v>-7.6998999999999818E-2</v>
      </c>
      <c r="L165">
        <v>93.530590535327036</v>
      </c>
      <c r="M165">
        <f t="shared" si="2"/>
        <v>-25</v>
      </c>
    </row>
    <row r="166" spans="3:13">
      <c r="C166" s="2">
        <v>40295</v>
      </c>
      <c r="D166">
        <v>73.785506747039847</v>
      </c>
      <c r="E166">
        <f>VLOOKUP(C166,'10y swap Vol'!$C$2:$G$3809,5,0)</f>
        <v>87.442265812482887</v>
      </c>
      <c r="F166">
        <f>VLOOKUP(C166,'5y10y Swaption Vol'!temp,3,0)</f>
        <v>111.07439684249999</v>
      </c>
      <c r="H166" s="1">
        <v>40322</v>
      </c>
      <c r="I166" t="s">
        <v>2</v>
      </c>
      <c r="J166">
        <v>3.2834430000000001</v>
      </c>
      <c r="K166">
        <v>5.105599999999999E-2</v>
      </c>
      <c r="L166">
        <v>93.87732104715613</v>
      </c>
      <c r="M166">
        <f t="shared" si="2"/>
        <v>-27</v>
      </c>
    </row>
    <row r="167" spans="3:13">
      <c r="C167" s="2">
        <v>40296</v>
      </c>
      <c r="D167">
        <v>74.517036766391726</v>
      </c>
      <c r="E167">
        <f>VLOOKUP(C167,'10y swap Vol'!$C$2:$G$3809,5,0)</f>
        <v>87.949002068558087</v>
      </c>
      <c r="F167">
        <f>VLOOKUP(C167,'5y10y Swaption Vol'!temp,3,0)</f>
        <v>110.3311725459</v>
      </c>
      <c r="H167" s="1">
        <v>40323</v>
      </c>
      <c r="I167" t="s">
        <v>2</v>
      </c>
      <c r="J167">
        <v>3.2463320000000002</v>
      </c>
      <c r="K167">
        <v>-3.7110999999999894E-2</v>
      </c>
      <c r="L167">
        <v>93.997832508138785</v>
      </c>
      <c r="M167">
        <f t="shared" si="2"/>
        <v>-27</v>
      </c>
    </row>
    <row r="168" spans="3:13">
      <c r="C168" s="2">
        <v>40297</v>
      </c>
      <c r="D168">
        <v>74.907840308269201</v>
      </c>
      <c r="E168">
        <f>VLOOKUP(C168,'10y swap Vol'!$C$2:$G$3809,5,0)</f>
        <v>88.832604710785617</v>
      </c>
      <c r="F168">
        <f>VLOOKUP(C168,'5y10y Swaption Vol'!temp,3,0)</f>
        <v>109.395039471</v>
      </c>
      <c r="H168" s="1">
        <v>40324</v>
      </c>
      <c r="I168" t="s">
        <v>2</v>
      </c>
      <c r="J168">
        <v>3.300297</v>
      </c>
      <c r="K168">
        <v>5.3964999999999819E-2</v>
      </c>
      <c r="L168">
        <v>94.822757217921591</v>
      </c>
      <c r="M168">
        <f t="shared" si="2"/>
        <v>-27</v>
      </c>
    </row>
    <row r="169" spans="3:13">
      <c r="C169" s="2">
        <v>40298</v>
      </c>
      <c r="D169">
        <v>74.918325455463972</v>
      </c>
      <c r="E169">
        <f>VLOOKUP(C169,'10y swap Vol'!$C$2:$G$3809,5,0)</f>
        <v>88.667024241952717</v>
      </c>
      <c r="F169">
        <f>VLOOKUP(C169,'5y10y Swaption Vol'!temp,3,0)</f>
        <v>112.9182919167</v>
      </c>
      <c r="H169" s="1">
        <v>40325</v>
      </c>
      <c r="I169" t="s">
        <v>2</v>
      </c>
      <c r="J169">
        <v>3.4207040000000002</v>
      </c>
      <c r="K169">
        <v>0.12040700000000015</v>
      </c>
      <c r="L169">
        <v>98.274861577784833</v>
      </c>
      <c r="M169">
        <f t="shared" si="2"/>
        <v>-27</v>
      </c>
    </row>
    <row r="170" spans="3:13">
      <c r="C170" s="2">
        <v>40301</v>
      </c>
      <c r="D170">
        <v>73.939667801096661</v>
      </c>
      <c r="E170">
        <f>VLOOKUP(C170,'10y swap Vol'!$C$2:$G$3809,5,0)</f>
        <v>87.270830180024888</v>
      </c>
      <c r="F170">
        <f>VLOOKUP(C170,'5y10y Swaption Vol'!temp,3,0)</f>
        <v>113.03008930839999</v>
      </c>
      <c r="H170" s="1">
        <v>40326</v>
      </c>
      <c r="I170" t="s">
        <v>2</v>
      </c>
      <c r="J170">
        <v>3.3758249999999999</v>
      </c>
      <c r="K170">
        <v>-4.4879000000000335E-2</v>
      </c>
      <c r="L170">
        <v>98.478583371230428</v>
      </c>
      <c r="M170">
        <f t="shared" si="2"/>
        <v>-25</v>
      </c>
    </row>
    <row r="171" spans="3:13">
      <c r="C171" s="2">
        <v>40302</v>
      </c>
      <c r="D171">
        <v>74.097503722734004</v>
      </c>
      <c r="E171">
        <f>VLOOKUP(C171,'10y swap Vol'!$C$2:$G$3809,5,0)</f>
        <v>87.925844631619114</v>
      </c>
      <c r="F171">
        <f>VLOOKUP(C171,'5y10y Swaption Vol'!temp,3,0)</f>
        <v>118.0708932384</v>
      </c>
      <c r="H171" s="1">
        <v>40330</v>
      </c>
      <c r="I171" t="s">
        <v>2</v>
      </c>
      <c r="J171">
        <v>3.385805</v>
      </c>
      <c r="K171">
        <v>9.9800000000000999E-3</v>
      </c>
      <c r="L171">
        <v>96.767296593775924</v>
      </c>
      <c r="M171">
        <f t="shared" si="2"/>
        <v>-28</v>
      </c>
    </row>
    <row r="172" spans="3:13">
      <c r="C172" s="2">
        <v>40303</v>
      </c>
      <c r="D172">
        <v>73.855862151406853</v>
      </c>
      <c r="E172">
        <f>VLOOKUP(C172,'10y swap Vol'!$C$2:$G$3809,5,0)</f>
        <v>88.448957110815186</v>
      </c>
      <c r="F172">
        <f>VLOOKUP(C172,'5y10y Swaption Vol'!temp,3,0)</f>
        <v>119.4090864704</v>
      </c>
      <c r="H172" s="1">
        <v>40331</v>
      </c>
      <c r="I172" t="s">
        <v>2</v>
      </c>
      <c r="J172">
        <v>3.4218980000000001</v>
      </c>
      <c r="K172">
        <v>3.6093000000000153E-2</v>
      </c>
      <c r="L172">
        <v>96.817329914256504</v>
      </c>
      <c r="M172">
        <f t="shared" si="2"/>
        <v>-28</v>
      </c>
    </row>
    <row r="173" spans="3:13">
      <c r="C173" s="2">
        <v>40304</v>
      </c>
      <c r="D173">
        <v>77.010123348019562</v>
      </c>
      <c r="E173">
        <f>VLOOKUP(C173,'10y swap Vol'!$C$2:$G$3809,5,0)</f>
        <v>90.493865145760438</v>
      </c>
      <c r="F173">
        <f>VLOOKUP(C173,'5y10y Swaption Vol'!temp,3,0)</f>
        <v>122.07039418719999</v>
      </c>
      <c r="H173" s="1">
        <v>40332</v>
      </c>
      <c r="I173" t="s">
        <v>2</v>
      </c>
      <c r="J173">
        <v>3.466412</v>
      </c>
      <c r="K173">
        <v>4.4513999999999943E-2</v>
      </c>
      <c r="L173">
        <v>97.343826406707961</v>
      </c>
      <c r="M173">
        <f t="shared" si="2"/>
        <v>-28</v>
      </c>
    </row>
    <row r="174" spans="3:13">
      <c r="C174" s="2">
        <v>40305</v>
      </c>
      <c r="D174">
        <v>76.892649053411475</v>
      </c>
      <c r="E174">
        <f>VLOOKUP(C174,'10y swap Vol'!$C$2:$G$3809,5,0)</f>
        <v>89.779435761102491</v>
      </c>
      <c r="F174">
        <f>VLOOKUP(C174,'5y10y Swaption Vol'!temp,3,0)</f>
        <v>116.4927347892</v>
      </c>
      <c r="H174" s="1">
        <v>40333</v>
      </c>
      <c r="I174" t="s">
        <v>2</v>
      </c>
      <c r="J174">
        <v>3.2982689999999999</v>
      </c>
      <c r="K174">
        <v>-0.16814300000000015</v>
      </c>
      <c r="L174">
        <v>102.88521320404777</v>
      </c>
      <c r="M174">
        <f t="shared" si="2"/>
        <v>-28</v>
      </c>
    </row>
    <row r="175" spans="3:13">
      <c r="C175" s="2">
        <v>40308</v>
      </c>
      <c r="D175">
        <v>77.719996665531411</v>
      </c>
      <c r="E175">
        <f>VLOOKUP(C175,'10y swap Vol'!$C$2:$G$3809,5,0)</f>
        <v>92.24247686744566</v>
      </c>
      <c r="F175">
        <f>VLOOKUP(C175,'5y10y Swaption Vol'!temp,3,0)</f>
        <v>115.0978981392</v>
      </c>
      <c r="H175" s="1">
        <v>40336</v>
      </c>
      <c r="I175" t="s">
        <v>2</v>
      </c>
      <c r="J175">
        <v>3.2858869999999998</v>
      </c>
      <c r="K175">
        <v>-1.2382000000000115E-2</v>
      </c>
      <c r="L175">
        <v>102.85906266689319</v>
      </c>
      <c r="M175">
        <f t="shared" si="2"/>
        <v>-28</v>
      </c>
    </row>
    <row r="176" spans="3:13">
      <c r="C176" s="2">
        <v>40309</v>
      </c>
      <c r="D176">
        <v>77.152470432893466</v>
      </c>
      <c r="E176">
        <f>VLOOKUP(C176,'10y swap Vol'!$C$2:$G$3809,5,0)</f>
        <v>91.938354359451935</v>
      </c>
      <c r="F176">
        <f>VLOOKUP(C176,'5y10y Swaption Vol'!temp,3,0)</f>
        <v>113.22160799</v>
      </c>
      <c r="H176" s="1">
        <v>40337</v>
      </c>
      <c r="I176" t="s">
        <v>2</v>
      </c>
      <c r="J176">
        <v>3.2744650000000002</v>
      </c>
      <c r="K176">
        <v>-1.1421999999999599E-2</v>
      </c>
      <c r="L176">
        <v>102.84605474038919</v>
      </c>
      <c r="M176">
        <f t="shared" si="2"/>
        <v>-28</v>
      </c>
    </row>
    <row r="177" spans="3:13">
      <c r="C177" s="2">
        <v>40310</v>
      </c>
      <c r="D177">
        <v>77.032629086973969</v>
      </c>
      <c r="E177">
        <f>VLOOKUP(C177,'10y swap Vol'!$C$2:$G$3809,5,0)</f>
        <v>91.975948975513873</v>
      </c>
      <c r="F177">
        <f>VLOOKUP(C177,'5y10y Swaption Vol'!temp,3,0)</f>
        <v>112.71135896200001</v>
      </c>
      <c r="H177" s="1">
        <v>40338</v>
      </c>
      <c r="I177" t="s">
        <v>2</v>
      </c>
      <c r="J177">
        <v>3.2825820000000001</v>
      </c>
      <c r="K177">
        <v>8.1169999999999298E-3</v>
      </c>
      <c r="L177">
        <v>102.89594111078164</v>
      </c>
      <c r="M177">
        <f t="shared" si="2"/>
        <v>-28</v>
      </c>
    </row>
    <row r="178" spans="3:13">
      <c r="C178" s="2">
        <v>40311</v>
      </c>
      <c r="D178">
        <v>75.723600809241674</v>
      </c>
      <c r="E178">
        <f>VLOOKUP(C178,'10y swap Vol'!$C$2:$G$3809,5,0)</f>
        <v>90.456753160820455</v>
      </c>
      <c r="F178">
        <f>VLOOKUP(C178,'5y10y Swaption Vol'!temp,3,0)</f>
        <v>111.3148076264</v>
      </c>
      <c r="H178" s="1">
        <v>40339</v>
      </c>
      <c r="I178" t="s">
        <v>2</v>
      </c>
      <c r="J178">
        <v>3.402034</v>
      </c>
      <c r="K178">
        <v>0.11945199999999989</v>
      </c>
      <c r="L178">
        <v>105.77070619789626</v>
      </c>
      <c r="M178">
        <f t="shared" si="2"/>
        <v>-28</v>
      </c>
    </row>
    <row r="179" spans="3:13">
      <c r="C179" s="2">
        <v>40312</v>
      </c>
      <c r="D179">
        <v>76.072246236935143</v>
      </c>
      <c r="E179">
        <f>VLOOKUP(C179,'10y swap Vol'!$C$2:$G$3809,5,0)</f>
        <v>92.381201010413463</v>
      </c>
      <c r="F179">
        <f>VLOOKUP(C179,'5y10y Swaption Vol'!temp,3,0)</f>
        <v>114.9818921163</v>
      </c>
      <c r="H179" s="1">
        <v>40340</v>
      </c>
      <c r="I179" t="s">
        <v>2</v>
      </c>
      <c r="J179">
        <v>3.3107319999999998</v>
      </c>
      <c r="K179">
        <v>-9.1302000000000216E-2</v>
      </c>
      <c r="L179">
        <v>107.20297292689087</v>
      </c>
      <c r="M179">
        <f t="shared" si="2"/>
        <v>-28</v>
      </c>
    </row>
    <row r="180" spans="3:13">
      <c r="C180" s="2">
        <v>40315</v>
      </c>
      <c r="D180">
        <v>75.928479794441643</v>
      </c>
      <c r="E180">
        <f>VLOOKUP(C180,'10y swap Vol'!$C$2:$G$3809,5,0)</f>
        <v>92.539314152125471</v>
      </c>
      <c r="F180">
        <f>VLOOKUP(C180,'5y10y Swaption Vol'!temp,3,0)</f>
        <v>114.77789032920001</v>
      </c>
      <c r="H180" s="1">
        <v>40343</v>
      </c>
      <c r="I180" t="s">
        <v>2</v>
      </c>
      <c r="J180">
        <v>3.3549289999999998</v>
      </c>
      <c r="K180">
        <v>4.4197000000000042E-2</v>
      </c>
      <c r="L180">
        <v>107.45131252695255</v>
      </c>
      <c r="M180">
        <f t="shared" si="2"/>
        <v>-28</v>
      </c>
    </row>
    <row r="181" spans="3:13">
      <c r="C181" s="2">
        <v>40316</v>
      </c>
      <c r="D181">
        <v>76.482238512272971</v>
      </c>
      <c r="E181">
        <f>VLOOKUP(C181,'10y swap Vol'!$C$2:$G$3809,5,0)</f>
        <v>93.358685285350091</v>
      </c>
      <c r="F181">
        <f>VLOOKUP(C181,'5y10y Swaption Vol'!temp,3,0)</f>
        <v>115.63015179680001</v>
      </c>
      <c r="H181" s="1">
        <v>40344</v>
      </c>
      <c r="I181" t="s">
        <v>2</v>
      </c>
      <c r="J181">
        <v>3.3773149999999998</v>
      </c>
      <c r="K181">
        <v>2.2386000000000017E-2</v>
      </c>
      <c r="L181">
        <v>107.44931738525143</v>
      </c>
      <c r="M181">
        <f t="shared" si="2"/>
        <v>-28</v>
      </c>
    </row>
    <row r="182" spans="3:13">
      <c r="C182" s="2">
        <v>40317</v>
      </c>
      <c r="D182">
        <v>75.266447674991383</v>
      </c>
      <c r="E182">
        <f>VLOOKUP(C182,'10y swap Vol'!$C$2:$G$3809,5,0)</f>
        <v>91.047321126845929</v>
      </c>
      <c r="F182">
        <f>VLOOKUP(C182,'5y10y Swaption Vol'!temp,3,0)</f>
        <v>116.9675339196</v>
      </c>
      <c r="H182" s="1">
        <v>40345</v>
      </c>
      <c r="I182" t="s">
        <v>2</v>
      </c>
      <c r="J182">
        <v>3.3445170000000002</v>
      </c>
      <c r="K182">
        <v>-3.2797999999999661E-2</v>
      </c>
      <c r="L182">
        <v>107.40884134113475</v>
      </c>
      <c r="M182">
        <f t="shared" si="2"/>
        <v>-28</v>
      </c>
    </row>
    <row r="183" spans="3:13">
      <c r="C183" s="2">
        <v>40318</v>
      </c>
      <c r="D183">
        <v>76.332795631847077</v>
      </c>
      <c r="E183">
        <f>VLOOKUP(C183,'10y swap Vol'!$C$2:$G$3809,5,0)</f>
        <v>93.143547333795624</v>
      </c>
      <c r="F183">
        <f>VLOOKUP(C183,'5y10y Swaption Vol'!temp,3,0)</f>
        <v>118.03025395260001</v>
      </c>
      <c r="H183" s="1">
        <v>40346</v>
      </c>
      <c r="I183" t="s">
        <v>2</v>
      </c>
      <c r="J183">
        <v>3.2438310000000001</v>
      </c>
      <c r="K183">
        <v>-0.10068600000000005</v>
      </c>
      <c r="L183">
        <v>108.95169768882371</v>
      </c>
      <c r="M183">
        <f t="shared" si="2"/>
        <v>-28</v>
      </c>
    </row>
    <row r="184" spans="3:13">
      <c r="C184" s="2">
        <v>40319</v>
      </c>
      <c r="D184">
        <v>76.003347998011449</v>
      </c>
      <c r="E184">
        <f>VLOOKUP(C184,'10y swap Vol'!$C$2:$G$3809,5,0)</f>
        <v>93.530590535327036</v>
      </c>
      <c r="F184">
        <f>VLOOKUP(C184,'5y10y Swaption Vol'!temp,3,0)</f>
        <v>114.8131540068</v>
      </c>
      <c r="H184" s="1">
        <v>40347</v>
      </c>
      <c r="I184" t="s">
        <v>2</v>
      </c>
      <c r="J184">
        <v>3.2697500000000002</v>
      </c>
      <c r="K184">
        <v>2.5919000000000025E-2</v>
      </c>
      <c r="L184">
        <v>107.22255227693316</v>
      </c>
      <c r="M184">
        <f t="shared" si="2"/>
        <v>-28</v>
      </c>
    </row>
    <row r="185" spans="3:13">
      <c r="C185" s="2">
        <v>40322</v>
      </c>
      <c r="D185">
        <v>76.552444316449652</v>
      </c>
      <c r="E185">
        <f>VLOOKUP(C185,'10y swap Vol'!$C$2:$G$3809,5,0)</f>
        <v>93.87732104715613</v>
      </c>
      <c r="F185">
        <f>VLOOKUP(C185,'5y10y Swaption Vol'!temp,3,0)</f>
        <v>113.0804145394</v>
      </c>
      <c r="H185" s="1">
        <v>40350</v>
      </c>
      <c r="I185" t="s">
        <v>2</v>
      </c>
      <c r="J185">
        <v>3.2630590000000002</v>
      </c>
      <c r="K185">
        <v>-6.6910000000000025E-3</v>
      </c>
      <c r="L185">
        <v>105.7766723753506</v>
      </c>
      <c r="M185">
        <f t="shared" si="2"/>
        <v>-28</v>
      </c>
    </row>
    <row r="186" spans="3:13">
      <c r="C186" s="2">
        <v>40323</v>
      </c>
      <c r="D186">
        <v>76.815842585895453</v>
      </c>
      <c r="E186">
        <f>VLOOKUP(C186,'10y swap Vol'!$C$2:$G$3809,5,0)</f>
        <v>93.997832508138785</v>
      </c>
      <c r="F186">
        <f>VLOOKUP(C186,'5y10y Swaption Vol'!temp,3,0)</f>
        <v>113.86948336259999</v>
      </c>
      <c r="H186" s="1">
        <v>40351</v>
      </c>
      <c r="I186" t="s">
        <v>2</v>
      </c>
      <c r="J186">
        <v>3.2090920000000001</v>
      </c>
      <c r="K186">
        <v>-5.3967000000000098E-2</v>
      </c>
      <c r="L186">
        <v>106.03720993174737</v>
      </c>
      <c r="M186">
        <f t="shared" si="2"/>
        <v>-28</v>
      </c>
    </row>
    <row r="187" spans="3:13">
      <c r="C187" s="2">
        <v>40324</v>
      </c>
      <c r="D187">
        <v>77.050969938391262</v>
      </c>
      <c r="E187">
        <f>VLOOKUP(C187,'10y swap Vol'!$C$2:$G$3809,5,0)</f>
        <v>94.822757217921591</v>
      </c>
      <c r="F187">
        <f>VLOOKUP(C187,'5y10y Swaption Vol'!temp,3,0)</f>
        <v>112.1147122725</v>
      </c>
      <c r="H187" s="1">
        <v>40352</v>
      </c>
      <c r="I187" t="s">
        <v>2</v>
      </c>
      <c r="J187">
        <v>3.1674030000000002</v>
      </c>
      <c r="K187">
        <v>-4.1688999999999865E-2</v>
      </c>
      <c r="L187">
        <v>105.91176504299509</v>
      </c>
      <c r="M187">
        <f t="shared" si="2"/>
        <v>-28</v>
      </c>
    </row>
    <row r="188" spans="3:13">
      <c r="C188" s="2">
        <v>40325</v>
      </c>
      <c r="D188">
        <v>79.597276963983219</v>
      </c>
      <c r="E188">
        <f>VLOOKUP(C188,'10y swap Vol'!$C$2:$G$3809,5,0)</f>
        <v>98.274861577784833</v>
      </c>
      <c r="F188">
        <f>VLOOKUP(C188,'5y10y Swaption Vol'!temp,3,0)</f>
        <v>111.202702956</v>
      </c>
      <c r="H188" s="1">
        <v>40353</v>
      </c>
      <c r="I188" t="s">
        <v>2</v>
      </c>
      <c r="J188">
        <v>3.1847129999999999</v>
      </c>
      <c r="K188">
        <v>1.7309999999999715E-2</v>
      </c>
      <c r="L188">
        <v>106.01613989886869</v>
      </c>
      <c r="M188">
        <f t="shared" si="2"/>
        <v>-28</v>
      </c>
    </row>
    <row r="189" spans="3:13">
      <c r="C189" s="2">
        <v>40326</v>
      </c>
      <c r="D189">
        <v>79.632684861554921</v>
      </c>
      <c r="E189">
        <f>VLOOKUP(C189,'10y swap Vol'!$C$2:$G$3809,5,0)</f>
        <v>98.478583371230428</v>
      </c>
      <c r="F189">
        <f>VLOOKUP(C189,'5y10y Swaption Vol'!temp,3,0)</f>
        <v>110.7326777454</v>
      </c>
      <c r="H189" s="1">
        <v>40354</v>
      </c>
      <c r="I189" t="s">
        <v>2</v>
      </c>
      <c r="J189">
        <v>3.17713</v>
      </c>
      <c r="K189">
        <v>-7.5829999999998954E-3</v>
      </c>
      <c r="L189">
        <v>106.00288853869984</v>
      </c>
      <c r="M189">
        <f t="shared" si="2"/>
        <v>-28</v>
      </c>
    </row>
    <row r="190" spans="3:13">
      <c r="C190" s="2">
        <v>40330</v>
      </c>
      <c r="D190">
        <v>79.081983960738626</v>
      </c>
      <c r="E190">
        <f>VLOOKUP(C190,'10y swap Vol'!$C$2:$G$3809,5,0)</f>
        <v>96.767296593775924</v>
      </c>
      <c r="F190">
        <f>VLOOKUP(C190,'5y10y Swaption Vol'!temp,3,0)</f>
        <v>111.3373166187</v>
      </c>
      <c r="H190" s="1">
        <v>40357</v>
      </c>
      <c r="I190" t="s">
        <v>2</v>
      </c>
      <c r="J190">
        <v>3.0880700000000001</v>
      </c>
      <c r="K190">
        <v>-8.9059999999999917E-2</v>
      </c>
      <c r="L190">
        <v>106.41121127418049</v>
      </c>
      <c r="M190">
        <f t="shared" si="2"/>
        <v>-27</v>
      </c>
    </row>
    <row r="191" spans="3:13">
      <c r="C191" s="2">
        <v>40331</v>
      </c>
      <c r="D191">
        <v>79.201925080077956</v>
      </c>
      <c r="E191">
        <f>VLOOKUP(C191,'10y swap Vol'!$C$2:$G$3809,5,0)</f>
        <v>96.817329914256504</v>
      </c>
      <c r="F191">
        <f>VLOOKUP(C191,'5y10y Swaption Vol'!temp,3,0)</f>
        <v>110.4374186344</v>
      </c>
      <c r="H191" s="1">
        <v>40358</v>
      </c>
      <c r="I191" t="s">
        <v>2</v>
      </c>
      <c r="J191">
        <v>3.0192969999999999</v>
      </c>
      <c r="K191">
        <v>-6.8773000000000195E-2</v>
      </c>
      <c r="L191">
        <v>99.948134449385435</v>
      </c>
      <c r="M191">
        <f t="shared" si="2"/>
        <v>-27</v>
      </c>
    </row>
    <row r="192" spans="3:13">
      <c r="C192" s="2">
        <v>40332</v>
      </c>
      <c r="D192">
        <v>78.982292816984383</v>
      </c>
      <c r="E192">
        <f>VLOOKUP(C192,'10y swap Vol'!$C$2:$G$3809,5,0)</f>
        <v>97.343826406707961</v>
      </c>
      <c r="F192">
        <f>VLOOKUP(C192,'5y10y Swaption Vol'!temp,3,0)</f>
        <v>109.56817662</v>
      </c>
      <c r="H192" s="1">
        <v>40359</v>
      </c>
      <c r="I192" t="s">
        <v>2</v>
      </c>
      <c r="J192">
        <v>3.012594</v>
      </c>
      <c r="K192">
        <v>-6.7029999999999035E-3</v>
      </c>
      <c r="L192">
        <v>99.368101824080128</v>
      </c>
      <c r="M192">
        <f t="shared" si="2"/>
        <v>-27</v>
      </c>
    </row>
    <row r="193" spans="3:13">
      <c r="C193" s="2">
        <v>40333</v>
      </c>
      <c r="D193">
        <v>84.452600379344815</v>
      </c>
      <c r="E193">
        <f>VLOOKUP(C193,'10y swap Vol'!$C$2:$G$3809,5,0)</f>
        <v>102.88521320404777</v>
      </c>
      <c r="F193">
        <f>VLOOKUP(C193,'5y10y Swaption Vol'!temp,3,0)</f>
        <v>110.694963645</v>
      </c>
      <c r="H193" s="1">
        <v>40360</v>
      </c>
      <c r="I193" t="s">
        <v>2</v>
      </c>
      <c r="J193">
        <v>2.9973320000000001</v>
      </c>
      <c r="K193">
        <v>-1.5261999999999887E-2</v>
      </c>
      <c r="L193">
        <v>97.358013541740789</v>
      </c>
      <c r="M193">
        <f t="shared" si="2"/>
        <v>-27</v>
      </c>
    </row>
    <row r="194" spans="3:13">
      <c r="C194" s="2">
        <v>40336</v>
      </c>
      <c r="D194">
        <v>84.408433266350883</v>
      </c>
      <c r="E194">
        <f>VLOOKUP(C194,'10y swap Vol'!$C$2:$G$3809,5,0)</f>
        <v>102.85906266689319</v>
      </c>
      <c r="F194">
        <f>VLOOKUP(C194,'5y10y Swaption Vol'!temp,3,0)</f>
        <v>111.0861021204</v>
      </c>
      <c r="H194" s="1">
        <v>40361</v>
      </c>
      <c r="I194" t="s">
        <v>2</v>
      </c>
      <c r="J194">
        <v>3.0554269999999999</v>
      </c>
      <c r="K194">
        <v>5.8094999999999786E-2</v>
      </c>
      <c r="L194">
        <v>98.191102313726702</v>
      </c>
      <c r="M194">
        <f t="shared" si="2"/>
        <v>-25</v>
      </c>
    </row>
    <row r="195" spans="3:13">
      <c r="C195" s="2">
        <v>40337</v>
      </c>
      <c r="D195">
        <v>84.464319616042431</v>
      </c>
      <c r="E195">
        <f>VLOOKUP(C195,'10y swap Vol'!$C$2:$G$3809,5,0)</f>
        <v>102.84605474038919</v>
      </c>
      <c r="F195">
        <f>VLOOKUP(C195,'5y10y Swaption Vol'!temp,3,0)</f>
        <v>112.47228823</v>
      </c>
      <c r="H195" s="1">
        <v>40365</v>
      </c>
      <c r="I195" t="s">
        <v>2</v>
      </c>
      <c r="J195">
        <v>3.0080559999999998</v>
      </c>
      <c r="K195">
        <v>-4.7371000000000052E-2</v>
      </c>
      <c r="L195">
        <v>98.389601803411608</v>
      </c>
      <c r="M195">
        <f t="shared" ref="M195:M258" si="3">C195-H195</f>
        <v>-28</v>
      </c>
    </row>
    <row r="196" spans="3:13">
      <c r="C196" s="2">
        <v>40338</v>
      </c>
      <c r="D196">
        <v>84.463966875376144</v>
      </c>
      <c r="E196">
        <f>VLOOKUP(C196,'10y swap Vol'!$C$2:$G$3809,5,0)</f>
        <v>102.89594111078164</v>
      </c>
      <c r="F196">
        <f>VLOOKUP(C196,'5y10y Swaption Vol'!temp,3,0)</f>
        <v>110.91523655189999</v>
      </c>
      <c r="H196" s="1">
        <v>40366</v>
      </c>
      <c r="I196" t="s">
        <v>2</v>
      </c>
      <c r="J196">
        <v>3.0271270000000001</v>
      </c>
      <c r="K196">
        <v>1.9071000000000282E-2</v>
      </c>
      <c r="L196">
        <v>98.156275190878432</v>
      </c>
      <c r="M196">
        <f t="shared" si="3"/>
        <v>-28</v>
      </c>
    </row>
    <row r="197" spans="3:13">
      <c r="C197" s="2">
        <v>40339</v>
      </c>
      <c r="D197">
        <v>87.749961706858187</v>
      </c>
      <c r="E197">
        <f>VLOOKUP(C197,'10y swap Vol'!$C$2:$G$3809,5,0)</f>
        <v>105.77070619789626</v>
      </c>
      <c r="F197">
        <f>VLOOKUP(C197,'5y10y Swaption Vol'!temp,3,0)</f>
        <v>110.12301545939999</v>
      </c>
      <c r="H197" s="1">
        <v>40367</v>
      </c>
      <c r="I197" t="s">
        <v>2</v>
      </c>
      <c r="J197">
        <v>3.05694</v>
      </c>
      <c r="K197">
        <v>2.9812999999999867E-2</v>
      </c>
      <c r="L197">
        <v>98.243170852796993</v>
      </c>
      <c r="M197">
        <f t="shared" si="3"/>
        <v>-28</v>
      </c>
    </row>
    <row r="198" spans="3:13">
      <c r="C198" s="2">
        <v>40340</v>
      </c>
      <c r="D198">
        <v>89.233464077835976</v>
      </c>
      <c r="E198">
        <f>VLOOKUP(C198,'10y swap Vol'!$C$2:$G$3809,5,0)</f>
        <v>107.20297292689087</v>
      </c>
      <c r="F198">
        <f>VLOOKUP(C198,'5y10y Swaption Vol'!temp,3,0)</f>
        <v>109.7996503688</v>
      </c>
      <c r="H198" s="1">
        <v>40368</v>
      </c>
      <c r="I198" t="s">
        <v>2</v>
      </c>
      <c r="J198">
        <v>3.1049000000000002</v>
      </c>
      <c r="K198">
        <v>4.7960000000000225E-2</v>
      </c>
      <c r="L198">
        <v>98.000779568918816</v>
      </c>
      <c r="M198">
        <f t="shared" si="3"/>
        <v>-28</v>
      </c>
    </row>
    <row r="199" spans="3:13">
      <c r="C199" s="2">
        <v>40343</v>
      </c>
      <c r="D199">
        <v>88.940929291541721</v>
      </c>
      <c r="E199">
        <f>VLOOKUP(C199,'10y swap Vol'!$C$2:$G$3809,5,0)</f>
        <v>107.45131252695255</v>
      </c>
      <c r="F199">
        <f>VLOOKUP(C199,'5y10y Swaption Vol'!temp,3,0)</f>
        <v>109.1561557042</v>
      </c>
      <c r="H199" s="1">
        <v>40371</v>
      </c>
      <c r="I199" t="s">
        <v>2</v>
      </c>
      <c r="J199">
        <v>3.1031170000000001</v>
      </c>
      <c r="K199">
        <v>-1.7830000000000901E-3</v>
      </c>
      <c r="L199">
        <v>98.015334608523887</v>
      </c>
      <c r="M199">
        <f t="shared" si="3"/>
        <v>-28</v>
      </c>
    </row>
    <row r="200" spans="3:13">
      <c r="C200" s="2">
        <v>40344</v>
      </c>
      <c r="D200">
        <v>89.159919218340931</v>
      </c>
      <c r="E200">
        <f>VLOOKUP(C200,'10y swap Vol'!$C$2:$G$3809,5,0)</f>
        <v>107.44931738525143</v>
      </c>
      <c r="F200">
        <f>VLOOKUP(C200,'5y10y Swaption Vol'!temp,3,0)</f>
        <v>108.98461029000001</v>
      </c>
      <c r="H200" s="1">
        <v>40372</v>
      </c>
      <c r="I200" t="s">
        <v>2</v>
      </c>
      <c r="J200">
        <v>3.1465559999999999</v>
      </c>
      <c r="K200">
        <v>4.3438999999999783E-2</v>
      </c>
      <c r="L200">
        <v>97.790472769586771</v>
      </c>
      <c r="M200">
        <f t="shared" si="3"/>
        <v>-28</v>
      </c>
    </row>
    <row r="201" spans="3:13">
      <c r="C201" s="2">
        <v>40345</v>
      </c>
      <c r="D201">
        <v>89.074455440532702</v>
      </c>
      <c r="E201">
        <f>VLOOKUP(C201,'10y swap Vol'!$C$2:$G$3809,5,0)</f>
        <v>107.40884134113475</v>
      </c>
      <c r="F201">
        <f>VLOOKUP(C201,'5y10y Swaption Vol'!temp,3,0)</f>
        <v>108.6891131106</v>
      </c>
      <c r="H201" s="1">
        <v>40373</v>
      </c>
      <c r="I201" t="s">
        <v>2</v>
      </c>
      <c r="J201">
        <v>3.0841569999999998</v>
      </c>
      <c r="K201">
        <v>-6.2399000000000093E-2</v>
      </c>
      <c r="L201">
        <v>97.427259729374498</v>
      </c>
      <c r="M201">
        <f t="shared" si="3"/>
        <v>-28</v>
      </c>
    </row>
    <row r="202" spans="3:13">
      <c r="C202" s="2">
        <v>40346</v>
      </c>
      <c r="D202">
        <v>90.623539794694551</v>
      </c>
      <c r="E202">
        <f>VLOOKUP(C202,'10y swap Vol'!$C$2:$G$3809,5,0)</f>
        <v>108.95169768882371</v>
      </c>
      <c r="F202">
        <f>VLOOKUP(C202,'5y10y Swaption Vol'!temp,3,0)</f>
        <v>108.6856269597</v>
      </c>
      <c r="H202" s="1">
        <v>40374</v>
      </c>
      <c r="I202" t="s">
        <v>2</v>
      </c>
      <c r="J202">
        <v>2.9898539999999998</v>
      </c>
      <c r="K202">
        <v>-9.4303000000000026E-2</v>
      </c>
      <c r="L202">
        <v>98.857892481241095</v>
      </c>
      <c r="M202">
        <f t="shared" si="3"/>
        <v>-28</v>
      </c>
    </row>
    <row r="203" spans="3:13">
      <c r="C203" s="2">
        <v>40347</v>
      </c>
      <c r="D203">
        <v>86.842765942177081</v>
      </c>
      <c r="E203">
        <f>VLOOKUP(C203,'10y swap Vol'!$C$2:$G$3809,5,0)</f>
        <v>107.22255227693316</v>
      </c>
      <c r="F203">
        <f>VLOOKUP(C203,'5y10y Swaption Vol'!temp,3,0)</f>
        <v>108.90301051909999</v>
      </c>
      <c r="H203" s="1">
        <v>40375</v>
      </c>
      <c r="I203" t="s">
        <v>2</v>
      </c>
      <c r="J203">
        <v>2.9582579999999998</v>
      </c>
      <c r="K203">
        <v>-3.1595999999999957E-2</v>
      </c>
      <c r="L203">
        <v>98.384370047801212</v>
      </c>
      <c r="M203">
        <f t="shared" si="3"/>
        <v>-28</v>
      </c>
    </row>
    <row r="204" spans="3:13">
      <c r="C204" s="2">
        <v>40350</v>
      </c>
      <c r="D204">
        <v>85.603191984252291</v>
      </c>
      <c r="E204">
        <f>VLOOKUP(C204,'10y swap Vol'!$C$2:$G$3809,5,0)</f>
        <v>105.7766723753506</v>
      </c>
      <c r="F204">
        <f>VLOOKUP(C204,'5y10y Swaption Vol'!temp,3,0)</f>
        <v>108.4541655882</v>
      </c>
      <c r="H204" s="1">
        <v>40378</v>
      </c>
      <c r="I204" t="s">
        <v>2</v>
      </c>
      <c r="J204">
        <v>2.988737</v>
      </c>
      <c r="K204">
        <v>3.0479000000000145E-2</v>
      </c>
      <c r="L204">
        <v>98.106937432383361</v>
      </c>
      <c r="M204">
        <f t="shared" si="3"/>
        <v>-28</v>
      </c>
    </row>
    <row r="205" spans="3:13">
      <c r="C205" s="2">
        <v>40351</v>
      </c>
      <c r="D205">
        <v>86.343953415817523</v>
      </c>
      <c r="E205">
        <f>VLOOKUP(C205,'10y swap Vol'!$C$2:$G$3809,5,0)</f>
        <v>106.03720993174737</v>
      </c>
      <c r="F205">
        <f>VLOOKUP(C205,'5y10y Swaption Vol'!temp,3,0)</f>
        <v>108.84301670879999</v>
      </c>
      <c r="H205" s="1">
        <v>40379</v>
      </c>
      <c r="I205" t="s">
        <v>2</v>
      </c>
      <c r="J205">
        <v>2.9546619999999999</v>
      </c>
      <c r="K205">
        <v>-3.4075000000000077E-2</v>
      </c>
      <c r="L205">
        <v>97.439692340041987</v>
      </c>
      <c r="M205">
        <f t="shared" si="3"/>
        <v>-28</v>
      </c>
    </row>
    <row r="206" spans="3:13">
      <c r="C206" s="2">
        <v>40352</v>
      </c>
      <c r="D206">
        <v>86.587083708106675</v>
      </c>
      <c r="E206">
        <f>VLOOKUP(C206,'10y swap Vol'!$C$2:$G$3809,5,0)</f>
        <v>105.91176504299509</v>
      </c>
      <c r="F206">
        <f>VLOOKUP(C206,'5y10y Swaption Vol'!temp,3,0)</f>
        <v>107.645580616</v>
      </c>
      <c r="H206" s="1">
        <v>40380</v>
      </c>
      <c r="I206" t="s">
        <v>2</v>
      </c>
      <c r="J206">
        <v>2.8951310000000001</v>
      </c>
      <c r="K206">
        <v>-5.9530999999999779E-2</v>
      </c>
      <c r="L206">
        <v>97.729282283855497</v>
      </c>
      <c r="M206">
        <f t="shared" si="3"/>
        <v>-28</v>
      </c>
    </row>
    <row r="207" spans="3:13">
      <c r="C207" s="2">
        <v>40353</v>
      </c>
      <c r="D207">
        <v>88.034629946249808</v>
      </c>
      <c r="E207">
        <f>VLOOKUP(C207,'10y swap Vol'!$C$2:$G$3809,5,0)</f>
        <v>106.01613989886869</v>
      </c>
      <c r="F207">
        <f>VLOOKUP(C207,'5y10y Swaption Vol'!temp,3,0)</f>
        <v>108.122498001</v>
      </c>
      <c r="H207" s="1">
        <v>40381</v>
      </c>
      <c r="I207" t="s">
        <v>2</v>
      </c>
      <c r="J207">
        <v>2.9290470000000002</v>
      </c>
      <c r="K207">
        <v>3.3916000000000057E-2</v>
      </c>
      <c r="L207">
        <v>95.837353211966047</v>
      </c>
      <c r="M207">
        <f t="shared" si="3"/>
        <v>-28</v>
      </c>
    </row>
    <row r="208" spans="3:13">
      <c r="C208" s="2">
        <v>40354</v>
      </c>
      <c r="D208">
        <v>88.168882081166061</v>
      </c>
      <c r="E208">
        <f>VLOOKUP(C208,'10y swap Vol'!$C$2:$G$3809,5,0)</f>
        <v>106.00288853869984</v>
      </c>
      <c r="F208">
        <f>VLOOKUP(C208,'5y10y Swaption Vol'!temp,3,0)</f>
        <v>107.0520428028</v>
      </c>
      <c r="H208" s="1">
        <v>40382</v>
      </c>
      <c r="I208" t="s">
        <v>2</v>
      </c>
      <c r="J208">
        <v>3.0037189999999998</v>
      </c>
      <c r="K208">
        <v>7.4671999999999628E-2</v>
      </c>
      <c r="L208">
        <v>96.177599358673916</v>
      </c>
      <c r="M208">
        <f t="shared" si="3"/>
        <v>-28</v>
      </c>
    </row>
    <row r="209" spans="3:13">
      <c r="C209" s="2">
        <v>40357</v>
      </c>
      <c r="D209">
        <v>89.18316638368448</v>
      </c>
      <c r="E209">
        <f>VLOOKUP(C209,'10y swap Vol'!$C$2:$G$3809,5,0)</f>
        <v>106.41121127418049</v>
      </c>
      <c r="F209">
        <f>VLOOKUP(C209,'5y10y Swaption Vol'!temp,3,0)</f>
        <v>105.09524456059999</v>
      </c>
      <c r="H209" s="1">
        <v>40385</v>
      </c>
      <c r="I209" t="s">
        <v>2</v>
      </c>
      <c r="J209">
        <v>3.0020910000000001</v>
      </c>
      <c r="K209">
        <v>-1.6279999999997408E-3</v>
      </c>
      <c r="L209">
        <v>95.619295744117366</v>
      </c>
      <c r="M209">
        <f t="shared" si="3"/>
        <v>-28</v>
      </c>
    </row>
    <row r="210" spans="3:13">
      <c r="C210" s="2">
        <v>40358</v>
      </c>
      <c r="D210">
        <v>84.898464507906297</v>
      </c>
      <c r="E210">
        <f>VLOOKUP(C210,'10y swap Vol'!$C$2:$G$3809,5,0)</f>
        <v>99.948134449385435</v>
      </c>
      <c r="F210">
        <f>VLOOKUP(C210,'5y10y Swaption Vol'!temp,3,0)</f>
        <v>105.0563239042</v>
      </c>
      <c r="H210" s="1">
        <v>40386</v>
      </c>
      <c r="I210" t="s">
        <v>2</v>
      </c>
      <c r="J210">
        <v>3.0343529999999999</v>
      </c>
      <c r="K210">
        <v>3.2261999999999791E-2</v>
      </c>
      <c r="L210">
        <v>95.676524633818318</v>
      </c>
      <c r="M210">
        <f t="shared" si="3"/>
        <v>-28</v>
      </c>
    </row>
    <row r="211" spans="3:13">
      <c r="C211" s="2">
        <v>40359</v>
      </c>
      <c r="D211">
        <v>84.855971992166502</v>
      </c>
      <c r="E211">
        <f>VLOOKUP(C211,'10y swap Vol'!$C$2:$G$3809,5,0)</f>
        <v>99.368101824080128</v>
      </c>
      <c r="F211">
        <f>VLOOKUP(C211,'5y10y Swaption Vol'!temp,3,0)</f>
        <v>104.2798144631</v>
      </c>
      <c r="H211" s="1">
        <v>40387</v>
      </c>
      <c r="I211" t="s">
        <v>2</v>
      </c>
      <c r="J211">
        <v>2.9754700000000001</v>
      </c>
      <c r="K211">
        <v>-5.8882999999999797E-2</v>
      </c>
      <c r="L211">
        <v>95.062476758259052</v>
      </c>
      <c r="M211">
        <f t="shared" si="3"/>
        <v>-28</v>
      </c>
    </row>
    <row r="212" spans="3:13">
      <c r="C212" s="2">
        <v>40360</v>
      </c>
      <c r="D212">
        <v>82.823917462227683</v>
      </c>
      <c r="E212">
        <f>VLOOKUP(C212,'10y swap Vol'!$C$2:$G$3809,5,0)</f>
        <v>97.358013541740789</v>
      </c>
      <c r="F212">
        <f>VLOOKUP(C212,'5y10y Swaption Vol'!temp,3,0)</f>
        <v>103.71077886240001</v>
      </c>
      <c r="H212" s="1">
        <v>40388</v>
      </c>
      <c r="I212" t="s">
        <v>2</v>
      </c>
      <c r="J212">
        <v>2.9612090000000002</v>
      </c>
      <c r="K212">
        <v>-1.4260999999999857E-2</v>
      </c>
      <c r="L212">
        <v>93.816252394099081</v>
      </c>
      <c r="M212">
        <f t="shared" si="3"/>
        <v>-28</v>
      </c>
    </row>
    <row r="213" spans="3:13">
      <c r="C213" s="2">
        <v>40361</v>
      </c>
      <c r="D213">
        <v>82.867833413349985</v>
      </c>
      <c r="E213">
        <f>VLOOKUP(C213,'10y swap Vol'!$C$2:$G$3809,5,0)</f>
        <v>98.191102313726702</v>
      </c>
      <c r="F213">
        <f>VLOOKUP(C213,'5y10y Swaption Vol'!temp,3,0)</f>
        <v>101.95229801249999</v>
      </c>
      <c r="H213" s="1">
        <v>40389</v>
      </c>
      <c r="I213" t="s">
        <v>2</v>
      </c>
      <c r="J213">
        <v>2.8862519999999998</v>
      </c>
      <c r="K213">
        <v>-7.4957000000000384E-2</v>
      </c>
      <c r="L213">
        <v>94.031316878465034</v>
      </c>
      <c r="M213">
        <f t="shared" si="3"/>
        <v>-28</v>
      </c>
    </row>
    <row r="214" spans="3:13">
      <c r="C214" s="2">
        <v>40365</v>
      </c>
      <c r="D214">
        <v>84.01723833999479</v>
      </c>
      <c r="E214">
        <f>VLOOKUP(C214,'10y swap Vol'!$C$2:$G$3809,5,0)</f>
        <v>98.389601803411608</v>
      </c>
      <c r="F214">
        <f>VLOOKUP(C214,'5y10y Swaption Vol'!temp,3,0)</f>
        <v>101.2091427232</v>
      </c>
      <c r="H214" s="1">
        <v>40392</v>
      </c>
      <c r="I214" t="s">
        <v>2</v>
      </c>
      <c r="J214">
        <v>2.9241540000000001</v>
      </c>
      <c r="K214">
        <v>3.7902000000000324E-2</v>
      </c>
      <c r="L214">
        <v>92.369963854136856</v>
      </c>
      <c r="M214">
        <f t="shared" si="3"/>
        <v>-27</v>
      </c>
    </row>
    <row r="215" spans="3:13">
      <c r="C215" s="2">
        <v>40366</v>
      </c>
      <c r="D215">
        <v>84.387930596144756</v>
      </c>
      <c r="E215">
        <f>VLOOKUP(C215,'10y swap Vol'!$C$2:$G$3809,5,0)</f>
        <v>98.156275190878432</v>
      </c>
      <c r="F215">
        <f>VLOOKUP(C215,'5y10y Swaption Vol'!temp,3,0)</f>
        <v>101.04812093460001</v>
      </c>
      <c r="H215" s="1">
        <v>40393</v>
      </c>
      <c r="I215" t="s">
        <v>2</v>
      </c>
      <c r="J215">
        <v>2.871254</v>
      </c>
      <c r="K215">
        <v>-5.2900000000000169E-2</v>
      </c>
      <c r="L215">
        <v>92.570318398946554</v>
      </c>
      <c r="M215">
        <f t="shared" si="3"/>
        <v>-27</v>
      </c>
    </row>
    <row r="216" spans="3:13">
      <c r="C216" s="2">
        <v>40367</v>
      </c>
      <c r="D216">
        <v>84.518780939727634</v>
      </c>
      <c r="E216">
        <f>VLOOKUP(C216,'10y swap Vol'!$C$2:$G$3809,5,0)</f>
        <v>98.243170852796993</v>
      </c>
      <c r="F216">
        <f>VLOOKUP(C216,'5y10y Swaption Vol'!temp,3,0)</f>
        <v>101.6851922723</v>
      </c>
      <c r="H216" s="1">
        <v>40394</v>
      </c>
      <c r="I216" t="s">
        <v>2</v>
      </c>
      <c r="J216">
        <v>2.914631</v>
      </c>
      <c r="K216">
        <v>4.3376999999999999E-2</v>
      </c>
      <c r="L216">
        <v>90.139548359998429</v>
      </c>
      <c r="M216">
        <f t="shared" si="3"/>
        <v>-27</v>
      </c>
    </row>
    <row r="217" spans="3:13">
      <c r="C217" s="2">
        <v>40368</v>
      </c>
      <c r="D217">
        <v>83.606768183911868</v>
      </c>
      <c r="E217">
        <f>VLOOKUP(C217,'10y swap Vol'!$C$2:$G$3809,5,0)</f>
        <v>98.000779568918816</v>
      </c>
      <c r="F217">
        <f>VLOOKUP(C217,'5y10y Swaption Vol'!temp,3,0)</f>
        <v>101.009316496</v>
      </c>
      <c r="H217" s="1">
        <v>40395</v>
      </c>
      <c r="I217" t="s">
        <v>2</v>
      </c>
      <c r="J217">
        <v>2.8948990000000001</v>
      </c>
      <c r="K217">
        <v>-1.9731999999999861E-2</v>
      </c>
      <c r="L217">
        <v>90.10804800510472</v>
      </c>
      <c r="M217">
        <f t="shared" si="3"/>
        <v>-27</v>
      </c>
    </row>
    <row r="218" spans="3:13">
      <c r="C218" s="2">
        <v>40371</v>
      </c>
      <c r="D218">
        <v>83.630169854485914</v>
      </c>
      <c r="E218">
        <f>VLOOKUP(C218,'10y swap Vol'!$C$2:$G$3809,5,0)</f>
        <v>98.015334608523887</v>
      </c>
      <c r="F218">
        <f>VLOOKUP(C218,'5y10y Swaption Vol'!temp,3,0)</f>
        <v>100.3926705232</v>
      </c>
      <c r="H218" s="1">
        <v>40396</v>
      </c>
      <c r="I218" t="s">
        <v>2</v>
      </c>
      <c r="J218">
        <v>2.8355090000000001</v>
      </c>
      <c r="K218">
        <v>-5.9390000000000054E-2</v>
      </c>
      <c r="L218">
        <v>90.384362483132833</v>
      </c>
      <c r="M218">
        <f t="shared" si="3"/>
        <v>-25</v>
      </c>
    </row>
    <row r="219" spans="3:13">
      <c r="C219" s="2">
        <v>40372</v>
      </c>
      <c r="D219">
        <v>83.757552513188287</v>
      </c>
      <c r="E219">
        <f>VLOOKUP(C219,'10y swap Vol'!$C$2:$G$3809,5,0)</f>
        <v>97.790472769586771</v>
      </c>
      <c r="F219">
        <f>VLOOKUP(C219,'5y10y Swaption Vol'!temp,3,0)</f>
        <v>100.922058393</v>
      </c>
      <c r="H219" s="1">
        <v>40399</v>
      </c>
      <c r="I219" t="s">
        <v>2</v>
      </c>
      <c r="J219">
        <v>2.8059219999999998</v>
      </c>
      <c r="K219">
        <v>-2.9587000000000252E-2</v>
      </c>
      <c r="L219">
        <v>90.437995025152432</v>
      </c>
      <c r="M219">
        <f t="shared" si="3"/>
        <v>-27</v>
      </c>
    </row>
    <row r="220" spans="3:13">
      <c r="C220" s="2">
        <v>40373</v>
      </c>
      <c r="D220">
        <v>83.394859992904159</v>
      </c>
      <c r="E220">
        <f>VLOOKUP(C220,'10y swap Vol'!$C$2:$G$3809,5,0)</f>
        <v>97.427259729374498</v>
      </c>
      <c r="F220">
        <f>VLOOKUP(C220,'5y10y Swaption Vol'!temp,3,0)</f>
        <v>100.45475830469999</v>
      </c>
      <c r="H220" s="1">
        <v>40400</v>
      </c>
      <c r="I220" t="s">
        <v>2</v>
      </c>
      <c r="J220">
        <v>2.765711</v>
      </c>
      <c r="K220">
        <v>-4.0210999999999775E-2</v>
      </c>
      <c r="L220">
        <v>88.272032647862559</v>
      </c>
      <c r="M220">
        <f t="shared" si="3"/>
        <v>-27</v>
      </c>
    </row>
    <row r="221" spans="3:13">
      <c r="C221" s="2">
        <v>40374</v>
      </c>
      <c r="D221">
        <v>84.694152795147218</v>
      </c>
      <c r="E221">
        <f>VLOOKUP(C221,'10y swap Vol'!$C$2:$G$3809,5,0)</f>
        <v>98.857892481241095</v>
      </c>
      <c r="F221">
        <f>VLOOKUP(C221,'5y10y Swaption Vol'!temp,3,0)</f>
        <v>99.921108484000001</v>
      </c>
      <c r="H221" s="1">
        <v>40401</v>
      </c>
      <c r="I221" t="s">
        <v>2</v>
      </c>
      <c r="J221">
        <v>2.6851660000000002</v>
      </c>
      <c r="K221">
        <v>-8.0544999999999867E-2</v>
      </c>
      <c r="L221">
        <v>89.113480485471257</v>
      </c>
      <c r="M221">
        <f t="shared" si="3"/>
        <v>-27</v>
      </c>
    </row>
    <row r="222" spans="3:13">
      <c r="C222" s="2">
        <v>40375</v>
      </c>
      <c r="D222">
        <v>84.485153892699202</v>
      </c>
      <c r="E222">
        <f>VLOOKUP(C222,'10y swap Vol'!$C$2:$G$3809,5,0)</f>
        <v>98.384370047801212</v>
      </c>
      <c r="F222">
        <f>VLOOKUP(C222,'5y10y Swaption Vol'!temp,3,0)</f>
        <v>99.136311985000006</v>
      </c>
      <c r="H222" s="1">
        <v>40402</v>
      </c>
      <c r="I222" t="s">
        <v>2</v>
      </c>
      <c r="J222">
        <v>2.7264119999999998</v>
      </c>
      <c r="K222">
        <v>4.1245999999999672E-2</v>
      </c>
      <c r="L222">
        <v>89.057630100633403</v>
      </c>
      <c r="M222">
        <f t="shared" si="3"/>
        <v>-27</v>
      </c>
    </row>
    <row r="223" spans="3:13">
      <c r="C223" s="2">
        <v>40378</v>
      </c>
      <c r="D223">
        <v>84.970812724744874</v>
      </c>
      <c r="E223">
        <f>VLOOKUP(C223,'10y swap Vol'!$C$2:$G$3809,5,0)</f>
        <v>98.106937432383361</v>
      </c>
      <c r="F223">
        <f>VLOOKUP(C223,'5y10y Swaption Vol'!temp,3,0)</f>
        <v>99.629216346000007</v>
      </c>
      <c r="H223" s="1">
        <v>40403</v>
      </c>
      <c r="I223" t="s">
        <v>2</v>
      </c>
      <c r="J223">
        <v>2.6608420000000002</v>
      </c>
      <c r="K223">
        <v>-6.5569999999999684E-2</v>
      </c>
      <c r="L223">
        <v>89.710310758844471</v>
      </c>
      <c r="M223">
        <f t="shared" si="3"/>
        <v>-25</v>
      </c>
    </row>
    <row r="224" spans="3:13">
      <c r="C224" s="2">
        <v>40379</v>
      </c>
      <c r="D224">
        <v>84.6453254091373</v>
      </c>
      <c r="E224">
        <f>VLOOKUP(C224,'10y swap Vol'!$C$2:$G$3809,5,0)</f>
        <v>97.439692340041987</v>
      </c>
      <c r="F224">
        <f>VLOOKUP(C224,'5y10y Swaption Vol'!temp,3,0)</f>
        <v>99.543010671000005</v>
      </c>
      <c r="H224" s="1">
        <v>40406</v>
      </c>
      <c r="I224" t="s">
        <v>2</v>
      </c>
      <c r="J224">
        <v>2.5690059999999999</v>
      </c>
      <c r="K224">
        <v>-9.1836000000000251E-2</v>
      </c>
      <c r="L224">
        <v>89.283787518790703</v>
      </c>
      <c r="M224">
        <f t="shared" si="3"/>
        <v>-27</v>
      </c>
    </row>
    <row r="225" spans="3:13">
      <c r="C225" s="2">
        <v>40380</v>
      </c>
      <c r="D225">
        <v>85.344683234139168</v>
      </c>
      <c r="E225">
        <f>VLOOKUP(C225,'10y swap Vol'!$C$2:$G$3809,5,0)</f>
        <v>97.729282283855497</v>
      </c>
      <c r="F225">
        <f>VLOOKUP(C225,'5y10y Swaption Vol'!temp,3,0)</f>
        <v>100.15925304</v>
      </c>
      <c r="H225" s="1">
        <v>40407</v>
      </c>
      <c r="I225" t="s">
        <v>2</v>
      </c>
      <c r="J225">
        <v>2.6350180000000001</v>
      </c>
      <c r="K225">
        <v>6.6012000000000182E-2</v>
      </c>
      <c r="L225">
        <v>89.666737125674615</v>
      </c>
      <c r="M225">
        <f t="shared" si="3"/>
        <v>-27</v>
      </c>
    </row>
    <row r="226" spans="3:13">
      <c r="C226" s="2">
        <v>40381</v>
      </c>
      <c r="D226">
        <v>84.481387140739031</v>
      </c>
      <c r="E226">
        <f>VLOOKUP(C226,'10y swap Vol'!$C$2:$G$3809,5,0)</f>
        <v>95.837353211966047</v>
      </c>
      <c r="F226">
        <f>VLOOKUP(C226,'5y10y Swaption Vol'!temp,3,0)</f>
        <v>99.803544287999998</v>
      </c>
      <c r="H226" s="1">
        <v>40408</v>
      </c>
      <c r="I226" t="s">
        <v>2</v>
      </c>
      <c r="J226">
        <v>2.652158</v>
      </c>
      <c r="K226">
        <v>1.7139999999999933E-2</v>
      </c>
      <c r="L226">
        <v>88.953298482249537</v>
      </c>
      <c r="M226">
        <f t="shared" si="3"/>
        <v>-27</v>
      </c>
    </row>
    <row r="227" spans="3:13">
      <c r="C227" s="2">
        <v>40382</v>
      </c>
      <c r="D227">
        <v>84.118818861198761</v>
      </c>
      <c r="E227">
        <f>VLOOKUP(C227,'10y swap Vol'!$C$2:$G$3809,5,0)</f>
        <v>96.177599358673916</v>
      </c>
      <c r="F227">
        <f>VLOOKUP(C227,'5y10y Swaption Vol'!temp,3,0)</f>
        <v>98.4368098116</v>
      </c>
      <c r="H227" s="1">
        <v>40409</v>
      </c>
      <c r="I227" t="s">
        <v>2</v>
      </c>
      <c r="J227">
        <v>2.5871209999999998</v>
      </c>
      <c r="K227">
        <v>-6.5037000000000234E-2</v>
      </c>
      <c r="L227">
        <v>89.488047902264896</v>
      </c>
      <c r="M227">
        <f t="shared" si="3"/>
        <v>-27</v>
      </c>
    </row>
    <row r="228" spans="3:13">
      <c r="C228" s="2">
        <v>40385</v>
      </c>
      <c r="D228">
        <v>83.975921200586939</v>
      </c>
      <c r="E228">
        <f>VLOOKUP(C228,'10y swap Vol'!$C$2:$G$3809,5,0)</f>
        <v>95.619295744117366</v>
      </c>
      <c r="F228">
        <f>VLOOKUP(C228,'5y10y Swaption Vol'!temp,3,0)</f>
        <v>98.017595138900006</v>
      </c>
      <c r="H228" s="1">
        <v>40410</v>
      </c>
      <c r="I228" t="s">
        <v>2</v>
      </c>
      <c r="J228">
        <v>2.6272959999999999</v>
      </c>
      <c r="K228">
        <v>4.0175000000000072E-2</v>
      </c>
      <c r="L228">
        <v>89.107399397187024</v>
      </c>
      <c r="M228">
        <f t="shared" si="3"/>
        <v>-25</v>
      </c>
    </row>
    <row r="229" spans="3:13">
      <c r="C229" s="2">
        <v>40386</v>
      </c>
      <c r="D229">
        <v>83.9228027813284</v>
      </c>
      <c r="E229">
        <f>VLOOKUP(C229,'10y swap Vol'!$C$2:$G$3809,5,0)</f>
        <v>95.676524633818318</v>
      </c>
      <c r="F229">
        <f>VLOOKUP(C229,'5y10y Swaption Vol'!temp,3,0)</f>
        <v>99.423082598600004</v>
      </c>
      <c r="H229" s="1">
        <v>40413</v>
      </c>
      <c r="I229" t="s">
        <v>2</v>
      </c>
      <c r="J229">
        <v>2.614789</v>
      </c>
      <c r="K229">
        <v>-1.2506999999999824E-2</v>
      </c>
      <c r="L229">
        <v>84.815220638097315</v>
      </c>
      <c r="M229">
        <f t="shared" si="3"/>
        <v>-27</v>
      </c>
    </row>
    <row r="230" spans="3:13">
      <c r="C230" s="2">
        <v>40387</v>
      </c>
      <c r="D230">
        <v>83.443778900301112</v>
      </c>
      <c r="E230">
        <f>VLOOKUP(C230,'10y swap Vol'!$C$2:$G$3809,5,0)</f>
        <v>95.062476758259052</v>
      </c>
      <c r="F230">
        <f>VLOOKUP(C230,'5y10y Swaption Vol'!temp,3,0)</f>
        <v>97.846233248000004</v>
      </c>
      <c r="H230" s="1">
        <v>40414</v>
      </c>
      <c r="I230" t="s">
        <v>2</v>
      </c>
      <c r="J230">
        <v>2.5159560000000001</v>
      </c>
      <c r="K230">
        <v>-9.8832999999999949E-2</v>
      </c>
      <c r="L230">
        <v>86.363780203780266</v>
      </c>
      <c r="M230">
        <f t="shared" si="3"/>
        <v>-27</v>
      </c>
    </row>
    <row r="231" spans="3:13">
      <c r="C231" s="2">
        <v>40388</v>
      </c>
      <c r="D231">
        <v>83.066053226752331</v>
      </c>
      <c r="E231">
        <f>VLOOKUP(C231,'10y swap Vol'!$C$2:$G$3809,5,0)</f>
        <v>93.816252394099081</v>
      </c>
      <c r="F231">
        <f>VLOOKUP(C231,'5y10y Swaption Vol'!temp,3,0)</f>
        <v>98.456437782600005</v>
      </c>
      <c r="H231" s="1">
        <v>40415</v>
      </c>
      <c r="I231" t="s">
        <v>2</v>
      </c>
      <c r="J231">
        <v>2.5504769999999999</v>
      </c>
      <c r="K231">
        <v>3.4520999999999802E-2</v>
      </c>
      <c r="L231">
        <v>86.800678207763355</v>
      </c>
      <c r="M231">
        <f t="shared" si="3"/>
        <v>-27</v>
      </c>
    </row>
    <row r="232" spans="3:13">
      <c r="C232" s="2">
        <v>40389</v>
      </c>
      <c r="D232">
        <v>83.522528841220861</v>
      </c>
      <c r="E232">
        <f>VLOOKUP(C232,'10y swap Vol'!$C$2:$G$3809,5,0)</f>
        <v>94.031316878465034</v>
      </c>
      <c r="F232">
        <f>VLOOKUP(C232,'5y10y Swaption Vol'!temp,3,0)</f>
        <v>98.496131314699994</v>
      </c>
      <c r="H232" s="1">
        <v>40416</v>
      </c>
      <c r="I232" t="s">
        <v>2</v>
      </c>
      <c r="J232">
        <v>2.503924</v>
      </c>
      <c r="K232">
        <v>-4.6552999999999845E-2</v>
      </c>
      <c r="L232">
        <v>86.421381717214118</v>
      </c>
      <c r="M232">
        <f t="shared" si="3"/>
        <v>-27</v>
      </c>
    </row>
    <row r="233" spans="3:13">
      <c r="C233" s="2">
        <v>40392</v>
      </c>
      <c r="D233">
        <v>83.290812388179802</v>
      </c>
      <c r="E233">
        <f>VLOOKUP(C233,'10y swap Vol'!$C$2:$G$3809,5,0)</f>
        <v>92.369963854136856</v>
      </c>
      <c r="F233">
        <f>VLOOKUP(C233,'5y10y Swaption Vol'!temp,3,0)</f>
        <v>99.198887917600004</v>
      </c>
      <c r="H233" s="1">
        <v>40417</v>
      </c>
      <c r="I233" t="s">
        <v>2</v>
      </c>
      <c r="J233">
        <v>2.6768000000000001</v>
      </c>
      <c r="K233">
        <v>0.17287600000000003</v>
      </c>
      <c r="L233">
        <v>93.839484049056992</v>
      </c>
      <c r="M233">
        <f t="shared" si="3"/>
        <v>-25</v>
      </c>
    </row>
    <row r="234" spans="3:13">
      <c r="C234" s="2">
        <v>40393</v>
      </c>
      <c r="D234">
        <v>83.087538045151035</v>
      </c>
      <c r="E234">
        <f>VLOOKUP(C234,'10y swap Vol'!$C$2:$G$3809,5,0)</f>
        <v>92.570318398946554</v>
      </c>
      <c r="F234">
        <f>VLOOKUP(C234,'5y10y Swaption Vol'!temp,3,0)</f>
        <v>99.076938468799995</v>
      </c>
      <c r="H234" s="1">
        <v>40420</v>
      </c>
      <c r="I234" t="s">
        <v>2</v>
      </c>
      <c r="J234">
        <v>2.5534650000000001</v>
      </c>
      <c r="K234">
        <v>-0.12333499999999997</v>
      </c>
      <c r="L234">
        <v>91.109774200862788</v>
      </c>
      <c r="M234">
        <f t="shared" si="3"/>
        <v>-27</v>
      </c>
    </row>
    <row r="235" spans="3:13">
      <c r="C235" s="2">
        <v>40394</v>
      </c>
      <c r="D235">
        <v>83.271071131763136</v>
      </c>
      <c r="E235">
        <f>VLOOKUP(C235,'10y swap Vol'!$C$2:$G$3809,5,0)</f>
        <v>90.139548359998429</v>
      </c>
      <c r="F235">
        <f>VLOOKUP(C235,'5y10y Swaption Vol'!temp,3,0)</f>
        <v>98.797948313999996</v>
      </c>
      <c r="H235" s="1">
        <v>40421</v>
      </c>
      <c r="I235" t="s">
        <v>2</v>
      </c>
      <c r="J235">
        <v>2.4804780000000002</v>
      </c>
      <c r="K235">
        <v>-7.2986999999999913E-2</v>
      </c>
      <c r="L235">
        <v>91.9449288163391</v>
      </c>
      <c r="M235">
        <f t="shared" si="3"/>
        <v>-27</v>
      </c>
    </row>
    <row r="236" spans="3:13">
      <c r="C236" s="2">
        <v>40395</v>
      </c>
      <c r="D236">
        <v>83.293830318144558</v>
      </c>
      <c r="E236">
        <f>VLOOKUP(C236,'10y swap Vol'!$C$2:$G$3809,5,0)</f>
        <v>90.10804800510472</v>
      </c>
      <c r="F236">
        <f>VLOOKUP(C236,'5y10y Swaption Vol'!temp,3,0)</f>
        <v>97.1658849807</v>
      </c>
      <c r="H236" s="1">
        <v>40422</v>
      </c>
      <c r="I236" t="s">
        <v>2</v>
      </c>
      <c r="J236">
        <v>2.5801780000000001</v>
      </c>
      <c r="K236">
        <v>9.96999999999999E-2</v>
      </c>
      <c r="L236">
        <v>94.800961288493554</v>
      </c>
      <c r="M236">
        <f t="shared" si="3"/>
        <v>-27</v>
      </c>
    </row>
    <row r="237" spans="3:13">
      <c r="C237" s="2">
        <v>40396</v>
      </c>
      <c r="D237">
        <v>83.860540651158573</v>
      </c>
      <c r="E237">
        <f>VLOOKUP(C237,'10y swap Vol'!$C$2:$G$3809,5,0)</f>
        <v>90.384362483132833</v>
      </c>
      <c r="F237">
        <f>VLOOKUP(C237,'5y10y Swaption Vol'!temp,3,0)</f>
        <v>95.488424687999995</v>
      </c>
      <c r="H237" s="1">
        <v>40423</v>
      </c>
      <c r="I237" t="s">
        <v>2</v>
      </c>
      <c r="J237">
        <v>2.6200749999999999</v>
      </c>
      <c r="K237">
        <v>3.9896999999999849E-2</v>
      </c>
      <c r="L237">
        <v>95.301257136892843</v>
      </c>
      <c r="M237">
        <f t="shared" si="3"/>
        <v>-27</v>
      </c>
    </row>
    <row r="238" spans="3:13">
      <c r="C238" s="2">
        <v>40399</v>
      </c>
      <c r="D238">
        <v>83.91882712591277</v>
      </c>
      <c r="E238">
        <f>VLOOKUP(C238,'10y swap Vol'!$C$2:$G$3809,5,0)</f>
        <v>90.437995025152432</v>
      </c>
      <c r="F238">
        <f>VLOOKUP(C238,'5y10y Swaption Vol'!temp,3,0)</f>
        <v>95.228929636000004</v>
      </c>
      <c r="H238" s="1">
        <v>40424</v>
      </c>
      <c r="I238" t="s">
        <v>2</v>
      </c>
      <c r="J238">
        <v>2.6799119999999998</v>
      </c>
      <c r="K238">
        <v>5.9836999999999918E-2</v>
      </c>
      <c r="L238">
        <v>92.580455346690542</v>
      </c>
      <c r="M238">
        <f t="shared" si="3"/>
        <v>-25</v>
      </c>
    </row>
    <row r="239" spans="3:13">
      <c r="C239" s="2">
        <v>40400</v>
      </c>
      <c r="D239">
        <v>82.529924836681062</v>
      </c>
      <c r="E239">
        <f>VLOOKUP(C239,'10y swap Vol'!$C$2:$G$3809,5,0)</f>
        <v>88.272032647862559</v>
      </c>
      <c r="F239">
        <f>VLOOKUP(C239,'5y10y Swaption Vol'!temp,3,0)</f>
        <v>93.002171419600003</v>
      </c>
      <c r="H239" s="1">
        <v>40428</v>
      </c>
      <c r="I239" t="s">
        <v>2</v>
      </c>
      <c r="J239">
        <v>2.5619689999999999</v>
      </c>
      <c r="K239">
        <v>-0.11794299999999991</v>
      </c>
      <c r="L239">
        <v>93.699917560104993</v>
      </c>
      <c r="M239">
        <f t="shared" si="3"/>
        <v>-28</v>
      </c>
    </row>
    <row r="240" spans="3:13">
      <c r="C240" s="2">
        <v>40401</v>
      </c>
      <c r="D240">
        <v>84.233530894452812</v>
      </c>
      <c r="E240">
        <f>VLOOKUP(C240,'10y swap Vol'!$C$2:$G$3809,5,0)</f>
        <v>89.113480485471257</v>
      </c>
      <c r="F240">
        <f>VLOOKUP(C240,'5y10y Swaption Vol'!temp,3,0)</f>
        <v>91.808119700000006</v>
      </c>
      <c r="H240" s="1">
        <v>40429</v>
      </c>
      <c r="I240" t="s">
        <v>2</v>
      </c>
      <c r="J240">
        <v>2.6168650000000002</v>
      </c>
      <c r="K240">
        <v>5.4896000000000278E-2</v>
      </c>
      <c r="L240">
        <v>93.999107785103348</v>
      </c>
      <c r="M240">
        <f t="shared" si="3"/>
        <v>-28</v>
      </c>
    </row>
    <row r="241" spans="3:13">
      <c r="C241" s="2">
        <v>40402</v>
      </c>
      <c r="D241">
        <v>86.750969327430468</v>
      </c>
      <c r="E241">
        <f>VLOOKUP(C241,'10y swap Vol'!$C$2:$G$3809,5,0)</f>
        <v>89.057630100633403</v>
      </c>
      <c r="F241">
        <f>VLOOKUP(C241,'5y10y Swaption Vol'!temp,3,0)</f>
        <v>92.806420058100002</v>
      </c>
      <c r="H241" s="1">
        <v>40430</v>
      </c>
      <c r="I241" t="s">
        <v>2</v>
      </c>
      <c r="J241">
        <v>2.7347929999999998</v>
      </c>
      <c r="K241">
        <v>0.11792799999999959</v>
      </c>
      <c r="L241">
        <v>97.452709251457676</v>
      </c>
      <c r="M241">
        <f t="shared" si="3"/>
        <v>-28</v>
      </c>
    </row>
    <row r="242" spans="3:13">
      <c r="C242" s="2">
        <v>40403</v>
      </c>
      <c r="D242">
        <v>87.430198701348374</v>
      </c>
      <c r="E242">
        <f>VLOOKUP(C242,'10y swap Vol'!$C$2:$G$3809,5,0)</f>
        <v>89.710310758844471</v>
      </c>
      <c r="F242">
        <f>VLOOKUP(C242,'5y10y Swaption Vol'!temp,3,0)</f>
        <v>94.543993415200006</v>
      </c>
      <c r="H242" s="1">
        <v>40431</v>
      </c>
      <c r="I242" t="s">
        <v>2</v>
      </c>
      <c r="J242">
        <v>2.7749290000000002</v>
      </c>
      <c r="K242">
        <v>4.0136000000000394E-2</v>
      </c>
      <c r="L242">
        <v>97.888407356898227</v>
      </c>
      <c r="M242">
        <f t="shared" si="3"/>
        <v>-28</v>
      </c>
    </row>
    <row r="243" spans="3:13">
      <c r="C243" s="2">
        <v>40406</v>
      </c>
      <c r="D243">
        <v>87.808782598164186</v>
      </c>
      <c r="E243">
        <f>VLOOKUP(C243,'10y swap Vol'!$C$2:$G$3809,5,0)</f>
        <v>89.283787518790703</v>
      </c>
      <c r="F243">
        <f>VLOOKUP(C243,'5y10y Swaption Vol'!temp,3,0)</f>
        <v>97.250980813799998</v>
      </c>
      <c r="H243" s="1">
        <v>40434</v>
      </c>
      <c r="I243" t="s">
        <v>2</v>
      </c>
      <c r="J243">
        <v>2.725584</v>
      </c>
      <c r="K243">
        <v>-4.9345000000000194E-2</v>
      </c>
      <c r="L243">
        <v>96.41159375102292</v>
      </c>
      <c r="M243">
        <f t="shared" si="3"/>
        <v>-28</v>
      </c>
    </row>
    <row r="244" spans="3:13">
      <c r="C244" s="2">
        <v>40407</v>
      </c>
      <c r="D244">
        <v>90.402434554130167</v>
      </c>
      <c r="E244">
        <f>VLOOKUP(C244,'10y swap Vol'!$C$2:$G$3809,5,0)</f>
        <v>89.666737125674615</v>
      </c>
      <c r="F244">
        <f>VLOOKUP(C244,'5y10y Swaption Vol'!temp,3,0)</f>
        <v>95.249579140799995</v>
      </c>
      <c r="H244" s="1">
        <v>40435</v>
      </c>
      <c r="I244" t="s">
        <v>2</v>
      </c>
      <c r="J244">
        <v>2.6394989999999998</v>
      </c>
      <c r="K244">
        <v>-8.6085000000000189E-2</v>
      </c>
      <c r="L244">
        <v>97.416088365830461</v>
      </c>
      <c r="M244">
        <f t="shared" si="3"/>
        <v>-28</v>
      </c>
    </row>
    <row r="245" spans="3:13">
      <c r="C245" s="2">
        <v>40408</v>
      </c>
      <c r="D245">
        <v>89.69094533642506</v>
      </c>
      <c r="E245">
        <f>VLOOKUP(C245,'10y swap Vol'!$C$2:$G$3809,5,0)</f>
        <v>88.953298482249537</v>
      </c>
      <c r="F245">
        <f>VLOOKUP(C245,'5y10y Swaption Vol'!temp,3,0)</f>
        <v>94.345104078000006</v>
      </c>
      <c r="H245" s="1">
        <v>40436</v>
      </c>
      <c r="I245" t="s">
        <v>2</v>
      </c>
      <c r="J245">
        <v>2.7081059999999999</v>
      </c>
      <c r="K245">
        <v>6.8607000000000085E-2</v>
      </c>
      <c r="L245">
        <v>98.744458611349117</v>
      </c>
      <c r="M245">
        <f t="shared" si="3"/>
        <v>-28</v>
      </c>
    </row>
    <row r="246" spans="3:13">
      <c r="C246" s="2">
        <v>40409</v>
      </c>
      <c r="D246">
        <v>92.87230738023689</v>
      </c>
      <c r="E246">
        <f>VLOOKUP(C246,'10y swap Vol'!$C$2:$G$3809,5,0)</f>
        <v>89.488047902264896</v>
      </c>
      <c r="F246">
        <f>VLOOKUP(C246,'5y10y Swaption Vol'!temp,3,0)</f>
        <v>94.897997048500002</v>
      </c>
      <c r="H246" s="1">
        <v>40437</v>
      </c>
      <c r="I246" t="s">
        <v>2</v>
      </c>
      <c r="J246">
        <v>2.7636210000000001</v>
      </c>
      <c r="K246">
        <v>5.5515000000000203E-2</v>
      </c>
      <c r="L246">
        <v>99.171568318513167</v>
      </c>
      <c r="M246">
        <f t="shared" si="3"/>
        <v>-28</v>
      </c>
    </row>
    <row r="247" spans="3:13">
      <c r="C247" s="2">
        <v>40410</v>
      </c>
      <c r="D247">
        <v>95.935773123275169</v>
      </c>
      <c r="E247">
        <f>VLOOKUP(C247,'10y swap Vol'!$C$2:$G$3809,5,0)</f>
        <v>89.107399397187024</v>
      </c>
      <c r="F247">
        <f>VLOOKUP(C247,'5y10y Swaption Vol'!temp,3,0)</f>
        <v>95.066893294799996</v>
      </c>
      <c r="H247" s="1">
        <v>40438</v>
      </c>
      <c r="I247" t="s">
        <v>2</v>
      </c>
      <c r="J247">
        <v>2.7568999999999999</v>
      </c>
      <c r="K247">
        <v>-6.721000000000199E-3</v>
      </c>
      <c r="L247">
        <v>98.916173183640183</v>
      </c>
      <c r="M247">
        <f t="shared" si="3"/>
        <v>-28</v>
      </c>
    </row>
    <row r="248" spans="3:13">
      <c r="C248" s="2">
        <v>40413</v>
      </c>
      <c r="D248">
        <v>93.344005417042666</v>
      </c>
      <c r="E248">
        <f>VLOOKUP(C248,'10y swap Vol'!$C$2:$G$3809,5,0)</f>
        <v>84.815220638097315</v>
      </c>
      <c r="F248">
        <f>VLOOKUP(C248,'5y10y Swaption Vol'!temp,3,0)</f>
        <v>95.563362644999998</v>
      </c>
      <c r="H248" s="1">
        <v>40441</v>
      </c>
      <c r="I248" t="s">
        <v>2</v>
      </c>
      <c r="J248">
        <v>2.718343</v>
      </c>
      <c r="K248">
        <v>-3.8556999999999952E-2</v>
      </c>
      <c r="L248">
        <v>98.99550472852188</v>
      </c>
      <c r="M248">
        <f t="shared" si="3"/>
        <v>-28</v>
      </c>
    </row>
    <row r="249" spans="3:13">
      <c r="C249" s="2">
        <v>40414</v>
      </c>
      <c r="D249">
        <v>93.876800066526485</v>
      </c>
      <c r="E249">
        <f>VLOOKUP(C249,'10y swap Vol'!$C$2:$G$3809,5,0)</f>
        <v>86.363780203780266</v>
      </c>
      <c r="F249">
        <f>VLOOKUP(C249,'5y10y Swaption Vol'!temp,3,0)</f>
        <v>94.713580273000005</v>
      </c>
      <c r="H249" s="1">
        <v>40442</v>
      </c>
      <c r="I249" t="s">
        <v>2</v>
      </c>
      <c r="J249">
        <v>2.610366</v>
      </c>
      <c r="K249">
        <v>-0.10797699999999999</v>
      </c>
      <c r="L249">
        <v>101.08635580065439</v>
      </c>
      <c r="M249">
        <f t="shared" si="3"/>
        <v>-28</v>
      </c>
    </row>
    <row r="250" spans="3:13">
      <c r="C250" s="2">
        <v>40415</v>
      </c>
      <c r="D250">
        <v>94.006792540379692</v>
      </c>
      <c r="E250">
        <f>VLOOKUP(C250,'10y swap Vol'!$C$2:$G$3809,5,0)</f>
        <v>86.800678207763355</v>
      </c>
      <c r="F250">
        <f>VLOOKUP(C250,'5y10y Swaption Vol'!temp,3,0)</f>
        <v>94.428930591599993</v>
      </c>
      <c r="H250" s="1">
        <v>40443</v>
      </c>
      <c r="I250" t="s">
        <v>2</v>
      </c>
      <c r="J250">
        <v>2.5840719999999999</v>
      </c>
      <c r="K250">
        <v>-2.629400000000004E-2</v>
      </c>
      <c r="L250">
        <v>99.795397963323879</v>
      </c>
      <c r="M250">
        <f t="shared" si="3"/>
        <v>-28</v>
      </c>
    </row>
    <row r="251" spans="3:13">
      <c r="C251" s="2">
        <v>40416</v>
      </c>
      <c r="D251">
        <v>94.203009206213622</v>
      </c>
      <c r="E251">
        <f>VLOOKUP(C251,'10y swap Vol'!$C$2:$G$3809,5,0)</f>
        <v>86.421381717214118</v>
      </c>
      <c r="F251">
        <f>VLOOKUP(C251,'5y10y Swaption Vol'!temp,3,0)</f>
        <v>94.592309996099999</v>
      </c>
      <c r="H251" s="1">
        <v>40444</v>
      </c>
      <c r="I251" t="s">
        <v>2</v>
      </c>
      <c r="J251">
        <v>2.5895410000000001</v>
      </c>
      <c r="K251">
        <v>5.4690000000001682E-3</v>
      </c>
      <c r="L251">
        <v>99.040063549974775</v>
      </c>
      <c r="M251">
        <f t="shared" si="3"/>
        <v>-28</v>
      </c>
    </row>
    <row r="252" spans="3:13">
      <c r="C252" s="2">
        <v>40417</v>
      </c>
      <c r="D252">
        <v>100.5098838610335</v>
      </c>
      <c r="E252">
        <f>VLOOKUP(C252,'10y swap Vol'!$C$2:$G$3809,5,0)</f>
        <v>93.839484049056992</v>
      </c>
      <c r="F252">
        <f>VLOOKUP(C252,'5y10y Swaption Vol'!temp,3,0)</f>
        <v>93.277133274400001</v>
      </c>
      <c r="H252" s="1">
        <v>40445</v>
      </c>
      <c r="I252" t="s">
        <v>2</v>
      </c>
      <c r="J252">
        <v>2.6404109999999998</v>
      </c>
      <c r="K252">
        <v>5.0869999999999749E-2</v>
      </c>
      <c r="L252">
        <v>99.746112896279641</v>
      </c>
      <c r="M252">
        <f t="shared" si="3"/>
        <v>-28</v>
      </c>
    </row>
    <row r="253" spans="3:13">
      <c r="C253" s="2">
        <v>40420</v>
      </c>
      <c r="D253">
        <v>99.116848449442045</v>
      </c>
      <c r="E253">
        <f>VLOOKUP(C253,'10y swap Vol'!$C$2:$G$3809,5,0)</f>
        <v>91.109774200862788</v>
      </c>
      <c r="F253">
        <f>VLOOKUP(C253,'5y10y Swaption Vol'!temp,3,0)</f>
        <v>94.903971074400005</v>
      </c>
      <c r="H253" s="1">
        <v>40448</v>
      </c>
      <c r="I253" t="s">
        <v>2</v>
      </c>
      <c r="J253">
        <v>2.5471490000000001</v>
      </c>
      <c r="K253">
        <v>-9.3261999999999734E-2</v>
      </c>
      <c r="L253">
        <v>101.30482827996212</v>
      </c>
      <c r="M253">
        <f t="shared" si="3"/>
        <v>-28</v>
      </c>
    </row>
    <row r="254" spans="3:13">
      <c r="C254" s="2">
        <v>40421</v>
      </c>
      <c r="D254">
        <v>102.2678834846844</v>
      </c>
      <c r="E254">
        <f>VLOOKUP(C254,'10y swap Vol'!$C$2:$G$3809,5,0)</f>
        <v>91.9449288163391</v>
      </c>
      <c r="F254">
        <f>VLOOKUP(C254,'5y10y Swaption Vol'!temp,3,0)</f>
        <v>94.541705609999994</v>
      </c>
      <c r="H254" s="1">
        <v>40449</v>
      </c>
      <c r="I254" t="s">
        <v>2</v>
      </c>
      <c r="J254">
        <v>2.4790719999999999</v>
      </c>
      <c r="K254">
        <v>-6.8077000000000165E-2</v>
      </c>
      <c r="L254">
        <v>101.11659377320765</v>
      </c>
      <c r="M254">
        <f t="shared" si="3"/>
        <v>-28</v>
      </c>
    </row>
    <row r="255" spans="3:13">
      <c r="C255" s="2">
        <v>40422</v>
      </c>
      <c r="D255">
        <v>105.1909157236047</v>
      </c>
      <c r="E255">
        <f>VLOOKUP(C255,'10y swap Vol'!$C$2:$G$3809,5,0)</f>
        <v>94.800961288493554</v>
      </c>
      <c r="F255">
        <f>VLOOKUP(C255,'5y10y Swaption Vol'!temp,3,0)</f>
        <v>95.575736336600002</v>
      </c>
      <c r="H255" s="1">
        <v>40450</v>
      </c>
      <c r="I255" t="s">
        <v>2</v>
      </c>
      <c r="J255">
        <v>2.539142</v>
      </c>
      <c r="K255">
        <v>6.0070000000000068E-2</v>
      </c>
      <c r="L255">
        <v>101.7923871010302</v>
      </c>
      <c r="M255">
        <f t="shared" si="3"/>
        <v>-28</v>
      </c>
    </row>
    <row r="256" spans="3:13">
      <c r="C256" s="2">
        <v>40423</v>
      </c>
      <c r="D256">
        <v>106.30925997497955</v>
      </c>
      <c r="E256">
        <f>VLOOKUP(C256,'10y swap Vol'!$C$2:$G$3809,5,0)</f>
        <v>95.301257136892843</v>
      </c>
      <c r="F256">
        <f>VLOOKUP(C256,'5y10y Swaption Vol'!temp,3,0)</f>
        <v>93.923561163599999</v>
      </c>
      <c r="H256" s="1">
        <v>40451</v>
      </c>
      <c r="I256" t="s">
        <v>2</v>
      </c>
      <c r="J256">
        <v>2.5646909999999998</v>
      </c>
      <c r="K256">
        <v>2.5548999999999822E-2</v>
      </c>
      <c r="L256">
        <v>101.87344442146727</v>
      </c>
      <c r="M256">
        <f t="shared" si="3"/>
        <v>-28</v>
      </c>
    </row>
    <row r="257" spans="3:13">
      <c r="C257" s="2">
        <v>40424</v>
      </c>
      <c r="D257">
        <v>105.60280901423431</v>
      </c>
      <c r="E257">
        <f>VLOOKUP(C257,'10y swap Vol'!$C$2:$G$3809,5,0)</f>
        <v>92.580455346690542</v>
      </c>
      <c r="F257">
        <f>VLOOKUP(C257,'5y10y Swaption Vol'!temp,3,0)</f>
        <v>92.429973459999999</v>
      </c>
      <c r="H257" s="1">
        <v>40452</v>
      </c>
      <c r="I257" t="s">
        <v>2</v>
      </c>
      <c r="J257">
        <v>2.5897429999999999</v>
      </c>
      <c r="K257">
        <v>2.5052000000000074E-2</v>
      </c>
      <c r="L257">
        <v>101.80375566733215</v>
      </c>
      <c r="M257">
        <f t="shared" si="3"/>
        <v>-28</v>
      </c>
    </row>
    <row r="258" spans="3:13">
      <c r="C258" s="2">
        <v>40428</v>
      </c>
      <c r="D258">
        <v>106.06963859677117</v>
      </c>
      <c r="E258">
        <f>VLOOKUP(C258,'10y swap Vol'!$C$2:$G$3809,5,0)</f>
        <v>93.699917560104993</v>
      </c>
      <c r="F258">
        <f>VLOOKUP(C258,'5y10y Swaption Vol'!temp,3,0)</f>
        <v>93.240702660500006</v>
      </c>
      <c r="H258" s="1">
        <v>40455</v>
      </c>
      <c r="I258" t="s">
        <v>2</v>
      </c>
      <c r="J258">
        <v>2.5488740000000001</v>
      </c>
      <c r="K258">
        <v>-4.0868999999999822E-2</v>
      </c>
      <c r="L258">
        <v>101.35642745654678</v>
      </c>
      <c r="M258">
        <f t="shared" si="3"/>
        <v>-27</v>
      </c>
    </row>
    <row r="259" spans="3:13">
      <c r="C259" s="2">
        <v>40429</v>
      </c>
      <c r="D259">
        <v>106.44663102864267</v>
      </c>
      <c r="E259">
        <f>VLOOKUP(C259,'10y swap Vol'!$C$2:$G$3809,5,0)</f>
        <v>93.999107785103348</v>
      </c>
      <c r="F259">
        <f>VLOOKUP(C259,'5y10y Swaption Vol'!temp,3,0)</f>
        <v>94.133167180800001</v>
      </c>
      <c r="H259" s="1">
        <v>40456</v>
      </c>
      <c r="I259" t="s">
        <v>2</v>
      </c>
      <c r="J259">
        <v>2.5679270000000001</v>
      </c>
      <c r="K259">
        <v>1.9052999999999987E-2</v>
      </c>
      <c r="L259">
        <v>101.51073663476569</v>
      </c>
      <c r="M259">
        <f t="shared" ref="M259:M322" si="4">C259-H259</f>
        <v>-27</v>
      </c>
    </row>
    <row r="260" spans="3:13">
      <c r="C260" s="2">
        <v>40430</v>
      </c>
      <c r="D260">
        <v>109.05617561859511</v>
      </c>
      <c r="E260">
        <f>VLOOKUP(C260,'10y swap Vol'!$C$2:$G$3809,5,0)</f>
        <v>97.452709251457676</v>
      </c>
      <c r="F260">
        <f>VLOOKUP(C260,'5y10y Swaption Vol'!temp,3,0)</f>
        <v>94.667082175999994</v>
      </c>
      <c r="H260" s="1">
        <v>40457</v>
      </c>
      <c r="I260" t="s">
        <v>2</v>
      </c>
      <c r="J260">
        <v>2.5008499999999998</v>
      </c>
      <c r="K260">
        <v>-6.7077000000000275E-2</v>
      </c>
      <c r="L260">
        <v>101.60195374070999</v>
      </c>
      <c r="M260">
        <f t="shared" si="4"/>
        <v>-27</v>
      </c>
    </row>
    <row r="261" spans="3:13">
      <c r="C261" s="2">
        <v>40431</v>
      </c>
      <c r="D261">
        <v>109.47727009955057</v>
      </c>
      <c r="E261">
        <f>VLOOKUP(C261,'10y swap Vol'!$C$2:$G$3809,5,0)</f>
        <v>97.888407356898227</v>
      </c>
      <c r="F261">
        <f>VLOOKUP(C261,'5y10y Swaption Vol'!temp,3,0)</f>
        <v>95.807618079199997</v>
      </c>
      <c r="H261" s="1">
        <v>40458</v>
      </c>
      <c r="I261" t="s">
        <v>2</v>
      </c>
      <c r="J261">
        <v>2.487606</v>
      </c>
      <c r="K261">
        <v>-1.3243999999999811E-2</v>
      </c>
      <c r="L261">
        <v>101.0372629438132</v>
      </c>
      <c r="M261">
        <f t="shared" si="4"/>
        <v>-27</v>
      </c>
    </row>
    <row r="262" spans="3:13">
      <c r="C262" s="2">
        <v>40434</v>
      </c>
      <c r="D262">
        <v>109.90778745100826</v>
      </c>
      <c r="E262">
        <f>VLOOKUP(C262,'10y swap Vol'!$C$2:$G$3809,5,0)</f>
        <v>96.41159375102292</v>
      </c>
      <c r="F262">
        <f>VLOOKUP(C262,'5y10y Swaption Vol'!temp,3,0)</f>
        <v>95.174976404999995</v>
      </c>
      <c r="H262" s="1">
        <v>40459</v>
      </c>
      <c r="I262" t="s">
        <v>2</v>
      </c>
      <c r="J262">
        <v>2.4809199999999998</v>
      </c>
      <c r="K262">
        <v>-6.6860000000001918E-3</v>
      </c>
      <c r="L262">
        <v>99.508802264331948</v>
      </c>
      <c r="M262">
        <f t="shared" si="4"/>
        <v>-25</v>
      </c>
    </row>
    <row r="263" spans="3:13">
      <c r="C263" s="2">
        <v>40435</v>
      </c>
      <c r="D263">
        <v>110.36641678177874</v>
      </c>
      <c r="E263">
        <f>VLOOKUP(C263,'10y swap Vol'!$C$2:$G$3809,5,0)</f>
        <v>97.416088365830461</v>
      </c>
      <c r="F263">
        <f>VLOOKUP(C263,'5y10y Swaption Vol'!temp,3,0)</f>
        <v>95.739144126799999</v>
      </c>
      <c r="H263" s="1">
        <v>40463</v>
      </c>
      <c r="I263" t="s">
        <v>2</v>
      </c>
      <c r="J263">
        <v>2.504975</v>
      </c>
      <c r="K263">
        <v>2.405500000000016E-2</v>
      </c>
      <c r="L263">
        <v>99.609417075782815</v>
      </c>
      <c r="M263">
        <f t="shared" si="4"/>
        <v>-28</v>
      </c>
    </row>
    <row r="264" spans="3:13">
      <c r="C264" s="2">
        <v>40436</v>
      </c>
      <c r="D264">
        <v>111.71271128888061</v>
      </c>
      <c r="E264">
        <f>VLOOKUP(C264,'10y swap Vol'!$C$2:$G$3809,5,0)</f>
        <v>98.744458611349117</v>
      </c>
      <c r="F264">
        <f>VLOOKUP(C264,'5y10y Swaption Vol'!temp,3,0)</f>
        <v>97.108989785600002</v>
      </c>
      <c r="H264" s="1">
        <v>40464</v>
      </c>
      <c r="I264" t="s">
        <v>2</v>
      </c>
      <c r="J264">
        <v>2.5045999999999999</v>
      </c>
      <c r="K264">
        <v>-3.7500000000001421E-4</v>
      </c>
      <c r="L264">
        <v>99.308876032555972</v>
      </c>
      <c r="M264">
        <f t="shared" si="4"/>
        <v>-28</v>
      </c>
    </row>
    <row r="265" spans="3:13">
      <c r="C265" s="2">
        <v>40437</v>
      </c>
      <c r="D265">
        <v>111.19373488261704</v>
      </c>
      <c r="E265">
        <f>VLOOKUP(C265,'10y swap Vol'!$C$2:$G$3809,5,0)</f>
        <v>99.171568318513167</v>
      </c>
      <c r="F265">
        <f>VLOOKUP(C265,'5y10y Swaption Vol'!temp,3,0)</f>
        <v>98.453807040599997</v>
      </c>
      <c r="H265" s="1">
        <v>40465</v>
      </c>
      <c r="I265" t="s">
        <v>2</v>
      </c>
      <c r="J265">
        <v>2.5777890000000001</v>
      </c>
      <c r="K265">
        <v>7.3189000000000171E-2</v>
      </c>
      <c r="L265">
        <v>100.5248826271941</v>
      </c>
      <c r="M265">
        <f t="shared" si="4"/>
        <v>-28</v>
      </c>
    </row>
    <row r="266" spans="3:13">
      <c r="C266" s="2">
        <v>40438</v>
      </c>
      <c r="D266">
        <v>111.21832061060186</v>
      </c>
      <c r="E266">
        <f>VLOOKUP(C266,'10y swap Vol'!$C$2:$G$3809,5,0)</f>
        <v>98.916173183640183</v>
      </c>
      <c r="F266">
        <f>VLOOKUP(C266,'5y10y Swaption Vol'!temp,3,0)</f>
        <v>98.060715043599998</v>
      </c>
      <c r="H266" s="1">
        <v>40466</v>
      </c>
      <c r="I266" t="s">
        <v>2</v>
      </c>
      <c r="J266">
        <v>2.6381389999999998</v>
      </c>
      <c r="K266">
        <v>6.0349999999999682E-2</v>
      </c>
      <c r="L266">
        <v>100.81208462997218</v>
      </c>
      <c r="M266">
        <f t="shared" si="4"/>
        <v>-28</v>
      </c>
    </row>
    <row r="267" spans="3:13">
      <c r="C267" s="2">
        <v>40441</v>
      </c>
      <c r="D267">
        <v>110.81059608116939</v>
      </c>
      <c r="E267">
        <f>VLOOKUP(C267,'10y swap Vol'!$C$2:$G$3809,5,0)</f>
        <v>98.99550472852188</v>
      </c>
      <c r="F267">
        <f>VLOOKUP(C267,'5y10y Swaption Vol'!temp,3,0)</f>
        <v>99.1069428096</v>
      </c>
      <c r="H267" s="1">
        <v>40469</v>
      </c>
      <c r="I267" t="s">
        <v>2</v>
      </c>
      <c r="J267">
        <v>2.556702</v>
      </c>
      <c r="K267">
        <v>-8.143699999999976E-2</v>
      </c>
      <c r="L267">
        <v>101.70586563740048</v>
      </c>
      <c r="M267">
        <f t="shared" si="4"/>
        <v>-28</v>
      </c>
    </row>
    <row r="268" spans="3:13">
      <c r="C268" s="2">
        <v>40442</v>
      </c>
      <c r="D268">
        <v>113.20691177330433</v>
      </c>
      <c r="E268">
        <f>VLOOKUP(C268,'10y swap Vol'!$C$2:$G$3809,5,0)</f>
        <v>101.08635580065439</v>
      </c>
      <c r="F268">
        <f>VLOOKUP(C268,'5y10y Swaption Vol'!temp,3,0)</f>
        <v>98.261278566599998</v>
      </c>
      <c r="H268" s="1">
        <v>40470</v>
      </c>
      <c r="I268" t="s">
        <v>2</v>
      </c>
      <c r="J268">
        <v>2.5312839999999999</v>
      </c>
      <c r="K268">
        <v>-2.5418000000000163E-2</v>
      </c>
      <c r="L268">
        <v>100.37668346786401</v>
      </c>
      <c r="M268">
        <f t="shared" si="4"/>
        <v>-28</v>
      </c>
    </row>
    <row r="269" spans="3:13">
      <c r="C269" s="2">
        <v>40443</v>
      </c>
      <c r="D269">
        <v>111.61007483017065</v>
      </c>
      <c r="E269">
        <f>VLOOKUP(C269,'10y swap Vol'!$C$2:$G$3809,5,0)</f>
        <v>99.795397963323879</v>
      </c>
      <c r="F269">
        <f>VLOOKUP(C269,'5y10y Swaption Vol'!temp,3,0)</f>
        <v>97.939146510699999</v>
      </c>
      <c r="H269" s="1">
        <v>40471</v>
      </c>
      <c r="I269" t="s">
        <v>2</v>
      </c>
      <c r="J269">
        <v>2.5195349999999999</v>
      </c>
      <c r="K269">
        <v>-1.1749000000000009E-2</v>
      </c>
      <c r="L269">
        <v>100.37125832239194</v>
      </c>
      <c r="M269">
        <f t="shared" si="4"/>
        <v>-28</v>
      </c>
    </row>
    <row r="270" spans="3:13">
      <c r="C270" s="2">
        <v>40444</v>
      </c>
      <c r="D270">
        <v>111.72791627861412</v>
      </c>
      <c r="E270">
        <f>VLOOKUP(C270,'10y swap Vol'!$C$2:$G$3809,5,0)</f>
        <v>99.040063549974775</v>
      </c>
      <c r="F270">
        <f>VLOOKUP(C270,'5y10y Swaption Vol'!temp,3,0)</f>
        <v>98.894526231599997</v>
      </c>
      <c r="H270" s="1">
        <v>40472</v>
      </c>
      <c r="I270" t="s">
        <v>2</v>
      </c>
      <c r="J270">
        <v>2.5869719999999998</v>
      </c>
      <c r="K270">
        <v>6.7436999999999969E-2</v>
      </c>
      <c r="L270">
        <v>101.22296249705438</v>
      </c>
      <c r="M270">
        <f t="shared" si="4"/>
        <v>-28</v>
      </c>
    </row>
    <row r="271" spans="3:13">
      <c r="C271" s="2">
        <v>40445</v>
      </c>
      <c r="D271">
        <v>112.69515222311574</v>
      </c>
      <c r="E271">
        <f>VLOOKUP(C271,'10y swap Vol'!$C$2:$G$3809,5,0)</f>
        <v>99.746112896279641</v>
      </c>
      <c r="F271">
        <f>VLOOKUP(C271,'5y10y Swaption Vol'!temp,3,0)</f>
        <v>100.458385408</v>
      </c>
      <c r="H271" s="1">
        <v>40473</v>
      </c>
      <c r="I271" t="s">
        <v>2</v>
      </c>
      <c r="J271">
        <v>2.6260629999999998</v>
      </c>
      <c r="K271">
        <v>3.9090999999999987E-2</v>
      </c>
      <c r="L271">
        <v>101.08933239811722</v>
      </c>
      <c r="M271">
        <f t="shared" si="4"/>
        <v>-28</v>
      </c>
    </row>
    <row r="272" spans="3:13">
      <c r="C272" s="2">
        <v>40448</v>
      </c>
      <c r="D272">
        <v>114.0230484045041</v>
      </c>
      <c r="E272">
        <f>VLOOKUP(C272,'10y swap Vol'!$C$2:$G$3809,5,0)</f>
        <v>101.30482827996212</v>
      </c>
      <c r="F272">
        <f>VLOOKUP(C272,'5y10y Swaption Vol'!temp,3,0)</f>
        <v>102.1142438757</v>
      </c>
      <c r="H272" s="1">
        <v>40476</v>
      </c>
      <c r="I272" t="s">
        <v>2</v>
      </c>
      <c r="J272">
        <v>2.6257670000000002</v>
      </c>
      <c r="K272">
        <v>-2.9599999999962989E-4</v>
      </c>
      <c r="L272">
        <v>101.0801334741947</v>
      </c>
      <c r="M272">
        <f t="shared" si="4"/>
        <v>-28</v>
      </c>
    </row>
    <row r="273" spans="3:13">
      <c r="C273" s="2">
        <v>40449</v>
      </c>
      <c r="D273">
        <v>114.09944026454855</v>
      </c>
      <c r="E273">
        <f>VLOOKUP(C273,'10y swap Vol'!$C$2:$G$3809,5,0)</f>
        <v>101.11659377320765</v>
      </c>
      <c r="F273">
        <f>VLOOKUP(C273,'5y10y Swaption Vol'!temp,3,0)</f>
        <v>102.9635773367</v>
      </c>
      <c r="H273" s="1">
        <v>40477</v>
      </c>
      <c r="I273" t="s">
        <v>2</v>
      </c>
      <c r="J273">
        <v>2.7176999999999998</v>
      </c>
      <c r="K273">
        <v>9.1932999999999598E-2</v>
      </c>
      <c r="L273">
        <v>101.96392428531283</v>
      </c>
      <c r="M273">
        <f t="shared" si="4"/>
        <v>-28</v>
      </c>
    </row>
    <row r="274" spans="3:13">
      <c r="C274" s="2">
        <v>40450</v>
      </c>
      <c r="D274">
        <v>113.95157881943778</v>
      </c>
      <c r="E274">
        <f>VLOOKUP(C274,'10y swap Vol'!$C$2:$G$3809,5,0)</f>
        <v>101.7923871010302</v>
      </c>
      <c r="F274">
        <f>VLOOKUP(C274,'5y10y Swaption Vol'!temp,3,0)</f>
        <v>105.1434220062</v>
      </c>
      <c r="H274" s="1">
        <v>40478</v>
      </c>
      <c r="I274" t="s">
        <v>2</v>
      </c>
      <c r="J274">
        <v>2.7949220000000001</v>
      </c>
      <c r="K274">
        <v>7.7222000000000346E-2</v>
      </c>
      <c r="L274">
        <v>102.94036681968714</v>
      </c>
      <c r="M274">
        <f t="shared" si="4"/>
        <v>-28</v>
      </c>
    </row>
    <row r="275" spans="3:13">
      <c r="C275" s="2">
        <v>40451</v>
      </c>
      <c r="D275">
        <v>113.10905257109447</v>
      </c>
      <c r="E275">
        <f>VLOOKUP(C275,'10y swap Vol'!$C$2:$G$3809,5,0)</f>
        <v>101.87344442146727</v>
      </c>
      <c r="F275">
        <f>VLOOKUP(C275,'5y10y Swaption Vol'!temp,3,0)</f>
        <v>103.546495272</v>
      </c>
      <c r="H275" s="1">
        <v>40479</v>
      </c>
      <c r="I275" t="s">
        <v>2</v>
      </c>
      <c r="J275">
        <v>2.735166</v>
      </c>
      <c r="K275">
        <v>-5.9756000000000142E-2</v>
      </c>
      <c r="L275">
        <v>103.09297752615853</v>
      </c>
      <c r="M275">
        <f t="shared" si="4"/>
        <v>-28</v>
      </c>
    </row>
    <row r="276" spans="3:13">
      <c r="C276" s="2">
        <v>40452</v>
      </c>
      <c r="D276">
        <v>113.06380599339087</v>
      </c>
      <c r="E276">
        <f>VLOOKUP(C276,'10y swap Vol'!$C$2:$G$3809,5,0)</f>
        <v>101.80375566733215</v>
      </c>
      <c r="F276">
        <f>VLOOKUP(C276,'5y10y Swaption Vol'!temp,3,0)</f>
        <v>101.8783249155</v>
      </c>
      <c r="H276" s="1">
        <v>40480</v>
      </c>
      <c r="I276" t="s">
        <v>2</v>
      </c>
      <c r="J276">
        <v>2.6896149999999999</v>
      </c>
      <c r="K276">
        <v>-4.5551000000000119E-2</v>
      </c>
      <c r="L276">
        <v>103.02269553226833</v>
      </c>
      <c r="M276">
        <f t="shared" si="4"/>
        <v>-28</v>
      </c>
    </row>
    <row r="277" spans="3:13">
      <c r="C277" s="2">
        <v>40455</v>
      </c>
      <c r="D277">
        <v>113.46336530583694</v>
      </c>
      <c r="E277">
        <f>VLOOKUP(C277,'10y swap Vol'!$C$2:$G$3809,5,0)</f>
        <v>101.35642745654678</v>
      </c>
      <c r="F277">
        <f>VLOOKUP(C277,'5y10y Swaption Vol'!temp,3,0)</f>
        <v>102.0717048102</v>
      </c>
      <c r="H277" s="1">
        <v>40483</v>
      </c>
      <c r="I277" t="s">
        <v>2</v>
      </c>
      <c r="J277">
        <v>2.7108210000000001</v>
      </c>
      <c r="K277">
        <v>2.120600000000028E-2</v>
      </c>
      <c r="L277">
        <v>103.09248279404875</v>
      </c>
      <c r="M277">
        <f t="shared" si="4"/>
        <v>-28</v>
      </c>
    </row>
    <row r="278" spans="3:13">
      <c r="C278" s="2">
        <v>40456</v>
      </c>
      <c r="D278">
        <v>113.46958914120438</v>
      </c>
      <c r="E278">
        <f>VLOOKUP(C278,'10y swap Vol'!$C$2:$G$3809,5,0)</f>
        <v>101.51073663476569</v>
      </c>
      <c r="F278">
        <f>VLOOKUP(C278,'5y10y Swaption Vol'!temp,3,0)</f>
        <v>102.24148029440001</v>
      </c>
      <c r="H278" s="1">
        <v>40484</v>
      </c>
      <c r="I278" t="s">
        <v>2</v>
      </c>
      <c r="J278">
        <v>2.6938460000000002</v>
      </c>
      <c r="K278">
        <v>-1.6974999999999962E-2</v>
      </c>
      <c r="L278">
        <v>102.47229192894831</v>
      </c>
      <c r="M278">
        <f t="shared" si="4"/>
        <v>-28</v>
      </c>
    </row>
    <row r="279" spans="3:13">
      <c r="C279" s="2">
        <v>40457</v>
      </c>
      <c r="D279">
        <v>113.89520518525703</v>
      </c>
      <c r="E279">
        <f>VLOOKUP(C279,'10y swap Vol'!$C$2:$G$3809,5,0)</f>
        <v>101.60195374070999</v>
      </c>
      <c r="F279">
        <f>VLOOKUP(C279,'5y10y Swaption Vol'!temp,3,0)</f>
        <v>101.0136422658</v>
      </c>
      <c r="H279" s="1">
        <v>40485</v>
      </c>
      <c r="I279" t="s">
        <v>2</v>
      </c>
      <c r="J279">
        <v>2.718467</v>
      </c>
      <c r="K279">
        <v>2.4620999999999782E-2</v>
      </c>
      <c r="L279">
        <v>102.45943182684036</v>
      </c>
      <c r="M279">
        <f t="shared" si="4"/>
        <v>-28</v>
      </c>
    </row>
    <row r="280" spans="3:13">
      <c r="C280" s="2">
        <v>40458</v>
      </c>
      <c r="D280">
        <v>113.70518271231414</v>
      </c>
      <c r="E280">
        <f>VLOOKUP(C280,'10y swap Vol'!$C$2:$G$3809,5,0)</f>
        <v>101.0372629438132</v>
      </c>
      <c r="F280">
        <f>VLOOKUP(C280,'5y10y Swaption Vol'!temp,3,0)</f>
        <v>100.8968137749</v>
      </c>
      <c r="H280" s="1">
        <v>40486</v>
      </c>
      <c r="I280" t="s">
        <v>2</v>
      </c>
      <c r="J280">
        <v>2.6205430000000001</v>
      </c>
      <c r="K280">
        <v>-9.79239999999999E-2</v>
      </c>
      <c r="L280">
        <v>104.0493077145975</v>
      </c>
      <c r="M280">
        <f t="shared" si="4"/>
        <v>-28</v>
      </c>
    </row>
    <row r="281" spans="3:13">
      <c r="C281" s="2">
        <v>40459</v>
      </c>
      <c r="D281">
        <v>112.51207672171005</v>
      </c>
      <c r="E281">
        <f>VLOOKUP(C281,'10y swap Vol'!$C$2:$G$3809,5,0)</f>
        <v>99.508802264331948</v>
      </c>
      <c r="F281">
        <f>VLOOKUP(C281,'5y10y Swaption Vol'!temp,3,0)</f>
        <v>99.171904823999995</v>
      </c>
      <c r="H281" s="1">
        <v>40487</v>
      </c>
      <c r="I281" t="s">
        <v>2</v>
      </c>
      <c r="J281">
        <v>2.6601810000000001</v>
      </c>
      <c r="K281">
        <v>3.9638000000000062E-2</v>
      </c>
      <c r="L281">
        <v>103.11343886352546</v>
      </c>
      <c r="M281">
        <f t="shared" si="4"/>
        <v>-28</v>
      </c>
    </row>
    <row r="282" spans="3:13">
      <c r="C282" s="2">
        <v>40463</v>
      </c>
      <c r="D282">
        <v>113.19645907610875</v>
      </c>
      <c r="E282">
        <f>VLOOKUP(C282,'10y swap Vol'!$C$2:$G$3809,5,0)</f>
        <v>99.609417075782815</v>
      </c>
      <c r="F282">
        <f>VLOOKUP(C282,'5y10y Swaption Vol'!temp,3,0)</f>
        <v>98.951681876500004</v>
      </c>
      <c r="H282" s="1">
        <v>40490</v>
      </c>
      <c r="I282" t="s">
        <v>2</v>
      </c>
      <c r="J282">
        <v>2.6967940000000001</v>
      </c>
      <c r="K282">
        <v>3.6613000000000007E-2</v>
      </c>
      <c r="L282">
        <v>103.03842895586132</v>
      </c>
      <c r="M282">
        <f t="shared" si="4"/>
        <v>-27</v>
      </c>
    </row>
    <row r="283" spans="3:13">
      <c r="C283" s="2">
        <v>40464</v>
      </c>
      <c r="D283">
        <v>112.44928271104425</v>
      </c>
      <c r="E283">
        <f>VLOOKUP(C283,'10y swap Vol'!$C$2:$G$3809,5,0)</f>
        <v>99.308876032555972</v>
      </c>
      <c r="F283">
        <f>VLOOKUP(C283,'5y10y Swaption Vol'!temp,3,0)</f>
        <v>96.284347459399996</v>
      </c>
      <c r="H283" s="1">
        <v>40491</v>
      </c>
      <c r="I283" t="s">
        <v>2</v>
      </c>
      <c r="J283">
        <v>2.8257279999999998</v>
      </c>
      <c r="K283">
        <v>0.12893399999999966</v>
      </c>
      <c r="L283">
        <v>105.4540846617094</v>
      </c>
      <c r="M283">
        <f t="shared" si="4"/>
        <v>-27</v>
      </c>
    </row>
    <row r="284" spans="3:13">
      <c r="C284" s="2">
        <v>40465</v>
      </c>
      <c r="D284">
        <v>112.56681678767147</v>
      </c>
      <c r="E284">
        <f>VLOOKUP(C284,'10y swap Vol'!$C$2:$G$3809,5,0)</f>
        <v>100.5248826271941</v>
      </c>
      <c r="F284">
        <f>VLOOKUP(C284,'5y10y Swaption Vol'!temp,3,0)</f>
        <v>96.319899721599995</v>
      </c>
      <c r="H284" s="1">
        <v>40492</v>
      </c>
      <c r="I284" t="s">
        <v>2</v>
      </c>
      <c r="J284">
        <v>2.8086880000000001</v>
      </c>
      <c r="K284">
        <v>-1.7039999999999722E-2</v>
      </c>
      <c r="L284">
        <v>103.70212515404927</v>
      </c>
      <c r="M284">
        <f t="shared" si="4"/>
        <v>-27</v>
      </c>
    </row>
    <row r="285" spans="3:13">
      <c r="C285" s="2">
        <v>40466</v>
      </c>
      <c r="D285">
        <v>113.50114372602782</v>
      </c>
      <c r="E285">
        <f>VLOOKUP(C285,'10y swap Vol'!$C$2:$G$3809,5,0)</f>
        <v>100.81208462997218</v>
      </c>
      <c r="F285">
        <f>VLOOKUP(C285,'5y10y Swaption Vol'!temp,3,0)</f>
        <v>94.620009370700004</v>
      </c>
      <c r="H285" s="1">
        <v>40494</v>
      </c>
      <c r="I285" t="s">
        <v>2</v>
      </c>
      <c r="J285">
        <v>2.8931529999999999</v>
      </c>
      <c r="K285">
        <v>8.446499999999979E-2</v>
      </c>
      <c r="L285">
        <v>104.23676082118835</v>
      </c>
      <c r="M285">
        <f t="shared" si="4"/>
        <v>-28</v>
      </c>
    </row>
    <row r="286" spans="3:13">
      <c r="C286" s="2">
        <v>40469</v>
      </c>
      <c r="D286">
        <v>114.43217158834582</v>
      </c>
      <c r="E286">
        <f>VLOOKUP(C286,'10y swap Vol'!$C$2:$G$3809,5,0)</f>
        <v>101.70586563740048</v>
      </c>
      <c r="F286">
        <f>VLOOKUP(C286,'5y10y Swaption Vol'!temp,3,0)</f>
        <v>94.269438138799998</v>
      </c>
      <c r="H286" s="1">
        <v>40497</v>
      </c>
      <c r="I286" t="s">
        <v>2</v>
      </c>
      <c r="J286">
        <v>3.041166</v>
      </c>
      <c r="K286">
        <v>0.14801300000000017</v>
      </c>
      <c r="L286">
        <v>108.26514140492944</v>
      </c>
      <c r="M286">
        <f t="shared" si="4"/>
        <v>-28</v>
      </c>
    </row>
    <row r="287" spans="3:13">
      <c r="C287" s="2">
        <v>40470</v>
      </c>
      <c r="D287">
        <v>114.09527034507576</v>
      </c>
      <c r="E287">
        <f>VLOOKUP(C287,'10y swap Vol'!$C$2:$G$3809,5,0)</f>
        <v>100.37668346786401</v>
      </c>
      <c r="F287">
        <f>VLOOKUP(C287,'5y10y Swaption Vol'!temp,3,0)</f>
        <v>94.408452654399994</v>
      </c>
      <c r="H287" s="1">
        <v>40498</v>
      </c>
      <c r="I287" t="s">
        <v>2</v>
      </c>
      <c r="J287">
        <v>2.9972789999999998</v>
      </c>
      <c r="K287">
        <v>-4.3887000000000231E-2</v>
      </c>
      <c r="L287">
        <v>107.75800636618197</v>
      </c>
      <c r="M287">
        <f t="shared" si="4"/>
        <v>-28</v>
      </c>
    </row>
    <row r="288" spans="3:13">
      <c r="C288" s="2">
        <v>40471</v>
      </c>
      <c r="D288">
        <v>114.09872315542835</v>
      </c>
      <c r="E288">
        <f>VLOOKUP(C288,'10y swap Vol'!$C$2:$G$3809,5,0)</f>
        <v>100.37125832239194</v>
      </c>
      <c r="F288">
        <f>VLOOKUP(C288,'5y10y Swaption Vol'!temp,3,0)</f>
        <v>94.828445148</v>
      </c>
      <c r="H288" s="1">
        <v>40499</v>
      </c>
      <c r="I288" t="s">
        <v>2</v>
      </c>
      <c r="J288">
        <v>3.023657</v>
      </c>
      <c r="K288">
        <v>2.6378000000000235E-2</v>
      </c>
      <c r="L288">
        <v>107.61383854070714</v>
      </c>
      <c r="M288">
        <f t="shared" si="4"/>
        <v>-28</v>
      </c>
    </row>
    <row r="289" spans="3:13">
      <c r="C289" s="2">
        <v>40472</v>
      </c>
      <c r="D289">
        <v>114.43687263796589</v>
      </c>
      <c r="E289">
        <f>VLOOKUP(C289,'10y swap Vol'!$C$2:$G$3809,5,0)</f>
        <v>101.22296249705438</v>
      </c>
      <c r="F289">
        <f>VLOOKUP(C289,'5y10y Swaption Vol'!temp,3,0)</f>
        <v>96.113097675299997</v>
      </c>
      <c r="H289" s="1">
        <v>40500</v>
      </c>
      <c r="I289" t="s">
        <v>2</v>
      </c>
      <c r="J289">
        <v>3.040975</v>
      </c>
      <c r="K289">
        <v>1.7317999999999945E-2</v>
      </c>
      <c r="L289">
        <v>107.56157800073625</v>
      </c>
      <c r="M289">
        <f t="shared" si="4"/>
        <v>-28</v>
      </c>
    </row>
    <row r="290" spans="3:13">
      <c r="C290" s="2">
        <v>40473</v>
      </c>
      <c r="D290">
        <v>114.25182384916459</v>
      </c>
      <c r="E290">
        <f>VLOOKUP(C290,'10y swap Vol'!$C$2:$G$3809,5,0)</f>
        <v>101.08933239811722</v>
      </c>
      <c r="F290">
        <f>VLOOKUP(C290,'5y10y Swaption Vol'!temp,3,0)</f>
        <v>97.300284845500002</v>
      </c>
      <c r="H290" s="1">
        <v>40501</v>
      </c>
      <c r="I290" t="s">
        <v>2</v>
      </c>
      <c r="J290">
        <v>3.026602</v>
      </c>
      <c r="K290">
        <v>-1.4372999999999969E-2</v>
      </c>
      <c r="L290">
        <v>105.39673038795723</v>
      </c>
      <c r="M290">
        <f t="shared" si="4"/>
        <v>-28</v>
      </c>
    </row>
    <row r="291" spans="3:13">
      <c r="C291" s="2">
        <v>40476</v>
      </c>
      <c r="D291">
        <v>114.88073189248571</v>
      </c>
      <c r="E291">
        <f>VLOOKUP(C291,'10y swap Vol'!$C$2:$G$3809,5,0)</f>
        <v>101.0801334741947</v>
      </c>
      <c r="F291">
        <f>VLOOKUP(C291,'5y10y Swaption Vol'!temp,3,0)</f>
        <v>97.028760616</v>
      </c>
      <c r="H291" s="1">
        <v>40504</v>
      </c>
      <c r="I291" t="s">
        <v>2</v>
      </c>
      <c r="J291">
        <v>2.9576370000000001</v>
      </c>
      <c r="K291">
        <v>-6.8964999999999943E-2</v>
      </c>
      <c r="L291">
        <v>106.426425469923</v>
      </c>
      <c r="M291">
        <f t="shared" si="4"/>
        <v>-28</v>
      </c>
    </row>
    <row r="292" spans="3:13">
      <c r="C292" s="2">
        <v>40477</v>
      </c>
      <c r="D292">
        <v>115.14584344369125</v>
      </c>
      <c r="E292">
        <f>VLOOKUP(C292,'10y swap Vol'!$C$2:$G$3809,5,0)</f>
        <v>101.96392428531283</v>
      </c>
      <c r="F292">
        <f>VLOOKUP(C292,'5y10y Swaption Vol'!temp,3,0)</f>
        <v>96.968050108</v>
      </c>
      <c r="H292" s="1">
        <v>40505</v>
      </c>
      <c r="I292" t="s">
        <v>2</v>
      </c>
      <c r="J292">
        <v>2.8952429999999998</v>
      </c>
      <c r="K292">
        <v>-6.2394000000000283E-2</v>
      </c>
      <c r="L292">
        <v>106.81125926474057</v>
      </c>
      <c r="M292">
        <f t="shared" si="4"/>
        <v>-28</v>
      </c>
    </row>
    <row r="293" spans="3:13">
      <c r="C293" s="2">
        <v>40478</v>
      </c>
      <c r="D293">
        <v>114.32809236117063</v>
      </c>
      <c r="E293">
        <f>VLOOKUP(C293,'10y swap Vol'!$C$2:$G$3809,5,0)</f>
        <v>102.94036681968714</v>
      </c>
      <c r="F293">
        <f>VLOOKUP(C293,'5y10y Swaption Vol'!temp,3,0)</f>
        <v>96.563272093199998</v>
      </c>
      <c r="H293" s="1">
        <v>40506</v>
      </c>
      <c r="I293" t="s">
        <v>2</v>
      </c>
      <c r="J293">
        <v>3.0482649999999998</v>
      </c>
      <c r="K293">
        <v>0.15302199999999999</v>
      </c>
      <c r="L293">
        <v>105.5706950118211</v>
      </c>
      <c r="M293">
        <f t="shared" si="4"/>
        <v>-28</v>
      </c>
    </row>
    <row r="294" spans="3:13">
      <c r="C294" s="2">
        <v>40479</v>
      </c>
      <c r="D294">
        <v>114.58609046992537</v>
      </c>
      <c r="E294">
        <f>VLOOKUP(C294,'10y swap Vol'!$C$2:$G$3809,5,0)</f>
        <v>103.09297752615853</v>
      </c>
      <c r="F294">
        <f>VLOOKUP(C294,'5y10y Swaption Vol'!temp,3,0)</f>
        <v>97.234118630599994</v>
      </c>
      <c r="H294" s="1">
        <v>40508</v>
      </c>
      <c r="I294" t="s">
        <v>2</v>
      </c>
      <c r="J294">
        <v>3.0102419999999999</v>
      </c>
      <c r="K294">
        <v>-3.8022999999999918E-2</v>
      </c>
      <c r="L294">
        <v>102.52792662986541</v>
      </c>
      <c r="M294">
        <f t="shared" si="4"/>
        <v>-29</v>
      </c>
    </row>
    <row r="295" spans="3:13">
      <c r="C295" s="2">
        <v>40480</v>
      </c>
      <c r="D295">
        <v>114.12564546684017</v>
      </c>
      <c r="E295">
        <f>VLOOKUP(C295,'10y swap Vol'!$C$2:$G$3809,5,0)</f>
        <v>103.02269553226833</v>
      </c>
      <c r="F295">
        <f>VLOOKUP(C295,'5y10y Swaption Vol'!temp,3,0)</f>
        <v>97.090269167200006</v>
      </c>
      <c r="H295" s="1">
        <v>40511</v>
      </c>
      <c r="I295" t="s">
        <v>2</v>
      </c>
      <c r="J295">
        <v>2.9691640000000001</v>
      </c>
      <c r="K295">
        <v>-4.1077999999999726E-2</v>
      </c>
      <c r="L295">
        <v>101.66831130865262</v>
      </c>
      <c r="M295">
        <f t="shared" si="4"/>
        <v>-31</v>
      </c>
    </row>
    <row r="296" spans="3:13">
      <c r="C296" s="2">
        <v>40483</v>
      </c>
      <c r="D296">
        <v>114.43530441029014</v>
      </c>
      <c r="E296">
        <f>VLOOKUP(C296,'10y swap Vol'!$C$2:$G$3809,5,0)</f>
        <v>103.09248279404875</v>
      </c>
      <c r="F296">
        <f>VLOOKUP(C296,'5y10y Swaption Vol'!temp,3,0)</f>
        <v>98.089363746000004</v>
      </c>
      <c r="H296" s="1">
        <v>40512</v>
      </c>
      <c r="I296" t="s">
        <v>2</v>
      </c>
      <c r="J296">
        <v>2.952998</v>
      </c>
      <c r="K296">
        <v>-1.6166000000000125E-2</v>
      </c>
      <c r="L296">
        <v>99.984112756480272</v>
      </c>
      <c r="M296">
        <f t="shared" si="4"/>
        <v>-29</v>
      </c>
    </row>
    <row r="297" spans="3:13">
      <c r="C297" s="2">
        <v>40484</v>
      </c>
      <c r="D297">
        <v>114.14503568413086</v>
      </c>
      <c r="E297">
        <f>VLOOKUP(C297,'10y swap Vol'!$C$2:$G$3809,5,0)</f>
        <v>102.47229192894831</v>
      </c>
      <c r="F297">
        <f>VLOOKUP(C297,'5y10y Swaption Vol'!temp,3,0)</f>
        <v>99.370984652800004</v>
      </c>
      <c r="H297" s="1">
        <v>40513</v>
      </c>
      <c r="I297" t="s">
        <v>2</v>
      </c>
      <c r="J297">
        <v>3.1168559999999998</v>
      </c>
      <c r="K297">
        <v>0.16385799999999984</v>
      </c>
      <c r="L297">
        <v>104.83766336316562</v>
      </c>
      <c r="M297">
        <f t="shared" si="4"/>
        <v>-29</v>
      </c>
    </row>
    <row r="298" spans="3:13">
      <c r="C298" s="2">
        <v>40485</v>
      </c>
      <c r="D298">
        <v>114.17654304712093</v>
      </c>
      <c r="E298">
        <f>VLOOKUP(C298,'10y swap Vol'!$C$2:$G$3809,5,0)</f>
        <v>102.45943182684036</v>
      </c>
      <c r="F298">
        <f>VLOOKUP(C298,'5y10y Swaption Vol'!temp,3,0)</f>
        <v>97.640608219000001</v>
      </c>
      <c r="H298" s="1">
        <v>40514</v>
      </c>
      <c r="I298" t="s">
        <v>2</v>
      </c>
      <c r="J298">
        <v>3.1651199999999999</v>
      </c>
      <c r="K298">
        <v>4.8264000000000085E-2</v>
      </c>
      <c r="L298">
        <v>104.62289788941833</v>
      </c>
      <c r="M298">
        <f t="shared" si="4"/>
        <v>-29</v>
      </c>
    </row>
    <row r="299" spans="3:13">
      <c r="C299" s="2">
        <v>40486</v>
      </c>
      <c r="D299">
        <v>115.2294172323513</v>
      </c>
      <c r="E299">
        <f>VLOOKUP(C299,'10y swap Vol'!$C$2:$G$3809,5,0)</f>
        <v>104.0493077145975</v>
      </c>
      <c r="F299">
        <f>VLOOKUP(C299,'5y10y Swaption Vol'!temp,3,0)</f>
        <v>97.135730921199993</v>
      </c>
      <c r="H299" s="1">
        <v>40515</v>
      </c>
      <c r="I299" t="s">
        <v>2</v>
      </c>
      <c r="J299">
        <v>3.1675900000000001</v>
      </c>
      <c r="K299">
        <v>2.4700000000001943E-3</v>
      </c>
      <c r="L299">
        <v>101.31148919925357</v>
      </c>
      <c r="M299">
        <f t="shared" si="4"/>
        <v>-29</v>
      </c>
    </row>
    <row r="300" spans="3:13">
      <c r="C300" s="2">
        <v>40487</v>
      </c>
      <c r="D300">
        <v>114.55325295909158</v>
      </c>
      <c r="E300">
        <f>VLOOKUP(C300,'10y swap Vol'!$C$2:$G$3809,5,0)</f>
        <v>103.11343886352546</v>
      </c>
      <c r="F300">
        <f>VLOOKUP(C300,'5y10y Swaption Vol'!temp,3,0)</f>
        <v>98.256926013300003</v>
      </c>
      <c r="H300" s="1">
        <v>40518</v>
      </c>
      <c r="I300" t="s">
        <v>2</v>
      </c>
      <c r="J300">
        <v>3.0913200000000001</v>
      </c>
      <c r="K300">
        <v>-7.627000000000006E-2</v>
      </c>
      <c r="L300">
        <v>102.38584328051412</v>
      </c>
      <c r="M300">
        <f t="shared" si="4"/>
        <v>-31</v>
      </c>
    </row>
    <row r="301" spans="3:13">
      <c r="C301" s="2">
        <v>40490</v>
      </c>
      <c r="D301">
        <v>113.08399808573037</v>
      </c>
      <c r="E301">
        <f>VLOOKUP(C301,'10y swap Vol'!$C$2:$G$3809,5,0)</f>
        <v>103.03842895586132</v>
      </c>
      <c r="F301">
        <f>VLOOKUP(C301,'5y10y Swaption Vol'!temp,3,0)</f>
        <v>98.494244133999999</v>
      </c>
      <c r="H301" s="1">
        <v>40519</v>
      </c>
      <c r="I301" t="s">
        <v>2</v>
      </c>
      <c r="J301">
        <v>3.3116789999999998</v>
      </c>
      <c r="K301">
        <v>0.22035899999999975</v>
      </c>
      <c r="L301">
        <v>108.97281600160289</v>
      </c>
      <c r="M301">
        <f t="shared" si="4"/>
        <v>-29</v>
      </c>
    </row>
    <row r="302" spans="3:13">
      <c r="C302" s="2">
        <v>40491</v>
      </c>
      <c r="D302">
        <v>114.08501788859873</v>
      </c>
      <c r="E302">
        <f>VLOOKUP(C302,'10y swap Vol'!$C$2:$G$3809,5,0)</f>
        <v>105.4540846617094</v>
      </c>
      <c r="F302">
        <f>VLOOKUP(C302,'5y10y Swaption Vol'!temp,3,0)</f>
        <v>99.917493705400005</v>
      </c>
      <c r="H302" s="1">
        <v>40520</v>
      </c>
      <c r="I302" t="s">
        <v>2</v>
      </c>
      <c r="J302">
        <v>3.3660700000000001</v>
      </c>
      <c r="K302">
        <v>5.43910000000003E-2</v>
      </c>
      <c r="L302">
        <v>109.18064253866</v>
      </c>
      <c r="M302">
        <f t="shared" si="4"/>
        <v>-29</v>
      </c>
    </row>
    <row r="303" spans="3:13">
      <c r="C303" s="2">
        <v>40492</v>
      </c>
      <c r="D303">
        <v>112.85483854561156</v>
      </c>
      <c r="E303">
        <f>VLOOKUP(C303,'10y swap Vol'!$C$2:$G$3809,5,0)</f>
        <v>103.70212515404927</v>
      </c>
      <c r="F303">
        <f>VLOOKUP(C303,'5y10y Swaption Vol'!temp,3,0)</f>
        <v>100.01110674</v>
      </c>
      <c r="H303" s="1">
        <v>40521</v>
      </c>
      <c r="I303" t="s">
        <v>2</v>
      </c>
      <c r="J303">
        <v>3.3075809999999999</v>
      </c>
      <c r="K303">
        <v>-5.8489000000000235E-2</v>
      </c>
      <c r="L303">
        <v>109.40644176043783</v>
      </c>
      <c r="M303">
        <f t="shared" si="4"/>
        <v>-29</v>
      </c>
    </row>
    <row r="304" spans="3:13">
      <c r="C304" s="2">
        <v>40494</v>
      </c>
      <c r="D304">
        <v>113.93920445657008</v>
      </c>
      <c r="E304">
        <f>VLOOKUP(C304,'10y swap Vol'!$C$2:$G$3809,5,0)</f>
        <v>104.23676082118835</v>
      </c>
      <c r="F304">
        <f>VLOOKUP(C304,'5y10y Swaption Vol'!temp,3,0)</f>
        <v>99.615549286800004</v>
      </c>
      <c r="H304" s="1">
        <v>40522</v>
      </c>
      <c r="I304" t="s">
        <v>2</v>
      </c>
      <c r="J304">
        <v>3.3974489999999999</v>
      </c>
      <c r="K304">
        <v>8.9868000000000059E-2</v>
      </c>
      <c r="L304">
        <v>108.77256804463804</v>
      </c>
      <c r="M304">
        <f t="shared" si="4"/>
        <v>-28</v>
      </c>
    </row>
    <row r="305" spans="3:13">
      <c r="C305" s="2">
        <v>40497</v>
      </c>
      <c r="D305">
        <v>116.37168251351507</v>
      </c>
      <c r="E305">
        <f>VLOOKUP(C305,'10y swap Vol'!$C$2:$G$3809,5,0)</f>
        <v>108.26514140492944</v>
      </c>
      <c r="F305">
        <f>VLOOKUP(C305,'5y10y Swaption Vol'!temp,3,0)</f>
        <v>101.31702875000001</v>
      </c>
      <c r="H305" s="1">
        <v>40525</v>
      </c>
      <c r="I305" t="s">
        <v>2</v>
      </c>
      <c r="J305">
        <v>3.3800490000000001</v>
      </c>
      <c r="K305">
        <v>-1.739999999999986E-2</v>
      </c>
      <c r="L305">
        <v>108.3129975738177</v>
      </c>
      <c r="M305">
        <f t="shared" si="4"/>
        <v>-28</v>
      </c>
    </row>
    <row r="306" spans="3:13">
      <c r="C306" s="2">
        <v>40498</v>
      </c>
      <c r="D306">
        <v>112.69336396698439</v>
      </c>
      <c r="E306">
        <f>VLOOKUP(C306,'10y swap Vol'!$C$2:$G$3809,5,0)</f>
        <v>107.75800636618197</v>
      </c>
      <c r="F306">
        <f>VLOOKUP(C306,'5y10y Swaption Vol'!temp,3,0)</f>
        <v>100.745993349</v>
      </c>
      <c r="H306" s="1">
        <v>40526</v>
      </c>
      <c r="I306" t="s">
        <v>2</v>
      </c>
      <c r="J306">
        <v>3.5585939999999998</v>
      </c>
      <c r="K306">
        <v>0.17854499999999973</v>
      </c>
      <c r="L306">
        <v>113.24503562413047</v>
      </c>
      <c r="M306">
        <f t="shared" si="4"/>
        <v>-28</v>
      </c>
    </row>
    <row r="307" spans="3:13">
      <c r="C307" s="2">
        <v>40499</v>
      </c>
      <c r="D307">
        <v>110.59629344036708</v>
      </c>
      <c r="E307">
        <f>VLOOKUP(C307,'10y swap Vol'!$C$2:$G$3809,5,0)</f>
        <v>107.61383854070714</v>
      </c>
      <c r="F307">
        <f>VLOOKUP(C307,'5y10y Swaption Vol'!temp,3,0)</f>
        <v>101.82350262209999</v>
      </c>
      <c r="H307" s="1">
        <v>40527</v>
      </c>
      <c r="I307" t="s">
        <v>2</v>
      </c>
      <c r="J307">
        <v>3.6388980000000002</v>
      </c>
      <c r="K307">
        <v>8.0304000000000375E-2</v>
      </c>
      <c r="L307">
        <v>113.98557611953476</v>
      </c>
      <c r="M307">
        <f t="shared" si="4"/>
        <v>-28</v>
      </c>
    </row>
    <row r="308" spans="3:13">
      <c r="C308" s="2">
        <v>40500</v>
      </c>
      <c r="D308">
        <v>110.72398972990203</v>
      </c>
      <c r="E308">
        <f>VLOOKUP(C308,'10y swap Vol'!$C$2:$G$3809,5,0)</f>
        <v>107.56157800073625</v>
      </c>
      <c r="F308">
        <f>VLOOKUP(C308,'5y10y Swaption Vol'!temp,3,0)</f>
        <v>102.8703947756</v>
      </c>
      <c r="H308" s="1">
        <v>40528</v>
      </c>
      <c r="I308" t="s">
        <v>2</v>
      </c>
      <c r="J308">
        <v>3.6031439999999999</v>
      </c>
      <c r="K308">
        <v>-3.5754000000000286E-2</v>
      </c>
      <c r="L308">
        <v>113.93150637163301</v>
      </c>
      <c r="M308">
        <f t="shared" si="4"/>
        <v>-28</v>
      </c>
    </row>
    <row r="309" spans="3:13">
      <c r="C309" s="2">
        <v>40501</v>
      </c>
      <c r="D309">
        <v>109.81536544470605</v>
      </c>
      <c r="E309">
        <f>VLOOKUP(C309,'10y swap Vol'!$C$2:$G$3809,5,0)</f>
        <v>105.39673038795723</v>
      </c>
      <c r="F309">
        <f>VLOOKUP(C309,'5y10y Swaption Vol'!temp,3,0)</f>
        <v>102.76375840199999</v>
      </c>
      <c r="H309" s="1">
        <v>40529</v>
      </c>
      <c r="I309" t="s">
        <v>2</v>
      </c>
      <c r="J309">
        <v>3.4126850000000002</v>
      </c>
      <c r="K309">
        <v>-0.19045899999999971</v>
      </c>
      <c r="L309">
        <v>118.83474535719527</v>
      </c>
      <c r="M309">
        <f t="shared" si="4"/>
        <v>-28</v>
      </c>
    </row>
    <row r="310" spans="3:13">
      <c r="C310" s="2">
        <v>40504</v>
      </c>
      <c r="D310">
        <v>110.18592144571373</v>
      </c>
      <c r="E310">
        <f>VLOOKUP(C310,'10y swap Vol'!$C$2:$G$3809,5,0)</f>
        <v>106.426425469923</v>
      </c>
      <c r="F310">
        <f>VLOOKUP(C310,'5y10y Swaption Vol'!temp,3,0)</f>
        <v>102.475518984</v>
      </c>
      <c r="H310" s="1">
        <v>40532</v>
      </c>
      <c r="I310" t="s">
        <v>2</v>
      </c>
      <c r="J310">
        <v>3.4291130000000001</v>
      </c>
      <c r="K310">
        <v>1.6427999999999887E-2</v>
      </c>
      <c r="L310">
        <v>118.55013452318548</v>
      </c>
      <c r="M310">
        <f t="shared" si="4"/>
        <v>-28</v>
      </c>
    </row>
    <row r="311" spans="3:13">
      <c r="C311" s="2">
        <v>40505</v>
      </c>
      <c r="D311">
        <v>109.46738967935391</v>
      </c>
      <c r="E311">
        <f>VLOOKUP(C311,'10y swap Vol'!$C$2:$G$3809,5,0)</f>
        <v>106.81125926474057</v>
      </c>
      <c r="F311">
        <f>VLOOKUP(C311,'5y10y Swaption Vol'!temp,3,0)</f>
        <v>102.7483758576</v>
      </c>
      <c r="H311" s="1">
        <v>40533</v>
      </c>
      <c r="I311" t="s">
        <v>2</v>
      </c>
      <c r="J311">
        <v>3.403772</v>
      </c>
      <c r="K311">
        <v>-2.5341000000000058E-2</v>
      </c>
      <c r="L311">
        <v>118.81153432011253</v>
      </c>
      <c r="M311">
        <f t="shared" si="4"/>
        <v>-28</v>
      </c>
    </row>
    <row r="312" spans="3:13">
      <c r="C312" s="2">
        <v>40506</v>
      </c>
      <c r="D312">
        <v>109.06682015970492</v>
      </c>
      <c r="E312">
        <f>VLOOKUP(C312,'10y swap Vol'!$C$2:$G$3809,5,0)</f>
        <v>105.5706950118211</v>
      </c>
      <c r="F312">
        <f>VLOOKUP(C312,'5y10y Swaption Vol'!temp,3,0)</f>
        <v>104.2087725786</v>
      </c>
      <c r="H312" s="1">
        <v>40534</v>
      </c>
      <c r="I312" t="s">
        <v>2</v>
      </c>
      <c r="J312">
        <v>3.4295010000000001</v>
      </c>
      <c r="K312">
        <v>2.5729000000000113E-2</v>
      </c>
      <c r="L312">
        <v>118.58771819302704</v>
      </c>
      <c r="M312">
        <f t="shared" si="4"/>
        <v>-28</v>
      </c>
    </row>
    <row r="313" spans="3:13">
      <c r="C313" s="2">
        <v>40508</v>
      </c>
      <c r="D313">
        <v>106.03587137925041</v>
      </c>
      <c r="E313">
        <f>VLOOKUP(C313,'10y swap Vol'!$C$2:$G$3809,5,0)</f>
        <v>102.52792662986541</v>
      </c>
      <c r="F313">
        <f>VLOOKUP(C313,'5y10y Swaption Vol'!temp,3,0)</f>
        <v>104.22634485490001</v>
      </c>
      <c r="H313" s="1">
        <v>40535</v>
      </c>
      <c r="I313" t="s">
        <v>2</v>
      </c>
      <c r="J313">
        <v>3.4697490000000002</v>
      </c>
      <c r="K313">
        <v>4.0248000000000062E-2</v>
      </c>
      <c r="L313">
        <v>116.62652478980932</v>
      </c>
      <c r="M313">
        <f t="shared" si="4"/>
        <v>-27</v>
      </c>
    </row>
    <row r="314" spans="3:13">
      <c r="C314" s="2">
        <v>40511</v>
      </c>
      <c r="D314">
        <v>102.59826988041476</v>
      </c>
      <c r="E314">
        <f>VLOOKUP(C314,'10y swap Vol'!$C$2:$G$3809,5,0)</f>
        <v>101.66831130865262</v>
      </c>
      <c r="F314">
        <f>VLOOKUP(C314,'5y10y Swaption Vol'!temp,3,0)</f>
        <v>104.99639937320001</v>
      </c>
      <c r="H314" s="1">
        <v>40539</v>
      </c>
      <c r="I314" t="s">
        <v>2</v>
      </c>
      <c r="J314">
        <v>3.4181729999999999</v>
      </c>
      <c r="K314">
        <v>-5.1576000000000288E-2</v>
      </c>
      <c r="L314">
        <v>116.1739671819998</v>
      </c>
      <c r="M314">
        <f t="shared" si="4"/>
        <v>-28</v>
      </c>
    </row>
    <row r="315" spans="3:13">
      <c r="C315" s="2">
        <v>40512</v>
      </c>
      <c r="D315">
        <v>100.49160834785609</v>
      </c>
      <c r="E315">
        <f>VLOOKUP(C315,'10y swap Vol'!$C$2:$G$3809,5,0)</f>
        <v>99.984112756480272</v>
      </c>
      <c r="F315">
        <f>VLOOKUP(C315,'5y10y Swaption Vol'!temp,3,0)</f>
        <v>106.47096367260001</v>
      </c>
      <c r="H315" s="1">
        <v>40540</v>
      </c>
      <c r="I315" t="s">
        <v>2</v>
      </c>
      <c r="J315">
        <v>3.5481470000000002</v>
      </c>
      <c r="K315">
        <v>0.12997400000000026</v>
      </c>
      <c r="L315">
        <v>118.16570915801113</v>
      </c>
      <c r="M315">
        <f t="shared" si="4"/>
        <v>-28</v>
      </c>
    </row>
    <row r="316" spans="3:13">
      <c r="C316" s="2">
        <v>40513</v>
      </c>
      <c r="D316">
        <v>104.27457597663947</v>
      </c>
      <c r="E316">
        <f>VLOOKUP(C316,'10y swap Vol'!$C$2:$G$3809,5,0)</f>
        <v>104.83766336316562</v>
      </c>
      <c r="F316">
        <f>VLOOKUP(C316,'5y10y Swaption Vol'!temp,3,0)</f>
        <v>107.5701205024</v>
      </c>
      <c r="H316" s="1">
        <v>40541</v>
      </c>
      <c r="I316" t="s">
        <v>2</v>
      </c>
      <c r="J316">
        <v>3.4107599999999998</v>
      </c>
      <c r="K316">
        <v>-0.13738700000000037</v>
      </c>
      <c r="L316">
        <v>122.26500412130112</v>
      </c>
      <c r="M316">
        <f t="shared" si="4"/>
        <v>-28</v>
      </c>
    </row>
    <row r="317" spans="3:13">
      <c r="C317" s="2">
        <v>40514</v>
      </c>
      <c r="D317">
        <v>102.73076420275184</v>
      </c>
      <c r="E317">
        <f>VLOOKUP(C317,'10y swap Vol'!$C$2:$G$3809,5,0)</f>
        <v>104.62289788941833</v>
      </c>
      <c r="F317">
        <f>VLOOKUP(C317,'5y10y Swaption Vol'!temp,3,0)</f>
        <v>107.78754884</v>
      </c>
      <c r="H317" s="1">
        <v>40542</v>
      </c>
      <c r="I317" t="s">
        <v>2</v>
      </c>
      <c r="J317">
        <v>3.4410630000000002</v>
      </c>
      <c r="K317">
        <v>3.0303000000000413E-2</v>
      </c>
      <c r="L317">
        <v>122.28962848939172</v>
      </c>
      <c r="M317">
        <f t="shared" si="4"/>
        <v>-28</v>
      </c>
    </row>
    <row r="318" spans="3:13">
      <c r="C318" s="2">
        <v>40515</v>
      </c>
      <c r="D318">
        <v>100.43779083203094</v>
      </c>
      <c r="E318">
        <f>VLOOKUP(C318,'10y swap Vol'!$C$2:$G$3809,5,0)</f>
        <v>101.31148919925357</v>
      </c>
      <c r="F318">
        <f>VLOOKUP(C318,'5y10y Swaption Vol'!temp,3,0)</f>
        <v>108.5729435375</v>
      </c>
      <c r="H318" s="1">
        <v>40543</v>
      </c>
      <c r="I318" t="s">
        <v>2</v>
      </c>
      <c r="J318">
        <v>3.3683689999999999</v>
      </c>
      <c r="K318">
        <v>-7.2694000000000258E-2</v>
      </c>
      <c r="L318">
        <v>123.06683917886532</v>
      </c>
      <c r="M318">
        <f t="shared" si="4"/>
        <v>-28</v>
      </c>
    </row>
    <row r="319" spans="3:13">
      <c r="C319" s="2">
        <v>40518</v>
      </c>
      <c r="D319">
        <v>102.37533608710454</v>
      </c>
      <c r="E319">
        <f>VLOOKUP(C319,'10y swap Vol'!$C$2:$G$3809,5,0)</f>
        <v>102.38584328051412</v>
      </c>
      <c r="F319">
        <f>VLOOKUP(C319,'5y10y Swaption Vol'!temp,3,0)</f>
        <v>109.4694163528</v>
      </c>
      <c r="H319" s="1">
        <v>40546</v>
      </c>
      <c r="I319" t="s">
        <v>2</v>
      </c>
      <c r="J319">
        <v>3.410952</v>
      </c>
      <c r="K319">
        <v>4.2583000000000037E-2</v>
      </c>
      <c r="L319">
        <v>123.20419476174148</v>
      </c>
      <c r="M319">
        <f t="shared" si="4"/>
        <v>-28</v>
      </c>
    </row>
    <row r="320" spans="3:13">
      <c r="C320" s="2">
        <v>40519</v>
      </c>
      <c r="D320">
        <v>107.83868190461587</v>
      </c>
      <c r="E320">
        <f>VLOOKUP(C320,'10y swap Vol'!$C$2:$G$3809,5,0)</f>
        <v>108.97281600160289</v>
      </c>
      <c r="F320">
        <f>VLOOKUP(C320,'5y10y Swaption Vol'!temp,3,0)</f>
        <v>111.96234286559999</v>
      </c>
      <c r="H320" s="1">
        <v>40547</v>
      </c>
      <c r="I320" t="s">
        <v>2</v>
      </c>
      <c r="J320">
        <v>3.405335</v>
      </c>
      <c r="K320">
        <v>-5.6169999999999831E-3</v>
      </c>
      <c r="L320">
        <v>122.12334885847544</v>
      </c>
      <c r="M320">
        <f t="shared" si="4"/>
        <v>-28</v>
      </c>
    </row>
    <row r="321" spans="3:13">
      <c r="C321" s="2">
        <v>40520</v>
      </c>
      <c r="D321">
        <v>107.98904272895606</v>
      </c>
      <c r="E321">
        <f>VLOOKUP(C321,'10y swap Vol'!$C$2:$G$3809,5,0)</f>
        <v>109.18064253866</v>
      </c>
      <c r="F321">
        <f>VLOOKUP(C321,'5y10y Swaption Vol'!temp,3,0)</f>
        <v>111.7220346782</v>
      </c>
      <c r="H321" s="1">
        <v>40548</v>
      </c>
      <c r="I321" t="s">
        <v>2</v>
      </c>
      <c r="J321">
        <v>3.5620029999999998</v>
      </c>
      <c r="K321">
        <v>0.15666799999999981</v>
      </c>
      <c r="L321">
        <v>125.33659425015546</v>
      </c>
      <c r="M321">
        <f t="shared" si="4"/>
        <v>-28</v>
      </c>
    </row>
    <row r="322" spans="3:13">
      <c r="C322" s="2">
        <v>40521</v>
      </c>
      <c r="D322">
        <v>106.32002416840807</v>
      </c>
      <c r="E322">
        <f>VLOOKUP(C322,'10y swap Vol'!$C$2:$G$3809,5,0)</f>
        <v>109.40644176043783</v>
      </c>
      <c r="F322">
        <f>VLOOKUP(C322,'5y10y Swaption Vol'!temp,3,0)</f>
        <v>110.8337490504</v>
      </c>
      <c r="H322" s="1">
        <v>40549</v>
      </c>
      <c r="I322" t="s">
        <v>2</v>
      </c>
      <c r="J322">
        <v>3.4874480000000001</v>
      </c>
      <c r="K322">
        <v>-7.4554999999999705E-2</v>
      </c>
      <c r="L322">
        <v>126.65952017403788</v>
      </c>
      <c r="M322">
        <f t="shared" si="4"/>
        <v>-28</v>
      </c>
    </row>
    <row r="323" spans="3:13">
      <c r="C323" s="2">
        <v>40522</v>
      </c>
      <c r="D323">
        <v>106.12104129427154</v>
      </c>
      <c r="E323">
        <f>VLOOKUP(C323,'10y swap Vol'!$C$2:$G$3809,5,0)</f>
        <v>108.77256804463804</v>
      </c>
      <c r="F323">
        <f>VLOOKUP(C323,'5y10y Swaption Vol'!temp,3,0)</f>
        <v>111.91435693619999</v>
      </c>
      <c r="H323" s="1">
        <v>40550</v>
      </c>
      <c r="I323" t="s">
        <v>2</v>
      </c>
      <c r="J323">
        <v>3.3993980000000001</v>
      </c>
      <c r="K323">
        <v>-8.8049999999999962E-2</v>
      </c>
      <c r="L323">
        <v>128.44112474415849</v>
      </c>
      <c r="M323">
        <f t="shared" ref="M323:M386" si="5">C323-H323</f>
        <v>-28</v>
      </c>
    </row>
    <row r="324" spans="3:13">
      <c r="C324" s="2">
        <v>40525</v>
      </c>
      <c r="D324">
        <v>105.45904464981525</v>
      </c>
      <c r="E324">
        <f>VLOOKUP(C324,'10y swap Vol'!$C$2:$G$3809,5,0)</f>
        <v>108.3129975738177</v>
      </c>
      <c r="F324">
        <f>VLOOKUP(C324,'5y10y Swaption Vol'!temp,3,0)</f>
        <v>110.9629198695</v>
      </c>
      <c r="H324" s="1">
        <v>40553</v>
      </c>
      <c r="I324" t="s">
        <v>2</v>
      </c>
      <c r="J324">
        <v>3.3764569999999998</v>
      </c>
      <c r="K324">
        <v>-2.2941000000000322E-2</v>
      </c>
      <c r="L324">
        <v>128.63733977751568</v>
      </c>
      <c r="M324">
        <f t="shared" si="5"/>
        <v>-28</v>
      </c>
    </row>
    <row r="325" spans="3:13">
      <c r="C325" s="2">
        <v>40526</v>
      </c>
      <c r="D325">
        <v>110.7150082822284</v>
      </c>
      <c r="E325">
        <f>VLOOKUP(C325,'10y swap Vol'!$C$2:$G$3809,5,0)</f>
        <v>113.24503562413047</v>
      </c>
      <c r="F325">
        <f>VLOOKUP(C325,'5y10y Swaption Vol'!temp,3,0)</f>
        <v>111.6559227166</v>
      </c>
      <c r="H325" s="1">
        <v>40554</v>
      </c>
      <c r="I325" t="s">
        <v>2</v>
      </c>
      <c r="J325">
        <v>3.4080710000000001</v>
      </c>
      <c r="K325">
        <v>3.1614000000000253E-2</v>
      </c>
      <c r="L325">
        <v>128.11289944908518</v>
      </c>
      <c r="M325">
        <f t="shared" si="5"/>
        <v>-28</v>
      </c>
    </row>
    <row r="326" spans="3:13">
      <c r="C326" s="2">
        <v>40527</v>
      </c>
      <c r="D326">
        <v>111.94895336533803</v>
      </c>
      <c r="E326">
        <f>VLOOKUP(C326,'10y swap Vol'!$C$2:$G$3809,5,0)</f>
        <v>113.98557611953476</v>
      </c>
      <c r="F326">
        <f>VLOOKUP(C326,'5y10y Swaption Vol'!temp,3,0)</f>
        <v>112.5766844944</v>
      </c>
      <c r="H326" s="1">
        <v>40555</v>
      </c>
      <c r="I326" t="s">
        <v>2</v>
      </c>
      <c r="J326">
        <v>3.4193250000000002</v>
      </c>
      <c r="K326">
        <v>1.1254000000000097E-2</v>
      </c>
      <c r="L326">
        <v>127.74908117496587</v>
      </c>
      <c r="M326">
        <f t="shared" si="5"/>
        <v>-28</v>
      </c>
    </row>
    <row r="327" spans="3:13">
      <c r="C327" s="2">
        <v>40528</v>
      </c>
      <c r="D327">
        <v>110.8137893102619</v>
      </c>
      <c r="E327">
        <f>VLOOKUP(C327,'10y swap Vol'!$C$2:$G$3809,5,0)</f>
        <v>113.93150637163301</v>
      </c>
      <c r="F327">
        <f>VLOOKUP(C327,'5y10y Swaption Vol'!temp,3,0)</f>
        <v>112.09080803010001</v>
      </c>
      <c r="H327" s="1">
        <v>40556</v>
      </c>
      <c r="I327" t="s">
        <v>2</v>
      </c>
      <c r="J327">
        <v>3.3587639999999999</v>
      </c>
      <c r="K327">
        <v>-6.0561000000000309E-2</v>
      </c>
      <c r="L327">
        <v>127.1647669475395</v>
      </c>
      <c r="M327">
        <f t="shared" si="5"/>
        <v>-28</v>
      </c>
    </row>
    <row r="328" spans="3:13">
      <c r="C328" s="2">
        <v>40529</v>
      </c>
      <c r="D328">
        <v>114.91037593619046</v>
      </c>
      <c r="E328">
        <f>VLOOKUP(C328,'10y swap Vol'!$C$2:$G$3809,5,0)</f>
        <v>118.83474535719527</v>
      </c>
      <c r="F328">
        <f>VLOOKUP(C328,'5y10y Swaption Vol'!temp,3,0)</f>
        <v>110.91185445319999</v>
      </c>
      <c r="H328" s="1">
        <v>40557</v>
      </c>
      <c r="I328" t="s">
        <v>2</v>
      </c>
      <c r="J328">
        <v>3.3942920000000001</v>
      </c>
      <c r="K328">
        <v>3.5528000000000226E-2</v>
      </c>
      <c r="L328">
        <v>126.98551250994117</v>
      </c>
      <c r="M328">
        <f t="shared" si="5"/>
        <v>-28</v>
      </c>
    </row>
    <row r="329" spans="3:13">
      <c r="C329" s="2">
        <v>40532</v>
      </c>
      <c r="D329">
        <v>114.67072803728296</v>
      </c>
      <c r="E329">
        <f>VLOOKUP(C329,'10y swap Vol'!$C$2:$G$3809,5,0)</f>
        <v>118.55013452318548</v>
      </c>
      <c r="F329">
        <f>VLOOKUP(C329,'5y10y Swaption Vol'!temp,3,0)</f>
        <v>110.1288263112</v>
      </c>
      <c r="H329" s="1">
        <v>40561</v>
      </c>
      <c r="I329" t="s">
        <v>2</v>
      </c>
      <c r="J329">
        <v>3.4287920000000001</v>
      </c>
      <c r="K329">
        <v>3.4499999999999975E-2</v>
      </c>
      <c r="L329">
        <v>126.93313346180145</v>
      </c>
      <c r="M329">
        <f t="shared" si="5"/>
        <v>-29</v>
      </c>
    </row>
    <row r="330" spans="3:13">
      <c r="C330" s="2">
        <v>40533</v>
      </c>
      <c r="D330">
        <v>115.05968314386259</v>
      </c>
      <c r="E330">
        <f>VLOOKUP(C330,'10y swap Vol'!$C$2:$G$3809,5,0)</f>
        <v>118.81153432011253</v>
      </c>
      <c r="F330">
        <f>VLOOKUP(C330,'5y10y Swaption Vol'!temp,3,0)</f>
        <v>109.1112342528</v>
      </c>
      <c r="H330" s="1">
        <v>40562</v>
      </c>
      <c r="I330" t="s">
        <v>2</v>
      </c>
      <c r="J330">
        <v>3.4011290000000001</v>
      </c>
      <c r="K330">
        <v>-2.7662999999999993E-2</v>
      </c>
      <c r="L330">
        <v>126.75760675402393</v>
      </c>
      <c r="M330">
        <f t="shared" si="5"/>
        <v>-29</v>
      </c>
    </row>
    <row r="331" spans="3:13">
      <c r="C331" s="2">
        <v>40534</v>
      </c>
      <c r="D331">
        <v>114.53967849451958</v>
      </c>
      <c r="E331">
        <f>VLOOKUP(C331,'10y swap Vol'!$C$2:$G$3809,5,0)</f>
        <v>118.58771819302704</v>
      </c>
      <c r="F331">
        <f>VLOOKUP(C331,'5y10y Swaption Vol'!temp,3,0)</f>
        <v>109.2651378525</v>
      </c>
      <c r="H331" s="1">
        <v>40563</v>
      </c>
      <c r="I331" t="s">
        <v>2</v>
      </c>
      <c r="J331">
        <v>3.5199449999999999</v>
      </c>
      <c r="K331">
        <v>0.11881599999999981</v>
      </c>
      <c r="L331">
        <v>128.47085722522294</v>
      </c>
      <c r="M331">
        <f t="shared" si="5"/>
        <v>-29</v>
      </c>
    </row>
    <row r="332" spans="3:13">
      <c r="C332" s="2">
        <v>40535</v>
      </c>
      <c r="D332">
        <v>112.64408948779835</v>
      </c>
      <c r="E332">
        <f>VLOOKUP(C332,'10y swap Vol'!$C$2:$G$3809,5,0)</f>
        <v>116.62652478980932</v>
      </c>
      <c r="F332">
        <f>VLOOKUP(C332,'5y10y Swaption Vol'!temp,3,0)</f>
        <v>110.0895109314</v>
      </c>
      <c r="H332" s="1">
        <v>40564</v>
      </c>
      <c r="I332" t="s">
        <v>2</v>
      </c>
      <c r="J332">
        <v>3.4777290000000001</v>
      </c>
      <c r="K332">
        <v>-4.2215999999999809E-2</v>
      </c>
      <c r="L332">
        <v>128.96495209971553</v>
      </c>
      <c r="M332">
        <f t="shared" si="5"/>
        <v>-29</v>
      </c>
    </row>
    <row r="333" spans="3:13">
      <c r="C333" s="2">
        <v>40539</v>
      </c>
      <c r="D333">
        <v>112.1914541224283</v>
      </c>
      <c r="E333">
        <f>VLOOKUP(C333,'10y swap Vol'!$C$2:$G$3809,5,0)</f>
        <v>116.1739671819998</v>
      </c>
      <c r="F333">
        <f>VLOOKUP(C333,'5y10y Swaption Vol'!temp,3,0)</f>
        <v>109.5419346546</v>
      </c>
      <c r="H333" s="1">
        <v>40567</v>
      </c>
      <c r="I333" t="s">
        <v>2</v>
      </c>
      <c r="J333">
        <v>3.4822630000000001</v>
      </c>
      <c r="K333">
        <v>4.534000000000038E-3</v>
      </c>
      <c r="L333">
        <v>127.96282251772459</v>
      </c>
      <c r="M333">
        <f t="shared" si="5"/>
        <v>-28</v>
      </c>
    </row>
    <row r="334" spans="3:13">
      <c r="C334" s="2">
        <v>40540</v>
      </c>
      <c r="D334">
        <v>113.54464235552044</v>
      </c>
      <c r="E334">
        <f>VLOOKUP(C334,'10y swap Vol'!$C$2:$G$3809,5,0)</f>
        <v>118.16570915801113</v>
      </c>
      <c r="F334">
        <f>VLOOKUP(C334,'5y10y Swaption Vol'!temp,3,0)</f>
        <v>110.8798515054</v>
      </c>
      <c r="H334" s="1">
        <v>40568</v>
      </c>
      <c r="I334" t="s">
        <v>2</v>
      </c>
      <c r="J334">
        <v>3.4027289999999999</v>
      </c>
      <c r="K334">
        <v>-7.9534000000000216E-2</v>
      </c>
      <c r="L334">
        <v>128.61479981729033</v>
      </c>
      <c r="M334">
        <f t="shared" si="5"/>
        <v>-28</v>
      </c>
    </row>
    <row r="335" spans="3:13">
      <c r="C335" s="2">
        <v>40541</v>
      </c>
      <c r="D335">
        <v>118.80377871631993</v>
      </c>
      <c r="E335">
        <f>VLOOKUP(C335,'10y swap Vol'!$C$2:$G$3809,5,0)</f>
        <v>122.26500412130112</v>
      </c>
      <c r="F335">
        <f>VLOOKUP(C335,'5y10y Swaption Vol'!temp,3,0)</f>
        <v>110.3240043924</v>
      </c>
      <c r="H335" s="1">
        <v>40569</v>
      </c>
      <c r="I335" t="s">
        <v>2</v>
      </c>
      <c r="J335">
        <v>3.5098440000000002</v>
      </c>
      <c r="K335">
        <v>0.10711500000000029</v>
      </c>
      <c r="L335">
        <v>129.28152081377962</v>
      </c>
      <c r="M335">
        <f t="shared" si="5"/>
        <v>-28</v>
      </c>
    </row>
    <row r="336" spans="3:13">
      <c r="C336" s="2">
        <v>40542</v>
      </c>
      <c r="D336">
        <v>118.79494466956749</v>
      </c>
      <c r="E336">
        <f>VLOOKUP(C336,'10y swap Vol'!$C$2:$G$3809,5,0)</f>
        <v>122.28962848939172</v>
      </c>
      <c r="F336">
        <f>VLOOKUP(C336,'5y10y Swaption Vol'!temp,3,0)</f>
        <v>110.163527898</v>
      </c>
      <c r="H336" s="1">
        <v>40570</v>
      </c>
      <c r="I336" t="s">
        <v>2</v>
      </c>
      <c r="J336">
        <v>3.4641359999999999</v>
      </c>
      <c r="K336">
        <v>-4.5708000000000304E-2</v>
      </c>
      <c r="L336">
        <v>129.2845330920189</v>
      </c>
      <c r="M336">
        <f t="shared" si="5"/>
        <v>-28</v>
      </c>
    </row>
    <row r="337" spans="3:13">
      <c r="C337" s="2">
        <v>40543</v>
      </c>
      <c r="D337">
        <v>119.65672456643539</v>
      </c>
      <c r="E337">
        <f>VLOOKUP(C337,'10y swap Vol'!$C$2:$G$3809,5,0)</f>
        <v>123.06683917886532</v>
      </c>
      <c r="F337">
        <f>VLOOKUP(C337,'5y10y Swaption Vol'!temp,3,0)</f>
        <v>110.146768389</v>
      </c>
      <c r="H337" s="1">
        <v>40571</v>
      </c>
      <c r="I337" t="s">
        <v>2</v>
      </c>
      <c r="J337">
        <v>3.4176799999999998</v>
      </c>
      <c r="K337">
        <v>-4.6456000000000053E-2</v>
      </c>
      <c r="L337">
        <v>129.83708720556203</v>
      </c>
      <c r="M337">
        <f t="shared" si="5"/>
        <v>-28</v>
      </c>
    </row>
    <row r="338" spans="3:13">
      <c r="C338" s="2">
        <v>40546</v>
      </c>
      <c r="D338">
        <v>119.63160500529743</v>
      </c>
      <c r="E338">
        <f>VLOOKUP(C338,'10y swap Vol'!$C$2:$G$3809,5,0)</f>
        <v>123.20419476174148</v>
      </c>
      <c r="F338">
        <f>VLOOKUP(C338,'5y10y Swaption Vol'!temp,3,0)</f>
        <v>108.8848221192</v>
      </c>
      <c r="H338" s="1">
        <v>40574</v>
      </c>
      <c r="I338" t="s">
        <v>2</v>
      </c>
      <c r="J338">
        <v>3.4757560000000001</v>
      </c>
      <c r="K338">
        <v>5.8076000000000239E-2</v>
      </c>
      <c r="L338">
        <v>130.03640916126724</v>
      </c>
      <c r="M338">
        <f t="shared" si="5"/>
        <v>-28</v>
      </c>
    </row>
    <row r="339" spans="3:13">
      <c r="C339" s="2">
        <v>40547</v>
      </c>
      <c r="D339">
        <v>118.34759552496898</v>
      </c>
      <c r="E339">
        <f>VLOOKUP(C339,'10y swap Vol'!$C$2:$G$3809,5,0)</f>
        <v>122.12334885847544</v>
      </c>
      <c r="F339">
        <f>VLOOKUP(C339,'5y10y Swaption Vol'!temp,3,0)</f>
        <v>106.77676083999999</v>
      </c>
      <c r="H339" s="1">
        <v>40575</v>
      </c>
      <c r="I339" t="s">
        <v>2</v>
      </c>
      <c r="J339">
        <v>3.5399419999999999</v>
      </c>
      <c r="K339">
        <v>6.4185999999999854E-2</v>
      </c>
      <c r="L339">
        <v>130.43600094137503</v>
      </c>
      <c r="M339">
        <f t="shared" si="5"/>
        <v>-28</v>
      </c>
    </row>
    <row r="340" spans="3:13">
      <c r="C340" s="2">
        <v>40548</v>
      </c>
      <c r="D340">
        <v>120.33089350515796</v>
      </c>
      <c r="E340">
        <f>VLOOKUP(C340,'10y swap Vol'!$C$2:$G$3809,5,0)</f>
        <v>125.33659425015546</v>
      </c>
      <c r="F340">
        <f>VLOOKUP(C340,'5y10y Swaption Vol'!temp,3,0)</f>
        <v>108.442671135</v>
      </c>
      <c r="H340" s="1">
        <v>40576</v>
      </c>
      <c r="I340" t="s">
        <v>2</v>
      </c>
      <c r="J340">
        <v>3.594503</v>
      </c>
      <c r="K340">
        <v>5.4561000000000082E-2</v>
      </c>
      <c r="L340">
        <v>128.6080355341563</v>
      </c>
      <c r="M340">
        <f t="shared" si="5"/>
        <v>-28</v>
      </c>
    </row>
    <row r="341" spans="3:13">
      <c r="C341" s="2">
        <v>40549</v>
      </c>
      <c r="D341">
        <v>121.02120333383877</v>
      </c>
      <c r="E341">
        <f>VLOOKUP(C341,'10y swap Vol'!$C$2:$G$3809,5,0)</f>
        <v>126.65952017403788</v>
      </c>
      <c r="F341">
        <f>VLOOKUP(C341,'5y10y Swaption Vol'!temp,3,0)</f>
        <v>108.1114519005</v>
      </c>
      <c r="H341" s="1">
        <v>40577</v>
      </c>
      <c r="I341" t="s">
        <v>2</v>
      </c>
      <c r="J341">
        <v>3.649381</v>
      </c>
      <c r="K341">
        <v>5.4877999999999982E-2</v>
      </c>
      <c r="L341">
        <v>128.76308782801715</v>
      </c>
      <c r="M341">
        <f t="shared" si="5"/>
        <v>-28</v>
      </c>
    </row>
    <row r="342" spans="3:13">
      <c r="C342" s="2">
        <v>40550</v>
      </c>
      <c r="D342">
        <v>122.95045934087707</v>
      </c>
      <c r="E342">
        <f>VLOOKUP(C342,'10y swap Vol'!$C$2:$G$3809,5,0)</f>
        <v>128.44112474415849</v>
      </c>
      <c r="F342">
        <f>VLOOKUP(C342,'5y10y Swaption Vol'!temp,3,0)</f>
        <v>106.3421652928</v>
      </c>
      <c r="H342" s="1">
        <v>40578</v>
      </c>
      <c r="I342" t="s">
        <v>2</v>
      </c>
      <c r="J342">
        <v>3.7454779999999999</v>
      </c>
      <c r="K342">
        <v>9.6096999999999877E-2</v>
      </c>
      <c r="L342">
        <v>129.72594601105547</v>
      </c>
      <c r="M342">
        <f t="shared" si="5"/>
        <v>-28</v>
      </c>
    </row>
    <row r="343" spans="3:13">
      <c r="C343" s="2">
        <v>40553</v>
      </c>
      <c r="D343">
        <v>122.97687990826567</v>
      </c>
      <c r="E343">
        <f>VLOOKUP(C343,'10y swap Vol'!$C$2:$G$3809,5,0)</f>
        <v>128.63733977751568</v>
      </c>
      <c r="F343">
        <f>VLOOKUP(C343,'5y10y Swaption Vol'!temp,3,0)</f>
        <v>106.325185695</v>
      </c>
      <c r="H343" s="1">
        <v>40581</v>
      </c>
      <c r="I343" t="s">
        <v>2</v>
      </c>
      <c r="J343">
        <v>3.752548</v>
      </c>
      <c r="K343">
        <v>7.0700000000001317E-3</v>
      </c>
      <c r="L343">
        <v>127.65793908072851</v>
      </c>
      <c r="M343">
        <f t="shared" si="5"/>
        <v>-28</v>
      </c>
    </row>
    <row r="344" spans="3:13">
      <c r="C344" s="2">
        <v>40554</v>
      </c>
      <c r="D344">
        <v>123.2422127342808</v>
      </c>
      <c r="E344">
        <f>VLOOKUP(C344,'10y swap Vol'!$C$2:$G$3809,5,0)</f>
        <v>128.11289944908518</v>
      </c>
      <c r="F344">
        <f>VLOOKUP(C344,'5y10y Swaption Vol'!temp,3,0)</f>
        <v>107.0384062176</v>
      </c>
      <c r="H344" s="1">
        <v>40582</v>
      </c>
      <c r="I344" t="s">
        <v>2</v>
      </c>
      <c r="J344">
        <v>3.8245830000000001</v>
      </c>
      <c r="K344">
        <v>7.2035000000000071E-2</v>
      </c>
      <c r="L344">
        <v>127.99184352299389</v>
      </c>
      <c r="M344">
        <f t="shared" si="5"/>
        <v>-28</v>
      </c>
    </row>
    <row r="345" spans="3:13">
      <c r="C345" s="2">
        <v>40555</v>
      </c>
      <c r="D345">
        <v>122.26078420797396</v>
      </c>
      <c r="E345">
        <f>VLOOKUP(C345,'10y swap Vol'!$C$2:$G$3809,5,0)</f>
        <v>127.74908117496587</v>
      </c>
      <c r="F345">
        <f>VLOOKUP(C345,'5y10y Swaption Vol'!temp,3,0)</f>
        <v>107.236204857</v>
      </c>
      <c r="H345" s="1">
        <v>40583</v>
      </c>
      <c r="I345" t="s">
        <v>2</v>
      </c>
      <c r="J345">
        <v>3.754499</v>
      </c>
      <c r="K345">
        <v>-7.0084000000000035E-2</v>
      </c>
      <c r="L345">
        <v>128.42362085465786</v>
      </c>
      <c r="M345">
        <f t="shared" si="5"/>
        <v>-28</v>
      </c>
    </row>
    <row r="346" spans="3:13">
      <c r="C346" s="2">
        <v>40556</v>
      </c>
      <c r="D346">
        <v>121.70265301596459</v>
      </c>
      <c r="E346">
        <f>VLOOKUP(C346,'10y swap Vol'!$C$2:$G$3809,5,0)</f>
        <v>127.1647669475395</v>
      </c>
      <c r="F346">
        <f>VLOOKUP(C346,'5y10y Swaption Vol'!temp,3,0)</f>
        <v>108.76741527439999</v>
      </c>
      <c r="H346" s="1">
        <v>40584</v>
      </c>
      <c r="I346" t="s">
        <v>2</v>
      </c>
      <c r="J346">
        <v>3.8149109999999999</v>
      </c>
      <c r="K346">
        <v>6.041199999999991E-2</v>
      </c>
      <c r="L346">
        <v>125.77808756830862</v>
      </c>
      <c r="M346">
        <f t="shared" si="5"/>
        <v>-28</v>
      </c>
    </row>
    <row r="347" spans="3:13">
      <c r="C347" s="2">
        <v>40557</v>
      </c>
      <c r="D347">
        <v>121.37554702444446</v>
      </c>
      <c r="E347">
        <f>VLOOKUP(C347,'10y swap Vol'!$C$2:$G$3809,5,0)</f>
        <v>126.98551250994117</v>
      </c>
      <c r="F347">
        <f>VLOOKUP(C347,'5y10y Swaption Vol'!temp,3,0)</f>
        <v>110.2201693495</v>
      </c>
      <c r="H347" s="1">
        <v>40585</v>
      </c>
      <c r="I347" t="s">
        <v>2</v>
      </c>
      <c r="J347">
        <v>3.7561930000000001</v>
      </c>
      <c r="K347">
        <v>-5.8717999999999826E-2</v>
      </c>
      <c r="L347">
        <v>126.09782103500773</v>
      </c>
      <c r="M347">
        <f t="shared" si="5"/>
        <v>-28</v>
      </c>
    </row>
    <row r="348" spans="3:13">
      <c r="C348" s="2">
        <v>40561</v>
      </c>
      <c r="D348">
        <v>121.52602450881713</v>
      </c>
      <c r="E348">
        <f>VLOOKUP(C348,'10y swap Vol'!$C$2:$G$3809,5,0)</f>
        <v>126.93313346180145</v>
      </c>
      <c r="F348">
        <f>VLOOKUP(C348,'5y10y Swaption Vol'!temp,3,0)</f>
        <v>111.1237556148</v>
      </c>
      <c r="H348" s="1">
        <v>40588</v>
      </c>
      <c r="I348" t="s">
        <v>2</v>
      </c>
      <c r="J348">
        <v>3.720758</v>
      </c>
      <c r="K348">
        <v>-3.5435000000000105E-2</v>
      </c>
      <c r="L348">
        <v>126.4434351908652</v>
      </c>
      <c r="M348">
        <f t="shared" si="5"/>
        <v>-27</v>
      </c>
    </row>
    <row r="349" spans="3:13">
      <c r="C349" s="2">
        <v>40562</v>
      </c>
      <c r="D349">
        <v>121.71718927537798</v>
      </c>
      <c r="E349">
        <f>VLOOKUP(C349,'10y swap Vol'!$C$2:$G$3809,5,0)</f>
        <v>126.75760675402393</v>
      </c>
      <c r="F349">
        <f>VLOOKUP(C349,'5y10y Swaption Vol'!temp,3,0)</f>
        <v>111.2734821968</v>
      </c>
      <c r="H349" s="1">
        <v>40589</v>
      </c>
      <c r="I349" t="s">
        <v>2</v>
      </c>
      <c r="J349">
        <v>3.712647</v>
      </c>
      <c r="K349">
        <v>-8.1109999999999793E-3</v>
      </c>
      <c r="L349">
        <v>126.50139383484355</v>
      </c>
      <c r="M349">
        <f t="shared" si="5"/>
        <v>-27</v>
      </c>
    </row>
    <row r="350" spans="3:13">
      <c r="C350" s="2">
        <v>40563</v>
      </c>
      <c r="D350">
        <v>122.99865654874674</v>
      </c>
      <c r="E350">
        <f>VLOOKUP(C350,'10y swap Vol'!$C$2:$G$3809,5,0)</f>
        <v>128.47085722522294</v>
      </c>
      <c r="F350">
        <f>VLOOKUP(C350,'5y10y Swaption Vol'!temp,3,0)</f>
        <v>110.345138869</v>
      </c>
      <c r="H350" s="1">
        <v>40590</v>
      </c>
      <c r="I350" t="s">
        <v>2</v>
      </c>
      <c r="J350">
        <v>3.7200829999999998</v>
      </c>
      <c r="K350">
        <v>7.4359999999997761E-3</v>
      </c>
      <c r="L350">
        <v>126.3929041800827</v>
      </c>
      <c r="M350">
        <f t="shared" si="5"/>
        <v>-27</v>
      </c>
    </row>
    <row r="351" spans="3:13">
      <c r="C351" s="2">
        <v>40564</v>
      </c>
      <c r="D351">
        <v>123.10369191641948</v>
      </c>
      <c r="E351">
        <f>VLOOKUP(C351,'10y swap Vol'!$C$2:$G$3809,5,0)</f>
        <v>128.96495209971553</v>
      </c>
      <c r="F351">
        <f>VLOOKUP(C351,'5y10y Swaption Vol'!temp,3,0)</f>
        <v>110.2512195987</v>
      </c>
      <c r="H351" s="1">
        <v>40591</v>
      </c>
      <c r="I351" t="s">
        <v>2</v>
      </c>
      <c r="J351">
        <v>3.6662689999999998</v>
      </c>
      <c r="K351">
        <v>-5.3814000000000028E-2</v>
      </c>
      <c r="L351">
        <v>126.02119162471892</v>
      </c>
      <c r="M351">
        <f t="shared" si="5"/>
        <v>-27</v>
      </c>
    </row>
    <row r="352" spans="3:13">
      <c r="C352" s="2">
        <v>40567</v>
      </c>
      <c r="D352">
        <v>122.47861296268032</v>
      </c>
      <c r="E352">
        <f>VLOOKUP(C352,'10y swap Vol'!$C$2:$G$3809,5,0)</f>
        <v>127.96282251772459</v>
      </c>
      <c r="F352">
        <f>VLOOKUP(C352,'5y10y Swaption Vol'!temp,3,0)</f>
        <v>109.80879085799999</v>
      </c>
      <c r="H352" s="1">
        <v>40592</v>
      </c>
      <c r="I352" t="s">
        <v>2</v>
      </c>
      <c r="J352">
        <v>3.6812839999999998</v>
      </c>
      <c r="K352">
        <v>1.5015000000000001E-2</v>
      </c>
      <c r="L352">
        <v>125.07687941703168</v>
      </c>
      <c r="M352">
        <f t="shared" si="5"/>
        <v>-25</v>
      </c>
    </row>
    <row r="353" spans="3:13">
      <c r="C353" s="2">
        <v>40568</v>
      </c>
      <c r="D353">
        <v>122.8187642583098</v>
      </c>
      <c r="E353">
        <f>VLOOKUP(C353,'10y swap Vol'!$C$2:$G$3809,5,0)</f>
        <v>128.61479981729033</v>
      </c>
      <c r="F353">
        <f>VLOOKUP(C353,'5y10y Swaption Vol'!temp,3,0)</f>
        <v>109.673212236</v>
      </c>
      <c r="H353" s="1">
        <v>40596</v>
      </c>
      <c r="I353" t="s">
        <v>2</v>
      </c>
      <c r="J353">
        <v>3.5763449999999999</v>
      </c>
      <c r="K353">
        <v>-0.10493899999999989</v>
      </c>
      <c r="L353">
        <v>123.9276127226747</v>
      </c>
      <c r="M353">
        <f t="shared" si="5"/>
        <v>-28</v>
      </c>
    </row>
    <row r="354" spans="3:13">
      <c r="C354" s="2">
        <v>40569</v>
      </c>
      <c r="D354">
        <v>122.70068245843801</v>
      </c>
      <c r="E354">
        <f>VLOOKUP(C354,'10y swap Vol'!$C$2:$G$3809,5,0)</f>
        <v>129.28152081377962</v>
      </c>
      <c r="F354">
        <f>VLOOKUP(C354,'5y10y Swaption Vol'!temp,3,0)</f>
        <v>110.34097521050001</v>
      </c>
      <c r="H354" s="1">
        <v>40597</v>
      </c>
      <c r="I354" t="s">
        <v>2</v>
      </c>
      <c r="J354">
        <v>3.5960719999999999</v>
      </c>
      <c r="K354">
        <v>1.972700000000005E-2</v>
      </c>
      <c r="L354">
        <v>123.56315256085382</v>
      </c>
      <c r="M354">
        <f t="shared" si="5"/>
        <v>-28</v>
      </c>
    </row>
    <row r="355" spans="3:13">
      <c r="C355" s="2">
        <v>40570</v>
      </c>
      <c r="D355">
        <v>122.98352103758354</v>
      </c>
      <c r="E355">
        <f>VLOOKUP(C355,'10y swap Vol'!$C$2:$G$3809,5,0)</f>
        <v>129.2845330920189</v>
      </c>
      <c r="F355">
        <f>VLOOKUP(C355,'5y10y Swaption Vol'!temp,3,0)</f>
        <v>109.610131056</v>
      </c>
      <c r="H355" s="1">
        <v>40598</v>
      </c>
      <c r="I355" t="s">
        <v>2</v>
      </c>
      <c r="J355">
        <v>3.5504699999999998</v>
      </c>
      <c r="K355">
        <v>-4.5602000000000142E-2</v>
      </c>
      <c r="L355">
        <v>123.64545154044788</v>
      </c>
      <c r="M355">
        <f t="shared" si="5"/>
        <v>-28</v>
      </c>
    </row>
    <row r="356" spans="3:13">
      <c r="C356" s="2">
        <v>40571</v>
      </c>
      <c r="D356">
        <v>123.10097991833197</v>
      </c>
      <c r="E356">
        <f>VLOOKUP(C356,'10y swap Vol'!$C$2:$G$3809,5,0)</f>
        <v>129.83708720556203</v>
      </c>
      <c r="F356">
        <f>VLOOKUP(C356,'5y10y Swaption Vol'!temp,3,0)</f>
        <v>110.758999221</v>
      </c>
      <c r="H356" s="1">
        <v>40599</v>
      </c>
      <c r="I356" t="s">
        <v>2</v>
      </c>
      <c r="J356">
        <v>3.5386760000000002</v>
      </c>
      <c r="K356">
        <v>-1.1793999999999638E-2</v>
      </c>
      <c r="L356">
        <v>123.60993015390207</v>
      </c>
      <c r="M356">
        <f t="shared" si="5"/>
        <v>-28</v>
      </c>
    </row>
    <row r="357" spans="3:13">
      <c r="C357" s="2">
        <v>40574</v>
      </c>
      <c r="D357">
        <v>122.4663589653009</v>
      </c>
      <c r="E357">
        <f>VLOOKUP(C357,'10y swap Vol'!$C$2:$G$3809,5,0)</f>
        <v>130.03640916126724</v>
      </c>
      <c r="F357">
        <f>VLOOKUP(C357,'5y10y Swaption Vol'!temp,3,0)</f>
        <v>111.62808654040001</v>
      </c>
      <c r="H357" s="1">
        <v>40602</v>
      </c>
      <c r="I357" t="s">
        <v>2</v>
      </c>
      <c r="J357">
        <v>3.525404</v>
      </c>
      <c r="K357">
        <v>-1.3272000000000173E-2</v>
      </c>
      <c r="L357">
        <v>119.47200450863266</v>
      </c>
      <c r="M357">
        <f t="shared" si="5"/>
        <v>-28</v>
      </c>
    </row>
    <row r="358" spans="3:13">
      <c r="C358" s="2">
        <v>40575</v>
      </c>
      <c r="D358">
        <v>122.68606972745518</v>
      </c>
      <c r="E358">
        <f>VLOOKUP(C358,'10y swap Vol'!$C$2:$G$3809,5,0)</f>
        <v>130.43600094137503</v>
      </c>
      <c r="F358">
        <f>VLOOKUP(C358,'5y10y Swaption Vol'!temp,3,0)</f>
        <v>112.2921718962</v>
      </c>
      <c r="H358" s="1">
        <v>40603</v>
      </c>
      <c r="I358" t="s">
        <v>2</v>
      </c>
      <c r="J358">
        <v>3.5266470000000001</v>
      </c>
      <c r="K358">
        <v>1.2430000000001051E-3</v>
      </c>
      <c r="L358">
        <v>119.1658221930027</v>
      </c>
      <c r="M358">
        <f t="shared" si="5"/>
        <v>-28</v>
      </c>
    </row>
    <row r="359" spans="3:13">
      <c r="C359" s="2">
        <v>40576</v>
      </c>
      <c r="D359">
        <v>121.1310458108034</v>
      </c>
      <c r="E359">
        <f>VLOOKUP(C359,'10y swap Vol'!$C$2:$G$3809,5,0)</f>
        <v>128.6080355341563</v>
      </c>
      <c r="F359">
        <f>VLOOKUP(C359,'5y10y Swaption Vol'!temp,3,0)</f>
        <v>112.202203883</v>
      </c>
      <c r="H359" s="1">
        <v>40604</v>
      </c>
      <c r="I359" t="s">
        <v>2</v>
      </c>
      <c r="J359">
        <v>3.585223</v>
      </c>
      <c r="K359">
        <v>5.8575999999999961E-2</v>
      </c>
      <c r="L359">
        <v>119.64426321229236</v>
      </c>
      <c r="M359">
        <f t="shared" si="5"/>
        <v>-28</v>
      </c>
    </row>
    <row r="360" spans="3:13">
      <c r="C360" s="2">
        <v>40577</v>
      </c>
      <c r="D360">
        <v>120.72818605305413</v>
      </c>
      <c r="E360">
        <f>VLOOKUP(C360,'10y swap Vol'!$C$2:$G$3809,5,0)</f>
        <v>128.76308782801715</v>
      </c>
      <c r="F360">
        <f>VLOOKUP(C360,'5y10y Swaption Vol'!temp,3,0)</f>
        <v>111.8854314667</v>
      </c>
      <c r="H360" s="1">
        <v>40605</v>
      </c>
      <c r="I360" t="s">
        <v>2</v>
      </c>
      <c r="J360">
        <v>3.6980520000000001</v>
      </c>
      <c r="K360">
        <v>0.11282900000000007</v>
      </c>
      <c r="L360">
        <v>120.2949982355523</v>
      </c>
      <c r="M360">
        <f t="shared" si="5"/>
        <v>-28</v>
      </c>
    </row>
    <row r="361" spans="3:13">
      <c r="C361" s="2">
        <v>40578</v>
      </c>
      <c r="D361">
        <v>121.11708104507177</v>
      </c>
      <c r="E361">
        <f>VLOOKUP(C361,'10y swap Vol'!$C$2:$G$3809,5,0)</f>
        <v>129.72594601105547</v>
      </c>
      <c r="F361">
        <f>VLOOKUP(C361,'5y10y Swaption Vol'!temp,3,0)</f>
        <v>111.9321741303</v>
      </c>
      <c r="H361" s="1">
        <v>40606</v>
      </c>
      <c r="I361" t="s">
        <v>2</v>
      </c>
      <c r="J361">
        <v>3.6056349999999999</v>
      </c>
      <c r="K361">
        <v>-9.2417000000000193E-2</v>
      </c>
      <c r="L361">
        <v>113.90431668389922</v>
      </c>
      <c r="M361">
        <f t="shared" si="5"/>
        <v>-28</v>
      </c>
    </row>
    <row r="362" spans="3:13">
      <c r="C362" s="2">
        <v>40581</v>
      </c>
      <c r="D362">
        <v>119.91492366990477</v>
      </c>
      <c r="E362">
        <f>VLOOKUP(C362,'10y swap Vol'!$C$2:$G$3809,5,0)</f>
        <v>127.65793908072851</v>
      </c>
      <c r="F362">
        <f>VLOOKUP(C362,'5y10y Swaption Vol'!temp,3,0)</f>
        <v>111.11092090699999</v>
      </c>
      <c r="H362" s="1">
        <v>40609</v>
      </c>
      <c r="I362" t="s">
        <v>2</v>
      </c>
      <c r="J362">
        <v>3.6034380000000001</v>
      </c>
      <c r="K362">
        <v>-2.1969999999997825E-3</v>
      </c>
      <c r="L362">
        <v>113.44723976834565</v>
      </c>
      <c r="M362">
        <f t="shared" si="5"/>
        <v>-28</v>
      </c>
    </row>
    <row r="363" spans="3:13">
      <c r="C363" s="2">
        <v>40582</v>
      </c>
      <c r="D363">
        <v>120.38501885265586</v>
      </c>
      <c r="E363">
        <f>VLOOKUP(C363,'10y swap Vol'!$C$2:$G$3809,5,0)</f>
        <v>127.99184352299389</v>
      </c>
      <c r="F363">
        <f>VLOOKUP(C363,'5y10y Swaption Vol'!temp,3,0)</f>
        <v>110.4986205435</v>
      </c>
      <c r="H363" s="1">
        <v>40610</v>
      </c>
      <c r="I363" t="s">
        <v>2</v>
      </c>
      <c r="J363">
        <v>3.6418840000000001</v>
      </c>
      <c r="K363">
        <v>3.844599999999998E-2</v>
      </c>
      <c r="L363">
        <v>112.91065694028065</v>
      </c>
      <c r="M363">
        <f t="shared" si="5"/>
        <v>-28</v>
      </c>
    </row>
    <row r="364" spans="3:13">
      <c r="C364" s="2">
        <v>40583</v>
      </c>
      <c r="D364">
        <v>118.84550947049223</v>
      </c>
      <c r="E364">
        <f>VLOOKUP(C364,'10y swap Vol'!$C$2:$G$3809,5,0)</f>
        <v>128.42362085465786</v>
      </c>
      <c r="F364">
        <f>VLOOKUP(C364,'5y10y Swaption Vol'!temp,3,0)</f>
        <v>109.0861134272</v>
      </c>
      <c r="H364" s="1">
        <v>40611</v>
      </c>
      <c r="I364" t="s">
        <v>2</v>
      </c>
      <c r="J364">
        <v>3.5673560000000002</v>
      </c>
      <c r="K364">
        <v>-7.4527999999999928E-2</v>
      </c>
      <c r="L364">
        <v>112.6964829174226</v>
      </c>
      <c r="M364">
        <f t="shared" si="5"/>
        <v>-28</v>
      </c>
    </row>
    <row r="365" spans="3:13">
      <c r="C365" s="2">
        <v>40584</v>
      </c>
      <c r="D365">
        <v>116.72862144238292</v>
      </c>
      <c r="E365">
        <f>VLOOKUP(C365,'10y swap Vol'!$C$2:$G$3809,5,0)</f>
        <v>125.77808756830862</v>
      </c>
      <c r="F365">
        <f>VLOOKUP(C365,'5y10y Swaption Vol'!temp,3,0)</f>
        <v>107.7890992642</v>
      </c>
      <c r="H365" s="1">
        <v>40612</v>
      </c>
      <c r="I365" t="s">
        <v>2</v>
      </c>
      <c r="J365">
        <v>3.4970279999999998</v>
      </c>
      <c r="K365">
        <v>-7.032800000000039E-2</v>
      </c>
      <c r="L365">
        <v>113.61324423527013</v>
      </c>
      <c r="M365">
        <f t="shared" si="5"/>
        <v>-28</v>
      </c>
    </row>
    <row r="366" spans="3:13">
      <c r="C366" s="2">
        <v>40585</v>
      </c>
      <c r="D366">
        <v>117.73707962663325</v>
      </c>
      <c r="E366">
        <f>VLOOKUP(C366,'10y swap Vol'!$C$2:$G$3809,5,0)</f>
        <v>126.09782103500773</v>
      </c>
      <c r="F366">
        <f>VLOOKUP(C366,'5y10y Swaption Vol'!temp,3,0)</f>
        <v>106.2797182008</v>
      </c>
      <c r="H366" s="1">
        <v>40613</v>
      </c>
      <c r="I366" t="s">
        <v>2</v>
      </c>
      <c r="J366">
        <v>3.5027349999999999</v>
      </c>
      <c r="K366">
        <v>5.7070000000001286E-3</v>
      </c>
      <c r="L366">
        <v>107.54549526118646</v>
      </c>
      <c r="M366">
        <f t="shared" si="5"/>
        <v>-28</v>
      </c>
    </row>
    <row r="367" spans="3:13">
      <c r="C367" s="2">
        <v>40588</v>
      </c>
      <c r="D367">
        <v>118.20127849254919</v>
      </c>
      <c r="E367">
        <f>VLOOKUP(C367,'10y swap Vol'!$C$2:$G$3809,5,0)</f>
        <v>126.4434351908652</v>
      </c>
      <c r="F367">
        <f>VLOOKUP(C367,'5y10y Swaption Vol'!temp,3,0)</f>
        <v>105.7644652044</v>
      </c>
      <c r="H367" s="1">
        <v>40616</v>
      </c>
      <c r="I367" t="s">
        <v>2</v>
      </c>
      <c r="J367">
        <v>3.4607939999999999</v>
      </c>
      <c r="K367">
        <v>-4.1941000000000006E-2</v>
      </c>
      <c r="L367">
        <v>106.52286035233975</v>
      </c>
      <c r="M367">
        <f t="shared" si="5"/>
        <v>-28</v>
      </c>
    </row>
    <row r="368" spans="3:13">
      <c r="C368" s="2">
        <v>40589</v>
      </c>
      <c r="D368">
        <v>118.19237727882754</v>
      </c>
      <c r="E368">
        <f>VLOOKUP(C368,'10y swap Vol'!$C$2:$G$3809,5,0)</f>
        <v>126.50139383484355</v>
      </c>
      <c r="F368">
        <f>VLOOKUP(C368,'5y10y Swaption Vol'!temp,3,0)</f>
        <v>105.3222135629</v>
      </c>
      <c r="H368" s="1">
        <v>40617</v>
      </c>
      <c r="I368" t="s">
        <v>2</v>
      </c>
      <c r="J368">
        <v>3.434221</v>
      </c>
      <c r="K368">
        <v>-2.6572999999999958E-2</v>
      </c>
      <c r="L368">
        <v>106.41956130722083</v>
      </c>
      <c r="M368">
        <f t="shared" si="5"/>
        <v>-28</v>
      </c>
    </row>
    <row r="369" spans="3:13">
      <c r="C369" s="2">
        <v>40590</v>
      </c>
      <c r="D369">
        <v>118.19031219020695</v>
      </c>
      <c r="E369">
        <f>VLOOKUP(C369,'10y swap Vol'!$C$2:$G$3809,5,0)</f>
        <v>126.3929041800827</v>
      </c>
      <c r="F369">
        <f>VLOOKUP(C369,'5y10y Swaption Vol'!temp,3,0)</f>
        <v>106.71900737839999</v>
      </c>
      <c r="H369" s="1">
        <v>40618</v>
      </c>
      <c r="I369" t="s">
        <v>2</v>
      </c>
      <c r="J369">
        <v>3.318724</v>
      </c>
      <c r="K369">
        <v>-0.11549699999999996</v>
      </c>
      <c r="L369">
        <v>101.81952052091718</v>
      </c>
      <c r="M369">
        <f t="shared" si="5"/>
        <v>-28</v>
      </c>
    </row>
    <row r="370" spans="3:13">
      <c r="C370" s="2">
        <v>40591</v>
      </c>
      <c r="D370">
        <v>118.39138644807655</v>
      </c>
      <c r="E370">
        <f>VLOOKUP(C370,'10y swap Vol'!$C$2:$G$3809,5,0)</f>
        <v>126.02119162471892</v>
      </c>
      <c r="F370">
        <f>VLOOKUP(C370,'5y10y Swaption Vol'!temp,3,0)</f>
        <v>106.9821278786</v>
      </c>
      <c r="H370" s="1">
        <v>40619</v>
      </c>
      <c r="I370" t="s">
        <v>2</v>
      </c>
      <c r="J370">
        <v>3.3534199999999998</v>
      </c>
      <c r="K370">
        <v>3.4695999999999838E-2</v>
      </c>
      <c r="L370">
        <v>102.02439379600747</v>
      </c>
      <c r="M370">
        <f t="shared" si="5"/>
        <v>-28</v>
      </c>
    </row>
    <row r="371" spans="3:13">
      <c r="C371" s="2">
        <v>40592</v>
      </c>
      <c r="D371">
        <v>118.15772207407696</v>
      </c>
      <c r="E371">
        <f>VLOOKUP(C371,'10y swap Vol'!$C$2:$G$3809,5,0)</f>
        <v>125.07687941703168</v>
      </c>
      <c r="F371">
        <f>VLOOKUP(C371,'5y10y Swaption Vol'!temp,3,0)</f>
        <v>107.5588275714</v>
      </c>
      <c r="H371" s="1">
        <v>40620</v>
      </c>
      <c r="I371" t="s">
        <v>2</v>
      </c>
      <c r="J371">
        <v>3.368897</v>
      </c>
      <c r="K371">
        <v>1.5477000000000185E-2</v>
      </c>
      <c r="L371">
        <v>101.95638112573617</v>
      </c>
      <c r="M371">
        <f t="shared" si="5"/>
        <v>-28</v>
      </c>
    </row>
    <row r="372" spans="3:13">
      <c r="C372" s="2">
        <v>40596</v>
      </c>
      <c r="D372">
        <v>115.50827761749628</v>
      </c>
      <c r="E372">
        <f>VLOOKUP(C372,'10y swap Vol'!$C$2:$G$3809,5,0)</f>
        <v>123.9276127226747</v>
      </c>
      <c r="F372">
        <f>VLOOKUP(C372,'5y10y Swaption Vol'!temp,3,0)</f>
        <v>107.8485147</v>
      </c>
      <c r="H372" s="1">
        <v>40623</v>
      </c>
      <c r="I372" t="s">
        <v>2</v>
      </c>
      <c r="J372">
        <v>3.4249480000000001</v>
      </c>
      <c r="K372">
        <v>5.6051000000000073E-2</v>
      </c>
      <c r="L372">
        <v>102.47449144150083</v>
      </c>
      <c r="M372">
        <f t="shared" si="5"/>
        <v>-27</v>
      </c>
    </row>
    <row r="373" spans="3:13">
      <c r="C373" s="2">
        <v>40597</v>
      </c>
      <c r="D373">
        <v>115.2329175593246</v>
      </c>
      <c r="E373">
        <f>VLOOKUP(C373,'10y swap Vol'!$C$2:$G$3809,5,0)</f>
        <v>123.56315256085382</v>
      </c>
      <c r="F373">
        <f>VLOOKUP(C373,'5y10y Swaption Vol'!temp,3,0)</f>
        <v>108.223392585</v>
      </c>
      <c r="H373" s="1">
        <v>40624</v>
      </c>
      <c r="I373" t="s">
        <v>2</v>
      </c>
      <c r="J373">
        <v>3.4401329999999999</v>
      </c>
      <c r="K373">
        <v>1.5184999999999782E-2</v>
      </c>
      <c r="L373">
        <v>102.18388930497575</v>
      </c>
      <c r="M373">
        <f t="shared" si="5"/>
        <v>-27</v>
      </c>
    </row>
    <row r="374" spans="3:13">
      <c r="C374" s="2">
        <v>40598</v>
      </c>
      <c r="D374">
        <v>115.0468524135003</v>
      </c>
      <c r="E374">
        <f>VLOOKUP(C374,'10y swap Vol'!$C$2:$G$3809,5,0)</f>
        <v>123.64545154044788</v>
      </c>
      <c r="F374">
        <f>VLOOKUP(C374,'5y10y Swaption Vol'!temp,3,0)</f>
        <v>108.04288709790001</v>
      </c>
      <c r="H374" s="1">
        <v>40625</v>
      </c>
      <c r="I374" t="s">
        <v>2</v>
      </c>
      <c r="J374">
        <v>3.4568020000000002</v>
      </c>
      <c r="K374">
        <v>1.6669000000000267E-2</v>
      </c>
      <c r="L374">
        <v>101.68663123950117</v>
      </c>
      <c r="M374">
        <f t="shared" si="5"/>
        <v>-27</v>
      </c>
    </row>
    <row r="375" spans="3:13">
      <c r="C375" s="2">
        <v>40599</v>
      </c>
      <c r="D375">
        <v>115.13550206414374</v>
      </c>
      <c r="E375">
        <f>VLOOKUP(C375,'10y swap Vol'!$C$2:$G$3809,5,0)</f>
        <v>123.60993015390207</v>
      </c>
      <c r="F375">
        <f>VLOOKUP(C375,'5y10y Swaption Vol'!temp,3,0)</f>
        <v>106.747129962</v>
      </c>
      <c r="H375" s="1">
        <v>40626</v>
      </c>
      <c r="I375" t="s">
        <v>2</v>
      </c>
      <c r="J375">
        <v>3.5094799999999999</v>
      </c>
      <c r="K375">
        <v>5.2677999999999781E-2</v>
      </c>
      <c r="L375">
        <v>98.701252076969382</v>
      </c>
      <c r="M375">
        <f t="shared" si="5"/>
        <v>-27</v>
      </c>
    </row>
    <row r="376" spans="3:13">
      <c r="C376" s="2">
        <v>40602</v>
      </c>
      <c r="D376">
        <v>111.13856779241588</v>
      </c>
      <c r="E376">
        <f>VLOOKUP(C376,'10y swap Vol'!$C$2:$G$3809,5,0)</f>
        <v>119.47200450863266</v>
      </c>
      <c r="F376">
        <f>VLOOKUP(C376,'5y10y Swaption Vol'!temp,3,0)</f>
        <v>106.68899867650001</v>
      </c>
      <c r="H376" s="1">
        <v>40627</v>
      </c>
      <c r="I376" t="s">
        <v>2</v>
      </c>
      <c r="J376">
        <v>3.547885</v>
      </c>
      <c r="K376">
        <v>3.8405000000000022E-2</v>
      </c>
      <c r="L376">
        <v>94.828347254792803</v>
      </c>
      <c r="M376">
        <f t="shared" si="5"/>
        <v>-25</v>
      </c>
    </row>
    <row r="377" spans="3:13">
      <c r="C377" s="2">
        <v>40603</v>
      </c>
      <c r="D377">
        <v>111.06059803767654</v>
      </c>
      <c r="E377">
        <f>VLOOKUP(C377,'10y swap Vol'!$C$2:$G$3809,5,0)</f>
        <v>119.1658221930027</v>
      </c>
      <c r="F377">
        <f>VLOOKUP(C377,'5y10y Swaption Vol'!temp,3,0)</f>
        <v>106.8577439293</v>
      </c>
      <c r="H377" s="1">
        <v>40630</v>
      </c>
      <c r="I377" t="s">
        <v>2</v>
      </c>
      <c r="J377">
        <v>3.5544190000000002</v>
      </c>
      <c r="K377">
        <v>6.5340000000002618E-3</v>
      </c>
      <c r="L377">
        <v>94.654736970770003</v>
      </c>
      <c r="M377">
        <f t="shared" si="5"/>
        <v>-27</v>
      </c>
    </row>
    <row r="378" spans="3:13">
      <c r="C378" s="2">
        <v>40604</v>
      </c>
      <c r="D378">
        <v>111.25092265299099</v>
      </c>
      <c r="E378">
        <f>VLOOKUP(C378,'10y swap Vol'!$C$2:$G$3809,5,0)</f>
        <v>119.64426321229236</v>
      </c>
      <c r="F378">
        <f>VLOOKUP(C378,'5y10y Swaption Vol'!temp,3,0)</f>
        <v>107.0516068514</v>
      </c>
      <c r="H378" s="1">
        <v>40631</v>
      </c>
      <c r="I378" t="s">
        <v>2</v>
      </c>
      <c r="J378">
        <v>3.5958260000000002</v>
      </c>
      <c r="K378">
        <v>4.1406999999999972E-2</v>
      </c>
      <c r="L378">
        <v>93.705872657265971</v>
      </c>
      <c r="M378">
        <f t="shared" si="5"/>
        <v>-27</v>
      </c>
    </row>
    <row r="379" spans="3:13">
      <c r="C379" s="2">
        <v>40605</v>
      </c>
      <c r="D379">
        <v>110.24822116502295</v>
      </c>
      <c r="E379">
        <f>VLOOKUP(C379,'10y swap Vol'!$C$2:$G$3809,5,0)</f>
        <v>120.2949982355523</v>
      </c>
      <c r="F379">
        <f>VLOOKUP(C379,'5y10y Swaption Vol'!temp,3,0)</f>
        <v>107.0435066702</v>
      </c>
      <c r="H379" s="1">
        <v>40632</v>
      </c>
      <c r="I379" t="s">
        <v>2</v>
      </c>
      <c r="J379">
        <v>3.5519400000000001</v>
      </c>
      <c r="K379">
        <v>-4.3886000000000092E-2</v>
      </c>
      <c r="L379">
        <v>93.85128677264558</v>
      </c>
      <c r="M379">
        <f t="shared" si="5"/>
        <v>-27</v>
      </c>
    </row>
    <row r="380" spans="3:13">
      <c r="C380" s="2">
        <v>40606</v>
      </c>
      <c r="D380">
        <v>104.32215903025492</v>
      </c>
      <c r="E380">
        <f>VLOOKUP(C380,'10y swap Vol'!$C$2:$G$3809,5,0)</f>
        <v>113.90431668389922</v>
      </c>
      <c r="F380">
        <f>VLOOKUP(C380,'5y10y Swaption Vol'!temp,3,0)</f>
        <v>107.0668339488</v>
      </c>
      <c r="H380" s="1">
        <v>40633</v>
      </c>
      <c r="I380" t="s">
        <v>2</v>
      </c>
      <c r="J380">
        <v>3.5494330000000001</v>
      </c>
      <c r="K380">
        <v>-2.507000000000037E-3</v>
      </c>
      <c r="L380">
        <v>93.842246928775353</v>
      </c>
      <c r="M380">
        <f t="shared" si="5"/>
        <v>-27</v>
      </c>
    </row>
    <row r="381" spans="3:13">
      <c r="C381" s="2">
        <v>40609</v>
      </c>
      <c r="D381">
        <v>103.87894950242283</v>
      </c>
      <c r="E381">
        <f>VLOOKUP(C381,'10y swap Vol'!$C$2:$G$3809,5,0)</f>
        <v>113.44723976834565</v>
      </c>
      <c r="F381">
        <f>VLOOKUP(C381,'5y10y Swaption Vol'!temp,3,0)</f>
        <v>107.170862232</v>
      </c>
      <c r="H381" s="1">
        <v>40634</v>
      </c>
      <c r="I381" t="s">
        <v>2</v>
      </c>
      <c r="J381">
        <v>3.5431180000000002</v>
      </c>
      <c r="K381">
        <v>-6.3149999999998485E-3</v>
      </c>
      <c r="L381">
        <v>88.21809741483689</v>
      </c>
      <c r="M381">
        <f t="shared" si="5"/>
        <v>-25</v>
      </c>
    </row>
    <row r="382" spans="3:13">
      <c r="C382" s="2">
        <v>40610</v>
      </c>
      <c r="D382">
        <v>103.52806824339031</v>
      </c>
      <c r="E382">
        <f>VLOOKUP(C382,'10y swap Vol'!$C$2:$G$3809,5,0)</f>
        <v>112.91065694028065</v>
      </c>
      <c r="F382">
        <f>VLOOKUP(C382,'5y10y Swaption Vol'!temp,3,0)</f>
        <v>108.25152815680001</v>
      </c>
      <c r="H382" s="1">
        <v>40637</v>
      </c>
      <c r="I382" t="s">
        <v>2</v>
      </c>
      <c r="J382">
        <v>3.5272299999999999</v>
      </c>
      <c r="K382">
        <v>-1.5888000000000346E-2</v>
      </c>
      <c r="L382">
        <v>86.929486272245441</v>
      </c>
      <c r="M382">
        <f t="shared" si="5"/>
        <v>-27</v>
      </c>
    </row>
    <row r="383" spans="3:13">
      <c r="C383" s="2">
        <v>40611</v>
      </c>
      <c r="D383">
        <v>103.46253037627042</v>
      </c>
      <c r="E383">
        <f>VLOOKUP(C383,'10y swap Vol'!$C$2:$G$3809,5,0)</f>
        <v>112.6964829174226</v>
      </c>
      <c r="F383">
        <f>VLOOKUP(C383,'5y10y Swaption Vol'!temp,3,0)</f>
        <v>107.51707380960001</v>
      </c>
      <c r="H383" s="1">
        <v>40638</v>
      </c>
      <c r="I383" t="s">
        <v>2</v>
      </c>
      <c r="J383">
        <v>3.5891799999999998</v>
      </c>
      <c r="K383">
        <v>6.194999999999995E-2</v>
      </c>
      <c r="L383">
        <v>85.828477399456688</v>
      </c>
      <c r="M383">
        <f t="shared" si="5"/>
        <v>-27</v>
      </c>
    </row>
    <row r="384" spans="3:13">
      <c r="C384" s="2">
        <v>40612</v>
      </c>
      <c r="D384">
        <v>103.9191067607513</v>
      </c>
      <c r="E384">
        <f>VLOOKUP(C384,'10y swap Vol'!$C$2:$G$3809,5,0)</f>
        <v>113.61324423527013</v>
      </c>
      <c r="F384">
        <f>VLOOKUP(C384,'5y10y Swaption Vol'!temp,3,0)</f>
        <v>107.654662218</v>
      </c>
      <c r="H384" s="1">
        <v>40639</v>
      </c>
      <c r="I384" t="s">
        <v>2</v>
      </c>
      <c r="J384">
        <v>3.6442700000000001</v>
      </c>
      <c r="K384">
        <v>5.5090000000000305E-2</v>
      </c>
      <c r="L384">
        <v>86.299527284987477</v>
      </c>
      <c r="M384">
        <f t="shared" si="5"/>
        <v>-27</v>
      </c>
    </row>
    <row r="385" spans="3:13">
      <c r="C385" s="2">
        <v>40613</v>
      </c>
      <c r="D385">
        <v>97.268411101907532</v>
      </c>
      <c r="E385">
        <f>VLOOKUP(C385,'10y swap Vol'!$C$2:$G$3809,5,0)</f>
        <v>107.54549526118646</v>
      </c>
      <c r="F385">
        <f>VLOOKUP(C385,'5y10y Swaption Vol'!temp,3,0)</f>
        <v>108.024611663</v>
      </c>
      <c r="H385" s="1">
        <v>40640</v>
      </c>
      <c r="I385" t="s">
        <v>2</v>
      </c>
      <c r="J385">
        <v>3.645416</v>
      </c>
      <c r="K385">
        <v>1.1459999999998693E-3</v>
      </c>
      <c r="L385">
        <v>86.117269774175142</v>
      </c>
      <c r="M385">
        <f t="shared" si="5"/>
        <v>-27</v>
      </c>
    </row>
    <row r="386" spans="3:13">
      <c r="C386" s="2">
        <v>40616</v>
      </c>
      <c r="D386">
        <v>95.341275102407351</v>
      </c>
      <c r="E386">
        <f>VLOOKUP(C386,'10y swap Vol'!$C$2:$G$3809,5,0)</f>
        <v>106.52286035233975</v>
      </c>
      <c r="F386">
        <f>VLOOKUP(C386,'5y10y Swaption Vol'!temp,3,0)</f>
        <v>108.3204153177</v>
      </c>
      <c r="H386" s="1">
        <v>40641</v>
      </c>
      <c r="I386" t="s">
        <v>2</v>
      </c>
      <c r="J386">
        <v>3.6600109999999999</v>
      </c>
      <c r="K386">
        <v>1.4594999999999914E-2</v>
      </c>
      <c r="L386">
        <v>86.131966439545238</v>
      </c>
      <c r="M386">
        <f t="shared" si="5"/>
        <v>-25</v>
      </c>
    </row>
    <row r="387" spans="3:13">
      <c r="C387" s="2">
        <v>40617</v>
      </c>
      <c r="D387">
        <v>95.210246658110108</v>
      </c>
      <c r="E387">
        <f>VLOOKUP(C387,'10y swap Vol'!$C$2:$G$3809,5,0)</f>
        <v>106.41956130722083</v>
      </c>
      <c r="F387">
        <f>VLOOKUP(C387,'5y10y Swaption Vol'!temp,3,0)</f>
        <v>109.7406744084</v>
      </c>
      <c r="H387" s="1">
        <v>40644</v>
      </c>
      <c r="I387" t="s">
        <v>2</v>
      </c>
      <c r="J387">
        <v>3.6612119999999999</v>
      </c>
      <c r="K387">
        <v>1.2010000000000076E-3</v>
      </c>
      <c r="L387">
        <v>85.086300360580111</v>
      </c>
      <c r="M387">
        <f t="shared" ref="M387:M450" si="6">C387-H387</f>
        <v>-27</v>
      </c>
    </row>
    <row r="388" spans="3:13">
      <c r="C388" s="2">
        <v>40618</v>
      </c>
      <c r="D388">
        <v>88.98145683934365</v>
      </c>
      <c r="E388">
        <f>VLOOKUP(C388,'10y swap Vol'!$C$2:$G$3809,5,0)</f>
        <v>101.81952052091718</v>
      </c>
      <c r="F388">
        <f>VLOOKUP(C388,'5y10y Swaption Vol'!temp,3,0)</f>
        <v>110.6441823744</v>
      </c>
      <c r="H388" s="1">
        <v>40645</v>
      </c>
      <c r="I388" t="s">
        <v>2</v>
      </c>
      <c r="J388">
        <v>3.5857920000000001</v>
      </c>
      <c r="K388">
        <v>-7.5419999999999821E-2</v>
      </c>
      <c r="L388">
        <v>86.405558844376714</v>
      </c>
      <c r="M388">
        <f t="shared" si="6"/>
        <v>-27</v>
      </c>
    </row>
    <row r="389" spans="3:13">
      <c r="C389" s="2">
        <v>40619</v>
      </c>
      <c r="D389">
        <v>88.671210527086927</v>
      </c>
      <c r="E389">
        <f>VLOOKUP(C389,'10y swap Vol'!$C$2:$G$3809,5,0)</f>
        <v>102.02439379600747</v>
      </c>
      <c r="F389">
        <f>VLOOKUP(C389,'5y10y Swaption Vol'!temp,3,0)</f>
        <v>109.61487744999999</v>
      </c>
      <c r="H389" s="1">
        <v>40646</v>
      </c>
      <c r="I389" t="s">
        <v>2</v>
      </c>
      <c r="J389">
        <v>3.543469</v>
      </c>
      <c r="K389">
        <v>-4.2323000000000111E-2</v>
      </c>
      <c r="L389">
        <v>86.648700538483396</v>
      </c>
      <c r="M389">
        <f t="shared" si="6"/>
        <v>-27</v>
      </c>
    </row>
    <row r="390" spans="3:13">
      <c r="C390" s="2">
        <v>40620</v>
      </c>
      <c r="D390">
        <v>88.393983332973022</v>
      </c>
      <c r="E390">
        <f>VLOOKUP(C390,'10y swap Vol'!$C$2:$G$3809,5,0)</f>
        <v>101.95638112573617</v>
      </c>
      <c r="F390">
        <f>VLOOKUP(C390,'5y10y Swaption Vol'!temp,3,0)</f>
        <v>108.9664512846</v>
      </c>
      <c r="H390" s="1">
        <v>40647</v>
      </c>
      <c r="I390" t="s">
        <v>2</v>
      </c>
      <c r="J390">
        <v>3.5720149999999999</v>
      </c>
      <c r="K390">
        <v>2.854599999999996E-2</v>
      </c>
      <c r="L390">
        <v>86.595408528857149</v>
      </c>
      <c r="M390">
        <f t="shared" si="6"/>
        <v>-27</v>
      </c>
    </row>
    <row r="391" spans="3:13">
      <c r="C391" s="2">
        <v>40623</v>
      </c>
      <c r="D391">
        <v>89.056673979476827</v>
      </c>
      <c r="E391">
        <f>VLOOKUP(C391,'10y swap Vol'!$C$2:$G$3809,5,0)</f>
        <v>102.47449144150083</v>
      </c>
      <c r="F391">
        <f>VLOOKUP(C391,'5y10y Swaption Vol'!temp,3,0)</f>
        <v>108.13467095279999</v>
      </c>
      <c r="H391" s="1">
        <v>40648</v>
      </c>
      <c r="I391" t="s">
        <v>2</v>
      </c>
      <c r="J391">
        <v>3.4893320000000001</v>
      </c>
      <c r="K391">
        <v>-8.268299999999984E-2</v>
      </c>
      <c r="L391">
        <v>84.913007965725924</v>
      </c>
      <c r="M391">
        <f t="shared" si="6"/>
        <v>-25</v>
      </c>
    </row>
    <row r="392" spans="3:13">
      <c r="C392" s="2">
        <v>40624</v>
      </c>
      <c r="D392">
        <v>88.663525770101174</v>
      </c>
      <c r="E392">
        <f>VLOOKUP(C392,'10y swap Vol'!$C$2:$G$3809,5,0)</f>
        <v>102.18388930497575</v>
      </c>
      <c r="F392">
        <f>VLOOKUP(C392,'5y10y Swaption Vol'!temp,3,0)</f>
        <v>107.4546470608</v>
      </c>
      <c r="H392" s="1">
        <v>40651</v>
      </c>
      <c r="I392" t="s">
        <v>2</v>
      </c>
      <c r="J392">
        <v>3.4325489999999999</v>
      </c>
      <c r="K392">
        <v>-5.678300000000025E-2</v>
      </c>
      <c r="L392">
        <v>85.267496268597341</v>
      </c>
      <c r="M392">
        <f t="shared" si="6"/>
        <v>-27</v>
      </c>
    </row>
    <row r="393" spans="3:13">
      <c r="C393" s="2">
        <v>40625</v>
      </c>
      <c r="D393">
        <v>88.719052149040195</v>
      </c>
      <c r="E393">
        <f>VLOOKUP(C393,'10y swap Vol'!$C$2:$G$3809,5,0)</f>
        <v>101.68663123950117</v>
      </c>
      <c r="F393">
        <f>VLOOKUP(C393,'5y10y Swaption Vol'!temp,3,0)</f>
        <v>107.553519315</v>
      </c>
      <c r="H393" s="1">
        <v>40652</v>
      </c>
      <c r="I393" t="s">
        <v>2</v>
      </c>
      <c r="J393">
        <v>3.4250799999999999</v>
      </c>
      <c r="K393">
        <v>-7.4689999999999479E-3</v>
      </c>
      <c r="L393">
        <v>85.271161396853429</v>
      </c>
      <c r="M393">
        <f t="shared" si="6"/>
        <v>-27</v>
      </c>
    </row>
    <row r="394" spans="3:13">
      <c r="C394" s="2">
        <v>40626</v>
      </c>
      <c r="D394">
        <v>85.614914635229553</v>
      </c>
      <c r="E394">
        <f>VLOOKUP(C394,'10y swap Vol'!$C$2:$G$3809,5,0)</f>
        <v>98.701252076969382</v>
      </c>
      <c r="F394">
        <f>VLOOKUP(C394,'5y10y Swaption Vol'!temp,3,0)</f>
        <v>107.552304853</v>
      </c>
      <c r="H394" s="1">
        <v>40653</v>
      </c>
      <c r="I394" t="s">
        <v>2</v>
      </c>
      <c r="J394">
        <v>3.4707970000000001</v>
      </c>
      <c r="K394">
        <v>4.571700000000023E-2</v>
      </c>
      <c r="L394">
        <v>84.206490326905026</v>
      </c>
      <c r="M394">
        <f t="shared" si="6"/>
        <v>-27</v>
      </c>
    </row>
    <row r="395" spans="3:13">
      <c r="C395" s="2">
        <v>40627</v>
      </c>
      <c r="D395">
        <v>79.684074427511391</v>
      </c>
      <c r="E395">
        <f>VLOOKUP(C395,'10y swap Vol'!$C$2:$G$3809,5,0)</f>
        <v>94.828347254792803</v>
      </c>
      <c r="F395">
        <f>VLOOKUP(C395,'5y10y Swaption Vol'!temp,3,0)</f>
        <v>108.1426091152</v>
      </c>
      <c r="H395" s="1">
        <v>40654</v>
      </c>
      <c r="I395" t="s">
        <v>2</v>
      </c>
      <c r="J395">
        <v>3.4687899999999998</v>
      </c>
      <c r="K395">
        <v>-2.0070000000003141E-3</v>
      </c>
      <c r="L395">
        <v>81.282316727400485</v>
      </c>
      <c r="M395">
        <f t="shared" si="6"/>
        <v>-27</v>
      </c>
    </row>
    <row r="396" spans="3:13">
      <c r="C396" s="2">
        <v>40630</v>
      </c>
      <c r="D396">
        <v>79.614364927472664</v>
      </c>
      <c r="E396">
        <f>VLOOKUP(C396,'10y swap Vol'!$C$2:$G$3809,5,0)</f>
        <v>94.654736970770003</v>
      </c>
      <c r="F396">
        <f>VLOOKUP(C396,'5y10y Swaption Vol'!temp,3,0)</f>
        <v>108.38159091199999</v>
      </c>
      <c r="H396" s="1">
        <v>40658</v>
      </c>
      <c r="I396" t="s">
        <v>2</v>
      </c>
      <c r="J396">
        <v>3.4370919999999998</v>
      </c>
      <c r="K396">
        <v>-3.1698000000000004E-2</v>
      </c>
      <c r="L396">
        <v>81.003315772197865</v>
      </c>
      <c r="M396">
        <f t="shared" si="6"/>
        <v>-28</v>
      </c>
    </row>
    <row r="397" spans="3:13">
      <c r="C397" s="2">
        <v>40631</v>
      </c>
      <c r="D397">
        <v>78.043876570548804</v>
      </c>
      <c r="E397">
        <f>VLOOKUP(C397,'10y swap Vol'!$C$2:$G$3809,5,0)</f>
        <v>93.705872657265971</v>
      </c>
      <c r="F397">
        <f>VLOOKUP(C397,'5y10y Swaption Vol'!temp,3,0)</f>
        <v>108.408750302</v>
      </c>
      <c r="H397" s="1">
        <v>40659</v>
      </c>
      <c r="I397" t="s">
        <v>2</v>
      </c>
      <c r="J397">
        <v>3.3893650000000002</v>
      </c>
      <c r="K397">
        <v>-4.7726999999999631E-2</v>
      </c>
      <c r="L397">
        <v>81.034312418735695</v>
      </c>
      <c r="M397">
        <f t="shared" si="6"/>
        <v>-28</v>
      </c>
    </row>
    <row r="398" spans="3:13">
      <c r="C398" s="2">
        <v>40632</v>
      </c>
      <c r="D398">
        <v>78.388008322515617</v>
      </c>
      <c r="E398">
        <f>VLOOKUP(C398,'10y swap Vol'!$C$2:$G$3809,5,0)</f>
        <v>93.85128677264558</v>
      </c>
      <c r="F398">
        <f>VLOOKUP(C398,'5y10y Swaption Vol'!temp,3,0)</f>
        <v>108.091664626</v>
      </c>
      <c r="H398" s="1">
        <v>40660</v>
      </c>
      <c r="I398" t="s">
        <v>2</v>
      </c>
      <c r="J398">
        <v>3.4310719999999999</v>
      </c>
      <c r="K398">
        <v>4.1706999999999717E-2</v>
      </c>
      <c r="L398">
        <v>80.600907319653743</v>
      </c>
      <c r="M398">
        <f t="shared" si="6"/>
        <v>-28</v>
      </c>
    </row>
    <row r="399" spans="3:13">
      <c r="C399" s="2">
        <v>40633</v>
      </c>
      <c r="D399">
        <v>78.38109096639532</v>
      </c>
      <c r="E399">
        <f>VLOOKUP(C399,'10y swap Vol'!$C$2:$G$3809,5,0)</f>
        <v>93.842246928775353</v>
      </c>
      <c r="F399">
        <f>VLOOKUP(C399,'5y10y Swaption Vol'!temp,3,0)</f>
        <v>108.56356757250001</v>
      </c>
      <c r="H399" s="1">
        <v>40661</v>
      </c>
      <c r="I399" t="s">
        <v>2</v>
      </c>
      <c r="J399">
        <v>3.3726530000000001</v>
      </c>
      <c r="K399">
        <v>-5.8418999999999777E-2</v>
      </c>
      <c r="L399">
        <v>80.300636265512779</v>
      </c>
      <c r="M399">
        <f t="shared" si="6"/>
        <v>-28</v>
      </c>
    </row>
    <row r="400" spans="3:13">
      <c r="C400" s="2">
        <v>40634</v>
      </c>
      <c r="D400">
        <v>73.44915093362026</v>
      </c>
      <c r="E400">
        <f>VLOOKUP(C400,'10y swap Vol'!$C$2:$G$3809,5,0)</f>
        <v>88.21809741483689</v>
      </c>
      <c r="F400">
        <f>VLOOKUP(C400,'5y10y Swaption Vol'!temp,3,0)</f>
        <v>107.2086294404</v>
      </c>
      <c r="H400" s="1">
        <v>40662</v>
      </c>
      <c r="I400" t="s">
        <v>2</v>
      </c>
      <c r="J400">
        <v>3.3609429999999998</v>
      </c>
      <c r="K400">
        <v>-1.1710000000000331E-2</v>
      </c>
      <c r="L400">
        <v>79.429857270886785</v>
      </c>
      <c r="M400">
        <f t="shared" si="6"/>
        <v>-28</v>
      </c>
    </row>
    <row r="401" spans="3:13">
      <c r="C401" s="2">
        <v>40637</v>
      </c>
      <c r="D401">
        <v>72.79294565812971</v>
      </c>
      <c r="E401">
        <f>VLOOKUP(C401,'10y swap Vol'!$C$2:$G$3809,5,0)</f>
        <v>86.929486272245441</v>
      </c>
      <c r="F401">
        <f>VLOOKUP(C401,'5y10y Swaption Vol'!temp,3,0)</f>
        <v>106.982156776</v>
      </c>
      <c r="H401" s="1">
        <v>40665</v>
      </c>
      <c r="I401" t="s">
        <v>2</v>
      </c>
      <c r="J401">
        <v>3.3544740000000002</v>
      </c>
      <c r="K401">
        <v>-6.4689999999996139E-3</v>
      </c>
      <c r="L401">
        <v>78.488025246698697</v>
      </c>
      <c r="M401">
        <f t="shared" si="6"/>
        <v>-28</v>
      </c>
    </row>
    <row r="402" spans="3:13">
      <c r="C402" s="2">
        <v>40638</v>
      </c>
      <c r="D402">
        <v>70.664143665378447</v>
      </c>
      <c r="E402">
        <f>VLOOKUP(C402,'10y swap Vol'!$C$2:$G$3809,5,0)</f>
        <v>85.828477399456688</v>
      </c>
      <c r="F402">
        <f>VLOOKUP(C402,'5y10y Swaption Vol'!temp,3,0)</f>
        <v>107.34744628919999</v>
      </c>
      <c r="H402" s="1">
        <v>40666</v>
      </c>
      <c r="I402" t="s">
        <v>2</v>
      </c>
      <c r="J402">
        <v>3.3306990000000001</v>
      </c>
      <c r="K402">
        <v>-2.3775000000000102E-2</v>
      </c>
      <c r="L402">
        <v>75.716211276328849</v>
      </c>
      <c r="M402">
        <f t="shared" si="6"/>
        <v>-28</v>
      </c>
    </row>
    <row r="403" spans="3:13">
      <c r="C403" s="2">
        <v>40639</v>
      </c>
      <c r="D403">
        <v>70.614334869707619</v>
      </c>
      <c r="E403">
        <f>VLOOKUP(C403,'10y swap Vol'!$C$2:$G$3809,5,0)</f>
        <v>86.299527284987477</v>
      </c>
      <c r="F403">
        <f>VLOOKUP(C403,'5y10y Swaption Vol'!temp,3,0)</f>
        <v>107.7861969384</v>
      </c>
      <c r="H403" s="1">
        <v>40667</v>
      </c>
      <c r="I403" t="s">
        <v>2</v>
      </c>
      <c r="J403">
        <v>3.2957360000000002</v>
      </c>
      <c r="K403">
        <v>-3.4962999999999855E-2</v>
      </c>
      <c r="L403">
        <v>75.873257144960576</v>
      </c>
      <c r="M403">
        <f t="shared" si="6"/>
        <v>-28</v>
      </c>
    </row>
    <row r="404" spans="3:13">
      <c r="C404" s="2">
        <v>40640</v>
      </c>
      <c r="D404">
        <v>69.885817185402871</v>
      </c>
      <c r="E404">
        <f>VLOOKUP(C404,'10y swap Vol'!$C$2:$G$3809,5,0)</f>
        <v>86.117269774175142</v>
      </c>
      <c r="F404">
        <f>VLOOKUP(C404,'5y10y Swaption Vol'!temp,3,0)</f>
        <v>107.97585164189999</v>
      </c>
      <c r="H404" s="1">
        <v>40668</v>
      </c>
      <c r="I404" t="s">
        <v>2</v>
      </c>
      <c r="J404">
        <v>3.2468089999999998</v>
      </c>
      <c r="K404">
        <v>-4.8927000000000387E-2</v>
      </c>
      <c r="L404">
        <v>74.497860672484009</v>
      </c>
      <c r="M404">
        <f t="shared" si="6"/>
        <v>-28</v>
      </c>
    </row>
    <row r="405" spans="3:13">
      <c r="C405" s="2">
        <v>40641</v>
      </c>
      <c r="D405">
        <v>69.8796025782637</v>
      </c>
      <c r="E405">
        <f>VLOOKUP(C405,'10y swap Vol'!$C$2:$G$3809,5,0)</f>
        <v>86.131966439545238</v>
      </c>
      <c r="F405">
        <f>VLOOKUP(C405,'5y10y Swaption Vol'!temp,3,0)</f>
        <v>108.326379223</v>
      </c>
      <c r="H405" s="1">
        <v>40669</v>
      </c>
      <c r="I405" t="s">
        <v>2</v>
      </c>
      <c r="J405">
        <v>3.2408950000000001</v>
      </c>
      <c r="K405">
        <v>-5.9139999999997528E-3</v>
      </c>
      <c r="L405">
        <v>73.435321042389887</v>
      </c>
      <c r="M405">
        <f t="shared" si="6"/>
        <v>-28</v>
      </c>
    </row>
    <row r="406" spans="3:13">
      <c r="C406" s="2">
        <v>40644</v>
      </c>
      <c r="D406">
        <v>68.838148752641899</v>
      </c>
      <c r="E406">
        <f>VLOOKUP(C406,'10y swap Vol'!$C$2:$G$3809,5,0)</f>
        <v>85.086300360580111</v>
      </c>
      <c r="F406">
        <f>VLOOKUP(C406,'5y10y Swaption Vol'!temp,3,0)</f>
        <v>108.12079797120001</v>
      </c>
      <c r="H406" s="1">
        <v>40672</v>
      </c>
      <c r="I406" t="s">
        <v>2</v>
      </c>
      <c r="J406">
        <v>3.2231700000000001</v>
      </c>
      <c r="K406">
        <v>-1.7724999999999991E-2</v>
      </c>
      <c r="L406">
        <v>72.044568361597541</v>
      </c>
      <c r="M406">
        <f t="shared" si="6"/>
        <v>-28</v>
      </c>
    </row>
    <row r="407" spans="3:13">
      <c r="C407" s="2">
        <v>40645</v>
      </c>
      <c r="D407">
        <v>69.75317433612409</v>
      </c>
      <c r="E407">
        <f>VLOOKUP(C407,'10y swap Vol'!$C$2:$G$3809,5,0)</f>
        <v>86.405558844376714</v>
      </c>
      <c r="F407">
        <f>VLOOKUP(C407,'5y10y Swaption Vol'!temp,3,0)</f>
        <v>107.8519928745</v>
      </c>
      <c r="H407" s="1">
        <v>40673</v>
      </c>
      <c r="I407" t="s">
        <v>2</v>
      </c>
      <c r="J407">
        <v>3.2788270000000002</v>
      </c>
      <c r="K407">
        <v>5.5657000000000068E-2</v>
      </c>
      <c r="L407">
        <v>72.539232909345515</v>
      </c>
      <c r="M407">
        <f t="shared" si="6"/>
        <v>-28</v>
      </c>
    </row>
    <row r="408" spans="3:13">
      <c r="C408" s="2">
        <v>40646</v>
      </c>
      <c r="D408">
        <v>69.068911162036301</v>
      </c>
      <c r="E408">
        <f>VLOOKUP(C408,'10y swap Vol'!$C$2:$G$3809,5,0)</f>
        <v>86.648700538483396</v>
      </c>
      <c r="F408">
        <f>VLOOKUP(C408,'5y10y Swaption Vol'!temp,3,0)</f>
        <v>107.50364856</v>
      </c>
      <c r="H408" s="1">
        <v>40674</v>
      </c>
      <c r="I408" t="s">
        <v>2</v>
      </c>
      <c r="J408">
        <v>3.2446009999999998</v>
      </c>
      <c r="K408">
        <v>-3.4226000000000312E-2</v>
      </c>
      <c r="L408">
        <v>72.520244012009812</v>
      </c>
      <c r="M408">
        <f t="shared" si="6"/>
        <v>-28</v>
      </c>
    </row>
    <row r="409" spans="3:13">
      <c r="C409" s="2">
        <v>40647</v>
      </c>
      <c r="D409">
        <v>68.818561838546785</v>
      </c>
      <c r="E409">
        <f>VLOOKUP(C409,'10y swap Vol'!$C$2:$G$3809,5,0)</f>
        <v>86.595408528857149</v>
      </c>
      <c r="F409">
        <f>VLOOKUP(C409,'5y10y Swaption Vol'!temp,3,0)</f>
        <v>107.34076226880001</v>
      </c>
      <c r="H409" s="1">
        <v>40675</v>
      </c>
      <c r="I409" t="s">
        <v>2</v>
      </c>
      <c r="J409">
        <v>3.2935989999999999</v>
      </c>
      <c r="K409">
        <v>4.8998000000000097E-2</v>
      </c>
      <c r="L409">
        <v>73.445434433376107</v>
      </c>
      <c r="M409">
        <f t="shared" si="6"/>
        <v>-28</v>
      </c>
    </row>
    <row r="410" spans="3:13">
      <c r="C410" s="2">
        <v>40648</v>
      </c>
      <c r="D410">
        <v>67.246319243498164</v>
      </c>
      <c r="E410">
        <f>VLOOKUP(C410,'10y swap Vol'!$C$2:$G$3809,5,0)</f>
        <v>84.913007965725924</v>
      </c>
      <c r="F410">
        <f>VLOOKUP(C410,'5y10y Swaption Vol'!temp,3,0)</f>
        <v>106.9187505813</v>
      </c>
      <c r="H410" s="1">
        <v>40676</v>
      </c>
      <c r="I410" t="s">
        <v>2</v>
      </c>
      <c r="J410">
        <v>3.2547739999999998</v>
      </c>
      <c r="K410">
        <v>-3.8825000000000109E-2</v>
      </c>
      <c r="L410">
        <v>73.667284538364513</v>
      </c>
      <c r="M410">
        <f t="shared" si="6"/>
        <v>-28</v>
      </c>
    </row>
    <row r="411" spans="3:13">
      <c r="C411" s="2">
        <v>40651</v>
      </c>
      <c r="D411">
        <v>67.227880749860091</v>
      </c>
      <c r="E411">
        <f>VLOOKUP(C411,'10y swap Vol'!$C$2:$G$3809,5,0)</f>
        <v>85.267496268597341</v>
      </c>
      <c r="F411">
        <f>VLOOKUP(C411,'5y10y Swaption Vol'!temp,3,0)</f>
        <v>107.319115032</v>
      </c>
      <c r="H411" s="1">
        <v>40679</v>
      </c>
      <c r="I411" t="s">
        <v>2</v>
      </c>
      <c r="J411">
        <v>3.2219099999999998</v>
      </c>
      <c r="K411">
        <v>-3.2864000000000004E-2</v>
      </c>
      <c r="L411">
        <v>73.2351175339479</v>
      </c>
      <c r="M411">
        <f t="shared" si="6"/>
        <v>-28</v>
      </c>
    </row>
    <row r="412" spans="3:13">
      <c r="C412" s="2">
        <v>40652</v>
      </c>
      <c r="D412">
        <v>67.211449991702793</v>
      </c>
      <c r="E412">
        <f>VLOOKUP(C412,'10y swap Vol'!$C$2:$G$3809,5,0)</f>
        <v>85.271161396853429</v>
      </c>
      <c r="F412">
        <f>VLOOKUP(C412,'5y10y Swaption Vol'!temp,3,0)</f>
        <v>107.2418557787</v>
      </c>
      <c r="H412" s="1">
        <v>40680</v>
      </c>
      <c r="I412" t="s">
        <v>2</v>
      </c>
      <c r="J412">
        <v>3.1876899999999999</v>
      </c>
      <c r="K412">
        <v>-3.4219999999999917E-2</v>
      </c>
      <c r="L412">
        <v>73.285983573505803</v>
      </c>
      <c r="M412">
        <f t="shared" si="6"/>
        <v>-28</v>
      </c>
    </row>
    <row r="413" spans="3:13">
      <c r="C413" s="2">
        <v>40653</v>
      </c>
      <c r="D413">
        <v>66.767971533644214</v>
      </c>
      <c r="E413">
        <f>VLOOKUP(C413,'10y swap Vol'!$C$2:$G$3809,5,0)</f>
        <v>84.206490326905026</v>
      </c>
      <c r="F413">
        <f>VLOOKUP(C413,'5y10y Swaption Vol'!temp,3,0)</f>
        <v>106.7820035158</v>
      </c>
      <c r="H413" s="1">
        <v>40681</v>
      </c>
      <c r="I413" t="s">
        <v>2</v>
      </c>
      <c r="J413">
        <v>3.249682</v>
      </c>
      <c r="K413">
        <v>6.1992000000000047E-2</v>
      </c>
      <c r="L413">
        <v>71.859277163768482</v>
      </c>
      <c r="M413">
        <f t="shared" si="6"/>
        <v>-28</v>
      </c>
    </row>
    <row r="414" spans="3:13">
      <c r="C414" s="2">
        <v>40654</v>
      </c>
      <c r="D414">
        <v>64.636305506563602</v>
      </c>
      <c r="E414">
        <f>VLOOKUP(C414,'10y swap Vol'!$C$2:$G$3809,5,0)</f>
        <v>81.282316727400485</v>
      </c>
      <c r="F414">
        <f>VLOOKUP(C414,'5y10y Swaption Vol'!temp,3,0)</f>
        <v>106.36040652369999</v>
      </c>
      <c r="H414" s="1">
        <v>40682</v>
      </c>
      <c r="I414" t="s">
        <v>2</v>
      </c>
      <c r="J414">
        <v>3.2538230000000001</v>
      </c>
      <c r="K414">
        <v>4.1410000000001723E-3</v>
      </c>
      <c r="L414">
        <v>71.698186622711546</v>
      </c>
      <c r="M414">
        <f t="shared" si="6"/>
        <v>-28</v>
      </c>
    </row>
    <row r="415" spans="3:13">
      <c r="C415" s="2">
        <v>40658</v>
      </c>
      <c r="D415">
        <v>64.106955856239921</v>
      </c>
      <c r="E415">
        <f>VLOOKUP(C415,'10y swap Vol'!$C$2:$G$3809,5,0)</f>
        <v>81.003315772197865</v>
      </c>
      <c r="F415">
        <f>VLOOKUP(C415,'5y10y Swaption Vol'!temp,3,0)</f>
        <v>106.1890437</v>
      </c>
      <c r="H415" s="1">
        <v>40683</v>
      </c>
      <c r="I415" t="s">
        <v>2</v>
      </c>
      <c r="J415">
        <v>3.2364709999999999</v>
      </c>
      <c r="K415">
        <v>-1.7352000000000256E-2</v>
      </c>
      <c r="L415">
        <v>71.262643869792385</v>
      </c>
      <c r="M415">
        <f t="shared" si="6"/>
        <v>-25</v>
      </c>
    </row>
    <row r="416" spans="3:13">
      <c r="C416" s="2">
        <v>40659</v>
      </c>
      <c r="D416">
        <v>64.124522180514703</v>
      </c>
      <c r="E416">
        <f>VLOOKUP(C416,'10y swap Vol'!$C$2:$G$3809,5,0)</f>
        <v>81.034312418735695</v>
      </c>
      <c r="F416">
        <f>VLOOKUP(C416,'5y10y Swaption Vol'!temp,3,0)</f>
        <v>106.97110404999999</v>
      </c>
      <c r="H416" s="1">
        <v>40686</v>
      </c>
      <c r="I416" t="s">
        <v>2</v>
      </c>
      <c r="J416">
        <v>3.2233450000000001</v>
      </c>
      <c r="K416">
        <v>-1.3125999999999749E-2</v>
      </c>
      <c r="L416">
        <v>71.268358449899523</v>
      </c>
      <c r="M416">
        <f t="shared" si="6"/>
        <v>-27</v>
      </c>
    </row>
    <row r="417" spans="3:13">
      <c r="C417" s="2">
        <v>40660</v>
      </c>
      <c r="D417">
        <v>64.126717200545727</v>
      </c>
      <c r="E417">
        <f>VLOOKUP(C417,'10y swap Vol'!$C$2:$G$3809,5,0)</f>
        <v>80.600907319653743</v>
      </c>
      <c r="F417">
        <f>VLOOKUP(C417,'5y10y Swaption Vol'!temp,3,0)</f>
        <v>106.8937942296</v>
      </c>
      <c r="H417" s="1">
        <v>40687</v>
      </c>
      <c r="I417" t="s">
        <v>2</v>
      </c>
      <c r="J417">
        <v>3.211071</v>
      </c>
      <c r="K417">
        <v>-1.2274000000000118E-2</v>
      </c>
      <c r="L417">
        <v>71.263892765142103</v>
      </c>
      <c r="M417">
        <f t="shared" si="6"/>
        <v>-27</v>
      </c>
    </row>
    <row r="418" spans="3:13">
      <c r="C418" s="2">
        <v>40661</v>
      </c>
      <c r="D418">
        <v>64.276116336161493</v>
      </c>
      <c r="E418">
        <f>VLOOKUP(C418,'10y swap Vol'!$C$2:$G$3809,5,0)</f>
        <v>80.300636265512779</v>
      </c>
      <c r="F418">
        <f>VLOOKUP(C418,'5y10y Swaption Vol'!temp,3,0)</f>
        <v>106.04670036509999</v>
      </c>
      <c r="H418" s="1">
        <v>40688</v>
      </c>
      <c r="I418" t="s">
        <v>2</v>
      </c>
      <c r="J418">
        <v>3.2147890000000001</v>
      </c>
      <c r="K418">
        <v>3.7180000000001101E-3</v>
      </c>
      <c r="L418">
        <v>71.2752214586544</v>
      </c>
      <c r="M418">
        <f t="shared" si="6"/>
        <v>-27</v>
      </c>
    </row>
    <row r="419" spans="3:13">
      <c r="C419" s="2">
        <v>40662</v>
      </c>
      <c r="D419">
        <v>63.404765376587982</v>
      </c>
      <c r="E419">
        <f>VLOOKUP(C419,'10y swap Vol'!$C$2:$G$3809,5,0)</f>
        <v>79.429857270886785</v>
      </c>
      <c r="F419">
        <f>VLOOKUP(C419,'5y10y Swaption Vol'!temp,3,0)</f>
        <v>106.3250185635</v>
      </c>
      <c r="H419" s="1">
        <v>40689</v>
      </c>
      <c r="I419" t="s">
        <v>2</v>
      </c>
      <c r="J419">
        <v>3.1406130000000001</v>
      </c>
      <c r="K419">
        <v>-7.417600000000002E-2</v>
      </c>
      <c r="L419">
        <v>71.393196962711386</v>
      </c>
      <c r="M419">
        <f t="shared" si="6"/>
        <v>-27</v>
      </c>
    </row>
    <row r="420" spans="3:13">
      <c r="C420" s="2">
        <v>40665</v>
      </c>
      <c r="D420">
        <v>62.743891755547473</v>
      </c>
      <c r="E420">
        <f>VLOOKUP(C420,'10y swap Vol'!$C$2:$G$3809,5,0)</f>
        <v>78.488025246698697</v>
      </c>
      <c r="F420">
        <f>VLOOKUP(C420,'5y10y Swaption Vol'!temp,3,0)</f>
        <v>106.77143497589999</v>
      </c>
      <c r="H420" s="1">
        <v>40690</v>
      </c>
      <c r="I420" t="s">
        <v>2</v>
      </c>
      <c r="J420">
        <v>3.1563080000000001</v>
      </c>
      <c r="K420">
        <v>1.5695000000000014E-2</v>
      </c>
      <c r="L420">
        <v>67.084588522194082</v>
      </c>
      <c r="M420">
        <f t="shared" si="6"/>
        <v>-25</v>
      </c>
    </row>
    <row r="421" spans="3:13">
      <c r="C421" s="2">
        <v>40666</v>
      </c>
      <c r="D421">
        <v>61.177119948926581</v>
      </c>
      <c r="E421">
        <f>VLOOKUP(C421,'10y swap Vol'!$C$2:$G$3809,5,0)</f>
        <v>75.716211276328849</v>
      </c>
      <c r="F421">
        <f>VLOOKUP(C421,'5y10y Swaption Vol'!temp,3,0)</f>
        <v>107.1763886844</v>
      </c>
      <c r="H421" s="1">
        <v>40694</v>
      </c>
      <c r="I421" t="s">
        <v>2</v>
      </c>
      <c r="J421">
        <v>3.1463199999999998</v>
      </c>
      <c r="K421">
        <v>-9.9880000000003299E-3</v>
      </c>
      <c r="L421">
        <v>64.81466452321078</v>
      </c>
      <c r="M421">
        <f t="shared" si="6"/>
        <v>-28</v>
      </c>
    </row>
    <row r="422" spans="3:13">
      <c r="C422" s="2">
        <v>40667</v>
      </c>
      <c r="D422">
        <v>61.209978889490777</v>
      </c>
      <c r="E422">
        <f>VLOOKUP(C422,'10y swap Vol'!$C$2:$G$3809,5,0)</f>
        <v>75.873257144960576</v>
      </c>
      <c r="F422">
        <f>VLOOKUP(C422,'5y10y Swaption Vol'!temp,3,0)</f>
        <v>106.612608894</v>
      </c>
      <c r="H422" s="1">
        <v>40695</v>
      </c>
      <c r="I422" t="s">
        <v>2</v>
      </c>
      <c r="J422">
        <v>3.0770230000000001</v>
      </c>
      <c r="K422">
        <v>-6.929699999999972E-2</v>
      </c>
      <c r="L422">
        <v>66.011386435163715</v>
      </c>
      <c r="M422">
        <f t="shared" si="6"/>
        <v>-28</v>
      </c>
    </row>
    <row r="423" spans="3:13">
      <c r="C423" s="2">
        <v>40668</v>
      </c>
      <c r="D423">
        <v>59.487781530161108</v>
      </c>
      <c r="E423">
        <f>VLOOKUP(C423,'10y swap Vol'!$C$2:$G$3809,5,0)</f>
        <v>74.497860672484009</v>
      </c>
      <c r="F423">
        <f>VLOOKUP(C423,'5y10y Swaption Vol'!temp,3,0)</f>
        <v>106.5011494992</v>
      </c>
      <c r="H423" s="1">
        <v>40696</v>
      </c>
      <c r="I423" t="s">
        <v>2</v>
      </c>
      <c r="J423">
        <v>3.1388769999999999</v>
      </c>
      <c r="K423">
        <v>6.1853999999999854E-2</v>
      </c>
      <c r="L423">
        <v>66.888000342227144</v>
      </c>
      <c r="M423">
        <f t="shared" si="6"/>
        <v>-28</v>
      </c>
    </row>
    <row r="424" spans="3:13">
      <c r="C424" s="2">
        <v>40669</v>
      </c>
      <c r="D424">
        <v>59.24468547710039</v>
      </c>
      <c r="E424">
        <f>VLOOKUP(C424,'10y swap Vol'!$C$2:$G$3809,5,0)</f>
        <v>73.435321042389887</v>
      </c>
      <c r="F424">
        <f>VLOOKUP(C424,'5y10y Swaption Vol'!temp,3,0)</f>
        <v>106.2032310157</v>
      </c>
      <c r="H424" s="1">
        <v>40697</v>
      </c>
      <c r="I424" t="s">
        <v>2</v>
      </c>
      <c r="J424">
        <v>3.111469</v>
      </c>
      <c r="K424">
        <v>-2.7407999999999877E-2</v>
      </c>
      <c r="L424">
        <v>65.592584139333653</v>
      </c>
      <c r="M424">
        <f t="shared" si="6"/>
        <v>-28</v>
      </c>
    </row>
    <row r="425" spans="3:13">
      <c r="C425" s="2">
        <v>40672</v>
      </c>
      <c r="D425">
        <v>58.094973302282796</v>
      </c>
      <c r="E425">
        <f>VLOOKUP(C425,'10y swap Vol'!$C$2:$G$3809,5,0)</f>
        <v>72.044568361597541</v>
      </c>
      <c r="F425">
        <f>VLOOKUP(C425,'5y10y Swaption Vol'!temp,3,0)</f>
        <v>106.7659082131</v>
      </c>
      <c r="H425" s="1">
        <v>40700</v>
      </c>
      <c r="I425" t="s">
        <v>2</v>
      </c>
      <c r="J425">
        <v>3.124457</v>
      </c>
      <c r="K425">
        <v>1.2988E-2</v>
      </c>
      <c r="L425">
        <v>64.410426819015612</v>
      </c>
      <c r="M425">
        <f t="shared" si="6"/>
        <v>-28</v>
      </c>
    </row>
    <row r="426" spans="3:13">
      <c r="C426" s="2">
        <v>40673</v>
      </c>
      <c r="D426">
        <v>57.77418809190101</v>
      </c>
      <c r="E426">
        <f>VLOOKUP(C426,'10y swap Vol'!$C$2:$G$3809,5,0)</f>
        <v>72.539232909345515</v>
      </c>
      <c r="F426">
        <f>VLOOKUP(C426,'5y10y Swaption Vol'!temp,3,0)</f>
        <v>106.99394061149999</v>
      </c>
      <c r="H426" s="1">
        <v>40701</v>
      </c>
      <c r="I426" t="s">
        <v>2</v>
      </c>
      <c r="J426">
        <v>3.1328450000000001</v>
      </c>
      <c r="K426">
        <v>8.3880000000000621E-3</v>
      </c>
      <c r="L426">
        <v>64.433764797899798</v>
      </c>
      <c r="M426">
        <f t="shared" si="6"/>
        <v>-28</v>
      </c>
    </row>
    <row r="427" spans="3:13">
      <c r="C427" s="2">
        <v>40674</v>
      </c>
      <c r="D427">
        <v>57.499549197854549</v>
      </c>
      <c r="E427">
        <f>VLOOKUP(C427,'10y swap Vol'!$C$2:$G$3809,5,0)</f>
        <v>72.520244012009812</v>
      </c>
      <c r="F427">
        <f>VLOOKUP(C427,'5y10y Swaption Vol'!temp,3,0)</f>
        <v>107.0301946875</v>
      </c>
      <c r="H427" s="1">
        <v>40702</v>
      </c>
      <c r="I427" t="s">
        <v>2</v>
      </c>
      <c r="J427">
        <v>3.0744509999999998</v>
      </c>
      <c r="K427">
        <v>-5.8394000000000279E-2</v>
      </c>
      <c r="L427">
        <v>64.906646505149922</v>
      </c>
      <c r="M427">
        <f t="shared" si="6"/>
        <v>-28</v>
      </c>
    </row>
    <row r="428" spans="3:13">
      <c r="C428" s="2">
        <v>40675</v>
      </c>
      <c r="D428">
        <v>57.810861749330044</v>
      </c>
      <c r="E428">
        <f>VLOOKUP(C428,'10y swap Vol'!$C$2:$G$3809,5,0)</f>
        <v>73.445434433376107</v>
      </c>
      <c r="F428">
        <f>VLOOKUP(C428,'5y10y Swaption Vol'!temp,3,0)</f>
        <v>107.0606289868</v>
      </c>
      <c r="H428" s="1">
        <v>40703</v>
      </c>
      <c r="I428" t="s">
        <v>2</v>
      </c>
      <c r="J428">
        <v>3.0970300000000002</v>
      </c>
      <c r="K428">
        <v>2.2579000000000349E-2</v>
      </c>
      <c r="L428">
        <v>65.035910260868533</v>
      </c>
      <c r="M428">
        <f t="shared" si="6"/>
        <v>-28</v>
      </c>
    </row>
    <row r="429" spans="3:13">
      <c r="C429" s="2">
        <v>40676</v>
      </c>
      <c r="D429">
        <v>57.694315429761225</v>
      </c>
      <c r="E429">
        <f>VLOOKUP(C429,'10y swap Vol'!$C$2:$G$3809,5,0)</f>
        <v>73.667284538364513</v>
      </c>
      <c r="F429">
        <f>VLOOKUP(C429,'5y10y Swaption Vol'!temp,3,0)</f>
        <v>106.845780404</v>
      </c>
      <c r="H429" s="1">
        <v>40704</v>
      </c>
      <c r="I429" t="s">
        <v>2</v>
      </c>
      <c r="J429">
        <v>3.0719409999999998</v>
      </c>
      <c r="K429">
        <v>-2.5089000000000361E-2</v>
      </c>
      <c r="L429">
        <v>61.060554845187255</v>
      </c>
      <c r="M429">
        <f t="shared" si="6"/>
        <v>-28</v>
      </c>
    </row>
    <row r="430" spans="3:13">
      <c r="C430" s="2">
        <v>40679</v>
      </c>
      <c r="D430">
        <v>57.086324068512049</v>
      </c>
      <c r="E430">
        <f>VLOOKUP(C430,'10y swap Vol'!$C$2:$G$3809,5,0)</f>
        <v>73.2351175339479</v>
      </c>
      <c r="F430">
        <f>VLOOKUP(C430,'5y10y Swaption Vol'!temp,3,0)</f>
        <v>107.086455488</v>
      </c>
      <c r="H430" s="1">
        <v>40707</v>
      </c>
      <c r="I430" t="s">
        <v>2</v>
      </c>
      <c r="J430">
        <v>3.097003</v>
      </c>
      <c r="K430">
        <v>2.506200000000014E-2</v>
      </c>
      <c r="L430">
        <v>60.832337774209918</v>
      </c>
      <c r="M430">
        <f t="shared" si="6"/>
        <v>-28</v>
      </c>
    </row>
    <row r="431" spans="3:13">
      <c r="C431" s="2">
        <v>40680</v>
      </c>
      <c r="D431">
        <v>56.92570392899777</v>
      </c>
      <c r="E431">
        <f>VLOOKUP(C431,'10y swap Vol'!$C$2:$G$3809,5,0)</f>
        <v>73.285983573505803</v>
      </c>
      <c r="F431">
        <f>VLOOKUP(C431,'5y10y Swaption Vol'!temp,3,0)</f>
        <v>107.4949034256</v>
      </c>
      <c r="H431" s="1">
        <v>40708</v>
      </c>
      <c r="I431" t="s">
        <v>2</v>
      </c>
      <c r="J431">
        <v>3.2005240000000001</v>
      </c>
      <c r="K431">
        <v>0.1035210000000002</v>
      </c>
      <c r="L431">
        <v>64.582730771515671</v>
      </c>
      <c r="M431">
        <f t="shared" si="6"/>
        <v>-28</v>
      </c>
    </row>
    <row r="432" spans="3:13">
      <c r="C432" s="2">
        <v>40681</v>
      </c>
      <c r="D432">
        <v>56.41649326719044</v>
      </c>
      <c r="E432">
        <f>VLOOKUP(C432,'10y swap Vol'!$C$2:$G$3809,5,0)</f>
        <v>71.859277163768482</v>
      </c>
      <c r="F432">
        <f>VLOOKUP(C432,'5y10y Swaption Vol'!temp,3,0)</f>
        <v>108.845852452</v>
      </c>
      <c r="H432" s="1">
        <v>40709</v>
      </c>
      <c r="I432" t="s">
        <v>2</v>
      </c>
      <c r="J432">
        <v>3.0986950000000002</v>
      </c>
      <c r="K432">
        <v>-0.10182899999999995</v>
      </c>
      <c r="L432">
        <v>66.498321581612956</v>
      </c>
      <c r="M432">
        <f t="shared" si="6"/>
        <v>-28</v>
      </c>
    </row>
    <row r="433" spans="3:13">
      <c r="C433" s="2">
        <v>40682</v>
      </c>
      <c r="D433">
        <v>56.422008202453689</v>
      </c>
      <c r="E433">
        <f>VLOOKUP(C433,'10y swap Vol'!$C$2:$G$3809,5,0)</f>
        <v>71.698186622711546</v>
      </c>
      <c r="F433">
        <f>VLOOKUP(C433,'5y10y Swaption Vol'!temp,3,0)</f>
        <v>109.1862016855</v>
      </c>
      <c r="H433" s="1">
        <v>40710</v>
      </c>
      <c r="I433" t="s">
        <v>2</v>
      </c>
      <c r="J433">
        <v>3.0567030000000002</v>
      </c>
      <c r="K433">
        <v>-4.1992000000000029E-2</v>
      </c>
      <c r="L433">
        <v>66.770630428012581</v>
      </c>
      <c r="M433">
        <f t="shared" si="6"/>
        <v>-28</v>
      </c>
    </row>
    <row r="434" spans="3:13">
      <c r="C434" s="2">
        <v>40683</v>
      </c>
      <c r="D434">
        <v>55.888081254973713</v>
      </c>
      <c r="E434">
        <f>VLOOKUP(C434,'10y swap Vol'!$C$2:$G$3809,5,0)</f>
        <v>71.262643869792385</v>
      </c>
      <c r="F434">
        <f>VLOOKUP(C434,'5y10y Swaption Vol'!temp,3,0)</f>
        <v>109.0980356826</v>
      </c>
      <c r="H434" s="1">
        <v>40711</v>
      </c>
      <c r="I434" t="s">
        <v>2</v>
      </c>
      <c r="J434">
        <v>3.0822660000000002</v>
      </c>
      <c r="K434">
        <v>2.5563000000000002E-2</v>
      </c>
      <c r="L434">
        <v>66.925284201840924</v>
      </c>
      <c r="M434">
        <f t="shared" si="6"/>
        <v>-28</v>
      </c>
    </row>
    <row r="435" spans="3:13">
      <c r="C435" s="2">
        <v>40686</v>
      </c>
      <c r="D435">
        <v>55.875618767493641</v>
      </c>
      <c r="E435">
        <f>VLOOKUP(C435,'10y swap Vol'!$C$2:$G$3809,5,0)</f>
        <v>71.268358449899523</v>
      </c>
      <c r="F435">
        <f>VLOOKUP(C435,'5y10y Swaption Vol'!temp,3,0)</f>
        <v>109.114176816</v>
      </c>
      <c r="H435" s="1">
        <v>40714</v>
      </c>
      <c r="I435" t="s">
        <v>2</v>
      </c>
      <c r="J435">
        <v>3.102179</v>
      </c>
      <c r="K435">
        <v>1.9912999999999847E-2</v>
      </c>
      <c r="L435">
        <v>66.031213162262034</v>
      </c>
      <c r="M435">
        <f t="shared" si="6"/>
        <v>-28</v>
      </c>
    </row>
    <row r="436" spans="3:13">
      <c r="C436" s="2">
        <v>40687</v>
      </c>
      <c r="D436">
        <v>55.81814759857037</v>
      </c>
      <c r="E436">
        <f>VLOOKUP(C436,'10y swap Vol'!$C$2:$G$3809,5,0)</f>
        <v>71.263892765142103</v>
      </c>
      <c r="F436">
        <f>VLOOKUP(C436,'5y10y Swaption Vol'!temp,3,0)</f>
        <v>108.982354503</v>
      </c>
      <c r="H436" s="1">
        <v>40715</v>
      </c>
      <c r="I436" t="s">
        <v>2</v>
      </c>
      <c r="J436">
        <v>3.123443</v>
      </c>
      <c r="K436">
        <v>2.126399999999995E-2</v>
      </c>
      <c r="L436">
        <v>65.625561109444092</v>
      </c>
      <c r="M436">
        <f t="shared" si="6"/>
        <v>-28</v>
      </c>
    </row>
    <row r="437" spans="3:13">
      <c r="C437" s="2">
        <v>40688</v>
      </c>
      <c r="D437">
        <v>55.782918253715444</v>
      </c>
      <c r="E437">
        <f>VLOOKUP(C437,'10y swap Vol'!$C$2:$G$3809,5,0)</f>
        <v>71.2752214586544</v>
      </c>
      <c r="F437">
        <f>VLOOKUP(C437,'5y10y Swaption Vol'!temp,3,0)</f>
        <v>108.723275485</v>
      </c>
      <c r="H437" s="1">
        <v>40716</v>
      </c>
      <c r="I437" t="s">
        <v>2</v>
      </c>
      <c r="J437">
        <v>3.1095920000000001</v>
      </c>
      <c r="K437">
        <v>-1.3850999999999836E-2</v>
      </c>
      <c r="L437">
        <v>65.578352572395914</v>
      </c>
      <c r="M437">
        <f t="shared" si="6"/>
        <v>-28</v>
      </c>
    </row>
    <row r="438" spans="3:13">
      <c r="C438" s="2">
        <v>40689</v>
      </c>
      <c r="D438">
        <v>56.587653100822578</v>
      </c>
      <c r="E438">
        <f>VLOOKUP(C438,'10y swap Vol'!$C$2:$G$3809,5,0)</f>
        <v>71.393196962711386</v>
      </c>
      <c r="F438">
        <f>VLOOKUP(C438,'5y10y Swaption Vol'!temp,3,0)</f>
        <v>108.3087211955</v>
      </c>
      <c r="H438" s="1">
        <v>40717</v>
      </c>
      <c r="I438" t="s">
        <v>2</v>
      </c>
      <c r="J438">
        <v>3.0316839999999998</v>
      </c>
      <c r="K438">
        <v>-7.790800000000031E-2</v>
      </c>
      <c r="L438">
        <v>66.332808041151836</v>
      </c>
      <c r="M438">
        <f t="shared" si="6"/>
        <v>-28</v>
      </c>
    </row>
    <row r="439" spans="3:13">
      <c r="C439" s="2">
        <v>40690</v>
      </c>
      <c r="D439">
        <v>54.265857933330608</v>
      </c>
      <c r="E439">
        <f>VLOOKUP(C439,'10y swap Vol'!$C$2:$G$3809,5,0)</f>
        <v>67.084588522194082</v>
      </c>
      <c r="F439">
        <f>VLOOKUP(C439,'5y10y Swaption Vol'!temp,3,0)</f>
        <v>108.2600156588</v>
      </c>
      <c r="H439" s="1">
        <v>40718</v>
      </c>
      <c r="I439" t="s">
        <v>2</v>
      </c>
      <c r="J439">
        <v>3.0045099999999998</v>
      </c>
      <c r="K439">
        <v>-2.7174000000000031E-2</v>
      </c>
      <c r="L439">
        <v>66.051800649166097</v>
      </c>
      <c r="M439">
        <f t="shared" si="6"/>
        <v>-28</v>
      </c>
    </row>
    <row r="440" spans="3:13">
      <c r="C440" s="2">
        <v>40694</v>
      </c>
      <c r="D440">
        <v>51.460860765083453</v>
      </c>
      <c r="E440">
        <f>VLOOKUP(C440,'10y swap Vol'!$C$2:$G$3809,5,0)</f>
        <v>64.81466452321078</v>
      </c>
      <c r="F440">
        <f>VLOOKUP(C440,'5y10y Swaption Vol'!temp,3,0)</f>
        <v>108.06583625579999</v>
      </c>
      <c r="H440" s="1">
        <v>40721</v>
      </c>
      <c r="I440" t="s">
        <v>2</v>
      </c>
      <c r="J440">
        <v>3.057016</v>
      </c>
      <c r="K440">
        <v>5.2506000000000164E-2</v>
      </c>
      <c r="L440">
        <v>67.229384112059734</v>
      </c>
      <c r="M440">
        <f t="shared" si="6"/>
        <v>-27</v>
      </c>
    </row>
    <row r="441" spans="3:13">
      <c r="C441" s="2">
        <v>40695</v>
      </c>
      <c r="D441">
        <v>52.948102394708862</v>
      </c>
      <c r="E441">
        <f>VLOOKUP(C441,'10y swap Vol'!$C$2:$G$3809,5,0)</f>
        <v>66.011386435163715</v>
      </c>
      <c r="F441">
        <f>VLOOKUP(C441,'5y10y Swaption Vol'!temp,3,0)</f>
        <v>107.021388824</v>
      </c>
      <c r="H441" s="1">
        <v>40722</v>
      </c>
      <c r="I441" t="s">
        <v>2</v>
      </c>
      <c r="J441">
        <v>3.1601840000000001</v>
      </c>
      <c r="K441">
        <v>0.10316800000000015</v>
      </c>
      <c r="L441">
        <v>70.970294166636208</v>
      </c>
      <c r="M441">
        <f t="shared" si="6"/>
        <v>-27</v>
      </c>
    </row>
    <row r="442" spans="3:13">
      <c r="C442" s="2">
        <v>40696</v>
      </c>
      <c r="D442">
        <v>53.506324498559835</v>
      </c>
      <c r="E442">
        <f>VLOOKUP(C442,'10y swap Vol'!$C$2:$G$3809,5,0)</f>
        <v>66.888000342227144</v>
      </c>
      <c r="F442">
        <f>VLOOKUP(C442,'5y10y Swaption Vol'!temp,3,0)</f>
        <v>107.9319032568</v>
      </c>
      <c r="H442" s="1">
        <v>40723</v>
      </c>
      <c r="I442" t="s">
        <v>2</v>
      </c>
      <c r="J442">
        <v>3.2184210000000002</v>
      </c>
      <c r="K442">
        <v>5.8237000000000094E-2</v>
      </c>
      <c r="L442">
        <v>72.15266920517567</v>
      </c>
      <c r="M442">
        <f t="shared" si="6"/>
        <v>-27</v>
      </c>
    </row>
    <row r="443" spans="3:13">
      <c r="C443" s="2">
        <v>40697</v>
      </c>
      <c r="D443">
        <v>52.268861567193483</v>
      </c>
      <c r="E443">
        <f>VLOOKUP(C443,'10y swap Vol'!$C$2:$G$3809,5,0)</f>
        <v>65.592584139333653</v>
      </c>
      <c r="F443">
        <f>VLOOKUP(C443,'5y10y Swaption Vol'!temp,3,0)</f>
        <v>108.17680151979999</v>
      </c>
      <c r="H443" s="1">
        <v>40724</v>
      </c>
      <c r="I443" t="s">
        <v>2</v>
      </c>
      <c r="J443">
        <v>3.2570199999999998</v>
      </c>
      <c r="K443">
        <v>3.8598999999999606E-2</v>
      </c>
      <c r="L443">
        <v>71.385919106606181</v>
      </c>
      <c r="M443">
        <f t="shared" si="6"/>
        <v>-27</v>
      </c>
    </row>
    <row r="444" spans="3:13">
      <c r="C444" s="2">
        <v>40700</v>
      </c>
      <c r="D444">
        <v>51.524610485711676</v>
      </c>
      <c r="E444">
        <f>VLOOKUP(C444,'10y swap Vol'!$C$2:$G$3809,5,0)</f>
        <v>64.410426819015612</v>
      </c>
      <c r="F444">
        <f>VLOOKUP(C444,'5y10y Swaption Vol'!temp,3,0)</f>
        <v>108.374807355</v>
      </c>
      <c r="H444" s="1">
        <v>40725</v>
      </c>
      <c r="I444" t="s">
        <v>2</v>
      </c>
      <c r="J444">
        <v>3.3080729999999998</v>
      </c>
      <c r="K444">
        <v>5.1053000000000015E-2</v>
      </c>
      <c r="L444">
        <v>71.245261027112065</v>
      </c>
      <c r="M444">
        <f t="shared" si="6"/>
        <v>-25</v>
      </c>
    </row>
    <row r="445" spans="3:13">
      <c r="C445" s="2">
        <v>40701</v>
      </c>
      <c r="D445">
        <v>51.347763769658386</v>
      </c>
      <c r="E445">
        <f>VLOOKUP(C445,'10y swap Vol'!$C$2:$G$3809,5,0)</f>
        <v>64.433764797899798</v>
      </c>
      <c r="F445">
        <f>VLOOKUP(C445,'5y10y Swaption Vol'!temp,3,0)</f>
        <v>108.03962536</v>
      </c>
      <c r="H445" s="1">
        <v>40729</v>
      </c>
      <c r="I445" t="s">
        <v>2</v>
      </c>
      <c r="J445">
        <v>3.2531940000000001</v>
      </c>
      <c r="K445">
        <v>-5.4878999999999678E-2</v>
      </c>
      <c r="L445">
        <v>71.934871805627722</v>
      </c>
      <c r="M445">
        <f t="shared" si="6"/>
        <v>-28</v>
      </c>
    </row>
    <row r="446" spans="3:13">
      <c r="C446" s="2">
        <v>40702</v>
      </c>
      <c r="D446">
        <v>51.468787107514125</v>
      </c>
      <c r="E446">
        <f>VLOOKUP(C446,'10y swap Vol'!$C$2:$G$3809,5,0)</f>
        <v>64.906646505149922</v>
      </c>
      <c r="F446">
        <f>VLOOKUP(C446,'5y10y Swaption Vol'!temp,3,0)</f>
        <v>107.745054115</v>
      </c>
      <c r="H446" s="1">
        <v>40730</v>
      </c>
      <c r="I446" t="s">
        <v>2</v>
      </c>
      <c r="J446">
        <v>3.2269489999999998</v>
      </c>
      <c r="K446">
        <v>-2.6245000000000296E-2</v>
      </c>
      <c r="L446">
        <v>71.909550984706044</v>
      </c>
      <c r="M446">
        <f t="shared" si="6"/>
        <v>-28</v>
      </c>
    </row>
    <row r="447" spans="3:13">
      <c r="C447" s="2">
        <v>40703</v>
      </c>
      <c r="D447">
        <v>52.271661445045694</v>
      </c>
      <c r="E447">
        <f>VLOOKUP(C447,'10y swap Vol'!$C$2:$G$3809,5,0)</f>
        <v>65.035910260868533</v>
      </c>
      <c r="F447">
        <f>VLOOKUP(C447,'5y10y Swaption Vol'!temp,3,0)</f>
        <v>107.64151060739999</v>
      </c>
      <c r="H447" s="1">
        <v>40731</v>
      </c>
      <c r="I447" t="s">
        <v>2</v>
      </c>
      <c r="J447">
        <v>3.2773780000000001</v>
      </c>
      <c r="K447">
        <v>5.0429000000000279E-2</v>
      </c>
      <c r="L447">
        <v>72.849708512595029</v>
      </c>
      <c r="M447">
        <f t="shared" si="6"/>
        <v>-28</v>
      </c>
    </row>
    <row r="448" spans="3:13">
      <c r="C448" s="2">
        <v>40704</v>
      </c>
      <c r="D448">
        <v>49.0798056808909</v>
      </c>
      <c r="E448">
        <f>VLOOKUP(C448,'10y swap Vol'!$C$2:$G$3809,5,0)</f>
        <v>61.060554845187255</v>
      </c>
      <c r="F448">
        <f>VLOOKUP(C448,'5y10y Swaption Vol'!temp,3,0)</f>
        <v>107.6691649803</v>
      </c>
      <c r="H448" s="1">
        <v>40732</v>
      </c>
      <c r="I448" t="s">
        <v>2</v>
      </c>
      <c r="J448">
        <v>3.1498170000000001</v>
      </c>
      <c r="K448">
        <v>-0.12756100000000004</v>
      </c>
      <c r="L448">
        <v>75.666051920747861</v>
      </c>
      <c r="M448">
        <f t="shared" si="6"/>
        <v>-28</v>
      </c>
    </row>
    <row r="449" spans="3:13">
      <c r="C449" s="2">
        <v>40707</v>
      </c>
      <c r="D449">
        <v>48.793384612705928</v>
      </c>
      <c r="E449">
        <f>VLOOKUP(C449,'10y swap Vol'!$C$2:$G$3809,5,0)</f>
        <v>60.832337774209918</v>
      </c>
      <c r="F449">
        <f>VLOOKUP(C449,'5y10y Swaption Vol'!temp,3,0)</f>
        <v>107.6865708017</v>
      </c>
      <c r="H449" s="1">
        <v>40735</v>
      </c>
      <c r="I449" t="s">
        <v>2</v>
      </c>
      <c r="J449">
        <v>3.074014</v>
      </c>
      <c r="K449">
        <v>-7.5803000000000065E-2</v>
      </c>
      <c r="L449">
        <v>76.625857999247032</v>
      </c>
      <c r="M449">
        <f t="shared" si="6"/>
        <v>-28</v>
      </c>
    </row>
    <row r="450" spans="3:13">
      <c r="C450" s="2">
        <v>40708</v>
      </c>
      <c r="D450">
        <v>50.937613361750152</v>
      </c>
      <c r="E450">
        <f>VLOOKUP(C450,'10y swap Vol'!$C$2:$G$3809,5,0)</f>
        <v>64.582730771515671</v>
      </c>
      <c r="F450">
        <f>VLOOKUP(C450,'5y10y Swaption Vol'!temp,3,0)</f>
        <v>107.9123882432</v>
      </c>
      <c r="H450" s="1">
        <v>40736</v>
      </c>
      <c r="I450" t="s">
        <v>2</v>
      </c>
      <c r="J450">
        <v>3.0617649999999998</v>
      </c>
      <c r="K450">
        <v>-1.2249000000000176E-2</v>
      </c>
      <c r="L450">
        <v>76.256971901416705</v>
      </c>
      <c r="M450">
        <f t="shared" si="6"/>
        <v>-28</v>
      </c>
    </row>
    <row r="451" spans="3:13">
      <c r="C451" s="2">
        <v>40709</v>
      </c>
      <c r="D451">
        <v>51.475067767937176</v>
      </c>
      <c r="E451">
        <f>VLOOKUP(C451,'10y swap Vol'!$C$2:$G$3809,5,0)</f>
        <v>66.498321581612956</v>
      </c>
      <c r="F451">
        <f>VLOOKUP(C451,'5y10y Swaption Vol'!temp,3,0)</f>
        <v>107.34093727360001</v>
      </c>
      <c r="H451" s="1">
        <v>40737</v>
      </c>
      <c r="I451" t="s">
        <v>2</v>
      </c>
      <c r="J451">
        <v>3.0362040000000001</v>
      </c>
      <c r="K451">
        <v>-2.5560999999999723E-2</v>
      </c>
      <c r="L451">
        <v>74.779626015303862</v>
      </c>
      <c r="M451">
        <f t="shared" ref="M451:M514" si="7">C451-H451</f>
        <v>-28</v>
      </c>
    </row>
    <row r="452" spans="3:13">
      <c r="C452" s="2">
        <v>40710</v>
      </c>
      <c r="D452">
        <v>51.207020205828982</v>
      </c>
      <c r="E452">
        <f>VLOOKUP(C452,'10y swap Vol'!$C$2:$G$3809,5,0)</f>
        <v>66.770630428012581</v>
      </c>
      <c r="F452">
        <f>VLOOKUP(C452,'5y10y Swaption Vol'!temp,3,0)</f>
        <v>107.7345474777</v>
      </c>
      <c r="H452" s="1">
        <v>40738</v>
      </c>
      <c r="I452" t="s">
        <v>2</v>
      </c>
      <c r="J452">
        <v>3.0731290000000002</v>
      </c>
      <c r="K452">
        <v>3.6925000000000097E-2</v>
      </c>
      <c r="L452">
        <v>74.611765278257963</v>
      </c>
      <c r="M452">
        <f t="shared" si="7"/>
        <v>-28</v>
      </c>
    </row>
    <row r="453" spans="3:13">
      <c r="C453" s="2">
        <v>40711</v>
      </c>
      <c r="D453">
        <v>51.236579768067614</v>
      </c>
      <c r="E453">
        <f>VLOOKUP(C453,'10y swap Vol'!$C$2:$G$3809,5,0)</f>
        <v>66.925284201840924</v>
      </c>
      <c r="F453">
        <f>VLOOKUP(C453,'5y10y Swaption Vol'!temp,3,0)</f>
        <v>107.67080922780001</v>
      </c>
      <c r="H453" s="1">
        <v>40739</v>
      </c>
      <c r="I453" t="s">
        <v>2</v>
      </c>
      <c r="J453">
        <v>3.03952</v>
      </c>
      <c r="K453">
        <v>-3.3609000000000222E-2</v>
      </c>
      <c r="L453">
        <v>74.824207026893347</v>
      </c>
      <c r="M453">
        <f t="shared" si="7"/>
        <v>-28</v>
      </c>
    </row>
    <row r="454" spans="3:13">
      <c r="C454" s="2">
        <v>40714</v>
      </c>
      <c r="D454">
        <v>51.263768748553588</v>
      </c>
      <c r="E454">
        <f>VLOOKUP(C454,'10y swap Vol'!$C$2:$G$3809,5,0)</f>
        <v>66.031213162262034</v>
      </c>
      <c r="F454">
        <f>VLOOKUP(C454,'5y10y Swaption Vol'!temp,3,0)</f>
        <v>108.38484843000001</v>
      </c>
      <c r="H454" s="1">
        <v>40742</v>
      </c>
      <c r="I454" t="s">
        <v>2</v>
      </c>
      <c r="J454">
        <v>3.021461</v>
      </c>
      <c r="K454">
        <v>-1.8059000000000047E-2</v>
      </c>
      <c r="L454">
        <v>74.069672535829255</v>
      </c>
      <c r="M454">
        <f t="shared" si="7"/>
        <v>-28</v>
      </c>
    </row>
    <row r="455" spans="3:13">
      <c r="C455" s="2">
        <v>40715</v>
      </c>
      <c r="D455">
        <v>50.744934850970601</v>
      </c>
      <c r="E455">
        <f>VLOOKUP(C455,'10y swap Vol'!$C$2:$G$3809,5,0)</f>
        <v>65.625561109444092</v>
      </c>
      <c r="F455">
        <f>VLOOKUP(C455,'5y10y Swaption Vol'!temp,3,0)</f>
        <v>108.309792664</v>
      </c>
      <c r="H455" s="1">
        <v>40743</v>
      </c>
      <c r="I455" t="s">
        <v>2</v>
      </c>
      <c r="J455">
        <v>3.0268929999999998</v>
      </c>
      <c r="K455">
        <v>5.4319999999998814E-3</v>
      </c>
      <c r="L455">
        <v>74.108556256749154</v>
      </c>
      <c r="M455">
        <f t="shared" si="7"/>
        <v>-28</v>
      </c>
    </row>
    <row r="456" spans="3:13">
      <c r="C456" s="2">
        <v>40716</v>
      </c>
      <c r="D456">
        <v>50.844313927117923</v>
      </c>
      <c r="E456">
        <f>VLOOKUP(C456,'10y swap Vol'!$C$2:$G$3809,5,0)</f>
        <v>65.578352572395914</v>
      </c>
      <c r="F456">
        <f>VLOOKUP(C456,'5y10y Swaption Vol'!temp,3,0)</f>
        <v>108.58794401</v>
      </c>
      <c r="H456" s="1">
        <v>40744</v>
      </c>
      <c r="I456" t="s">
        <v>2</v>
      </c>
      <c r="J456">
        <v>3.0619550000000002</v>
      </c>
      <c r="K456">
        <v>3.5062000000000371E-2</v>
      </c>
      <c r="L456">
        <v>74.43194780178132</v>
      </c>
      <c r="M456">
        <f t="shared" si="7"/>
        <v>-28</v>
      </c>
    </row>
    <row r="457" spans="3:13">
      <c r="C457" s="2">
        <v>40717</v>
      </c>
      <c r="D457">
        <v>51.486667375937301</v>
      </c>
      <c r="E457">
        <f>VLOOKUP(C457,'10y swap Vol'!$C$2:$G$3809,5,0)</f>
        <v>66.332808041151836</v>
      </c>
      <c r="F457">
        <f>VLOOKUP(C457,'5y10y Swaption Vol'!temp,3,0)</f>
        <v>108.66468130280001</v>
      </c>
      <c r="H457" s="1">
        <v>40745</v>
      </c>
      <c r="I457" t="s">
        <v>2</v>
      </c>
      <c r="J457">
        <v>3.1249349999999998</v>
      </c>
      <c r="K457">
        <v>6.2979999999999592E-2</v>
      </c>
      <c r="L457">
        <v>75.244066196119377</v>
      </c>
      <c r="M457">
        <f t="shared" si="7"/>
        <v>-28</v>
      </c>
    </row>
    <row r="458" spans="3:13">
      <c r="C458" s="2">
        <v>40718</v>
      </c>
      <c r="D458">
        <v>51.204400826093966</v>
      </c>
      <c r="E458">
        <f>VLOOKUP(C458,'10y swap Vol'!$C$2:$G$3809,5,0)</f>
        <v>66.051800649166097</v>
      </c>
      <c r="F458">
        <f>VLOOKUP(C458,'5y10y Swaption Vol'!temp,3,0)</f>
        <v>109.183957096</v>
      </c>
      <c r="H458" s="1">
        <v>40746</v>
      </c>
      <c r="I458" t="s">
        <v>2</v>
      </c>
      <c r="J458">
        <v>3.0557690000000002</v>
      </c>
      <c r="K458">
        <v>-6.9165999999999617E-2</v>
      </c>
      <c r="L458">
        <v>75.76662146467676</v>
      </c>
      <c r="M458">
        <f t="shared" si="7"/>
        <v>-28</v>
      </c>
    </row>
    <row r="459" spans="3:13">
      <c r="C459" s="2">
        <v>40721</v>
      </c>
      <c r="D459">
        <v>52.250386251558254</v>
      </c>
      <c r="E459">
        <f>VLOOKUP(C459,'10y swap Vol'!$C$2:$G$3809,5,0)</f>
        <v>67.229384112059734</v>
      </c>
      <c r="F459">
        <f>VLOOKUP(C459,'5y10y Swaption Vol'!temp,3,0)</f>
        <v>109.27712521639999</v>
      </c>
      <c r="H459" s="1">
        <v>40749</v>
      </c>
      <c r="I459" t="s">
        <v>2</v>
      </c>
      <c r="J459">
        <v>3.0887660000000001</v>
      </c>
      <c r="K459">
        <v>3.2996999999999943E-2</v>
      </c>
      <c r="L459">
        <v>75.396711881741879</v>
      </c>
      <c r="M459">
        <f t="shared" si="7"/>
        <v>-28</v>
      </c>
    </row>
    <row r="460" spans="3:13">
      <c r="C460" s="2">
        <v>40722</v>
      </c>
      <c r="D460">
        <v>55.025554663545606</v>
      </c>
      <c r="E460">
        <f>VLOOKUP(C460,'10y swap Vol'!$C$2:$G$3809,5,0)</f>
        <v>70.970294166636208</v>
      </c>
      <c r="F460">
        <f>VLOOKUP(C460,'5y10y Swaption Vol'!temp,3,0)</f>
        <v>109.9613001252</v>
      </c>
      <c r="H460" s="1">
        <v>40750</v>
      </c>
      <c r="I460" t="s">
        <v>2</v>
      </c>
      <c r="J460">
        <v>3.040597</v>
      </c>
      <c r="K460">
        <v>-4.8169000000000128E-2</v>
      </c>
      <c r="L460">
        <v>75.905282334273465</v>
      </c>
      <c r="M460">
        <f t="shared" si="7"/>
        <v>-28</v>
      </c>
    </row>
    <row r="461" spans="3:13">
      <c r="C461" s="2">
        <v>40723</v>
      </c>
      <c r="D461">
        <v>55.376219477677225</v>
      </c>
      <c r="E461">
        <f>VLOOKUP(C461,'10y swap Vol'!$C$2:$G$3809,5,0)</f>
        <v>72.15266920517567</v>
      </c>
      <c r="F461">
        <f>VLOOKUP(C461,'5y10y Swaption Vol'!temp,3,0)</f>
        <v>109.48619943760001</v>
      </c>
      <c r="H461" s="1">
        <v>40751</v>
      </c>
      <c r="I461" t="s">
        <v>2</v>
      </c>
      <c r="J461">
        <v>3.0692710000000001</v>
      </c>
      <c r="K461">
        <v>2.8674000000000088E-2</v>
      </c>
      <c r="L461">
        <v>76.221430038581801</v>
      </c>
      <c r="M461">
        <f t="shared" si="7"/>
        <v>-28</v>
      </c>
    </row>
    <row r="462" spans="3:13">
      <c r="C462" s="2">
        <v>40724</v>
      </c>
      <c r="D462">
        <v>54.43585268204064</v>
      </c>
      <c r="E462">
        <f>VLOOKUP(C462,'10y swap Vol'!$C$2:$G$3809,5,0)</f>
        <v>71.385919106606181</v>
      </c>
      <c r="F462">
        <f>VLOOKUP(C462,'5y10y Swaption Vol'!temp,3,0)</f>
        <v>109.60123657450001</v>
      </c>
      <c r="H462" s="1">
        <v>40752</v>
      </c>
      <c r="I462" t="s">
        <v>2</v>
      </c>
      <c r="J462">
        <v>3.053928</v>
      </c>
      <c r="K462">
        <v>-1.5343000000000107E-2</v>
      </c>
      <c r="L462">
        <v>76.151667374283278</v>
      </c>
      <c r="M462">
        <f t="shared" si="7"/>
        <v>-28</v>
      </c>
    </row>
    <row r="463" spans="3:13">
      <c r="C463" s="2">
        <v>40725</v>
      </c>
      <c r="D463">
        <v>54.357242359029591</v>
      </c>
      <c r="E463">
        <f>VLOOKUP(C463,'10y swap Vol'!$C$2:$G$3809,5,0)</f>
        <v>71.245261027112065</v>
      </c>
      <c r="F463">
        <f>VLOOKUP(C463,'5y10y Swaption Vol'!temp,3,0)</f>
        <v>109.1416603182</v>
      </c>
      <c r="H463" s="1">
        <v>40753</v>
      </c>
      <c r="I463" t="s">
        <v>2</v>
      </c>
      <c r="J463">
        <v>2.915124</v>
      </c>
      <c r="K463">
        <v>-0.13880399999999993</v>
      </c>
      <c r="L463">
        <v>80.718337792423327</v>
      </c>
      <c r="M463">
        <f t="shared" si="7"/>
        <v>-28</v>
      </c>
    </row>
    <row r="464" spans="3:13">
      <c r="C464" s="2">
        <v>40729</v>
      </c>
      <c r="D464">
        <v>54.783300047682246</v>
      </c>
      <c r="E464">
        <f>VLOOKUP(C464,'10y swap Vol'!$C$2:$G$3809,5,0)</f>
        <v>71.934871805627722</v>
      </c>
      <c r="F464">
        <f>VLOOKUP(C464,'5y10y Swaption Vol'!temp,3,0)</f>
        <v>108.7556391544</v>
      </c>
      <c r="H464" s="1">
        <v>40756</v>
      </c>
      <c r="I464" t="s">
        <v>2</v>
      </c>
      <c r="J464">
        <v>2.8588960000000001</v>
      </c>
      <c r="K464">
        <v>-5.6227999999999945E-2</v>
      </c>
      <c r="L464">
        <v>80.89510923919525</v>
      </c>
      <c r="M464">
        <f t="shared" si="7"/>
        <v>-27</v>
      </c>
    </row>
    <row r="465" spans="3:13">
      <c r="C465" s="2">
        <v>40730</v>
      </c>
      <c r="D465">
        <v>54.70741505133747</v>
      </c>
      <c r="E465">
        <f>VLOOKUP(C465,'10y swap Vol'!$C$2:$G$3809,5,0)</f>
        <v>71.909550984706044</v>
      </c>
      <c r="F465">
        <f>VLOOKUP(C465,'5y10y Swaption Vol'!temp,3,0)</f>
        <v>109.7807730104</v>
      </c>
      <c r="H465" s="1">
        <v>40757</v>
      </c>
      <c r="I465" t="s">
        <v>2</v>
      </c>
      <c r="J465">
        <v>2.7428129999999999</v>
      </c>
      <c r="K465">
        <v>-0.11608300000000016</v>
      </c>
      <c r="L465">
        <v>83.932052085008451</v>
      </c>
      <c r="M465">
        <f t="shared" si="7"/>
        <v>-27</v>
      </c>
    </row>
    <row r="466" spans="3:13">
      <c r="C466" s="2">
        <v>40731</v>
      </c>
      <c r="D466">
        <v>56.087724409740417</v>
      </c>
      <c r="E466">
        <f>VLOOKUP(C466,'10y swap Vol'!$C$2:$G$3809,5,0)</f>
        <v>72.849708512595029</v>
      </c>
      <c r="F466">
        <f>VLOOKUP(C466,'5y10y Swaption Vol'!temp,3,0)</f>
        <v>110.23441904640001</v>
      </c>
      <c r="H466" s="1">
        <v>40758</v>
      </c>
      <c r="I466" t="s">
        <v>2</v>
      </c>
      <c r="J466">
        <v>2.7137570000000002</v>
      </c>
      <c r="K466">
        <v>-2.9055999999999749E-2</v>
      </c>
      <c r="L466">
        <v>84.017784423385962</v>
      </c>
      <c r="M466">
        <f t="shared" si="7"/>
        <v>-27</v>
      </c>
    </row>
    <row r="467" spans="3:13">
      <c r="C467" s="2">
        <v>40732</v>
      </c>
      <c r="D467">
        <v>58.566210724653111</v>
      </c>
      <c r="E467">
        <f>VLOOKUP(C467,'10y swap Vol'!$C$2:$G$3809,5,0)</f>
        <v>75.666051920747861</v>
      </c>
      <c r="F467">
        <f>VLOOKUP(C467,'5y10y Swaption Vol'!temp,3,0)</f>
        <v>109.8153687648</v>
      </c>
      <c r="H467" s="1">
        <v>40759</v>
      </c>
      <c r="I467" t="s">
        <v>2</v>
      </c>
      <c r="J467">
        <v>2.5985239999999998</v>
      </c>
      <c r="K467">
        <v>-0.11523300000000036</v>
      </c>
      <c r="L467">
        <v>85.7134940655381</v>
      </c>
      <c r="M467">
        <f t="shared" si="7"/>
        <v>-27</v>
      </c>
    </row>
    <row r="468" spans="3:13">
      <c r="C468" s="2">
        <v>40735</v>
      </c>
      <c r="D468">
        <v>59.010940572494519</v>
      </c>
      <c r="E468">
        <f>VLOOKUP(C468,'10y swap Vol'!$C$2:$G$3809,5,0)</f>
        <v>76.625857999247032</v>
      </c>
      <c r="F468">
        <f>VLOOKUP(C468,'5y10y Swaption Vol'!temp,3,0)</f>
        <v>110.77327029600001</v>
      </c>
      <c r="H468" s="1">
        <v>40760</v>
      </c>
      <c r="I468" t="s">
        <v>2</v>
      </c>
      <c r="J468">
        <v>2.720037</v>
      </c>
      <c r="K468">
        <v>0.1215130000000002</v>
      </c>
      <c r="L468">
        <v>89.751529766891366</v>
      </c>
      <c r="M468">
        <f t="shared" si="7"/>
        <v>-25</v>
      </c>
    </row>
    <row r="469" spans="3:13">
      <c r="C469" s="2">
        <v>40736</v>
      </c>
      <c r="D469">
        <v>58.965783672235986</v>
      </c>
      <c r="E469">
        <f>VLOOKUP(C469,'10y swap Vol'!$C$2:$G$3809,5,0)</f>
        <v>76.256971901416705</v>
      </c>
      <c r="F469">
        <f>VLOOKUP(C469,'5y10y Swaption Vol'!temp,3,0)</f>
        <v>111.172477313</v>
      </c>
      <c r="H469" s="1">
        <v>40763</v>
      </c>
      <c r="I469" t="s">
        <v>2</v>
      </c>
      <c r="J469">
        <v>2.5571950000000001</v>
      </c>
      <c r="K469">
        <v>-0.16284199999999993</v>
      </c>
      <c r="L469">
        <v>94.279293592792385</v>
      </c>
      <c r="M469">
        <f t="shared" si="7"/>
        <v>-27</v>
      </c>
    </row>
    <row r="470" spans="3:13">
      <c r="C470" s="2">
        <v>40737</v>
      </c>
      <c r="D470">
        <v>57.878497638615968</v>
      </c>
      <c r="E470">
        <f>VLOOKUP(C470,'10y swap Vol'!$C$2:$G$3809,5,0)</f>
        <v>74.779626015303862</v>
      </c>
      <c r="F470">
        <f>VLOOKUP(C470,'5y10y Swaption Vol'!temp,3,0)</f>
        <v>111.357309755</v>
      </c>
      <c r="H470" s="1">
        <v>40764</v>
      </c>
      <c r="I470" t="s">
        <v>2</v>
      </c>
      <c r="J470">
        <v>2.3814660000000001</v>
      </c>
      <c r="K470">
        <v>-0.17572900000000002</v>
      </c>
      <c r="L470">
        <v>99.887856190213867</v>
      </c>
      <c r="M470">
        <f t="shared" si="7"/>
        <v>-27</v>
      </c>
    </row>
    <row r="471" spans="3:13">
      <c r="C471" s="2">
        <v>40738</v>
      </c>
      <c r="D471">
        <v>58.17096894873481</v>
      </c>
      <c r="E471">
        <f>VLOOKUP(C471,'10y swap Vol'!$C$2:$G$3809,5,0)</f>
        <v>74.611765278257963</v>
      </c>
      <c r="F471">
        <f>VLOOKUP(C471,'5y10y Swaption Vol'!temp,3,0)</f>
        <v>112.64325198</v>
      </c>
      <c r="H471" s="1">
        <v>40765</v>
      </c>
      <c r="I471" t="s">
        <v>2</v>
      </c>
      <c r="J471">
        <v>2.3396530000000002</v>
      </c>
      <c r="K471">
        <v>-4.1812999999999878E-2</v>
      </c>
      <c r="L471">
        <v>99.974026281529675</v>
      </c>
      <c r="M471">
        <f t="shared" si="7"/>
        <v>-27</v>
      </c>
    </row>
    <row r="472" spans="3:13">
      <c r="C472" s="2">
        <v>40739</v>
      </c>
      <c r="D472">
        <v>58.196647298219339</v>
      </c>
      <c r="E472">
        <f>VLOOKUP(C472,'10y swap Vol'!$C$2:$G$3809,5,0)</f>
        <v>74.824207026893347</v>
      </c>
      <c r="F472">
        <f>VLOOKUP(C472,'5y10y Swaption Vol'!temp,3,0)</f>
        <v>113.659475022</v>
      </c>
      <c r="H472" s="1">
        <v>40766</v>
      </c>
      <c r="I472" t="s">
        <v>2</v>
      </c>
      <c r="J472">
        <v>2.4781979999999999</v>
      </c>
      <c r="K472">
        <v>0.1385449999999997</v>
      </c>
      <c r="L472">
        <v>104.65529317533742</v>
      </c>
      <c r="M472">
        <f t="shared" si="7"/>
        <v>-27</v>
      </c>
    </row>
    <row r="473" spans="3:13">
      <c r="C473" s="2">
        <v>40742</v>
      </c>
      <c r="D473">
        <v>58.240795497301654</v>
      </c>
      <c r="E473">
        <f>VLOOKUP(C473,'10y swap Vol'!$C$2:$G$3809,5,0)</f>
        <v>74.069672535829255</v>
      </c>
      <c r="F473">
        <f>VLOOKUP(C473,'5y10y Swaption Vol'!temp,3,0)</f>
        <v>115.848652356</v>
      </c>
      <c r="H473" s="1">
        <v>40767</v>
      </c>
      <c r="I473" t="s">
        <v>2</v>
      </c>
      <c r="J473">
        <v>2.3994849999999999</v>
      </c>
      <c r="K473">
        <v>-7.8713000000000033E-2</v>
      </c>
      <c r="L473">
        <v>104.39080030023793</v>
      </c>
      <c r="M473">
        <f t="shared" si="7"/>
        <v>-25</v>
      </c>
    </row>
    <row r="474" spans="3:13">
      <c r="C474" s="2">
        <v>40743</v>
      </c>
      <c r="D474">
        <v>58.239262060611388</v>
      </c>
      <c r="E474">
        <f>VLOOKUP(C474,'10y swap Vol'!$C$2:$G$3809,5,0)</f>
        <v>74.108556256749154</v>
      </c>
      <c r="F474">
        <f>VLOOKUP(C474,'5y10y Swaption Vol'!temp,3,0)</f>
        <v>114.12226848</v>
      </c>
      <c r="H474" s="1">
        <v>40770</v>
      </c>
      <c r="I474" t="s">
        <v>2</v>
      </c>
      <c r="J474">
        <v>2.4236559999999998</v>
      </c>
      <c r="K474">
        <v>2.4170999999999943E-2</v>
      </c>
      <c r="L474">
        <v>104.61949126825323</v>
      </c>
      <c r="M474">
        <f t="shared" si="7"/>
        <v>-27</v>
      </c>
    </row>
    <row r="475" spans="3:13">
      <c r="C475" s="2">
        <v>40744</v>
      </c>
      <c r="D475">
        <v>58.068540761403106</v>
      </c>
      <c r="E475">
        <f>VLOOKUP(C475,'10y swap Vol'!$C$2:$G$3809,5,0)</f>
        <v>74.43194780178132</v>
      </c>
      <c r="F475">
        <f>VLOOKUP(C475,'5y10y Swaption Vol'!temp,3,0)</f>
        <v>112.635962772</v>
      </c>
      <c r="H475" s="1">
        <v>40771</v>
      </c>
      <c r="I475" t="s">
        <v>2</v>
      </c>
      <c r="J475">
        <v>2.3431570000000002</v>
      </c>
      <c r="K475">
        <v>-8.0498999999999654E-2</v>
      </c>
      <c r="L475">
        <v>105.49976608832878</v>
      </c>
      <c r="M475">
        <f t="shared" si="7"/>
        <v>-27</v>
      </c>
    </row>
    <row r="476" spans="3:13">
      <c r="C476" s="2">
        <v>40745</v>
      </c>
      <c r="D476">
        <v>58.370248687068582</v>
      </c>
      <c r="E476">
        <f>VLOOKUP(C476,'10y swap Vol'!$C$2:$G$3809,5,0)</f>
        <v>75.244066196119377</v>
      </c>
      <c r="F476">
        <f>VLOOKUP(C476,'5y10y Swaption Vol'!temp,3,0)</f>
        <v>112.20530968</v>
      </c>
      <c r="H476" s="1">
        <v>40772</v>
      </c>
      <c r="I476" t="s">
        <v>2</v>
      </c>
      <c r="J476">
        <v>2.2759330000000002</v>
      </c>
      <c r="K476">
        <v>-6.722399999999995E-2</v>
      </c>
      <c r="L476">
        <v>106.03801876469765</v>
      </c>
      <c r="M476">
        <f t="shared" si="7"/>
        <v>-27</v>
      </c>
    </row>
    <row r="477" spans="3:13">
      <c r="C477" s="2">
        <v>40746</v>
      </c>
      <c r="D477">
        <v>58.23209841340686</v>
      </c>
      <c r="E477">
        <f>VLOOKUP(C477,'10y swap Vol'!$C$2:$G$3809,5,0)</f>
        <v>75.76662146467676</v>
      </c>
      <c r="F477">
        <f>VLOOKUP(C477,'5y10y Swaption Vol'!temp,3,0)</f>
        <v>111.66156691800001</v>
      </c>
      <c r="H477" s="1">
        <v>40773</v>
      </c>
      <c r="I477" t="s">
        <v>2</v>
      </c>
      <c r="J477">
        <v>2.1970649999999998</v>
      </c>
      <c r="K477">
        <v>-7.8868000000000382E-2</v>
      </c>
      <c r="L477">
        <v>106.81291701734507</v>
      </c>
      <c r="M477">
        <f t="shared" si="7"/>
        <v>-27</v>
      </c>
    </row>
    <row r="478" spans="3:13">
      <c r="C478" s="2">
        <v>40749</v>
      </c>
      <c r="D478">
        <v>57.357841413686984</v>
      </c>
      <c r="E478">
        <f>VLOOKUP(C478,'10y swap Vol'!$C$2:$G$3809,5,0)</f>
        <v>75.396711881741879</v>
      </c>
      <c r="F478">
        <f>VLOOKUP(C478,'5y10y Swaption Vol'!temp,3,0)</f>
        <v>112.439095056</v>
      </c>
      <c r="H478" s="1">
        <v>40774</v>
      </c>
      <c r="I478" t="s">
        <v>2</v>
      </c>
      <c r="J478">
        <v>2.2020550000000001</v>
      </c>
      <c r="K478">
        <v>4.990000000000272E-3</v>
      </c>
      <c r="L478">
        <v>106.82363605046581</v>
      </c>
      <c r="M478">
        <f t="shared" si="7"/>
        <v>-25</v>
      </c>
    </row>
    <row r="479" spans="3:13">
      <c r="C479" s="2">
        <v>40750</v>
      </c>
      <c r="D479">
        <v>57.528169839356735</v>
      </c>
      <c r="E479">
        <f>VLOOKUP(C479,'10y swap Vol'!$C$2:$G$3809,5,0)</f>
        <v>75.905282334273465</v>
      </c>
      <c r="F479">
        <f>VLOOKUP(C479,'5y10y Swaption Vol'!temp,3,0)</f>
        <v>112.43267596</v>
      </c>
      <c r="H479" s="1">
        <v>40777</v>
      </c>
      <c r="I479" t="s">
        <v>2</v>
      </c>
      <c r="J479">
        <v>2.2414930000000002</v>
      </c>
      <c r="K479">
        <v>3.9438000000000084E-2</v>
      </c>
      <c r="L479">
        <v>106.75886130873566</v>
      </c>
      <c r="M479">
        <f t="shared" si="7"/>
        <v>-27</v>
      </c>
    </row>
    <row r="480" spans="3:13">
      <c r="C480" s="2">
        <v>40751</v>
      </c>
      <c r="D480">
        <v>58.195311331660605</v>
      </c>
      <c r="E480">
        <f>VLOOKUP(C480,'10y swap Vol'!$C$2:$G$3809,5,0)</f>
        <v>76.221430038581801</v>
      </c>
      <c r="F480">
        <f>VLOOKUP(C480,'5y10y Swaption Vol'!temp,3,0)</f>
        <v>112.17234798</v>
      </c>
      <c r="H480" s="1">
        <v>40778</v>
      </c>
      <c r="I480" t="s">
        <v>2</v>
      </c>
      <c r="J480">
        <v>2.2893880000000002</v>
      </c>
      <c r="K480">
        <v>4.7895000000000021E-2</v>
      </c>
      <c r="L480">
        <v>107.35165133433694</v>
      </c>
      <c r="M480">
        <f t="shared" si="7"/>
        <v>-27</v>
      </c>
    </row>
    <row r="481" spans="3:13">
      <c r="C481" s="2">
        <v>40752</v>
      </c>
      <c r="D481">
        <v>58.466590220320803</v>
      </c>
      <c r="E481">
        <f>VLOOKUP(C481,'10y swap Vol'!$C$2:$G$3809,5,0)</f>
        <v>76.151667374283278</v>
      </c>
      <c r="F481">
        <f>VLOOKUP(C481,'5y10y Swaption Vol'!temp,3,0)</f>
        <v>111.49422667</v>
      </c>
      <c r="H481" s="1">
        <v>40779</v>
      </c>
      <c r="I481" t="s">
        <v>2</v>
      </c>
      <c r="J481">
        <v>2.4098630000000001</v>
      </c>
      <c r="K481">
        <v>0.12047499999999989</v>
      </c>
      <c r="L481">
        <v>110.82818431503374</v>
      </c>
      <c r="M481">
        <f t="shared" si="7"/>
        <v>-27</v>
      </c>
    </row>
    <row r="482" spans="3:13">
      <c r="C482" s="2">
        <v>40753</v>
      </c>
      <c r="D482">
        <v>63.25416417989026</v>
      </c>
      <c r="E482">
        <f>VLOOKUP(C482,'10y swap Vol'!$C$2:$G$3809,5,0)</f>
        <v>80.718337792423327</v>
      </c>
      <c r="F482">
        <f>VLOOKUP(C482,'5y10y Swaption Vol'!temp,3,0)</f>
        <v>112.14332570000001</v>
      </c>
      <c r="H482" s="1">
        <v>40780</v>
      </c>
      <c r="I482" t="s">
        <v>2</v>
      </c>
      <c r="J482">
        <v>2.4045329999999998</v>
      </c>
      <c r="K482">
        <v>-5.330000000000279E-3</v>
      </c>
      <c r="L482">
        <v>110.20100212568691</v>
      </c>
      <c r="M482">
        <f t="shared" si="7"/>
        <v>-27</v>
      </c>
    </row>
    <row r="483" spans="3:13">
      <c r="C483" s="2">
        <v>40756</v>
      </c>
      <c r="D483">
        <v>63.072932149506045</v>
      </c>
      <c r="E483">
        <f>VLOOKUP(C483,'10y swap Vol'!$C$2:$G$3809,5,0)</f>
        <v>80.89510923919525</v>
      </c>
      <c r="F483">
        <f>VLOOKUP(C483,'5y10y Swaption Vol'!temp,3,0)</f>
        <v>111.53643431499999</v>
      </c>
      <c r="H483" s="1">
        <v>40781</v>
      </c>
      <c r="I483" t="s">
        <v>2</v>
      </c>
      <c r="J483">
        <v>2.3514849999999998</v>
      </c>
      <c r="K483">
        <v>-5.3047999999999984E-2</v>
      </c>
      <c r="L483">
        <v>109.46654291430863</v>
      </c>
      <c r="M483">
        <f t="shared" si="7"/>
        <v>-25</v>
      </c>
    </row>
    <row r="484" spans="3:13">
      <c r="C484" s="2">
        <v>40757</v>
      </c>
      <c r="D484">
        <v>66.522923448206612</v>
      </c>
      <c r="E484">
        <f>VLOOKUP(C484,'10y swap Vol'!$C$2:$G$3809,5,0)</f>
        <v>83.932052085008451</v>
      </c>
      <c r="F484">
        <f>VLOOKUP(C484,'5y10y Swaption Vol'!temp,3,0)</f>
        <v>112.72052164500001</v>
      </c>
      <c r="H484" s="1">
        <v>40784</v>
      </c>
      <c r="I484" t="s">
        <v>2</v>
      </c>
      <c r="J484">
        <v>2.4294020000000001</v>
      </c>
      <c r="K484">
        <v>7.7917000000000236E-2</v>
      </c>
      <c r="L484">
        <v>110.98487835236442</v>
      </c>
      <c r="M484">
        <f t="shared" si="7"/>
        <v>-27</v>
      </c>
    </row>
    <row r="485" spans="3:13">
      <c r="C485" s="2">
        <v>40758</v>
      </c>
      <c r="D485">
        <v>66.923654796329785</v>
      </c>
      <c r="E485">
        <f>VLOOKUP(C485,'10y swap Vol'!$C$2:$G$3809,5,0)</f>
        <v>84.017784423385962</v>
      </c>
      <c r="F485">
        <f>VLOOKUP(C485,'5y10y Swaption Vol'!temp,3,0)</f>
        <v>111.62186090100001</v>
      </c>
      <c r="H485" s="1">
        <v>40785</v>
      </c>
      <c r="I485" t="s">
        <v>2</v>
      </c>
      <c r="J485">
        <v>2.355747</v>
      </c>
      <c r="K485">
        <v>-7.3655000000000026E-2</v>
      </c>
      <c r="L485">
        <v>111.58673688241348</v>
      </c>
      <c r="M485">
        <f t="shared" si="7"/>
        <v>-27</v>
      </c>
    </row>
    <row r="486" spans="3:13">
      <c r="C486" s="2">
        <v>40759</v>
      </c>
      <c r="D486">
        <v>70.660514961055895</v>
      </c>
      <c r="E486">
        <f>VLOOKUP(C486,'10y swap Vol'!$C$2:$G$3809,5,0)</f>
        <v>85.7134940655381</v>
      </c>
      <c r="F486">
        <f>VLOOKUP(C486,'5y10y Swaption Vol'!temp,3,0)</f>
        <v>111.217222398</v>
      </c>
      <c r="H486" s="1">
        <v>40786</v>
      </c>
      <c r="I486" t="s">
        <v>2</v>
      </c>
      <c r="J486">
        <v>2.3990309999999999</v>
      </c>
      <c r="K486">
        <v>4.3283999999999878E-2</v>
      </c>
      <c r="L486">
        <v>112.09385642245608</v>
      </c>
      <c r="M486">
        <f t="shared" si="7"/>
        <v>-27</v>
      </c>
    </row>
    <row r="487" spans="3:13">
      <c r="C487" s="2">
        <v>40760</v>
      </c>
      <c r="D487">
        <v>78.737565587139727</v>
      </c>
      <c r="E487">
        <f>VLOOKUP(C487,'10y swap Vol'!$C$2:$G$3809,5,0)</f>
        <v>89.751529766891366</v>
      </c>
      <c r="F487">
        <f>VLOOKUP(C487,'5y10y Swaption Vol'!temp,3,0)</f>
        <v>110.29058491799999</v>
      </c>
      <c r="H487" s="1">
        <v>40787</v>
      </c>
      <c r="I487" t="s">
        <v>2</v>
      </c>
      <c r="J487">
        <v>2.3257379999999999</v>
      </c>
      <c r="K487">
        <v>-7.3293000000000053E-2</v>
      </c>
      <c r="L487">
        <v>112.39470381824917</v>
      </c>
      <c r="M487">
        <f t="shared" si="7"/>
        <v>-27</v>
      </c>
    </row>
    <row r="488" spans="3:13">
      <c r="C488" s="2">
        <v>40763</v>
      </c>
      <c r="D488">
        <v>82.02027298541347</v>
      </c>
      <c r="E488">
        <f>VLOOKUP(C488,'10y swap Vol'!$C$2:$G$3809,5,0)</f>
        <v>94.279293592792385</v>
      </c>
      <c r="F488">
        <f>VLOOKUP(C488,'5y10y Swaption Vol'!temp,3,0)</f>
        <v>112.71852154</v>
      </c>
      <c r="H488" s="1">
        <v>40788</v>
      </c>
      <c r="I488" t="s">
        <v>2</v>
      </c>
      <c r="J488">
        <v>2.192205</v>
      </c>
      <c r="K488">
        <v>-0.1335329999999999</v>
      </c>
      <c r="L488">
        <v>114.82256104318628</v>
      </c>
      <c r="M488">
        <f t="shared" si="7"/>
        <v>-25</v>
      </c>
    </row>
    <row r="489" spans="3:13">
      <c r="C489" s="2">
        <v>40764</v>
      </c>
      <c r="D489">
        <v>88.112173934560772</v>
      </c>
      <c r="E489">
        <f>VLOOKUP(C489,'10y swap Vol'!$C$2:$G$3809,5,0)</f>
        <v>99.887856190213867</v>
      </c>
      <c r="F489">
        <f>VLOOKUP(C489,'5y10y Swaption Vol'!temp,3,0)</f>
        <v>105.95724868400001</v>
      </c>
      <c r="H489" s="1">
        <v>40792</v>
      </c>
      <c r="I489" t="s">
        <v>2</v>
      </c>
      <c r="J489">
        <v>2.1881780000000002</v>
      </c>
      <c r="K489">
        <v>-4.0269999999997808E-3</v>
      </c>
      <c r="L489">
        <v>114.82525728957866</v>
      </c>
      <c r="M489">
        <f t="shared" si="7"/>
        <v>-28</v>
      </c>
    </row>
    <row r="490" spans="3:13">
      <c r="C490" s="2">
        <v>40765</v>
      </c>
      <c r="D490">
        <v>91.354576907474595</v>
      </c>
      <c r="E490">
        <f>VLOOKUP(C490,'10y swap Vol'!$C$2:$G$3809,5,0)</f>
        <v>99.974026281529675</v>
      </c>
      <c r="F490">
        <f>VLOOKUP(C490,'5y10y Swaption Vol'!temp,3,0)</f>
        <v>108.827436742</v>
      </c>
      <c r="H490" s="1">
        <v>40793</v>
      </c>
      <c r="I490" t="s">
        <v>2</v>
      </c>
      <c r="J490">
        <v>2.229285</v>
      </c>
      <c r="K490">
        <v>4.1106999999999783E-2</v>
      </c>
      <c r="L490">
        <v>115.10722230833106</v>
      </c>
      <c r="M490">
        <f t="shared" si="7"/>
        <v>-28</v>
      </c>
    </row>
    <row r="491" spans="3:13">
      <c r="C491" s="2">
        <v>40766</v>
      </c>
      <c r="D491">
        <v>96.729544807690218</v>
      </c>
      <c r="E491">
        <f>VLOOKUP(C491,'10y swap Vol'!$C$2:$G$3809,5,0)</f>
        <v>104.65529317533742</v>
      </c>
      <c r="F491">
        <f>VLOOKUP(C491,'5y10y Swaption Vol'!temp,3,0)</f>
        <v>108.89972996500001</v>
      </c>
      <c r="H491" s="1">
        <v>40794</v>
      </c>
      <c r="I491" t="s">
        <v>2</v>
      </c>
      <c r="J491">
        <v>2.1710020000000001</v>
      </c>
      <c r="K491">
        <v>-5.8282999999999863E-2</v>
      </c>
      <c r="L491">
        <v>112.79504329861876</v>
      </c>
      <c r="M491">
        <f t="shared" si="7"/>
        <v>-28</v>
      </c>
    </row>
    <row r="492" spans="3:13">
      <c r="C492" s="2">
        <v>40767</v>
      </c>
      <c r="D492">
        <v>96.654672121197535</v>
      </c>
      <c r="E492">
        <f>VLOOKUP(C492,'10y swap Vol'!$C$2:$G$3809,5,0)</f>
        <v>104.39080030023793</v>
      </c>
      <c r="F492">
        <f>VLOOKUP(C492,'5y10y Swaption Vol'!temp,3,0)</f>
        <v>108.66059490000001</v>
      </c>
      <c r="H492" s="1">
        <v>40795</v>
      </c>
      <c r="I492" t="s">
        <v>2</v>
      </c>
      <c r="J492">
        <v>2.1306600000000002</v>
      </c>
      <c r="K492">
        <v>-4.0341999999999878E-2</v>
      </c>
      <c r="L492">
        <v>111.53049844207</v>
      </c>
      <c r="M492">
        <f t="shared" si="7"/>
        <v>-28</v>
      </c>
    </row>
    <row r="493" spans="3:13">
      <c r="C493" s="2">
        <v>40770</v>
      </c>
      <c r="D493">
        <v>97.832714884147279</v>
      </c>
      <c r="E493">
        <f>VLOOKUP(C493,'10y swap Vol'!$C$2:$G$3809,5,0)</f>
        <v>104.61949126825323</v>
      </c>
      <c r="F493">
        <f>VLOOKUP(C493,'5y10y Swaption Vol'!temp,3,0)</f>
        <v>107.95465692000001</v>
      </c>
      <c r="H493" s="1">
        <v>40798</v>
      </c>
      <c r="I493" t="s">
        <v>2</v>
      </c>
      <c r="J493">
        <v>2.145483</v>
      </c>
      <c r="K493">
        <v>1.4822999999999809E-2</v>
      </c>
      <c r="L493">
        <v>111.57529955260812</v>
      </c>
      <c r="M493">
        <f t="shared" si="7"/>
        <v>-28</v>
      </c>
    </row>
    <row r="494" spans="3:13">
      <c r="C494" s="2">
        <v>40771</v>
      </c>
      <c r="D494">
        <v>98.580765625357301</v>
      </c>
      <c r="E494">
        <f>VLOOKUP(C494,'10y swap Vol'!$C$2:$G$3809,5,0)</f>
        <v>105.49976608832878</v>
      </c>
      <c r="F494">
        <f>VLOOKUP(C494,'5y10y Swaption Vol'!temp,3,0)</f>
        <v>106.653257</v>
      </c>
      <c r="H494" s="1">
        <v>40799</v>
      </c>
      <c r="I494" t="s">
        <v>2</v>
      </c>
      <c r="J494">
        <v>2.200793</v>
      </c>
      <c r="K494">
        <v>5.530999999999997E-2</v>
      </c>
      <c r="L494">
        <v>112.19913379605046</v>
      </c>
      <c r="M494">
        <f t="shared" si="7"/>
        <v>-28</v>
      </c>
    </row>
    <row r="495" spans="3:13">
      <c r="C495" s="2">
        <v>40772</v>
      </c>
      <c r="D495">
        <v>98.735413473714772</v>
      </c>
      <c r="E495">
        <f>VLOOKUP(C495,'10y swap Vol'!$C$2:$G$3809,5,0)</f>
        <v>106.03801876469765</v>
      </c>
      <c r="F495">
        <f>VLOOKUP(C495,'5y10y Swaption Vol'!temp,3,0)</f>
        <v>106.965777933</v>
      </c>
      <c r="H495" s="1">
        <v>40800</v>
      </c>
      <c r="I495" t="s">
        <v>2</v>
      </c>
      <c r="J495">
        <v>2.2140659999999999</v>
      </c>
      <c r="K495">
        <v>1.3272999999999868E-2</v>
      </c>
      <c r="L495">
        <v>112.12051769401472</v>
      </c>
      <c r="M495">
        <f t="shared" si="7"/>
        <v>-28</v>
      </c>
    </row>
    <row r="496" spans="3:13">
      <c r="C496" s="2">
        <v>40773</v>
      </c>
      <c r="D496">
        <v>98.748829619083438</v>
      </c>
      <c r="E496">
        <f>VLOOKUP(C496,'10y swap Vol'!$C$2:$G$3809,5,0)</f>
        <v>106.81291701734507</v>
      </c>
      <c r="F496">
        <f>VLOOKUP(C496,'5y10y Swaption Vol'!temp,3,0)</f>
        <v>108.139181748</v>
      </c>
      <c r="H496" s="1">
        <v>40801</v>
      </c>
      <c r="I496" t="s">
        <v>2</v>
      </c>
      <c r="J496">
        <v>2.262378</v>
      </c>
      <c r="K496">
        <v>4.8312000000000133E-2</v>
      </c>
      <c r="L496">
        <v>112.62399355380612</v>
      </c>
      <c r="M496">
        <f t="shared" si="7"/>
        <v>-28</v>
      </c>
    </row>
    <row r="497" spans="3:13">
      <c r="C497" s="2">
        <v>40774</v>
      </c>
      <c r="D497">
        <v>99.187591018126639</v>
      </c>
      <c r="E497">
        <f>VLOOKUP(C497,'10y swap Vol'!$C$2:$G$3809,5,0)</f>
        <v>106.82363605046581</v>
      </c>
      <c r="F497">
        <f>VLOOKUP(C497,'5y10y Swaption Vol'!temp,3,0)</f>
        <v>108.70100395199999</v>
      </c>
      <c r="H497" s="1">
        <v>40802</v>
      </c>
      <c r="I497" t="s">
        <v>2</v>
      </c>
      <c r="J497">
        <v>2.2602859999999998</v>
      </c>
      <c r="K497">
        <v>-2.0920000000002048E-3</v>
      </c>
      <c r="L497">
        <v>112.65178067747124</v>
      </c>
      <c r="M497">
        <f t="shared" si="7"/>
        <v>-28</v>
      </c>
    </row>
    <row r="498" spans="3:13">
      <c r="C498" s="2">
        <v>40777</v>
      </c>
      <c r="D498">
        <v>98.603669977922792</v>
      </c>
      <c r="E498">
        <f>VLOOKUP(C498,'10y swap Vol'!$C$2:$G$3809,5,0)</f>
        <v>106.75886130873566</v>
      </c>
      <c r="F498">
        <f>VLOOKUP(C498,'5y10y Swaption Vol'!temp,3,0)</f>
        <v>108.33916536</v>
      </c>
      <c r="H498" s="1">
        <v>40805</v>
      </c>
      <c r="I498" t="s">
        <v>2</v>
      </c>
      <c r="J498">
        <v>2.1419350000000001</v>
      </c>
      <c r="K498">
        <v>-0.11835099999999965</v>
      </c>
      <c r="L498">
        <v>113.91698802526282</v>
      </c>
      <c r="M498">
        <f t="shared" si="7"/>
        <v>-28</v>
      </c>
    </row>
    <row r="499" spans="3:13">
      <c r="C499" s="2">
        <v>40778</v>
      </c>
      <c r="D499">
        <v>99.451742861326466</v>
      </c>
      <c r="E499">
        <f>VLOOKUP(C499,'10y swap Vol'!$C$2:$G$3809,5,0)</f>
        <v>107.35165133433694</v>
      </c>
      <c r="F499">
        <f>VLOOKUP(C499,'5y10y Swaption Vol'!temp,3,0)</f>
        <v>108.91677637399999</v>
      </c>
      <c r="H499" s="1">
        <v>40806</v>
      </c>
      <c r="I499" t="s">
        <v>2</v>
      </c>
      <c r="J499">
        <v>2.1471450000000001</v>
      </c>
      <c r="K499">
        <v>5.2099999999999369E-3</v>
      </c>
      <c r="L499">
        <v>113.96007055710629</v>
      </c>
      <c r="M499">
        <f t="shared" si="7"/>
        <v>-28</v>
      </c>
    </row>
    <row r="500" spans="3:13">
      <c r="C500" s="2">
        <v>40779</v>
      </c>
      <c r="D500">
        <v>99.903309817305484</v>
      </c>
      <c r="E500">
        <f>VLOOKUP(C500,'10y swap Vol'!$C$2:$G$3809,5,0)</f>
        <v>110.82818431503374</v>
      </c>
      <c r="F500">
        <f>VLOOKUP(C500,'5y10y Swaption Vol'!temp,3,0)</f>
        <v>107.440148998</v>
      </c>
      <c r="H500" s="1">
        <v>40807</v>
      </c>
      <c r="I500" t="s">
        <v>2</v>
      </c>
      <c r="J500">
        <v>2.0840380000000001</v>
      </c>
      <c r="K500">
        <v>-6.3107000000000024E-2</v>
      </c>
      <c r="L500">
        <v>113.53143768163652</v>
      </c>
      <c r="M500">
        <f t="shared" si="7"/>
        <v>-28</v>
      </c>
    </row>
    <row r="501" spans="3:13">
      <c r="C501" s="2">
        <v>40780</v>
      </c>
      <c r="D501">
        <v>100.98145847312297</v>
      </c>
      <c r="E501">
        <f>VLOOKUP(C501,'10y swap Vol'!$C$2:$G$3809,5,0)</f>
        <v>110.20100212568691</v>
      </c>
      <c r="F501">
        <f>VLOOKUP(C501,'5y10y Swaption Vol'!temp,3,0)</f>
        <v>108.515997482</v>
      </c>
      <c r="H501" s="1">
        <v>40808</v>
      </c>
      <c r="I501" t="s">
        <v>2</v>
      </c>
      <c r="J501">
        <v>1.899672</v>
      </c>
      <c r="K501">
        <v>-0.18436600000000003</v>
      </c>
      <c r="L501">
        <v>115.86690965612176</v>
      </c>
      <c r="M501">
        <f t="shared" si="7"/>
        <v>-28</v>
      </c>
    </row>
    <row r="502" spans="3:13">
      <c r="C502" s="2">
        <v>40781</v>
      </c>
      <c r="D502">
        <v>100.45070722572038</v>
      </c>
      <c r="E502">
        <f>VLOOKUP(C502,'10y swap Vol'!$C$2:$G$3809,5,0)</f>
        <v>109.46654291430863</v>
      </c>
      <c r="F502">
        <f>VLOOKUP(C502,'5y10y Swaption Vol'!temp,3,0)</f>
        <v>107.987844094</v>
      </c>
      <c r="H502" s="1">
        <v>40809</v>
      </c>
      <c r="I502" t="s">
        <v>2</v>
      </c>
      <c r="J502">
        <v>1.9821869999999999</v>
      </c>
      <c r="K502">
        <v>8.2514999999999894E-2</v>
      </c>
      <c r="L502">
        <v>116.67366583937566</v>
      </c>
      <c r="M502">
        <f t="shared" si="7"/>
        <v>-28</v>
      </c>
    </row>
    <row r="503" spans="3:13">
      <c r="C503" s="2">
        <v>40784</v>
      </c>
      <c r="D503">
        <v>102.33900123291366</v>
      </c>
      <c r="E503">
        <f>VLOOKUP(C503,'10y swap Vol'!$C$2:$G$3809,5,0)</f>
        <v>110.98487835236442</v>
      </c>
      <c r="F503">
        <f>VLOOKUP(C503,'5y10y Swaption Vol'!temp,3,0)</f>
        <v>108.08000691300001</v>
      </c>
      <c r="H503" s="1">
        <v>40812</v>
      </c>
      <c r="I503" t="s">
        <v>2</v>
      </c>
      <c r="J503">
        <v>2.0845220000000002</v>
      </c>
      <c r="K503">
        <v>0.10233500000000029</v>
      </c>
      <c r="L503">
        <v>118.75092339086723</v>
      </c>
      <c r="M503">
        <f t="shared" si="7"/>
        <v>-28</v>
      </c>
    </row>
    <row r="504" spans="3:13">
      <c r="C504" s="2">
        <v>40785</v>
      </c>
      <c r="D504">
        <v>103.38225240342472</v>
      </c>
      <c r="E504">
        <f>VLOOKUP(C504,'10y swap Vol'!$C$2:$G$3809,5,0)</f>
        <v>111.58673688241348</v>
      </c>
      <c r="F504">
        <f>VLOOKUP(C504,'5y10y Swaption Vol'!temp,3,0)</f>
        <v>107.875993671</v>
      </c>
      <c r="H504" s="1">
        <v>40813</v>
      </c>
      <c r="I504" t="s">
        <v>2</v>
      </c>
      <c r="J504">
        <v>2.1862300000000001</v>
      </c>
      <c r="K504">
        <v>0.10170799999999991</v>
      </c>
      <c r="L504">
        <v>120.46469988435659</v>
      </c>
      <c r="M504">
        <f t="shared" si="7"/>
        <v>-28</v>
      </c>
    </row>
    <row r="505" spans="3:13">
      <c r="C505" s="2">
        <v>40786</v>
      </c>
      <c r="D505">
        <v>104.5851188443075</v>
      </c>
      <c r="E505">
        <f>VLOOKUP(C505,'10y swap Vol'!$C$2:$G$3809,5,0)</f>
        <v>112.09385642245608</v>
      </c>
      <c r="F505">
        <f>VLOOKUP(C505,'5y10y Swaption Vol'!temp,3,0)</f>
        <v>107.495510366</v>
      </c>
      <c r="H505" s="1">
        <v>40814</v>
      </c>
      <c r="I505" t="s">
        <v>2</v>
      </c>
      <c r="J505">
        <v>2.173311</v>
      </c>
      <c r="K505">
        <v>-1.2919000000000125E-2</v>
      </c>
      <c r="L505">
        <v>120.23495585319213</v>
      </c>
      <c r="M505">
        <f t="shared" si="7"/>
        <v>-28</v>
      </c>
    </row>
    <row r="506" spans="3:13">
      <c r="C506" s="2">
        <v>40787</v>
      </c>
      <c r="D506">
        <v>105.01794649188238</v>
      </c>
      <c r="E506">
        <f>VLOOKUP(C506,'10y swap Vol'!$C$2:$G$3809,5,0)</f>
        <v>112.39470381824917</v>
      </c>
      <c r="F506">
        <f>VLOOKUP(C506,'5y10y Swaption Vol'!temp,3,0)</f>
        <v>107.684685964</v>
      </c>
      <c r="H506" s="1">
        <v>40815</v>
      </c>
      <c r="I506" t="s">
        <v>2</v>
      </c>
      <c r="J506">
        <v>2.1301809999999999</v>
      </c>
      <c r="K506">
        <v>-4.3130000000000113E-2</v>
      </c>
      <c r="L506">
        <v>120.33338994807501</v>
      </c>
      <c r="M506">
        <f t="shared" si="7"/>
        <v>-28</v>
      </c>
    </row>
    <row r="507" spans="3:13">
      <c r="C507" s="2">
        <v>40788</v>
      </c>
      <c r="D507">
        <v>106.19585104391803</v>
      </c>
      <c r="E507">
        <f>VLOOKUP(C507,'10y swap Vol'!$C$2:$G$3809,5,0)</f>
        <v>114.82256104318628</v>
      </c>
      <c r="F507">
        <f>VLOOKUP(C507,'5y10y Swaption Vol'!temp,3,0)</f>
        <v>108.007488595</v>
      </c>
      <c r="H507" s="1">
        <v>40816</v>
      </c>
      <c r="I507" t="s">
        <v>2</v>
      </c>
      <c r="J507">
        <v>2.104867</v>
      </c>
      <c r="K507">
        <v>-2.5313999999999837E-2</v>
      </c>
      <c r="L507">
        <v>119.49114539665899</v>
      </c>
      <c r="M507">
        <f t="shared" si="7"/>
        <v>-28</v>
      </c>
    </row>
    <row r="508" spans="3:13">
      <c r="C508" s="2">
        <v>40792</v>
      </c>
      <c r="D508">
        <v>106.1901539507431</v>
      </c>
      <c r="E508">
        <f>VLOOKUP(C508,'10y swap Vol'!$C$2:$G$3809,5,0)</f>
        <v>114.82525728957866</v>
      </c>
      <c r="F508">
        <f>VLOOKUP(C508,'5y10y Swaption Vol'!temp,3,0)</f>
        <v>108.713085447</v>
      </c>
      <c r="H508" s="1">
        <v>40819</v>
      </c>
      <c r="I508" t="s">
        <v>2</v>
      </c>
      <c r="J508">
        <v>1.995215</v>
      </c>
      <c r="K508">
        <v>-0.10965200000000008</v>
      </c>
      <c r="L508">
        <v>118.85939478101442</v>
      </c>
      <c r="M508">
        <f t="shared" si="7"/>
        <v>-27</v>
      </c>
    </row>
    <row r="509" spans="3:13">
      <c r="C509" s="2">
        <v>40793</v>
      </c>
      <c r="D509">
        <v>106.90781095676938</v>
      </c>
      <c r="E509">
        <f>VLOOKUP(C509,'10y swap Vol'!$C$2:$G$3809,5,0)</f>
        <v>115.10722230833106</v>
      </c>
      <c r="F509">
        <f>VLOOKUP(C509,'5y10y Swaption Vol'!temp,3,0)</f>
        <v>108.083252255</v>
      </c>
      <c r="H509" s="1">
        <v>40820</v>
      </c>
      <c r="I509" t="s">
        <v>2</v>
      </c>
      <c r="J509">
        <v>2.0234459999999999</v>
      </c>
      <c r="K509">
        <v>2.8230999999999895E-2</v>
      </c>
      <c r="L509">
        <v>118.65859622108374</v>
      </c>
      <c r="M509">
        <f t="shared" si="7"/>
        <v>-27</v>
      </c>
    </row>
    <row r="510" spans="3:13">
      <c r="C510" s="2">
        <v>40794</v>
      </c>
      <c r="D510">
        <v>105.73992544277546</v>
      </c>
      <c r="E510">
        <f>VLOOKUP(C510,'10y swap Vol'!$C$2:$G$3809,5,0)</f>
        <v>112.79504329861876</v>
      </c>
      <c r="F510">
        <f>VLOOKUP(C510,'5y10y Swaption Vol'!temp,3,0)</f>
        <v>107.352658182</v>
      </c>
      <c r="H510" s="1">
        <v>40821</v>
      </c>
      <c r="I510" t="s">
        <v>2</v>
      </c>
      <c r="J510">
        <v>2.1317469999999998</v>
      </c>
      <c r="K510">
        <v>0.10830099999999998</v>
      </c>
      <c r="L510">
        <v>121.40476318396341</v>
      </c>
      <c r="M510">
        <f t="shared" si="7"/>
        <v>-27</v>
      </c>
    </row>
    <row r="511" spans="3:13">
      <c r="C511" s="2">
        <v>40795</v>
      </c>
      <c r="D511">
        <v>105.68752544004387</v>
      </c>
      <c r="E511">
        <f>VLOOKUP(C511,'10y swap Vol'!$C$2:$G$3809,5,0)</f>
        <v>111.53049844207</v>
      </c>
      <c r="F511">
        <f>VLOOKUP(C511,'5y10y Swaption Vol'!temp,3,0)</f>
        <v>107.13540707200001</v>
      </c>
      <c r="H511" s="1">
        <v>40822</v>
      </c>
      <c r="I511" t="s">
        <v>2</v>
      </c>
      <c r="J511">
        <v>2.1911230000000002</v>
      </c>
      <c r="K511">
        <v>5.9376000000000317E-2</v>
      </c>
      <c r="L511">
        <v>122.34089535243271</v>
      </c>
      <c r="M511">
        <f t="shared" si="7"/>
        <v>-27</v>
      </c>
    </row>
    <row r="512" spans="3:13">
      <c r="C512" s="2">
        <v>40798</v>
      </c>
      <c r="D512">
        <v>106.36129543022525</v>
      </c>
      <c r="E512">
        <f>VLOOKUP(C512,'10y swap Vol'!$C$2:$G$3809,5,0)</f>
        <v>111.57529955260812</v>
      </c>
      <c r="F512">
        <f>VLOOKUP(C512,'5y10y Swaption Vol'!temp,3,0)</f>
        <v>106.9351578</v>
      </c>
      <c r="H512" s="1">
        <v>40823</v>
      </c>
      <c r="I512" t="s">
        <v>2</v>
      </c>
      <c r="J512">
        <v>2.2630089999999998</v>
      </c>
      <c r="K512">
        <v>7.1885999999999672E-2</v>
      </c>
      <c r="L512">
        <v>123.16393129704156</v>
      </c>
      <c r="M512">
        <f t="shared" si="7"/>
        <v>-25</v>
      </c>
    </row>
    <row r="513" spans="3:13">
      <c r="C513" s="2">
        <v>40799</v>
      </c>
      <c r="D513">
        <v>106.57054544036268</v>
      </c>
      <c r="E513">
        <f>VLOOKUP(C513,'10y swap Vol'!$C$2:$G$3809,5,0)</f>
        <v>112.19913379605046</v>
      </c>
      <c r="F513">
        <f>VLOOKUP(C513,'5y10y Swaption Vol'!temp,3,0)</f>
        <v>107.66621902999999</v>
      </c>
      <c r="H513" s="1">
        <v>40827</v>
      </c>
      <c r="I513" t="s">
        <v>2</v>
      </c>
      <c r="J513">
        <v>2.3453309999999998</v>
      </c>
      <c r="K513">
        <v>8.2322000000000006E-2</v>
      </c>
      <c r="L513">
        <v>124.62668004290347</v>
      </c>
      <c r="M513">
        <f t="shared" si="7"/>
        <v>-28</v>
      </c>
    </row>
    <row r="514" spans="3:13">
      <c r="C514" s="2">
        <v>40800</v>
      </c>
      <c r="D514">
        <v>106.3998312889024</v>
      </c>
      <c r="E514">
        <f>VLOOKUP(C514,'10y swap Vol'!$C$2:$G$3809,5,0)</f>
        <v>112.12051769401472</v>
      </c>
      <c r="F514">
        <f>VLOOKUP(C514,'5y10y Swaption Vol'!temp,3,0)</f>
        <v>107.979699978</v>
      </c>
      <c r="H514" s="1">
        <v>40828</v>
      </c>
      <c r="I514" t="s">
        <v>2</v>
      </c>
      <c r="J514">
        <v>2.380128</v>
      </c>
      <c r="K514">
        <v>3.4797000000000189E-2</v>
      </c>
      <c r="L514">
        <v>124.97659287761007</v>
      </c>
      <c r="M514">
        <f t="shared" si="7"/>
        <v>-28</v>
      </c>
    </row>
    <row r="515" spans="3:13">
      <c r="C515" s="2">
        <v>40801</v>
      </c>
      <c r="D515">
        <v>106.98157049275837</v>
      </c>
      <c r="E515">
        <f>VLOOKUP(C515,'10y swap Vol'!$C$2:$G$3809,5,0)</f>
        <v>112.62399355380612</v>
      </c>
      <c r="F515">
        <f>VLOOKUP(C515,'5y10y Swaption Vol'!temp,3,0)</f>
        <v>108.124885018</v>
      </c>
      <c r="H515" s="1">
        <v>40829</v>
      </c>
      <c r="I515" t="s">
        <v>2</v>
      </c>
      <c r="J515">
        <v>2.3395779999999999</v>
      </c>
      <c r="K515">
        <v>-4.0550000000000086E-2</v>
      </c>
      <c r="L515">
        <v>125.07768352976323</v>
      </c>
      <c r="M515">
        <f t="shared" ref="M515:M578" si="8">C515-H515</f>
        <v>-28</v>
      </c>
    </row>
    <row r="516" spans="3:13">
      <c r="C516" s="2">
        <v>40802</v>
      </c>
      <c r="D516">
        <v>106.96248277943481</v>
      </c>
      <c r="E516">
        <f>VLOOKUP(C516,'10y swap Vol'!$C$2:$G$3809,5,0)</f>
        <v>112.65178067747124</v>
      </c>
      <c r="F516">
        <f>VLOOKUP(C516,'5y10y Swaption Vol'!temp,3,0)</f>
        <v>108.482984952</v>
      </c>
      <c r="H516" s="1">
        <v>40830</v>
      </c>
      <c r="I516" t="s">
        <v>2</v>
      </c>
      <c r="J516">
        <v>2.4128099999999999</v>
      </c>
      <c r="K516">
        <v>7.3231999999999964E-2</v>
      </c>
      <c r="L516">
        <v>125.91903985763541</v>
      </c>
      <c r="M516">
        <f t="shared" si="8"/>
        <v>-28</v>
      </c>
    </row>
    <row r="517" spans="3:13">
      <c r="C517" s="2">
        <v>40805</v>
      </c>
      <c r="D517">
        <v>108.22509621390456</v>
      </c>
      <c r="E517">
        <f>VLOOKUP(C517,'10y swap Vol'!$C$2:$G$3809,5,0)</f>
        <v>113.91698802526282</v>
      </c>
      <c r="F517">
        <f>VLOOKUP(C517,'5y10y Swaption Vol'!temp,3,0)</f>
        <v>107.55124068000001</v>
      </c>
      <c r="H517" s="1">
        <v>40833</v>
      </c>
      <c r="I517" t="s">
        <v>2</v>
      </c>
      <c r="J517">
        <v>2.3475299999999999</v>
      </c>
      <c r="K517">
        <v>-6.5280000000000005E-2</v>
      </c>
      <c r="L517">
        <v>125.45472850578308</v>
      </c>
      <c r="M517">
        <f t="shared" si="8"/>
        <v>-28</v>
      </c>
    </row>
    <row r="518" spans="3:13">
      <c r="C518" s="2">
        <v>40806</v>
      </c>
      <c r="D518">
        <v>108.39778356600948</v>
      </c>
      <c r="E518">
        <f>VLOOKUP(C518,'10y swap Vol'!$C$2:$G$3809,5,0)</f>
        <v>113.96007055710629</v>
      </c>
      <c r="F518">
        <f>VLOOKUP(C518,'5y10y Swaption Vol'!temp,3,0)</f>
        <v>108.745578534</v>
      </c>
      <c r="H518" s="1">
        <v>40834</v>
      </c>
      <c r="I518" t="s">
        <v>2</v>
      </c>
      <c r="J518">
        <v>2.3482340000000002</v>
      </c>
      <c r="K518">
        <v>7.0400000000025997E-4</v>
      </c>
      <c r="L518">
        <v>124.93787453378205</v>
      </c>
      <c r="M518">
        <f t="shared" si="8"/>
        <v>-28</v>
      </c>
    </row>
    <row r="519" spans="3:13">
      <c r="C519" s="2">
        <v>40807</v>
      </c>
      <c r="D519">
        <v>117.5479947680256</v>
      </c>
      <c r="E519">
        <f>VLOOKUP(C519,'10y swap Vol'!$C$2:$G$3809,5,0)</f>
        <v>113.53143768163652</v>
      </c>
      <c r="F519">
        <f>VLOOKUP(C519,'5y10y Swaption Vol'!temp,3,0)</f>
        <v>108.224637546</v>
      </c>
      <c r="H519" s="1">
        <v>40835</v>
      </c>
      <c r="I519" t="s">
        <v>2</v>
      </c>
      <c r="J519">
        <v>2.3468089999999999</v>
      </c>
      <c r="K519">
        <v>-1.4250000000002316E-3</v>
      </c>
      <c r="L519">
        <v>124.61214503526632</v>
      </c>
      <c r="M519">
        <f t="shared" si="8"/>
        <v>-28</v>
      </c>
    </row>
    <row r="520" spans="3:13">
      <c r="C520" s="2">
        <v>40808</v>
      </c>
      <c r="D520">
        <v>119.99979752940013</v>
      </c>
      <c r="E520">
        <f>VLOOKUP(C520,'10y swap Vol'!$C$2:$G$3809,5,0)</f>
        <v>115.86690965612176</v>
      </c>
      <c r="F520">
        <f>VLOOKUP(C520,'5y10y Swaption Vol'!temp,3,0)</f>
        <v>109.349303679</v>
      </c>
      <c r="H520" s="1">
        <v>40836</v>
      </c>
      <c r="I520" t="s">
        <v>2</v>
      </c>
      <c r="J520">
        <v>2.365202</v>
      </c>
      <c r="K520">
        <v>1.8393000000000104E-2</v>
      </c>
      <c r="L520">
        <v>124.54248795848395</v>
      </c>
      <c r="M520">
        <f t="shared" si="8"/>
        <v>-28</v>
      </c>
    </row>
    <row r="521" spans="3:13">
      <c r="C521" s="2">
        <v>40809</v>
      </c>
      <c r="D521">
        <v>123.34283384865674</v>
      </c>
      <c r="E521">
        <f>VLOOKUP(C521,'10y swap Vol'!$C$2:$G$3809,5,0)</f>
        <v>116.67366583937566</v>
      </c>
      <c r="F521">
        <f>VLOOKUP(C521,'5y10y Swaption Vol'!temp,3,0)</f>
        <v>107.30519209000001</v>
      </c>
      <c r="H521" s="1">
        <v>40837</v>
      </c>
      <c r="I521" t="s">
        <v>2</v>
      </c>
      <c r="J521">
        <v>2.3961329999999998</v>
      </c>
      <c r="K521">
        <v>3.093099999999982E-2</v>
      </c>
      <c r="L521">
        <v>124.57399860717413</v>
      </c>
      <c r="M521">
        <f t="shared" si="8"/>
        <v>-28</v>
      </c>
    </row>
    <row r="522" spans="3:13">
      <c r="C522" s="2">
        <v>40812</v>
      </c>
      <c r="D522">
        <v>124.961455444772</v>
      </c>
      <c r="E522">
        <f>VLOOKUP(C522,'10y swap Vol'!$C$2:$G$3809,5,0)</f>
        <v>118.75092339086723</v>
      </c>
      <c r="F522">
        <f>VLOOKUP(C522,'5y10y Swaption Vol'!temp,3,0)</f>
        <v>107.843963832</v>
      </c>
      <c r="H522" s="1">
        <v>40840</v>
      </c>
      <c r="I522" t="s">
        <v>2</v>
      </c>
      <c r="J522">
        <v>2.4277799999999998</v>
      </c>
      <c r="K522">
        <v>3.1646999999999981E-2</v>
      </c>
      <c r="L522">
        <v>124.87698304182047</v>
      </c>
      <c r="M522">
        <f t="shared" si="8"/>
        <v>-28</v>
      </c>
    </row>
    <row r="523" spans="3:13">
      <c r="C523" s="2">
        <v>40813</v>
      </c>
      <c r="D523">
        <v>127.74380680637354</v>
      </c>
      <c r="E523">
        <f>VLOOKUP(C523,'10y swap Vol'!$C$2:$G$3809,5,0)</f>
        <v>120.46469988435659</v>
      </c>
      <c r="F523">
        <f>VLOOKUP(C523,'5y10y Swaption Vol'!temp,3,0)</f>
        <v>108.08543204999999</v>
      </c>
      <c r="H523" s="1">
        <v>40841</v>
      </c>
      <c r="I523" t="s">
        <v>2</v>
      </c>
      <c r="J523">
        <v>2.3166519999999999</v>
      </c>
      <c r="K523">
        <v>-0.11112799999999989</v>
      </c>
      <c r="L523">
        <v>123.79458030135527</v>
      </c>
      <c r="M523">
        <f t="shared" si="8"/>
        <v>-28</v>
      </c>
    </row>
    <row r="524" spans="3:13">
      <c r="C524" s="2">
        <v>40814</v>
      </c>
      <c r="D524">
        <v>127.67649466872018</v>
      </c>
      <c r="E524">
        <f>VLOOKUP(C524,'10y swap Vol'!$C$2:$G$3809,5,0)</f>
        <v>120.23495585319213</v>
      </c>
      <c r="F524">
        <f>VLOOKUP(C524,'5y10y Swaption Vol'!temp,3,0)</f>
        <v>107.129806136</v>
      </c>
      <c r="H524" s="1">
        <v>40842</v>
      </c>
      <c r="I524" t="s">
        <v>2</v>
      </c>
      <c r="J524">
        <v>2.3853900000000001</v>
      </c>
      <c r="K524">
        <v>6.8738000000000188E-2</v>
      </c>
      <c r="L524">
        <v>124.44254002958202</v>
      </c>
      <c r="M524">
        <f t="shared" si="8"/>
        <v>-28</v>
      </c>
    </row>
    <row r="525" spans="3:13">
      <c r="C525" s="2">
        <v>40815</v>
      </c>
      <c r="D525">
        <v>128.43766155920511</v>
      </c>
      <c r="E525">
        <f>VLOOKUP(C525,'10y swap Vol'!$C$2:$G$3809,5,0)</f>
        <v>120.33338994807501</v>
      </c>
      <c r="F525">
        <f>VLOOKUP(C525,'5y10y Swaption Vol'!temp,3,0)</f>
        <v>106.261542424</v>
      </c>
      <c r="H525" s="1">
        <v>40843</v>
      </c>
      <c r="I525" t="s">
        <v>2</v>
      </c>
      <c r="J525">
        <v>2.5477789999999998</v>
      </c>
      <c r="K525">
        <v>0.16238899999999967</v>
      </c>
      <c r="L525">
        <v>127.13699944680208</v>
      </c>
      <c r="M525">
        <f t="shared" si="8"/>
        <v>-28</v>
      </c>
    </row>
    <row r="526" spans="3:13">
      <c r="C526" s="2">
        <v>40816</v>
      </c>
      <c r="D526">
        <v>127.72609633995235</v>
      </c>
      <c r="E526">
        <f>VLOOKUP(C526,'10y swap Vol'!$C$2:$G$3809,5,0)</f>
        <v>119.49114539665899</v>
      </c>
      <c r="F526">
        <f>VLOOKUP(C526,'5y10y Swaption Vol'!temp,3,0)</f>
        <v>106.15106187000001</v>
      </c>
      <c r="H526" s="1">
        <v>40844</v>
      </c>
      <c r="I526" t="s">
        <v>2</v>
      </c>
      <c r="J526">
        <v>2.4409679999999998</v>
      </c>
      <c r="K526">
        <v>-0.10681099999999999</v>
      </c>
      <c r="L526">
        <v>128.78574892718751</v>
      </c>
      <c r="M526">
        <f t="shared" si="8"/>
        <v>-28</v>
      </c>
    </row>
    <row r="527" spans="3:13">
      <c r="C527" s="2">
        <v>40819</v>
      </c>
      <c r="D527">
        <v>127.11470508253751</v>
      </c>
      <c r="E527">
        <f>VLOOKUP(C527,'10y swap Vol'!$C$2:$G$3809,5,0)</f>
        <v>118.85939478101442</v>
      </c>
      <c r="F527">
        <f>VLOOKUP(C527,'5y10y Swaption Vol'!temp,3,0)</f>
        <v>106.877769152</v>
      </c>
      <c r="H527" s="1">
        <v>40847</v>
      </c>
      <c r="I527" t="s">
        <v>2</v>
      </c>
      <c r="J527">
        <v>2.3231480000000002</v>
      </c>
      <c r="K527">
        <v>-0.11781999999999959</v>
      </c>
      <c r="L527">
        <v>128.88100944485734</v>
      </c>
      <c r="M527">
        <f t="shared" si="8"/>
        <v>-28</v>
      </c>
    </row>
    <row r="528" spans="3:13">
      <c r="C528" s="2">
        <v>40820</v>
      </c>
      <c r="D528">
        <v>128.40283656338926</v>
      </c>
      <c r="E528">
        <f>VLOOKUP(C528,'10y swap Vol'!$C$2:$G$3809,5,0)</f>
        <v>118.65859622108374</v>
      </c>
      <c r="F528">
        <f>VLOOKUP(C528,'5y10y Swaption Vol'!temp,3,0)</f>
        <v>106.19527512400001</v>
      </c>
      <c r="H528" s="1">
        <v>40848</v>
      </c>
      <c r="I528" t="s">
        <v>2</v>
      </c>
      <c r="J528">
        <v>2.1678120000000001</v>
      </c>
      <c r="K528">
        <v>-0.15533600000000014</v>
      </c>
      <c r="L528">
        <v>129.7893686440421</v>
      </c>
      <c r="M528">
        <f t="shared" si="8"/>
        <v>-28</v>
      </c>
    </row>
    <row r="529" spans="3:13">
      <c r="C529" s="2">
        <v>40821</v>
      </c>
      <c r="D529">
        <v>129.71240691793</v>
      </c>
      <c r="E529">
        <f>VLOOKUP(C529,'10y swap Vol'!$C$2:$G$3809,5,0)</f>
        <v>121.40476318396341</v>
      </c>
      <c r="F529">
        <f>VLOOKUP(C529,'5y10y Swaption Vol'!temp,3,0)</f>
        <v>105.81587528999999</v>
      </c>
      <c r="H529" s="1">
        <v>40849</v>
      </c>
      <c r="I529" t="s">
        <v>2</v>
      </c>
      <c r="J529">
        <v>2.1722600000000001</v>
      </c>
      <c r="K529">
        <v>4.4480000000000075E-3</v>
      </c>
      <c r="L529">
        <v>125.83009782507828</v>
      </c>
      <c r="M529">
        <f t="shared" si="8"/>
        <v>-28</v>
      </c>
    </row>
    <row r="530" spans="3:13">
      <c r="C530" s="2">
        <v>40822</v>
      </c>
      <c r="D530">
        <v>130.66174203311135</v>
      </c>
      <c r="E530">
        <f>VLOOKUP(C530,'10y swap Vol'!$C$2:$G$3809,5,0)</f>
        <v>122.34089535243271</v>
      </c>
      <c r="F530">
        <f>VLOOKUP(C530,'5y10y Swaption Vol'!temp,3,0)</f>
        <v>105.33351737</v>
      </c>
      <c r="H530" s="1">
        <v>40850</v>
      </c>
      <c r="I530" t="s">
        <v>2</v>
      </c>
      <c r="J530">
        <v>2.2256849999999999</v>
      </c>
      <c r="K530">
        <v>5.3424999999999834E-2</v>
      </c>
      <c r="L530">
        <v>121.3802173023184</v>
      </c>
      <c r="M530">
        <f t="shared" si="8"/>
        <v>-28</v>
      </c>
    </row>
    <row r="531" spans="3:13">
      <c r="C531" s="2">
        <v>40823</v>
      </c>
      <c r="D531">
        <v>132.20120881520418</v>
      </c>
      <c r="E531">
        <f>VLOOKUP(C531,'10y swap Vol'!$C$2:$G$3809,5,0)</f>
        <v>123.16393129704156</v>
      </c>
      <c r="F531">
        <f>VLOOKUP(C531,'5y10y Swaption Vol'!temp,3,0)</f>
        <v>105.012343233</v>
      </c>
      <c r="H531" s="1">
        <v>40851</v>
      </c>
      <c r="I531" t="s">
        <v>2</v>
      </c>
      <c r="J531">
        <v>2.2032729999999998</v>
      </c>
      <c r="K531">
        <v>-2.2412000000000099E-2</v>
      </c>
      <c r="L531">
        <v>121.17905050350983</v>
      </c>
      <c r="M531">
        <f t="shared" si="8"/>
        <v>-28</v>
      </c>
    </row>
    <row r="532" spans="3:13">
      <c r="C532" s="2">
        <v>40827</v>
      </c>
      <c r="D532">
        <v>132.50424227003313</v>
      </c>
      <c r="E532">
        <f>VLOOKUP(C532,'10y swap Vol'!$C$2:$G$3809,5,0)</f>
        <v>124.62668004290347</v>
      </c>
      <c r="F532">
        <f>VLOOKUP(C532,'5y10y Swaption Vol'!temp,3,0)</f>
        <v>105.416035506</v>
      </c>
      <c r="H532" s="1">
        <v>40854</v>
      </c>
      <c r="I532" t="s">
        <v>2</v>
      </c>
      <c r="J532">
        <v>2.1565910000000001</v>
      </c>
      <c r="K532">
        <v>-4.6681999999999668E-2</v>
      </c>
      <c r="L532">
        <v>117.91292079761536</v>
      </c>
      <c r="M532">
        <f t="shared" si="8"/>
        <v>-27</v>
      </c>
    </row>
    <row r="533" spans="3:13">
      <c r="C533" s="2">
        <v>40828</v>
      </c>
      <c r="D533">
        <v>132.38570433150423</v>
      </c>
      <c r="E533">
        <f>VLOOKUP(C533,'10y swap Vol'!$C$2:$G$3809,5,0)</f>
        <v>124.97659287761007</v>
      </c>
      <c r="F533">
        <f>VLOOKUP(C533,'5y10y Swaption Vol'!temp,3,0)</f>
        <v>105.870352</v>
      </c>
      <c r="H533" s="1">
        <v>40855</v>
      </c>
      <c r="I533" t="s">
        <v>2</v>
      </c>
      <c r="J533">
        <v>2.2235239999999998</v>
      </c>
      <c r="K533">
        <v>6.6932999999999687E-2</v>
      </c>
      <c r="L533">
        <v>117.82162722986176</v>
      </c>
      <c r="M533">
        <f t="shared" si="8"/>
        <v>-27</v>
      </c>
    </row>
    <row r="534" spans="3:13">
      <c r="C534" s="2">
        <v>40829</v>
      </c>
      <c r="D534">
        <v>132.45796964269653</v>
      </c>
      <c r="E534">
        <f>VLOOKUP(C534,'10y swap Vol'!$C$2:$G$3809,5,0)</f>
        <v>125.07768352976323</v>
      </c>
      <c r="F534">
        <f>VLOOKUP(C534,'5y10y Swaption Vol'!temp,3,0)</f>
        <v>106.165473216</v>
      </c>
      <c r="H534" s="1">
        <v>40856</v>
      </c>
      <c r="I534" t="s">
        <v>2</v>
      </c>
      <c r="J534">
        <v>2.150064</v>
      </c>
      <c r="K534">
        <v>-7.3459999999999859E-2</v>
      </c>
      <c r="L534">
        <v>118.55312674266871</v>
      </c>
      <c r="M534">
        <f t="shared" si="8"/>
        <v>-27</v>
      </c>
    </row>
    <row r="535" spans="3:13">
      <c r="C535" s="2">
        <v>40830</v>
      </c>
      <c r="D535">
        <v>133.10745995819894</v>
      </c>
      <c r="E535">
        <f>VLOOKUP(C535,'10y swap Vol'!$C$2:$G$3809,5,0)</f>
        <v>125.91903985763541</v>
      </c>
      <c r="F535">
        <f>VLOOKUP(C535,'5y10y Swaption Vol'!temp,3,0)</f>
        <v>106.43096282</v>
      </c>
      <c r="H535" s="1">
        <v>40857</v>
      </c>
      <c r="I535" t="s">
        <v>2</v>
      </c>
      <c r="J535">
        <v>2.2218650000000002</v>
      </c>
      <c r="K535">
        <v>7.1801000000000226E-2</v>
      </c>
      <c r="L535">
        <v>118.49550462168601</v>
      </c>
      <c r="M535">
        <f t="shared" si="8"/>
        <v>-27</v>
      </c>
    </row>
    <row r="536" spans="3:13">
      <c r="C536" s="2">
        <v>40833</v>
      </c>
      <c r="D536">
        <v>133.27883549348499</v>
      </c>
      <c r="E536">
        <f>VLOOKUP(C536,'10y swap Vol'!$C$2:$G$3809,5,0)</f>
        <v>125.45472850578308</v>
      </c>
      <c r="F536">
        <f>VLOOKUP(C536,'5y10y Swaption Vol'!temp,3,0)</f>
        <v>107.416310364</v>
      </c>
      <c r="H536" s="1">
        <v>40861</v>
      </c>
      <c r="I536" t="s">
        <v>2</v>
      </c>
      <c r="J536">
        <v>2.233568</v>
      </c>
      <c r="K536">
        <v>1.1702999999999797E-2</v>
      </c>
      <c r="L536">
        <v>117.74813927792887</v>
      </c>
      <c r="M536">
        <f t="shared" si="8"/>
        <v>-28</v>
      </c>
    </row>
    <row r="537" spans="3:13">
      <c r="C537" s="2">
        <v>40834</v>
      </c>
      <c r="D537">
        <v>133.25369287224265</v>
      </c>
      <c r="E537">
        <f>VLOOKUP(C537,'10y swap Vol'!$C$2:$G$3809,5,0)</f>
        <v>124.93787453378205</v>
      </c>
      <c r="F537">
        <f>VLOOKUP(C537,'5y10y Swaption Vol'!temp,3,0)</f>
        <v>107.50690472399999</v>
      </c>
      <c r="H537" s="1">
        <v>40862</v>
      </c>
      <c r="I537" t="s">
        <v>2</v>
      </c>
      <c r="J537">
        <v>2.2474759999999998</v>
      </c>
      <c r="K537">
        <v>1.3907999999999809E-2</v>
      </c>
      <c r="L537">
        <v>116.65644971507747</v>
      </c>
      <c r="M537">
        <f t="shared" si="8"/>
        <v>-28</v>
      </c>
    </row>
    <row r="538" spans="3:13">
      <c r="C538" s="2">
        <v>40835</v>
      </c>
      <c r="D538">
        <v>132.97911849966167</v>
      </c>
      <c r="E538">
        <f>VLOOKUP(C538,'10y swap Vol'!$C$2:$G$3809,5,0)</f>
        <v>124.61214503526632</v>
      </c>
      <c r="F538">
        <f>VLOOKUP(C538,'5y10y Swaption Vol'!temp,3,0)</f>
        <v>107.83327737</v>
      </c>
      <c r="H538" s="1">
        <v>40863</v>
      </c>
      <c r="I538" t="s">
        <v>2</v>
      </c>
      <c r="J538">
        <v>2.219233</v>
      </c>
      <c r="K538">
        <v>-2.8242999999999796E-2</v>
      </c>
      <c r="L538">
        <v>116.80350128048961</v>
      </c>
      <c r="M538">
        <f t="shared" si="8"/>
        <v>-28</v>
      </c>
    </row>
    <row r="539" spans="3:13">
      <c r="C539" s="2">
        <v>40836</v>
      </c>
      <c r="D539">
        <v>133.13086230070061</v>
      </c>
      <c r="E539">
        <f>VLOOKUP(C539,'10y swap Vol'!$C$2:$G$3809,5,0)</f>
        <v>124.54248795848395</v>
      </c>
      <c r="F539">
        <f>VLOOKUP(C539,'5y10y Swaption Vol'!temp,3,0)</f>
        <v>107.541219168</v>
      </c>
      <c r="H539" s="1">
        <v>40864</v>
      </c>
      <c r="I539" t="s">
        <v>2</v>
      </c>
      <c r="J539">
        <v>2.150963</v>
      </c>
      <c r="K539">
        <v>-6.8270000000000053E-2</v>
      </c>
      <c r="L539">
        <v>117.34165803117679</v>
      </c>
      <c r="M539">
        <f t="shared" si="8"/>
        <v>-28</v>
      </c>
    </row>
    <row r="540" spans="3:13">
      <c r="C540" s="2">
        <v>40837</v>
      </c>
      <c r="D540">
        <v>132.72098177223734</v>
      </c>
      <c r="E540">
        <f>VLOOKUP(C540,'10y swap Vol'!$C$2:$G$3809,5,0)</f>
        <v>124.57399860717413</v>
      </c>
      <c r="F540">
        <f>VLOOKUP(C540,'5y10y Swaption Vol'!temp,3,0)</f>
        <v>107.28754292000001</v>
      </c>
      <c r="H540" s="1">
        <v>40865</v>
      </c>
      <c r="I540" t="s">
        <v>2</v>
      </c>
      <c r="J540">
        <v>2.1721050000000002</v>
      </c>
      <c r="K540">
        <v>2.1142000000000216E-2</v>
      </c>
      <c r="L540">
        <v>116.99093111495158</v>
      </c>
      <c r="M540">
        <f t="shared" si="8"/>
        <v>-28</v>
      </c>
    </row>
    <row r="541" spans="3:13">
      <c r="C541" s="2">
        <v>40840</v>
      </c>
      <c r="D541">
        <v>132.85695115571318</v>
      </c>
      <c r="E541">
        <f>VLOOKUP(C541,'10y swap Vol'!$C$2:$G$3809,5,0)</f>
        <v>124.87698304182047</v>
      </c>
      <c r="F541">
        <f>VLOOKUP(C541,'5y10y Swaption Vol'!temp,3,0)</f>
        <v>107.80839272999999</v>
      </c>
      <c r="H541" s="1">
        <v>40868</v>
      </c>
      <c r="I541" t="s">
        <v>2</v>
      </c>
      <c r="J541">
        <v>2.1488589999999999</v>
      </c>
      <c r="K541">
        <v>-2.3246000000000322E-2</v>
      </c>
      <c r="L541">
        <v>114.26447559813812</v>
      </c>
      <c r="M541">
        <f t="shared" si="8"/>
        <v>-28</v>
      </c>
    </row>
    <row r="542" spans="3:13">
      <c r="C542" s="2">
        <v>40841</v>
      </c>
      <c r="D542">
        <v>132.0489194734221</v>
      </c>
      <c r="E542">
        <f>VLOOKUP(C542,'10y swap Vol'!$C$2:$G$3809,5,0)</f>
        <v>123.79458030135527</v>
      </c>
      <c r="F542">
        <f>VLOOKUP(C542,'5y10y Swaption Vol'!temp,3,0)</f>
        <v>107.399102735</v>
      </c>
      <c r="H542" s="1">
        <v>40869</v>
      </c>
      <c r="I542" t="s">
        <v>2</v>
      </c>
      <c r="J542">
        <v>2.1218870000000001</v>
      </c>
      <c r="K542">
        <v>-2.6971999999999774E-2</v>
      </c>
      <c r="L542">
        <v>114.35769900355197</v>
      </c>
      <c r="M542">
        <f t="shared" si="8"/>
        <v>-28</v>
      </c>
    </row>
    <row r="543" spans="3:13">
      <c r="C543" s="2">
        <v>40842</v>
      </c>
      <c r="D543">
        <v>132.52393488369435</v>
      </c>
      <c r="E543">
        <f>VLOOKUP(C543,'10y swap Vol'!$C$2:$G$3809,5,0)</f>
        <v>124.44254002958202</v>
      </c>
      <c r="F543">
        <f>VLOOKUP(C543,'5y10y Swaption Vol'!temp,3,0)</f>
        <v>107.45030511500001</v>
      </c>
      <c r="H543" s="1">
        <v>40870</v>
      </c>
      <c r="I543" t="s">
        <v>2</v>
      </c>
      <c r="J543">
        <v>2.0833339999999998</v>
      </c>
      <c r="K543">
        <v>-3.8553000000000281E-2</v>
      </c>
      <c r="L543">
        <v>114.13614997697741</v>
      </c>
      <c r="M543">
        <f t="shared" si="8"/>
        <v>-28</v>
      </c>
    </row>
    <row r="544" spans="3:13">
      <c r="C544" s="2">
        <v>40843</v>
      </c>
      <c r="D544">
        <v>133.34400649191733</v>
      </c>
      <c r="E544">
        <f>VLOOKUP(C544,'10y swap Vol'!$C$2:$G$3809,5,0)</f>
        <v>127.13699944680208</v>
      </c>
      <c r="F544">
        <f>VLOOKUP(C544,'5y10y Swaption Vol'!temp,3,0)</f>
        <v>107.08842675</v>
      </c>
      <c r="H544" s="1">
        <v>40872</v>
      </c>
      <c r="I544" t="s">
        <v>2</v>
      </c>
      <c r="J544">
        <v>2.146128</v>
      </c>
      <c r="K544">
        <v>6.2794000000000239E-2</v>
      </c>
      <c r="L544">
        <v>113.71456873046866</v>
      </c>
      <c r="M544">
        <f t="shared" si="8"/>
        <v>-29</v>
      </c>
    </row>
    <row r="545" spans="3:13">
      <c r="C545" s="2">
        <v>40844</v>
      </c>
      <c r="D545">
        <v>134.04729900786589</v>
      </c>
      <c r="E545">
        <f>VLOOKUP(C545,'10y swap Vol'!$C$2:$G$3809,5,0)</f>
        <v>128.78574892718751</v>
      </c>
      <c r="F545">
        <f>VLOOKUP(C545,'5y10y Swaption Vol'!temp,3,0)</f>
        <v>106.918167201</v>
      </c>
      <c r="H545" s="1">
        <v>40875</v>
      </c>
      <c r="I545" t="s">
        <v>2</v>
      </c>
      <c r="J545">
        <v>2.1514679999999999</v>
      </c>
      <c r="K545">
        <v>5.3399999999999004E-3</v>
      </c>
      <c r="L545">
        <v>112.82524263582422</v>
      </c>
      <c r="M545">
        <f t="shared" si="8"/>
        <v>-31</v>
      </c>
    </row>
    <row r="546" spans="3:13">
      <c r="C546" s="2">
        <v>40847</v>
      </c>
      <c r="D546">
        <v>133.33090452113493</v>
      </c>
      <c r="E546">
        <f>VLOOKUP(C546,'10y swap Vol'!$C$2:$G$3809,5,0)</f>
        <v>128.88100944485734</v>
      </c>
      <c r="F546">
        <f>VLOOKUP(C546,'5y10y Swaption Vol'!temp,3,0)</f>
        <v>107.60314455</v>
      </c>
      <c r="H546" s="1">
        <v>40876</v>
      </c>
      <c r="I546" t="s">
        <v>2</v>
      </c>
      <c r="J546">
        <v>2.1700550000000001</v>
      </c>
      <c r="K546">
        <v>1.8587000000000131E-2</v>
      </c>
      <c r="L546">
        <v>112.50436372021477</v>
      </c>
      <c r="M546">
        <f t="shared" si="8"/>
        <v>-29</v>
      </c>
    </row>
    <row r="547" spans="3:13">
      <c r="C547" s="2">
        <v>40848</v>
      </c>
      <c r="D547">
        <v>130.94891981657378</v>
      </c>
      <c r="E547">
        <f>VLOOKUP(C547,'10y swap Vol'!$C$2:$G$3809,5,0)</f>
        <v>129.7893686440421</v>
      </c>
      <c r="F547">
        <f>VLOOKUP(C547,'5y10y Swaption Vol'!temp,3,0)</f>
        <v>110.561764275</v>
      </c>
      <c r="H547" s="1">
        <v>40877</v>
      </c>
      <c r="I547" t="s">
        <v>2</v>
      </c>
      <c r="J547">
        <v>2.2029450000000002</v>
      </c>
      <c r="K547">
        <v>3.2890000000000086E-2</v>
      </c>
      <c r="L547">
        <v>111.81156430231587</v>
      </c>
      <c r="M547">
        <f t="shared" si="8"/>
        <v>-29</v>
      </c>
    </row>
    <row r="548" spans="3:13">
      <c r="C548" s="2">
        <v>40849</v>
      </c>
      <c r="D548">
        <v>128.8728471619996</v>
      </c>
      <c r="E548">
        <f>VLOOKUP(C548,'10y swap Vol'!$C$2:$G$3809,5,0)</f>
        <v>125.83009782507828</v>
      </c>
      <c r="F548">
        <f>VLOOKUP(C548,'5y10y Swaption Vol'!temp,3,0)</f>
        <v>109.12563148300001</v>
      </c>
      <c r="H548" s="1">
        <v>40878</v>
      </c>
      <c r="I548" t="s">
        <v>2</v>
      </c>
      <c r="J548">
        <v>2.2706849999999998</v>
      </c>
      <c r="K548">
        <v>6.7739999999999689E-2</v>
      </c>
      <c r="L548">
        <v>109.30236928945374</v>
      </c>
      <c r="M548">
        <f t="shared" si="8"/>
        <v>-29</v>
      </c>
    </row>
    <row r="549" spans="3:13">
      <c r="C549" s="2">
        <v>40850</v>
      </c>
      <c r="D549">
        <v>124.97359510902967</v>
      </c>
      <c r="E549">
        <f>VLOOKUP(C549,'10y swap Vol'!$C$2:$G$3809,5,0)</f>
        <v>121.3802173023184</v>
      </c>
      <c r="F549">
        <f>VLOOKUP(C549,'5y10y Swaption Vol'!temp,3,0)</f>
        <v>108.55288023</v>
      </c>
      <c r="H549" s="1">
        <v>40879</v>
      </c>
      <c r="I549" t="s">
        <v>2</v>
      </c>
      <c r="J549">
        <v>2.21705</v>
      </c>
      <c r="K549">
        <v>-5.3634999999999877E-2</v>
      </c>
      <c r="L549">
        <v>109.87254602485118</v>
      </c>
      <c r="M549">
        <f t="shared" si="8"/>
        <v>-29</v>
      </c>
    </row>
    <row r="550" spans="3:13">
      <c r="C550" s="2">
        <v>40851</v>
      </c>
      <c r="D550">
        <v>122.48586811510218</v>
      </c>
      <c r="E550">
        <f>VLOOKUP(C550,'10y swap Vol'!$C$2:$G$3809,5,0)</f>
        <v>121.17905050350983</v>
      </c>
      <c r="F550">
        <f>VLOOKUP(C550,'5y10y Swaption Vol'!temp,3,0)</f>
        <v>108.751119858</v>
      </c>
      <c r="H550" s="1">
        <v>40882</v>
      </c>
      <c r="I550" t="s">
        <v>2</v>
      </c>
      <c r="J550">
        <v>2.1976040000000001</v>
      </c>
      <c r="K550">
        <v>-1.9445999999999852E-2</v>
      </c>
      <c r="L550">
        <v>109.61878645378708</v>
      </c>
      <c r="M550">
        <f t="shared" si="8"/>
        <v>-31</v>
      </c>
    </row>
    <row r="551" spans="3:13">
      <c r="C551" s="2">
        <v>40854</v>
      </c>
      <c r="D551">
        <v>118.85557206807501</v>
      </c>
      <c r="E551">
        <f>VLOOKUP(C551,'10y swap Vol'!$C$2:$G$3809,5,0)</f>
        <v>117.91292079761536</v>
      </c>
      <c r="F551">
        <f>VLOOKUP(C551,'5y10y Swaption Vol'!temp,3,0)</f>
        <v>108.970494479</v>
      </c>
      <c r="H551" s="1">
        <v>40883</v>
      </c>
      <c r="I551" t="s">
        <v>2</v>
      </c>
      <c r="J551">
        <v>2.226143</v>
      </c>
      <c r="K551">
        <v>2.853899999999987E-2</v>
      </c>
      <c r="L551">
        <v>109.11193675843739</v>
      </c>
      <c r="M551">
        <f t="shared" si="8"/>
        <v>-29</v>
      </c>
    </row>
    <row r="552" spans="3:13">
      <c r="C552" s="2">
        <v>40855</v>
      </c>
      <c r="D552">
        <v>119.41047711316747</v>
      </c>
      <c r="E552">
        <f>VLOOKUP(C552,'10y swap Vol'!$C$2:$G$3809,5,0)</f>
        <v>117.82162722986176</v>
      </c>
      <c r="F552">
        <f>VLOOKUP(C552,'5y10y Swaption Vol'!temp,3,0)</f>
        <v>108.320326542</v>
      </c>
      <c r="H552" s="1">
        <v>40884</v>
      </c>
      <c r="I552" t="s">
        <v>2</v>
      </c>
      <c r="J552">
        <v>2.1443949999999998</v>
      </c>
      <c r="K552">
        <v>-8.1748000000000154E-2</v>
      </c>
      <c r="L552">
        <v>110.09829541287782</v>
      </c>
      <c r="M552">
        <f t="shared" si="8"/>
        <v>-29</v>
      </c>
    </row>
    <row r="553" spans="3:13">
      <c r="C553" s="2">
        <v>40856</v>
      </c>
      <c r="D553">
        <v>118.99312115326524</v>
      </c>
      <c r="E553">
        <f>VLOOKUP(C553,'10y swap Vol'!$C$2:$G$3809,5,0)</f>
        <v>118.55312674266871</v>
      </c>
      <c r="F553">
        <f>VLOOKUP(C553,'5y10y Swaption Vol'!temp,3,0)</f>
        <v>109.12705518</v>
      </c>
      <c r="H553" s="1">
        <v>40885</v>
      </c>
      <c r="I553" t="s">
        <v>2</v>
      </c>
      <c r="J553">
        <v>2.099653</v>
      </c>
      <c r="K553">
        <v>-4.4741999999999837E-2</v>
      </c>
      <c r="L553">
        <v>110.43458849486902</v>
      </c>
      <c r="M553">
        <f t="shared" si="8"/>
        <v>-29</v>
      </c>
    </row>
    <row r="554" spans="3:13">
      <c r="C554" s="2">
        <v>40857</v>
      </c>
      <c r="D554">
        <v>118.81685089544958</v>
      </c>
      <c r="E554">
        <f>VLOOKUP(C554,'10y swap Vol'!$C$2:$G$3809,5,0)</f>
        <v>118.49550462168601</v>
      </c>
      <c r="F554">
        <f>VLOOKUP(C554,'5y10y Swaption Vol'!temp,3,0)</f>
        <v>109.347536358</v>
      </c>
      <c r="H554" s="1">
        <v>40886</v>
      </c>
      <c r="I554" t="s">
        <v>2</v>
      </c>
      <c r="J554">
        <v>2.1698539999999999</v>
      </c>
      <c r="K554">
        <v>7.0200999999999958E-2</v>
      </c>
      <c r="L554">
        <v>110.7962089041296</v>
      </c>
      <c r="M554">
        <f t="shared" si="8"/>
        <v>-29</v>
      </c>
    </row>
    <row r="555" spans="3:13">
      <c r="C555" s="2">
        <v>40861</v>
      </c>
      <c r="D555">
        <v>118.51881236841804</v>
      </c>
      <c r="E555">
        <f>VLOOKUP(C555,'10y swap Vol'!$C$2:$G$3809,5,0)</f>
        <v>117.74813927792887</v>
      </c>
      <c r="F555">
        <f>VLOOKUP(C555,'5y10y Swaption Vol'!temp,3,0)</f>
        <v>109.327400697</v>
      </c>
      <c r="H555" s="1">
        <v>40889</v>
      </c>
      <c r="I555" t="s">
        <v>2</v>
      </c>
      <c r="J555">
        <v>2.150709</v>
      </c>
      <c r="K555">
        <v>-1.9144999999999968E-2</v>
      </c>
      <c r="L555">
        <v>110.82286373522696</v>
      </c>
      <c r="M555">
        <f t="shared" si="8"/>
        <v>-28</v>
      </c>
    </row>
    <row r="556" spans="3:13">
      <c r="C556" s="2">
        <v>40862</v>
      </c>
      <c r="D556">
        <v>118.58170867424671</v>
      </c>
      <c r="E556">
        <f>VLOOKUP(C556,'10y swap Vol'!$C$2:$G$3809,5,0)</f>
        <v>116.65644971507747</v>
      </c>
      <c r="F556">
        <f>VLOOKUP(C556,'5y10y Swaption Vol'!temp,3,0)</f>
        <v>108.89438944</v>
      </c>
      <c r="H556" s="1">
        <v>40890</v>
      </c>
      <c r="I556" t="s">
        <v>2</v>
      </c>
      <c r="J556">
        <v>2.1052499999999998</v>
      </c>
      <c r="K556">
        <v>-4.5459000000000138E-2</v>
      </c>
      <c r="L556">
        <v>110.70578172620502</v>
      </c>
      <c r="M556">
        <f t="shared" si="8"/>
        <v>-28</v>
      </c>
    </row>
    <row r="557" spans="3:13">
      <c r="C557" s="2">
        <v>40863</v>
      </c>
      <c r="D557">
        <v>118.40745942067255</v>
      </c>
      <c r="E557">
        <f>VLOOKUP(C557,'10y swap Vol'!$C$2:$G$3809,5,0)</f>
        <v>116.80350128048961</v>
      </c>
      <c r="F557">
        <f>VLOOKUP(C557,'5y10y Swaption Vol'!temp,3,0)</f>
        <v>109.24806438</v>
      </c>
      <c r="H557" s="1">
        <v>40891</v>
      </c>
      <c r="I557" t="s">
        <v>2</v>
      </c>
      <c r="J557">
        <v>2.0454400000000001</v>
      </c>
      <c r="K557">
        <v>-5.9809999999999697E-2</v>
      </c>
      <c r="L557">
        <v>111.31936184452252</v>
      </c>
      <c r="M557">
        <f t="shared" si="8"/>
        <v>-28</v>
      </c>
    </row>
    <row r="558" spans="3:13">
      <c r="C558" s="2">
        <v>40864</v>
      </c>
      <c r="D558">
        <v>118.55225384370533</v>
      </c>
      <c r="E558">
        <f>VLOOKUP(C558,'10y swap Vol'!$C$2:$G$3809,5,0)</f>
        <v>117.34165803117679</v>
      </c>
      <c r="F558">
        <f>VLOOKUP(C558,'5y10y Swaption Vol'!temp,3,0)</f>
        <v>109.16498624800001</v>
      </c>
      <c r="H558" s="1">
        <v>40892</v>
      </c>
      <c r="I558" t="s">
        <v>2</v>
      </c>
      <c r="J558">
        <v>2.0707040000000001</v>
      </c>
      <c r="K558">
        <v>2.5263999999999953E-2</v>
      </c>
      <c r="L558">
        <v>108.87858017639694</v>
      </c>
      <c r="M558">
        <f t="shared" si="8"/>
        <v>-28</v>
      </c>
    </row>
    <row r="559" spans="3:13">
      <c r="C559" s="2">
        <v>40865</v>
      </c>
      <c r="D559">
        <v>118.3139428805773</v>
      </c>
      <c r="E559">
        <f>VLOOKUP(C559,'10y swap Vol'!$C$2:$G$3809,5,0)</f>
        <v>116.99093111495158</v>
      </c>
      <c r="F559">
        <f>VLOOKUP(C559,'5y10y Swaption Vol'!temp,3,0)</f>
        <v>109.64847648</v>
      </c>
      <c r="H559" s="1">
        <v>40893</v>
      </c>
      <c r="I559" t="s">
        <v>2</v>
      </c>
      <c r="J559">
        <v>2.0237400000000001</v>
      </c>
      <c r="K559">
        <v>-4.6964000000000006E-2</v>
      </c>
      <c r="L559">
        <v>109.26885119120715</v>
      </c>
      <c r="M559">
        <f t="shared" si="8"/>
        <v>-28</v>
      </c>
    </row>
    <row r="560" spans="3:13">
      <c r="C560" s="2">
        <v>40868</v>
      </c>
      <c r="D560">
        <v>117.99390481646167</v>
      </c>
      <c r="E560">
        <f>VLOOKUP(C560,'10y swap Vol'!$C$2:$G$3809,5,0)</f>
        <v>114.26447559813812</v>
      </c>
      <c r="F560">
        <f>VLOOKUP(C560,'5y10y Swaption Vol'!temp,3,0)</f>
        <v>109.95952593600001</v>
      </c>
      <c r="H560" s="1">
        <v>40896</v>
      </c>
      <c r="I560" t="s">
        <v>2</v>
      </c>
      <c r="J560">
        <v>2.0017559999999999</v>
      </c>
      <c r="K560">
        <v>-2.1984000000000226E-2</v>
      </c>
      <c r="L560">
        <v>108.61576435507804</v>
      </c>
      <c r="M560">
        <f t="shared" si="8"/>
        <v>-28</v>
      </c>
    </row>
    <row r="561" spans="3:13">
      <c r="C561" s="2">
        <v>40869</v>
      </c>
      <c r="D561">
        <v>116.77712423626735</v>
      </c>
      <c r="E561">
        <f>VLOOKUP(C561,'10y swap Vol'!$C$2:$G$3809,5,0)</f>
        <v>114.35769900355197</v>
      </c>
      <c r="F561">
        <f>VLOOKUP(C561,'5y10y Swaption Vol'!temp,3,0)</f>
        <v>110.221318991</v>
      </c>
      <c r="H561" s="1">
        <v>40897</v>
      </c>
      <c r="I561" t="s">
        <v>2</v>
      </c>
      <c r="J561">
        <v>2.0962879999999999</v>
      </c>
      <c r="K561">
        <v>9.453200000000006E-2</v>
      </c>
      <c r="L561">
        <v>103.50474627284316</v>
      </c>
      <c r="M561">
        <f t="shared" si="8"/>
        <v>-28</v>
      </c>
    </row>
    <row r="562" spans="3:13">
      <c r="C562" s="2">
        <v>40870</v>
      </c>
      <c r="D562">
        <v>116.54969272997984</v>
      </c>
      <c r="E562">
        <f>VLOOKUP(C562,'10y swap Vol'!$C$2:$G$3809,5,0)</f>
        <v>114.13614997697741</v>
      </c>
      <c r="F562">
        <f>VLOOKUP(C562,'5y10y Swaption Vol'!temp,3,0)</f>
        <v>110.128525848</v>
      </c>
      <c r="H562" s="1">
        <v>40898</v>
      </c>
      <c r="I562" t="s">
        <v>2</v>
      </c>
      <c r="J562">
        <v>2.1245250000000002</v>
      </c>
      <c r="K562">
        <v>2.823700000000029E-2</v>
      </c>
      <c r="L562">
        <v>102.33037205388453</v>
      </c>
      <c r="M562">
        <f t="shared" si="8"/>
        <v>-28</v>
      </c>
    </row>
    <row r="563" spans="3:13">
      <c r="C563" s="2">
        <v>40872</v>
      </c>
      <c r="D563">
        <v>116.23920117700999</v>
      </c>
      <c r="E563">
        <f>VLOOKUP(C563,'10y swap Vol'!$C$2:$G$3809,5,0)</f>
        <v>113.71456873046866</v>
      </c>
      <c r="F563">
        <f>VLOOKUP(C563,'5y10y Swaption Vol'!temp,3,0)</f>
        <v>109.91915025599999</v>
      </c>
      <c r="H563" s="1">
        <v>40899</v>
      </c>
      <c r="I563" t="s">
        <v>2</v>
      </c>
      <c r="J563">
        <v>2.1076540000000001</v>
      </c>
      <c r="K563">
        <v>-1.687100000000008E-2</v>
      </c>
      <c r="L563">
        <v>100.268378794396</v>
      </c>
      <c r="M563">
        <f t="shared" si="8"/>
        <v>-27</v>
      </c>
    </row>
    <row r="564" spans="3:13">
      <c r="C564" s="2">
        <v>40875</v>
      </c>
      <c r="D564">
        <v>115.30897399713093</v>
      </c>
      <c r="E564">
        <f>VLOOKUP(C564,'10y swap Vol'!$C$2:$G$3809,5,0)</f>
        <v>112.82524263582422</v>
      </c>
      <c r="F564">
        <f>VLOOKUP(C564,'5y10y Swaption Vol'!temp,3,0)</f>
        <v>110.145230247</v>
      </c>
      <c r="H564" s="1">
        <v>40900</v>
      </c>
      <c r="I564" t="s">
        <v>2</v>
      </c>
      <c r="J564">
        <v>2.1919729999999999</v>
      </c>
      <c r="K564">
        <v>8.4318999999999811E-2</v>
      </c>
      <c r="L564">
        <v>99.584303929687124</v>
      </c>
      <c r="M564">
        <f t="shared" si="8"/>
        <v>-25</v>
      </c>
    </row>
    <row r="565" spans="3:13">
      <c r="C565" s="2">
        <v>40876</v>
      </c>
      <c r="D565">
        <v>114.3547791871399</v>
      </c>
      <c r="E565">
        <f>VLOOKUP(C565,'10y swap Vol'!$C$2:$G$3809,5,0)</f>
        <v>112.50436372021477</v>
      </c>
      <c r="F565">
        <f>VLOOKUP(C565,'5y10y Swaption Vol'!temp,3,0)</f>
        <v>109.957882482</v>
      </c>
      <c r="H565" s="1">
        <v>40904</v>
      </c>
      <c r="I565" t="s">
        <v>2</v>
      </c>
      <c r="J565">
        <v>2.1711659999999999</v>
      </c>
      <c r="K565">
        <v>-2.080700000000002E-2</v>
      </c>
      <c r="L565">
        <v>99.640986140423166</v>
      </c>
      <c r="M565">
        <f t="shared" si="8"/>
        <v>-28</v>
      </c>
    </row>
    <row r="566" spans="3:13">
      <c r="C566" s="2">
        <v>40877</v>
      </c>
      <c r="D566">
        <v>113.68218563136307</v>
      </c>
      <c r="E566">
        <f>VLOOKUP(C566,'10y swap Vol'!$C$2:$G$3809,5,0)</f>
        <v>111.81156430231587</v>
      </c>
      <c r="F566">
        <f>VLOOKUP(C566,'5y10y Swaption Vol'!temp,3,0)</f>
        <v>109.4107168</v>
      </c>
      <c r="H566" s="1">
        <v>40905</v>
      </c>
      <c r="I566" t="s">
        <v>2</v>
      </c>
      <c r="J566">
        <v>2.0673499999999998</v>
      </c>
      <c r="K566">
        <v>-0.10381600000000013</v>
      </c>
      <c r="L566">
        <v>101.50568625488698</v>
      </c>
      <c r="M566">
        <f t="shared" si="8"/>
        <v>-28</v>
      </c>
    </row>
    <row r="567" spans="3:13">
      <c r="C567" s="2">
        <v>40878</v>
      </c>
      <c r="D567">
        <v>112.09226379006974</v>
      </c>
      <c r="E567">
        <f>VLOOKUP(C567,'10y swap Vol'!$C$2:$G$3809,5,0)</f>
        <v>109.30236928945374</v>
      </c>
      <c r="F567">
        <f>VLOOKUP(C567,'5y10y Swaption Vol'!temp,3,0)</f>
        <v>108.68079824</v>
      </c>
      <c r="H567" s="1">
        <v>40906</v>
      </c>
      <c r="I567" t="s">
        <v>2</v>
      </c>
      <c r="J567">
        <v>2.0554830000000002</v>
      </c>
      <c r="K567">
        <v>-1.1866999999999628E-2</v>
      </c>
      <c r="L567">
        <v>101.40653181953643</v>
      </c>
      <c r="M567">
        <f t="shared" si="8"/>
        <v>-28</v>
      </c>
    </row>
    <row r="568" spans="3:13">
      <c r="C568" s="2">
        <v>40879</v>
      </c>
      <c r="D568">
        <v>112.88370405555426</v>
      </c>
      <c r="E568">
        <f>VLOOKUP(C568,'10y swap Vol'!$C$2:$G$3809,5,0)</f>
        <v>109.87254602485118</v>
      </c>
      <c r="F568">
        <f>VLOOKUP(C568,'5y10y Swaption Vol'!temp,3,0)</f>
        <v>108.832933454</v>
      </c>
      <c r="H568" s="1">
        <v>40907</v>
      </c>
      <c r="I568" t="s">
        <v>2</v>
      </c>
      <c r="J568">
        <v>2.0364789999999999</v>
      </c>
      <c r="K568">
        <v>-1.9004000000000243E-2</v>
      </c>
      <c r="L568">
        <v>98.942582524834094</v>
      </c>
      <c r="M568">
        <f t="shared" si="8"/>
        <v>-28</v>
      </c>
    </row>
    <row r="569" spans="3:13">
      <c r="C569" s="2">
        <v>40882</v>
      </c>
      <c r="D569">
        <v>112.35273238261327</v>
      </c>
      <c r="E569">
        <f>VLOOKUP(C569,'10y swap Vol'!$C$2:$G$3809,5,0)</f>
        <v>109.61878645378708</v>
      </c>
      <c r="F569">
        <f>VLOOKUP(C569,'5y10y Swaption Vol'!temp,3,0)</f>
        <v>108.661502599</v>
      </c>
      <c r="H569" s="1">
        <v>40911</v>
      </c>
      <c r="I569" t="s">
        <v>2</v>
      </c>
      <c r="J569">
        <v>2.1106769999999999</v>
      </c>
      <c r="K569">
        <v>7.4197999999999986E-2</v>
      </c>
      <c r="L569">
        <v>99.924821127899861</v>
      </c>
      <c r="M569">
        <f t="shared" si="8"/>
        <v>-29</v>
      </c>
    </row>
    <row r="570" spans="3:13">
      <c r="C570" s="2">
        <v>40883</v>
      </c>
      <c r="D570">
        <v>112.24449282077842</v>
      </c>
      <c r="E570">
        <f>VLOOKUP(C570,'10y swap Vol'!$C$2:$G$3809,5,0)</f>
        <v>109.11193675843739</v>
      </c>
      <c r="F570">
        <f>VLOOKUP(C570,'5y10y Swaption Vol'!temp,3,0)</f>
        <v>107.813634533</v>
      </c>
      <c r="H570" s="1">
        <v>40912</v>
      </c>
      <c r="I570" t="s">
        <v>2</v>
      </c>
      <c r="J570">
        <v>2.128085</v>
      </c>
      <c r="K570">
        <v>1.740800000000009E-2</v>
      </c>
      <c r="L570">
        <v>97.499634561664791</v>
      </c>
      <c r="M570">
        <f t="shared" si="8"/>
        <v>-29</v>
      </c>
    </row>
    <row r="571" spans="3:13">
      <c r="C571" s="2">
        <v>40884</v>
      </c>
      <c r="D571">
        <v>112.59362896696878</v>
      </c>
      <c r="E571">
        <f>VLOOKUP(C571,'10y swap Vol'!$C$2:$G$3809,5,0)</f>
        <v>110.09829541287782</v>
      </c>
      <c r="F571">
        <f>VLOOKUP(C571,'5y10y Swaption Vol'!temp,3,0)</f>
        <v>106.81558104</v>
      </c>
      <c r="H571" s="1">
        <v>40913</v>
      </c>
      <c r="I571" t="s">
        <v>2</v>
      </c>
      <c r="J571">
        <v>2.121191</v>
      </c>
      <c r="K571">
        <v>-6.8939999999999557E-3</v>
      </c>
      <c r="L571">
        <v>96.723122124516365</v>
      </c>
      <c r="M571">
        <f t="shared" si="8"/>
        <v>-29</v>
      </c>
    </row>
    <row r="572" spans="3:13">
      <c r="C572" s="2">
        <v>40885</v>
      </c>
      <c r="D572">
        <v>112.26343245228195</v>
      </c>
      <c r="E572">
        <f>VLOOKUP(C572,'10y swap Vol'!$C$2:$G$3809,5,0)</f>
        <v>110.43458849486902</v>
      </c>
      <c r="F572">
        <f>VLOOKUP(C572,'5y10y Swaption Vol'!temp,3,0)</f>
        <v>108.174566595</v>
      </c>
      <c r="H572" s="1">
        <v>40914</v>
      </c>
      <c r="I572" t="s">
        <v>2</v>
      </c>
      <c r="J572">
        <v>2.0948859999999998</v>
      </c>
      <c r="K572">
        <v>-2.6305000000000245E-2</v>
      </c>
      <c r="L572">
        <v>95.651496350573638</v>
      </c>
      <c r="M572">
        <f t="shared" si="8"/>
        <v>-29</v>
      </c>
    </row>
    <row r="573" spans="3:13">
      <c r="C573" s="2">
        <v>40886</v>
      </c>
      <c r="D573">
        <v>113.24096058524074</v>
      </c>
      <c r="E573">
        <f>VLOOKUP(C573,'10y swap Vol'!$C$2:$G$3809,5,0)</f>
        <v>110.7962089041296</v>
      </c>
      <c r="F573">
        <f>VLOOKUP(C573,'5y10y Swaption Vol'!temp,3,0)</f>
        <v>109.085828896</v>
      </c>
      <c r="H573" s="1">
        <v>40917</v>
      </c>
      <c r="I573" t="s">
        <v>2</v>
      </c>
      <c r="J573">
        <v>2.0912999999999999</v>
      </c>
      <c r="K573">
        <v>-3.5859999999998671E-3</v>
      </c>
      <c r="L573">
        <v>94.005236558894069</v>
      </c>
      <c r="M573">
        <f t="shared" si="8"/>
        <v>-31</v>
      </c>
    </row>
    <row r="574" spans="3:13">
      <c r="C574" s="2">
        <v>40889</v>
      </c>
      <c r="D574">
        <v>113.24612766630582</v>
      </c>
      <c r="E574">
        <f>VLOOKUP(C574,'10y swap Vol'!$C$2:$G$3809,5,0)</f>
        <v>110.82286373522696</v>
      </c>
      <c r="F574">
        <f>VLOOKUP(C574,'5y10y Swaption Vol'!temp,3,0)</f>
        <v>109.02354475999999</v>
      </c>
      <c r="H574" s="1">
        <v>40918</v>
      </c>
      <c r="I574" t="s">
        <v>2</v>
      </c>
      <c r="J574">
        <v>2.1095809999999999</v>
      </c>
      <c r="K574">
        <v>1.8280999999999992E-2</v>
      </c>
      <c r="L574">
        <v>93.774838320078729</v>
      </c>
      <c r="M574">
        <f t="shared" si="8"/>
        <v>-29</v>
      </c>
    </row>
    <row r="575" spans="3:13">
      <c r="C575" s="2">
        <v>40890</v>
      </c>
      <c r="D575">
        <v>113.08476021361157</v>
      </c>
      <c r="E575">
        <f>VLOOKUP(C575,'10y swap Vol'!$C$2:$G$3809,5,0)</f>
        <v>110.70578172620502</v>
      </c>
      <c r="F575">
        <f>VLOOKUP(C575,'5y10y Swaption Vol'!temp,3,0)</f>
        <v>108.34515485</v>
      </c>
      <c r="H575" s="1">
        <v>40919</v>
      </c>
      <c r="I575" t="s">
        <v>2</v>
      </c>
      <c r="J575">
        <v>2.0482999999999998</v>
      </c>
      <c r="K575">
        <v>-6.1281000000000141E-2</v>
      </c>
      <c r="L575">
        <v>94.206934522442694</v>
      </c>
      <c r="M575">
        <f t="shared" si="8"/>
        <v>-29</v>
      </c>
    </row>
    <row r="576" spans="3:13">
      <c r="C576" s="2">
        <v>40891</v>
      </c>
      <c r="D576">
        <v>113.96142366937309</v>
      </c>
      <c r="E576">
        <f>VLOOKUP(C576,'10y swap Vol'!$C$2:$G$3809,5,0)</f>
        <v>111.31936184452252</v>
      </c>
      <c r="F576">
        <f>VLOOKUP(C576,'5y10y Swaption Vol'!temp,3,0)</f>
        <v>107.691085852</v>
      </c>
      <c r="H576" s="1">
        <v>40920</v>
      </c>
      <c r="I576" t="s">
        <v>2</v>
      </c>
      <c r="J576">
        <v>2.0640529999999999</v>
      </c>
      <c r="K576">
        <v>1.5753000000000128E-2</v>
      </c>
      <c r="L576">
        <v>92.909840114905208</v>
      </c>
      <c r="M576">
        <f t="shared" si="8"/>
        <v>-29</v>
      </c>
    </row>
    <row r="577" spans="3:13">
      <c r="C577" s="2">
        <v>40892</v>
      </c>
      <c r="D577">
        <v>112.31228870682708</v>
      </c>
      <c r="E577">
        <f>VLOOKUP(C577,'10y swap Vol'!$C$2:$G$3809,5,0)</f>
        <v>108.87858017639694</v>
      </c>
      <c r="F577">
        <f>VLOOKUP(C577,'5y10y Swaption Vol'!temp,3,0)</f>
        <v>106.63726339999999</v>
      </c>
      <c r="H577" s="1">
        <v>40921</v>
      </c>
      <c r="I577" t="s">
        <v>2</v>
      </c>
      <c r="J577">
        <v>2.0000390000000001</v>
      </c>
      <c r="K577">
        <v>-6.4013999999999793E-2</v>
      </c>
      <c r="L577">
        <v>92.875858149417965</v>
      </c>
      <c r="M577">
        <f t="shared" si="8"/>
        <v>-29</v>
      </c>
    </row>
    <row r="578" spans="3:13">
      <c r="C578" s="2">
        <v>40893</v>
      </c>
      <c r="D578">
        <v>112.60347777608723</v>
      </c>
      <c r="E578">
        <f>VLOOKUP(C578,'10y swap Vol'!$C$2:$G$3809,5,0)</f>
        <v>109.26885119120715</v>
      </c>
      <c r="F578">
        <f>VLOOKUP(C578,'5y10y Swaption Vol'!temp,3,0)</f>
        <v>107.076154066</v>
      </c>
      <c r="H578" s="1">
        <v>40925</v>
      </c>
      <c r="I578" t="s">
        <v>2</v>
      </c>
      <c r="J578">
        <v>1.9833259999999999</v>
      </c>
      <c r="K578">
        <v>-1.67130000000002E-2</v>
      </c>
      <c r="L578">
        <v>92.892288142444698</v>
      </c>
      <c r="M578">
        <f t="shared" si="8"/>
        <v>-32</v>
      </c>
    </row>
    <row r="579" spans="3:13">
      <c r="C579" s="2">
        <v>40896</v>
      </c>
      <c r="D579">
        <v>101.45290915722578</v>
      </c>
      <c r="E579">
        <f>VLOOKUP(C579,'10y swap Vol'!$C$2:$G$3809,5,0)</f>
        <v>108.61576435507804</v>
      </c>
      <c r="F579">
        <f>VLOOKUP(C579,'5y10y Swaption Vol'!temp,3,0)</f>
        <v>105.53536738</v>
      </c>
      <c r="H579" s="1">
        <v>40926</v>
      </c>
      <c r="I579" t="s">
        <v>2</v>
      </c>
      <c r="J579">
        <v>2.030157</v>
      </c>
      <c r="K579">
        <v>4.6831000000000067E-2</v>
      </c>
      <c r="L579">
        <v>93.514960680851672</v>
      </c>
      <c r="M579">
        <f t="shared" ref="M579:M642" si="9">C579-H579</f>
        <v>-30</v>
      </c>
    </row>
    <row r="580" spans="3:13">
      <c r="C580" s="2">
        <v>40897</v>
      </c>
      <c r="D580">
        <v>96.580156526044405</v>
      </c>
      <c r="E580">
        <f>VLOOKUP(C580,'10y swap Vol'!$C$2:$G$3809,5,0)</f>
        <v>103.50474627284316</v>
      </c>
      <c r="F580">
        <f>VLOOKUP(C580,'5y10y Swaption Vol'!temp,3,0)</f>
        <v>107.415783432</v>
      </c>
      <c r="H580" s="1">
        <v>40927</v>
      </c>
      <c r="I580" t="s">
        <v>2</v>
      </c>
      <c r="J580">
        <v>2.095046</v>
      </c>
      <c r="K580">
        <v>6.4888999999999974E-2</v>
      </c>
      <c r="L580">
        <v>94.490190215973399</v>
      </c>
      <c r="M580">
        <f t="shared" si="9"/>
        <v>-30</v>
      </c>
    </row>
    <row r="581" spans="3:13">
      <c r="C581" s="2">
        <v>40898</v>
      </c>
      <c r="D581">
        <v>93.393910423080058</v>
      </c>
      <c r="E581">
        <f>VLOOKUP(C581,'10y swap Vol'!$C$2:$G$3809,5,0)</f>
        <v>102.33037205388453</v>
      </c>
      <c r="F581">
        <f>VLOOKUP(C581,'5y10y Swaption Vol'!temp,3,0)</f>
        <v>107.06094230399999</v>
      </c>
      <c r="H581" s="1">
        <v>40928</v>
      </c>
      <c r="I581" t="s">
        <v>2</v>
      </c>
      <c r="J581">
        <v>2.1558000000000002</v>
      </c>
      <c r="K581">
        <v>6.0754000000000197E-2</v>
      </c>
      <c r="L581">
        <v>95.157809832691356</v>
      </c>
      <c r="M581">
        <f t="shared" si="9"/>
        <v>-30</v>
      </c>
    </row>
    <row r="582" spans="3:13">
      <c r="C582" s="2">
        <v>40899</v>
      </c>
      <c r="D582">
        <v>91.542656295910092</v>
      </c>
      <c r="E582">
        <f>VLOOKUP(C582,'10y swap Vol'!$C$2:$G$3809,5,0)</f>
        <v>100.268378794396</v>
      </c>
      <c r="F582">
        <f>VLOOKUP(C582,'5y10y Swaption Vol'!temp,3,0)</f>
        <v>106.651354017</v>
      </c>
      <c r="H582" s="1">
        <v>40931</v>
      </c>
      <c r="I582" t="s">
        <v>2</v>
      </c>
      <c r="J582">
        <v>2.1854490000000002</v>
      </c>
      <c r="K582">
        <v>2.9649000000000036E-2</v>
      </c>
      <c r="L582">
        <v>95.126959077724081</v>
      </c>
      <c r="M582">
        <f t="shared" si="9"/>
        <v>-32</v>
      </c>
    </row>
    <row r="583" spans="3:13">
      <c r="C583" s="2">
        <v>40900</v>
      </c>
      <c r="D583">
        <v>89.429769041959759</v>
      </c>
      <c r="E583">
        <f>VLOOKUP(C583,'10y swap Vol'!$C$2:$G$3809,5,0)</f>
        <v>99.584303929687124</v>
      </c>
      <c r="F583">
        <f>VLOOKUP(C583,'5y10y Swaption Vol'!temp,3,0)</f>
        <v>107.791473504</v>
      </c>
      <c r="H583" s="1">
        <v>40932</v>
      </c>
      <c r="I583" t="s">
        <v>2</v>
      </c>
      <c r="J583">
        <v>2.1676790000000001</v>
      </c>
      <c r="K583">
        <v>-1.7770000000000064E-2</v>
      </c>
      <c r="L583">
        <v>92.547482407722796</v>
      </c>
      <c r="M583">
        <f t="shared" si="9"/>
        <v>-32</v>
      </c>
    </row>
    <row r="584" spans="3:13">
      <c r="C584" s="2">
        <v>40904</v>
      </c>
      <c r="D584">
        <v>89.323103893922735</v>
      </c>
      <c r="E584">
        <f>VLOOKUP(C584,'10y swap Vol'!$C$2:$G$3809,5,0)</f>
        <v>99.640986140423166</v>
      </c>
      <c r="F584">
        <f>VLOOKUP(C584,'5y10y Swaption Vol'!temp,3,0)</f>
        <v>108.198230032</v>
      </c>
      <c r="H584" s="1">
        <v>40933</v>
      </c>
      <c r="I584" t="s">
        <v>2</v>
      </c>
      <c r="J584">
        <v>2.1103869999999998</v>
      </c>
      <c r="K584">
        <v>-5.7292000000000343E-2</v>
      </c>
      <c r="L584">
        <v>92.011826900128909</v>
      </c>
      <c r="M584">
        <f t="shared" si="9"/>
        <v>-29</v>
      </c>
    </row>
    <row r="585" spans="3:13">
      <c r="C585" s="2">
        <v>40905</v>
      </c>
      <c r="D585">
        <v>90.27217029176505</v>
      </c>
      <c r="E585">
        <f>VLOOKUP(C585,'10y swap Vol'!$C$2:$G$3809,5,0)</f>
        <v>101.50568625488698</v>
      </c>
      <c r="F585">
        <f>VLOOKUP(C585,'5y10y Swaption Vol'!temp,3,0)</f>
        <v>107.68804686</v>
      </c>
      <c r="H585" s="1">
        <v>40934</v>
      </c>
      <c r="I585" t="s">
        <v>2</v>
      </c>
      <c r="J585">
        <v>2.034065</v>
      </c>
      <c r="K585">
        <v>-7.6321999999999779E-2</v>
      </c>
      <c r="L585">
        <v>86.386669430610397</v>
      </c>
      <c r="M585">
        <f t="shared" si="9"/>
        <v>-29</v>
      </c>
    </row>
    <row r="586" spans="3:13">
      <c r="C586" s="2">
        <v>40906</v>
      </c>
      <c r="D586">
        <v>89.939377741308377</v>
      </c>
      <c r="E586">
        <f>VLOOKUP(C586,'10y swap Vol'!$C$2:$G$3809,5,0)</f>
        <v>101.40653181953643</v>
      </c>
      <c r="F586">
        <f>VLOOKUP(C586,'5y10y Swaption Vol'!temp,3,0)</f>
        <v>108.01539529</v>
      </c>
      <c r="H586" s="1">
        <v>40935</v>
      </c>
      <c r="I586" t="s">
        <v>2</v>
      </c>
      <c r="J586">
        <v>2.0123639999999998</v>
      </c>
      <c r="K586">
        <v>-2.1701000000000192E-2</v>
      </c>
      <c r="L586">
        <v>83.999021087011883</v>
      </c>
      <c r="M586">
        <f t="shared" si="9"/>
        <v>-29</v>
      </c>
    </row>
    <row r="587" spans="3:13">
      <c r="C587" s="2">
        <v>40907</v>
      </c>
      <c r="D587">
        <v>88.709614632297175</v>
      </c>
      <c r="E587">
        <f>VLOOKUP(C587,'10y swap Vol'!$C$2:$G$3809,5,0)</f>
        <v>98.942582524834094</v>
      </c>
      <c r="F587">
        <f>VLOOKUP(C587,'5y10y Swaption Vol'!temp,3,0)</f>
        <v>106.94812539599999</v>
      </c>
      <c r="H587" s="1">
        <v>40938</v>
      </c>
      <c r="I587" t="s">
        <v>2</v>
      </c>
      <c r="J587">
        <v>1.9596450000000001</v>
      </c>
      <c r="K587">
        <v>-5.2718999999999738E-2</v>
      </c>
      <c r="L587">
        <v>81.374554774012637</v>
      </c>
      <c r="M587">
        <f t="shared" si="9"/>
        <v>-31</v>
      </c>
    </row>
    <row r="588" spans="3:13">
      <c r="C588" s="2">
        <v>40911</v>
      </c>
      <c r="D588">
        <v>87.43030976688236</v>
      </c>
      <c r="E588">
        <f>VLOOKUP(C588,'10y swap Vol'!$C$2:$G$3809,5,0)</f>
        <v>99.924821127899861</v>
      </c>
      <c r="F588">
        <f>VLOOKUP(C588,'5y10y Swaption Vol'!temp,3,0)</f>
        <v>107.49438581</v>
      </c>
      <c r="H588" s="1">
        <v>40939</v>
      </c>
      <c r="I588" t="s">
        <v>2</v>
      </c>
      <c r="J588">
        <v>1.9115420000000001</v>
      </c>
      <c r="K588">
        <v>-4.8103000000000007E-2</v>
      </c>
      <c r="L588">
        <v>75.791642084925002</v>
      </c>
      <c r="M588">
        <f t="shared" si="9"/>
        <v>-28</v>
      </c>
    </row>
    <row r="589" spans="3:13">
      <c r="C589" s="2">
        <v>40912</v>
      </c>
      <c r="D589">
        <v>85.987339264766888</v>
      </c>
      <c r="E589">
        <f>VLOOKUP(C589,'10y swap Vol'!$C$2:$G$3809,5,0)</f>
        <v>97.499634561664791</v>
      </c>
      <c r="F589">
        <f>VLOOKUP(C589,'5y10y Swaption Vol'!temp,3,0)</f>
        <v>106.12042008900001</v>
      </c>
      <c r="H589" s="1">
        <v>40940</v>
      </c>
      <c r="I589" t="s">
        <v>2</v>
      </c>
      <c r="J589">
        <v>1.9397960000000001</v>
      </c>
      <c r="K589">
        <v>2.8254000000000001E-2</v>
      </c>
      <c r="L589">
        <v>76.062981320678105</v>
      </c>
      <c r="M589">
        <f t="shared" si="9"/>
        <v>-28</v>
      </c>
    </row>
    <row r="590" spans="3:13">
      <c r="C590" s="2">
        <v>40913</v>
      </c>
      <c r="D590">
        <v>86.415359035308398</v>
      </c>
      <c r="E590">
        <f>VLOOKUP(C590,'10y swap Vol'!$C$2:$G$3809,5,0)</f>
        <v>96.723122124516365</v>
      </c>
      <c r="F590">
        <f>VLOOKUP(C590,'5y10y Swaption Vol'!temp,3,0)</f>
        <v>105.760910673</v>
      </c>
      <c r="H590" s="1">
        <v>40941</v>
      </c>
      <c r="I590" t="s">
        <v>2</v>
      </c>
      <c r="J590">
        <v>1.927897</v>
      </c>
      <c r="K590">
        <v>-1.1899000000000104E-2</v>
      </c>
      <c r="L590">
        <v>75.141017922048263</v>
      </c>
      <c r="M590">
        <f t="shared" si="9"/>
        <v>-28</v>
      </c>
    </row>
    <row r="591" spans="3:13">
      <c r="C591" s="2">
        <v>40914</v>
      </c>
      <c r="D591">
        <v>84.346396133818061</v>
      </c>
      <c r="E591">
        <f>VLOOKUP(C591,'10y swap Vol'!$C$2:$G$3809,5,0)</f>
        <v>95.651496350573638</v>
      </c>
      <c r="F591">
        <f>VLOOKUP(C591,'5y10y Swaption Vol'!temp,3,0)</f>
        <v>104.74488261899999</v>
      </c>
      <c r="H591" s="1">
        <v>40942</v>
      </c>
      <c r="I591" t="s">
        <v>2</v>
      </c>
      <c r="J591">
        <v>2.057029</v>
      </c>
      <c r="K591">
        <v>0.12913200000000002</v>
      </c>
      <c r="L591">
        <v>79.868524075932427</v>
      </c>
      <c r="M591">
        <f t="shared" si="9"/>
        <v>-28</v>
      </c>
    </row>
    <row r="592" spans="3:13">
      <c r="C592" s="2">
        <v>40917</v>
      </c>
      <c r="D592">
        <v>84.082469508433292</v>
      </c>
      <c r="E592">
        <f>VLOOKUP(C592,'10y swap Vol'!$C$2:$G$3809,5,0)</f>
        <v>94.005236558894069</v>
      </c>
      <c r="F592">
        <f>VLOOKUP(C592,'5y10y Swaption Vol'!temp,3,0)</f>
        <v>103.28523183999999</v>
      </c>
      <c r="H592" s="1">
        <v>40945</v>
      </c>
      <c r="I592" t="s">
        <v>2</v>
      </c>
      <c r="J592">
        <v>2.0089700000000001</v>
      </c>
      <c r="K592">
        <v>-4.8058999999999852E-2</v>
      </c>
      <c r="L592">
        <v>79.901334552623439</v>
      </c>
      <c r="M592">
        <f t="shared" si="9"/>
        <v>-28</v>
      </c>
    </row>
    <row r="593" spans="3:13">
      <c r="C593" s="2">
        <v>40918</v>
      </c>
      <c r="D593">
        <v>84.492418950519834</v>
      </c>
      <c r="E593">
        <f>VLOOKUP(C593,'10y swap Vol'!$C$2:$G$3809,5,0)</f>
        <v>93.774838320078729</v>
      </c>
      <c r="F593">
        <f>VLOOKUP(C593,'5y10y Swaption Vol'!temp,3,0)</f>
        <v>103.94068828</v>
      </c>
      <c r="H593" s="1">
        <v>40946</v>
      </c>
      <c r="I593" t="s">
        <v>2</v>
      </c>
      <c r="J593">
        <v>2.0764209999999999</v>
      </c>
      <c r="K593">
        <v>6.7450999999999706E-2</v>
      </c>
      <c r="L593">
        <v>79.920464800363078</v>
      </c>
      <c r="M593">
        <f t="shared" si="9"/>
        <v>-28</v>
      </c>
    </row>
    <row r="594" spans="3:13">
      <c r="C594" s="2">
        <v>40919</v>
      </c>
      <c r="D594">
        <v>84.52989160224972</v>
      </c>
      <c r="E594">
        <f>VLOOKUP(C594,'10y swap Vol'!$C$2:$G$3809,5,0)</f>
        <v>94.206934522442694</v>
      </c>
      <c r="F594">
        <f>VLOOKUP(C594,'5y10y Swaption Vol'!temp,3,0)</f>
        <v>103.131240758</v>
      </c>
      <c r="H594" s="1">
        <v>40947</v>
      </c>
      <c r="I594" t="s">
        <v>2</v>
      </c>
      <c r="J594">
        <v>2.0894919999999999</v>
      </c>
      <c r="K594">
        <v>1.3071000000000055E-2</v>
      </c>
      <c r="L594">
        <v>78.603760972504361</v>
      </c>
      <c r="M594">
        <f t="shared" si="9"/>
        <v>-28</v>
      </c>
    </row>
    <row r="595" spans="3:13">
      <c r="C595" s="2">
        <v>40920</v>
      </c>
      <c r="D595">
        <v>83.58856279837164</v>
      </c>
      <c r="E595">
        <f>VLOOKUP(C595,'10y swap Vol'!$C$2:$G$3809,5,0)</f>
        <v>92.909840114905208</v>
      </c>
      <c r="F595">
        <f>VLOOKUP(C595,'5y10y Swaption Vol'!temp,3,0)</f>
        <v>103.75468739999999</v>
      </c>
      <c r="H595" s="1">
        <v>40948</v>
      </c>
      <c r="I595" t="s">
        <v>2</v>
      </c>
      <c r="J595">
        <v>2.1223019999999999</v>
      </c>
      <c r="K595">
        <v>3.2810000000000006E-2</v>
      </c>
      <c r="L595">
        <v>77.46810661688059</v>
      </c>
      <c r="M595">
        <f t="shared" si="9"/>
        <v>-28</v>
      </c>
    </row>
    <row r="596" spans="3:13">
      <c r="C596" s="2">
        <v>40921</v>
      </c>
      <c r="D596">
        <v>82.92766173707102</v>
      </c>
      <c r="E596">
        <f>VLOOKUP(C596,'10y swap Vol'!$C$2:$G$3809,5,0)</f>
        <v>92.875858149417965</v>
      </c>
      <c r="F596">
        <f>VLOOKUP(C596,'5y10y Swaption Vol'!temp,3,0)</f>
        <v>103.042189576</v>
      </c>
      <c r="H596" s="1">
        <v>40949</v>
      </c>
      <c r="I596" t="s">
        <v>2</v>
      </c>
      <c r="J596">
        <v>2.046386</v>
      </c>
      <c r="K596">
        <v>-7.5915999999999872E-2</v>
      </c>
      <c r="L596">
        <v>78.879439855862159</v>
      </c>
      <c r="M596">
        <f t="shared" si="9"/>
        <v>-28</v>
      </c>
    </row>
    <row r="597" spans="3:13">
      <c r="C597" s="2">
        <v>40925</v>
      </c>
      <c r="D597">
        <v>83.665189901108391</v>
      </c>
      <c r="E597">
        <f>VLOOKUP(C597,'10y swap Vol'!$C$2:$G$3809,5,0)</f>
        <v>92.892288142444698</v>
      </c>
      <c r="F597">
        <f>VLOOKUP(C597,'5y10y Swaption Vol'!temp,3,0)</f>
        <v>103.340909673</v>
      </c>
      <c r="H597" s="1">
        <v>40952</v>
      </c>
      <c r="I597" t="s">
        <v>2</v>
      </c>
      <c r="J597">
        <v>2.0706959999999999</v>
      </c>
      <c r="K597">
        <v>2.4309999999999832E-2</v>
      </c>
      <c r="L597">
        <v>79.0030681847159</v>
      </c>
      <c r="M597">
        <f t="shared" si="9"/>
        <v>-27</v>
      </c>
    </row>
    <row r="598" spans="3:13">
      <c r="C598" s="2">
        <v>40926</v>
      </c>
      <c r="D598">
        <v>84.172322451330231</v>
      </c>
      <c r="E598">
        <f>VLOOKUP(C598,'10y swap Vol'!$C$2:$G$3809,5,0)</f>
        <v>93.514960680851672</v>
      </c>
      <c r="F598">
        <f>VLOOKUP(C598,'5y10y Swaption Vol'!temp,3,0)</f>
        <v>103.015152493</v>
      </c>
      <c r="H598" s="1">
        <v>40953</v>
      </c>
      <c r="I598" t="s">
        <v>2</v>
      </c>
      <c r="J598">
        <v>2.0043880000000001</v>
      </c>
      <c r="K598">
        <v>-6.6307999999999812E-2</v>
      </c>
      <c r="L598">
        <v>79.896562169430311</v>
      </c>
      <c r="M598">
        <f t="shared" si="9"/>
        <v>-27</v>
      </c>
    </row>
    <row r="599" spans="3:13">
      <c r="C599" s="2">
        <v>40927</v>
      </c>
      <c r="D599">
        <v>85.084982227616266</v>
      </c>
      <c r="E599">
        <f>VLOOKUP(C599,'10y swap Vol'!$C$2:$G$3809,5,0)</f>
        <v>94.490190215973399</v>
      </c>
      <c r="F599">
        <f>VLOOKUP(C599,'5y10y Swaption Vol'!temp,3,0)</f>
        <v>103.70136898</v>
      </c>
      <c r="H599" s="1">
        <v>40954</v>
      </c>
      <c r="I599" t="s">
        <v>2</v>
      </c>
      <c r="J599">
        <v>2.006119</v>
      </c>
      <c r="K599">
        <v>1.730999999999927E-3</v>
      </c>
      <c r="L599">
        <v>78.764699429756504</v>
      </c>
      <c r="M599">
        <f t="shared" si="9"/>
        <v>-27</v>
      </c>
    </row>
    <row r="600" spans="3:13">
      <c r="C600" s="2">
        <v>40928</v>
      </c>
      <c r="D600">
        <v>85.136486707462538</v>
      </c>
      <c r="E600">
        <f>VLOOKUP(C600,'10y swap Vol'!$C$2:$G$3809,5,0)</f>
        <v>95.157809832691356</v>
      </c>
      <c r="F600">
        <f>VLOOKUP(C600,'5y10y Swaption Vol'!temp,3,0)</f>
        <v>103.83280193</v>
      </c>
      <c r="H600" s="1">
        <v>40955</v>
      </c>
      <c r="I600" t="s">
        <v>2</v>
      </c>
      <c r="J600">
        <v>2.0637989999999999</v>
      </c>
      <c r="K600">
        <v>5.7679999999999954E-2</v>
      </c>
      <c r="L600">
        <v>79.576654236441087</v>
      </c>
      <c r="M600">
        <f t="shared" si="9"/>
        <v>-27</v>
      </c>
    </row>
    <row r="601" spans="3:13">
      <c r="C601" s="2">
        <v>40931</v>
      </c>
      <c r="D601">
        <v>84.757913292903098</v>
      </c>
      <c r="E601">
        <f>VLOOKUP(C601,'10y swap Vol'!$C$2:$G$3809,5,0)</f>
        <v>95.126959077724081</v>
      </c>
      <c r="F601">
        <f>VLOOKUP(C601,'5y10y Swaption Vol'!temp,3,0)</f>
        <v>103.76328645700001</v>
      </c>
      <c r="H601" s="1">
        <v>40956</v>
      </c>
      <c r="I601" t="s">
        <v>2</v>
      </c>
      <c r="J601">
        <v>2.0817359999999998</v>
      </c>
      <c r="K601">
        <v>1.793699999999987E-2</v>
      </c>
      <c r="L601">
        <v>79.550497506189998</v>
      </c>
      <c r="M601">
        <f t="shared" si="9"/>
        <v>-25</v>
      </c>
    </row>
    <row r="602" spans="3:13">
      <c r="C602" s="2">
        <v>40932</v>
      </c>
      <c r="D602">
        <v>82.578247505788411</v>
      </c>
      <c r="E602">
        <f>VLOOKUP(C602,'10y swap Vol'!$C$2:$G$3809,5,0)</f>
        <v>92.547482407722796</v>
      </c>
      <c r="F602">
        <f>VLOOKUP(C602,'5y10y Swaption Vol'!temp,3,0)</f>
        <v>103.251470328</v>
      </c>
      <c r="H602" s="1">
        <v>40960</v>
      </c>
      <c r="I602" t="s">
        <v>2</v>
      </c>
      <c r="J602">
        <v>2.1347459999999998</v>
      </c>
      <c r="K602">
        <v>5.3010000000000002E-2</v>
      </c>
      <c r="L602">
        <v>80.122351898117245</v>
      </c>
      <c r="M602">
        <f t="shared" si="9"/>
        <v>-28</v>
      </c>
    </row>
    <row r="603" spans="3:13">
      <c r="C603" s="2">
        <v>40933</v>
      </c>
      <c r="D603">
        <v>82.163020750436175</v>
      </c>
      <c r="E603">
        <f>VLOOKUP(C603,'10y swap Vol'!$C$2:$G$3809,5,0)</f>
        <v>92.011826900128909</v>
      </c>
      <c r="F603">
        <f>VLOOKUP(C603,'5y10y Swaption Vol'!temp,3,0)</f>
        <v>102.16642423499999</v>
      </c>
      <c r="H603" s="1">
        <v>40961</v>
      </c>
      <c r="I603" t="s">
        <v>2</v>
      </c>
      <c r="J603">
        <v>2.0902090000000002</v>
      </c>
      <c r="K603">
        <v>-4.4536999999999605E-2</v>
      </c>
      <c r="L603">
        <v>80.254239223947181</v>
      </c>
      <c r="M603">
        <f t="shared" si="9"/>
        <v>-28</v>
      </c>
    </row>
    <row r="604" spans="3:13">
      <c r="C604" s="2">
        <v>40934</v>
      </c>
      <c r="D604">
        <v>78.617944771611661</v>
      </c>
      <c r="E604">
        <f>VLOOKUP(C604,'10y swap Vol'!$C$2:$G$3809,5,0)</f>
        <v>86.386669430610397</v>
      </c>
      <c r="F604">
        <f>VLOOKUP(C604,'5y10y Swaption Vol'!temp,3,0)</f>
        <v>100.309579602</v>
      </c>
      <c r="H604" s="1">
        <v>40962</v>
      </c>
      <c r="I604" t="s">
        <v>2</v>
      </c>
      <c r="J604">
        <v>2.0774050000000002</v>
      </c>
      <c r="K604">
        <v>-1.2804000000000038E-2</v>
      </c>
      <c r="L604">
        <v>79.229462483010366</v>
      </c>
      <c r="M604">
        <f t="shared" si="9"/>
        <v>-28</v>
      </c>
    </row>
    <row r="605" spans="3:13">
      <c r="C605" s="2">
        <v>40935</v>
      </c>
      <c r="D605">
        <v>77.424362761764016</v>
      </c>
      <c r="E605">
        <f>VLOOKUP(C605,'10y swap Vol'!$C$2:$G$3809,5,0)</f>
        <v>83.999021087011883</v>
      </c>
      <c r="F605">
        <f>VLOOKUP(C605,'5y10y Swaption Vol'!temp,3,0)</f>
        <v>100.454829047</v>
      </c>
      <c r="H605" s="1">
        <v>40963</v>
      </c>
      <c r="I605" t="s">
        <v>2</v>
      </c>
      <c r="J605">
        <v>2.0788509999999998</v>
      </c>
      <c r="K605">
        <v>1.4459999999996143E-3</v>
      </c>
      <c r="L605">
        <v>79.219942882753614</v>
      </c>
      <c r="M605">
        <f t="shared" si="9"/>
        <v>-28</v>
      </c>
    </row>
    <row r="606" spans="3:13">
      <c r="C606" s="2">
        <v>40938</v>
      </c>
      <c r="D606">
        <v>74.641109191564396</v>
      </c>
      <c r="E606">
        <f>VLOOKUP(C606,'10y swap Vol'!$C$2:$G$3809,5,0)</f>
        <v>81.374554774012637</v>
      </c>
      <c r="F606">
        <f>VLOOKUP(C606,'5y10y Swaption Vol'!temp,3,0)</f>
        <v>100.575841102</v>
      </c>
      <c r="H606" s="1">
        <v>40966</v>
      </c>
      <c r="I606" t="s">
        <v>2</v>
      </c>
      <c r="J606">
        <v>2.023129</v>
      </c>
      <c r="K606">
        <v>-5.5721999999999827E-2</v>
      </c>
      <c r="L606">
        <v>79.88244250272119</v>
      </c>
      <c r="M606">
        <f t="shared" si="9"/>
        <v>-28</v>
      </c>
    </row>
    <row r="607" spans="3:13">
      <c r="C607" s="2">
        <v>40939</v>
      </c>
      <c r="D607">
        <v>70.854552905589514</v>
      </c>
      <c r="E607">
        <f>VLOOKUP(C607,'10y swap Vol'!$C$2:$G$3809,5,0)</f>
        <v>75.791642084925002</v>
      </c>
      <c r="F607">
        <f>VLOOKUP(C607,'5y10y Swaption Vol'!temp,3,0)</f>
        <v>101.00779326</v>
      </c>
      <c r="H607" s="1">
        <v>40967</v>
      </c>
      <c r="I607" t="s">
        <v>2</v>
      </c>
      <c r="J607">
        <v>2.0250569999999999</v>
      </c>
      <c r="K607">
        <v>1.9279999999999298E-3</v>
      </c>
      <c r="L607">
        <v>79.551384968501793</v>
      </c>
      <c r="M607">
        <f t="shared" si="9"/>
        <v>-28</v>
      </c>
    </row>
    <row r="608" spans="3:13">
      <c r="C608" s="2">
        <v>40940</v>
      </c>
      <c r="D608">
        <v>70.755870518322482</v>
      </c>
      <c r="E608">
        <f>VLOOKUP(C608,'10y swap Vol'!$C$2:$G$3809,5,0)</f>
        <v>76.062981320678105</v>
      </c>
      <c r="F608">
        <f>VLOOKUP(C608,'5y10y Swaption Vol'!temp,3,0)</f>
        <v>101.40928860699999</v>
      </c>
      <c r="H608" s="1">
        <v>40968</v>
      </c>
      <c r="I608" t="s">
        <v>2</v>
      </c>
      <c r="J608">
        <v>2.0651670000000002</v>
      </c>
      <c r="K608">
        <v>4.0110000000000312E-2</v>
      </c>
      <c r="L608">
        <v>78.706256429378698</v>
      </c>
      <c r="M608">
        <f t="shared" si="9"/>
        <v>-28</v>
      </c>
    </row>
    <row r="609" spans="3:13">
      <c r="C609" s="2">
        <v>40941</v>
      </c>
      <c r="D609">
        <v>70.643359798059009</v>
      </c>
      <c r="E609">
        <f>VLOOKUP(C609,'10y swap Vol'!$C$2:$G$3809,5,0)</f>
        <v>75.141017922048263</v>
      </c>
      <c r="F609">
        <f>VLOOKUP(C609,'5y10y Swaption Vol'!temp,3,0)</f>
        <v>101.63824365399999</v>
      </c>
      <c r="H609" s="1">
        <v>40969</v>
      </c>
      <c r="I609" t="s">
        <v>2</v>
      </c>
      <c r="J609">
        <v>2.1175320000000002</v>
      </c>
      <c r="K609">
        <v>5.2364999999999995E-2</v>
      </c>
      <c r="L609">
        <v>78.81500605632273</v>
      </c>
      <c r="M609">
        <f t="shared" si="9"/>
        <v>-28</v>
      </c>
    </row>
    <row r="610" spans="3:13">
      <c r="C610" s="2">
        <v>40942</v>
      </c>
      <c r="D610">
        <v>73.275064378748709</v>
      </c>
      <c r="E610">
        <f>VLOOKUP(C610,'10y swap Vol'!$C$2:$G$3809,5,0)</f>
        <v>79.868524075932427</v>
      </c>
      <c r="F610">
        <f>VLOOKUP(C610,'5y10y Swaption Vol'!temp,3,0)</f>
        <v>102.17253657800001</v>
      </c>
      <c r="H610" s="1">
        <v>40970</v>
      </c>
      <c r="I610" t="s">
        <v>2</v>
      </c>
      <c r="J610">
        <v>2.0682390000000002</v>
      </c>
      <c r="K610">
        <v>-4.9293000000000031E-2</v>
      </c>
      <c r="L610">
        <v>79.334199062397872</v>
      </c>
      <c r="M610">
        <f t="shared" si="9"/>
        <v>-28</v>
      </c>
    </row>
    <row r="611" spans="3:13">
      <c r="C611" s="2">
        <v>40945</v>
      </c>
      <c r="D611">
        <v>73.632389007595279</v>
      </c>
      <c r="E611">
        <f>VLOOKUP(C611,'10y swap Vol'!$C$2:$G$3809,5,0)</f>
        <v>79.901334552623439</v>
      </c>
      <c r="F611">
        <f>VLOOKUP(C611,'5y10y Swaption Vol'!temp,3,0)</f>
        <v>101.429063554</v>
      </c>
      <c r="H611" s="1">
        <v>40973</v>
      </c>
      <c r="I611" t="s">
        <v>2</v>
      </c>
      <c r="J611">
        <v>2.0819969999999999</v>
      </c>
      <c r="K611">
        <v>1.3757999999999715E-2</v>
      </c>
      <c r="L611">
        <v>79.149029655800589</v>
      </c>
      <c r="M611">
        <f t="shared" si="9"/>
        <v>-28</v>
      </c>
    </row>
    <row r="612" spans="3:13">
      <c r="C612" s="2">
        <v>40946</v>
      </c>
      <c r="D612">
        <v>72.111103599723648</v>
      </c>
      <c r="E612">
        <f>VLOOKUP(C612,'10y swap Vol'!$C$2:$G$3809,5,0)</f>
        <v>79.920464800363078</v>
      </c>
      <c r="F612">
        <f>VLOOKUP(C612,'5y10y Swaption Vol'!temp,3,0)</f>
        <v>101.622819335</v>
      </c>
      <c r="H612" s="1">
        <v>40974</v>
      </c>
      <c r="I612" t="s">
        <v>2</v>
      </c>
      <c r="J612">
        <v>2.0297320000000001</v>
      </c>
      <c r="K612">
        <v>-5.2264999999999784E-2</v>
      </c>
      <c r="L612">
        <v>78.1187424837305</v>
      </c>
      <c r="M612">
        <f t="shared" si="9"/>
        <v>-28</v>
      </c>
    </row>
    <row r="613" spans="3:13">
      <c r="C613" s="2">
        <v>40947</v>
      </c>
      <c r="D613">
        <v>71.665134259691371</v>
      </c>
      <c r="E613">
        <f>VLOOKUP(C613,'10y swap Vol'!$C$2:$G$3809,5,0)</f>
        <v>78.603760972504361</v>
      </c>
      <c r="F613">
        <f>VLOOKUP(C613,'5y10y Swaption Vol'!temp,3,0)</f>
        <v>101.808938088</v>
      </c>
      <c r="H613" s="1">
        <v>40975</v>
      </c>
      <c r="I613" t="s">
        <v>2</v>
      </c>
      <c r="J613">
        <v>2.0531730000000001</v>
      </c>
      <c r="K613">
        <v>2.3441000000000045E-2</v>
      </c>
      <c r="L613">
        <v>77.773750860126981</v>
      </c>
      <c r="M613">
        <f t="shared" si="9"/>
        <v>-28</v>
      </c>
    </row>
    <row r="614" spans="3:13">
      <c r="C614" s="2">
        <v>40948</v>
      </c>
      <c r="D614">
        <v>72.649638396051003</v>
      </c>
      <c r="E614">
        <f>VLOOKUP(C614,'10y swap Vol'!$C$2:$G$3809,5,0)</f>
        <v>77.46810661688059</v>
      </c>
      <c r="F614">
        <f>VLOOKUP(C614,'5y10y Swaption Vol'!temp,3,0)</f>
        <v>102.04631523800001</v>
      </c>
      <c r="H614" s="1">
        <v>40976</v>
      </c>
      <c r="I614" t="s">
        <v>2</v>
      </c>
      <c r="J614">
        <v>2.0941770000000002</v>
      </c>
      <c r="K614">
        <v>4.100400000000004E-2</v>
      </c>
      <c r="L614">
        <v>76.867802323149675</v>
      </c>
      <c r="M614">
        <f t="shared" si="9"/>
        <v>-28</v>
      </c>
    </row>
    <row r="615" spans="3:13">
      <c r="C615" s="2">
        <v>40949</v>
      </c>
      <c r="D615">
        <v>72.909445006613723</v>
      </c>
      <c r="E615">
        <f>VLOOKUP(C615,'10y swap Vol'!$C$2:$G$3809,5,0)</f>
        <v>78.879439855862159</v>
      </c>
      <c r="F615">
        <f>VLOOKUP(C615,'5y10y Swaption Vol'!temp,3,0)</f>
        <v>102.43740042899999</v>
      </c>
      <c r="H615" s="1">
        <v>40977</v>
      </c>
      <c r="I615" t="s">
        <v>2</v>
      </c>
      <c r="J615">
        <v>2.1147339999999999</v>
      </c>
      <c r="K615">
        <v>2.0556999999999714E-2</v>
      </c>
      <c r="L615">
        <v>76.903608099708336</v>
      </c>
      <c r="M615">
        <f t="shared" si="9"/>
        <v>-28</v>
      </c>
    </row>
    <row r="616" spans="3:13">
      <c r="C616" s="2">
        <v>40952</v>
      </c>
      <c r="D616">
        <v>72.661228563996644</v>
      </c>
      <c r="E616">
        <f>VLOOKUP(C616,'10y swap Vol'!$C$2:$G$3809,5,0)</f>
        <v>79.0030681847159</v>
      </c>
      <c r="F616">
        <f>VLOOKUP(C616,'5y10y Swaption Vol'!temp,3,0)</f>
        <v>103.96210087999999</v>
      </c>
      <c r="H616" s="1">
        <v>40980</v>
      </c>
      <c r="I616" t="s">
        <v>2</v>
      </c>
      <c r="J616">
        <v>2.099936</v>
      </c>
      <c r="K616">
        <v>-1.4797999999999867E-2</v>
      </c>
      <c r="L616">
        <v>76.398778731901089</v>
      </c>
      <c r="M616">
        <f t="shared" si="9"/>
        <v>-28</v>
      </c>
    </row>
    <row r="617" spans="3:13">
      <c r="C617" s="2">
        <v>40953</v>
      </c>
      <c r="D617">
        <v>73.182013959433732</v>
      </c>
      <c r="E617">
        <f>VLOOKUP(C617,'10y swap Vol'!$C$2:$G$3809,5,0)</f>
        <v>79.896562169430311</v>
      </c>
      <c r="F617">
        <f>VLOOKUP(C617,'5y10y Swaption Vol'!temp,3,0)</f>
        <v>103.125953112</v>
      </c>
      <c r="H617" s="1">
        <v>40981</v>
      </c>
      <c r="I617" t="s">
        <v>2</v>
      </c>
      <c r="J617">
        <v>2.1771419999999999</v>
      </c>
      <c r="K617">
        <v>7.7205999999999886E-2</v>
      </c>
      <c r="L617">
        <v>76.977534347590392</v>
      </c>
      <c r="M617">
        <f t="shared" si="9"/>
        <v>-28</v>
      </c>
    </row>
    <row r="618" spans="3:13">
      <c r="C618" s="2">
        <v>40954</v>
      </c>
      <c r="D618">
        <v>73.04750003572417</v>
      </c>
      <c r="E618">
        <f>VLOOKUP(C618,'10y swap Vol'!$C$2:$G$3809,5,0)</f>
        <v>78.764699429756504</v>
      </c>
      <c r="F618">
        <f>VLOOKUP(C618,'5y10y Swaption Vol'!temp,3,0)</f>
        <v>102.393790771</v>
      </c>
      <c r="H618" s="1">
        <v>40982</v>
      </c>
      <c r="I618" t="s">
        <v>2</v>
      </c>
      <c r="J618">
        <v>2.3266779999999998</v>
      </c>
      <c r="K618">
        <v>0.14953599999999989</v>
      </c>
      <c r="L618">
        <v>82.534675253396443</v>
      </c>
      <c r="M618">
        <f t="shared" si="9"/>
        <v>-28</v>
      </c>
    </row>
    <row r="619" spans="3:13">
      <c r="C619" s="2">
        <v>40955</v>
      </c>
      <c r="D619">
        <v>73.041904391371204</v>
      </c>
      <c r="E619">
        <f>VLOOKUP(C619,'10y swap Vol'!$C$2:$G$3809,5,0)</f>
        <v>79.576654236441087</v>
      </c>
      <c r="F619">
        <f>VLOOKUP(C619,'5y10y Swaption Vol'!temp,3,0)</f>
        <v>102.41069780700001</v>
      </c>
      <c r="H619" s="1">
        <v>40983</v>
      </c>
      <c r="I619" t="s">
        <v>2</v>
      </c>
      <c r="J619">
        <v>2.3401100000000001</v>
      </c>
      <c r="K619">
        <v>1.3432000000000333E-2</v>
      </c>
      <c r="L619">
        <v>81.864199681062658</v>
      </c>
      <c r="M619">
        <f t="shared" si="9"/>
        <v>-28</v>
      </c>
    </row>
    <row r="620" spans="3:13">
      <c r="C620" s="2">
        <v>40956</v>
      </c>
      <c r="D620">
        <v>73.286811074120479</v>
      </c>
      <c r="E620">
        <f>VLOOKUP(C620,'10y swap Vol'!$C$2:$G$3809,5,0)</f>
        <v>79.550497506189998</v>
      </c>
      <c r="F620">
        <f>VLOOKUP(C620,'5y10y Swaption Vol'!temp,3,0)</f>
        <v>102.31843870100001</v>
      </c>
      <c r="H620" s="1">
        <v>40984</v>
      </c>
      <c r="I620" t="s">
        <v>2</v>
      </c>
      <c r="J620">
        <v>2.353497</v>
      </c>
      <c r="K620">
        <v>1.3386999999999816E-2</v>
      </c>
      <c r="L620">
        <v>81.683371389746966</v>
      </c>
      <c r="M620">
        <f t="shared" si="9"/>
        <v>-28</v>
      </c>
    </row>
    <row r="621" spans="3:13">
      <c r="C621" s="2">
        <v>40960</v>
      </c>
      <c r="D621">
        <v>74.06773337591747</v>
      </c>
      <c r="E621">
        <f>VLOOKUP(C621,'10y swap Vol'!$C$2:$G$3809,5,0)</f>
        <v>80.122351898117245</v>
      </c>
      <c r="F621">
        <f>VLOOKUP(C621,'5y10y Swaption Vol'!temp,3,0)</f>
        <v>102.422808053</v>
      </c>
      <c r="H621" s="1">
        <v>40987</v>
      </c>
      <c r="I621" t="s">
        <v>2</v>
      </c>
      <c r="J621">
        <v>2.4502640000000002</v>
      </c>
      <c r="K621">
        <v>9.6767000000000269E-2</v>
      </c>
      <c r="L621">
        <v>81.787382454939248</v>
      </c>
      <c r="M621">
        <f t="shared" si="9"/>
        <v>-27</v>
      </c>
    </row>
    <row r="622" spans="3:13">
      <c r="C622" s="2">
        <v>40961</v>
      </c>
      <c r="D622">
        <v>74.66094943565416</v>
      </c>
      <c r="E622">
        <f>VLOOKUP(C622,'10y swap Vol'!$C$2:$G$3809,5,0)</f>
        <v>80.254239223947181</v>
      </c>
      <c r="F622">
        <f>VLOOKUP(C622,'5y10y Swaption Vol'!temp,3,0)</f>
        <v>102.715655936</v>
      </c>
      <c r="H622" s="1">
        <v>40988</v>
      </c>
      <c r="I622" t="s">
        <v>2</v>
      </c>
      <c r="J622">
        <v>2.4549379999999998</v>
      </c>
      <c r="K622">
        <v>4.6739999999996229E-3</v>
      </c>
      <c r="L622">
        <v>81.656017089202749</v>
      </c>
      <c r="M622">
        <f t="shared" si="9"/>
        <v>-27</v>
      </c>
    </row>
    <row r="623" spans="3:13">
      <c r="C623" s="2">
        <v>40962</v>
      </c>
      <c r="D623">
        <v>72.994751809002821</v>
      </c>
      <c r="E623">
        <f>VLOOKUP(C623,'10y swap Vol'!$C$2:$G$3809,5,0)</f>
        <v>79.229462483010366</v>
      </c>
      <c r="F623">
        <f>VLOOKUP(C623,'5y10y Swaption Vol'!temp,3,0)</f>
        <v>102.59464888399999</v>
      </c>
      <c r="H623" s="1">
        <v>40989</v>
      </c>
      <c r="I623" t="s">
        <v>2</v>
      </c>
      <c r="J623">
        <v>2.3675109999999999</v>
      </c>
      <c r="K623">
        <v>-8.7426999999999921E-2</v>
      </c>
      <c r="L623">
        <v>83.719368000635569</v>
      </c>
      <c r="M623">
        <f t="shared" si="9"/>
        <v>-27</v>
      </c>
    </row>
    <row r="624" spans="3:13">
      <c r="C624" s="2">
        <v>40963</v>
      </c>
      <c r="D624">
        <v>72.851346524509538</v>
      </c>
      <c r="E624">
        <f>VLOOKUP(C624,'10y swap Vol'!$C$2:$G$3809,5,0)</f>
        <v>79.219942882753614</v>
      </c>
      <c r="F624">
        <f>VLOOKUP(C624,'5y10y Swaption Vol'!temp,3,0)</f>
        <v>103.18487402300001</v>
      </c>
      <c r="H624" s="1">
        <v>40990</v>
      </c>
      <c r="I624" t="s">
        <v>2</v>
      </c>
      <c r="J624">
        <v>2.344967</v>
      </c>
      <c r="K624">
        <v>-2.2543999999999897E-2</v>
      </c>
      <c r="L624">
        <v>82.221449451919611</v>
      </c>
      <c r="M624">
        <f t="shared" si="9"/>
        <v>-27</v>
      </c>
    </row>
    <row r="625" spans="3:13">
      <c r="C625" s="2">
        <v>40966</v>
      </c>
      <c r="D625">
        <v>72.972891165835293</v>
      </c>
      <c r="E625">
        <f>VLOOKUP(C625,'10y swap Vol'!$C$2:$G$3809,5,0)</f>
        <v>79.88244250272119</v>
      </c>
      <c r="F625">
        <f>VLOOKUP(C625,'5y10y Swaption Vol'!temp,3,0)</f>
        <v>102.986047265</v>
      </c>
      <c r="H625" s="1">
        <v>40991</v>
      </c>
      <c r="I625" t="s">
        <v>2</v>
      </c>
      <c r="J625">
        <v>2.3080029999999998</v>
      </c>
      <c r="K625">
        <v>-3.6964000000000219E-2</v>
      </c>
      <c r="L625">
        <v>82.481664116526474</v>
      </c>
      <c r="M625">
        <f t="shared" si="9"/>
        <v>-25</v>
      </c>
    </row>
    <row r="626" spans="3:13">
      <c r="C626" s="2">
        <v>40967</v>
      </c>
      <c r="D626">
        <v>72.977566648469889</v>
      </c>
      <c r="E626">
        <f>VLOOKUP(C626,'10y swap Vol'!$C$2:$G$3809,5,0)</f>
        <v>79.551384968501793</v>
      </c>
      <c r="F626">
        <f>VLOOKUP(C626,'5y10y Swaption Vol'!temp,3,0)</f>
        <v>102.96151264</v>
      </c>
      <c r="H626" s="1">
        <v>40994</v>
      </c>
      <c r="I626" t="s">
        <v>2</v>
      </c>
      <c r="J626">
        <v>2.3167390000000001</v>
      </c>
      <c r="K626">
        <v>8.7360000000002991E-3</v>
      </c>
      <c r="L626">
        <v>79.492605818856944</v>
      </c>
      <c r="M626">
        <f t="shared" si="9"/>
        <v>-27</v>
      </c>
    </row>
    <row r="627" spans="3:13">
      <c r="C627" s="2">
        <v>40968</v>
      </c>
      <c r="D627">
        <v>74.282759175674528</v>
      </c>
      <c r="E627">
        <f>VLOOKUP(C627,'10y swap Vol'!$C$2:$G$3809,5,0)</f>
        <v>78.706256429378698</v>
      </c>
      <c r="F627">
        <f>VLOOKUP(C627,'5y10y Swaption Vol'!temp,3,0)</f>
        <v>104.26855704</v>
      </c>
      <c r="H627" s="1">
        <v>40995</v>
      </c>
      <c r="I627" t="s">
        <v>2</v>
      </c>
      <c r="J627">
        <v>2.245549</v>
      </c>
      <c r="K627">
        <v>-7.1190000000000087E-2</v>
      </c>
      <c r="L627">
        <v>80.908989009186712</v>
      </c>
      <c r="M627">
        <f t="shared" si="9"/>
        <v>-27</v>
      </c>
    </row>
    <row r="628" spans="3:13">
      <c r="C628" s="2">
        <v>40969</v>
      </c>
      <c r="D628">
        <v>73.950396807466518</v>
      </c>
      <c r="E628">
        <f>VLOOKUP(C628,'10y swap Vol'!$C$2:$G$3809,5,0)</f>
        <v>78.81500605632273</v>
      </c>
      <c r="F628">
        <f>VLOOKUP(C628,'5y10y Swaption Vol'!temp,3,0)</f>
        <v>104.897876049</v>
      </c>
      <c r="H628" s="1">
        <v>40996</v>
      </c>
      <c r="I628" t="s">
        <v>2</v>
      </c>
      <c r="J628">
        <v>2.2577189999999998</v>
      </c>
      <c r="K628">
        <v>1.2169999999999792E-2</v>
      </c>
      <c r="L628">
        <v>80.797166593038838</v>
      </c>
      <c r="M628">
        <f t="shared" si="9"/>
        <v>-27</v>
      </c>
    </row>
    <row r="629" spans="3:13">
      <c r="C629" s="2">
        <v>40970</v>
      </c>
      <c r="D629">
        <v>74.191289213923866</v>
      </c>
      <c r="E629">
        <f>VLOOKUP(C629,'10y swap Vol'!$C$2:$G$3809,5,0)</f>
        <v>79.334199062397872</v>
      </c>
      <c r="F629">
        <f>VLOOKUP(C629,'5y10y Swaption Vol'!temp,3,0)</f>
        <v>104.85951566599999</v>
      </c>
      <c r="H629" s="1">
        <v>40997</v>
      </c>
      <c r="I629" t="s">
        <v>2</v>
      </c>
      <c r="J629">
        <v>2.2245840000000001</v>
      </c>
      <c r="K629">
        <v>-3.3134999999999692E-2</v>
      </c>
      <c r="L629">
        <v>79.792427256030322</v>
      </c>
      <c r="M629">
        <f t="shared" si="9"/>
        <v>-27</v>
      </c>
    </row>
    <row r="630" spans="3:13">
      <c r="C630" s="2">
        <v>40973</v>
      </c>
      <c r="D630">
        <v>74.156546706422077</v>
      </c>
      <c r="E630">
        <f>VLOOKUP(C630,'10y swap Vol'!$C$2:$G$3809,5,0)</f>
        <v>79.149029655800589</v>
      </c>
      <c r="F630">
        <f>VLOOKUP(C630,'5y10y Swaption Vol'!temp,3,0)</f>
        <v>105.19474131600001</v>
      </c>
      <c r="H630" s="1">
        <v>40998</v>
      </c>
      <c r="I630" t="s">
        <v>2</v>
      </c>
      <c r="J630">
        <v>2.289431</v>
      </c>
      <c r="K630">
        <v>6.4846999999999877E-2</v>
      </c>
      <c r="L630">
        <v>80.764799850490704</v>
      </c>
      <c r="M630">
        <f t="shared" si="9"/>
        <v>-25</v>
      </c>
    </row>
    <row r="631" spans="3:13">
      <c r="C631" s="2">
        <v>40974</v>
      </c>
      <c r="D631">
        <v>72.780511384132865</v>
      </c>
      <c r="E631">
        <f>VLOOKUP(C631,'10y swap Vol'!$C$2:$G$3809,5,0)</f>
        <v>78.1187424837305</v>
      </c>
      <c r="F631">
        <f>VLOOKUP(C631,'5y10y Swaption Vol'!temp,3,0)</f>
        <v>105.17475672</v>
      </c>
      <c r="H631" s="1">
        <v>41001</v>
      </c>
      <c r="I631" t="s">
        <v>2</v>
      </c>
      <c r="J631">
        <v>2.2776540000000001</v>
      </c>
      <c r="K631">
        <v>-1.1776999999999926E-2</v>
      </c>
      <c r="L631">
        <v>80.795494915569577</v>
      </c>
      <c r="M631">
        <f t="shared" si="9"/>
        <v>-27</v>
      </c>
    </row>
    <row r="632" spans="3:13">
      <c r="C632" s="2">
        <v>40975</v>
      </c>
      <c r="D632">
        <v>72.955341972771421</v>
      </c>
      <c r="E632">
        <f>VLOOKUP(C632,'10y swap Vol'!$C$2:$G$3809,5,0)</f>
        <v>77.773750860126981</v>
      </c>
      <c r="F632">
        <f>VLOOKUP(C632,'5y10y Swaption Vol'!temp,3,0)</f>
        <v>104.285661</v>
      </c>
      <c r="H632" s="1">
        <v>41002</v>
      </c>
      <c r="I632" t="s">
        <v>2</v>
      </c>
      <c r="J632">
        <v>2.3740869999999998</v>
      </c>
      <c r="K632">
        <v>9.6432999999999769E-2</v>
      </c>
      <c r="L632">
        <v>82.794130234824564</v>
      </c>
      <c r="M632">
        <f t="shared" si="9"/>
        <v>-27</v>
      </c>
    </row>
    <row r="633" spans="3:13">
      <c r="C633" s="2">
        <v>40976</v>
      </c>
      <c r="D633">
        <v>71.40874154231102</v>
      </c>
      <c r="E633">
        <f>VLOOKUP(C633,'10y swap Vol'!$C$2:$G$3809,5,0)</f>
        <v>76.867802323149675</v>
      </c>
      <c r="F633">
        <f>VLOOKUP(C633,'5y10y Swaption Vol'!temp,3,0)</f>
        <v>103.919897381</v>
      </c>
      <c r="H633" s="1">
        <v>41003</v>
      </c>
      <c r="I633" t="s">
        <v>2</v>
      </c>
      <c r="J633">
        <v>2.3344800000000001</v>
      </c>
      <c r="K633">
        <v>-3.9606999999999726E-2</v>
      </c>
      <c r="L633">
        <v>83.271139556067624</v>
      </c>
      <c r="M633">
        <f t="shared" si="9"/>
        <v>-27</v>
      </c>
    </row>
    <row r="634" spans="3:13">
      <c r="C634" s="2">
        <v>40977</v>
      </c>
      <c r="D634">
        <v>71.421393471364183</v>
      </c>
      <c r="E634">
        <f>VLOOKUP(C634,'10y swap Vol'!$C$2:$G$3809,5,0)</f>
        <v>76.903608099708336</v>
      </c>
      <c r="F634">
        <f>VLOOKUP(C634,'5y10y Swaption Vol'!temp,3,0)</f>
        <v>103.81598286400001</v>
      </c>
      <c r="H634" s="1">
        <v>41004</v>
      </c>
      <c r="I634" t="s">
        <v>2</v>
      </c>
      <c r="J634">
        <v>2.2744390000000001</v>
      </c>
      <c r="K634">
        <v>-6.0041000000000011E-2</v>
      </c>
      <c r="L634">
        <v>84.233260984091757</v>
      </c>
      <c r="M634">
        <f t="shared" si="9"/>
        <v>-27</v>
      </c>
    </row>
    <row r="635" spans="3:13">
      <c r="C635" s="2">
        <v>40980</v>
      </c>
      <c r="D635">
        <v>70.911378776208934</v>
      </c>
      <c r="E635">
        <f>VLOOKUP(C635,'10y swap Vol'!$C$2:$G$3809,5,0)</f>
        <v>76.398778731901089</v>
      </c>
      <c r="F635">
        <f>VLOOKUP(C635,'5y10y Swaption Vol'!temp,3,0)</f>
        <v>104.094332368</v>
      </c>
      <c r="H635" s="1">
        <v>41005</v>
      </c>
      <c r="I635" t="s">
        <v>2</v>
      </c>
      <c r="J635">
        <v>2.1424810000000001</v>
      </c>
      <c r="K635">
        <v>-0.13195800000000002</v>
      </c>
      <c r="L635">
        <v>87.674862813003259</v>
      </c>
      <c r="M635">
        <f t="shared" si="9"/>
        <v>-25</v>
      </c>
    </row>
    <row r="636" spans="3:13">
      <c r="C636" s="2">
        <v>40981</v>
      </c>
      <c r="D636">
        <v>71.113724699368206</v>
      </c>
      <c r="E636">
        <f>VLOOKUP(C636,'10y swap Vol'!$C$2:$G$3809,5,0)</f>
        <v>76.977534347590392</v>
      </c>
      <c r="F636">
        <f>VLOOKUP(C636,'5y10y Swaption Vol'!temp,3,0)</f>
        <v>104.692009971</v>
      </c>
      <c r="H636" s="1">
        <v>41008</v>
      </c>
      <c r="I636" t="s">
        <v>2</v>
      </c>
      <c r="J636">
        <v>2.116743</v>
      </c>
      <c r="K636">
        <v>-2.5738000000000039E-2</v>
      </c>
      <c r="L636">
        <v>87.799428691611865</v>
      </c>
      <c r="M636">
        <f t="shared" si="9"/>
        <v>-27</v>
      </c>
    </row>
    <row r="637" spans="3:13">
      <c r="C637" s="2">
        <v>40982</v>
      </c>
      <c r="D637">
        <v>79.500966934262991</v>
      </c>
      <c r="E637">
        <f>VLOOKUP(C637,'10y swap Vol'!$C$2:$G$3809,5,0)</f>
        <v>82.534675253396443</v>
      </c>
      <c r="F637">
        <f>VLOOKUP(C637,'5y10y Swaption Vol'!temp,3,0)</f>
        <v>105.552737794</v>
      </c>
      <c r="H637" s="1">
        <v>41009</v>
      </c>
      <c r="I637" t="s">
        <v>2</v>
      </c>
      <c r="J637">
        <v>2.0968260000000001</v>
      </c>
      <c r="K637">
        <v>-1.9916999999999963E-2</v>
      </c>
      <c r="L637">
        <v>86.8749571359931</v>
      </c>
      <c r="M637">
        <f t="shared" si="9"/>
        <v>-27</v>
      </c>
    </row>
    <row r="638" spans="3:13">
      <c r="C638" s="2">
        <v>40983</v>
      </c>
      <c r="D638">
        <v>78.807681924214478</v>
      </c>
      <c r="E638">
        <f>VLOOKUP(C638,'10y swap Vol'!$C$2:$G$3809,5,0)</f>
        <v>81.864199681062658</v>
      </c>
      <c r="F638">
        <f>VLOOKUP(C638,'5y10y Swaption Vol'!temp,3,0)</f>
        <v>104.56826135599999</v>
      </c>
      <c r="H638" s="1">
        <v>41010</v>
      </c>
      <c r="I638" t="s">
        <v>2</v>
      </c>
      <c r="J638">
        <v>2.1305010000000002</v>
      </c>
      <c r="K638">
        <v>3.3675000000000122E-2</v>
      </c>
      <c r="L638">
        <v>87.033281904639807</v>
      </c>
      <c r="M638">
        <f t="shared" si="9"/>
        <v>-27</v>
      </c>
    </row>
    <row r="639" spans="3:13">
      <c r="C639" s="2">
        <v>40984</v>
      </c>
      <c r="D639">
        <v>79.004178703167099</v>
      </c>
      <c r="E639">
        <f>VLOOKUP(C639,'10y swap Vol'!$C$2:$G$3809,5,0)</f>
        <v>81.683371389746966</v>
      </c>
      <c r="F639">
        <f>VLOOKUP(C639,'5y10y Swaption Vol'!temp,3,0)</f>
        <v>103.529730716</v>
      </c>
      <c r="H639" s="1">
        <v>41011</v>
      </c>
      <c r="I639" t="s">
        <v>2</v>
      </c>
      <c r="J639">
        <v>2.1497790000000001</v>
      </c>
      <c r="K639">
        <v>1.9277999999999906E-2</v>
      </c>
      <c r="L639">
        <v>86.618712334869286</v>
      </c>
      <c r="M639">
        <f t="shared" si="9"/>
        <v>-27</v>
      </c>
    </row>
    <row r="640" spans="3:13">
      <c r="C640" s="2">
        <v>40987</v>
      </c>
      <c r="D640">
        <v>80.27166732908502</v>
      </c>
      <c r="E640">
        <f>VLOOKUP(C640,'10y swap Vol'!$C$2:$G$3809,5,0)</f>
        <v>81.787382454939248</v>
      </c>
      <c r="F640">
        <f>VLOOKUP(C640,'5y10y Swaption Vol'!temp,3,0)</f>
        <v>104.41965833</v>
      </c>
      <c r="H640" s="1">
        <v>41012</v>
      </c>
      <c r="I640" t="s">
        <v>2</v>
      </c>
      <c r="J640">
        <v>2.1030690000000001</v>
      </c>
      <c r="K640">
        <v>-4.6710000000000029E-2</v>
      </c>
      <c r="L640">
        <v>86.179446864014039</v>
      </c>
      <c r="M640">
        <f t="shared" si="9"/>
        <v>-25</v>
      </c>
    </row>
    <row r="641" spans="3:13">
      <c r="C641" s="2">
        <v>40988</v>
      </c>
      <c r="D641">
        <v>79.941718501035055</v>
      </c>
      <c r="E641">
        <f>VLOOKUP(C641,'10y swap Vol'!$C$2:$G$3809,5,0)</f>
        <v>81.656017089202749</v>
      </c>
      <c r="F641">
        <f>VLOOKUP(C641,'5y10y Swaption Vol'!temp,3,0)</f>
        <v>104.112832301</v>
      </c>
      <c r="H641" s="1">
        <v>41015</v>
      </c>
      <c r="I641" t="s">
        <v>2</v>
      </c>
      <c r="J641">
        <v>2.0799460000000001</v>
      </c>
      <c r="K641">
        <v>-2.3123000000000005E-2</v>
      </c>
      <c r="L641">
        <v>85.376427432971823</v>
      </c>
      <c r="M641">
        <f t="shared" si="9"/>
        <v>-27</v>
      </c>
    </row>
    <row r="642" spans="3:13">
      <c r="C642" s="2">
        <v>40989</v>
      </c>
      <c r="D642">
        <v>81.829725785237372</v>
      </c>
      <c r="E642">
        <f>VLOOKUP(C642,'10y swap Vol'!$C$2:$G$3809,5,0)</f>
        <v>83.719368000635569</v>
      </c>
      <c r="F642">
        <f>VLOOKUP(C642,'5y10y Swaption Vol'!temp,3,0)</f>
        <v>103.70980627199999</v>
      </c>
      <c r="H642" s="1">
        <v>41016</v>
      </c>
      <c r="I642" t="s">
        <v>2</v>
      </c>
      <c r="J642">
        <v>2.112905</v>
      </c>
      <c r="K642">
        <v>3.2958999999999961E-2</v>
      </c>
      <c r="L642">
        <v>85.429867665300321</v>
      </c>
      <c r="M642">
        <f t="shared" si="9"/>
        <v>-27</v>
      </c>
    </row>
    <row r="643" spans="3:13">
      <c r="C643" s="2">
        <v>40990</v>
      </c>
      <c r="D643">
        <v>80.384882180170308</v>
      </c>
      <c r="E643">
        <f>VLOOKUP(C643,'10y swap Vol'!$C$2:$G$3809,5,0)</f>
        <v>82.221449451919611</v>
      </c>
      <c r="F643">
        <f>VLOOKUP(C643,'5y10y Swaption Vol'!temp,3,0)</f>
        <v>103.204769136</v>
      </c>
      <c r="H643" s="1">
        <v>41017</v>
      </c>
      <c r="I643" t="s">
        <v>2</v>
      </c>
      <c r="J643">
        <v>2.0933320000000002</v>
      </c>
      <c r="K643">
        <v>-1.9572999999999841E-2</v>
      </c>
      <c r="L643">
        <v>85.445469125988765</v>
      </c>
      <c r="M643">
        <f t="shared" ref="M643:M706" si="10">C643-H643</f>
        <v>-27</v>
      </c>
    </row>
    <row r="644" spans="3:13">
      <c r="C644" s="2">
        <v>40991</v>
      </c>
      <c r="D644">
        <v>80.458763505410545</v>
      </c>
      <c r="E644">
        <f>VLOOKUP(C644,'10y swap Vol'!$C$2:$G$3809,5,0)</f>
        <v>82.481664116526474</v>
      </c>
      <c r="F644">
        <f>VLOOKUP(C644,'5y10y Swaption Vol'!temp,3,0)</f>
        <v>103.22967500999999</v>
      </c>
      <c r="H644" s="1">
        <v>41018</v>
      </c>
      <c r="I644" t="s">
        <v>2</v>
      </c>
      <c r="J644">
        <v>2.0643060000000002</v>
      </c>
      <c r="K644">
        <v>-2.9025999999999996E-2</v>
      </c>
      <c r="L644">
        <v>84.852507734628645</v>
      </c>
      <c r="M644">
        <f t="shared" si="10"/>
        <v>-27</v>
      </c>
    </row>
    <row r="645" spans="3:13">
      <c r="C645" s="2">
        <v>40994</v>
      </c>
      <c r="D645">
        <v>77.575711333806439</v>
      </c>
      <c r="E645">
        <f>VLOOKUP(C645,'10y swap Vol'!$C$2:$G$3809,5,0)</f>
        <v>79.492605818856944</v>
      </c>
      <c r="F645">
        <f>VLOOKUP(C645,'5y10y Swaption Vol'!temp,3,0)</f>
        <v>102.95396791</v>
      </c>
      <c r="H645" s="1">
        <v>41019</v>
      </c>
      <c r="I645" t="s">
        <v>2</v>
      </c>
      <c r="J645">
        <v>2.0778349999999999</v>
      </c>
      <c r="K645">
        <v>1.352899999999968E-2</v>
      </c>
      <c r="L645">
        <v>83.432765314912146</v>
      </c>
      <c r="M645">
        <f t="shared" si="10"/>
        <v>-25</v>
      </c>
    </row>
    <row r="646" spans="3:13">
      <c r="C646" s="2">
        <v>40995</v>
      </c>
      <c r="D646">
        <v>79.156603741088745</v>
      </c>
      <c r="E646">
        <f>VLOOKUP(C646,'10y swap Vol'!$C$2:$G$3809,5,0)</f>
        <v>80.908989009186712</v>
      </c>
      <c r="F646">
        <f>VLOOKUP(C646,'5y10y Swaption Vol'!temp,3,0)</f>
        <v>102.580000215</v>
      </c>
      <c r="H646" s="1">
        <v>41022</v>
      </c>
      <c r="I646" t="s">
        <v>2</v>
      </c>
      <c r="J646">
        <v>2.0541909999999999</v>
      </c>
      <c r="K646">
        <v>-2.3643999999999998E-2</v>
      </c>
      <c r="L646">
        <v>83.45583897532606</v>
      </c>
      <c r="M646">
        <f t="shared" si="10"/>
        <v>-27</v>
      </c>
    </row>
    <row r="647" spans="3:13">
      <c r="C647" s="2">
        <v>40996</v>
      </c>
      <c r="D647">
        <v>79.188405746797088</v>
      </c>
      <c r="E647">
        <f>VLOOKUP(C647,'10y swap Vol'!$C$2:$G$3809,5,0)</f>
        <v>80.797166593038838</v>
      </c>
      <c r="F647">
        <f>VLOOKUP(C647,'5y10y Swaption Vol'!temp,3,0)</f>
        <v>101.77491680999999</v>
      </c>
      <c r="H647" s="1">
        <v>41023</v>
      </c>
      <c r="I647" t="s">
        <v>2</v>
      </c>
      <c r="J647">
        <v>2.087208</v>
      </c>
      <c r="K647">
        <v>3.3017000000000074E-2</v>
      </c>
      <c r="L647">
        <v>82.964123577923459</v>
      </c>
      <c r="M647">
        <f t="shared" si="10"/>
        <v>-27</v>
      </c>
    </row>
    <row r="648" spans="3:13">
      <c r="C648" s="2">
        <v>40997</v>
      </c>
      <c r="D648">
        <v>79.353794938480988</v>
      </c>
      <c r="E648">
        <f>VLOOKUP(C648,'10y swap Vol'!$C$2:$G$3809,5,0)</f>
        <v>79.792427256030322</v>
      </c>
      <c r="F648">
        <f>VLOOKUP(C648,'5y10y Swaption Vol'!temp,3,0)</f>
        <v>100.97121129200001</v>
      </c>
      <c r="H648" s="1">
        <v>41024</v>
      </c>
      <c r="I648" t="s">
        <v>2</v>
      </c>
      <c r="J648">
        <v>2.1050559999999998</v>
      </c>
      <c r="K648">
        <v>1.7847999999999864E-2</v>
      </c>
      <c r="L648">
        <v>82.362265845988588</v>
      </c>
      <c r="M648">
        <f t="shared" si="10"/>
        <v>-27</v>
      </c>
    </row>
    <row r="649" spans="3:13">
      <c r="C649" s="2">
        <v>40998</v>
      </c>
      <c r="D649">
        <v>79.869937028776008</v>
      </c>
      <c r="E649">
        <f>VLOOKUP(C649,'10y swap Vol'!$C$2:$G$3809,5,0)</f>
        <v>80.764799850490704</v>
      </c>
      <c r="F649">
        <f>VLOOKUP(C649,'5y10y Swaption Vol'!temp,3,0)</f>
        <v>101.68895646</v>
      </c>
      <c r="H649" s="1">
        <v>41025</v>
      </c>
      <c r="I649" t="s">
        <v>2</v>
      </c>
      <c r="J649">
        <v>2.0871300000000002</v>
      </c>
      <c r="K649">
        <v>-1.7925999999999664E-2</v>
      </c>
      <c r="L649">
        <v>82.307042765759846</v>
      </c>
      <c r="M649">
        <f t="shared" si="10"/>
        <v>-27</v>
      </c>
    </row>
    <row r="650" spans="3:13">
      <c r="C650" s="2">
        <v>41001</v>
      </c>
      <c r="D650">
        <v>77.974015593164353</v>
      </c>
      <c r="E650">
        <f>VLOOKUP(C650,'10y swap Vol'!$C$2:$G$3809,5,0)</f>
        <v>80.795494915569577</v>
      </c>
      <c r="F650">
        <f>VLOOKUP(C650,'5y10y Swaption Vol'!temp,3,0)</f>
        <v>101.056384665</v>
      </c>
      <c r="H650" s="1">
        <v>41026</v>
      </c>
      <c r="I650" t="s">
        <v>2</v>
      </c>
      <c r="J650">
        <v>2.0595530000000002</v>
      </c>
      <c r="K650">
        <v>-2.7576999999999963E-2</v>
      </c>
      <c r="L650">
        <v>82.484926211957529</v>
      </c>
      <c r="M650">
        <f t="shared" si="10"/>
        <v>-25</v>
      </c>
    </row>
    <row r="651" spans="3:13">
      <c r="C651" s="2">
        <v>41002</v>
      </c>
      <c r="D651">
        <v>80.733182399535039</v>
      </c>
      <c r="E651">
        <f>VLOOKUP(C651,'10y swap Vol'!$C$2:$G$3809,5,0)</f>
        <v>82.794130234824564</v>
      </c>
      <c r="F651">
        <f>VLOOKUP(C651,'5y10y Swaption Vol'!temp,3,0)</f>
        <v>101.792748948</v>
      </c>
      <c r="H651" s="1">
        <v>41029</v>
      </c>
      <c r="I651" t="s">
        <v>2</v>
      </c>
      <c r="J651">
        <v>2.0402589999999998</v>
      </c>
      <c r="K651">
        <v>-1.9294000000000366E-2</v>
      </c>
      <c r="L651">
        <v>78.262431784707033</v>
      </c>
      <c r="M651">
        <f t="shared" si="10"/>
        <v>-27</v>
      </c>
    </row>
    <row r="652" spans="3:13">
      <c r="C652" s="2">
        <v>41003</v>
      </c>
      <c r="D652">
        <v>81.642266257242269</v>
      </c>
      <c r="E652">
        <f>VLOOKUP(C652,'10y swap Vol'!$C$2:$G$3809,5,0)</f>
        <v>83.271139556067624</v>
      </c>
      <c r="F652">
        <f>VLOOKUP(C652,'5y10y Swaption Vol'!temp,3,0)</f>
        <v>102.488376774</v>
      </c>
      <c r="H652" s="1">
        <v>41030</v>
      </c>
      <c r="I652" t="s">
        <v>2</v>
      </c>
      <c r="J652">
        <v>2.0799129999999999</v>
      </c>
      <c r="K652">
        <v>3.9654000000000078E-2</v>
      </c>
      <c r="L652">
        <v>78.041104942209643</v>
      </c>
      <c r="M652">
        <f t="shared" si="10"/>
        <v>-27</v>
      </c>
    </row>
    <row r="653" spans="3:13">
      <c r="C653" s="2">
        <v>41004</v>
      </c>
      <c r="D653">
        <v>82.116666225023323</v>
      </c>
      <c r="E653">
        <f>VLOOKUP(C653,'10y swap Vol'!$C$2:$G$3809,5,0)</f>
        <v>84.233260984091757</v>
      </c>
      <c r="F653">
        <f>VLOOKUP(C653,'5y10y Swaption Vol'!temp,3,0)</f>
        <v>102.81664658299999</v>
      </c>
      <c r="H653" s="1">
        <v>41031</v>
      </c>
      <c r="I653" t="s">
        <v>2</v>
      </c>
      <c r="J653">
        <v>2.0483090000000002</v>
      </c>
      <c r="K653">
        <v>-3.1603999999999743E-2</v>
      </c>
      <c r="L653">
        <v>77.090541544554995</v>
      </c>
      <c r="M653">
        <f t="shared" si="10"/>
        <v>-27</v>
      </c>
    </row>
    <row r="654" spans="3:13">
      <c r="C654" s="2">
        <v>41005</v>
      </c>
      <c r="D654">
        <v>85.727661694462327</v>
      </c>
      <c r="E654">
        <f>VLOOKUP(C654,'10y swap Vol'!$C$2:$G$3809,5,0)</f>
        <v>87.674862813003259</v>
      </c>
      <c r="F654">
        <f>VLOOKUP(C654,'5y10y Swaption Vol'!temp,3,0)</f>
        <v>101.487801261</v>
      </c>
      <c r="H654" s="1">
        <v>41032</v>
      </c>
      <c r="I654" t="s">
        <v>2</v>
      </c>
      <c r="J654">
        <v>2.047059</v>
      </c>
      <c r="K654">
        <v>-1.2500000000001954E-3</v>
      </c>
      <c r="L654">
        <v>77.039372280436524</v>
      </c>
      <c r="M654">
        <f t="shared" si="10"/>
        <v>-27</v>
      </c>
    </row>
    <row r="655" spans="3:13">
      <c r="C655" s="2">
        <v>41008</v>
      </c>
      <c r="D655">
        <v>85.569166483235293</v>
      </c>
      <c r="E655">
        <f>VLOOKUP(C655,'10y swap Vol'!$C$2:$G$3809,5,0)</f>
        <v>87.799428691611865</v>
      </c>
      <c r="F655">
        <f>VLOOKUP(C655,'5y10y Swaption Vol'!temp,3,0)</f>
        <v>100.46654074999999</v>
      </c>
      <c r="H655" s="1">
        <v>41033</v>
      </c>
      <c r="I655" t="s">
        <v>2</v>
      </c>
      <c r="J655">
        <v>2.0129359999999998</v>
      </c>
      <c r="K655">
        <v>-3.4123000000000125E-2</v>
      </c>
      <c r="L655">
        <v>77.016967879177457</v>
      </c>
      <c r="M655">
        <f t="shared" si="10"/>
        <v>-25</v>
      </c>
    </row>
    <row r="656" spans="3:13">
      <c r="C656" s="2">
        <v>41009</v>
      </c>
      <c r="D656">
        <v>85.224503381148892</v>
      </c>
      <c r="E656">
        <f>VLOOKUP(C656,'10y swap Vol'!$C$2:$G$3809,5,0)</f>
        <v>86.8749571359931</v>
      </c>
      <c r="F656">
        <f>VLOOKUP(C656,'5y10y Swaption Vol'!temp,3,0)</f>
        <v>101.373983456</v>
      </c>
      <c r="H656" s="1">
        <v>41036</v>
      </c>
      <c r="I656" t="s">
        <v>2</v>
      </c>
      <c r="J656">
        <v>2.0152939999999999</v>
      </c>
      <c r="K656">
        <v>2.3580000000000823E-3</v>
      </c>
      <c r="L656">
        <v>75.467928081842118</v>
      </c>
      <c r="M656">
        <f t="shared" si="10"/>
        <v>-27</v>
      </c>
    </row>
    <row r="657" spans="3:13">
      <c r="C657" s="2">
        <v>41010</v>
      </c>
      <c r="D657">
        <v>84.805071973447227</v>
      </c>
      <c r="E657">
        <f>VLOOKUP(C657,'10y swap Vol'!$C$2:$G$3809,5,0)</f>
        <v>87.033281904639807</v>
      </c>
      <c r="F657">
        <f>VLOOKUP(C657,'5y10y Swaption Vol'!temp,3,0)</f>
        <v>101.43355201</v>
      </c>
      <c r="H657" s="1">
        <v>41037</v>
      </c>
      <c r="I657" t="s">
        <v>2</v>
      </c>
      <c r="J657">
        <v>1.9889410000000001</v>
      </c>
      <c r="K657">
        <v>-2.6352999999999849E-2</v>
      </c>
      <c r="L657">
        <v>75.470235229083414</v>
      </c>
      <c r="M657">
        <f t="shared" si="10"/>
        <v>-27</v>
      </c>
    </row>
    <row r="658" spans="3:13">
      <c r="C658" s="2">
        <v>41011</v>
      </c>
      <c r="D658">
        <v>84.736981429946582</v>
      </c>
      <c r="E658">
        <f>VLOOKUP(C658,'10y swap Vol'!$C$2:$G$3809,5,0)</f>
        <v>86.618712334869286</v>
      </c>
      <c r="F658">
        <f>VLOOKUP(C658,'5y10y Swaption Vol'!temp,3,0)</f>
        <v>101.69477120099999</v>
      </c>
      <c r="H658" s="1">
        <v>41038</v>
      </c>
      <c r="I658" t="s">
        <v>2</v>
      </c>
      <c r="J658">
        <v>1.996599</v>
      </c>
      <c r="K658">
        <v>7.6579999999999426E-3</v>
      </c>
      <c r="L658">
        <v>74.273923877611665</v>
      </c>
      <c r="M658">
        <f t="shared" si="10"/>
        <v>-27</v>
      </c>
    </row>
    <row r="659" spans="3:13">
      <c r="C659" s="2">
        <v>41012</v>
      </c>
      <c r="D659">
        <v>84.101687413721976</v>
      </c>
      <c r="E659">
        <f>VLOOKUP(C659,'10y swap Vol'!$C$2:$G$3809,5,0)</f>
        <v>86.179446864014039</v>
      </c>
      <c r="F659">
        <f>VLOOKUP(C659,'5y10y Swaption Vol'!temp,3,0)</f>
        <v>101.992673645</v>
      </c>
      <c r="H659" s="1">
        <v>41039</v>
      </c>
      <c r="I659" t="s">
        <v>2</v>
      </c>
      <c r="J659">
        <v>2.01783</v>
      </c>
      <c r="K659">
        <v>2.1231E-2</v>
      </c>
      <c r="L659">
        <v>74.401173354773675</v>
      </c>
      <c r="M659">
        <f t="shared" si="10"/>
        <v>-27</v>
      </c>
    </row>
    <row r="660" spans="3:13">
      <c r="C660" s="2">
        <v>41015</v>
      </c>
      <c r="D660">
        <v>84.110237455086249</v>
      </c>
      <c r="E660">
        <f>VLOOKUP(C660,'10y swap Vol'!$C$2:$G$3809,5,0)</f>
        <v>85.376427432971823</v>
      </c>
      <c r="F660">
        <f>VLOOKUP(C660,'5y10y Swaption Vol'!temp,3,0)</f>
        <v>102.16024041599999</v>
      </c>
      <c r="H660" s="1">
        <v>41040</v>
      </c>
      <c r="I660" t="s">
        <v>2</v>
      </c>
      <c r="J660">
        <v>1.9858</v>
      </c>
      <c r="K660">
        <v>-3.2030000000000003E-2</v>
      </c>
      <c r="L660">
        <v>73.714532802074402</v>
      </c>
      <c r="M660">
        <f t="shared" si="10"/>
        <v>-25</v>
      </c>
    </row>
    <row r="661" spans="3:13">
      <c r="C661" s="2">
        <v>41016</v>
      </c>
      <c r="D661">
        <v>84.502729034043739</v>
      </c>
      <c r="E661">
        <f>VLOOKUP(C661,'10y swap Vol'!$C$2:$G$3809,5,0)</f>
        <v>85.429867665300321</v>
      </c>
      <c r="F661">
        <f>VLOOKUP(C661,'5y10y Swaption Vol'!temp,3,0)</f>
        <v>102.762571776</v>
      </c>
      <c r="H661" s="1">
        <v>41043</v>
      </c>
      <c r="I661" t="s">
        <v>2</v>
      </c>
      <c r="J661">
        <v>1.9445870000000001</v>
      </c>
      <c r="K661">
        <v>-4.1212999999999944E-2</v>
      </c>
      <c r="L661">
        <v>74.048517850152621</v>
      </c>
      <c r="M661">
        <f t="shared" si="10"/>
        <v>-27</v>
      </c>
    </row>
    <row r="662" spans="3:13">
      <c r="C662" s="2">
        <v>41017</v>
      </c>
      <c r="D662">
        <v>84.637643741357181</v>
      </c>
      <c r="E662">
        <f>VLOOKUP(C662,'10y swap Vol'!$C$2:$G$3809,5,0)</f>
        <v>85.445469125988765</v>
      </c>
      <c r="F662">
        <f>VLOOKUP(C662,'5y10y Swaption Vol'!temp,3,0)</f>
        <v>102.68532092</v>
      </c>
      <c r="H662" s="1">
        <v>41044</v>
      </c>
      <c r="I662" t="s">
        <v>2</v>
      </c>
      <c r="J662">
        <v>1.93181</v>
      </c>
      <c r="K662">
        <v>-1.2777000000000038E-2</v>
      </c>
      <c r="L662">
        <v>73.179435882564633</v>
      </c>
      <c r="M662">
        <f t="shared" si="10"/>
        <v>-27</v>
      </c>
    </row>
    <row r="663" spans="3:13">
      <c r="C663" s="2">
        <v>41018</v>
      </c>
      <c r="D663">
        <v>84.353033008089994</v>
      </c>
      <c r="E663">
        <f>VLOOKUP(C663,'10y swap Vol'!$C$2:$G$3809,5,0)</f>
        <v>84.852507734628645</v>
      </c>
      <c r="F663">
        <f>VLOOKUP(C663,'5y10y Swaption Vol'!temp,3,0)</f>
        <v>102.265605927</v>
      </c>
      <c r="H663" s="1">
        <v>41045</v>
      </c>
      <c r="I663" t="s">
        <v>2</v>
      </c>
      <c r="J663">
        <v>1.8963190000000001</v>
      </c>
      <c r="K663">
        <v>-3.5490999999999939E-2</v>
      </c>
      <c r="L663">
        <v>72.986915177729031</v>
      </c>
      <c r="M663">
        <f t="shared" si="10"/>
        <v>-27</v>
      </c>
    </row>
    <row r="664" spans="3:13">
      <c r="C664" s="2">
        <v>41019</v>
      </c>
      <c r="D664">
        <v>83.445907496045464</v>
      </c>
      <c r="E664">
        <f>VLOOKUP(C664,'10y swap Vol'!$C$2:$G$3809,5,0)</f>
        <v>83.432765314912146</v>
      </c>
      <c r="F664">
        <f>VLOOKUP(C664,'5y10y Swaption Vol'!temp,3,0)</f>
        <v>102.431642274</v>
      </c>
      <c r="H664" s="1">
        <v>41046</v>
      </c>
      <c r="I664" t="s">
        <v>2</v>
      </c>
      <c r="J664">
        <v>1.8278220000000001</v>
      </c>
      <c r="K664">
        <v>-6.849700000000003E-2</v>
      </c>
      <c r="L664">
        <v>74.172147606202145</v>
      </c>
      <c r="M664">
        <f t="shared" si="10"/>
        <v>-27</v>
      </c>
    </row>
    <row r="665" spans="3:13">
      <c r="C665" s="2">
        <v>41022</v>
      </c>
      <c r="D665">
        <v>83.396145596432461</v>
      </c>
      <c r="E665">
        <f>VLOOKUP(C665,'10y swap Vol'!$C$2:$G$3809,5,0)</f>
        <v>83.45583897532606</v>
      </c>
      <c r="F665">
        <f>VLOOKUP(C665,'5y10y Swaption Vol'!temp,3,0)</f>
        <v>102.188368932</v>
      </c>
      <c r="H665" s="1">
        <v>41047</v>
      </c>
      <c r="I665" t="s">
        <v>2</v>
      </c>
      <c r="J665">
        <v>1.8264899999999999</v>
      </c>
      <c r="K665">
        <v>-1.3320000000001109E-3</v>
      </c>
      <c r="L665">
        <v>74.165418594489836</v>
      </c>
      <c r="M665">
        <f t="shared" si="10"/>
        <v>-25</v>
      </c>
    </row>
    <row r="666" spans="3:13">
      <c r="C666" s="2">
        <v>41023</v>
      </c>
      <c r="D666">
        <v>83.607498474892566</v>
      </c>
      <c r="E666">
        <f>VLOOKUP(C666,'10y swap Vol'!$C$2:$G$3809,5,0)</f>
        <v>82.964123577923459</v>
      </c>
      <c r="F666">
        <f>VLOOKUP(C666,'5y10y Swaption Vol'!temp,3,0)</f>
        <v>102.08953008899999</v>
      </c>
      <c r="H666" s="1">
        <v>41050</v>
      </c>
      <c r="I666" t="s">
        <v>2</v>
      </c>
      <c r="J666">
        <v>1.8557140000000001</v>
      </c>
      <c r="K666">
        <v>2.9224000000000139E-2</v>
      </c>
      <c r="L666">
        <v>73.690668636678538</v>
      </c>
      <c r="M666">
        <f t="shared" si="10"/>
        <v>-27</v>
      </c>
    </row>
    <row r="667" spans="3:13">
      <c r="C667" s="2">
        <v>41024</v>
      </c>
      <c r="D667">
        <v>83.399157064275798</v>
      </c>
      <c r="E667">
        <f>VLOOKUP(C667,'10y swap Vol'!$C$2:$G$3809,5,0)</f>
        <v>82.362265845988588</v>
      </c>
      <c r="F667">
        <f>VLOOKUP(C667,'5y10y Swaption Vol'!temp,3,0)</f>
        <v>101.763535576</v>
      </c>
      <c r="H667" s="1">
        <v>41051</v>
      </c>
      <c r="I667" t="s">
        <v>2</v>
      </c>
      <c r="J667">
        <v>1.9197109999999999</v>
      </c>
      <c r="K667">
        <v>6.399699999999986E-2</v>
      </c>
      <c r="L667">
        <v>74.937683471095625</v>
      </c>
      <c r="M667">
        <f t="shared" si="10"/>
        <v>-27</v>
      </c>
    </row>
    <row r="668" spans="3:13">
      <c r="C668" s="2">
        <v>41025</v>
      </c>
      <c r="D668">
        <v>83.654678994575221</v>
      </c>
      <c r="E668">
        <f>VLOOKUP(C668,'10y swap Vol'!$C$2:$G$3809,5,0)</f>
        <v>82.307042765759846</v>
      </c>
      <c r="F668">
        <f>VLOOKUP(C668,'5y10y Swaption Vol'!temp,3,0)</f>
        <v>101.332439964</v>
      </c>
      <c r="H668" s="1">
        <v>41052</v>
      </c>
      <c r="I668" t="s">
        <v>2</v>
      </c>
      <c r="J668">
        <v>1.8636630000000001</v>
      </c>
      <c r="K668">
        <v>-5.6047999999999876E-2</v>
      </c>
      <c r="L668">
        <v>75.231363281568818</v>
      </c>
      <c r="M668">
        <f t="shared" si="10"/>
        <v>-27</v>
      </c>
    </row>
    <row r="669" spans="3:13">
      <c r="C669" s="2">
        <v>41026</v>
      </c>
      <c r="D669">
        <v>82.909018319990039</v>
      </c>
      <c r="E669">
        <f>VLOOKUP(C669,'10y swap Vol'!$C$2:$G$3809,5,0)</f>
        <v>82.484926211957529</v>
      </c>
      <c r="F669">
        <f>VLOOKUP(C669,'5y10y Swaption Vol'!temp,3,0)</f>
        <v>99.602698623999999</v>
      </c>
      <c r="H669" s="1">
        <v>41053</v>
      </c>
      <c r="I669" t="s">
        <v>2</v>
      </c>
      <c r="J669">
        <v>1.8967149999999999</v>
      </c>
      <c r="K669">
        <v>3.3051999999999859E-2</v>
      </c>
      <c r="L669">
        <v>74.726816791593436</v>
      </c>
      <c r="M669">
        <f t="shared" si="10"/>
        <v>-27</v>
      </c>
    </row>
    <row r="670" spans="3:13">
      <c r="C670" s="2">
        <v>41029</v>
      </c>
      <c r="D670">
        <v>80.772418741564223</v>
      </c>
      <c r="E670">
        <f>VLOOKUP(C670,'10y swap Vol'!$C$2:$G$3809,5,0)</f>
        <v>78.262431784707033</v>
      </c>
      <c r="F670">
        <f>VLOOKUP(C670,'5y10y Swaption Vol'!temp,3,0)</f>
        <v>98.533153404000004</v>
      </c>
      <c r="H670" s="1">
        <v>41054</v>
      </c>
      <c r="I670" t="s">
        <v>2</v>
      </c>
      <c r="J670">
        <v>1.8895649999999999</v>
      </c>
      <c r="K670">
        <v>-7.1499999999999897E-3</v>
      </c>
      <c r="L670">
        <v>74.129585106826028</v>
      </c>
      <c r="M670">
        <f t="shared" si="10"/>
        <v>-25</v>
      </c>
    </row>
    <row r="671" spans="3:13">
      <c r="C671" s="2">
        <v>41030</v>
      </c>
      <c r="D671">
        <v>80.356149078828949</v>
      </c>
      <c r="E671">
        <f>VLOOKUP(C671,'10y swap Vol'!$C$2:$G$3809,5,0)</f>
        <v>78.041104942209643</v>
      </c>
      <c r="F671">
        <f>VLOOKUP(C671,'5y10y Swaption Vol'!temp,3,0)</f>
        <v>100.291815156</v>
      </c>
      <c r="H671" s="1">
        <v>41058</v>
      </c>
      <c r="I671" t="s">
        <v>2</v>
      </c>
      <c r="J671">
        <v>1.879969</v>
      </c>
      <c r="K671">
        <v>-9.5959999999999379E-3</v>
      </c>
      <c r="L671">
        <v>74.059421259168175</v>
      </c>
      <c r="M671">
        <f t="shared" si="10"/>
        <v>-28</v>
      </c>
    </row>
    <row r="672" spans="3:13">
      <c r="C672" s="2">
        <v>41031</v>
      </c>
      <c r="D672">
        <v>80.190964566479934</v>
      </c>
      <c r="E672">
        <f>VLOOKUP(C672,'10y swap Vol'!$C$2:$G$3809,5,0)</f>
        <v>77.090541544554995</v>
      </c>
      <c r="F672">
        <f>VLOOKUP(C672,'5y10y Swaption Vol'!temp,3,0)</f>
        <v>99.030185099999997</v>
      </c>
      <c r="H672" s="1">
        <v>41059</v>
      </c>
      <c r="I672" t="s">
        <v>2</v>
      </c>
      <c r="J672">
        <v>1.782546</v>
      </c>
      <c r="K672">
        <v>-9.7423000000000037E-2</v>
      </c>
      <c r="L672">
        <v>75.874212133047735</v>
      </c>
      <c r="M672">
        <f t="shared" si="10"/>
        <v>-28</v>
      </c>
    </row>
    <row r="673" spans="3:13">
      <c r="C673" s="2">
        <v>41032</v>
      </c>
      <c r="D673">
        <v>79.979812064251462</v>
      </c>
      <c r="E673">
        <f>VLOOKUP(C673,'10y swap Vol'!$C$2:$G$3809,5,0)</f>
        <v>77.039372280436524</v>
      </c>
      <c r="F673">
        <f>VLOOKUP(C673,'5y10y Swaption Vol'!temp,3,0)</f>
        <v>98.872642064000004</v>
      </c>
      <c r="H673" s="1">
        <v>41060</v>
      </c>
      <c r="I673" t="s">
        <v>2</v>
      </c>
      <c r="J673">
        <v>1.74769</v>
      </c>
      <c r="K673">
        <v>-3.4855999999999998E-2</v>
      </c>
      <c r="L673">
        <v>75.910078666986635</v>
      </c>
      <c r="M673">
        <f t="shared" si="10"/>
        <v>-28</v>
      </c>
    </row>
    <row r="674" spans="3:13">
      <c r="C674" s="2">
        <v>41033</v>
      </c>
      <c r="D674">
        <v>78.643667273761622</v>
      </c>
      <c r="E674">
        <f>VLOOKUP(C674,'10y swap Vol'!$C$2:$G$3809,5,0)</f>
        <v>77.016967879177457</v>
      </c>
      <c r="F674">
        <f>VLOOKUP(C674,'5y10y Swaption Vol'!temp,3,0)</f>
        <v>97.272269813999998</v>
      </c>
      <c r="H674" s="1">
        <v>41061</v>
      </c>
      <c r="I674" t="s">
        <v>2</v>
      </c>
      <c r="J674">
        <v>1.676491</v>
      </c>
      <c r="K674">
        <v>-7.1199000000000012E-2</v>
      </c>
      <c r="L674">
        <v>76.476104725132089</v>
      </c>
      <c r="M674">
        <f t="shared" si="10"/>
        <v>-28</v>
      </c>
    </row>
    <row r="675" spans="3:13">
      <c r="C675" s="2">
        <v>41036</v>
      </c>
      <c r="D675">
        <v>78.296750109856816</v>
      </c>
      <c r="E675">
        <f>VLOOKUP(C675,'10y swap Vol'!$C$2:$G$3809,5,0)</f>
        <v>75.467928081842118</v>
      </c>
      <c r="F675">
        <f>VLOOKUP(C675,'5y10y Swaption Vol'!temp,3,0)</f>
        <v>97.799584319999994</v>
      </c>
      <c r="H675" s="1">
        <v>41064</v>
      </c>
      <c r="I675" t="s">
        <v>2</v>
      </c>
      <c r="J675">
        <v>1.735479</v>
      </c>
      <c r="K675">
        <v>5.898800000000004E-2</v>
      </c>
      <c r="L675">
        <v>77.458102481436455</v>
      </c>
      <c r="M675">
        <f t="shared" si="10"/>
        <v>-28</v>
      </c>
    </row>
    <row r="676" spans="3:13">
      <c r="C676" s="2">
        <v>41037</v>
      </c>
      <c r="D676">
        <v>78.331798199326826</v>
      </c>
      <c r="E676">
        <f>VLOOKUP(C676,'10y swap Vol'!$C$2:$G$3809,5,0)</f>
        <v>75.470235229083414</v>
      </c>
      <c r="F676">
        <f>VLOOKUP(C676,'5y10y Swaption Vol'!temp,3,0)</f>
        <v>97.601929841</v>
      </c>
      <c r="H676" s="1">
        <v>41065</v>
      </c>
      <c r="I676" t="s">
        <v>2</v>
      </c>
      <c r="J676">
        <v>1.753107</v>
      </c>
      <c r="K676">
        <v>1.7627999999999977E-2</v>
      </c>
      <c r="L676">
        <v>77.590419064148207</v>
      </c>
      <c r="M676">
        <f t="shared" si="10"/>
        <v>-28</v>
      </c>
    </row>
    <row r="677" spans="3:13">
      <c r="C677" s="2">
        <v>41038</v>
      </c>
      <c r="D677">
        <v>77.663765156490271</v>
      </c>
      <c r="E677">
        <f>VLOOKUP(C677,'10y swap Vol'!$C$2:$G$3809,5,0)</f>
        <v>74.273923877611665</v>
      </c>
      <c r="F677">
        <f>VLOOKUP(C677,'5y10y Swaption Vol'!temp,3,0)</f>
        <v>97.929157611999997</v>
      </c>
      <c r="H677" s="1">
        <v>41066</v>
      </c>
      <c r="I677" t="s">
        <v>2</v>
      </c>
      <c r="J677">
        <v>1.819515</v>
      </c>
      <c r="K677">
        <v>6.6408000000000023E-2</v>
      </c>
      <c r="L677">
        <v>77.131003271797127</v>
      </c>
      <c r="M677">
        <f t="shared" si="10"/>
        <v>-28</v>
      </c>
    </row>
    <row r="678" spans="3:13">
      <c r="C678" s="2">
        <v>41039</v>
      </c>
      <c r="D678">
        <v>77.628835158979143</v>
      </c>
      <c r="E678">
        <f>VLOOKUP(C678,'10y swap Vol'!$C$2:$G$3809,5,0)</f>
        <v>74.401173354773675</v>
      </c>
      <c r="F678">
        <f>VLOOKUP(C678,'5y10y Swaption Vol'!temp,3,0)</f>
        <v>97.592224896000005</v>
      </c>
      <c r="H678" s="1">
        <v>41067</v>
      </c>
      <c r="I678" t="s">
        <v>2</v>
      </c>
      <c r="J678">
        <v>1.833925</v>
      </c>
      <c r="K678">
        <v>1.4410000000000034E-2</v>
      </c>
      <c r="L678">
        <v>70.209256028460459</v>
      </c>
      <c r="M678">
        <f t="shared" si="10"/>
        <v>-28</v>
      </c>
    </row>
    <row r="679" spans="3:13">
      <c r="C679" s="2">
        <v>41040</v>
      </c>
      <c r="D679">
        <v>77.066111961715947</v>
      </c>
      <c r="E679">
        <f>VLOOKUP(C679,'10y swap Vol'!$C$2:$G$3809,5,0)</f>
        <v>73.714532802074402</v>
      </c>
      <c r="F679">
        <f>VLOOKUP(C679,'5y10y Swaption Vol'!temp,3,0)</f>
        <v>97.641260775000006</v>
      </c>
      <c r="H679" s="1">
        <v>41068</v>
      </c>
      <c r="I679" t="s">
        <v>2</v>
      </c>
      <c r="J679">
        <v>1.8285340000000001</v>
      </c>
      <c r="K679">
        <v>-5.3909999999999236E-3</v>
      </c>
      <c r="L679">
        <v>70.068363961874994</v>
      </c>
      <c r="M679">
        <f t="shared" si="10"/>
        <v>-28</v>
      </c>
    </row>
    <row r="680" spans="3:13">
      <c r="C680" s="2">
        <v>41043</v>
      </c>
      <c r="D680">
        <v>76.92770249070719</v>
      </c>
      <c r="E680">
        <f>VLOOKUP(C680,'10y swap Vol'!$C$2:$G$3809,5,0)</f>
        <v>74.048517850152621</v>
      </c>
      <c r="F680">
        <f>VLOOKUP(C680,'5y10y Swaption Vol'!temp,3,0)</f>
        <v>98.112986711999994</v>
      </c>
      <c r="H680" s="1">
        <v>41071</v>
      </c>
      <c r="I680" t="s">
        <v>2</v>
      </c>
      <c r="J680">
        <v>1.7900689999999999</v>
      </c>
      <c r="K680">
        <v>-3.8465000000000193E-2</v>
      </c>
      <c r="L680">
        <v>70.180551300216038</v>
      </c>
      <c r="M680">
        <f t="shared" si="10"/>
        <v>-28</v>
      </c>
    </row>
    <row r="681" spans="3:13">
      <c r="C681" s="2">
        <v>41044</v>
      </c>
      <c r="D681">
        <v>76.033412447355516</v>
      </c>
      <c r="E681">
        <f>VLOOKUP(C681,'10y swap Vol'!$C$2:$G$3809,5,0)</f>
        <v>73.179435882564633</v>
      </c>
      <c r="F681">
        <f>VLOOKUP(C681,'5y10y Swaption Vol'!temp,3,0)</f>
        <v>98.124823403999997</v>
      </c>
      <c r="H681" s="1">
        <v>41072</v>
      </c>
      <c r="I681" t="s">
        <v>2</v>
      </c>
      <c r="J681">
        <v>1.827094</v>
      </c>
      <c r="K681">
        <v>3.7025000000000086E-2</v>
      </c>
      <c r="L681">
        <v>67.353989455136158</v>
      </c>
      <c r="M681">
        <f t="shared" si="10"/>
        <v>-28</v>
      </c>
    </row>
    <row r="682" spans="3:13">
      <c r="C682" s="2">
        <v>41045</v>
      </c>
      <c r="D682">
        <v>75.605922761554638</v>
      </c>
      <c r="E682">
        <f>VLOOKUP(C682,'10y swap Vol'!$C$2:$G$3809,5,0)</f>
        <v>72.986915177729031</v>
      </c>
      <c r="F682">
        <f>VLOOKUP(C682,'5y10y Swaption Vol'!temp,3,0)</f>
        <v>97.342912116999997</v>
      </c>
      <c r="H682" s="1">
        <v>41073</v>
      </c>
      <c r="I682" t="s">
        <v>2</v>
      </c>
      <c r="J682">
        <v>1.7608189999999999</v>
      </c>
      <c r="K682">
        <v>-6.6275000000000084E-2</v>
      </c>
      <c r="L682">
        <v>68.233047374809232</v>
      </c>
      <c r="M682">
        <f t="shared" si="10"/>
        <v>-28</v>
      </c>
    </row>
    <row r="683" spans="3:13">
      <c r="C683" s="2">
        <v>41046</v>
      </c>
      <c r="D683">
        <v>76.455414850840157</v>
      </c>
      <c r="E683">
        <f>VLOOKUP(C683,'10y swap Vol'!$C$2:$G$3809,5,0)</f>
        <v>74.172147606202145</v>
      </c>
      <c r="F683">
        <f>VLOOKUP(C683,'5y10y Swaption Vol'!temp,3,0)</f>
        <v>97.064328959999997</v>
      </c>
      <c r="H683" s="1">
        <v>41074</v>
      </c>
      <c r="I683" t="s">
        <v>2</v>
      </c>
      <c r="J683">
        <v>1.7620210000000001</v>
      </c>
      <c r="K683">
        <v>1.2020000000001474E-3</v>
      </c>
      <c r="L683">
        <v>66.432504457659462</v>
      </c>
      <c r="M683">
        <f t="shared" si="10"/>
        <v>-28</v>
      </c>
    </row>
    <row r="684" spans="3:13">
      <c r="C684" s="2">
        <v>41047</v>
      </c>
      <c r="D684">
        <v>76.416807497895306</v>
      </c>
      <c r="E684">
        <f>VLOOKUP(C684,'10y swap Vol'!$C$2:$G$3809,5,0)</f>
        <v>74.165418594489836</v>
      </c>
      <c r="F684">
        <f>VLOOKUP(C684,'5y10y Swaption Vol'!temp,3,0)</f>
        <v>96.832633560000005</v>
      </c>
      <c r="H684" s="1">
        <v>41075</v>
      </c>
      <c r="I684" t="s">
        <v>2</v>
      </c>
      <c r="J684">
        <v>1.7352080000000001</v>
      </c>
      <c r="K684">
        <v>-2.6812999999999976E-2</v>
      </c>
      <c r="L684">
        <v>66.472114891289252</v>
      </c>
      <c r="M684">
        <f t="shared" si="10"/>
        <v>-28</v>
      </c>
    </row>
    <row r="685" spans="3:13">
      <c r="C685" s="2">
        <v>41050</v>
      </c>
      <c r="D685">
        <v>77.175003228022419</v>
      </c>
      <c r="E685">
        <f>VLOOKUP(C685,'10y swap Vol'!$C$2:$G$3809,5,0)</f>
        <v>73.690668636678538</v>
      </c>
      <c r="F685">
        <f>VLOOKUP(C685,'5y10y Swaption Vol'!temp,3,0)</f>
        <v>97.007764895999998</v>
      </c>
      <c r="H685" s="1">
        <v>41078</v>
      </c>
      <c r="I685" t="s">
        <v>2</v>
      </c>
      <c r="J685">
        <v>1.7377180000000001</v>
      </c>
      <c r="K685">
        <v>2.5100000000000122E-3</v>
      </c>
      <c r="L685">
        <v>66.285817411933721</v>
      </c>
      <c r="M685">
        <f t="shared" si="10"/>
        <v>-28</v>
      </c>
    </row>
    <row r="686" spans="3:13">
      <c r="C686" s="2">
        <v>41051</v>
      </c>
      <c r="D686">
        <v>77.53014830947113</v>
      </c>
      <c r="E686">
        <f>VLOOKUP(C686,'10y swap Vol'!$C$2:$G$3809,5,0)</f>
        <v>74.937683471095625</v>
      </c>
      <c r="F686">
        <f>VLOOKUP(C686,'5y10y Swaption Vol'!temp,3,0)</f>
        <v>98.105163340000004</v>
      </c>
      <c r="H686" s="1">
        <v>41079</v>
      </c>
      <c r="I686" t="s">
        <v>2</v>
      </c>
      <c r="J686">
        <v>1.7741830000000001</v>
      </c>
      <c r="K686">
        <v>3.646499999999997E-2</v>
      </c>
      <c r="L686">
        <v>66.848419577555802</v>
      </c>
      <c r="M686">
        <f t="shared" si="10"/>
        <v>-28</v>
      </c>
    </row>
    <row r="687" spans="3:13">
      <c r="C687" s="2">
        <v>41052</v>
      </c>
      <c r="D687">
        <v>76.359822275778683</v>
      </c>
      <c r="E687">
        <f>VLOOKUP(C687,'10y swap Vol'!$C$2:$G$3809,5,0)</f>
        <v>75.231363281568818</v>
      </c>
      <c r="F687">
        <f>VLOOKUP(C687,'5y10y Swaption Vol'!temp,3,0)</f>
        <v>97.382095002</v>
      </c>
      <c r="H687" s="1">
        <v>41080</v>
      </c>
      <c r="I687" t="s">
        <v>2</v>
      </c>
      <c r="J687">
        <v>1.790516</v>
      </c>
      <c r="K687">
        <v>1.6332999999999931E-2</v>
      </c>
      <c r="L687">
        <v>65.779399823268804</v>
      </c>
      <c r="M687">
        <f t="shared" si="10"/>
        <v>-28</v>
      </c>
    </row>
    <row r="688" spans="3:13">
      <c r="C688" s="2">
        <v>41053</v>
      </c>
      <c r="D688">
        <v>75.894227841250711</v>
      </c>
      <c r="E688">
        <f>VLOOKUP(C688,'10y swap Vol'!$C$2:$G$3809,5,0)</f>
        <v>74.726816791593436</v>
      </c>
      <c r="F688">
        <f>VLOOKUP(C688,'5y10y Swaption Vol'!temp,3,0)</f>
        <v>96.830761846000001</v>
      </c>
      <c r="H688" s="1">
        <v>41081</v>
      </c>
      <c r="I688" t="s">
        <v>2</v>
      </c>
      <c r="J688">
        <v>1.7708649999999999</v>
      </c>
      <c r="K688">
        <v>-1.9651000000000085E-2</v>
      </c>
      <c r="L688">
        <v>65.695128531291672</v>
      </c>
      <c r="M688">
        <f t="shared" si="10"/>
        <v>-28</v>
      </c>
    </row>
    <row r="689" spans="3:13">
      <c r="C689" s="2">
        <v>41054</v>
      </c>
      <c r="D689">
        <v>75.550538812223195</v>
      </c>
      <c r="E689">
        <f>VLOOKUP(C689,'10y swap Vol'!$C$2:$G$3809,5,0)</f>
        <v>74.129585106826028</v>
      </c>
      <c r="F689">
        <f>VLOOKUP(C689,'5y10y Swaption Vol'!temp,3,0)</f>
        <v>96.687977885999999</v>
      </c>
      <c r="H689" s="1">
        <v>41082</v>
      </c>
      <c r="I689" t="s">
        <v>2</v>
      </c>
      <c r="J689">
        <v>1.801701</v>
      </c>
      <c r="K689">
        <v>3.0836000000000086E-2</v>
      </c>
      <c r="L689">
        <v>65.959969575432225</v>
      </c>
      <c r="M689">
        <f t="shared" si="10"/>
        <v>-28</v>
      </c>
    </row>
    <row r="690" spans="3:13">
      <c r="C690" s="2">
        <v>41058</v>
      </c>
      <c r="D690">
        <v>75.538458432156546</v>
      </c>
      <c r="E690">
        <f>VLOOKUP(C690,'10y swap Vol'!$C$2:$G$3809,5,0)</f>
        <v>74.059421259168175</v>
      </c>
      <c r="F690">
        <f>VLOOKUP(C690,'5y10y Swaption Vol'!temp,3,0)</f>
        <v>96.068260452999994</v>
      </c>
      <c r="H690" s="1">
        <v>41085</v>
      </c>
      <c r="I690" t="s">
        <v>2</v>
      </c>
      <c r="J690">
        <v>1.744502</v>
      </c>
      <c r="K690">
        <v>-5.7199E-2</v>
      </c>
      <c r="L690">
        <v>65.021150679322275</v>
      </c>
      <c r="M690">
        <f t="shared" si="10"/>
        <v>-27</v>
      </c>
    </row>
    <row r="691" spans="3:13">
      <c r="C691" s="2">
        <v>41059</v>
      </c>
      <c r="D691">
        <v>77.193586539464306</v>
      </c>
      <c r="E691">
        <f>VLOOKUP(C691,'10y swap Vol'!$C$2:$G$3809,5,0)</f>
        <v>75.874212133047735</v>
      </c>
      <c r="F691">
        <f>VLOOKUP(C691,'5y10y Swaption Vol'!temp,3,0)</f>
        <v>94.276040910000006</v>
      </c>
      <c r="H691" s="1">
        <v>41086</v>
      </c>
      <c r="I691" t="s">
        <v>2</v>
      </c>
      <c r="J691">
        <v>1.761655</v>
      </c>
      <c r="K691">
        <v>1.7152999999999974E-2</v>
      </c>
      <c r="L691">
        <v>65.238146737836033</v>
      </c>
      <c r="M691">
        <f t="shared" si="10"/>
        <v>-27</v>
      </c>
    </row>
    <row r="692" spans="3:13">
      <c r="C692" s="2">
        <v>41060</v>
      </c>
      <c r="D692">
        <v>77.127198505562362</v>
      </c>
      <c r="E692">
        <f>VLOOKUP(C692,'10y swap Vol'!$C$2:$G$3809,5,0)</f>
        <v>75.910078666986635</v>
      </c>
      <c r="F692">
        <f>VLOOKUP(C692,'5y10y Swaption Vol'!temp,3,0)</f>
        <v>94.138797530999994</v>
      </c>
      <c r="H692" s="1">
        <v>41087</v>
      </c>
      <c r="I692" t="s">
        <v>2</v>
      </c>
      <c r="J692">
        <v>1.7517590000000001</v>
      </c>
      <c r="K692">
        <v>-9.8959999999999049E-3</v>
      </c>
      <c r="L692">
        <v>61.48697456556134</v>
      </c>
      <c r="M692">
        <f t="shared" si="10"/>
        <v>-27</v>
      </c>
    </row>
    <row r="693" spans="3:13">
      <c r="C693" s="2">
        <v>41061</v>
      </c>
      <c r="D693">
        <v>79.932306076378566</v>
      </c>
      <c r="E693">
        <f>VLOOKUP(C693,'10y swap Vol'!$C$2:$G$3809,5,0)</f>
        <v>76.476104725132089</v>
      </c>
      <c r="F693">
        <f>VLOOKUP(C693,'5y10y Swaption Vol'!temp,3,0)</f>
        <v>93.942567420000003</v>
      </c>
      <c r="H693" s="1">
        <v>41088</v>
      </c>
      <c r="I693" t="s">
        <v>2</v>
      </c>
      <c r="J693">
        <v>1.7131289999999999</v>
      </c>
      <c r="K693">
        <v>-3.8630000000000164E-2</v>
      </c>
      <c r="L693">
        <v>61.467611515406219</v>
      </c>
      <c r="M693">
        <f t="shared" si="10"/>
        <v>-27</v>
      </c>
    </row>
    <row r="694" spans="3:13">
      <c r="C694" s="2">
        <v>41064</v>
      </c>
      <c r="D694">
        <v>82.355690088507814</v>
      </c>
      <c r="E694">
        <f>VLOOKUP(C694,'10y swap Vol'!$C$2:$G$3809,5,0)</f>
        <v>77.458102481436455</v>
      </c>
      <c r="F694">
        <f>VLOOKUP(C694,'5y10y Swaption Vol'!temp,3,0)</f>
        <v>94.466085227999997</v>
      </c>
      <c r="H694" s="1">
        <v>41089</v>
      </c>
      <c r="I694" t="s">
        <v>2</v>
      </c>
      <c r="J694">
        <v>1.782516</v>
      </c>
      <c r="K694">
        <v>6.9387000000000087E-2</v>
      </c>
      <c r="L694">
        <v>62.699924987852604</v>
      </c>
      <c r="M694">
        <f t="shared" si="10"/>
        <v>-25</v>
      </c>
    </row>
    <row r="695" spans="3:13">
      <c r="C695" s="2">
        <v>41065</v>
      </c>
      <c r="D695">
        <v>83.114117600222272</v>
      </c>
      <c r="E695">
        <f>VLOOKUP(C695,'10y swap Vol'!$C$2:$G$3809,5,0)</f>
        <v>77.590419064148207</v>
      </c>
      <c r="F695">
        <f>VLOOKUP(C695,'5y10y Swaption Vol'!temp,3,0)</f>
        <v>94.249046231999998</v>
      </c>
      <c r="H695" s="1">
        <v>41092</v>
      </c>
      <c r="I695" t="s">
        <v>2</v>
      </c>
      <c r="J695">
        <v>1.7254320000000001</v>
      </c>
      <c r="K695">
        <v>-5.7083999999999913E-2</v>
      </c>
      <c r="L695">
        <v>58.134195083511464</v>
      </c>
      <c r="M695">
        <f t="shared" si="10"/>
        <v>-27</v>
      </c>
    </row>
    <row r="696" spans="3:13">
      <c r="C696" s="2">
        <v>41066</v>
      </c>
      <c r="D696">
        <v>81.883794932108728</v>
      </c>
      <c r="E696">
        <f>VLOOKUP(C696,'10y swap Vol'!$C$2:$G$3809,5,0)</f>
        <v>77.131003271797127</v>
      </c>
      <c r="F696">
        <f>VLOOKUP(C696,'5y10y Swaption Vol'!temp,3,0)</f>
        <v>94.150456399999996</v>
      </c>
      <c r="H696" s="1">
        <v>41093</v>
      </c>
      <c r="I696" t="s">
        <v>2</v>
      </c>
      <c r="J696">
        <v>1.7680560000000001</v>
      </c>
      <c r="K696">
        <v>4.2623999999999995E-2</v>
      </c>
      <c r="L696">
        <v>58.868214014926615</v>
      </c>
      <c r="M696">
        <f t="shared" si="10"/>
        <v>-27</v>
      </c>
    </row>
    <row r="697" spans="3:13">
      <c r="C697" s="2">
        <v>41067</v>
      </c>
      <c r="D697">
        <v>72.680534707988159</v>
      </c>
      <c r="E697">
        <f>VLOOKUP(C697,'10y swap Vol'!$C$2:$G$3809,5,0)</f>
        <v>70.209256028460459</v>
      </c>
      <c r="F697">
        <f>VLOOKUP(C697,'5y10y Swaption Vol'!temp,3,0)</f>
        <v>94.619147264000006</v>
      </c>
      <c r="H697" s="1">
        <v>41095</v>
      </c>
      <c r="I697" t="s">
        <v>2</v>
      </c>
      <c r="J697">
        <v>1.7434540000000001</v>
      </c>
      <c r="K697">
        <v>-2.4602000000000013E-2</v>
      </c>
      <c r="L697">
        <v>58.923522924661484</v>
      </c>
      <c r="M697">
        <f t="shared" si="10"/>
        <v>-28</v>
      </c>
    </row>
    <row r="698" spans="3:13">
      <c r="C698" s="2">
        <v>41068</v>
      </c>
      <c r="D698">
        <v>72.705671709633364</v>
      </c>
      <c r="E698">
        <f>VLOOKUP(C698,'10y swap Vol'!$C$2:$G$3809,5,0)</f>
        <v>70.068363961874994</v>
      </c>
      <c r="F698">
        <f>VLOOKUP(C698,'5y10y Swaption Vol'!temp,3,0)</f>
        <v>94.082497541999999</v>
      </c>
      <c r="H698" s="1">
        <v>41096</v>
      </c>
      <c r="I698" t="s">
        <v>2</v>
      </c>
      <c r="J698">
        <v>1.6916739999999999</v>
      </c>
      <c r="K698">
        <v>-5.1780000000000159E-2</v>
      </c>
      <c r="L698">
        <v>59.073940317064</v>
      </c>
      <c r="M698">
        <f t="shared" si="10"/>
        <v>-28</v>
      </c>
    </row>
    <row r="699" spans="3:13">
      <c r="C699" s="2">
        <v>41071</v>
      </c>
      <c r="D699">
        <v>72.872096549436364</v>
      </c>
      <c r="E699">
        <f>VLOOKUP(C699,'10y swap Vol'!$C$2:$G$3809,5,0)</f>
        <v>70.180551300216038</v>
      </c>
      <c r="F699">
        <f>VLOOKUP(C699,'5y10y Swaption Vol'!temp,3,0)</f>
        <v>94.366623223000005</v>
      </c>
      <c r="H699" s="1">
        <v>41099</v>
      </c>
      <c r="I699" t="s">
        <v>2</v>
      </c>
      <c r="J699">
        <v>1.6504970000000001</v>
      </c>
      <c r="K699">
        <v>-4.1176999999999797E-2</v>
      </c>
      <c r="L699">
        <v>59.209595775191545</v>
      </c>
      <c r="M699">
        <f t="shared" si="10"/>
        <v>-28</v>
      </c>
    </row>
    <row r="700" spans="3:13">
      <c r="C700" s="2">
        <v>41072</v>
      </c>
      <c r="D700">
        <v>70.261092790400099</v>
      </c>
      <c r="E700">
        <f>VLOOKUP(C700,'10y swap Vol'!$C$2:$G$3809,5,0)</f>
        <v>67.353989455136158</v>
      </c>
      <c r="F700">
        <f>VLOOKUP(C700,'5y10y Swaption Vol'!temp,3,0)</f>
        <v>94.526384633999996</v>
      </c>
      <c r="H700" s="1">
        <v>41100</v>
      </c>
      <c r="I700" t="s">
        <v>2</v>
      </c>
      <c r="J700">
        <v>1.630206</v>
      </c>
      <c r="K700">
        <v>-2.0291000000000059E-2</v>
      </c>
      <c r="L700">
        <v>58.727419497188251</v>
      </c>
      <c r="M700">
        <f t="shared" si="10"/>
        <v>-28</v>
      </c>
    </row>
    <row r="701" spans="3:13">
      <c r="C701" s="2">
        <v>41073</v>
      </c>
      <c r="D701">
        <v>70.545574747387604</v>
      </c>
      <c r="E701">
        <f>VLOOKUP(C701,'10y swap Vol'!$C$2:$G$3809,5,0)</f>
        <v>68.233047374809232</v>
      </c>
      <c r="F701">
        <f>VLOOKUP(C701,'5y10y Swaption Vol'!temp,3,0)</f>
        <v>94.1257904</v>
      </c>
      <c r="H701" s="1">
        <v>41101</v>
      </c>
      <c r="I701" t="s">
        <v>2</v>
      </c>
      <c r="J701">
        <v>1.622681</v>
      </c>
      <c r="K701">
        <v>-7.5250000000000039E-3</v>
      </c>
      <c r="L701">
        <v>58.642129990054748</v>
      </c>
      <c r="M701">
        <f t="shared" si="10"/>
        <v>-28</v>
      </c>
    </row>
    <row r="702" spans="3:13">
      <c r="C702" s="2">
        <v>41074</v>
      </c>
      <c r="D702">
        <v>68.89030522888757</v>
      </c>
      <c r="E702">
        <f>VLOOKUP(C702,'10y swap Vol'!$C$2:$G$3809,5,0)</f>
        <v>66.432504457659462</v>
      </c>
      <c r="F702">
        <f>VLOOKUP(C702,'5y10y Swaption Vol'!temp,3,0)</f>
        <v>94.255007778000007</v>
      </c>
      <c r="H702" s="1">
        <v>41102</v>
      </c>
      <c r="I702" t="s">
        <v>2</v>
      </c>
      <c r="J702">
        <v>1.597016</v>
      </c>
      <c r="K702">
        <v>-2.5665000000000049E-2</v>
      </c>
      <c r="L702">
        <v>58.141989508899371</v>
      </c>
      <c r="M702">
        <f t="shared" si="10"/>
        <v>-28</v>
      </c>
    </row>
    <row r="703" spans="3:13">
      <c r="C703" s="2">
        <v>41075</v>
      </c>
      <c r="D703">
        <v>68.889223883948247</v>
      </c>
      <c r="E703">
        <f>VLOOKUP(C703,'10y swap Vol'!$C$2:$G$3809,5,0)</f>
        <v>66.472114891289252</v>
      </c>
      <c r="F703">
        <f>VLOOKUP(C703,'5y10y Swaption Vol'!temp,3,0)</f>
        <v>94.285457751999999</v>
      </c>
      <c r="H703" s="1">
        <v>41103</v>
      </c>
      <c r="I703" t="s">
        <v>2</v>
      </c>
      <c r="J703">
        <v>1.6223719999999999</v>
      </c>
      <c r="K703">
        <v>2.5355999999999934E-2</v>
      </c>
      <c r="L703">
        <v>58.504809184233849</v>
      </c>
      <c r="M703">
        <f t="shared" si="10"/>
        <v>-28</v>
      </c>
    </row>
    <row r="704" spans="3:13">
      <c r="C704" s="2">
        <v>41078</v>
      </c>
      <c r="D704">
        <v>68.841224297709516</v>
      </c>
      <c r="E704">
        <f>VLOOKUP(C704,'10y swap Vol'!$C$2:$G$3809,5,0)</f>
        <v>66.285817411933721</v>
      </c>
      <c r="F704">
        <f>VLOOKUP(C704,'5y10y Swaption Vol'!temp,3,0)</f>
        <v>93.540099327999997</v>
      </c>
      <c r="H704" s="1">
        <v>41106</v>
      </c>
      <c r="I704" t="s">
        <v>2</v>
      </c>
      <c r="J704">
        <v>1.603548</v>
      </c>
      <c r="K704">
        <v>-1.8823999999999952E-2</v>
      </c>
      <c r="L704">
        <v>58.385276862814109</v>
      </c>
      <c r="M704">
        <f t="shared" si="10"/>
        <v>-28</v>
      </c>
    </row>
    <row r="705" spans="3:13">
      <c r="C705" s="2">
        <v>41079</v>
      </c>
      <c r="D705">
        <v>68.880870418327262</v>
      </c>
      <c r="E705">
        <f>VLOOKUP(C705,'10y swap Vol'!$C$2:$G$3809,5,0)</f>
        <v>66.848419577555802</v>
      </c>
      <c r="F705">
        <f>VLOOKUP(C705,'5y10y Swaption Vol'!temp,3,0)</f>
        <v>93.677724327000007</v>
      </c>
      <c r="H705" s="1">
        <v>41107</v>
      </c>
      <c r="I705" t="s">
        <v>2</v>
      </c>
      <c r="J705">
        <v>1.645662</v>
      </c>
      <c r="K705">
        <v>4.2113999999999985E-2</v>
      </c>
      <c r="L705">
        <v>59.112288811061475</v>
      </c>
      <c r="M705">
        <f t="shared" si="10"/>
        <v>-28</v>
      </c>
    </row>
    <row r="706" spans="3:13">
      <c r="C706" s="2">
        <v>41080</v>
      </c>
      <c r="D706">
        <v>68.136573339931545</v>
      </c>
      <c r="E706">
        <f>VLOOKUP(C706,'10y swap Vol'!$C$2:$G$3809,5,0)</f>
        <v>65.779399823268804</v>
      </c>
      <c r="F706">
        <f>VLOOKUP(C706,'5y10y Swaption Vol'!temp,3,0)</f>
        <v>92.845016172000001</v>
      </c>
      <c r="H706" s="1">
        <v>41108</v>
      </c>
      <c r="I706" t="s">
        <v>2</v>
      </c>
      <c r="J706">
        <v>1.617766</v>
      </c>
      <c r="K706">
        <v>-2.7895999999999921E-2</v>
      </c>
      <c r="L706">
        <v>59.16874492845777</v>
      </c>
      <c r="M706">
        <f t="shared" si="10"/>
        <v>-28</v>
      </c>
    </row>
    <row r="707" spans="3:13">
      <c r="C707" s="2">
        <v>41081</v>
      </c>
      <c r="D707">
        <v>68.097536871250213</v>
      </c>
      <c r="E707">
        <f>VLOOKUP(C707,'10y swap Vol'!$C$2:$G$3809,5,0)</f>
        <v>65.695128531291672</v>
      </c>
      <c r="F707">
        <f>VLOOKUP(C707,'5y10y Swaption Vol'!temp,3,0)</f>
        <v>93.316273894000005</v>
      </c>
      <c r="H707" s="1">
        <v>41109</v>
      </c>
      <c r="I707" t="s">
        <v>2</v>
      </c>
      <c r="J707">
        <v>1.641194</v>
      </c>
      <c r="K707">
        <v>2.3428000000000004E-2</v>
      </c>
      <c r="L707">
        <v>58.923935929043779</v>
      </c>
      <c r="M707">
        <f t="shared" ref="M707:M770" si="11">C707-H707</f>
        <v>-28</v>
      </c>
    </row>
    <row r="708" spans="3:13">
      <c r="C708" s="2">
        <v>41082</v>
      </c>
      <c r="D708">
        <v>68.99297381387413</v>
      </c>
      <c r="E708">
        <f>VLOOKUP(C708,'10y swap Vol'!$C$2:$G$3809,5,0)</f>
        <v>65.959969575432225</v>
      </c>
      <c r="F708">
        <f>VLOOKUP(C708,'5y10y Swaption Vol'!temp,3,0)</f>
        <v>93.667235550000001</v>
      </c>
      <c r="H708" s="1">
        <v>41110</v>
      </c>
      <c r="I708" t="s">
        <v>2</v>
      </c>
      <c r="J708">
        <v>1.5929899999999999</v>
      </c>
      <c r="K708">
        <v>-4.8204000000000136E-2</v>
      </c>
      <c r="L708">
        <v>59.264656877953684</v>
      </c>
      <c r="M708">
        <f t="shared" si="11"/>
        <v>-28</v>
      </c>
    </row>
    <row r="709" spans="3:13">
      <c r="C709" s="2">
        <v>41085</v>
      </c>
      <c r="D709">
        <v>70.250698663430228</v>
      </c>
      <c r="E709">
        <f>VLOOKUP(C709,'10y swap Vol'!$C$2:$G$3809,5,0)</f>
        <v>65.021150679322275</v>
      </c>
      <c r="F709">
        <f>VLOOKUP(C709,'5y10y Swaption Vol'!temp,3,0)</f>
        <v>93.238787590000001</v>
      </c>
      <c r="H709" s="1">
        <v>41113</v>
      </c>
      <c r="I709" t="s">
        <v>2</v>
      </c>
      <c r="J709">
        <v>1.57104</v>
      </c>
      <c r="K709">
        <v>-2.1949999999999914E-2</v>
      </c>
      <c r="L709">
        <v>59.297360218990171</v>
      </c>
      <c r="M709">
        <f t="shared" si="11"/>
        <v>-28</v>
      </c>
    </row>
    <row r="710" spans="3:13">
      <c r="C710" s="2">
        <v>41086</v>
      </c>
      <c r="D710">
        <v>70.811777879479791</v>
      </c>
      <c r="E710">
        <f>VLOOKUP(C710,'10y swap Vol'!$C$2:$G$3809,5,0)</f>
        <v>65.238146737836033</v>
      </c>
      <c r="F710">
        <f>VLOOKUP(C710,'5y10y Swaption Vol'!temp,3,0)</f>
        <v>93.742523969999993</v>
      </c>
      <c r="H710" s="1">
        <v>41114</v>
      </c>
      <c r="I710" t="s">
        <v>2</v>
      </c>
      <c r="J710">
        <v>1.5439769999999999</v>
      </c>
      <c r="K710">
        <v>-2.7063000000000059E-2</v>
      </c>
      <c r="L710">
        <v>59.290483023771124</v>
      </c>
      <c r="M710">
        <f t="shared" si="11"/>
        <v>-28</v>
      </c>
    </row>
    <row r="711" spans="3:13">
      <c r="C711" s="2">
        <v>41087</v>
      </c>
      <c r="D711">
        <v>65.820875071031082</v>
      </c>
      <c r="E711">
        <f>VLOOKUP(C711,'10y swap Vol'!$C$2:$G$3809,5,0)</f>
        <v>61.48697456556134</v>
      </c>
      <c r="F711">
        <f>VLOOKUP(C711,'5y10y Swaption Vol'!temp,3,0)</f>
        <v>93.654121337000007</v>
      </c>
      <c r="H711" s="1">
        <v>41115</v>
      </c>
      <c r="I711" t="s">
        <v>2</v>
      </c>
      <c r="J711">
        <v>1.5422610000000001</v>
      </c>
      <c r="K711">
        <v>-1.7159999999998288E-3</v>
      </c>
      <c r="L711">
        <v>59.264617062001257</v>
      </c>
      <c r="M711">
        <f t="shared" si="11"/>
        <v>-28</v>
      </c>
    </row>
    <row r="712" spans="3:13">
      <c r="C712" s="2">
        <v>41088</v>
      </c>
      <c r="D712">
        <v>65.375412929345245</v>
      </c>
      <c r="E712">
        <f>VLOOKUP(C712,'10y swap Vol'!$C$2:$G$3809,5,0)</f>
        <v>61.467611515406219</v>
      </c>
      <c r="F712">
        <f>VLOOKUP(C712,'5y10y Swaption Vol'!temp,3,0)</f>
        <v>93.662011152000005</v>
      </c>
      <c r="H712" s="1">
        <v>41116</v>
      </c>
      <c r="I712" t="s">
        <v>2</v>
      </c>
      <c r="J712">
        <v>1.5588280000000001</v>
      </c>
      <c r="K712">
        <v>1.6566999999999998E-2</v>
      </c>
      <c r="L712">
        <v>58.657313376895623</v>
      </c>
      <c r="M712">
        <f t="shared" si="11"/>
        <v>-28</v>
      </c>
    </row>
    <row r="713" spans="3:13">
      <c r="C713" s="2">
        <v>41089</v>
      </c>
      <c r="D713">
        <v>66.782171338472097</v>
      </c>
      <c r="E713">
        <f>VLOOKUP(C713,'10y swap Vol'!$C$2:$G$3809,5,0)</f>
        <v>62.699924987852604</v>
      </c>
      <c r="F713">
        <f>VLOOKUP(C713,'5y10y Swaption Vol'!temp,3,0)</f>
        <v>93.869625247000002</v>
      </c>
      <c r="H713" s="1">
        <v>41117</v>
      </c>
      <c r="I713" t="s">
        <v>2</v>
      </c>
      <c r="J713">
        <v>1.6763319999999999</v>
      </c>
      <c r="K713">
        <v>0.11750399999999983</v>
      </c>
      <c r="L713">
        <v>63.854911376276881</v>
      </c>
      <c r="M713">
        <f t="shared" si="11"/>
        <v>-28</v>
      </c>
    </row>
    <row r="714" spans="3:13">
      <c r="C714" s="2">
        <v>41092</v>
      </c>
      <c r="D714">
        <v>64.051255203491934</v>
      </c>
      <c r="E714">
        <f>VLOOKUP(C714,'10y swap Vol'!$C$2:$G$3809,5,0)</f>
        <v>58.134195083511464</v>
      </c>
      <c r="F714">
        <f>VLOOKUP(C714,'5y10y Swaption Vol'!temp,3,0)</f>
        <v>94.075926241000005</v>
      </c>
      <c r="H714" s="1">
        <v>41120</v>
      </c>
      <c r="I714" t="s">
        <v>2</v>
      </c>
      <c r="J714">
        <v>1.614606</v>
      </c>
      <c r="K714">
        <v>-6.1725999999999948E-2</v>
      </c>
      <c r="L714">
        <v>64.841899591723362</v>
      </c>
      <c r="M714">
        <f t="shared" si="11"/>
        <v>-28</v>
      </c>
    </row>
    <row r="715" spans="3:13">
      <c r="C715" s="2">
        <v>41093</v>
      </c>
      <c r="D715">
        <v>64.628287336770697</v>
      </c>
      <c r="E715">
        <f>VLOOKUP(C715,'10y swap Vol'!$C$2:$G$3809,5,0)</f>
        <v>58.868214014926615</v>
      </c>
      <c r="F715">
        <f>VLOOKUP(C715,'5y10y Swaption Vol'!temp,3,0)</f>
        <v>93.984903971999998</v>
      </c>
      <c r="H715" s="1">
        <v>41121</v>
      </c>
      <c r="I715" t="s">
        <v>2</v>
      </c>
      <c r="J715">
        <v>1.611173</v>
      </c>
      <c r="K715">
        <v>-3.4330000000000194E-3</v>
      </c>
      <c r="L715">
        <v>64.604286239070419</v>
      </c>
      <c r="M715">
        <f t="shared" si="11"/>
        <v>-28</v>
      </c>
    </row>
    <row r="716" spans="3:13">
      <c r="C716" s="2">
        <v>41095</v>
      </c>
      <c r="D716">
        <v>64.766919325382872</v>
      </c>
      <c r="E716">
        <f>VLOOKUP(C716,'10y swap Vol'!$C$2:$G$3809,5,0)</f>
        <v>58.923522924661484</v>
      </c>
      <c r="F716">
        <f>VLOOKUP(C716,'5y10y Swaption Vol'!temp,3,0)</f>
        <v>93.692876455999993</v>
      </c>
      <c r="H716" s="1">
        <v>41122</v>
      </c>
      <c r="I716" t="s">
        <v>2</v>
      </c>
      <c r="J716">
        <v>1.670479</v>
      </c>
      <c r="K716">
        <v>5.9306000000000081E-2</v>
      </c>
      <c r="L716">
        <v>65.973765082624013</v>
      </c>
      <c r="M716">
        <f t="shared" si="11"/>
        <v>-27</v>
      </c>
    </row>
    <row r="717" spans="3:13">
      <c r="C717" s="2">
        <v>41096</v>
      </c>
      <c r="D717">
        <v>66.262121599177092</v>
      </c>
      <c r="E717">
        <f>VLOOKUP(C717,'10y swap Vol'!$C$2:$G$3809,5,0)</f>
        <v>59.073940317064</v>
      </c>
      <c r="F717">
        <f>VLOOKUP(C717,'5y10y Swaption Vol'!temp,3,0)</f>
        <v>93.355912122000007</v>
      </c>
      <c r="H717" s="1">
        <v>41123</v>
      </c>
      <c r="I717" t="s">
        <v>2</v>
      </c>
      <c r="J717">
        <v>1.6295360000000001</v>
      </c>
      <c r="K717">
        <v>-4.0942999999999952E-2</v>
      </c>
      <c r="L717">
        <v>66.233566890141276</v>
      </c>
      <c r="M717">
        <f t="shared" si="11"/>
        <v>-27</v>
      </c>
    </row>
    <row r="718" spans="3:13">
      <c r="C718" s="2">
        <v>41099</v>
      </c>
      <c r="D718">
        <v>65.73887400230241</v>
      </c>
      <c r="E718">
        <f>VLOOKUP(C718,'10y swap Vol'!$C$2:$G$3809,5,0)</f>
        <v>59.209595775191545</v>
      </c>
      <c r="F718">
        <f>VLOOKUP(C718,'5y10y Swaption Vol'!temp,3,0)</f>
        <v>93.070888014000005</v>
      </c>
      <c r="H718" s="1">
        <v>41124</v>
      </c>
      <c r="I718" t="s">
        <v>2</v>
      </c>
      <c r="J718">
        <v>1.721878</v>
      </c>
      <c r="K718">
        <v>9.2341999999999924E-2</v>
      </c>
      <c r="L718">
        <v>69.163862317216541</v>
      </c>
      <c r="M718">
        <f t="shared" si="11"/>
        <v>-25</v>
      </c>
    </row>
    <row r="719" spans="3:13">
      <c r="C719" s="2">
        <v>41100</v>
      </c>
      <c r="D719">
        <v>65.610225904056946</v>
      </c>
      <c r="E719">
        <f>VLOOKUP(C719,'10y swap Vol'!$C$2:$G$3809,5,0)</f>
        <v>58.727419497188251</v>
      </c>
      <c r="F719">
        <f>VLOOKUP(C719,'5y10y Swaption Vol'!temp,3,0)</f>
        <v>93.341602640000005</v>
      </c>
      <c r="H719" s="1">
        <v>41127</v>
      </c>
      <c r="I719" t="s">
        <v>2</v>
      </c>
      <c r="J719">
        <v>1.697346</v>
      </c>
      <c r="K719">
        <v>-2.4531999999999998E-2</v>
      </c>
      <c r="L719">
        <v>69.07101214569326</v>
      </c>
      <c r="M719">
        <f t="shared" si="11"/>
        <v>-27</v>
      </c>
    </row>
    <row r="720" spans="3:13">
      <c r="C720" s="2">
        <v>41101</v>
      </c>
      <c r="D720">
        <v>65.602473355918875</v>
      </c>
      <c r="E720">
        <f>VLOOKUP(C720,'10y swap Vol'!$C$2:$G$3809,5,0)</f>
        <v>58.642129990054748</v>
      </c>
      <c r="F720">
        <f>VLOOKUP(C720,'5y10y Swaption Vol'!temp,3,0)</f>
        <v>92.651555040000005</v>
      </c>
      <c r="H720" s="1">
        <v>41128</v>
      </c>
      <c r="I720" t="s">
        <v>2</v>
      </c>
      <c r="J720">
        <v>1.76603</v>
      </c>
      <c r="K720">
        <v>6.8683999999999967E-2</v>
      </c>
      <c r="L720">
        <v>70.467390786458168</v>
      </c>
      <c r="M720">
        <f t="shared" si="11"/>
        <v>-27</v>
      </c>
    </row>
    <row r="721" spans="3:13">
      <c r="C721" s="2">
        <v>41102</v>
      </c>
      <c r="D721">
        <v>64.858930579226083</v>
      </c>
      <c r="E721">
        <f>VLOOKUP(C721,'10y swap Vol'!$C$2:$G$3809,5,0)</f>
        <v>58.141989508899371</v>
      </c>
      <c r="F721">
        <f>VLOOKUP(C721,'5y10y Swaption Vol'!temp,3,0)</f>
        <v>92.501429071999993</v>
      </c>
      <c r="H721" s="1">
        <v>41129</v>
      </c>
      <c r="I721" t="s">
        <v>2</v>
      </c>
      <c r="J721">
        <v>1.7782480000000001</v>
      </c>
      <c r="K721">
        <v>1.2218000000000062E-2</v>
      </c>
      <c r="L721">
        <v>70.10404474989943</v>
      </c>
      <c r="M721">
        <f t="shared" si="11"/>
        <v>-27</v>
      </c>
    </row>
    <row r="722" spans="3:13">
      <c r="C722" s="2">
        <v>41103</v>
      </c>
      <c r="D722">
        <v>66.063033818896102</v>
      </c>
      <c r="E722">
        <f>VLOOKUP(C722,'10y swap Vol'!$C$2:$G$3809,5,0)</f>
        <v>58.504809184233849</v>
      </c>
      <c r="F722">
        <f>VLOOKUP(C722,'5y10y Swaption Vol'!temp,3,0)</f>
        <v>92.686167323999996</v>
      </c>
      <c r="H722" s="1">
        <v>41130</v>
      </c>
      <c r="I722" t="s">
        <v>2</v>
      </c>
      <c r="J722">
        <v>1.7944</v>
      </c>
      <c r="K722">
        <v>1.6151999999999944E-2</v>
      </c>
      <c r="L722">
        <v>70.177772836335862</v>
      </c>
      <c r="M722">
        <f t="shared" si="11"/>
        <v>-27</v>
      </c>
    </row>
    <row r="723" spans="3:13">
      <c r="C723" s="2">
        <v>41106</v>
      </c>
      <c r="D723">
        <v>66.590848768056077</v>
      </c>
      <c r="E723">
        <f>VLOOKUP(C723,'10y swap Vol'!$C$2:$G$3809,5,0)</f>
        <v>58.385276862814109</v>
      </c>
      <c r="F723">
        <f>VLOOKUP(C723,'5y10y Swaption Vol'!temp,3,0)</f>
        <v>92.810250893000003</v>
      </c>
      <c r="H723" s="1">
        <v>41131</v>
      </c>
      <c r="I723" t="s">
        <v>2</v>
      </c>
      <c r="J723">
        <v>1.753895</v>
      </c>
      <c r="K723">
        <v>-4.0505000000000013E-2</v>
      </c>
      <c r="L723">
        <v>70.285666027802208</v>
      </c>
      <c r="M723">
        <f t="shared" si="11"/>
        <v>-25</v>
      </c>
    </row>
    <row r="724" spans="3:13">
      <c r="C724" s="2">
        <v>41107</v>
      </c>
      <c r="D724">
        <v>67.116996640573873</v>
      </c>
      <c r="E724">
        <f>VLOOKUP(C724,'10y swap Vol'!$C$2:$G$3809,5,0)</f>
        <v>59.112288811061475</v>
      </c>
      <c r="F724">
        <f>VLOOKUP(C724,'5y10y Swaption Vol'!temp,3,0)</f>
        <v>92.893548221000003</v>
      </c>
      <c r="H724" s="1">
        <v>41134</v>
      </c>
      <c r="I724" t="s">
        <v>2</v>
      </c>
      <c r="J724">
        <v>1.7584120000000001</v>
      </c>
      <c r="K724">
        <v>4.5170000000001043E-3</v>
      </c>
      <c r="L724">
        <v>68.942407649223782</v>
      </c>
      <c r="M724">
        <f t="shared" si="11"/>
        <v>-27</v>
      </c>
    </row>
    <row r="725" spans="3:13">
      <c r="C725" s="2">
        <v>41108</v>
      </c>
      <c r="D725">
        <v>67.784930798662131</v>
      </c>
      <c r="E725">
        <f>VLOOKUP(C725,'10y swap Vol'!$C$2:$G$3809,5,0)</f>
        <v>59.16874492845777</v>
      </c>
      <c r="F725">
        <f>VLOOKUP(C725,'5y10y Swaption Vol'!temp,3,0)</f>
        <v>92.471643775999993</v>
      </c>
      <c r="H725" s="1">
        <v>41135</v>
      </c>
      <c r="I725" t="s">
        <v>2</v>
      </c>
      <c r="J725">
        <v>1.8224750000000001</v>
      </c>
      <c r="K725">
        <v>6.4062999999999981E-2</v>
      </c>
      <c r="L725">
        <v>70.215899615069588</v>
      </c>
      <c r="M725">
        <f t="shared" si="11"/>
        <v>-27</v>
      </c>
    </row>
    <row r="726" spans="3:13">
      <c r="C726" s="2">
        <v>41109</v>
      </c>
      <c r="D726">
        <v>67.526132279592801</v>
      </c>
      <c r="E726">
        <f>VLOOKUP(C726,'10y swap Vol'!$C$2:$G$3809,5,0)</f>
        <v>58.923935929043779</v>
      </c>
      <c r="F726">
        <f>VLOOKUP(C726,'5y10y Swaption Vol'!temp,3,0)</f>
        <v>91.793470663999997</v>
      </c>
      <c r="H726" s="1">
        <v>41136</v>
      </c>
      <c r="I726" t="s">
        <v>2</v>
      </c>
      <c r="J726">
        <v>1.9173899999999999</v>
      </c>
      <c r="K726">
        <v>9.4914999999999861E-2</v>
      </c>
      <c r="L726">
        <v>72.616393212030914</v>
      </c>
      <c r="M726">
        <f t="shared" si="11"/>
        <v>-27</v>
      </c>
    </row>
    <row r="727" spans="3:13">
      <c r="C727" s="2">
        <v>41110</v>
      </c>
      <c r="D727">
        <v>68.317052410881658</v>
      </c>
      <c r="E727">
        <f>VLOOKUP(C727,'10y swap Vol'!$C$2:$G$3809,5,0)</f>
        <v>59.264656877953684</v>
      </c>
      <c r="F727">
        <f>VLOOKUP(C727,'5y10y Swaption Vol'!temp,3,0)</f>
        <v>91.609601650000002</v>
      </c>
      <c r="H727" s="1">
        <v>41137</v>
      </c>
      <c r="I727" t="s">
        <v>2</v>
      </c>
      <c r="J727">
        <v>1.9499120000000001</v>
      </c>
      <c r="K727">
        <v>3.2522000000000162E-2</v>
      </c>
      <c r="L727">
        <v>71.738809115952009</v>
      </c>
      <c r="M727">
        <f t="shared" si="11"/>
        <v>-27</v>
      </c>
    </row>
    <row r="728" spans="3:13">
      <c r="C728" s="2">
        <v>41113</v>
      </c>
      <c r="D728">
        <v>68.632427580835795</v>
      </c>
      <c r="E728">
        <f>VLOOKUP(C728,'10y swap Vol'!$C$2:$G$3809,5,0)</f>
        <v>59.297360218990171</v>
      </c>
      <c r="F728">
        <f>VLOOKUP(C728,'5y10y Swaption Vol'!temp,3,0)</f>
        <v>91.502354514999993</v>
      </c>
      <c r="H728" s="1">
        <v>41138</v>
      </c>
      <c r="I728" t="s">
        <v>2</v>
      </c>
      <c r="J728">
        <v>1.916185</v>
      </c>
      <c r="K728">
        <v>-3.3727000000000062E-2</v>
      </c>
      <c r="L728">
        <v>71.135385601388222</v>
      </c>
      <c r="M728">
        <f t="shared" si="11"/>
        <v>-25</v>
      </c>
    </row>
    <row r="729" spans="3:13">
      <c r="C729" s="2">
        <v>41114</v>
      </c>
      <c r="D729">
        <v>68.71908044870608</v>
      </c>
      <c r="E729">
        <f>VLOOKUP(C729,'10y swap Vol'!$C$2:$G$3809,5,0)</f>
        <v>59.290483023771124</v>
      </c>
      <c r="F729">
        <f>VLOOKUP(C729,'5y10y Swaption Vol'!temp,3,0)</f>
        <v>91.672520860999995</v>
      </c>
      <c r="H729" s="1">
        <v>41141</v>
      </c>
      <c r="I729" t="s">
        <v>2</v>
      </c>
      <c r="J729">
        <v>1.918237</v>
      </c>
      <c r="K729">
        <v>2.0519999999999428E-3</v>
      </c>
      <c r="L729">
        <v>70.821980472107143</v>
      </c>
      <c r="M729">
        <f t="shared" si="11"/>
        <v>-27</v>
      </c>
    </row>
    <row r="730" spans="3:13">
      <c r="C730" s="2">
        <v>41115</v>
      </c>
      <c r="D730">
        <v>68.930272841866241</v>
      </c>
      <c r="E730">
        <f>VLOOKUP(C730,'10y swap Vol'!$C$2:$G$3809,5,0)</f>
        <v>59.264617062001257</v>
      </c>
      <c r="F730">
        <f>VLOOKUP(C730,'5y10y Swaption Vol'!temp,3,0)</f>
        <v>91.661089967999999</v>
      </c>
      <c r="H730" s="1">
        <v>41142</v>
      </c>
      <c r="I730" t="s">
        <v>2</v>
      </c>
      <c r="J730">
        <v>1.907867</v>
      </c>
      <c r="K730">
        <v>-1.036999999999999E-2</v>
      </c>
      <c r="L730">
        <v>70.839494061543661</v>
      </c>
      <c r="M730">
        <f t="shared" si="11"/>
        <v>-27</v>
      </c>
    </row>
    <row r="731" spans="3:13">
      <c r="C731" s="2">
        <v>41116</v>
      </c>
      <c r="D731">
        <v>68.745505592029986</v>
      </c>
      <c r="E731">
        <f>VLOOKUP(C731,'10y swap Vol'!$C$2:$G$3809,5,0)</f>
        <v>58.657313376895623</v>
      </c>
      <c r="F731">
        <f>VLOOKUP(C731,'5y10y Swaption Vol'!temp,3,0)</f>
        <v>91.697518020000004</v>
      </c>
      <c r="H731" s="1">
        <v>41143</v>
      </c>
      <c r="I731" t="s">
        <v>2</v>
      </c>
      <c r="J731">
        <v>1.820835</v>
      </c>
      <c r="K731">
        <v>-8.7031999999999998E-2</v>
      </c>
      <c r="L731">
        <v>73.027771741574782</v>
      </c>
      <c r="M731">
        <f t="shared" si="11"/>
        <v>-27</v>
      </c>
    </row>
    <row r="732" spans="3:13">
      <c r="C732" s="2">
        <v>41117</v>
      </c>
      <c r="D732">
        <v>78.983566145206794</v>
      </c>
      <c r="E732">
        <f>VLOOKUP(C732,'10y swap Vol'!$C$2:$G$3809,5,0)</f>
        <v>63.854911376276881</v>
      </c>
      <c r="F732">
        <f>VLOOKUP(C732,'5y10y Swaption Vol'!temp,3,0)</f>
        <v>92.273210567999996</v>
      </c>
      <c r="H732" s="1">
        <v>41144</v>
      </c>
      <c r="I732" t="s">
        <v>2</v>
      </c>
      <c r="J732">
        <v>1.765177</v>
      </c>
      <c r="K732">
        <v>-5.5657999999999985E-2</v>
      </c>
      <c r="L732">
        <v>71.164625631194795</v>
      </c>
      <c r="M732">
        <f t="shared" si="11"/>
        <v>-27</v>
      </c>
    </row>
    <row r="733" spans="3:13">
      <c r="C733" s="2">
        <v>41120</v>
      </c>
      <c r="D733">
        <v>82.939454769201831</v>
      </c>
      <c r="E733">
        <f>VLOOKUP(C733,'10y swap Vol'!$C$2:$G$3809,5,0)</f>
        <v>64.841899591723362</v>
      </c>
      <c r="F733">
        <f>VLOOKUP(C733,'5y10y Swaption Vol'!temp,3,0)</f>
        <v>92.304847116000005</v>
      </c>
      <c r="H733" s="1">
        <v>41145</v>
      </c>
      <c r="I733" t="s">
        <v>2</v>
      </c>
      <c r="J733">
        <v>1.7775989999999999</v>
      </c>
      <c r="K733">
        <v>1.2421999999999933E-2</v>
      </c>
      <c r="L733">
        <v>70.845205230800261</v>
      </c>
      <c r="M733">
        <f t="shared" si="11"/>
        <v>-25</v>
      </c>
    </row>
    <row r="734" spans="3:13">
      <c r="C734" s="2">
        <v>41121</v>
      </c>
      <c r="D734">
        <v>82.853166250943005</v>
      </c>
      <c r="E734">
        <f>VLOOKUP(C734,'10y swap Vol'!$C$2:$G$3809,5,0)</f>
        <v>64.604286239070419</v>
      </c>
      <c r="F734">
        <f>VLOOKUP(C734,'5y10y Swaption Vol'!temp,3,0)</f>
        <v>92.191701570000006</v>
      </c>
      <c r="H734" s="1">
        <v>41148</v>
      </c>
      <c r="I734" t="s">
        <v>2</v>
      </c>
      <c r="J734">
        <v>1.7457279999999999</v>
      </c>
      <c r="K734">
        <v>-3.1870999999999983E-2</v>
      </c>
      <c r="L734">
        <v>69.602653551369343</v>
      </c>
      <c r="M734">
        <f t="shared" si="11"/>
        <v>-27</v>
      </c>
    </row>
    <row r="735" spans="3:13">
      <c r="C735" s="2">
        <v>41122</v>
      </c>
      <c r="D735">
        <v>83.698162111767388</v>
      </c>
      <c r="E735">
        <f>VLOOKUP(C735,'10y swap Vol'!$C$2:$G$3809,5,0)</f>
        <v>65.973765082624013</v>
      </c>
      <c r="F735">
        <f>VLOOKUP(C735,'5y10y Swaption Vol'!temp,3,0)</f>
        <v>92.620954691999998</v>
      </c>
      <c r="H735" s="1">
        <v>41149</v>
      </c>
      <c r="I735" t="s">
        <v>2</v>
      </c>
      <c r="J735">
        <v>1.7192890000000001</v>
      </c>
      <c r="K735">
        <v>-2.6438999999999879E-2</v>
      </c>
      <c r="L735">
        <v>68.774335419449912</v>
      </c>
      <c r="M735">
        <f t="shared" si="11"/>
        <v>-27</v>
      </c>
    </row>
    <row r="736" spans="3:13">
      <c r="C736" s="2">
        <v>41123</v>
      </c>
      <c r="D736">
        <v>83.804365748047999</v>
      </c>
      <c r="E736">
        <f>VLOOKUP(C736,'10y swap Vol'!$C$2:$G$3809,5,0)</f>
        <v>66.233566890141276</v>
      </c>
      <c r="F736">
        <f>VLOOKUP(C736,'5y10y Swaption Vol'!temp,3,0)</f>
        <v>92.699955338999999</v>
      </c>
      <c r="H736" s="1">
        <v>41150</v>
      </c>
      <c r="I736" t="s">
        <v>2</v>
      </c>
      <c r="J736">
        <v>1.753023</v>
      </c>
      <c r="K736">
        <v>3.3733999999999931E-2</v>
      </c>
      <c r="L736">
        <v>69.030042056253549</v>
      </c>
      <c r="M736">
        <f t="shared" si="11"/>
        <v>-27</v>
      </c>
    </row>
    <row r="737" spans="3:13">
      <c r="C737" s="2">
        <v>41124</v>
      </c>
      <c r="D737">
        <v>86.18198990025509</v>
      </c>
      <c r="E737">
        <f>VLOOKUP(C737,'10y swap Vol'!$C$2:$G$3809,5,0)</f>
        <v>69.163862317216541</v>
      </c>
      <c r="F737">
        <f>VLOOKUP(C737,'5y10y Swaption Vol'!temp,3,0)</f>
        <v>93.287029423999996</v>
      </c>
      <c r="H737" s="1">
        <v>41151</v>
      </c>
      <c r="I737" t="s">
        <v>2</v>
      </c>
      <c r="J737">
        <v>1.7211289999999999</v>
      </c>
      <c r="K737">
        <v>-3.1894000000000089E-2</v>
      </c>
      <c r="L737">
        <v>67.930465780331346</v>
      </c>
      <c r="M737">
        <f t="shared" si="11"/>
        <v>-27</v>
      </c>
    </row>
    <row r="738" spans="3:13">
      <c r="C738" s="2">
        <v>41127</v>
      </c>
      <c r="D738">
        <v>86.204509580611159</v>
      </c>
      <c r="E738">
        <f>VLOOKUP(C738,'10y swap Vol'!$C$2:$G$3809,5,0)</f>
        <v>69.07101214569326</v>
      </c>
      <c r="F738">
        <f>VLOOKUP(C738,'5y10y Swaption Vol'!temp,3,0)</f>
        <v>92.943004653000003</v>
      </c>
      <c r="H738" s="1">
        <v>41152</v>
      </c>
      <c r="I738" t="s">
        <v>2</v>
      </c>
      <c r="J738">
        <v>1.671219</v>
      </c>
      <c r="K738">
        <v>-4.9909999999999899E-2</v>
      </c>
      <c r="L738">
        <v>68.552468601081458</v>
      </c>
      <c r="M738">
        <f t="shared" si="11"/>
        <v>-25</v>
      </c>
    </row>
    <row r="739" spans="3:13">
      <c r="C739" s="2">
        <v>41128</v>
      </c>
      <c r="D739">
        <v>87.068773667803129</v>
      </c>
      <c r="E739">
        <f>VLOOKUP(C739,'10y swap Vol'!$C$2:$G$3809,5,0)</f>
        <v>70.467390786458168</v>
      </c>
      <c r="F739">
        <f>VLOOKUP(C739,'5y10y Swaption Vol'!temp,3,0)</f>
        <v>93.569748341999997</v>
      </c>
      <c r="H739" s="1">
        <v>41156</v>
      </c>
      <c r="I739" t="s">
        <v>2</v>
      </c>
      <c r="J739">
        <v>1.6820219999999999</v>
      </c>
      <c r="K739">
        <v>1.0802999999999896E-2</v>
      </c>
      <c r="L739">
        <v>68.605327385216711</v>
      </c>
      <c r="M739">
        <f t="shared" si="11"/>
        <v>-28</v>
      </c>
    </row>
    <row r="740" spans="3:13">
      <c r="C740" s="2">
        <v>41129</v>
      </c>
      <c r="D740">
        <v>86.913910093241171</v>
      </c>
      <c r="E740">
        <f>VLOOKUP(C740,'10y swap Vol'!$C$2:$G$3809,5,0)</f>
        <v>70.10404474989943</v>
      </c>
      <c r="F740">
        <f>VLOOKUP(C740,'5y10y Swaption Vol'!temp,3,0)</f>
        <v>93.584098608000005</v>
      </c>
      <c r="H740" s="1">
        <v>41157</v>
      </c>
      <c r="I740" t="s">
        <v>2</v>
      </c>
      <c r="J740">
        <v>1.688132</v>
      </c>
      <c r="K740">
        <v>6.1100000000000598E-3</v>
      </c>
      <c r="L740">
        <v>68.215839869518661</v>
      </c>
      <c r="M740">
        <f t="shared" si="11"/>
        <v>-28</v>
      </c>
    </row>
    <row r="741" spans="3:13">
      <c r="C741" s="2">
        <v>41130</v>
      </c>
      <c r="D741">
        <v>86.931543461550064</v>
      </c>
      <c r="E741">
        <f>VLOOKUP(C741,'10y swap Vol'!$C$2:$G$3809,5,0)</f>
        <v>70.177772836335862</v>
      </c>
      <c r="F741">
        <f>VLOOKUP(C741,'5y10y Swaption Vol'!temp,3,0)</f>
        <v>93.639496437000005</v>
      </c>
      <c r="H741" s="1">
        <v>41158</v>
      </c>
      <c r="I741" t="s">
        <v>2</v>
      </c>
      <c r="J741">
        <v>1.776807</v>
      </c>
      <c r="K741">
        <v>8.8675000000000059E-2</v>
      </c>
      <c r="L741">
        <v>70.242830500965908</v>
      </c>
      <c r="M741">
        <f t="shared" si="11"/>
        <v>-28</v>
      </c>
    </row>
    <row r="742" spans="3:13">
      <c r="C742" s="2">
        <v>41131</v>
      </c>
      <c r="D742">
        <v>86.838403954363201</v>
      </c>
      <c r="E742">
        <f>VLOOKUP(C742,'10y swap Vol'!$C$2:$G$3809,5,0)</f>
        <v>70.285666027802208</v>
      </c>
      <c r="F742">
        <f>VLOOKUP(C742,'5y10y Swaption Vol'!temp,3,0)</f>
        <v>93.552825503999998</v>
      </c>
      <c r="H742" s="1">
        <v>41159</v>
      </c>
      <c r="I742" t="s">
        <v>2</v>
      </c>
      <c r="J742">
        <v>1.7660910000000001</v>
      </c>
      <c r="K742">
        <v>-1.0715999999999948E-2</v>
      </c>
      <c r="L742">
        <v>68.953387522312909</v>
      </c>
      <c r="M742">
        <f t="shared" si="11"/>
        <v>-28</v>
      </c>
    </row>
    <row r="743" spans="3:13">
      <c r="C743" s="2">
        <v>41134</v>
      </c>
      <c r="D743">
        <v>85.840485916082585</v>
      </c>
      <c r="E743">
        <f>VLOOKUP(C743,'10y swap Vol'!$C$2:$G$3809,5,0)</f>
        <v>68.942407649223782</v>
      </c>
      <c r="F743">
        <f>VLOOKUP(C743,'5y10y Swaption Vol'!temp,3,0)</f>
        <v>94.168723701000005</v>
      </c>
      <c r="H743" s="1">
        <v>41162</v>
      </c>
      <c r="I743" t="s">
        <v>2</v>
      </c>
      <c r="J743">
        <v>1.775334</v>
      </c>
      <c r="K743">
        <v>9.2429999999998902E-3</v>
      </c>
      <c r="L743">
        <v>68.978423703488147</v>
      </c>
      <c r="M743">
        <f t="shared" si="11"/>
        <v>-28</v>
      </c>
    </row>
    <row r="744" spans="3:13">
      <c r="C744" s="2">
        <v>41135</v>
      </c>
      <c r="D744">
        <v>87.160698303220968</v>
      </c>
      <c r="E744">
        <f>VLOOKUP(C744,'10y swap Vol'!$C$2:$G$3809,5,0)</f>
        <v>70.215899615069588</v>
      </c>
      <c r="F744">
        <f>VLOOKUP(C744,'5y10y Swaption Vol'!temp,3,0)</f>
        <v>95.119273149999998</v>
      </c>
      <c r="H744" s="1">
        <v>41163</v>
      </c>
      <c r="I744" t="s">
        <v>2</v>
      </c>
      <c r="J744">
        <v>1.791655</v>
      </c>
      <c r="K744">
        <v>1.632100000000003E-2</v>
      </c>
      <c r="L744">
        <v>68.82384444417184</v>
      </c>
      <c r="M744">
        <f t="shared" si="11"/>
        <v>-28</v>
      </c>
    </row>
    <row r="745" spans="3:13">
      <c r="C745" s="2">
        <v>41136</v>
      </c>
      <c r="D745">
        <v>90.843324608899906</v>
      </c>
      <c r="E745">
        <f>VLOOKUP(C745,'10y swap Vol'!$C$2:$G$3809,5,0)</f>
        <v>72.616393212030914</v>
      </c>
      <c r="F745">
        <f>VLOOKUP(C745,'5y10y Swaption Vol'!temp,3,0)</f>
        <v>96.183852603999995</v>
      </c>
      <c r="H745" s="1">
        <v>41164</v>
      </c>
      <c r="I745" t="s">
        <v>2</v>
      </c>
      <c r="J745">
        <v>1.8540970000000001</v>
      </c>
      <c r="K745">
        <v>6.2442000000000109E-2</v>
      </c>
      <c r="L745">
        <v>69.959643949889681</v>
      </c>
      <c r="M745">
        <f t="shared" si="11"/>
        <v>-28</v>
      </c>
    </row>
    <row r="746" spans="3:13">
      <c r="C746" s="2">
        <v>41137</v>
      </c>
      <c r="D746">
        <v>90.775616035912378</v>
      </c>
      <c r="E746">
        <f>VLOOKUP(C746,'10y swap Vol'!$C$2:$G$3809,5,0)</f>
        <v>71.738809115952009</v>
      </c>
      <c r="F746">
        <f>VLOOKUP(C746,'5y10y Swaption Vol'!temp,3,0)</f>
        <v>96.949099740999998</v>
      </c>
      <c r="H746" s="1">
        <v>41165</v>
      </c>
      <c r="I746" t="s">
        <v>2</v>
      </c>
      <c r="J746">
        <v>1.8135479999999999</v>
      </c>
      <c r="K746">
        <v>-4.0549000000000168E-2</v>
      </c>
      <c r="L746">
        <v>70.115260745052851</v>
      </c>
      <c r="M746">
        <f t="shared" si="11"/>
        <v>-28</v>
      </c>
    </row>
    <row r="747" spans="3:13">
      <c r="C747" s="2">
        <v>41138</v>
      </c>
      <c r="D747">
        <v>90.725193441056177</v>
      </c>
      <c r="E747">
        <f>VLOOKUP(C747,'10y swap Vol'!$C$2:$G$3809,5,0)</f>
        <v>71.135385601388222</v>
      </c>
      <c r="F747">
        <f>VLOOKUP(C747,'5y10y Swaption Vol'!temp,3,0)</f>
        <v>96.161036706000004</v>
      </c>
      <c r="H747" s="1">
        <v>41166</v>
      </c>
      <c r="I747" t="s">
        <v>2</v>
      </c>
      <c r="J747">
        <v>1.8973500000000001</v>
      </c>
      <c r="K747">
        <v>8.3802000000000154E-2</v>
      </c>
      <c r="L747">
        <v>72.0795067741916</v>
      </c>
      <c r="M747">
        <f t="shared" si="11"/>
        <v>-28</v>
      </c>
    </row>
    <row r="748" spans="3:13">
      <c r="C748" s="2">
        <v>41141</v>
      </c>
      <c r="D748">
        <v>90.62813299912213</v>
      </c>
      <c r="E748">
        <f>VLOOKUP(C748,'10y swap Vol'!$C$2:$G$3809,5,0)</f>
        <v>70.821980472107143</v>
      </c>
      <c r="F748">
        <f>VLOOKUP(C748,'5y10y Swaption Vol'!temp,3,0)</f>
        <v>96.077175045000004</v>
      </c>
      <c r="H748" s="1">
        <v>41169</v>
      </c>
      <c r="I748" t="s">
        <v>2</v>
      </c>
      <c r="J748">
        <v>1.872341</v>
      </c>
      <c r="K748">
        <v>-2.5009000000000059E-2</v>
      </c>
      <c r="L748">
        <v>72.155269070006042</v>
      </c>
      <c r="M748">
        <f t="shared" si="11"/>
        <v>-28</v>
      </c>
    </row>
    <row r="749" spans="3:13">
      <c r="C749" s="2">
        <v>41142</v>
      </c>
      <c r="D749">
        <v>90.643002670214372</v>
      </c>
      <c r="E749">
        <f>VLOOKUP(C749,'10y swap Vol'!$C$2:$G$3809,5,0)</f>
        <v>70.839494061543661</v>
      </c>
      <c r="F749">
        <f>VLOOKUP(C749,'5y10y Swaption Vol'!temp,3,0)</f>
        <v>93.221526372</v>
      </c>
      <c r="H749" s="1">
        <v>41170</v>
      </c>
      <c r="I749" t="s">
        <v>2</v>
      </c>
      <c r="J749">
        <v>1.8461860000000001</v>
      </c>
      <c r="K749">
        <v>-2.6154999999999928E-2</v>
      </c>
      <c r="L749">
        <v>72.117636231492895</v>
      </c>
      <c r="M749">
        <f t="shared" si="11"/>
        <v>-28</v>
      </c>
    </row>
    <row r="750" spans="3:13">
      <c r="C750" s="2">
        <v>41143</v>
      </c>
      <c r="D750">
        <v>93.424852230344968</v>
      </c>
      <c r="E750">
        <f>VLOOKUP(C750,'10y swap Vol'!$C$2:$G$3809,5,0)</f>
        <v>73.027771741574782</v>
      </c>
      <c r="F750">
        <f>VLOOKUP(C750,'5y10y Swaption Vol'!temp,3,0)</f>
        <v>94.48265585</v>
      </c>
      <c r="H750" s="1">
        <v>41171</v>
      </c>
      <c r="I750" t="s">
        <v>2</v>
      </c>
      <c r="J750">
        <v>1.80339</v>
      </c>
      <c r="K750">
        <v>-4.2796000000000056E-2</v>
      </c>
      <c r="L750">
        <v>71.685949643050606</v>
      </c>
      <c r="M750">
        <f t="shared" si="11"/>
        <v>-28</v>
      </c>
    </row>
    <row r="751" spans="3:13">
      <c r="C751" s="2">
        <v>41144</v>
      </c>
      <c r="D751">
        <v>92.78652770392965</v>
      </c>
      <c r="E751">
        <f>VLOOKUP(C751,'10y swap Vol'!$C$2:$G$3809,5,0)</f>
        <v>71.164625631194795</v>
      </c>
      <c r="F751">
        <f>VLOOKUP(C751,'5y10y Swaption Vol'!temp,3,0)</f>
        <v>94.520914039999994</v>
      </c>
      <c r="H751" s="1">
        <v>41172</v>
      </c>
      <c r="I751" t="s">
        <v>2</v>
      </c>
      <c r="J751">
        <v>1.7826709999999999</v>
      </c>
      <c r="K751">
        <v>-2.0719000000000154E-2</v>
      </c>
      <c r="L751">
        <v>71.740748483965149</v>
      </c>
      <c r="M751">
        <f t="shared" si="11"/>
        <v>-28</v>
      </c>
    </row>
    <row r="752" spans="3:13">
      <c r="C752" s="2">
        <v>41145</v>
      </c>
      <c r="D752">
        <v>92.782627465191297</v>
      </c>
      <c r="E752">
        <f>VLOOKUP(C752,'10y swap Vol'!$C$2:$G$3809,5,0)</f>
        <v>70.845205230800261</v>
      </c>
      <c r="F752">
        <f>VLOOKUP(C752,'5y10y Swaption Vol'!temp,3,0)</f>
        <v>94.940321775000001</v>
      </c>
      <c r="H752" s="1">
        <v>41173</v>
      </c>
      <c r="I752" t="s">
        <v>2</v>
      </c>
      <c r="J752">
        <v>1.771002</v>
      </c>
      <c r="K752">
        <v>-1.1668999999999929E-2</v>
      </c>
      <c r="L752">
        <v>71.752390332292052</v>
      </c>
      <c r="M752">
        <f t="shared" si="11"/>
        <v>-28</v>
      </c>
    </row>
    <row r="753" spans="3:13">
      <c r="C753" s="2">
        <v>41148</v>
      </c>
      <c r="D753">
        <v>90.098373090677384</v>
      </c>
      <c r="E753">
        <f>VLOOKUP(C753,'10y swap Vol'!$C$2:$G$3809,5,0)</f>
        <v>69.602653551369343</v>
      </c>
      <c r="F753">
        <f>VLOOKUP(C753,'5y10y Swaption Vol'!temp,3,0)</f>
        <v>94.959940008000004</v>
      </c>
      <c r="H753" s="1">
        <v>41176</v>
      </c>
      <c r="I753" t="s">
        <v>2</v>
      </c>
      <c r="J753">
        <v>1.7383169999999999</v>
      </c>
      <c r="K753">
        <v>-3.2685000000000075E-2</v>
      </c>
      <c r="L753">
        <v>71.625793156078117</v>
      </c>
      <c r="M753">
        <f t="shared" si="11"/>
        <v>-28</v>
      </c>
    </row>
    <row r="754" spans="3:13">
      <c r="C754" s="2">
        <v>41149</v>
      </c>
      <c r="D754">
        <v>88.210551698986549</v>
      </c>
      <c r="E754">
        <f>VLOOKUP(C754,'10y swap Vol'!$C$2:$G$3809,5,0)</f>
        <v>68.774335419449912</v>
      </c>
      <c r="F754">
        <f>VLOOKUP(C754,'5y10y Swaption Vol'!temp,3,0)</f>
        <v>95.231480207000004</v>
      </c>
      <c r="H754" s="1">
        <v>41177</v>
      </c>
      <c r="I754" t="s">
        <v>2</v>
      </c>
      <c r="J754">
        <v>1.711184</v>
      </c>
      <c r="K754">
        <v>-2.7132999999999852E-2</v>
      </c>
      <c r="L754">
        <v>70.386768604730079</v>
      </c>
      <c r="M754">
        <f t="shared" si="11"/>
        <v>-28</v>
      </c>
    </row>
    <row r="755" spans="3:13">
      <c r="C755" s="2">
        <v>41150</v>
      </c>
      <c r="D755">
        <v>88.426076721914384</v>
      </c>
      <c r="E755">
        <f>VLOOKUP(C755,'10y swap Vol'!$C$2:$G$3809,5,0)</f>
        <v>69.030042056253549</v>
      </c>
      <c r="F755">
        <f>VLOOKUP(C755,'5y10y Swaption Vol'!temp,3,0)</f>
        <v>95.481905322000003</v>
      </c>
      <c r="H755" s="1">
        <v>41178</v>
      </c>
      <c r="I755" t="s">
        <v>2</v>
      </c>
      <c r="J755">
        <v>1.668585</v>
      </c>
      <c r="K755">
        <v>-4.2599000000000053E-2</v>
      </c>
      <c r="L755">
        <v>69.960173320632691</v>
      </c>
      <c r="M755">
        <f t="shared" si="11"/>
        <v>-28</v>
      </c>
    </row>
    <row r="756" spans="3:13">
      <c r="C756" s="2">
        <v>41151</v>
      </c>
      <c r="D756">
        <v>88.297022868188137</v>
      </c>
      <c r="E756">
        <f>VLOOKUP(C756,'10y swap Vol'!$C$2:$G$3809,5,0)</f>
        <v>67.930465780331346</v>
      </c>
      <c r="F756">
        <f>VLOOKUP(C756,'5y10y Swaption Vol'!temp,3,0)</f>
        <v>95.694424499999997</v>
      </c>
      <c r="H756" s="1">
        <v>41179</v>
      </c>
      <c r="I756" t="s">
        <v>2</v>
      </c>
      <c r="J756">
        <v>1.692582</v>
      </c>
      <c r="K756">
        <v>2.3997000000000046E-2</v>
      </c>
      <c r="L756">
        <v>69.570845997845467</v>
      </c>
      <c r="M756">
        <f t="shared" si="11"/>
        <v>-28</v>
      </c>
    </row>
    <row r="757" spans="3:13">
      <c r="C757" s="2">
        <v>41152</v>
      </c>
      <c r="D757">
        <v>89.010603841223684</v>
      </c>
      <c r="E757">
        <f>VLOOKUP(C757,'10y swap Vol'!$C$2:$G$3809,5,0)</f>
        <v>68.552468601081458</v>
      </c>
      <c r="F757">
        <f>VLOOKUP(C757,'5y10y Swaption Vol'!temp,3,0)</f>
        <v>95.404084859999998</v>
      </c>
      <c r="H757" s="1">
        <v>41180</v>
      </c>
      <c r="I757" t="s">
        <v>2</v>
      </c>
      <c r="J757">
        <v>1.7053069999999999</v>
      </c>
      <c r="K757">
        <v>1.2724999999999875E-2</v>
      </c>
      <c r="L757">
        <v>69.457270855316395</v>
      </c>
      <c r="M757">
        <f t="shared" si="11"/>
        <v>-28</v>
      </c>
    </row>
    <row r="758" spans="3:13">
      <c r="C758" s="2">
        <v>41156</v>
      </c>
      <c r="D758">
        <v>89.097913307092142</v>
      </c>
      <c r="E758">
        <f>VLOOKUP(C758,'10y swap Vol'!$C$2:$G$3809,5,0)</f>
        <v>68.605327385216711</v>
      </c>
      <c r="F758">
        <f>VLOOKUP(C758,'5y10y Swaption Vol'!temp,3,0)</f>
        <v>94.836671397999993</v>
      </c>
      <c r="H758" s="1">
        <v>41183</v>
      </c>
      <c r="I758" t="s">
        <v>2</v>
      </c>
      <c r="J758">
        <v>1.6950959999999999</v>
      </c>
      <c r="K758">
        <v>-1.021099999999997E-2</v>
      </c>
      <c r="L758">
        <v>68.674165751083891</v>
      </c>
      <c r="M758">
        <f t="shared" si="11"/>
        <v>-27</v>
      </c>
    </row>
    <row r="759" spans="3:13">
      <c r="C759" s="2">
        <v>41157</v>
      </c>
      <c r="D759">
        <v>88.86900923795271</v>
      </c>
      <c r="E759">
        <f>VLOOKUP(C759,'10y swap Vol'!$C$2:$G$3809,5,0)</f>
        <v>68.215839869518661</v>
      </c>
      <c r="F759">
        <f>VLOOKUP(C759,'5y10y Swaption Vol'!temp,3,0)</f>
        <v>94.412898996999999</v>
      </c>
      <c r="H759" s="1">
        <v>41184</v>
      </c>
      <c r="I759" t="s">
        <v>2</v>
      </c>
      <c r="J759">
        <v>1.688958</v>
      </c>
      <c r="K759">
        <v>-6.1379999999999768E-3</v>
      </c>
      <c r="L759">
        <v>68.153179702169737</v>
      </c>
      <c r="M759">
        <f t="shared" si="11"/>
        <v>-27</v>
      </c>
    </row>
    <row r="760" spans="3:13">
      <c r="C760" s="2">
        <v>41158</v>
      </c>
      <c r="D760">
        <v>89.00989781732244</v>
      </c>
      <c r="E760">
        <f>VLOOKUP(C760,'10y swap Vol'!$C$2:$G$3809,5,0)</f>
        <v>70.242830500965908</v>
      </c>
      <c r="F760">
        <f>VLOOKUP(C760,'5y10y Swaption Vol'!temp,3,0)</f>
        <v>94.986239744000002</v>
      </c>
      <c r="H760" s="1">
        <v>41185</v>
      </c>
      <c r="I760" t="s">
        <v>2</v>
      </c>
      <c r="J760">
        <v>1.683422</v>
      </c>
      <c r="K760">
        <v>-5.5359999999999854E-3</v>
      </c>
      <c r="L760">
        <v>68.027591933170669</v>
      </c>
      <c r="M760">
        <f t="shared" si="11"/>
        <v>-27</v>
      </c>
    </row>
    <row r="761" spans="3:13">
      <c r="C761" s="2">
        <v>41159</v>
      </c>
      <c r="D761">
        <v>90.084936986759772</v>
      </c>
      <c r="E761">
        <f>VLOOKUP(C761,'10y swap Vol'!$C$2:$G$3809,5,0)</f>
        <v>68.953387522312909</v>
      </c>
      <c r="F761">
        <f>VLOOKUP(C761,'5y10y Swaption Vol'!temp,3,0)</f>
        <v>94.514786603999994</v>
      </c>
      <c r="H761" s="1">
        <v>41186</v>
      </c>
      <c r="I761" t="s">
        <v>2</v>
      </c>
      <c r="J761">
        <v>1.73733</v>
      </c>
      <c r="K761">
        <v>5.3908000000000067E-2</v>
      </c>
      <c r="L761">
        <v>68.856442930257217</v>
      </c>
      <c r="M761">
        <f t="shared" si="11"/>
        <v>-27</v>
      </c>
    </row>
    <row r="762" spans="3:13">
      <c r="C762" s="2">
        <v>41162</v>
      </c>
      <c r="D762">
        <v>90.032151144011308</v>
      </c>
      <c r="E762">
        <f>VLOOKUP(C762,'10y swap Vol'!$C$2:$G$3809,5,0)</f>
        <v>68.978423703488147</v>
      </c>
      <c r="F762">
        <f>VLOOKUP(C762,'5y10y Swaption Vol'!temp,3,0)</f>
        <v>94.290555784999995</v>
      </c>
      <c r="H762" s="1">
        <v>41187</v>
      </c>
      <c r="I762" t="s">
        <v>2</v>
      </c>
      <c r="J762">
        <v>1.794063</v>
      </c>
      <c r="K762">
        <v>5.6732999999999922E-2</v>
      </c>
      <c r="L762">
        <v>69.509308804155836</v>
      </c>
      <c r="M762">
        <f t="shared" si="11"/>
        <v>-25</v>
      </c>
    </row>
    <row r="763" spans="3:13">
      <c r="C763" s="2">
        <v>41163</v>
      </c>
      <c r="D763">
        <v>90.081881344419671</v>
      </c>
      <c r="E763">
        <f>VLOOKUP(C763,'10y swap Vol'!$C$2:$G$3809,5,0)</f>
        <v>68.82384444417184</v>
      </c>
      <c r="F763">
        <f>VLOOKUP(C763,'5y10y Swaption Vol'!temp,3,0)</f>
        <v>94.290434676000004</v>
      </c>
      <c r="H763" s="1">
        <v>41191</v>
      </c>
      <c r="I763" t="s">
        <v>2</v>
      </c>
      <c r="J763">
        <v>1.7762659999999999</v>
      </c>
      <c r="K763">
        <v>-1.7797000000000063E-2</v>
      </c>
      <c r="L763">
        <v>69.48681369097109</v>
      </c>
      <c r="M763">
        <f t="shared" si="11"/>
        <v>-28</v>
      </c>
    </row>
    <row r="764" spans="3:13">
      <c r="C764" s="2">
        <v>41164</v>
      </c>
      <c r="D764">
        <v>90.379776038435907</v>
      </c>
      <c r="E764">
        <f>VLOOKUP(C764,'10y swap Vol'!$C$2:$G$3809,5,0)</f>
        <v>69.959643949889681</v>
      </c>
      <c r="F764">
        <f>VLOOKUP(C764,'5y10y Swaption Vol'!temp,3,0)</f>
        <v>95.829219339000005</v>
      </c>
      <c r="H764" s="1">
        <v>41192</v>
      </c>
      <c r="I764" t="s">
        <v>2</v>
      </c>
      <c r="J764">
        <v>1.746745</v>
      </c>
      <c r="K764">
        <v>-2.9520999999999908E-2</v>
      </c>
      <c r="L764">
        <v>69.660423488527456</v>
      </c>
      <c r="M764">
        <f t="shared" si="11"/>
        <v>-28</v>
      </c>
    </row>
    <row r="765" spans="3:13">
      <c r="C765" s="2">
        <v>41165</v>
      </c>
      <c r="D765">
        <v>100.9422765893959</v>
      </c>
      <c r="E765">
        <f>VLOOKUP(C765,'10y swap Vol'!$C$2:$G$3809,5,0)</f>
        <v>70.115260745052851</v>
      </c>
      <c r="F765">
        <f>VLOOKUP(C765,'5y10y Swaption Vol'!temp,3,0)</f>
        <v>94.078779878999995</v>
      </c>
      <c r="H765" s="1">
        <v>41193</v>
      </c>
      <c r="I765" t="s">
        <v>2</v>
      </c>
      <c r="J765">
        <v>1.7163219999999999</v>
      </c>
      <c r="K765">
        <v>-3.0423000000000089E-2</v>
      </c>
      <c r="L765">
        <v>69.48090608563065</v>
      </c>
      <c r="M765">
        <f t="shared" si="11"/>
        <v>-28</v>
      </c>
    </row>
    <row r="766" spans="3:13">
      <c r="C766" s="2">
        <v>41166</v>
      </c>
      <c r="D766">
        <v>101.40547164035509</v>
      </c>
      <c r="E766">
        <f>VLOOKUP(C766,'10y swap Vol'!$C$2:$G$3809,5,0)</f>
        <v>72.0795067741916</v>
      </c>
      <c r="F766">
        <f>VLOOKUP(C766,'5y10y Swaption Vol'!temp,3,0)</f>
        <v>95.052958434999994</v>
      </c>
      <c r="H766" s="1">
        <v>41194</v>
      </c>
      <c r="I766" t="s">
        <v>2</v>
      </c>
      <c r="J766">
        <v>1.712853</v>
      </c>
      <c r="K766">
        <v>-3.4689999999999444E-3</v>
      </c>
      <c r="L766">
        <v>69.22624468835383</v>
      </c>
      <c r="M766">
        <f t="shared" si="11"/>
        <v>-28</v>
      </c>
    </row>
    <row r="767" spans="3:13">
      <c r="C767" s="2">
        <v>41169</v>
      </c>
      <c r="D767">
        <v>101.37729201613305</v>
      </c>
      <c r="E767">
        <f>VLOOKUP(C767,'10y swap Vol'!$C$2:$G$3809,5,0)</f>
        <v>72.155269070006042</v>
      </c>
      <c r="F767">
        <f>VLOOKUP(C767,'5y10y Swaption Vol'!temp,3,0)</f>
        <v>94.290733446000004</v>
      </c>
      <c r="H767" s="1">
        <v>41197</v>
      </c>
      <c r="I767" t="s">
        <v>2</v>
      </c>
      <c r="J767">
        <v>1.7166319999999999</v>
      </c>
      <c r="K767">
        <v>3.7789999999999768E-3</v>
      </c>
      <c r="L767">
        <v>69.079570755060359</v>
      </c>
      <c r="M767">
        <f t="shared" si="11"/>
        <v>-28</v>
      </c>
    </row>
    <row r="768" spans="3:13">
      <c r="C768" s="2">
        <v>41170</v>
      </c>
      <c r="D768">
        <v>100.6227070490153</v>
      </c>
      <c r="E768">
        <f>VLOOKUP(C768,'10y swap Vol'!$C$2:$G$3809,5,0)</f>
        <v>72.117636231492895</v>
      </c>
      <c r="F768">
        <f>VLOOKUP(C768,'5y10y Swaption Vol'!temp,3,0)</f>
        <v>92.973184877999998</v>
      </c>
      <c r="H768" s="1">
        <v>41198</v>
      </c>
      <c r="I768" t="s">
        <v>2</v>
      </c>
      <c r="J768">
        <v>1.757228</v>
      </c>
      <c r="K768">
        <v>4.0596000000000076E-2</v>
      </c>
      <c r="L768">
        <v>68.762852289775068</v>
      </c>
      <c r="M768">
        <f t="shared" si="11"/>
        <v>-28</v>
      </c>
    </row>
    <row r="769" spans="3:13">
      <c r="C769" s="2">
        <v>41171</v>
      </c>
      <c r="D769">
        <v>99.73030710375518</v>
      </c>
      <c r="E769">
        <f>VLOOKUP(C769,'10y swap Vol'!$C$2:$G$3809,5,0)</f>
        <v>71.685949643050606</v>
      </c>
      <c r="F769">
        <f>VLOOKUP(C769,'5y10y Swaption Vol'!temp,3,0)</f>
        <v>92.869263395999994</v>
      </c>
      <c r="H769" s="1">
        <v>41199</v>
      </c>
      <c r="I769" t="s">
        <v>2</v>
      </c>
      <c r="J769">
        <v>1.842263</v>
      </c>
      <c r="K769">
        <v>8.5034999999999972E-2</v>
      </c>
      <c r="L769">
        <v>70.579102771102654</v>
      </c>
      <c r="M769">
        <f t="shared" si="11"/>
        <v>-28</v>
      </c>
    </row>
    <row r="770" spans="3:13">
      <c r="C770" s="2">
        <v>41172</v>
      </c>
      <c r="D770">
        <v>99.553816180305972</v>
      </c>
      <c r="E770">
        <f>VLOOKUP(C770,'10y swap Vol'!$C$2:$G$3809,5,0)</f>
        <v>71.740748483965149</v>
      </c>
      <c r="F770">
        <f>VLOOKUP(C770,'5y10y Swaption Vol'!temp,3,0)</f>
        <v>92.651043263999995</v>
      </c>
      <c r="H770" s="1">
        <v>41200</v>
      </c>
      <c r="I770" t="s">
        <v>2</v>
      </c>
      <c r="J770">
        <v>1.8491089999999999</v>
      </c>
      <c r="K770">
        <v>6.8459999999999077E-3</v>
      </c>
      <c r="L770">
        <v>70.274885444176221</v>
      </c>
      <c r="M770">
        <f t="shared" si="11"/>
        <v>-28</v>
      </c>
    </row>
    <row r="771" spans="3:13">
      <c r="C771" s="2">
        <v>41173</v>
      </c>
      <c r="D771">
        <v>100.3767987638002</v>
      </c>
      <c r="E771">
        <f>VLOOKUP(C771,'10y swap Vol'!$C$2:$G$3809,5,0)</f>
        <v>71.752390332292052</v>
      </c>
      <c r="F771">
        <f>VLOOKUP(C771,'5y10y Swaption Vol'!temp,3,0)</f>
        <v>92.556565075999998</v>
      </c>
      <c r="H771" s="1">
        <v>41201</v>
      </c>
      <c r="I771" t="s">
        <v>2</v>
      </c>
      <c r="J771">
        <v>1.7949759999999999</v>
      </c>
      <c r="K771">
        <v>-5.4132999999999987E-2</v>
      </c>
      <c r="L771">
        <v>71.296940006300446</v>
      </c>
      <c r="M771">
        <f t="shared" ref="M771:M834" si="12">C771-H771</f>
        <v>-28</v>
      </c>
    </row>
    <row r="772" spans="3:13">
      <c r="C772" s="2">
        <v>41176</v>
      </c>
      <c r="D772">
        <v>100.62218281002919</v>
      </c>
      <c r="E772">
        <f>VLOOKUP(C772,'10y swap Vol'!$C$2:$G$3809,5,0)</f>
        <v>71.625793156078117</v>
      </c>
      <c r="F772">
        <f>VLOOKUP(C772,'5y10y Swaption Vol'!temp,3,0)</f>
        <v>92.324011138000003</v>
      </c>
      <c r="H772" s="1">
        <v>41204</v>
      </c>
      <c r="I772" t="s">
        <v>2</v>
      </c>
      <c r="J772">
        <v>1.8227120000000001</v>
      </c>
      <c r="K772">
        <v>2.7736000000000205E-2</v>
      </c>
      <c r="L772">
        <v>71.415305279220746</v>
      </c>
      <c r="M772">
        <f t="shared" si="12"/>
        <v>-28</v>
      </c>
    </row>
    <row r="773" spans="3:13">
      <c r="C773" s="2">
        <v>41177</v>
      </c>
      <c r="D773">
        <v>99.809267576272518</v>
      </c>
      <c r="E773">
        <f>VLOOKUP(C773,'10y swap Vol'!$C$2:$G$3809,5,0)</f>
        <v>70.386768604730079</v>
      </c>
      <c r="F773">
        <f>VLOOKUP(C773,'5y10y Swaption Vol'!temp,3,0)</f>
        <v>91.880724623999996</v>
      </c>
      <c r="H773" s="1">
        <v>41205</v>
      </c>
      <c r="I773" t="s">
        <v>2</v>
      </c>
      <c r="J773">
        <v>1.8053999999999999</v>
      </c>
      <c r="K773">
        <v>-1.7312000000000216E-2</v>
      </c>
      <c r="L773">
        <v>67.566318274781267</v>
      </c>
      <c r="M773">
        <f t="shared" si="12"/>
        <v>-28</v>
      </c>
    </row>
    <row r="774" spans="3:13">
      <c r="C774" s="2">
        <v>41178</v>
      </c>
      <c r="D774">
        <v>98.818865688915452</v>
      </c>
      <c r="E774">
        <f>VLOOKUP(C774,'10y swap Vol'!$C$2:$G$3809,5,0)</f>
        <v>69.960173320632691</v>
      </c>
      <c r="F774">
        <f>VLOOKUP(C774,'5y10y Swaption Vol'!temp,3,0)</f>
        <v>91.343692688000004</v>
      </c>
      <c r="H774" s="1">
        <v>41206</v>
      </c>
      <c r="I774" t="s">
        <v>2</v>
      </c>
      <c r="J774">
        <v>1.80419</v>
      </c>
      <c r="K774">
        <v>-1.2099999999999334E-3</v>
      </c>
      <c r="L774">
        <v>66.258631172881593</v>
      </c>
      <c r="M774">
        <f t="shared" si="12"/>
        <v>-28</v>
      </c>
    </row>
    <row r="775" spans="3:13">
      <c r="C775" s="2">
        <v>41179</v>
      </c>
      <c r="D775">
        <v>99.940181836359017</v>
      </c>
      <c r="E775">
        <f>VLOOKUP(C775,'10y swap Vol'!$C$2:$G$3809,5,0)</f>
        <v>69.570845997845467</v>
      </c>
      <c r="F775">
        <f>VLOOKUP(C775,'5y10y Swaption Vol'!temp,3,0)</f>
        <v>91.525602321999997</v>
      </c>
      <c r="H775" s="1">
        <v>41207</v>
      </c>
      <c r="I775" t="s">
        <v>2</v>
      </c>
      <c r="J775">
        <v>1.866633</v>
      </c>
      <c r="K775">
        <v>6.2443000000000026E-2</v>
      </c>
      <c r="L775">
        <v>67.33661348012501</v>
      </c>
      <c r="M775">
        <f t="shared" si="12"/>
        <v>-28</v>
      </c>
    </row>
    <row r="776" spans="3:13">
      <c r="C776" s="2">
        <v>41180</v>
      </c>
      <c r="D776">
        <v>99.871366154839336</v>
      </c>
      <c r="E776">
        <f>VLOOKUP(C776,'10y swap Vol'!$C$2:$G$3809,5,0)</f>
        <v>69.457270855316395</v>
      </c>
      <c r="F776">
        <f>VLOOKUP(C776,'5y10y Swaption Vol'!temp,3,0)</f>
        <v>91.710913293999994</v>
      </c>
      <c r="H776" s="1">
        <v>41208</v>
      </c>
      <c r="I776" t="s">
        <v>2</v>
      </c>
      <c r="J776">
        <v>1.78755</v>
      </c>
      <c r="K776">
        <v>-7.9083000000000014E-2</v>
      </c>
      <c r="L776">
        <v>68.45873938247972</v>
      </c>
      <c r="M776">
        <f t="shared" si="12"/>
        <v>-28</v>
      </c>
    </row>
    <row r="777" spans="3:13">
      <c r="C777" s="2">
        <v>41183</v>
      </c>
      <c r="D777">
        <v>99.373789303515721</v>
      </c>
      <c r="E777">
        <f>VLOOKUP(C777,'10y swap Vol'!$C$2:$G$3809,5,0)</f>
        <v>68.674165751083891</v>
      </c>
      <c r="F777">
        <f>VLOOKUP(C777,'5y10y Swaption Vol'!temp,3,0)</f>
        <v>91.575150500000007</v>
      </c>
      <c r="H777" s="1">
        <v>41211</v>
      </c>
      <c r="I777" t="s">
        <v>2</v>
      </c>
      <c r="J777">
        <v>1.7634879999999999</v>
      </c>
      <c r="K777">
        <v>-2.4062000000000028E-2</v>
      </c>
      <c r="L777">
        <v>68.096318133542539</v>
      </c>
      <c r="M777">
        <f t="shared" si="12"/>
        <v>-28</v>
      </c>
    </row>
    <row r="778" spans="3:13">
      <c r="C778" s="2">
        <v>41184</v>
      </c>
      <c r="D778">
        <v>100.3720738402025</v>
      </c>
      <c r="E778">
        <f>VLOOKUP(C778,'10y swap Vol'!$C$2:$G$3809,5,0)</f>
        <v>68.153179702169737</v>
      </c>
      <c r="F778">
        <f>VLOOKUP(C778,'5y10y Swaption Vol'!temp,3,0)</f>
        <v>91.685298144000001</v>
      </c>
      <c r="H778" s="1">
        <v>41213</v>
      </c>
      <c r="I778" t="s">
        <v>2</v>
      </c>
      <c r="J778">
        <v>1.730362</v>
      </c>
      <c r="K778">
        <v>-3.3125999999999989E-2</v>
      </c>
      <c r="L778">
        <v>65.840041524123507</v>
      </c>
      <c r="M778">
        <f t="shared" si="12"/>
        <v>-29</v>
      </c>
    </row>
    <row r="779" spans="3:13">
      <c r="C779" s="2">
        <v>41185</v>
      </c>
      <c r="D779">
        <v>101.76674217114538</v>
      </c>
      <c r="E779">
        <f>VLOOKUP(C779,'10y swap Vol'!$C$2:$G$3809,5,0)</f>
        <v>68.027591933170669</v>
      </c>
      <c r="F779">
        <f>VLOOKUP(C779,'5y10y Swaption Vol'!temp,3,0)</f>
        <v>91.648194197999999</v>
      </c>
      <c r="H779" s="1">
        <v>41214</v>
      </c>
      <c r="I779" t="s">
        <v>2</v>
      </c>
      <c r="J779">
        <v>1.7523770000000001</v>
      </c>
      <c r="K779">
        <v>2.2015000000000118E-2</v>
      </c>
      <c r="L779">
        <v>65.786463925372828</v>
      </c>
      <c r="M779">
        <f t="shared" si="12"/>
        <v>-29</v>
      </c>
    </row>
    <row r="780" spans="3:13">
      <c r="C780" s="2">
        <v>41186</v>
      </c>
      <c r="D780">
        <v>103.74448403266115</v>
      </c>
      <c r="E780">
        <f>VLOOKUP(C780,'10y swap Vol'!$C$2:$G$3809,5,0)</f>
        <v>68.856442930257217</v>
      </c>
      <c r="F780">
        <f>VLOOKUP(C780,'5y10y Swaption Vol'!temp,3,0)</f>
        <v>91.799470967999994</v>
      </c>
      <c r="H780" s="1">
        <v>41215</v>
      </c>
      <c r="I780" t="s">
        <v>2</v>
      </c>
      <c r="J780">
        <v>1.7508010000000001</v>
      </c>
      <c r="K780">
        <v>-1.5760000000000218E-3</v>
      </c>
      <c r="L780">
        <v>64.265428335221316</v>
      </c>
      <c r="M780">
        <f t="shared" si="12"/>
        <v>-29</v>
      </c>
    </row>
    <row r="781" spans="3:13">
      <c r="C781" s="2">
        <v>41187</v>
      </c>
      <c r="D781">
        <v>104.06016443184024</v>
      </c>
      <c r="E781">
        <f>VLOOKUP(C781,'10y swap Vol'!$C$2:$G$3809,5,0)</f>
        <v>69.509308804155836</v>
      </c>
      <c r="F781">
        <f>VLOOKUP(C781,'5y10y Swaption Vol'!temp,3,0)</f>
        <v>91.531823321999994</v>
      </c>
      <c r="H781" s="1">
        <v>41218</v>
      </c>
      <c r="I781" t="s">
        <v>2</v>
      </c>
      <c r="J781">
        <v>1.712747</v>
      </c>
      <c r="K781">
        <v>-3.8054000000000032E-2</v>
      </c>
      <c r="L781">
        <v>64.670040938920607</v>
      </c>
      <c r="M781">
        <f t="shared" si="12"/>
        <v>-31</v>
      </c>
    </row>
    <row r="782" spans="3:13">
      <c r="C782" s="2">
        <v>41191</v>
      </c>
      <c r="D782">
        <v>103.37669152781821</v>
      </c>
      <c r="E782">
        <f>VLOOKUP(C782,'10y swap Vol'!$C$2:$G$3809,5,0)</f>
        <v>69.48681369097109</v>
      </c>
      <c r="F782">
        <f>VLOOKUP(C782,'5y10y Swaption Vol'!temp,3,0)</f>
        <v>91.164253672000001</v>
      </c>
      <c r="H782" s="1">
        <v>41219</v>
      </c>
      <c r="I782" t="s">
        <v>2</v>
      </c>
      <c r="J782">
        <v>1.781269</v>
      </c>
      <c r="K782">
        <v>6.8521999999999972E-2</v>
      </c>
      <c r="L782">
        <v>66.128811451350174</v>
      </c>
      <c r="M782">
        <f t="shared" si="12"/>
        <v>-28</v>
      </c>
    </row>
    <row r="783" spans="3:13">
      <c r="C783" s="2">
        <v>41192</v>
      </c>
      <c r="D783">
        <v>103.24315220498947</v>
      </c>
      <c r="E783">
        <f>VLOOKUP(C783,'10y swap Vol'!$C$2:$G$3809,5,0)</f>
        <v>69.660423488527456</v>
      </c>
      <c r="F783">
        <f>VLOOKUP(C783,'5y10y Swaption Vol'!temp,3,0)</f>
        <v>90.553193247999999</v>
      </c>
      <c r="H783" s="1">
        <v>41220</v>
      </c>
      <c r="I783" t="s">
        <v>2</v>
      </c>
      <c r="J783">
        <v>1.6757930000000001</v>
      </c>
      <c r="K783">
        <v>-0.1054759999999999</v>
      </c>
      <c r="L783">
        <v>69.070402829716599</v>
      </c>
      <c r="M783">
        <f t="shared" si="12"/>
        <v>-28</v>
      </c>
    </row>
    <row r="784" spans="3:13">
      <c r="C784" s="2">
        <v>41193</v>
      </c>
      <c r="D784">
        <v>103.02140100935655</v>
      </c>
      <c r="E784">
        <f>VLOOKUP(C784,'10y swap Vol'!$C$2:$G$3809,5,0)</f>
        <v>69.48090608563065</v>
      </c>
      <c r="F784">
        <f>VLOOKUP(C784,'5y10y Swaption Vol'!temp,3,0)</f>
        <v>90.460561279000004</v>
      </c>
      <c r="H784" s="1">
        <v>41221</v>
      </c>
      <c r="I784" t="s">
        <v>2</v>
      </c>
      <c r="J784">
        <v>1.6435470000000001</v>
      </c>
      <c r="K784">
        <v>-3.2245999999999997E-2</v>
      </c>
      <c r="L784">
        <v>69.346273114998553</v>
      </c>
      <c r="M784">
        <f t="shared" si="12"/>
        <v>-28</v>
      </c>
    </row>
    <row r="785" spans="3:13">
      <c r="C785" s="2">
        <v>41194</v>
      </c>
      <c r="D785">
        <v>102.42665301055266</v>
      </c>
      <c r="E785">
        <f>VLOOKUP(C785,'10y swap Vol'!$C$2:$G$3809,5,0)</f>
        <v>69.22624468835383</v>
      </c>
      <c r="F785">
        <f>VLOOKUP(C785,'5y10y Swaption Vol'!temp,3,0)</f>
        <v>90.095510202</v>
      </c>
      <c r="H785" s="1">
        <v>41222</v>
      </c>
      <c r="I785" t="s">
        <v>2</v>
      </c>
      <c r="J785">
        <v>1.6431750000000001</v>
      </c>
      <c r="K785">
        <v>-3.7200000000003897E-4</v>
      </c>
      <c r="L785">
        <v>67.982529460414739</v>
      </c>
      <c r="M785">
        <f t="shared" si="12"/>
        <v>-28</v>
      </c>
    </row>
    <row r="786" spans="3:13">
      <c r="C786" s="2">
        <v>41197</v>
      </c>
      <c r="D786">
        <v>102.5607803856615</v>
      </c>
      <c r="E786">
        <f>VLOOKUP(C786,'10y swap Vol'!$C$2:$G$3809,5,0)</f>
        <v>69.079570755060359</v>
      </c>
      <c r="F786">
        <f>VLOOKUP(C786,'5y10y Swaption Vol'!temp,3,0)</f>
        <v>90.678833850000004</v>
      </c>
      <c r="H786" s="1">
        <v>41226</v>
      </c>
      <c r="I786" t="s">
        <v>2</v>
      </c>
      <c r="J786">
        <v>1.631675</v>
      </c>
      <c r="K786">
        <v>-1.1500000000000066E-2</v>
      </c>
      <c r="L786">
        <v>64.888752152872542</v>
      </c>
      <c r="M786">
        <f t="shared" si="12"/>
        <v>-29</v>
      </c>
    </row>
    <row r="787" spans="3:13">
      <c r="C787" s="2">
        <v>41198</v>
      </c>
      <c r="D787">
        <v>102.28687049557657</v>
      </c>
      <c r="E787">
        <f>VLOOKUP(C787,'10y swap Vol'!$C$2:$G$3809,5,0)</f>
        <v>68.762852289775068</v>
      </c>
      <c r="F787">
        <f>VLOOKUP(C787,'5y10y Swaption Vol'!temp,3,0)</f>
        <v>90.620773229999998</v>
      </c>
      <c r="H787" s="1">
        <v>41227</v>
      </c>
      <c r="I787" t="s">
        <v>2</v>
      </c>
      <c r="J787">
        <v>1.624827</v>
      </c>
      <c r="K787">
        <v>-6.8479999999999652E-3</v>
      </c>
      <c r="L787">
        <v>64.426219692940421</v>
      </c>
      <c r="M787">
        <f t="shared" si="12"/>
        <v>-29</v>
      </c>
    </row>
    <row r="788" spans="3:13">
      <c r="C788" s="2">
        <v>41199</v>
      </c>
      <c r="D788">
        <v>104.45084831615392</v>
      </c>
      <c r="E788">
        <f>VLOOKUP(C788,'10y swap Vol'!$C$2:$G$3809,5,0)</f>
        <v>70.579102771102654</v>
      </c>
      <c r="F788">
        <f>VLOOKUP(C788,'5y10y Swaption Vol'!temp,3,0)</f>
        <v>91.227109131000006</v>
      </c>
      <c r="H788" s="1">
        <v>41228</v>
      </c>
      <c r="I788" t="s">
        <v>2</v>
      </c>
      <c r="J788">
        <v>1.6291359999999999</v>
      </c>
      <c r="K788">
        <v>4.3089999999998962E-3</v>
      </c>
      <c r="L788">
        <v>64.185417584476639</v>
      </c>
      <c r="M788">
        <f t="shared" si="12"/>
        <v>-29</v>
      </c>
    </row>
    <row r="789" spans="3:13">
      <c r="C789" s="2">
        <v>41200</v>
      </c>
      <c r="D789">
        <v>104.58192378832396</v>
      </c>
      <c r="E789">
        <f>VLOOKUP(C789,'10y swap Vol'!$C$2:$G$3809,5,0)</f>
        <v>70.274885444176221</v>
      </c>
      <c r="F789">
        <f>VLOOKUP(C789,'5y10y Swaption Vol'!temp,3,0)</f>
        <v>90.982561349999997</v>
      </c>
      <c r="H789" s="1">
        <v>41229</v>
      </c>
      <c r="I789" t="s">
        <v>2</v>
      </c>
      <c r="J789">
        <v>1.6194219999999999</v>
      </c>
      <c r="K789">
        <v>-9.7140000000000004E-3</v>
      </c>
      <c r="L789">
        <v>64.177251883942489</v>
      </c>
      <c r="M789">
        <f t="shared" si="12"/>
        <v>-29</v>
      </c>
    </row>
    <row r="790" spans="3:13">
      <c r="C790" s="2">
        <v>41201</v>
      </c>
      <c r="D790">
        <v>105.39466181473249</v>
      </c>
      <c r="E790">
        <f>VLOOKUP(C790,'10y swap Vol'!$C$2:$G$3809,5,0)</f>
        <v>71.296940006300446</v>
      </c>
      <c r="F790">
        <f>VLOOKUP(C790,'5y10y Swaption Vol'!temp,3,0)</f>
        <v>90.384527540999997</v>
      </c>
      <c r="H790" s="1">
        <v>41232</v>
      </c>
      <c r="I790" t="s">
        <v>2</v>
      </c>
      <c r="J790">
        <v>1.6551480000000001</v>
      </c>
      <c r="K790">
        <v>3.5726000000000147E-2</v>
      </c>
      <c r="L790">
        <v>64.700849850659608</v>
      </c>
      <c r="M790">
        <f t="shared" si="12"/>
        <v>-31</v>
      </c>
    </row>
    <row r="791" spans="3:13">
      <c r="C791" s="2">
        <v>41204</v>
      </c>
      <c r="D791">
        <v>105.50295915014061</v>
      </c>
      <c r="E791">
        <f>VLOOKUP(C791,'10y swap Vol'!$C$2:$G$3809,5,0)</f>
        <v>71.415305279220746</v>
      </c>
      <c r="F791">
        <f>VLOOKUP(C791,'5y10y Swaption Vol'!temp,3,0)</f>
        <v>92.371027311999995</v>
      </c>
      <c r="H791" s="1">
        <v>41233</v>
      </c>
      <c r="I791" t="s">
        <v>2</v>
      </c>
      <c r="J791">
        <v>1.691797</v>
      </c>
      <c r="K791">
        <v>3.6648999999999932E-2</v>
      </c>
      <c r="L791">
        <v>62.892777432172366</v>
      </c>
      <c r="M791">
        <f t="shared" si="12"/>
        <v>-29</v>
      </c>
    </row>
    <row r="792" spans="3:13">
      <c r="C792" s="2">
        <v>41205</v>
      </c>
      <c r="D792">
        <v>98.526656976737613</v>
      </c>
      <c r="E792">
        <f>VLOOKUP(C792,'10y swap Vol'!$C$2:$G$3809,5,0)</f>
        <v>67.566318274781267</v>
      </c>
      <c r="F792">
        <f>VLOOKUP(C792,'5y10y Swaption Vol'!temp,3,0)</f>
        <v>90.371639520000002</v>
      </c>
      <c r="H792" s="1">
        <v>41234</v>
      </c>
      <c r="I792" t="s">
        <v>2</v>
      </c>
      <c r="J792">
        <v>1.721595</v>
      </c>
      <c r="K792">
        <v>2.9797999999999991E-2</v>
      </c>
      <c r="L792">
        <v>62.227643540394453</v>
      </c>
      <c r="M792">
        <f t="shared" si="12"/>
        <v>-29</v>
      </c>
    </row>
    <row r="793" spans="3:13">
      <c r="C793" s="2">
        <v>41206</v>
      </c>
      <c r="D793">
        <v>95.25052730589745</v>
      </c>
      <c r="E793">
        <f>VLOOKUP(C793,'10y swap Vol'!$C$2:$G$3809,5,0)</f>
        <v>66.258631172881593</v>
      </c>
      <c r="F793">
        <f>VLOOKUP(C793,'5y10y Swaption Vol'!temp,3,0)</f>
        <v>90.640239600000001</v>
      </c>
      <c r="H793" s="1">
        <v>41236</v>
      </c>
      <c r="I793" t="s">
        <v>2</v>
      </c>
      <c r="J793">
        <v>1.727482</v>
      </c>
      <c r="K793">
        <v>5.8869999999999756E-3</v>
      </c>
      <c r="L793">
        <v>62.183416622835416</v>
      </c>
      <c r="M793">
        <f t="shared" si="12"/>
        <v>-30</v>
      </c>
    </row>
    <row r="794" spans="3:13">
      <c r="C794" s="2">
        <v>41207</v>
      </c>
      <c r="D794">
        <v>95.796649358895408</v>
      </c>
      <c r="E794">
        <f>VLOOKUP(C794,'10y swap Vol'!$C$2:$G$3809,5,0)</f>
        <v>67.33661348012501</v>
      </c>
      <c r="F794">
        <f>VLOOKUP(C794,'5y10y Swaption Vol'!temp,3,0)</f>
        <v>90.195796086000001</v>
      </c>
      <c r="H794" s="1">
        <v>41239</v>
      </c>
      <c r="I794" t="s">
        <v>2</v>
      </c>
      <c r="J794">
        <v>1.703314</v>
      </c>
      <c r="K794">
        <v>-2.4167999999999967E-2</v>
      </c>
      <c r="L794">
        <v>62.040225936859791</v>
      </c>
      <c r="M794">
        <f t="shared" si="12"/>
        <v>-32</v>
      </c>
    </row>
    <row r="795" spans="3:13">
      <c r="C795" s="2">
        <v>41208</v>
      </c>
      <c r="D795">
        <v>96.249105046567422</v>
      </c>
      <c r="E795">
        <f>VLOOKUP(C795,'10y swap Vol'!$C$2:$G$3809,5,0)</f>
        <v>68.45873938247972</v>
      </c>
      <c r="F795">
        <f>VLOOKUP(C795,'5y10y Swaption Vol'!temp,3,0)</f>
        <v>89.569090947000007</v>
      </c>
      <c r="H795" s="1">
        <v>41240</v>
      </c>
      <c r="I795" t="s">
        <v>2</v>
      </c>
      <c r="J795">
        <v>1.675386</v>
      </c>
      <c r="K795">
        <v>-2.7927999999999953E-2</v>
      </c>
      <c r="L795">
        <v>62.067133464084243</v>
      </c>
      <c r="M795">
        <f t="shared" si="12"/>
        <v>-32</v>
      </c>
    </row>
    <row r="796" spans="3:13">
      <c r="C796" s="2">
        <v>41211</v>
      </c>
      <c r="D796">
        <v>96.261887657723932</v>
      </c>
      <c r="E796">
        <f>VLOOKUP(C796,'10y swap Vol'!$C$2:$G$3809,5,0)</f>
        <v>68.096318133542539</v>
      </c>
      <c r="F796">
        <f>VLOOKUP(C796,'5y10y Swaption Vol'!temp,3,0)</f>
        <v>89.246549168000001</v>
      </c>
      <c r="H796" s="1">
        <v>41241</v>
      </c>
      <c r="I796" t="s">
        <v>2</v>
      </c>
      <c r="J796">
        <v>1.653546</v>
      </c>
      <c r="K796">
        <v>-2.1840000000000082E-2</v>
      </c>
      <c r="L796">
        <v>61.795577854802033</v>
      </c>
      <c r="M796">
        <f t="shared" si="12"/>
        <v>-30</v>
      </c>
    </row>
    <row r="797" spans="3:13">
      <c r="C797" s="2">
        <v>41213</v>
      </c>
      <c r="D797">
        <v>94.501045492668737</v>
      </c>
      <c r="E797">
        <f>VLOOKUP(C797,'10y swap Vol'!$C$2:$G$3809,5,0)</f>
        <v>65.840041524123507</v>
      </c>
      <c r="F797">
        <f>VLOOKUP(C797,'5y10y Swaption Vol'!temp,3,0)</f>
        <v>89.248050759999998</v>
      </c>
      <c r="H797" s="1">
        <v>41242</v>
      </c>
      <c r="I797" t="s">
        <v>2</v>
      </c>
      <c r="J797">
        <v>1.661168</v>
      </c>
      <c r="K797">
        <v>7.6220000000000176E-3</v>
      </c>
      <c r="L797">
        <v>61.502045837423658</v>
      </c>
      <c r="M797">
        <f t="shared" si="12"/>
        <v>-29</v>
      </c>
    </row>
    <row r="798" spans="3:13">
      <c r="C798" s="2">
        <v>41214</v>
      </c>
      <c r="D798">
        <v>96.423695178661234</v>
      </c>
      <c r="E798">
        <f>VLOOKUP(C798,'10y swap Vol'!$C$2:$G$3809,5,0)</f>
        <v>65.786463925372828</v>
      </c>
      <c r="F798">
        <f>VLOOKUP(C798,'5y10y Swaption Vol'!temp,3,0)</f>
        <v>89.622506688000001</v>
      </c>
      <c r="H798" s="1">
        <v>41243</v>
      </c>
      <c r="I798" t="s">
        <v>2</v>
      </c>
      <c r="J798">
        <v>1.6563429999999999</v>
      </c>
      <c r="K798">
        <v>-4.8250000000000792E-3</v>
      </c>
      <c r="L798">
        <v>60.665638589708891</v>
      </c>
      <c r="M798">
        <f t="shared" si="12"/>
        <v>-29</v>
      </c>
    </row>
    <row r="799" spans="3:13">
      <c r="C799" s="2">
        <v>41215</v>
      </c>
      <c r="D799">
        <v>95.926035416235095</v>
      </c>
      <c r="E799">
        <f>VLOOKUP(C799,'10y swap Vol'!$C$2:$G$3809,5,0)</f>
        <v>64.265428335221316</v>
      </c>
      <c r="F799">
        <f>VLOOKUP(C799,'5y10y Swaption Vol'!temp,3,0)</f>
        <v>89.738957393999996</v>
      </c>
      <c r="H799" s="1">
        <v>41246</v>
      </c>
      <c r="I799" t="s">
        <v>2</v>
      </c>
      <c r="J799">
        <v>1.670409</v>
      </c>
      <c r="K799">
        <v>1.4066000000000134E-2</v>
      </c>
      <c r="L799">
        <v>60.694474225924743</v>
      </c>
      <c r="M799">
        <f t="shared" si="12"/>
        <v>-31</v>
      </c>
    </row>
    <row r="800" spans="3:13">
      <c r="C800" s="2">
        <v>41218</v>
      </c>
      <c r="D800">
        <v>96.310048547500443</v>
      </c>
      <c r="E800">
        <f>VLOOKUP(C800,'10y swap Vol'!$C$2:$G$3809,5,0)</f>
        <v>64.670040938920607</v>
      </c>
      <c r="F800">
        <f>VLOOKUP(C800,'5y10y Swaption Vol'!temp,3,0)</f>
        <v>89.637848783999999</v>
      </c>
      <c r="H800" s="1">
        <v>41247</v>
      </c>
      <c r="I800" t="s">
        <v>2</v>
      </c>
      <c r="J800">
        <v>1.657397</v>
      </c>
      <c r="K800">
        <v>-1.3012000000000024E-2</v>
      </c>
      <c r="L800">
        <v>60.735818911631782</v>
      </c>
      <c r="M800">
        <f t="shared" si="12"/>
        <v>-29</v>
      </c>
    </row>
    <row r="801" spans="3:13">
      <c r="C801" s="2">
        <v>41219</v>
      </c>
      <c r="D801">
        <v>98.703791938307702</v>
      </c>
      <c r="E801">
        <f>VLOOKUP(C801,'10y swap Vol'!$C$2:$G$3809,5,0)</f>
        <v>66.128811451350174</v>
      </c>
      <c r="F801">
        <f>VLOOKUP(C801,'5y10y Swaption Vol'!temp,3,0)</f>
        <v>89.741608601999999</v>
      </c>
      <c r="H801" s="1">
        <v>41248</v>
      </c>
      <c r="I801" t="s">
        <v>2</v>
      </c>
      <c r="J801">
        <v>1.6404589999999999</v>
      </c>
      <c r="K801">
        <v>-1.693800000000012E-2</v>
      </c>
      <c r="L801">
        <v>57.925344571125493</v>
      </c>
      <c r="M801">
        <f t="shared" si="12"/>
        <v>-29</v>
      </c>
    </row>
    <row r="802" spans="3:13">
      <c r="C802" s="2">
        <v>41220</v>
      </c>
      <c r="D802">
        <v>103.51594110496045</v>
      </c>
      <c r="E802">
        <f>VLOOKUP(C802,'10y swap Vol'!$C$2:$G$3809,5,0)</f>
        <v>69.070402829716599</v>
      </c>
      <c r="F802">
        <f>VLOOKUP(C802,'5y10y Swaption Vol'!temp,3,0)</f>
        <v>88.463758807000005</v>
      </c>
      <c r="H802" s="1">
        <v>41249</v>
      </c>
      <c r="I802" t="s">
        <v>2</v>
      </c>
      <c r="J802">
        <v>1.6369800000000001</v>
      </c>
      <c r="K802">
        <v>-3.4789999999997878E-3</v>
      </c>
      <c r="L802">
        <v>57.899476153059716</v>
      </c>
      <c r="M802">
        <f t="shared" si="12"/>
        <v>-29</v>
      </c>
    </row>
    <row r="803" spans="3:13">
      <c r="C803" s="2">
        <v>41221</v>
      </c>
      <c r="D803">
        <v>103.78547372747067</v>
      </c>
      <c r="E803">
        <f>VLOOKUP(C803,'10y swap Vol'!$C$2:$G$3809,5,0)</f>
        <v>69.346273114998553</v>
      </c>
      <c r="F803">
        <f>VLOOKUP(C803,'5y10y Swaption Vol'!temp,3,0)</f>
        <v>88.306746696000005</v>
      </c>
      <c r="H803" s="1">
        <v>41250</v>
      </c>
      <c r="I803" t="s">
        <v>2</v>
      </c>
      <c r="J803">
        <v>1.676668</v>
      </c>
      <c r="K803">
        <v>3.9687999999999946E-2</v>
      </c>
      <c r="L803">
        <v>58.483927437422089</v>
      </c>
      <c r="M803">
        <f t="shared" si="12"/>
        <v>-29</v>
      </c>
    </row>
    <row r="804" spans="3:13">
      <c r="C804" s="2">
        <v>41222</v>
      </c>
      <c r="D804">
        <v>102.61182971031108</v>
      </c>
      <c r="E804">
        <f>VLOOKUP(C804,'10y swap Vol'!$C$2:$G$3809,5,0)</f>
        <v>67.982529460414739</v>
      </c>
      <c r="F804">
        <f>VLOOKUP(C804,'5y10y Swaption Vol'!temp,3,0)</f>
        <v>89.184109437999993</v>
      </c>
      <c r="H804" s="1">
        <v>41253</v>
      </c>
      <c r="I804" t="s">
        <v>2</v>
      </c>
      <c r="J804">
        <v>1.6684349999999999</v>
      </c>
      <c r="K804">
        <v>-8.2330000000001569E-3</v>
      </c>
      <c r="L804">
        <v>58.378996483285682</v>
      </c>
      <c r="M804">
        <f t="shared" si="12"/>
        <v>-31</v>
      </c>
    </row>
    <row r="805" spans="3:13">
      <c r="C805" s="2">
        <v>41226</v>
      </c>
      <c r="D805">
        <v>98.500319156513982</v>
      </c>
      <c r="E805">
        <f>VLOOKUP(C805,'10y swap Vol'!$C$2:$G$3809,5,0)</f>
        <v>64.888752152872542</v>
      </c>
      <c r="F805">
        <f>VLOOKUP(C805,'5y10y Swaption Vol'!temp,3,0)</f>
        <v>89.308351164000001</v>
      </c>
      <c r="H805" s="1">
        <v>41254</v>
      </c>
      <c r="I805" t="s">
        <v>2</v>
      </c>
      <c r="J805">
        <v>1.694474</v>
      </c>
      <c r="K805">
        <v>2.6039000000000145E-2</v>
      </c>
      <c r="L805">
        <v>57.134524289351383</v>
      </c>
      <c r="M805">
        <f t="shared" si="12"/>
        <v>-28</v>
      </c>
    </row>
    <row r="806" spans="3:13">
      <c r="C806" s="2">
        <v>41227</v>
      </c>
      <c r="D806">
        <v>98.921605038364945</v>
      </c>
      <c r="E806">
        <f>VLOOKUP(C806,'10y swap Vol'!$C$2:$G$3809,5,0)</f>
        <v>64.426219692940421</v>
      </c>
      <c r="F806">
        <f>VLOOKUP(C806,'5y10y Swaption Vol'!temp,3,0)</f>
        <v>89.602275594000005</v>
      </c>
      <c r="H806" s="1">
        <v>41255</v>
      </c>
      <c r="I806" t="s">
        <v>2</v>
      </c>
      <c r="J806">
        <v>1.740826</v>
      </c>
      <c r="K806">
        <v>4.6351999999999949E-2</v>
      </c>
      <c r="L806">
        <v>57.445462203674438</v>
      </c>
      <c r="M806">
        <f t="shared" si="12"/>
        <v>-28</v>
      </c>
    </row>
    <row r="807" spans="3:13">
      <c r="C807" s="2">
        <v>41228</v>
      </c>
      <c r="D807">
        <v>99.049730337366668</v>
      </c>
      <c r="E807">
        <f>VLOOKUP(C807,'10y swap Vol'!$C$2:$G$3809,5,0)</f>
        <v>64.185417584476639</v>
      </c>
      <c r="F807">
        <f>VLOOKUP(C807,'5y10y Swaption Vol'!temp,3,0)</f>
        <v>89.912402909999997</v>
      </c>
      <c r="H807" s="1">
        <v>41256</v>
      </c>
      <c r="I807" t="s">
        <v>2</v>
      </c>
      <c r="J807">
        <v>1.767593</v>
      </c>
      <c r="K807">
        <v>2.6766999999999985E-2</v>
      </c>
      <c r="L807">
        <v>54.996447704306462</v>
      </c>
      <c r="M807">
        <f t="shared" si="12"/>
        <v>-28</v>
      </c>
    </row>
    <row r="808" spans="3:13">
      <c r="C808" s="2">
        <v>41229</v>
      </c>
      <c r="D808">
        <v>99.49200345075441</v>
      </c>
      <c r="E808">
        <f>VLOOKUP(C808,'10y swap Vol'!$C$2:$G$3809,5,0)</f>
        <v>64.177251883942489</v>
      </c>
      <c r="F808">
        <f>VLOOKUP(C808,'5y10y Swaption Vol'!temp,3,0)</f>
        <v>90.018351550000006</v>
      </c>
      <c r="H808" s="1">
        <v>41257</v>
      </c>
      <c r="I808" t="s">
        <v>2</v>
      </c>
      <c r="J808">
        <v>1.7565850000000001</v>
      </c>
      <c r="K808">
        <v>-1.1007999999999907E-2</v>
      </c>
      <c r="L808">
        <v>54.823984521395943</v>
      </c>
      <c r="M808">
        <f t="shared" si="12"/>
        <v>-28</v>
      </c>
    </row>
    <row r="809" spans="3:13">
      <c r="C809" s="2">
        <v>41232</v>
      </c>
      <c r="D809">
        <v>99.832156592841798</v>
      </c>
      <c r="E809">
        <f>VLOOKUP(C809,'10y swap Vol'!$C$2:$G$3809,5,0)</f>
        <v>64.700849850659608</v>
      </c>
      <c r="F809">
        <f>VLOOKUP(C809,'5y10y Swaption Vol'!temp,3,0)</f>
        <v>90.504056136000003</v>
      </c>
      <c r="H809" s="1">
        <v>41260</v>
      </c>
      <c r="I809" t="s">
        <v>2</v>
      </c>
      <c r="J809">
        <v>1.8140559999999999</v>
      </c>
      <c r="K809">
        <v>5.7470999999999828E-2</v>
      </c>
      <c r="L809">
        <v>55.905013788143755</v>
      </c>
      <c r="M809">
        <f t="shared" si="12"/>
        <v>-28</v>
      </c>
    </row>
    <row r="810" spans="3:13">
      <c r="C810" s="2">
        <v>41233</v>
      </c>
      <c r="D810">
        <v>98.788575840617426</v>
      </c>
      <c r="E810">
        <f>VLOOKUP(C810,'10y swap Vol'!$C$2:$G$3809,5,0)</f>
        <v>62.892777432172366</v>
      </c>
      <c r="F810">
        <f>VLOOKUP(C810,'5y10y Swaption Vol'!temp,3,0)</f>
        <v>91.012661930999997</v>
      </c>
      <c r="H810" s="1">
        <v>41261</v>
      </c>
      <c r="I810" t="s">
        <v>2</v>
      </c>
      <c r="J810">
        <v>1.8750690000000001</v>
      </c>
      <c r="K810">
        <v>6.1013000000000206E-2</v>
      </c>
      <c r="L810">
        <v>56.591536852916455</v>
      </c>
      <c r="M810">
        <f t="shared" si="12"/>
        <v>-28</v>
      </c>
    </row>
    <row r="811" spans="3:13">
      <c r="C811" s="2">
        <v>41234</v>
      </c>
      <c r="D811">
        <v>98.62427401923982</v>
      </c>
      <c r="E811">
        <f>VLOOKUP(C811,'10y swap Vol'!$C$2:$G$3809,5,0)</f>
        <v>62.227643540394453</v>
      </c>
      <c r="F811">
        <f>VLOOKUP(C811,'5y10y Swaption Vol'!temp,3,0)</f>
        <v>90.581118642000007</v>
      </c>
      <c r="H811" s="1">
        <v>41262</v>
      </c>
      <c r="I811" t="s">
        <v>2</v>
      </c>
      <c r="J811">
        <v>1.842482</v>
      </c>
      <c r="K811">
        <v>-3.2587000000000144E-2</v>
      </c>
      <c r="L811">
        <v>56.837581769686928</v>
      </c>
      <c r="M811">
        <f t="shared" si="12"/>
        <v>-28</v>
      </c>
    </row>
    <row r="812" spans="3:13">
      <c r="C812" s="2">
        <v>41236</v>
      </c>
      <c r="D812">
        <v>98.385914050338826</v>
      </c>
      <c r="E812">
        <f>VLOOKUP(C812,'10y swap Vol'!$C$2:$G$3809,5,0)</f>
        <v>62.183416622835416</v>
      </c>
      <c r="F812">
        <f>VLOOKUP(C812,'5y10y Swaption Vol'!temp,3,0)</f>
        <v>90.519970022999999</v>
      </c>
      <c r="H812" s="1">
        <v>41263</v>
      </c>
      <c r="I812" t="s">
        <v>2</v>
      </c>
      <c r="J812">
        <v>1.8430979999999999</v>
      </c>
      <c r="K812">
        <v>6.1599999999994992E-4</v>
      </c>
      <c r="L812">
        <v>56.776867189889103</v>
      </c>
      <c r="M812">
        <f t="shared" si="12"/>
        <v>-27</v>
      </c>
    </row>
    <row r="813" spans="3:13">
      <c r="C813" s="2">
        <v>41239</v>
      </c>
      <c r="D813">
        <v>99.05210574766113</v>
      </c>
      <c r="E813">
        <f>VLOOKUP(C813,'10y swap Vol'!$C$2:$G$3809,5,0)</f>
        <v>62.040225936859791</v>
      </c>
      <c r="F813">
        <f>VLOOKUP(C813,'5y10y Swaption Vol'!temp,3,0)</f>
        <v>90.259598126</v>
      </c>
      <c r="H813" s="1">
        <v>41264</v>
      </c>
      <c r="I813" t="s">
        <v>2</v>
      </c>
      <c r="J813">
        <v>1.803196</v>
      </c>
      <c r="K813">
        <v>-3.9901999999999882E-2</v>
      </c>
      <c r="L813">
        <v>56.978138343661797</v>
      </c>
      <c r="M813">
        <f t="shared" si="12"/>
        <v>-25</v>
      </c>
    </row>
    <row r="814" spans="3:13">
      <c r="C814" s="2">
        <v>41240</v>
      </c>
      <c r="D814">
        <v>100.4003417883105</v>
      </c>
      <c r="E814">
        <f>VLOOKUP(C814,'10y swap Vol'!$C$2:$G$3809,5,0)</f>
        <v>62.067133464084243</v>
      </c>
      <c r="F814">
        <f>VLOOKUP(C814,'5y10y Swaption Vol'!temp,3,0)</f>
        <v>89.711093837999996</v>
      </c>
      <c r="H814" s="1">
        <v>41267</v>
      </c>
      <c r="I814" t="s">
        <v>2</v>
      </c>
      <c r="J814">
        <v>1.827993</v>
      </c>
      <c r="K814">
        <v>2.4796999999999958E-2</v>
      </c>
      <c r="L814">
        <v>56.874466000467002</v>
      </c>
      <c r="M814">
        <f t="shared" si="12"/>
        <v>-27</v>
      </c>
    </row>
    <row r="815" spans="3:13">
      <c r="C815" s="2">
        <v>41241</v>
      </c>
      <c r="D815">
        <v>99.563043047888087</v>
      </c>
      <c r="E815">
        <f>VLOOKUP(C815,'10y swap Vol'!$C$2:$G$3809,5,0)</f>
        <v>61.795577854802033</v>
      </c>
      <c r="F815">
        <f>VLOOKUP(C815,'5y10y Swaption Vol'!temp,3,0)</f>
        <v>89.388460916</v>
      </c>
      <c r="H815" s="1">
        <v>41269</v>
      </c>
      <c r="I815" t="s">
        <v>2</v>
      </c>
      <c r="J815">
        <v>1.816595</v>
      </c>
      <c r="K815">
        <v>-1.1398000000000019E-2</v>
      </c>
      <c r="L815">
        <v>56.191472204318515</v>
      </c>
      <c r="M815">
        <f t="shared" si="12"/>
        <v>-28</v>
      </c>
    </row>
    <row r="816" spans="3:13">
      <c r="C816" s="2">
        <v>41242</v>
      </c>
      <c r="D816">
        <v>99.555563363642648</v>
      </c>
      <c r="E816">
        <f>VLOOKUP(C816,'10y swap Vol'!$C$2:$G$3809,5,0)</f>
        <v>61.502045837423658</v>
      </c>
      <c r="F816">
        <f>VLOOKUP(C816,'5y10y Swaption Vol'!temp,3,0)</f>
        <v>89.566517951999998</v>
      </c>
      <c r="H816" s="1">
        <v>41270</v>
      </c>
      <c r="I816" t="s">
        <v>2</v>
      </c>
      <c r="J816">
        <v>1.778338</v>
      </c>
      <c r="K816">
        <v>-3.8256999999999985E-2</v>
      </c>
      <c r="L816">
        <v>56.61603294275519</v>
      </c>
      <c r="M816">
        <f t="shared" si="12"/>
        <v>-28</v>
      </c>
    </row>
    <row r="817" spans="3:13">
      <c r="C817" s="2">
        <v>41243</v>
      </c>
      <c r="D817">
        <v>98.81157321507547</v>
      </c>
      <c r="E817">
        <f>VLOOKUP(C817,'10y swap Vol'!$C$2:$G$3809,5,0)</f>
        <v>60.665638589708891</v>
      </c>
      <c r="F817">
        <f>VLOOKUP(C817,'5y10y Swaption Vol'!temp,3,0)</f>
        <v>89.808711324000001</v>
      </c>
      <c r="H817" s="1">
        <v>41271</v>
      </c>
      <c r="I817" t="s">
        <v>2</v>
      </c>
      <c r="J817">
        <v>1.7664899999999999</v>
      </c>
      <c r="K817">
        <v>-1.1848000000000081E-2</v>
      </c>
      <c r="L817">
        <v>56.630486317144069</v>
      </c>
      <c r="M817">
        <f t="shared" si="12"/>
        <v>-28</v>
      </c>
    </row>
    <row r="818" spans="3:13">
      <c r="C818" s="2">
        <v>41246</v>
      </c>
      <c r="D818">
        <v>98.798845997113261</v>
      </c>
      <c r="E818">
        <f>VLOOKUP(C818,'10y swap Vol'!$C$2:$G$3809,5,0)</f>
        <v>60.694474225924743</v>
      </c>
      <c r="F818">
        <f>VLOOKUP(C818,'5y10y Swaption Vol'!temp,3,0)</f>
        <v>89.499080503000002</v>
      </c>
      <c r="H818" s="1">
        <v>41274</v>
      </c>
      <c r="I818" t="s">
        <v>2</v>
      </c>
      <c r="J818">
        <v>1.797312</v>
      </c>
      <c r="K818">
        <v>3.0822000000000127E-2</v>
      </c>
      <c r="L818">
        <v>56.904420329031112</v>
      </c>
      <c r="M818">
        <f t="shared" si="12"/>
        <v>-28</v>
      </c>
    </row>
    <row r="819" spans="3:13">
      <c r="C819" s="2">
        <v>41247</v>
      </c>
      <c r="D819">
        <v>98.778979592005214</v>
      </c>
      <c r="E819">
        <f>VLOOKUP(C819,'10y swap Vol'!$C$2:$G$3809,5,0)</f>
        <v>60.735818911631782</v>
      </c>
      <c r="F819">
        <f>VLOOKUP(C819,'5y10y Swaption Vol'!temp,3,0)</f>
        <v>89.288250911999995</v>
      </c>
      <c r="H819" s="1">
        <v>41276</v>
      </c>
      <c r="I819" t="s">
        <v>2</v>
      </c>
      <c r="J819">
        <v>1.876252</v>
      </c>
      <c r="K819">
        <v>7.894000000000001E-2</v>
      </c>
      <c r="L819">
        <v>59.018383044181391</v>
      </c>
      <c r="M819">
        <f t="shared" si="12"/>
        <v>-29</v>
      </c>
    </row>
    <row r="820" spans="3:13">
      <c r="C820" s="2">
        <v>41248</v>
      </c>
      <c r="D820">
        <v>97.891239891667297</v>
      </c>
      <c r="E820">
        <f>VLOOKUP(C820,'10y swap Vol'!$C$2:$G$3809,5,0)</f>
        <v>57.925344571125493</v>
      </c>
      <c r="F820">
        <f>VLOOKUP(C820,'5y10y Swaption Vol'!temp,3,0)</f>
        <v>89.290622099999993</v>
      </c>
      <c r="H820" s="1">
        <v>41277</v>
      </c>
      <c r="I820" t="s">
        <v>2</v>
      </c>
      <c r="J820">
        <v>1.927184</v>
      </c>
      <c r="K820">
        <v>5.0931999999999977E-2</v>
      </c>
      <c r="L820">
        <v>59.787952004195063</v>
      </c>
      <c r="M820">
        <f t="shared" si="12"/>
        <v>-29</v>
      </c>
    </row>
    <row r="821" spans="3:13">
      <c r="C821" s="2">
        <v>41249</v>
      </c>
      <c r="D821">
        <v>96.851762081420304</v>
      </c>
      <c r="E821">
        <f>VLOOKUP(C821,'10y swap Vol'!$C$2:$G$3809,5,0)</f>
        <v>57.899476153059716</v>
      </c>
      <c r="F821">
        <f>VLOOKUP(C821,'5y10y Swaption Vol'!temp,3,0)</f>
        <v>89.259830346000001</v>
      </c>
      <c r="H821" s="1">
        <v>41278</v>
      </c>
      <c r="I821" t="s">
        <v>2</v>
      </c>
      <c r="J821">
        <v>1.9392750000000001</v>
      </c>
      <c r="K821">
        <v>1.2091000000000074E-2</v>
      </c>
      <c r="L821">
        <v>58.913645704730058</v>
      </c>
      <c r="M821">
        <f t="shared" si="12"/>
        <v>-29</v>
      </c>
    </row>
    <row r="822" spans="3:13">
      <c r="C822" s="2">
        <v>41250</v>
      </c>
      <c r="D822">
        <v>97.676129008640302</v>
      </c>
      <c r="E822">
        <f>VLOOKUP(C822,'10y swap Vol'!$C$2:$G$3809,5,0)</f>
        <v>58.483927437422089</v>
      </c>
      <c r="F822">
        <f>VLOOKUP(C822,'5y10y Swaption Vol'!temp,3,0)</f>
        <v>89.370491987999998</v>
      </c>
      <c r="H822" s="1">
        <v>41281</v>
      </c>
      <c r="I822" t="s">
        <v>2</v>
      </c>
      <c r="J822">
        <v>1.9287259999999999</v>
      </c>
      <c r="K822">
        <v>-1.0549000000000142E-2</v>
      </c>
      <c r="L822">
        <v>57.923607511328342</v>
      </c>
      <c r="M822">
        <f t="shared" si="12"/>
        <v>-31</v>
      </c>
    </row>
    <row r="823" spans="3:13">
      <c r="C823" s="2">
        <v>41253</v>
      </c>
      <c r="D823">
        <v>97.871868540011221</v>
      </c>
      <c r="E823">
        <f>VLOOKUP(C823,'10y swap Vol'!$C$2:$G$3809,5,0)</f>
        <v>58.378996483285682</v>
      </c>
      <c r="F823">
        <f>VLOOKUP(C823,'5y10y Swaption Vol'!temp,3,0)</f>
        <v>89.199485228</v>
      </c>
      <c r="H823" s="1">
        <v>41282</v>
      </c>
      <c r="I823" t="s">
        <v>2</v>
      </c>
      <c r="J823">
        <v>1.892647</v>
      </c>
      <c r="K823">
        <v>-3.6078999999999972E-2</v>
      </c>
      <c r="L823">
        <v>58.310558026952108</v>
      </c>
      <c r="M823">
        <f t="shared" si="12"/>
        <v>-29</v>
      </c>
    </row>
    <row r="824" spans="3:13">
      <c r="C824" s="2">
        <v>41254</v>
      </c>
      <c r="D824">
        <v>97.524047320808123</v>
      </c>
      <c r="E824">
        <f>VLOOKUP(C824,'10y swap Vol'!$C$2:$G$3809,5,0)</f>
        <v>57.134524289351383</v>
      </c>
      <c r="F824">
        <f>VLOOKUP(C824,'5y10y Swaption Vol'!temp,3,0)</f>
        <v>89.457426807000004</v>
      </c>
      <c r="H824" s="1">
        <v>41283</v>
      </c>
      <c r="I824" t="s">
        <v>2</v>
      </c>
      <c r="J824">
        <v>1.87765</v>
      </c>
      <c r="K824">
        <v>-1.4996999999999927E-2</v>
      </c>
      <c r="L824">
        <v>58.05331442721571</v>
      </c>
      <c r="M824">
        <f t="shared" si="12"/>
        <v>-29</v>
      </c>
    </row>
    <row r="825" spans="3:13">
      <c r="C825" s="2">
        <v>41255</v>
      </c>
      <c r="D825">
        <v>86.87133495813309</v>
      </c>
      <c r="E825">
        <f>VLOOKUP(C825,'10y swap Vol'!$C$2:$G$3809,5,0)</f>
        <v>57.445462203674438</v>
      </c>
      <c r="F825">
        <f>VLOOKUP(C825,'5y10y Swaption Vol'!temp,3,0)</f>
        <v>90.042762207999999</v>
      </c>
      <c r="H825" s="1">
        <v>41284</v>
      </c>
      <c r="I825" t="s">
        <v>2</v>
      </c>
      <c r="J825">
        <v>1.9170670000000001</v>
      </c>
      <c r="K825">
        <v>3.9417000000000035E-2</v>
      </c>
      <c r="L825">
        <v>58.141601335151393</v>
      </c>
      <c r="M825">
        <f t="shared" si="12"/>
        <v>-29</v>
      </c>
    </row>
    <row r="826" spans="3:13">
      <c r="C826" s="2">
        <v>41256</v>
      </c>
      <c r="D826">
        <v>85.92401862919516</v>
      </c>
      <c r="E826">
        <f>VLOOKUP(C826,'10y swap Vol'!$C$2:$G$3809,5,0)</f>
        <v>54.996447704306462</v>
      </c>
      <c r="F826">
        <f>VLOOKUP(C826,'5y10y Swaption Vol'!temp,3,0)</f>
        <v>90.056268900000006</v>
      </c>
      <c r="H826" s="1">
        <v>41285</v>
      </c>
      <c r="I826" t="s">
        <v>2</v>
      </c>
      <c r="J826">
        <v>1.903994</v>
      </c>
      <c r="K826">
        <v>-1.3073000000000112E-2</v>
      </c>
      <c r="L826">
        <v>58.222294011460271</v>
      </c>
      <c r="M826">
        <f t="shared" si="12"/>
        <v>-29</v>
      </c>
    </row>
    <row r="827" spans="3:13">
      <c r="C827" s="2">
        <v>41257</v>
      </c>
      <c r="D827">
        <v>85.872972023862559</v>
      </c>
      <c r="E827">
        <f>VLOOKUP(C827,'10y swap Vol'!$C$2:$G$3809,5,0)</f>
        <v>54.823984521395943</v>
      </c>
      <c r="F827">
        <f>VLOOKUP(C827,'5y10y Swaption Vol'!temp,3,0)</f>
        <v>90.243185568000001</v>
      </c>
      <c r="H827" s="1">
        <v>41288</v>
      </c>
      <c r="I827" t="s">
        <v>2</v>
      </c>
      <c r="J827">
        <v>1.883561</v>
      </c>
      <c r="K827">
        <v>-2.0432999999999923E-2</v>
      </c>
      <c r="L827">
        <v>58.421263143424987</v>
      </c>
      <c r="M827">
        <f t="shared" si="12"/>
        <v>-31</v>
      </c>
    </row>
    <row r="828" spans="3:13">
      <c r="C828" s="2">
        <v>41260</v>
      </c>
      <c r="D828">
        <v>85.888832859476494</v>
      </c>
      <c r="E828">
        <f>VLOOKUP(C828,'10y swap Vol'!$C$2:$G$3809,5,0)</f>
        <v>55.905013788143755</v>
      </c>
      <c r="F828">
        <f>VLOOKUP(C828,'5y10y Swaption Vol'!temp,3,0)</f>
        <v>90.883319643999997</v>
      </c>
      <c r="H828" s="1">
        <v>41289</v>
      </c>
      <c r="I828" t="s">
        <v>2</v>
      </c>
      <c r="J828">
        <v>1.860082</v>
      </c>
      <c r="K828">
        <v>-2.3479000000000028E-2</v>
      </c>
      <c r="L828">
        <v>58.127261059260441</v>
      </c>
      <c r="M828">
        <f t="shared" si="12"/>
        <v>-29</v>
      </c>
    </row>
    <row r="829" spans="3:13">
      <c r="C829" s="2">
        <v>41261</v>
      </c>
      <c r="D829">
        <v>86.23349018685586</v>
      </c>
      <c r="E829">
        <f>VLOOKUP(C829,'10y swap Vol'!$C$2:$G$3809,5,0)</f>
        <v>56.591536852916455</v>
      </c>
      <c r="F829">
        <f>VLOOKUP(C829,'5y10y Swaption Vol'!temp,3,0)</f>
        <v>91.113859872000006</v>
      </c>
      <c r="H829" s="1">
        <v>41290</v>
      </c>
      <c r="I829" t="s">
        <v>2</v>
      </c>
      <c r="J829">
        <v>1.857361</v>
      </c>
      <c r="K829">
        <v>-2.7209999999999734E-3</v>
      </c>
      <c r="L829">
        <v>55.497801642953092</v>
      </c>
      <c r="M829">
        <f t="shared" si="12"/>
        <v>-29</v>
      </c>
    </row>
    <row r="830" spans="3:13">
      <c r="C830" s="2">
        <v>41262</v>
      </c>
      <c r="D830">
        <v>86.359848514622101</v>
      </c>
      <c r="E830">
        <f>VLOOKUP(C830,'10y swap Vol'!$C$2:$G$3809,5,0)</f>
        <v>56.837581769686928</v>
      </c>
      <c r="F830">
        <f>VLOOKUP(C830,'5y10y Swaption Vol'!temp,3,0)</f>
        <v>90.447553678999995</v>
      </c>
      <c r="H830" s="1">
        <v>41291</v>
      </c>
      <c r="I830" t="s">
        <v>2</v>
      </c>
      <c r="J830">
        <v>1.913672</v>
      </c>
      <c r="K830">
        <v>5.6311E-2</v>
      </c>
      <c r="L830">
        <v>56.653319964518587</v>
      </c>
      <c r="M830">
        <f t="shared" si="12"/>
        <v>-29</v>
      </c>
    </row>
    <row r="831" spans="3:13">
      <c r="C831" s="2">
        <v>41263</v>
      </c>
      <c r="D831">
        <v>85.094164764748854</v>
      </c>
      <c r="E831">
        <f>VLOOKUP(C831,'10y swap Vol'!$C$2:$G$3809,5,0)</f>
        <v>56.776867189889103</v>
      </c>
      <c r="F831">
        <f>VLOOKUP(C831,'5y10y Swaption Vol'!temp,3,0)</f>
        <v>89.471210060000004</v>
      </c>
      <c r="H831" s="1">
        <v>41292</v>
      </c>
      <c r="I831" t="s">
        <v>2</v>
      </c>
      <c r="J831">
        <v>1.8940589999999999</v>
      </c>
      <c r="K831">
        <v>-1.9613000000000103E-2</v>
      </c>
      <c r="L831">
        <v>55.657345110538039</v>
      </c>
      <c r="M831">
        <f t="shared" si="12"/>
        <v>-29</v>
      </c>
    </row>
    <row r="832" spans="3:13">
      <c r="C832" s="2">
        <v>41264</v>
      </c>
      <c r="D832">
        <v>84.766052082411306</v>
      </c>
      <c r="E832">
        <f>VLOOKUP(C832,'10y swap Vol'!$C$2:$G$3809,5,0)</f>
        <v>56.978138343661797</v>
      </c>
      <c r="F832">
        <f>VLOOKUP(C832,'5y10y Swaption Vol'!temp,3,0)</f>
        <v>89.299945350000002</v>
      </c>
      <c r="H832" s="1">
        <v>41296</v>
      </c>
      <c r="I832" t="s">
        <v>2</v>
      </c>
      <c r="J832">
        <v>1.885761</v>
      </c>
      <c r="K832">
        <v>-8.2979999999999166E-3</v>
      </c>
      <c r="L832">
        <v>55.427310663738218</v>
      </c>
      <c r="M832">
        <f t="shared" si="12"/>
        <v>-32</v>
      </c>
    </row>
    <row r="833" spans="3:13">
      <c r="C833" s="2">
        <v>41267</v>
      </c>
      <c r="D833">
        <v>83.830832113767556</v>
      </c>
      <c r="E833">
        <f>VLOOKUP(C833,'10y swap Vol'!$C$2:$G$3809,5,0)</f>
        <v>56.874466000467002</v>
      </c>
      <c r="F833">
        <f>VLOOKUP(C833,'5y10y Swaption Vol'!temp,3,0)</f>
        <v>89.322702777000003</v>
      </c>
      <c r="H833" s="1">
        <v>41297</v>
      </c>
      <c r="I833" t="s">
        <v>2</v>
      </c>
      <c r="J833">
        <v>1.883302</v>
      </c>
      <c r="K833">
        <v>-2.458999999999989E-3</v>
      </c>
      <c r="L833">
        <v>55.301583262625577</v>
      </c>
      <c r="M833">
        <f t="shared" si="12"/>
        <v>-30</v>
      </c>
    </row>
    <row r="834" spans="3:13">
      <c r="C834" s="2">
        <v>41269</v>
      </c>
      <c r="D834">
        <v>83.953599043680583</v>
      </c>
      <c r="E834">
        <f>VLOOKUP(C834,'10y swap Vol'!$C$2:$G$3809,5,0)</f>
        <v>56.191472204318515</v>
      </c>
      <c r="F834">
        <f>VLOOKUP(C834,'5y10y Swaption Vol'!temp,3,0)</f>
        <v>89.046157367999996</v>
      </c>
      <c r="H834" s="1">
        <v>41298</v>
      </c>
      <c r="I834" t="s">
        <v>2</v>
      </c>
      <c r="J834">
        <v>1.8942810000000001</v>
      </c>
      <c r="K834">
        <v>1.0979000000000072E-2</v>
      </c>
      <c r="L834">
        <v>55.334117341752368</v>
      </c>
      <c r="M834">
        <f t="shared" si="12"/>
        <v>-29</v>
      </c>
    </row>
    <row r="835" spans="3:13">
      <c r="C835" s="2">
        <v>41270</v>
      </c>
      <c r="D835">
        <v>82.872279787492673</v>
      </c>
      <c r="E835">
        <f>VLOOKUP(C835,'10y swap Vol'!$C$2:$G$3809,5,0)</f>
        <v>56.61603294275519</v>
      </c>
      <c r="F835">
        <f>VLOOKUP(C835,'5y10y Swaption Vol'!temp,3,0)</f>
        <v>89.229311803000002</v>
      </c>
      <c r="H835" s="1">
        <v>41299</v>
      </c>
      <c r="I835" t="s">
        <v>2</v>
      </c>
      <c r="J835">
        <v>2.0041829999999998</v>
      </c>
      <c r="K835">
        <v>0.10990199999999972</v>
      </c>
      <c r="L835">
        <v>58.316518108334101</v>
      </c>
      <c r="M835">
        <f t="shared" ref="M835:M898" si="13">C835-H835</f>
        <v>-29</v>
      </c>
    </row>
    <row r="836" spans="3:13">
      <c r="C836" s="2">
        <v>41271</v>
      </c>
      <c r="D836">
        <v>82.901728441358514</v>
      </c>
      <c r="E836">
        <f>VLOOKUP(C836,'10y swap Vol'!$C$2:$G$3809,5,0)</f>
        <v>56.630486317144069</v>
      </c>
      <c r="F836">
        <f>VLOOKUP(C836,'5y10y Swaption Vol'!temp,3,0)</f>
        <v>88.945653089999993</v>
      </c>
      <c r="H836" s="1">
        <v>41302</v>
      </c>
      <c r="I836" t="s">
        <v>2</v>
      </c>
      <c r="J836">
        <v>2.0331060000000001</v>
      </c>
      <c r="K836">
        <v>2.8923000000000254E-2</v>
      </c>
      <c r="L836">
        <v>56.053868702725339</v>
      </c>
      <c r="M836">
        <f t="shared" si="13"/>
        <v>-31</v>
      </c>
    </row>
    <row r="837" spans="3:13">
      <c r="C837" s="2">
        <v>41274</v>
      </c>
      <c r="D837">
        <v>81.900734222458823</v>
      </c>
      <c r="E837">
        <f>VLOOKUP(C837,'10y swap Vol'!$C$2:$G$3809,5,0)</f>
        <v>56.904420329031112</v>
      </c>
      <c r="F837">
        <f>VLOOKUP(C837,'5y10y Swaption Vol'!temp,3,0)</f>
        <v>89.931944755999993</v>
      </c>
      <c r="H837" s="1">
        <v>41303</v>
      </c>
      <c r="I837" t="s">
        <v>2</v>
      </c>
      <c r="J837">
        <v>2.0488189999999999</v>
      </c>
      <c r="K837">
        <v>1.5712999999999866E-2</v>
      </c>
      <c r="L837">
        <v>55.794735385487591</v>
      </c>
      <c r="M837">
        <f t="shared" si="13"/>
        <v>-29</v>
      </c>
    </row>
    <row r="838" spans="3:13">
      <c r="C838" s="2">
        <v>41276</v>
      </c>
      <c r="D838">
        <v>81.073504287501663</v>
      </c>
      <c r="E838">
        <f>VLOOKUP(C838,'10y swap Vol'!$C$2:$G$3809,5,0)</f>
        <v>59.018383044181391</v>
      </c>
      <c r="F838">
        <f>VLOOKUP(C838,'5y10y Swaption Vol'!temp,3,0)</f>
        <v>89.786328646000001</v>
      </c>
      <c r="H838" s="1">
        <v>41304</v>
      </c>
      <c r="I838" t="s">
        <v>2</v>
      </c>
      <c r="J838">
        <v>2.0772249999999999</v>
      </c>
      <c r="K838">
        <v>2.8405999999999931E-2</v>
      </c>
      <c r="L838">
        <v>55.437119617425054</v>
      </c>
      <c r="M838">
        <f t="shared" si="13"/>
        <v>-28</v>
      </c>
    </row>
    <row r="839" spans="3:13">
      <c r="C839" s="2">
        <v>41277</v>
      </c>
      <c r="D839">
        <v>83.254478373395173</v>
      </c>
      <c r="E839">
        <f>VLOOKUP(C839,'10y swap Vol'!$C$2:$G$3809,5,0)</f>
        <v>59.787952004195063</v>
      </c>
      <c r="F839">
        <f>VLOOKUP(C839,'5y10y Swaption Vol'!temp,3,0)</f>
        <v>88.939934440000002</v>
      </c>
      <c r="H839" s="1">
        <v>41305</v>
      </c>
      <c r="I839" t="s">
        <v>2</v>
      </c>
      <c r="J839">
        <v>2.0556009999999998</v>
      </c>
      <c r="K839">
        <v>-2.1624000000000088E-2</v>
      </c>
      <c r="L839">
        <v>55.611023524534467</v>
      </c>
      <c r="M839">
        <f t="shared" si="13"/>
        <v>-28</v>
      </c>
    </row>
    <row r="840" spans="3:13">
      <c r="C840" s="2">
        <v>41278</v>
      </c>
      <c r="D840">
        <v>81.40314877780186</v>
      </c>
      <c r="E840">
        <f>VLOOKUP(C840,'10y swap Vol'!$C$2:$G$3809,5,0)</f>
        <v>58.913645704730058</v>
      </c>
      <c r="F840">
        <f>VLOOKUP(C840,'5y10y Swaption Vol'!temp,3,0)</f>
        <v>88.460603169999999</v>
      </c>
      <c r="H840" s="1">
        <v>41306</v>
      </c>
      <c r="I840" t="s">
        <v>2</v>
      </c>
      <c r="J840">
        <v>2.0931639999999998</v>
      </c>
      <c r="K840">
        <v>3.7563000000000013E-2</v>
      </c>
      <c r="L840">
        <v>55.985922926823484</v>
      </c>
      <c r="M840">
        <f t="shared" si="13"/>
        <v>-28</v>
      </c>
    </row>
    <row r="841" spans="3:13">
      <c r="C841" s="2">
        <v>41281</v>
      </c>
      <c r="D841">
        <v>81.804937038275256</v>
      </c>
      <c r="E841">
        <f>VLOOKUP(C841,'10y swap Vol'!$C$2:$G$3809,5,0)</f>
        <v>57.923607511328342</v>
      </c>
      <c r="F841">
        <f>VLOOKUP(C841,'5y10y Swaption Vol'!temp,3,0)</f>
        <v>88.337544601000005</v>
      </c>
      <c r="H841" s="1">
        <v>41309</v>
      </c>
      <c r="I841" t="s">
        <v>2</v>
      </c>
      <c r="J841">
        <v>2.059259</v>
      </c>
      <c r="K841">
        <v>-3.3904999999999852E-2</v>
      </c>
      <c r="L841">
        <v>55.854761173473477</v>
      </c>
      <c r="M841">
        <f t="shared" si="13"/>
        <v>-28</v>
      </c>
    </row>
    <row r="842" spans="3:13">
      <c r="C842" s="2">
        <v>41282</v>
      </c>
      <c r="D842">
        <v>82.005200167899844</v>
      </c>
      <c r="E842">
        <f>VLOOKUP(C842,'10y swap Vol'!$C$2:$G$3809,5,0)</f>
        <v>58.310558026952108</v>
      </c>
      <c r="F842">
        <f>VLOOKUP(C842,'5y10y Swaption Vol'!temp,3,0)</f>
        <v>88.432720665000005</v>
      </c>
      <c r="H842" s="1">
        <v>41310</v>
      </c>
      <c r="I842" t="s">
        <v>2</v>
      </c>
      <c r="J842">
        <v>2.0950199999999999</v>
      </c>
      <c r="K842">
        <v>3.5760999999999932E-2</v>
      </c>
      <c r="L842">
        <v>54.683334073377857</v>
      </c>
      <c r="M842">
        <f t="shared" si="13"/>
        <v>-28</v>
      </c>
    </row>
    <row r="843" spans="3:13">
      <c r="C843" s="2">
        <v>41283</v>
      </c>
      <c r="D843">
        <v>81.452442364942939</v>
      </c>
      <c r="E843">
        <f>VLOOKUP(C843,'10y swap Vol'!$C$2:$G$3809,5,0)</f>
        <v>58.05331442721571</v>
      </c>
      <c r="F843">
        <f>VLOOKUP(C843,'5y10y Swaption Vol'!temp,3,0)</f>
        <v>88.462337005999998</v>
      </c>
      <c r="H843" s="1">
        <v>41311</v>
      </c>
      <c r="I843" t="s">
        <v>2</v>
      </c>
      <c r="J843">
        <v>2.04237</v>
      </c>
      <c r="K843">
        <v>-5.2649999999999864E-2</v>
      </c>
      <c r="L843">
        <v>51.09734572785063</v>
      </c>
      <c r="M843">
        <f t="shared" si="13"/>
        <v>-28</v>
      </c>
    </row>
    <row r="844" spans="3:13">
      <c r="C844" s="2">
        <v>41284</v>
      </c>
      <c r="D844">
        <v>81.582858233697365</v>
      </c>
      <c r="E844">
        <f>VLOOKUP(C844,'10y swap Vol'!$C$2:$G$3809,5,0)</f>
        <v>58.141601335151393</v>
      </c>
      <c r="F844">
        <f>VLOOKUP(C844,'5y10y Swaption Vol'!temp,3,0)</f>
        <v>88.554602076999998</v>
      </c>
      <c r="H844" s="1">
        <v>41312</v>
      </c>
      <c r="I844" t="s">
        <v>2</v>
      </c>
      <c r="J844">
        <v>2.027704</v>
      </c>
      <c r="K844">
        <v>-1.4666000000000068E-2</v>
      </c>
      <c r="L844">
        <v>50.662340279048891</v>
      </c>
      <c r="M844">
        <f t="shared" si="13"/>
        <v>-28</v>
      </c>
    </row>
    <row r="845" spans="3:13">
      <c r="C845" s="2">
        <v>41285</v>
      </c>
      <c r="D845">
        <v>81.778039313163191</v>
      </c>
      <c r="E845">
        <f>VLOOKUP(C845,'10y swap Vol'!$C$2:$G$3809,5,0)</f>
        <v>58.222294011460271</v>
      </c>
      <c r="F845">
        <f>VLOOKUP(C845,'5y10y Swaption Vol'!temp,3,0)</f>
        <v>87.690370250000001</v>
      </c>
      <c r="H845" s="1">
        <v>41313</v>
      </c>
      <c r="I845" t="s">
        <v>2</v>
      </c>
      <c r="J845">
        <v>2.0325600000000001</v>
      </c>
      <c r="K845">
        <v>4.8560000000001935E-3</v>
      </c>
      <c r="L845">
        <v>50.643953790767945</v>
      </c>
      <c r="M845">
        <f t="shared" si="13"/>
        <v>-28</v>
      </c>
    </row>
    <row r="846" spans="3:13">
      <c r="C846" s="2">
        <v>41288</v>
      </c>
      <c r="D846">
        <v>81.638803692859852</v>
      </c>
      <c r="E846">
        <f>VLOOKUP(C846,'10y swap Vol'!$C$2:$G$3809,5,0)</f>
        <v>58.421263143424987</v>
      </c>
      <c r="F846">
        <f>VLOOKUP(C846,'5y10y Swaption Vol'!temp,3,0)</f>
        <v>87.593501807999999</v>
      </c>
      <c r="H846" s="1">
        <v>41316</v>
      </c>
      <c r="I846" t="s">
        <v>2</v>
      </c>
      <c r="J846">
        <v>2.0283250000000002</v>
      </c>
      <c r="K846">
        <v>-4.2349999999999888E-3</v>
      </c>
      <c r="L846">
        <v>50.556239366792575</v>
      </c>
      <c r="M846">
        <f t="shared" si="13"/>
        <v>-28</v>
      </c>
    </row>
    <row r="847" spans="3:13">
      <c r="C847" s="2">
        <v>41289</v>
      </c>
      <c r="D847">
        <v>81.187944803324697</v>
      </c>
      <c r="E847">
        <f>VLOOKUP(C847,'10y swap Vol'!$C$2:$G$3809,5,0)</f>
        <v>58.127261059260441</v>
      </c>
      <c r="F847">
        <f>VLOOKUP(C847,'5y10y Swaption Vol'!temp,3,0)</f>
        <v>86.909109311999998</v>
      </c>
      <c r="H847" s="1">
        <v>41317</v>
      </c>
      <c r="I847" t="s">
        <v>2</v>
      </c>
      <c r="J847">
        <v>2.068438</v>
      </c>
      <c r="K847">
        <v>4.0112999999999843E-2</v>
      </c>
      <c r="L847">
        <v>50.933874622148224</v>
      </c>
      <c r="M847">
        <f t="shared" si="13"/>
        <v>-28</v>
      </c>
    </row>
    <row r="848" spans="3:13">
      <c r="C848" s="2">
        <v>41290</v>
      </c>
      <c r="D848">
        <v>78.135847735673693</v>
      </c>
      <c r="E848">
        <f>VLOOKUP(C848,'10y swap Vol'!$C$2:$G$3809,5,0)</f>
        <v>55.497801642953092</v>
      </c>
      <c r="F848">
        <f>VLOOKUP(C848,'5y10y Swaption Vol'!temp,3,0)</f>
        <v>86.990743792000004</v>
      </c>
      <c r="H848" s="1">
        <v>41318</v>
      </c>
      <c r="I848" t="s">
        <v>2</v>
      </c>
      <c r="J848">
        <v>2.1057260000000002</v>
      </c>
      <c r="K848">
        <v>3.728800000000021E-2</v>
      </c>
      <c r="L848">
        <v>51.292846978071104</v>
      </c>
      <c r="M848">
        <f t="shared" si="13"/>
        <v>-28</v>
      </c>
    </row>
    <row r="849" spans="3:13">
      <c r="C849" s="2">
        <v>41291</v>
      </c>
      <c r="D849">
        <v>79.202870863193681</v>
      </c>
      <c r="E849">
        <f>VLOOKUP(C849,'10y swap Vol'!$C$2:$G$3809,5,0)</f>
        <v>56.653319964518587</v>
      </c>
      <c r="F849">
        <f>VLOOKUP(C849,'5y10y Swaption Vol'!temp,3,0)</f>
        <v>87.293716755000005</v>
      </c>
      <c r="H849" s="1">
        <v>41319</v>
      </c>
      <c r="I849" t="s">
        <v>2</v>
      </c>
      <c r="J849">
        <v>2.0607139999999999</v>
      </c>
      <c r="K849">
        <v>-4.5012000000000274E-2</v>
      </c>
      <c r="L849">
        <v>52.303819696749265</v>
      </c>
      <c r="M849">
        <f t="shared" si="13"/>
        <v>-28</v>
      </c>
    </row>
    <row r="850" spans="3:13">
      <c r="C850" s="2">
        <v>41292</v>
      </c>
      <c r="D850">
        <v>78.036276430729359</v>
      </c>
      <c r="E850">
        <f>VLOOKUP(C850,'10y swap Vol'!$C$2:$G$3809,5,0)</f>
        <v>55.657345110538039</v>
      </c>
      <c r="F850">
        <f>VLOOKUP(C850,'5y10y Swaption Vol'!temp,3,0)</f>
        <v>87.065556263999994</v>
      </c>
      <c r="H850" s="1">
        <v>41320</v>
      </c>
      <c r="I850" t="s">
        <v>2</v>
      </c>
      <c r="J850">
        <v>2.0683479999999999</v>
      </c>
      <c r="K850">
        <v>7.6339999999999186E-3</v>
      </c>
      <c r="L850">
        <v>51.97142204009868</v>
      </c>
      <c r="M850">
        <f t="shared" si="13"/>
        <v>-28</v>
      </c>
    </row>
    <row r="851" spans="3:13">
      <c r="C851" s="2">
        <v>41296</v>
      </c>
      <c r="D851">
        <v>77.78195682917125</v>
      </c>
      <c r="E851">
        <f>VLOOKUP(C851,'10y swap Vol'!$C$2:$G$3809,5,0)</f>
        <v>55.427310663738218</v>
      </c>
      <c r="F851">
        <f>VLOOKUP(C851,'5y10y Swaption Vol'!temp,3,0)</f>
        <v>87.261382944999994</v>
      </c>
      <c r="H851" s="1">
        <v>41324</v>
      </c>
      <c r="I851" t="s">
        <v>2</v>
      </c>
      <c r="J851">
        <v>2.0952540000000002</v>
      </c>
      <c r="K851">
        <v>2.6906000000000319E-2</v>
      </c>
      <c r="L851">
        <v>51.772674820397448</v>
      </c>
      <c r="M851">
        <f t="shared" si="13"/>
        <v>-28</v>
      </c>
    </row>
    <row r="852" spans="3:13">
      <c r="C852" s="2">
        <v>41297</v>
      </c>
      <c r="D852">
        <v>77.719009964468256</v>
      </c>
      <c r="E852">
        <f>VLOOKUP(C852,'10y swap Vol'!$C$2:$G$3809,5,0)</f>
        <v>55.301583262625577</v>
      </c>
      <c r="F852">
        <f>VLOOKUP(C852,'5y10y Swaption Vol'!temp,3,0)</f>
        <v>87.858868220000005</v>
      </c>
      <c r="H852" s="1">
        <v>41325</v>
      </c>
      <c r="I852" t="s">
        <v>2</v>
      </c>
      <c r="J852">
        <v>2.0924749999999999</v>
      </c>
      <c r="K852">
        <v>-2.779000000000309E-3</v>
      </c>
      <c r="L852">
        <v>51.584183688764121</v>
      </c>
      <c r="M852">
        <f t="shared" si="13"/>
        <v>-28</v>
      </c>
    </row>
    <row r="853" spans="3:13">
      <c r="C853" s="2">
        <v>41298</v>
      </c>
      <c r="D853">
        <v>77.526983075058681</v>
      </c>
      <c r="E853">
        <f>VLOOKUP(C853,'10y swap Vol'!$C$2:$G$3809,5,0)</f>
        <v>55.334117341752368</v>
      </c>
      <c r="F853">
        <f>VLOOKUP(C853,'5y10y Swaption Vol'!temp,3,0)</f>
        <v>88.648826592000006</v>
      </c>
      <c r="H853" s="1">
        <v>41326</v>
      </c>
      <c r="I853" t="s">
        <v>2</v>
      </c>
      <c r="J853">
        <v>2.0461999999999998</v>
      </c>
      <c r="K853">
        <v>-4.6275000000000066E-2</v>
      </c>
      <c r="L853">
        <v>52.683952680082548</v>
      </c>
      <c r="M853">
        <f t="shared" si="13"/>
        <v>-28</v>
      </c>
    </row>
    <row r="854" spans="3:13">
      <c r="C854" s="2">
        <v>41299</v>
      </c>
      <c r="D854">
        <v>81.71298349003284</v>
      </c>
      <c r="E854">
        <f>VLOOKUP(C854,'10y swap Vol'!$C$2:$G$3809,5,0)</f>
        <v>58.316518108334101</v>
      </c>
      <c r="F854">
        <f>VLOOKUP(C854,'5y10y Swaption Vol'!temp,3,0)</f>
        <v>89.427540160000007</v>
      </c>
      <c r="H854" s="1">
        <v>41327</v>
      </c>
      <c r="I854" t="s">
        <v>2</v>
      </c>
      <c r="J854">
        <v>2.0379649999999998</v>
      </c>
      <c r="K854">
        <v>-8.2349999999999923E-3</v>
      </c>
      <c r="L854">
        <v>52.40582926035421</v>
      </c>
      <c r="M854">
        <f t="shared" si="13"/>
        <v>-28</v>
      </c>
    </row>
    <row r="855" spans="3:13">
      <c r="C855" s="2">
        <v>41302</v>
      </c>
      <c r="D855">
        <v>80.429747359151222</v>
      </c>
      <c r="E855">
        <f>VLOOKUP(C855,'10y swap Vol'!$C$2:$G$3809,5,0)</f>
        <v>56.053868702725339</v>
      </c>
      <c r="F855">
        <f>VLOOKUP(C855,'5y10y Swaption Vol'!temp,3,0)</f>
        <v>89.83137807</v>
      </c>
      <c r="H855" s="1">
        <v>41330</v>
      </c>
      <c r="I855" t="s">
        <v>2</v>
      </c>
      <c r="J855">
        <v>1.9747429999999999</v>
      </c>
      <c r="K855">
        <v>-6.3221999999999889E-2</v>
      </c>
      <c r="L855">
        <v>53.83761953199803</v>
      </c>
      <c r="M855">
        <f t="shared" si="13"/>
        <v>-28</v>
      </c>
    </row>
    <row r="856" spans="3:13">
      <c r="C856" s="2">
        <v>41303</v>
      </c>
      <c r="D856">
        <v>80.136518787551182</v>
      </c>
      <c r="E856">
        <f>VLOOKUP(C856,'10y swap Vol'!$C$2:$G$3809,5,0)</f>
        <v>55.794735385487591</v>
      </c>
      <c r="F856">
        <f>VLOOKUP(C856,'5y10y Swaption Vol'!temp,3,0)</f>
        <v>90.580382634000003</v>
      </c>
      <c r="H856" s="1">
        <v>41331</v>
      </c>
      <c r="I856" t="s">
        <v>2</v>
      </c>
      <c r="J856">
        <v>1.9655180000000001</v>
      </c>
      <c r="K856">
        <v>-9.2249999999998167E-3</v>
      </c>
      <c r="L856">
        <v>53.632431545002504</v>
      </c>
      <c r="M856">
        <f t="shared" si="13"/>
        <v>-28</v>
      </c>
    </row>
    <row r="857" spans="3:13">
      <c r="C857" s="2">
        <v>41304</v>
      </c>
      <c r="D857">
        <v>79.735377232809199</v>
      </c>
      <c r="E857">
        <f>VLOOKUP(C857,'10y swap Vol'!$C$2:$G$3809,5,0)</f>
        <v>55.437119617425054</v>
      </c>
      <c r="F857">
        <f>VLOOKUP(C857,'5y10y Swaption Vol'!temp,3,0)</f>
        <v>90.631692713999996</v>
      </c>
      <c r="H857" s="1">
        <v>41332</v>
      </c>
      <c r="I857" t="s">
        <v>2</v>
      </c>
      <c r="J857">
        <v>1.991554</v>
      </c>
      <c r="K857">
        <v>2.6035999999999948E-2</v>
      </c>
      <c r="L857">
        <v>53.799127638764645</v>
      </c>
      <c r="M857">
        <f t="shared" si="13"/>
        <v>-28</v>
      </c>
    </row>
    <row r="858" spans="3:13">
      <c r="C858" s="2">
        <v>41305</v>
      </c>
      <c r="D858">
        <v>77.882910896547173</v>
      </c>
      <c r="E858">
        <f>VLOOKUP(C858,'10y swap Vol'!$C$2:$G$3809,5,0)</f>
        <v>55.611023524534467</v>
      </c>
      <c r="F858">
        <f>VLOOKUP(C858,'5y10y Swaption Vol'!temp,3,0)</f>
        <v>90.873588725999994</v>
      </c>
      <c r="H858" s="1">
        <v>41333</v>
      </c>
      <c r="I858" t="s">
        <v>2</v>
      </c>
      <c r="J858">
        <v>1.977641</v>
      </c>
      <c r="K858">
        <v>-1.3913000000000064E-2</v>
      </c>
      <c r="L858">
        <v>53.904957212818729</v>
      </c>
      <c r="M858">
        <f t="shared" si="13"/>
        <v>-28</v>
      </c>
    </row>
    <row r="859" spans="3:13">
      <c r="C859" s="2">
        <v>41306</v>
      </c>
      <c r="D859">
        <v>77.399101404049347</v>
      </c>
      <c r="E859">
        <f>VLOOKUP(C859,'10y swap Vol'!$C$2:$G$3809,5,0)</f>
        <v>55.985922926823484</v>
      </c>
      <c r="F859">
        <f>VLOOKUP(C859,'5y10y Swaption Vol'!temp,3,0)</f>
        <v>91.163559551999995</v>
      </c>
      <c r="H859" s="1">
        <v>41334</v>
      </c>
      <c r="I859" t="s">
        <v>2</v>
      </c>
      <c r="J859">
        <v>1.9457169999999999</v>
      </c>
      <c r="K859">
        <v>-3.1924000000000063E-2</v>
      </c>
      <c r="L859">
        <v>54.405163967317804</v>
      </c>
      <c r="M859">
        <f t="shared" si="13"/>
        <v>-28</v>
      </c>
    </row>
    <row r="860" spans="3:13">
      <c r="C860" s="2">
        <v>41309</v>
      </c>
      <c r="D860">
        <v>77.103427436218283</v>
      </c>
      <c r="E860">
        <f>VLOOKUP(C860,'10y swap Vol'!$C$2:$G$3809,5,0)</f>
        <v>55.854761173473477</v>
      </c>
      <c r="F860">
        <f>VLOOKUP(C860,'5y10y Swaption Vol'!temp,3,0)</f>
        <v>90.772653082999994</v>
      </c>
      <c r="H860" s="1">
        <v>41337</v>
      </c>
      <c r="I860" t="s">
        <v>2</v>
      </c>
      <c r="J860">
        <v>1.9614860000000001</v>
      </c>
      <c r="K860">
        <v>1.5769000000000144E-2</v>
      </c>
      <c r="L860">
        <v>54.327778805141882</v>
      </c>
      <c r="M860">
        <f t="shared" si="13"/>
        <v>-28</v>
      </c>
    </row>
    <row r="861" spans="3:13">
      <c r="C861" s="2">
        <v>41310</v>
      </c>
      <c r="D861">
        <v>75.023896689998963</v>
      </c>
      <c r="E861">
        <f>VLOOKUP(C861,'10y swap Vol'!$C$2:$G$3809,5,0)</f>
        <v>54.683334073377857</v>
      </c>
      <c r="F861">
        <f>VLOOKUP(C861,'5y10y Swaption Vol'!temp,3,0)</f>
        <v>92.780779956000003</v>
      </c>
      <c r="H861" s="1">
        <v>41338</v>
      </c>
      <c r="I861" t="s">
        <v>2</v>
      </c>
      <c r="J861">
        <v>1.973651</v>
      </c>
      <c r="K861">
        <v>1.2164999999999981E-2</v>
      </c>
      <c r="L861">
        <v>54.152779953368658</v>
      </c>
      <c r="M861">
        <f t="shared" si="13"/>
        <v>-28</v>
      </c>
    </row>
    <row r="862" spans="3:13">
      <c r="C862" s="2">
        <v>41311</v>
      </c>
      <c r="D862">
        <v>67.747682130760523</v>
      </c>
      <c r="E862">
        <f>VLOOKUP(C862,'10y swap Vol'!$C$2:$G$3809,5,0)</f>
        <v>51.09734572785063</v>
      </c>
      <c r="F862">
        <f>VLOOKUP(C862,'5y10y Swaption Vol'!temp,3,0)</f>
        <v>92.365591499000004</v>
      </c>
      <c r="H862" s="1">
        <v>41339</v>
      </c>
      <c r="I862" t="s">
        <v>2</v>
      </c>
      <c r="J862">
        <v>2.0184880000000001</v>
      </c>
      <c r="K862">
        <v>4.4837000000000016E-2</v>
      </c>
      <c r="L862">
        <v>54.706569126093285</v>
      </c>
      <c r="M862">
        <f t="shared" si="13"/>
        <v>-28</v>
      </c>
    </row>
    <row r="863" spans="3:13">
      <c r="C863" s="2">
        <v>41312</v>
      </c>
      <c r="D863">
        <v>67.028331969783693</v>
      </c>
      <c r="E863">
        <f>VLOOKUP(C863,'10y swap Vol'!$C$2:$G$3809,5,0)</f>
        <v>50.662340279048891</v>
      </c>
      <c r="F863">
        <f>VLOOKUP(C863,'5y10y Swaption Vol'!temp,3,0)</f>
        <v>92.547916443000005</v>
      </c>
      <c r="H863" s="1">
        <v>41340</v>
      </c>
      <c r="I863" t="s">
        <v>2</v>
      </c>
      <c r="J863">
        <v>2.0737429999999999</v>
      </c>
      <c r="K863">
        <v>5.5254999999999832E-2</v>
      </c>
      <c r="L863">
        <v>55.198509165488453</v>
      </c>
      <c r="M863">
        <f t="shared" si="13"/>
        <v>-28</v>
      </c>
    </row>
    <row r="864" spans="3:13">
      <c r="C864" s="2">
        <v>41313</v>
      </c>
      <c r="D864">
        <v>67.083876174398029</v>
      </c>
      <c r="E864">
        <f>VLOOKUP(C864,'10y swap Vol'!$C$2:$G$3809,5,0)</f>
        <v>50.643953790767945</v>
      </c>
      <c r="F864">
        <f>VLOOKUP(C864,'5y10y Swaption Vol'!temp,3,0)</f>
        <v>92.318756449999995</v>
      </c>
      <c r="H864" s="1">
        <v>41341</v>
      </c>
      <c r="I864" t="s">
        <v>2</v>
      </c>
      <c r="J864">
        <v>2.1383399999999999</v>
      </c>
      <c r="K864">
        <v>6.4597000000000016E-2</v>
      </c>
      <c r="L864">
        <v>56.357996390677421</v>
      </c>
      <c r="M864">
        <f t="shared" si="13"/>
        <v>-28</v>
      </c>
    </row>
    <row r="865" spans="3:13">
      <c r="C865" s="2">
        <v>41316</v>
      </c>
      <c r="D865">
        <v>67.094567165169792</v>
      </c>
      <c r="E865">
        <f>VLOOKUP(C865,'10y swap Vol'!$C$2:$G$3809,5,0)</f>
        <v>50.556239366792575</v>
      </c>
      <c r="F865">
        <f>VLOOKUP(C865,'5y10y Swaption Vol'!temp,3,0)</f>
        <v>92.660936199000005</v>
      </c>
      <c r="H865" s="1">
        <v>41344</v>
      </c>
      <c r="I865" t="s">
        <v>2</v>
      </c>
      <c r="J865">
        <v>2.1392280000000001</v>
      </c>
      <c r="K865">
        <v>8.8800000000022195E-4</v>
      </c>
      <c r="L865">
        <v>56.247429131733448</v>
      </c>
      <c r="M865">
        <f t="shared" si="13"/>
        <v>-28</v>
      </c>
    </row>
    <row r="866" spans="3:13">
      <c r="C866" s="2">
        <v>41317</v>
      </c>
      <c r="D866">
        <v>66.85846635349931</v>
      </c>
      <c r="E866">
        <f>VLOOKUP(C866,'10y swap Vol'!$C$2:$G$3809,5,0)</f>
        <v>50.933874622148224</v>
      </c>
      <c r="F866">
        <f>VLOOKUP(C866,'5y10y Swaption Vol'!temp,3,0)</f>
        <v>92.533551176000003</v>
      </c>
      <c r="H866" s="1">
        <v>41345</v>
      </c>
      <c r="I866" t="s">
        <v>2</v>
      </c>
      <c r="J866">
        <v>2.1066159999999998</v>
      </c>
      <c r="K866">
        <v>-3.2612000000000307E-2</v>
      </c>
      <c r="L866">
        <v>56.240560067024084</v>
      </c>
      <c r="M866">
        <f t="shared" si="13"/>
        <v>-28</v>
      </c>
    </row>
    <row r="867" spans="3:13">
      <c r="C867" s="2">
        <v>41318</v>
      </c>
      <c r="D867">
        <v>66.504925613768449</v>
      </c>
      <c r="E867">
        <f>VLOOKUP(C867,'10y swap Vol'!$C$2:$G$3809,5,0)</f>
        <v>51.292846978071104</v>
      </c>
      <c r="F867">
        <f>VLOOKUP(C867,'5y10y Swaption Vol'!temp,3,0)</f>
        <v>92.948674026000006</v>
      </c>
      <c r="H867" s="1">
        <v>41346</v>
      </c>
      <c r="I867" t="s">
        <v>2</v>
      </c>
      <c r="J867">
        <v>2.1021260000000002</v>
      </c>
      <c r="K867">
        <v>-4.4899999999996609E-3</v>
      </c>
      <c r="L867">
        <v>56.115549356771766</v>
      </c>
      <c r="M867">
        <f t="shared" si="13"/>
        <v>-28</v>
      </c>
    </row>
    <row r="868" spans="3:13">
      <c r="C868" s="2">
        <v>41319</v>
      </c>
      <c r="D868">
        <v>66.079670019192477</v>
      </c>
      <c r="E868">
        <f>VLOOKUP(C868,'10y swap Vol'!$C$2:$G$3809,5,0)</f>
        <v>52.303819696749265</v>
      </c>
      <c r="F868">
        <f>VLOOKUP(C868,'5y10y Swaption Vol'!temp,3,0)</f>
        <v>92.143354303999999</v>
      </c>
      <c r="H868" s="1">
        <v>41347</v>
      </c>
      <c r="I868" t="s">
        <v>2</v>
      </c>
      <c r="J868">
        <v>2.1226159999999998</v>
      </c>
      <c r="K868">
        <v>2.0489999999999675E-2</v>
      </c>
      <c r="L868">
        <v>56.089451275295076</v>
      </c>
      <c r="M868">
        <f t="shared" si="13"/>
        <v>-28</v>
      </c>
    </row>
    <row r="869" spans="3:13">
      <c r="C869" s="2">
        <v>41320</v>
      </c>
      <c r="D869">
        <v>65.889595638183863</v>
      </c>
      <c r="E869">
        <f>VLOOKUP(C869,'10y swap Vol'!$C$2:$G$3809,5,0)</f>
        <v>51.97142204009868</v>
      </c>
      <c r="F869">
        <f>VLOOKUP(C869,'5y10y Swaption Vol'!temp,3,0)</f>
        <v>92.227016109000004</v>
      </c>
      <c r="H869" s="1">
        <v>41348</v>
      </c>
      <c r="I869" t="s">
        <v>2</v>
      </c>
      <c r="J869">
        <v>2.087059</v>
      </c>
      <c r="K869">
        <v>-3.5556999999999839E-2</v>
      </c>
      <c r="L869">
        <v>55.692258146073556</v>
      </c>
      <c r="M869">
        <f t="shared" si="13"/>
        <v>-28</v>
      </c>
    </row>
    <row r="870" spans="3:13">
      <c r="C870" s="2">
        <v>41324</v>
      </c>
      <c r="D870">
        <v>64.610032843873057</v>
      </c>
      <c r="E870">
        <f>VLOOKUP(C870,'10y swap Vol'!$C$2:$G$3809,5,0)</f>
        <v>51.772674820397448</v>
      </c>
      <c r="F870">
        <f>VLOOKUP(C870,'5y10y Swaption Vol'!temp,3,0)</f>
        <v>92.161865015000004</v>
      </c>
      <c r="H870" s="1">
        <v>41351</v>
      </c>
      <c r="I870" t="s">
        <v>2</v>
      </c>
      <c r="J870">
        <v>2.056136</v>
      </c>
      <c r="K870">
        <v>-3.0923000000000034E-2</v>
      </c>
      <c r="L870">
        <v>54.898910896618744</v>
      </c>
      <c r="M870">
        <f t="shared" si="13"/>
        <v>-27</v>
      </c>
    </row>
    <row r="871" spans="3:13">
      <c r="C871" s="2">
        <v>41325</v>
      </c>
      <c r="D871">
        <v>64.031232111634409</v>
      </c>
      <c r="E871">
        <f>VLOOKUP(C871,'10y swap Vol'!$C$2:$G$3809,5,0)</f>
        <v>51.584183688764121</v>
      </c>
      <c r="F871">
        <f>VLOOKUP(C871,'5y10y Swaption Vol'!temp,3,0)</f>
        <v>91.912868459999999</v>
      </c>
      <c r="H871" s="1">
        <v>41352</v>
      </c>
      <c r="I871" t="s">
        <v>2</v>
      </c>
      <c r="J871">
        <v>2.018802</v>
      </c>
      <c r="K871">
        <v>-3.7333999999999978E-2</v>
      </c>
      <c r="L871">
        <v>55.037739021347157</v>
      </c>
      <c r="M871">
        <f t="shared" si="13"/>
        <v>-27</v>
      </c>
    </row>
    <row r="872" spans="3:13">
      <c r="C872" s="2">
        <v>41326</v>
      </c>
      <c r="D872">
        <v>64.155927325626479</v>
      </c>
      <c r="E872">
        <f>VLOOKUP(C872,'10y swap Vol'!$C$2:$G$3809,5,0)</f>
        <v>52.683952680082548</v>
      </c>
      <c r="F872">
        <f>VLOOKUP(C872,'5y10y Swaption Vol'!temp,3,0)</f>
        <v>92.290810160000007</v>
      </c>
      <c r="H872" s="1">
        <v>41353</v>
      </c>
      <c r="I872" t="s">
        <v>2</v>
      </c>
      <c r="J872">
        <v>2.0497380000000001</v>
      </c>
      <c r="K872">
        <v>3.0936000000000075E-2</v>
      </c>
      <c r="L872">
        <v>55.33072302918336</v>
      </c>
      <c r="M872">
        <f t="shared" si="13"/>
        <v>-27</v>
      </c>
    </row>
    <row r="873" spans="3:13">
      <c r="C873" s="2">
        <v>41327</v>
      </c>
      <c r="D873">
        <v>62.242136766138557</v>
      </c>
      <c r="E873">
        <f>VLOOKUP(C873,'10y swap Vol'!$C$2:$G$3809,5,0)</f>
        <v>52.40582926035421</v>
      </c>
      <c r="F873">
        <f>VLOOKUP(C873,'5y10y Swaption Vol'!temp,3,0)</f>
        <v>92.344272720000006</v>
      </c>
      <c r="H873" s="1">
        <v>41354</v>
      </c>
      <c r="I873" t="s">
        <v>2</v>
      </c>
      <c r="J873">
        <v>2.0532789999999999</v>
      </c>
      <c r="K873">
        <v>3.5409999999997943E-3</v>
      </c>
      <c r="L873">
        <v>54.59435041192836</v>
      </c>
      <c r="M873">
        <f t="shared" si="13"/>
        <v>-27</v>
      </c>
    </row>
    <row r="874" spans="3:13">
      <c r="C874" s="2">
        <v>41330</v>
      </c>
      <c r="D874">
        <v>60.959541048702647</v>
      </c>
      <c r="E874">
        <f>VLOOKUP(C874,'10y swap Vol'!$C$2:$G$3809,5,0)</f>
        <v>53.83761953199803</v>
      </c>
      <c r="F874">
        <f>VLOOKUP(C874,'5y10y Swaption Vol'!temp,3,0)</f>
        <v>92.577030987000001</v>
      </c>
      <c r="H874" s="1">
        <v>41355</v>
      </c>
      <c r="I874" t="s">
        <v>2</v>
      </c>
      <c r="J874">
        <v>2.0448750000000002</v>
      </c>
      <c r="K874">
        <v>-8.403999999999634E-3</v>
      </c>
      <c r="L874">
        <v>54.483300262401954</v>
      </c>
      <c r="M874">
        <f t="shared" si="13"/>
        <v>-25</v>
      </c>
    </row>
    <row r="875" spans="3:13">
      <c r="C875" s="2">
        <v>41331</v>
      </c>
      <c r="D875">
        <v>61.216376500628044</v>
      </c>
      <c r="E875">
        <f>VLOOKUP(C875,'10y swap Vol'!$C$2:$G$3809,5,0)</f>
        <v>53.632431545002504</v>
      </c>
      <c r="F875">
        <f>VLOOKUP(C875,'5y10y Swaption Vol'!temp,3,0)</f>
        <v>93.118715445000007</v>
      </c>
      <c r="H875" s="1">
        <v>41358</v>
      </c>
      <c r="I875" t="s">
        <v>2</v>
      </c>
      <c r="J875">
        <v>2.049585</v>
      </c>
      <c r="K875">
        <v>4.7099999999997699E-3</v>
      </c>
      <c r="L875">
        <v>54.394370594639696</v>
      </c>
      <c r="M875">
        <f t="shared" si="13"/>
        <v>-27</v>
      </c>
    </row>
    <row r="876" spans="3:13">
      <c r="C876" s="2">
        <v>41332</v>
      </c>
      <c r="D876">
        <v>61.389930373557632</v>
      </c>
      <c r="E876">
        <f>VLOOKUP(C876,'10y swap Vol'!$C$2:$G$3809,5,0)</f>
        <v>53.799127638764645</v>
      </c>
      <c r="F876">
        <f>VLOOKUP(C876,'5y10y Swaption Vol'!temp,3,0)</f>
        <v>93.615418890000001</v>
      </c>
      <c r="H876" s="1">
        <v>41359</v>
      </c>
      <c r="I876" t="s">
        <v>2</v>
      </c>
      <c r="J876">
        <v>2.0603940000000001</v>
      </c>
      <c r="K876">
        <v>1.0809000000000069E-2</v>
      </c>
      <c r="L876">
        <v>53.701344244187844</v>
      </c>
      <c r="M876">
        <f t="shared" si="13"/>
        <v>-27</v>
      </c>
    </row>
    <row r="877" spans="3:13">
      <c r="C877" s="2">
        <v>41333</v>
      </c>
      <c r="D877">
        <v>61.825750319749176</v>
      </c>
      <c r="E877">
        <f>VLOOKUP(C877,'10y swap Vol'!$C$2:$G$3809,5,0)</f>
        <v>53.904957212818729</v>
      </c>
      <c r="F877">
        <f>VLOOKUP(C877,'5y10y Swaption Vol'!temp,3,0)</f>
        <v>93.738259999999997</v>
      </c>
      <c r="H877" s="1">
        <v>41360</v>
      </c>
      <c r="I877" t="s">
        <v>2</v>
      </c>
      <c r="J877">
        <v>2.0080580000000001</v>
      </c>
      <c r="K877">
        <v>-5.2335999999999938E-2</v>
      </c>
      <c r="L877">
        <v>54.853624358776734</v>
      </c>
      <c r="M877">
        <f t="shared" si="13"/>
        <v>-27</v>
      </c>
    </row>
    <row r="878" spans="3:13">
      <c r="C878" s="2">
        <v>41334</v>
      </c>
      <c r="D878">
        <v>61.987085408830325</v>
      </c>
      <c r="E878">
        <f>VLOOKUP(C878,'10y swap Vol'!$C$2:$G$3809,5,0)</f>
        <v>54.405163967317804</v>
      </c>
      <c r="F878">
        <f>VLOOKUP(C878,'5y10y Swaption Vol'!temp,3,0)</f>
        <v>94.219149422000001</v>
      </c>
      <c r="H878" s="1">
        <v>41361</v>
      </c>
      <c r="I878" t="s">
        <v>2</v>
      </c>
      <c r="J878">
        <v>2.0205310000000001</v>
      </c>
      <c r="K878">
        <v>1.2472999999999956E-2</v>
      </c>
      <c r="L878">
        <v>54.601109033322601</v>
      </c>
      <c r="M878">
        <f t="shared" si="13"/>
        <v>-27</v>
      </c>
    </row>
    <row r="879" spans="3:13">
      <c r="C879" s="2">
        <v>41337</v>
      </c>
      <c r="D879">
        <v>61.777174992612075</v>
      </c>
      <c r="E879">
        <f>VLOOKUP(C879,'10y swap Vol'!$C$2:$G$3809,5,0)</f>
        <v>54.327778805141882</v>
      </c>
      <c r="F879">
        <f>VLOOKUP(C879,'5y10y Swaption Vol'!temp,3,0)</f>
        <v>93.767160211999993</v>
      </c>
      <c r="H879" s="1">
        <v>41365</v>
      </c>
      <c r="I879" t="s">
        <v>2</v>
      </c>
      <c r="J879">
        <v>1.996011</v>
      </c>
      <c r="K879">
        <v>-2.4520000000000097E-2</v>
      </c>
      <c r="L879">
        <v>52.609590758600532</v>
      </c>
      <c r="M879">
        <f t="shared" si="13"/>
        <v>-28</v>
      </c>
    </row>
    <row r="880" spans="3:13">
      <c r="C880" s="2">
        <v>41338</v>
      </c>
      <c r="D880">
        <v>61.7881084726246</v>
      </c>
      <c r="E880">
        <f>VLOOKUP(C880,'10y swap Vol'!$C$2:$G$3809,5,0)</f>
        <v>54.152779953368658</v>
      </c>
      <c r="F880">
        <f>VLOOKUP(C880,'5y10y Swaption Vol'!temp,3,0)</f>
        <v>93.775337867999994</v>
      </c>
      <c r="H880" s="1">
        <v>41366</v>
      </c>
      <c r="I880" t="s">
        <v>2</v>
      </c>
      <c r="J880">
        <v>2.0156849999999999</v>
      </c>
      <c r="K880">
        <v>1.9673999999999969E-2</v>
      </c>
      <c r="L880">
        <v>51.757601385961706</v>
      </c>
      <c r="M880">
        <f t="shared" si="13"/>
        <v>-28</v>
      </c>
    </row>
    <row r="881" spans="3:13">
      <c r="C881" s="2">
        <v>41339</v>
      </c>
      <c r="D881">
        <v>62.298576379079286</v>
      </c>
      <c r="E881">
        <f>VLOOKUP(C881,'10y swap Vol'!$C$2:$G$3809,5,0)</f>
        <v>54.706569126093285</v>
      </c>
      <c r="F881">
        <f>VLOOKUP(C881,'5y10y Swaption Vol'!temp,3,0)</f>
        <v>93.802494695999997</v>
      </c>
      <c r="H881" s="1">
        <v>41367</v>
      </c>
      <c r="I881" t="s">
        <v>2</v>
      </c>
      <c r="J881">
        <v>1.9718659999999999</v>
      </c>
      <c r="K881">
        <v>-4.3819000000000052E-2</v>
      </c>
      <c r="L881">
        <v>52.524245229285036</v>
      </c>
      <c r="M881">
        <f t="shared" si="13"/>
        <v>-28</v>
      </c>
    </row>
    <row r="882" spans="3:13">
      <c r="C882" s="2">
        <v>41340</v>
      </c>
      <c r="D882">
        <v>62.391986814989465</v>
      </c>
      <c r="E882">
        <f>VLOOKUP(C882,'10y swap Vol'!$C$2:$G$3809,5,0)</f>
        <v>55.198509165488453</v>
      </c>
      <c r="F882">
        <f>VLOOKUP(C882,'5y10y Swaption Vol'!temp,3,0)</f>
        <v>93.655491979999994</v>
      </c>
      <c r="H882" s="1">
        <v>41368</v>
      </c>
      <c r="I882" t="s">
        <v>2</v>
      </c>
      <c r="J882">
        <v>1.924906</v>
      </c>
      <c r="K882">
        <v>-4.6959999999999891E-2</v>
      </c>
      <c r="L882">
        <v>53.36912291755128</v>
      </c>
      <c r="M882">
        <f t="shared" si="13"/>
        <v>-28</v>
      </c>
    </row>
    <row r="883" spans="3:13">
      <c r="C883" s="2">
        <v>41341</v>
      </c>
      <c r="D883">
        <v>63.181279702223684</v>
      </c>
      <c r="E883">
        <f>VLOOKUP(C883,'10y swap Vol'!$C$2:$G$3809,5,0)</f>
        <v>56.357996390677421</v>
      </c>
      <c r="F883">
        <f>VLOOKUP(C883,'5y10y Swaption Vol'!temp,3,0)</f>
        <v>93.675743280000006</v>
      </c>
      <c r="H883" s="1">
        <v>41369</v>
      </c>
      <c r="I883" t="s">
        <v>2</v>
      </c>
      <c r="J883">
        <v>1.861699</v>
      </c>
      <c r="K883">
        <v>-6.3207000000000013E-2</v>
      </c>
      <c r="L883">
        <v>54.421738345621776</v>
      </c>
      <c r="M883">
        <f t="shared" si="13"/>
        <v>-28</v>
      </c>
    </row>
    <row r="884" spans="3:13">
      <c r="C884" s="2">
        <v>41344</v>
      </c>
      <c r="D884">
        <v>63.307171521502823</v>
      </c>
      <c r="E884">
        <f>VLOOKUP(C884,'10y swap Vol'!$C$2:$G$3809,5,0)</f>
        <v>56.247429131733448</v>
      </c>
      <c r="F884">
        <f>VLOOKUP(C884,'5y10y Swaption Vol'!temp,3,0)</f>
        <v>93.367212839999993</v>
      </c>
      <c r="H884" s="1">
        <v>41372</v>
      </c>
      <c r="I884" t="s">
        <v>2</v>
      </c>
      <c r="J884">
        <v>1.918201</v>
      </c>
      <c r="K884">
        <v>5.6502000000000052E-2</v>
      </c>
      <c r="L884">
        <v>55.560642868107358</v>
      </c>
      <c r="M884">
        <f t="shared" si="13"/>
        <v>-28</v>
      </c>
    </row>
    <row r="885" spans="3:13">
      <c r="C885" s="2">
        <v>41345</v>
      </c>
      <c r="D885">
        <v>63.529548023903274</v>
      </c>
      <c r="E885">
        <f>VLOOKUP(C885,'10y swap Vol'!$C$2:$G$3809,5,0)</f>
        <v>56.240560067024084</v>
      </c>
      <c r="F885">
        <f>VLOOKUP(C885,'5y10y Swaption Vol'!temp,3,0)</f>
        <v>92.839455185000006</v>
      </c>
      <c r="H885" s="1">
        <v>41373</v>
      </c>
      <c r="I885" t="s">
        <v>2</v>
      </c>
      <c r="J885">
        <v>1.9226719999999999</v>
      </c>
      <c r="K885">
        <v>4.4709999999998917E-3</v>
      </c>
      <c r="L885">
        <v>54.983055784619175</v>
      </c>
      <c r="M885">
        <f t="shared" si="13"/>
        <v>-28</v>
      </c>
    </row>
    <row r="886" spans="3:13">
      <c r="C886" s="2">
        <v>41346</v>
      </c>
      <c r="D886">
        <v>63.602580221136165</v>
      </c>
      <c r="E886">
        <f>VLOOKUP(C886,'10y swap Vol'!$C$2:$G$3809,5,0)</f>
        <v>56.115549356771766</v>
      </c>
      <c r="F886">
        <f>VLOOKUP(C886,'5y10y Swaption Vol'!temp,3,0)</f>
        <v>93.099768695999998</v>
      </c>
      <c r="H886" s="1">
        <v>41374</v>
      </c>
      <c r="I886" t="s">
        <v>2</v>
      </c>
      <c r="J886">
        <v>1.973411</v>
      </c>
      <c r="K886">
        <v>5.073900000000009E-2</v>
      </c>
      <c r="L886">
        <v>55.871285940661252</v>
      </c>
      <c r="M886">
        <f t="shared" si="13"/>
        <v>-28</v>
      </c>
    </row>
    <row r="887" spans="3:13">
      <c r="C887" s="2">
        <v>41347</v>
      </c>
      <c r="D887">
        <v>63.545601130789919</v>
      </c>
      <c r="E887">
        <f>VLOOKUP(C887,'10y swap Vol'!$C$2:$G$3809,5,0)</f>
        <v>56.089451275295076</v>
      </c>
      <c r="F887">
        <f>VLOOKUP(C887,'5y10y Swaption Vol'!temp,3,0)</f>
        <v>93.365531630000007</v>
      </c>
      <c r="H887" s="1">
        <v>41375</v>
      </c>
      <c r="I887" t="s">
        <v>2</v>
      </c>
      <c r="J887">
        <v>1.9590920000000001</v>
      </c>
      <c r="K887">
        <v>-1.4318999999999971E-2</v>
      </c>
      <c r="L887">
        <v>55.785048289055773</v>
      </c>
      <c r="M887">
        <f t="shared" si="13"/>
        <v>-28</v>
      </c>
    </row>
    <row r="888" spans="3:13">
      <c r="C888" s="2">
        <v>41348</v>
      </c>
      <c r="D888">
        <v>64.355431189209668</v>
      </c>
      <c r="E888">
        <f>VLOOKUP(C888,'10y swap Vol'!$C$2:$G$3809,5,0)</f>
        <v>55.692258146073556</v>
      </c>
      <c r="F888">
        <f>VLOOKUP(C888,'5y10y Swaption Vol'!temp,3,0)</f>
        <v>93.645108973999996</v>
      </c>
      <c r="H888" s="1">
        <v>41376</v>
      </c>
      <c r="I888" t="s">
        <v>2</v>
      </c>
      <c r="J888">
        <v>1.8991690000000001</v>
      </c>
      <c r="K888">
        <v>-5.9922999999999949E-2</v>
      </c>
      <c r="L888">
        <v>56.953613119879364</v>
      </c>
      <c r="M888">
        <f t="shared" si="13"/>
        <v>-28</v>
      </c>
    </row>
    <row r="889" spans="3:13">
      <c r="C889" s="2">
        <v>41351</v>
      </c>
      <c r="D889">
        <v>63.671419585294487</v>
      </c>
      <c r="E889">
        <f>VLOOKUP(C889,'10y swap Vol'!$C$2:$G$3809,5,0)</f>
        <v>54.898910896618744</v>
      </c>
      <c r="F889">
        <f>VLOOKUP(C889,'5y10y Swaption Vol'!temp,3,0)</f>
        <v>94.597378656000004</v>
      </c>
      <c r="H889" s="1">
        <v>41379</v>
      </c>
      <c r="I889" t="s">
        <v>2</v>
      </c>
      <c r="J889">
        <v>1.87195</v>
      </c>
      <c r="K889">
        <v>-2.7219000000000104E-2</v>
      </c>
      <c r="L889">
        <v>57.233922896040525</v>
      </c>
      <c r="M889">
        <f t="shared" si="13"/>
        <v>-28</v>
      </c>
    </row>
    <row r="890" spans="3:13">
      <c r="C890" s="2">
        <v>41352</v>
      </c>
      <c r="D890">
        <v>63.011907864675855</v>
      </c>
      <c r="E890">
        <f>VLOOKUP(C890,'10y swap Vol'!$C$2:$G$3809,5,0)</f>
        <v>55.037739021347157</v>
      </c>
      <c r="F890">
        <f>VLOOKUP(C890,'5y10y Swaption Vol'!temp,3,0)</f>
        <v>94.507193364000003</v>
      </c>
      <c r="H890" s="1">
        <v>41380</v>
      </c>
      <c r="I890" t="s">
        <v>2</v>
      </c>
      <c r="J890">
        <v>1.8907499999999999</v>
      </c>
      <c r="K890">
        <v>1.8799999999999928E-2</v>
      </c>
      <c r="L890">
        <v>56.179320632923577</v>
      </c>
      <c r="M890">
        <f t="shared" si="13"/>
        <v>-28</v>
      </c>
    </row>
    <row r="891" spans="3:13">
      <c r="C891" s="2">
        <v>41353</v>
      </c>
      <c r="D891">
        <v>63.148248854537329</v>
      </c>
      <c r="E891">
        <f>VLOOKUP(C891,'10y swap Vol'!$C$2:$G$3809,5,0)</f>
        <v>55.33072302918336</v>
      </c>
      <c r="F891">
        <f>VLOOKUP(C891,'5y10y Swaption Vol'!temp,3,0)</f>
        <v>94.632793050999993</v>
      </c>
      <c r="H891" s="1">
        <v>41381</v>
      </c>
      <c r="I891" t="s">
        <v>2</v>
      </c>
      <c r="J891">
        <v>1.8699429999999999</v>
      </c>
      <c r="K891">
        <v>-2.080700000000002E-2</v>
      </c>
      <c r="L891">
        <v>56.197165242960686</v>
      </c>
      <c r="M891">
        <f t="shared" si="13"/>
        <v>-28</v>
      </c>
    </row>
    <row r="892" spans="3:13">
      <c r="C892" s="2">
        <v>41354</v>
      </c>
      <c r="D892">
        <v>62.524320727985291</v>
      </c>
      <c r="E892">
        <f>VLOOKUP(C892,'10y swap Vol'!$C$2:$G$3809,5,0)</f>
        <v>54.59435041192836</v>
      </c>
      <c r="F892">
        <f>VLOOKUP(C892,'5y10y Swaption Vol'!temp,3,0)</f>
        <v>94.536274636000002</v>
      </c>
      <c r="H892" s="1">
        <v>41382</v>
      </c>
      <c r="I892" t="s">
        <v>2</v>
      </c>
      <c r="J892">
        <v>1.8474489999999999</v>
      </c>
      <c r="K892">
        <v>-2.2494000000000014E-2</v>
      </c>
      <c r="L892">
        <v>56.356168118845204</v>
      </c>
      <c r="M892">
        <f t="shared" si="13"/>
        <v>-28</v>
      </c>
    </row>
    <row r="893" spans="3:13">
      <c r="C893" s="2">
        <v>41355</v>
      </c>
      <c r="D893">
        <v>63.009942223915303</v>
      </c>
      <c r="E893">
        <f>VLOOKUP(C893,'10y swap Vol'!$C$2:$G$3809,5,0)</f>
        <v>54.483300262401954</v>
      </c>
      <c r="F893">
        <f>VLOOKUP(C893,'5y10y Swaption Vol'!temp,3,0)</f>
        <v>94.352661077999997</v>
      </c>
      <c r="H893" s="1">
        <v>41383</v>
      </c>
      <c r="I893" t="s">
        <v>2</v>
      </c>
      <c r="J893">
        <v>1.8692</v>
      </c>
      <c r="K893">
        <v>2.1751000000000076E-2</v>
      </c>
      <c r="L893">
        <v>56.539406437777131</v>
      </c>
      <c r="M893">
        <f t="shared" si="13"/>
        <v>-28</v>
      </c>
    </row>
    <row r="894" spans="3:13">
      <c r="C894" s="2">
        <v>41358</v>
      </c>
      <c r="D894">
        <v>62.768562021328108</v>
      </c>
      <c r="E894">
        <f>VLOOKUP(C894,'10y swap Vol'!$C$2:$G$3809,5,0)</f>
        <v>54.394370594639696</v>
      </c>
      <c r="F894">
        <f>VLOOKUP(C894,'5y10y Swaption Vol'!temp,3,0)</f>
        <v>93.656918187000002</v>
      </c>
      <c r="H894" s="1">
        <v>41386</v>
      </c>
      <c r="I894" t="s">
        <v>2</v>
      </c>
      <c r="J894">
        <v>1.8704940000000001</v>
      </c>
      <c r="K894">
        <v>1.2940000000001284E-3</v>
      </c>
      <c r="L894">
        <v>56.492554562244898</v>
      </c>
      <c r="M894">
        <f t="shared" si="13"/>
        <v>-28</v>
      </c>
    </row>
    <row r="895" spans="3:13">
      <c r="C895" s="2">
        <v>41359</v>
      </c>
      <c r="D895">
        <v>62.133588948945871</v>
      </c>
      <c r="E895">
        <f>VLOOKUP(C895,'10y swap Vol'!$C$2:$G$3809,5,0)</f>
        <v>53.701344244187844</v>
      </c>
      <c r="F895">
        <f>VLOOKUP(C895,'5y10y Swaption Vol'!temp,3,0)</f>
        <v>93.480197085</v>
      </c>
      <c r="H895" s="1">
        <v>41387</v>
      </c>
      <c r="I895" t="s">
        <v>2</v>
      </c>
      <c r="J895">
        <v>1.881772</v>
      </c>
      <c r="K895">
        <v>1.1277999999999899E-2</v>
      </c>
      <c r="L895">
        <v>51.718632091978165</v>
      </c>
      <c r="M895">
        <f t="shared" si="13"/>
        <v>-28</v>
      </c>
    </row>
    <row r="896" spans="3:13">
      <c r="C896" s="2">
        <v>41360</v>
      </c>
      <c r="D896">
        <v>62.721389668202953</v>
      </c>
      <c r="E896">
        <f>VLOOKUP(C896,'10y swap Vol'!$C$2:$G$3809,5,0)</f>
        <v>54.853624358776734</v>
      </c>
      <c r="F896">
        <f>VLOOKUP(C896,'5y10y Swaption Vol'!temp,3,0)</f>
        <v>93.352586189999997</v>
      </c>
      <c r="H896" s="1">
        <v>41388</v>
      </c>
      <c r="I896" t="s">
        <v>2</v>
      </c>
      <c r="J896">
        <v>1.8706290000000001</v>
      </c>
      <c r="K896">
        <v>-1.1142999999999903E-2</v>
      </c>
      <c r="L896">
        <v>51.347547421687587</v>
      </c>
      <c r="M896">
        <f t="shared" si="13"/>
        <v>-28</v>
      </c>
    </row>
    <row r="897" spans="3:13">
      <c r="C897" s="2">
        <v>41361</v>
      </c>
      <c r="D897">
        <v>62.717260210551331</v>
      </c>
      <c r="E897">
        <f>VLOOKUP(C897,'10y swap Vol'!$C$2:$G$3809,5,0)</f>
        <v>54.601109033322601</v>
      </c>
      <c r="F897">
        <f>VLOOKUP(C897,'5y10y Swaption Vol'!temp,3,0)</f>
        <v>93.393614702999997</v>
      </c>
      <c r="H897" s="1">
        <v>41389</v>
      </c>
      <c r="I897" t="s">
        <v>2</v>
      </c>
      <c r="J897">
        <v>1.8830979999999999</v>
      </c>
      <c r="K897">
        <v>1.2468999999999841E-2</v>
      </c>
      <c r="L897">
        <v>51.302484410957931</v>
      </c>
      <c r="M897">
        <f t="shared" si="13"/>
        <v>-28</v>
      </c>
    </row>
    <row r="898" spans="3:13">
      <c r="C898" s="2">
        <v>41365</v>
      </c>
      <c r="D898">
        <v>61.75597266303869</v>
      </c>
      <c r="E898">
        <f>VLOOKUP(C898,'10y swap Vol'!$C$2:$G$3809,5,0)</f>
        <v>52.609590758600532</v>
      </c>
      <c r="F898">
        <f>VLOOKUP(C898,'5y10y Swaption Vol'!temp,3,0)</f>
        <v>93.374800464000003</v>
      </c>
      <c r="H898" s="1">
        <v>41390</v>
      </c>
      <c r="I898" t="s">
        <v>2</v>
      </c>
      <c r="J898">
        <v>1.8445560000000001</v>
      </c>
      <c r="K898">
        <v>-3.8541999999999854E-2</v>
      </c>
      <c r="L898">
        <v>51.399054088845894</v>
      </c>
      <c r="M898">
        <f t="shared" si="13"/>
        <v>-25</v>
      </c>
    </row>
    <row r="899" spans="3:13">
      <c r="C899" s="2">
        <v>41366</v>
      </c>
      <c r="D899">
        <v>57.025959517619604</v>
      </c>
      <c r="E899">
        <f>VLOOKUP(C899,'10y swap Vol'!$C$2:$G$3809,5,0)</f>
        <v>51.757601385961706</v>
      </c>
      <c r="F899">
        <f>VLOOKUP(C899,'5y10y Swaption Vol'!temp,3,0)</f>
        <v>93.342339425999995</v>
      </c>
      <c r="H899" s="1">
        <v>41393</v>
      </c>
      <c r="I899" t="s">
        <v>2</v>
      </c>
      <c r="J899">
        <v>1.838176</v>
      </c>
      <c r="K899">
        <v>-6.3800000000000523E-3</v>
      </c>
      <c r="L899">
        <v>51.270065138346112</v>
      </c>
      <c r="M899">
        <f t="shared" ref="M899:M962" si="14">C899-H899</f>
        <v>-27</v>
      </c>
    </row>
    <row r="900" spans="3:13">
      <c r="C900" s="2">
        <v>41367</v>
      </c>
      <c r="D900">
        <v>57.840043947003835</v>
      </c>
      <c r="E900">
        <f>VLOOKUP(C900,'10y swap Vol'!$C$2:$G$3809,5,0)</f>
        <v>52.524245229285036</v>
      </c>
      <c r="F900">
        <f>VLOOKUP(C900,'5y10y Swaption Vol'!temp,3,0)</f>
        <v>93.042589273999994</v>
      </c>
      <c r="H900" s="1">
        <v>41394</v>
      </c>
      <c r="I900" t="s">
        <v>2</v>
      </c>
      <c r="J900">
        <v>1.849423</v>
      </c>
      <c r="K900">
        <v>1.1247000000000007E-2</v>
      </c>
      <c r="L900">
        <v>50.651965805733234</v>
      </c>
      <c r="M900">
        <f t="shared" si="14"/>
        <v>-27</v>
      </c>
    </row>
    <row r="901" spans="3:13">
      <c r="C901" s="2">
        <v>41368</v>
      </c>
      <c r="D901">
        <v>59.42671363099025</v>
      </c>
      <c r="E901">
        <f>VLOOKUP(C901,'10y swap Vol'!$C$2:$G$3809,5,0)</f>
        <v>53.36912291755128</v>
      </c>
      <c r="F901">
        <f>VLOOKUP(C901,'5y10y Swaption Vol'!temp,3,0)</f>
        <v>92.796203188000007</v>
      </c>
      <c r="H901" s="1">
        <v>41395</v>
      </c>
      <c r="I901" t="s">
        <v>2</v>
      </c>
      <c r="J901">
        <v>1.820106</v>
      </c>
      <c r="K901">
        <v>-2.9317000000000037E-2</v>
      </c>
      <c r="L901">
        <v>50.545973980978289</v>
      </c>
      <c r="M901">
        <f t="shared" si="14"/>
        <v>-27</v>
      </c>
    </row>
    <row r="902" spans="3:13">
      <c r="C902" s="2">
        <v>41369</v>
      </c>
      <c r="D902">
        <v>60.915418280759546</v>
      </c>
      <c r="E902">
        <f>VLOOKUP(C902,'10y swap Vol'!$C$2:$G$3809,5,0)</f>
        <v>54.421738345621776</v>
      </c>
      <c r="F902">
        <f>VLOOKUP(C902,'5y10y Swaption Vol'!temp,3,0)</f>
        <v>92.746060020000002</v>
      </c>
      <c r="H902" s="1">
        <v>41396</v>
      </c>
      <c r="I902" t="s">
        <v>2</v>
      </c>
      <c r="J902">
        <v>1.812554</v>
      </c>
      <c r="K902">
        <v>-7.5520000000000032E-3</v>
      </c>
      <c r="L902">
        <v>49.87151669274219</v>
      </c>
      <c r="M902">
        <f t="shared" si="14"/>
        <v>-27</v>
      </c>
    </row>
    <row r="903" spans="3:13">
      <c r="C903" s="2">
        <v>41372</v>
      </c>
      <c r="D903">
        <v>61.578206331270458</v>
      </c>
      <c r="E903">
        <f>VLOOKUP(C903,'10y swap Vol'!$C$2:$G$3809,5,0)</f>
        <v>55.560642868107358</v>
      </c>
      <c r="F903">
        <f>VLOOKUP(C903,'5y10y Swaption Vol'!temp,3,0)</f>
        <v>92.996413709999999</v>
      </c>
      <c r="H903" s="1">
        <v>41397</v>
      </c>
      <c r="I903" t="s">
        <v>2</v>
      </c>
      <c r="J903">
        <v>1.9183079999999999</v>
      </c>
      <c r="K903">
        <v>0.1057539999999999</v>
      </c>
      <c r="L903">
        <v>53.750173835193849</v>
      </c>
      <c r="M903">
        <f t="shared" si="14"/>
        <v>-25</v>
      </c>
    </row>
    <row r="904" spans="3:13">
      <c r="C904" s="2">
        <v>41373</v>
      </c>
      <c r="D904">
        <v>60.802697189497245</v>
      </c>
      <c r="E904">
        <f>VLOOKUP(C904,'10y swap Vol'!$C$2:$G$3809,5,0)</f>
        <v>54.983055784619175</v>
      </c>
      <c r="F904">
        <f>VLOOKUP(C904,'5y10y Swaption Vol'!temp,3,0)</f>
        <v>92.978653915999999</v>
      </c>
      <c r="H904" s="1">
        <v>41400</v>
      </c>
      <c r="I904" t="s">
        <v>2</v>
      </c>
      <c r="J904">
        <v>1.951935</v>
      </c>
      <c r="K904">
        <v>3.3627000000000073E-2</v>
      </c>
      <c r="L904">
        <v>54.172840244225831</v>
      </c>
      <c r="M904">
        <f t="shared" si="14"/>
        <v>-27</v>
      </c>
    </row>
    <row r="905" spans="3:13">
      <c r="C905" s="2">
        <v>41374</v>
      </c>
      <c r="D905">
        <v>61.460072395262053</v>
      </c>
      <c r="E905">
        <f>VLOOKUP(C905,'10y swap Vol'!$C$2:$G$3809,5,0)</f>
        <v>55.871285940661252</v>
      </c>
      <c r="F905">
        <f>VLOOKUP(C905,'5y10y Swaption Vol'!temp,3,0)</f>
        <v>93.429166887999997</v>
      </c>
      <c r="H905" s="1">
        <v>41401</v>
      </c>
      <c r="I905" t="s">
        <v>2</v>
      </c>
      <c r="J905">
        <v>1.961252</v>
      </c>
      <c r="K905">
        <v>9.3170000000000197E-3</v>
      </c>
      <c r="L905">
        <v>54.201836060484922</v>
      </c>
      <c r="M905">
        <f t="shared" si="14"/>
        <v>-27</v>
      </c>
    </row>
    <row r="906" spans="3:13">
      <c r="C906" s="2">
        <v>41375</v>
      </c>
      <c r="D906">
        <v>61.76929764857524</v>
      </c>
      <c r="E906">
        <f>VLOOKUP(C906,'10y swap Vol'!$C$2:$G$3809,5,0)</f>
        <v>55.785048289055773</v>
      </c>
      <c r="F906">
        <f>VLOOKUP(C906,'5y10y Swaption Vol'!temp,3,0)</f>
        <v>92.479156223999993</v>
      </c>
      <c r="H906" s="1">
        <v>41402</v>
      </c>
      <c r="I906" t="s">
        <v>2</v>
      </c>
      <c r="J906">
        <v>1.94295</v>
      </c>
      <c r="K906">
        <v>-1.830200000000004E-2</v>
      </c>
      <c r="L906">
        <v>54.311286873808498</v>
      </c>
      <c r="M906">
        <f t="shared" si="14"/>
        <v>-27</v>
      </c>
    </row>
    <row r="907" spans="3:13">
      <c r="C907" s="2">
        <v>41376</v>
      </c>
      <c r="D907">
        <v>63.293780536870024</v>
      </c>
      <c r="E907">
        <f>VLOOKUP(C907,'10y swap Vol'!$C$2:$G$3809,5,0)</f>
        <v>56.953613119879364</v>
      </c>
      <c r="F907">
        <f>VLOOKUP(C907,'5y10y Swaption Vol'!temp,3,0)</f>
        <v>93.106493401999998</v>
      </c>
      <c r="H907" s="1">
        <v>41403</v>
      </c>
      <c r="I907" t="s">
        <v>2</v>
      </c>
      <c r="J907">
        <v>1.957613</v>
      </c>
      <c r="K907">
        <v>1.4663000000000093E-2</v>
      </c>
      <c r="L907">
        <v>53.731924084173933</v>
      </c>
      <c r="M907">
        <f t="shared" si="14"/>
        <v>-27</v>
      </c>
    </row>
    <row r="908" spans="3:13">
      <c r="C908" s="2">
        <v>41379</v>
      </c>
      <c r="D908">
        <v>63.502142477621589</v>
      </c>
      <c r="E908">
        <f>VLOOKUP(C908,'10y swap Vol'!$C$2:$G$3809,5,0)</f>
        <v>57.233922896040525</v>
      </c>
      <c r="F908">
        <f>VLOOKUP(C908,'5y10y Swaption Vol'!temp,3,0)</f>
        <v>93.020501030000005</v>
      </c>
      <c r="H908" s="1">
        <v>41404</v>
      </c>
      <c r="I908" t="s">
        <v>2</v>
      </c>
      <c r="J908">
        <v>2.0406659999999999</v>
      </c>
      <c r="K908">
        <v>8.3052999999999821E-2</v>
      </c>
      <c r="L908">
        <v>55.91215350331742</v>
      </c>
      <c r="M908">
        <f t="shared" si="14"/>
        <v>-25</v>
      </c>
    </row>
    <row r="909" spans="3:13">
      <c r="C909" s="2">
        <v>41380</v>
      </c>
      <c r="D909">
        <v>61.884083128414737</v>
      </c>
      <c r="E909">
        <f>VLOOKUP(C909,'10y swap Vol'!$C$2:$G$3809,5,0)</f>
        <v>56.179320632923577</v>
      </c>
      <c r="F909">
        <f>VLOOKUP(C909,'5y10y Swaption Vol'!temp,3,0)</f>
        <v>93.419257139999999</v>
      </c>
      <c r="H909" s="1">
        <v>41407</v>
      </c>
      <c r="I909" t="s">
        <v>2</v>
      </c>
      <c r="J909">
        <v>2.0648879999999998</v>
      </c>
      <c r="K909">
        <v>2.4221999999999966E-2</v>
      </c>
      <c r="L909">
        <v>55.390932592084972</v>
      </c>
      <c r="M909">
        <f t="shared" si="14"/>
        <v>-27</v>
      </c>
    </row>
    <row r="910" spans="3:13">
      <c r="C910" s="2">
        <v>41381</v>
      </c>
      <c r="D910">
        <v>61.757488476625333</v>
      </c>
      <c r="E910">
        <f>VLOOKUP(C910,'10y swap Vol'!$C$2:$G$3809,5,0)</f>
        <v>56.197165242960686</v>
      </c>
      <c r="F910">
        <f>VLOOKUP(C910,'5y10y Swaption Vol'!temp,3,0)</f>
        <v>93.326165498999998</v>
      </c>
      <c r="H910" s="1">
        <v>41408</v>
      </c>
      <c r="I910" t="s">
        <v>2</v>
      </c>
      <c r="J910">
        <v>2.0963699999999998</v>
      </c>
      <c r="K910">
        <v>3.148200000000001E-2</v>
      </c>
      <c r="L910">
        <v>55.741727853242672</v>
      </c>
      <c r="M910">
        <f t="shared" si="14"/>
        <v>-27</v>
      </c>
    </row>
    <row r="911" spans="3:13">
      <c r="C911" s="2">
        <v>41382</v>
      </c>
      <c r="D911">
        <v>61.88942917548551</v>
      </c>
      <c r="E911">
        <f>VLOOKUP(C911,'10y swap Vol'!$C$2:$G$3809,5,0)</f>
        <v>56.356168118845204</v>
      </c>
      <c r="F911">
        <f>VLOOKUP(C911,'5y10y Swaption Vol'!temp,3,0)</f>
        <v>93.196761502000001</v>
      </c>
      <c r="H911" s="1">
        <v>41409</v>
      </c>
      <c r="I911" t="s">
        <v>2</v>
      </c>
      <c r="J911">
        <v>2.0767030000000002</v>
      </c>
      <c r="K911">
        <v>-1.9666999999999657E-2</v>
      </c>
      <c r="L911">
        <v>55.616239126876735</v>
      </c>
      <c r="M911">
        <f t="shared" si="14"/>
        <v>-27</v>
      </c>
    </row>
    <row r="912" spans="3:13">
      <c r="C912" s="2">
        <v>41383</v>
      </c>
      <c r="D912">
        <v>61.922894952971184</v>
      </c>
      <c r="E912">
        <f>VLOOKUP(C912,'10y swap Vol'!$C$2:$G$3809,5,0)</f>
        <v>56.539406437777131</v>
      </c>
      <c r="F912">
        <f>VLOOKUP(C912,'5y10y Swaption Vol'!temp,3,0)</f>
        <v>93.610701734000003</v>
      </c>
      <c r="H912" s="1">
        <v>41410</v>
      </c>
      <c r="I912" t="s">
        <v>2</v>
      </c>
      <c r="J912">
        <v>1.992793</v>
      </c>
      <c r="K912">
        <v>-8.3910000000000151E-2</v>
      </c>
      <c r="L912">
        <v>58.175658699166597</v>
      </c>
      <c r="M912">
        <f t="shared" si="14"/>
        <v>-27</v>
      </c>
    </row>
    <row r="913" spans="3:13">
      <c r="C913" s="2">
        <v>41386</v>
      </c>
      <c r="D913">
        <v>61.751849305195805</v>
      </c>
      <c r="E913">
        <f>VLOOKUP(C913,'10y swap Vol'!$C$2:$G$3809,5,0)</f>
        <v>56.492554562244898</v>
      </c>
      <c r="F913">
        <f>VLOOKUP(C913,'5y10y Swaption Vol'!temp,3,0)</f>
        <v>93.529106229999996</v>
      </c>
      <c r="H913" s="1">
        <v>41411</v>
      </c>
      <c r="I913" t="s">
        <v>2</v>
      </c>
      <c r="J913">
        <v>2.0866159999999998</v>
      </c>
      <c r="K913">
        <v>9.3822999999999768E-2</v>
      </c>
      <c r="L913">
        <v>60.601426150360716</v>
      </c>
      <c r="M913">
        <f t="shared" si="14"/>
        <v>-25</v>
      </c>
    </row>
    <row r="914" spans="3:13">
      <c r="C914" s="2">
        <v>41387</v>
      </c>
      <c r="D914">
        <v>54.879429271083666</v>
      </c>
      <c r="E914">
        <f>VLOOKUP(C914,'10y swap Vol'!$C$2:$G$3809,5,0)</f>
        <v>51.718632091978165</v>
      </c>
      <c r="F914">
        <f>VLOOKUP(C914,'5y10y Swaption Vol'!temp,3,0)</f>
        <v>93.489263464000004</v>
      </c>
      <c r="H914" s="1">
        <v>41414</v>
      </c>
      <c r="I914" t="s">
        <v>2</v>
      </c>
      <c r="J914">
        <v>2.093655</v>
      </c>
      <c r="K914">
        <v>7.0390000000002395E-3</v>
      </c>
      <c r="L914">
        <v>60.5864846924378</v>
      </c>
      <c r="M914">
        <f t="shared" si="14"/>
        <v>-27</v>
      </c>
    </row>
    <row r="915" spans="3:13">
      <c r="C915" s="2">
        <v>41388</v>
      </c>
      <c r="D915">
        <v>54.39697163868118</v>
      </c>
      <c r="E915">
        <f>VLOOKUP(C915,'10y swap Vol'!$C$2:$G$3809,5,0)</f>
        <v>51.347547421687587</v>
      </c>
      <c r="F915">
        <f>VLOOKUP(C915,'5y10y Swaption Vol'!temp,3,0)</f>
        <v>93.527552987999997</v>
      </c>
      <c r="H915" s="1">
        <v>41415</v>
      </c>
      <c r="I915" t="s">
        <v>2</v>
      </c>
      <c r="J915">
        <v>2.0667279999999999</v>
      </c>
      <c r="K915">
        <v>-2.6927000000000145E-2</v>
      </c>
      <c r="L915">
        <v>59.399449714459877</v>
      </c>
      <c r="M915">
        <f t="shared" si="14"/>
        <v>-27</v>
      </c>
    </row>
    <row r="916" spans="3:13">
      <c r="C916" s="2">
        <v>41389</v>
      </c>
      <c r="D916">
        <v>54.202018511338089</v>
      </c>
      <c r="E916">
        <f>VLOOKUP(C916,'10y swap Vol'!$C$2:$G$3809,5,0)</f>
        <v>51.302484410957931</v>
      </c>
      <c r="F916">
        <f>VLOOKUP(C916,'5y10y Swaption Vol'!temp,3,0)</f>
        <v>93.192945074999997</v>
      </c>
      <c r="H916" s="1">
        <v>41416</v>
      </c>
      <c r="I916" t="s">
        <v>2</v>
      </c>
      <c r="J916">
        <v>2.1554690000000001</v>
      </c>
      <c r="K916">
        <v>8.8741000000000181E-2</v>
      </c>
      <c r="L916">
        <v>61.958598100903117</v>
      </c>
      <c r="M916">
        <f t="shared" si="14"/>
        <v>-27</v>
      </c>
    </row>
    <row r="917" spans="3:13">
      <c r="C917" s="2">
        <v>41390</v>
      </c>
      <c r="D917">
        <v>55.018635251866421</v>
      </c>
      <c r="E917">
        <f>VLOOKUP(C917,'10y swap Vol'!$C$2:$G$3809,5,0)</f>
        <v>51.399054088845894</v>
      </c>
      <c r="F917">
        <f>VLOOKUP(C917,'5y10y Swaption Vol'!temp,3,0)</f>
        <v>92.940141464000007</v>
      </c>
      <c r="H917" s="1">
        <v>41417</v>
      </c>
      <c r="I917" t="s">
        <v>2</v>
      </c>
      <c r="J917">
        <v>2.1570109999999998</v>
      </c>
      <c r="K917">
        <v>1.5419999999997103E-3</v>
      </c>
      <c r="L917">
        <v>61.776962066867256</v>
      </c>
      <c r="M917">
        <f t="shared" si="14"/>
        <v>-27</v>
      </c>
    </row>
    <row r="918" spans="3:13">
      <c r="C918" s="2">
        <v>41393</v>
      </c>
      <c r="D918">
        <v>55.019756382674288</v>
      </c>
      <c r="E918">
        <f>VLOOKUP(C918,'10y swap Vol'!$C$2:$G$3809,5,0)</f>
        <v>51.270065138346112</v>
      </c>
      <c r="F918">
        <f>VLOOKUP(C918,'5y10y Swaption Vol'!temp,3,0)</f>
        <v>92.998614575000005</v>
      </c>
      <c r="H918" s="1">
        <v>41418</v>
      </c>
      <c r="I918" t="s">
        <v>2</v>
      </c>
      <c r="J918">
        <v>2.1561780000000002</v>
      </c>
      <c r="K918">
        <v>-8.3299999999963958E-4</v>
      </c>
      <c r="L918">
        <v>61.68502806569348</v>
      </c>
      <c r="M918">
        <f t="shared" si="14"/>
        <v>-25</v>
      </c>
    </row>
    <row r="919" spans="3:13">
      <c r="C919" s="2">
        <v>41394</v>
      </c>
      <c r="D919">
        <v>54.960567329873157</v>
      </c>
      <c r="E919">
        <f>VLOOKUP(C919,'10y swap Vol'!$C$2:$G$3809,5,0)</f>
        <v>50.651965805733234</v>
      </c>
      <c r="F919">
        <f>VLOOKUP(C919,'5y10y Swaption Vol'!temp,3,0)</f>
        <v>93.011049184000001</v>
      </c>
      <c r="H919" s="1">
        <v>41422</v>
      </c>
      <c r="I919" t="s">
        <v>2</v>
      </c>
      <c r="J919">
        <v>2.2962829999999999</v>
      </c>
      <c r="K919">
        <v>0.1401049999999997</v>
      </c>
      <c r="L919">
        <v>67.300319529404021</v>
      </c>
      <c r="M919">
        <f t="shared" si="14"/>
        <v>-28</v>
      </c>
    </row>
    <row r="920" spans="3:13">
      <c r="C920" s="2">
        <v>41395</v>
      </c>
      <c r="D920">
        <v>55.162545502236703</v>
      </c>
      <c r="E920">
        <f>VLOOKUP(C920,'10y swap Vol'!$C$2:$G$3809,5,0)</f>
        <v>50.545973980978289</v>
      </c>
      <c r="F920">
        <f>VLOOKUP(C920,'5y10y Swaption Vol'!temp,3,0)</f>
        <v>93.022202903999997</v>
      </c>
      <c r="H920" s="1">
        <v>41423</v>
      </c>
      <c r="I920" t="s">
        <v>2</v>
      </c>
      <c r="J920">
        <v>2.2867440000000001</v>
      </c>
      <c r="K920">
        <v>-9.5389999999997421E-3</v>
      </c>
      <c r="L920">
        <v>67.340411699651227</v>
      </c>
      <c r="M920">
        <f t="shared" si="14"/>
        <v>-28</v>
      </c>
    </row>
    <row r="921" spans="3:13">
      <c r="C921" s="2">
        <v>41396</v>
      </c>
      <c r="D921">
        <v>54.731552621373268</v>
      </c>
      <c r="E921">
        <f>VLOOKUP(C921,'10y swap Vol'!$C$2:$G$3809,5,0)</f>
        <v>49.87151669274219</v>
      </c>
      <c r="F921">
        <f>VLOOKUP(C921,'5y10y Swaption Vol'!temp,3,0)</f>
        <v>93.023138549999999</v>
      </c>
      <c r="H921" s="1">
        <v>41424</v>
      </c>
      <c r="I921" t="s">
        <v>2</v>
      </c>
      <c r="J921">
        <v>2.2885529999999998</v>
      </c>
      <c r="K921">
        <v>1.8089999999997275E-3</v>
      </c>
      <c r="L921">
        <v>67.329643659655233</v>
      </c>
      <c r="M921">
        <f t="shared" si="14"/>
        <v>-28</v>
      </c>
    </row>
    <row r="922" spans="3:13">
      <c r="C922" s="2">
        <v>41397</v>
      </c>
      <c r="D922">
        <v>59.285436992111414</v>
      </c>
      <c r="E922">
        <f>VLOOKUP(C922,'10y swap Vol'!$C$2:$G$3809,5,0)</f>
        <v>53.750173835193849</v>
      </c>
      <c r="F922">
        <f>VLOOKUP(C922,'5y10y Swaption Vol'!temp,3,0)</f>
        <v>93.265828347999999</v>
      </c>
      <c r="H922" s="1">
        <v>41425</v>
      </c>
      <c r="I922" t="s">
        <v>2</v>
      </c>
      <c r="J922">
        <v>2.3371460000000002</v>
      </c>
      <c r="K922">
        <v>4.859300000000033E-2</v>
      </c>
      <c r="L922">
        <v>67.427516583545383</v>
      </c>
      <c r="M922">
        <f t="shared" si="14"/>
        <v>-28</v>
      </c>
    </row>
    <row r="923" spans="3:13">
      <c r="C923" s="2">
        <v>41400</v>
      </c>
      <c r="D923">
        <v>59.382888484571751</v>
      </c>
      <c r="E923">
        <f>VLOOKUP(C923,'10y swap Vol'!$C$2:$G$3809,5,0)</f>
        <v>54.172840244225831</v>
      </c>
      <c r="F923">
        <f>VLOOKUP(C923,'5y10y Swaption Vol'!temp,3,0)</f>
        <v>93.104473876</v>
      </c>
      <c r="H923" s="1">
        <v>41428</v>
      </c>
      <c r="I923" t="s">
        <v>2</v>
      </c>
      <c r="J923">
        <v>2.3143410000000002</v>
      </c>
      <c r="K923">
        <v>-2.2804999999999964E-2</v>
      </c>
      <c r="L923">
        <v>66.857816779256979</v>
      </c>
      <c r="M923">
        <f t="shared" si="14"/>
        <v>-28</v>
      </c>
    </row>
    <row r="924" spans="3:13">
      <c r="C924" s="2">
        <v>41401</v>
      </c>
      <c r="D924">
        <v>59.30556506028779</v>
      </c>
      <c r="E924">
        <f>VLOOKUP(C924,'10y swap Vol'!$C$2:$G$3809,5,0)</f>
        <v>54.201836060484922</v>
      </c>
      <c r="F924">
        <f>VLOOKUP(C924,'5y10y Swaption Vol'!temp,3,0)</f>
        <v>93.099890131999999</v>
      </c>
      <c r="H924" s="1">
        <v>41429</v>
      </c>
      <c r="I924" t="s">
        <v>2</v>
      </c>
      <c r="J924">
        <v>2.331582</v>
      </c>
      <c r="K924">
        <v>1.724099999999984E-2</v>
      </c>
      <c r="L924">
        <v>65.728683470029921</v>
      </c>
      <c r="M924">
        <f t="shared" si="14"/>
        <v>-28</v>
      </c>
    </row>
    <row r="925" spans="3:13">
      <c r="C925" s="2">
        <v>41402</v>
      </c>
      <c r="D925">
        <v>59.371549294472068</v>
      </c>
      <c r="E925">
        <f>VLOOKUP(C925,'10y swap Vol'!$C$2:$G$3809,5,0)</f>
        <v>54.311286873808498</v>
      </c>
      <c r="F925">
        <f>VLOOKUP(C925,'5y10y Swaption Vol'!temp,3,0)</f>
        <v>93.118934358000004</v>
      </c>
      <c r="H925" s="1">
        <v>41430</v>
      </c>
      <c r="I925" t="s">
        <v>2</v>
      </c>
      <c r="J925">
        <v>2.2914189999999999</v>
      </c>
      <c r="K925">
        <v>-4.0163000000000171E-2</v>
      </c>
      <c r="L925">
        <v>66.321874836446852</v>
      </c>
      <c r="M925">
        <f t="shared" si="14"/>
        <v>-28</v>
      </c>
    </row>
    <row r="926" spans="3:13">
      <c r="C926" s="2">
        <v>41403</v>
      </c>
      <c r="D926">
        <v>58.937351115639501</v>
      </c>
      <c r="E926">
        <f>VLOOKUP(C926,'10y swap Vol'!$C$2:$G$3809,5,0)</f>
        <v>53.731924084173933</v>
      </c>
      <c r="F926">
        <f>VLOOKUP(C926,'5y10y Swaption Vol'!temp,3,0)</f>
        <v>92.422849780000007</v>
      </c>
      <c r="H926" s="1">
        <v>41431</v>
      </c>
      <c r="I926" t="s">
        <v>2</v>
      </c>
      <c r="J926">
        <v>2.265819</v>
      </c>
      <c r="K926">
        <v>-2.5599999999999845E-2</v>
      </c>
      <c r="L926">
        <v>66.179703801558375</v>
      </c>
      <c r="M926">
        <f t="shared" si="14"/>
        <v>-28</v>
      </c>
    </row>
    <row r="927" spans="3:13">
      <c r="C927" s="2">
        <v>41404</v>
      </c>
      <c r="D927">
        <v>61.085001715371845</v>
      </c>
      <c r="E927">
        <f>VLOOKUP(C927,'10y swap Vol'!$C$2:$G$3809,5,0)</f>
        <v>55.91215350331742</v>
      </c>
      <c r="F927">
        <f>VLOOKUP(C927,'5y10y Swaption Vol'!temp,3,0)</f>
        <v>91.592237060000002</v>
      </c>
      <c r="H927" s="1">
        <v>41432</v>
      </c>
      <c r="I927" t="s">
        <v>2</v>
      </c>
      <c r="J927">
        <v>2.354266</v>
      </c>
      <c r="K927">
        <v>8.8446999999999942E-2</v>
      </c>
      <c r="L927">
        <v>68.435215367743041</v>
      </c>
      <c r="M927">
        <f t="shared" si="14"/>
        <v>-28</v>
      </c>
    </row>
    <row r="928" spans="3:13">
      <c r="C928" s="2">
        <v>41407</v>
      </c>
      <c r="D928">
        <v>60.805943616046029</v>
      </c>
      <c r="E928">
        <f>VLOOKUP(C928,'10y swap Vol'!$C$2:$G$3809,5,0)</f>
        <v>55.390932592084972</v>
      </c>
      <c r="F928">
        <f>VLOOKUP(C928,'5y10y Swaption Vol'!temp,3,0)</f>
        <v>91.704805472999993</v>
      </c>
      <c r="H928" s="1">
        <v>41435</v>
      </c>
      <c r="I928" t="s">
        <v>2</v>
      </c>
      <c r="J928">
        <v>2.4193250000000002</v>
      </c>
      <c r="K928">
        <v>6.50590000000002E-2</v>
      </c>
      <c r="L928">
        <v>69.481395075195024</v>
      </c>
      <c r="M928">
        <f t="shared" si="14"/>
        <v>-28</v>
      </c>
    </row>
    <row r="929" spans="3:13">
      <c r="C929" s="2">
        <v>41408</v>
      </c>
      <c r="D929">
        <v>61.348638434430256</v>
      </c>
      <c r="E929">
        <f>VLOOKUP(C929,'10y swap Vol'!$C$2:$G$3809,5,0)</f>
        <v>55.741727853242672</v>
      </c>
      <c r="F929">
        <f>VLOOKUP(C929,'5y10y Swaption Vol'!temp,3,0)</f>
        <v>91.901895877000001</v>
      </c>
      <c r="H929" s="1">
        <v>41436</v>
      </c>
      <c r="I929" t="s">
        <v>2</v>
      </c>
      <c r="J929">
        <v>2.3918149999999998</v>
      </c>
      <c r="K929">
        <v>-2.7510000000000367E-2</v>
      </c>
      <c r="L929">
        <v>69.30181777391094</v>
      </c>
      <c r="M929">
        <f t="shared" si="14"/>
        <v>-28</v>
      </c>
    </row>
    <row r="930" spans="3:13">
      <c r="C930" s="2">
        <v>41409</v>
      </c>
      <c r="D930">
        <v>61.253079910289024</v>
      </c>
      <c r="E930">
        <f>VLOOKUP(C930,'10y swap Vol'!$C$2:$G$3809,5,0)</f>
        <v>55.616239126876735</v>
      </c>
      <c r="F930">
        <f>VLOOKUP(C930,'5y10y Swaption Vol'!temp,3,0)</f>
        <v>91.705508674000001</v>
      </c>
      <c r="H930" s="1">
        <v>41437</v>
      </c>
      <c r="I930" t="s">
        <v>2</v>
      </c>
      <c r="J930">
        <v>2.421999</v>
      </c>
      <c r="K930">
        <v>3.0184000000000211E-2</v>
      </c>
      <c r="L930">
        <v>69.07885445982977</v>
      </c>
      <c r="M930">
        <f t="shared" si="14"/>
        <v>-28</v>
      </c>
    </row>
    <row r="931" spans="3:13">
      <c r="C931" s="2">
        <v>41410</v>
      </c>
      <c r="D931">
        <v>64.461784627768992</v>
      </c>
      <c r="E931">
        <f>VLOOKUP(C931,'10y swap Vol'!$C$2:$G$3809,5,0)</f>
        <v>58.175658699166597</v>
      </c>
      <c r="F931">
        <f>VLOOKUP(C931,'5y10y Swaption Vol'!temp,3,0)</f>
        <v>91.672093493999995</v>
      </c>
      <c r="H931" s="1">
        <v>41438</v>
      </c>
      <c r="I931" t="s">
        <v>2</v>
      </c>
      <c r="J931">
        <v>2.3550399999999998</v>
      </c>
      <c r="K931">
        <v>-6.6959000000000213E-2</v>
      </c>
      <c r="L931">
        <v>70.124859117636447</v>
      </c>
      <c r="M931">
        <f t="shared" si="14"/>
        <v>-28</v>
      </c>
    </row>
    <row r="932" spans="3:13">
      <c r="C932" s="2">
        <v>41411</v>
      </c>
      <c r="D932">
        <v>69.13992470430496</v>
      </c>
      <c r="E932">
        <f>VLOOKUP(C932,'10y swap Vol'!$C$2:$G$3809,5,0)</f>
        <v>60.601426150360716</v>
      </c>
      <c r="F932">
        <f>VLOOKUP(C932,'5y10y Swaption Vol'!temp,3,0)</f>
        <v>91.744062803999995</v>
      </c>
      <c r="H932" s="1">
        <v>41439</v>
      </c>
      <c r="I932" t="s">
        <v>2</v>
      </c>
      <c r="J932">
        <v>2.299817</v>
      </c>
      <c r="K932">
        <v>-5.52229999999998E-2</v>
      </c>
      <c r="L932">
        <v>71.005904360901297</v>
      </c>
      <c r="M932">
        <f t="shared" si="14"/>
        <v>-28</v>
      </c>
    </row>
    <row r="933" spans="3:13">
      <c r="C933" s="2">
        <v>41414</v>
      </c>
      <c r="D933">
        <v>69.343174261916388</v>
      </c>
      <c r="E933">
        <f>VLOOKUP(C933,'10y swap Vol'!$C$2:$G$3809,5,0)</f>
        <v>60.5864846924378</v>
      </c>
      <c r="F933">
        <f>VLOOKUP(C933,'5y10y Swaption Vol'!temp,3,0)</f>
        <v>91.771285422000005</v>
      </c>
      <c r="H933" s="1">
        <v>41442</v>
      </c>
      <c r="I933" t="s">
        <v>2</v>
      </c>
      <c r="J933">
        <v>2.3476590000000002</v>
      </c>
      <c r="K933">
        <v>4.7842000000000162E-2</v>
      </c>
      <c r="L933">
        <v>71.562969929574905</v>
      </c>
      <c r="M933">
        <f t="shared" si="14"/>
        <v>-28</v>
      </c>
    </row>
    <row r="934" spans="3:13">
      <c r="C934" s="2">
        <v>41415</v>
      </c>
      <c r="D934">
        <v>68.652409335157756</v>
      </c>
      <c r="E934">
        <f>VLOOKUP(C934,'10y swap Vol'!$C$2:$G$3809,5,0)</f>
        <v>59.399449714459877</v>
      </c>
      <c r="F934">
        <f>VLOOKUP(C934,'5y10y Swaption Vol'!temp,3,0)</f>
        <v>91.743016819999994</v>
      </c>
      <c r="H934" s="1">
        <v>41443</v>
      </c>
      <c r="I934" t="s">
        <v>2</v>
      </c>
      <c r="J934">
        <v>2.3642650000000001</v>
      </c>
      <c r="K934">
        <v>1.6605999999999899E-2</v>
      </c>
      <c r="L934">
        <v>71.547956159539211</v>
      </c>
      <c r="M934">
        <f t="shared" si="14"/>
        <v>-28</v>
      </c>
    </row>
    <row r="935" spans="3:13">
      <c r="C935" s="2">
        <v>41416</v>
      </c>
      <c r="D935">
        <v>72.888370629777128</v>
      </c>
      <c r="E935">
        <f>VLOOKUP(C935,'10y swap Vol'!$C$2:$G$3809,5,0)</f>
        <v>61.958598100903117</v>
      </c>
      <c r="F935">
        <f>VLOOKUP(C935,'5y10y Swaption Vol'!temp,3,0)</f>
        <v>91.935543733000003</v>
      </c>
      <c r="H935" s="1">
        <v>41444</v>
      </c>
      <c r="I935" t="s">
        <v>2</v>
      </c>
      <c r="J935">
        <v>2.5180940000000001</v>
      </c>
      <c r="K935">
        <v>0.15382899999999999</v>
      </c>
      <c r="L935">
        <v>77.703804017374054</v>
      </c>
      <c r="M935">
        <f t="shared" si="14"/>
        <v>-28</v>
      </c>
    </row>
    <row r="936" spans="3:13">
      <c r="C936" s="2">
        <v>41417</v>
      </c>
      <c r="D936">
        <v>72.874628486539024</v>
      </c>
      <c r="E936">
        <f>VLOOKUP(C936,'10y swap Vol'!$C$2:$G$3809,5,0)</f>
        <v>61.776962066867256</v>
      </c>
      <c r="F936">
        <f>VLOOKUP(C936,'5y10y Swaption Vol'!temp,3,0)</f>
        <v>91.943237088000004</v>
      </c>
      <c r="H936" s="1">
        <v>41445</v>
      </c>
      <c r="I936" t="s">
        <v>2</v>
      </c>
      <c r="J936">
        <v>2.6471990000000001</v>
      </c>
      <c r="K936">
        <v>0.12910500000000003</v>
      </c>
      <c r="L936">
        <v>81.55392434846334</v>
      </c>
      <c r="M936">
        <f t="shared" si="14"/>
        <v>-28</v>
      </c>
    </row>
    <row r="937" spans="3:13">
      <c r="C937" s="2">
        <v>41418</v>
      </c>
      <c r="D937">
        <v>72.59997428979355</v>
      </c>
      <c r="E937">
        <f>VLOOKUP(C937,'10y swap Vol'!$C$2:$G$3809,5,0)</f>
        <v>61.68502806569348</v>
      </c>
      <c r="F937">
        <f>VLOOKUP(C937,'5y10y Swaption Vol'!temp,3,0)</f>
        <v>92.274246207999994</v>
      </c>
      <c r="H937" s="1">
        <v>41446</v>
      </c>
      <c r="I937" t="s">
        <v>2</v>
      </c>
      <c r="J937">
        <v>2.7426720000000002</v>
      </c>
      <c r="K937">
        <v>9.5473000000000141E-2</v>
      </c>
      <c r="L937">
        <v>82.360654780535398</v>
      </c>
      <c r="M937">
        <f t="shared" si="14"/>
        <v>-28</v>
      </c>
    </row>
    <row r="938" spans="3:13">
      <c r="C938" s="2">
        <v>41422</v>
      </c>
      <c r="D938">
        <v>76.790567860138253</v>
      </c>
      <c r="E938">
        <f>VLOOKUP(C938,'10y swap Vol'!$C$2:$G$3809,5,0)</f>
        <v>67.300319529404021</v>
      </c>
      <c r="F938">
        <f>VLOOKUP(C938,'5y10y Swaption Vol'!temp,3,0)</f>
        <v>93.751467711000004</v>
      </c>
      <c r="H938" s="1">
        <v>41449</v>
      </c>
      <c r="I938" t="s">
        <v>2</v>
      </c>
      <c r="J938">
        <v>2.772742</v>
      </c>
      <c r="K938">
        <v>3.0069999999999819E-2</v>
      </c>
      <c r="L938">
        <v>82.44102055554265</v>
      </c>
      <c r="M938">
        <f t="shared" si="14"/>
        <v>-27</v>
      </c>
    </row>
    <row r="939" spans="3:13">
      <c r="C939" s="2">
        <v>41423</v>
      </c>
      <c r="D939">
        <v>77.028726289086904</v>
      </c>
      <c r="E939">
        <f>VLOOKUP(C939,'10y swap Vol'!$C$2:$G$3809,5,0)</f>
        <v>67.340411699651227</v>
      </c>
      <c r="F939">
        <f>VLOOKUP(C939,'5y10y Swaption Vol'!temp,3,0)</f>
        <v>94.271426207999994</v>
      </c>
      <c r="H939" s="1">
        <v>41450</v>
      </c>
      <c r="I939" t="s">
        <v>2</v>
      </c>
      <c r="J939">
        <v>2.811938</v>
      </c>
      <c r="K939">
        <v>3.9196000000000009E-2</v>
      </c>
      <c r="L939">
        <v>82.253162872622354</v>
      </c>
      <c r="M939">
        <f t="shared" si="14"/>
        <v>-27</v>
      </c>
    </row>
    <row r="940" spans="3:13">
      <c r="C940" s="2">
        <v>41424</v>
      </c>
      <c r="D940">
        <v>77.128021234086049</v>
      </c>
      <c r="E940">
        <f>VLOOKUP(C940,'10y swap Vol'!$C$2:$G$3809,5,0)</f>
        <v>67.329643659655233</v>
      </c>
      <c r="F940">
        <f>VLOOKUP(C940,'5y10y Swaption Vol'!temp,3,0)</f>
        <v>94.973171699999995</v>
      </c>
      <c r="H940" s="1">
        <v>41451</v>
      </c>
      <c r="I940" t="s">
        <v>2</v>
      </c>
      <c r="J940">
        <v>2.7540260000000001</v>
      </c>
      <c r="K940">
        <v>-5.7911999999999964E-2</v>
      </c>
      <c r="L940">
        <v>83.52516913851737</v>
      </c>
      <c r="M940">
        <f t="shared" si="14"/>
        <v>-27</v>
      </c>
    </row>
    <row r="941" spans="3:13">
      <c r="C941" s="2">
        <v>41425</v>
      </c>
      <c r="D941">
        <v>77.150293499330246</v>
      </c>
      <c r="E941">
        <f>VLOOKUP(C941,'10y swap Vol'!$C$2:$G$3809,5,0)</f>
        <v>67.427516583545383</v>
      </c>
      <c r="F941">
        <f>VLOOKUP(C941,'5y10y Swaption Vol'!temp,3,0)</f>
        <v>95.565666379999996</v>
      </c>
      <c r="H941" s="1">
        <v>41452</v>
      </c>
      <c r="I941" t="s">
        <v>2</v>
      </c>
      <c r="J941">
        <v>2.675681</v>
      </c>
      <c r="K941">
        <v>-7.8345000000000109E-2</v>
      </c>
      <c r="L941">
        <v>84.795869157375009</v>
      </c>
      <c r="M941">
        <f t="shared" si="14"/>
        <v>-27</v>
      </c>
    </row>
    <row r="942" spans="3:13">
      <c r="C942" s="2">
        <v>41428</v>
      </c>
      <c r="D942">
        <v>76.301440405799411</v>
      </c>
      <c r="E942">
        <f>VLOOKUP(C942,'10y swap Vol'!$C$2:$G$3809,5,0)</f>
        <v>66.857816779256979</v>
      </c>
      <c r="F942">
        <f>VLOOKUP(C942,'5y10y Swaption Vol'!temp,3,0)</f>
        <v>96.941435760999994</v>
      </c>
      <c r="H942" s="1">
        <v>41453</v>
      </c>
      <c r="I942" t="s">
        <v>2</v>
      </c>
      <c r="J942">
        <v>2.6882259999999998</v>
      </c>
      <c r="K942">
        <v>1.2544999999999806E-2</v>
      </c>
      <c r="L942">
        <v>83.916098823644447</v>
      </c>
      <c r="M942">
        <f t="shared" si="14"/>
        <v>-25</v>
      </c>
    </row>
    <row r="943" spans="3:13">
      <c r="C943" s="2">
        <v>41429</v>
      </c>
      <c r="D943">
        <v>74.933079725580882</v>
      </c>
      <c r="E943">
        <f>VLOOKUP(C943,'10y swap Vol'!$C$2:$G$3809,5,0)</f>
        <v>65.728683470029921</v>
      </c>
      <c r="F943">
        <f>VLOOKUP(C943,'5y10y Swaption Vol'!temp,3,0)</f>
        <v>97.998733853999994</v>
      </c>
      <c r="H943" s="1">
        <v>41456</v>
      </c>
      <c r="I943" t="s">
        <v>2</v>
      </c>
      <c r="J943">
        <v>2.6989930000000002</v>
      </c>
      <c r="K943">
        <v>1.0767000000000415E-2</v>
      </c>
      <c r="L943">
        <v>82.425241214156387</v>
      </c>
      <c r="M943">
        <f t="shared" si="14"/>
        <v>-27</v>
      </c>
    </row>
    <row r="944" spans="3:13">
      <c r="C944" s="2">
        <v>41430</v>
      </c>
      <c r="D944">
        <v>74.974399551236857</v>
      </c>
      <c r="E944">
        <f>VLOOKUP(C944,'10y swap Vol'!$C$2:$G$3809,5,0)</f>
        <v>66.321874836446852</v>
      </c>
      <c r="F944">
        <f>VLOOKUP(C944,'5y10y Swaption Vol'!temp,3,0)</f>
        <v>98.120006774999993</v>
      </c>
      <c r="H944" s="1">
        <v>41457</v>
      </c>
      <c r="I944" t="s">
        <v>2</v>
      </c>
      <c r="J944">
        <v>2.6917870000000002</v>
      </c>
      <c r="K944">
        <v>-7.2060000000000457E-3</v>
      </c>
      <c r="L944">
        <v>82.056823015817244</v>
      </c>
      <c r="M944">
        <f t="shared" si="14"/>
        <v>-27</v>
      </c>
    </row>
    <row r="945" spans="3:13">
      <c r="C945" s="2">
        <v>41431</v>
      </c>
      <c r="D945">
        <v>75.058728156166211</v>
      </c>
      <c r="E945">
        <f>VLOOKUP(C945,'10y swap Vol'!$C$2:$G$3809,5,0)</f>
        <v>66.179703801558375</v>
      </c>
      <c r="F945">
        <f>VLOOKUP(C945,'5y10y Swaption Vol'!temp,3,0)</f>
        <v>97.757545863000004</v>
      </c>
      <c r="H945" s="1">
        <v>41458</v>
      </c>
      <c r="I945" t="s">
        <v>2</v>
      </c>
      <c r="J945">
        <v>2.7289629999999998</v>
      </c>
      <c r="K945">
        <v>3.7175999999999654E-2</v>
      </c>
      <c r="L945">
        <v>82.186049920180153</v>
      </c>
      <c r="M945">
        <f t="shared" si="14"/>
        <v>-27</v>
      </c>
    </row>
    <row r="946" spans="3:13">
      <c r="C946" s="2">
        <v>41432</v>
      </c>
      <c r="D946">
        <v>75.798791923299717</v>
      </c>
      <c r="E946">
        <f>VLOOKUP(C946,'10y swap Vol'!$C$2:$G$3809,5,0)</f>
        <v>68.435215367743041</v>
      </c>
      <c r="F946">
        <f>VLOOKUP(C946,'5y10y Swaption Vol'!temp,3,0)</f>
        <v>98.527290719999996</v>
      </c>
      <c r="H946" s="1">
        <v>41460</v>
      </c>
      <c r="I946" t="s">
        <v>2</v>
      </c>
      <c r="J946">
        <v>2.961773</v>
      </c>
      <c r="K946">
        <v>0.23281000000000018</v>
      </c>
      <c r="L946">
        <v>93.3345200310807</v>
      </c>
      <c r="M946">
        <f t="shared" si="14"/>
        <v>-28</v>
      </c>
    </row>
    <row r="947" spans="3:13">
      <c r="C947" s="2">
        <v>41435</v>
      </c>
      <c r="D947">
        <v>75.917134288261352</v>
      </c>
      <c r="E947">
        <f>VLOOKUP(C947,'10y swap Vol'!$C$2:$G$3809,5,0)</f>
        <v>69.481395075195024</v>
      </c>
      <c r="F947">
        <f>VLOOKUP(C947,'5y10y Swaption Vol'!temp,3,0)</f>
        <v>98.887086885000002</v>
      </c>
      <c r="H947" s="1">
        <v>41463</v>
      </c>
      <c r="I947" t="s">
        <v>2</v>
      </c>
      <c r="J947">
        <v>2.8925999999999998</v>
      </c>
      <c r="K947">
        <v>-6.9173000000000151E-2</v>
      </c>
      <c r="L947">
        <v>94.762047630584917</v>
      </c>
      <c r="M947">
        <f t="shared" si="14"/>
        <v>-28</v>
      </c>
    </row>
    <row r="948" spans="3:13">
      <c r="C948" s="2">
        <v>41436</v>
      </c>
      <c r="D948">
        <v>75.665474372012156</v>
      </c>
      <c r="E948">
        <f>VLOOKUP(C948,'10y swap Vol'!$C$2:$G$3809,5,0)</f>
        <v>69.30181777391094</v>
      </c>
      <c r="F948">
        <f>VLOOKUP(C948,'5y10y Swaption Vol'!temp,3,0)</f>
        <v>98.901633743999994</v>
      </c>
      <c r="H948" s="1">
        <v>41464</v>
      </c>
      <c r="I948" t="s">
        <v>2</v>
      </c>
      <c r="J948">
        <v>2.8557779999999999</v>
      </c>
      <c r="K948">
        <v>-3.682199999999991E-2</v>
      </c>
      <c r="L948">
        <v>94.097345251323389</v>
      </c>
      <c r="M948">
        <f t="shared" si="14"/>
        <v>-28</v>
      </c>
    </row>
    <row r="949" spans="3:13">
      <c r="C949" s="2">
        <v>41437</v>
      </c>
      <c r="D949">
        <v>75.347108438033928</v>
      </c>
      <c r="E949">
        <f>VLOOKUP(C949,'10y swap Vol'!$C$2:$G$3809,5,0)</f>
        <v>69.07885445982977</v>
      </c>
      <c r="F949">
        <f>VLOOKUP(C949,'5y10y Swaption Vol'!temp,3,0)</f>
        <v>98.577654120000005</v>
      </c>
      <c r="H949" s="1">
        <v>41465</v>
      </c>
      <c r="I949" t="s">
        <v>2</v>
      </c>
      <c r="J949">
        <v>2.8915329999999999</v>
      </c>
      <c r="K949">
        <v>3.5754999999999981E-2</v>
      </c>
      <c r="L949">
        <v>93.750734654940729</v>
      </c>
      <c r="M949">
        <f t="shared" si="14"/>
        <v>-28</v>
      </c>
    </row>
    <row r="950" spans="3:13">
      <c r="C950" s="2">
        <v>41438</v>
      </c>
      <c r="D950">
        <v>75.899305789905796</v>
      </c>
      <c r="E950">
        <f>VLOOKUP(C950,'10y swap Vol'!$C$2:$G$3809,5,0)</f>
        <v>70.124859117636447</v>
      </c>
      <c r="F950">
        <f>VLOOKUP(C950,'5y10y Swaption Vol'!temp,3,0)</f>
        <v>97.562164420000002</v>
      </c>
      <c r="H950" s="1">
        <v>41466</v>
      </c>
      <c r="I950" t="s">
        <v>2</v>
      </c>
      <c r="J950">
        <v>2.7904580000000001</v>
      </c>
      <c r="K950">
        <v>-0.1010749999999998</v>
      </c>
      <c r="L950">
        <v>96.796664602094609</v>
      </c>
      <c r="M950">
        <f t="shared" si="14"/>
        <v>-28</v>
      </c>
    </row>
    <row r="951" spans="3:13">
      <c r="C951" s="2">
        <v>41439</v>
      </c>
      <c r="D951">
        <v>76.081522427118287</v>
      </c>
      <c r="E951">
        <f>VLOOKUP(C951,'10y swap Vol'!$C$2:$G$3809,5,0)</f>
        <v>71.005904360901297</v>
      </c>
      <c r="F951">
        <f>VLOOKUP(C951,'5y10y Swaption Vol'!temp,3,0)</f>
        <v>97.241121251999999</v>
      </c>
      <c r="H951" s="1">
        <v>41467</v>
      </c>
      <c r="I951" t="s">
        <v>2</v>
      </c>
      <c r="J951">
        <v>2.8255750000000002</v>
      </c>
      <c r="K951">
        <v>3.5117000000000065E-2</v>
      </c>
      <c r="L951">
        <v>96.593108860776553</v>
      </c>
      <c r="M951">
        <f t="shared" si="14"/>
        <v>-28</v>
      </c>
    </row>
    <row r="952" spans="3:13">
      <c r="C952" s="2">
        <v>41442</v>
      </c>
      <c r="D952">
        <v>76.5066246315928</v>
      </c>
      <c r="E952">
        <f>VLOOKUP(C952,'10y swap Vol'!$C$2:$G$3809,5,0)</f>
        <v>71.562969929574905</v>
      </c>
      <c r="F952">
        <f>VLOOKUP(C952,'5y10y Swaption Vol'!temp,3,0)</f>
        <v>97.604246700000004</v>
      </c>
      <c r="H952" s="1">
        <v>41470</v>
      </c>
      <c r="I952" t="s">
        <v>2</v>
      </c>
      <c r="J952">
        <v>2.7707670000000002</v>
      </c>
      <c r="K952">
        <v>-5.4807999999999968E-2</v>
      </c>
      <c r="L952">
        <v>97.359910984687787</v>
      </c>
      <c r="M952">
        <f t="shared" si="14"/>
        <v>-28</v>
      </c>
    </row>
    <row r="953" spans="3:13">
      <c r="C953" s="2">
        <v>41443</v>
      </c>
      <c r="D953">
        <v>76.072093660985558</v>
      </c>
      <c r="E953">
        <f>VLOOKUP(C953,'10y swap Vol'!$C$2:$G$3809,5,0)</f>
        <v>71.547956159539211</v>
      </c>
      <c r="F953">
        <f>VLOOKUP(C953,'5y10y Swaption Vol'!temp,3,0)</f>
        <v>97.664974763999993</v>
      </c>
      <c r="H953" s="1">
        <v>41471</v>
      </c>
      <c r="I953" t="s">
        <v>2</v>
      </c>
      <c r="J953">
        <v>2.745098</v>
      </c>
      <c r="K953">
        <v>-2.5669000000000164E-2</v>
      </c>
      <c r="L953">
        <v>97.709151037918886</v>
      </c>
      <c r="M953">
        <f t="shared" si="14"/>
        <v>-28</v>
      </c>
    </row>
    <row r="954" spans="3:13">
      <c r="C954" s="2">
        <v>41444</v>
      </c>
      <c r="D954">
        <v>81.207069507169891</v>
      </c>
      <c r="E954">
        <f>VLOOKUP(C954,'10y swap Vol'!$C$2:$G$3809,5,0)</f>
        <v>77.703804017374054</v>
      </c>
      <c r="F954">
        <f>VLOOKUP(C954,'5y10y Swaption Vol'!temp,3,0)</f>
        <v>99.661064475000003</v>
      </c>
      <c r="H954" s="1">
        <v>41472</v>
      </c>
      <c r="I954" t="s">
        <v>2</v>
      </c>
      <c r="J954">
        <v>2.6956859999999998</v>
      </c>
      <c r="K954">
        <v>-4.9412000000000234E-2</v>
      </c>
      <c r="L954">
        <v>98.546321360196501</v>
      </c>
      <c r="M954">
        <f t="shared" si="14"/>
        <v>-28</v>
      </c>
    </row>
    <row r="955" spans="3:13">
      <c r="C955" s="2">
        <v>41445</v>
      </c>
      <c r="D955">
        <v>85.920177036805057</v>
      </c>
      <c r="E955">
        <f>VLOOKUP(C955,'10y swap Vol'!$C$2:$G$3809,5,0)</f>
        <v>81.55392434846334</v>
      </c>
      <c r="F955">
        <f>VLOOKUP(C955,'5y10y Swaption Vol'!temp,3,0)</f>
        <v>100.147992399</v>
      </c>
      <c r="H955" s="1">
        <v>41473</v>
      </c>
      <c r="I955" t="s">
        <v>2</v>
      </c>
      <c r="J955">
        <v>2.7364929999999998</v>
      </c>
      <c r="K955">
        <v>4.0807000000000038E-2</v>
      </c>
      <c r="L955">
        <v>98.699114048118361</v>
      </c>
      <c r="M955">
        <f t="shared" si="14"/>
        <v>-28</v>
      </c>
    </row>
    <row r="956" spans="3:13">
      <c r="C956" s="2">
        <v>41446</v>
      </c>
      <c r="D956">
        <v>90.366902828010581</v>
      </c>
      <c r="E956">
        <f>VLOOKUP(C956,'10y swap Vol'!$C$2:$G$3809,5,0)</f>
        <v>82.360654780535398</v>
      </c>
      <c r="F956">
        <f>VLOOKUP(C956,'5y10y Swaption Vol'!temp,3,0)</f>
        <v>99.925265874999994</v>
      </c>
      <c r="H956" s="1">
        <v>41474</v>
      </c>
      <c r="I956" t="s">
        <v>2</v>
      </c>
      <c r="J956">
        <v>2.6970619999999998</v>
      </c>
      <c r="K956">
        <v>-3.9430999999999994E-2</v>
      </c>
      <c r="L956">
        <v>99.175200664215595</v>
      </c>
      <c r="M956">
        <f t="shared" si="14"/>
        <v>-28</v>
      </c>
    </row>
    <row r="957" spans="3:13">
      <c r="C957" s="2">
        <v>41449</v>
      </c>
      <c r="D957">
        <v>90.748445691014012</v>
      </c>
      <c r="E957">
        <f>VLOOKUP(C957,'10y swap Vol'!$C$2:$G$3809,5,0)</f>
        <v>82.44102055554265</v>
      </c>
      <c r="F957">
        <f>VLOOKUP(C957,'5y10y Swaption Vol'!temp,3,0)</f>
        <v>100.375734816</v>
      </c>
      <c r="H957" s="1">
        <v>41477</v>
      </c>
      <c r="I957" t="s">
        <v>2</v>
      </c>
      <c r="J957">
        <v>2.6967490000000001</v>
      </c>
      <c r="K957">
        <v>-3.1299999999978567E-4</v>
      </c>
      <c r="L957">
        <v>99.216638640506076</v>
      </c>
      <c r="M957">
        <f t="shared" si="14"/>
        <v>-28</v>
      </c>
    </row>
    <row r="958" spans="3:13">
      <c r="C958" s="2">
        <v>41450</v>
      </c>
      <c r="D958">
        <v>90.478838018191567</v>
      </c>
      <c r="E958">
        <f>VLOOKUP(C958,'10y swap Vol'!$C$2:$G$3809,5,0)</f>
        <v>82.253162872622354</v>
      </c>
      <c r="F958">
        <f>VLOOKUP(C958,'5y10y Swaption Vol'!temp,3,0)</f>
        <v>99.785441266000007</v>
      </c>
      <c r="H958" s="1">
        <v>41478</v>
      </c>
      <c r="I958" t="s">
        <v>2</v>
      </c>
      <c r="J958">
        <v>2.716189</v>
      </c>
      <c r="K958">
        <v>1.9439999999999902E-2</v>
      </c>
      <c r="L958">
        <v>98.630633111492656</v>
      </c>
      <c r="M958">
        <f t="shared" si="14"/>
        <v>-28</v>
      </c>
    </row>
    <row r="959" spans="3:13">
      <c r="C959" s="2">
        <v>41451</v>
      </c>
      <c r="D959">
        <v>91.606678661079002</v>
      </c>
      <c r="E959">
        <f>VLOOKUP(C959,'10y swap Vol'!$C$2:$G$3809,5,0)</f>
        <v>83.52516913851737</v>
      </c>
      <c r="F959">
        <f>VLOOKUP(C959,'5y10y Swaption Vol'!temp,3,0)</f>
        <v>99.633912280000004</v>
      </c>
      <c r="H959" s="1">
        <v>41479</v>
      </c>
      <c r="I959" t="s">
        <v>2</v>
      </c>
      <c r="J959">
        <v>2.7845070000000001</v>
      </c>
      <c r="K959">
        <v>6.8318000000000101E-2</v>
      </c>
      <c r="L959">
        <v>99.136992689149324</v>
      </c>
      <c r="M959">
        <f t="shared" si="14"/>
        <v>-28</v>
      </c>
    </row>
    <row r="960" spans="3:13">
      <c r="C960" s="2">
        <v>41452</v>
      </c>
      <c r="D960">
        <v>94.98257742972288</v>
      </c>
      <c r="E960">
        <f>VLOOKUP(C960,'10y swap Vol'!$C$2:$G$3809,5,0)</f>
        <v>84.795869157375009</v>
      </c>
      <c r="F960">
        <f>VLOOKUP(C960,'5y10y Swaption Vol'!temp,3,0)</f>
        <v>98.615558132000004</v>
      </c>
      <c r="H960" s="1">
        <v>41480</v>
      </c>
      <c r="I960" t="s">
        <v>2</v>
      </c>
      <c r="J960">
        <v>2.8052609999999998</v>
      </c>
      <c r="K960">
        <v>2.0753999999999717E-2</v>
      </c>
      <c r="L960">
        <v>99.137598514989307</v>
      </c>
      <c r="M960">
        <f t="shared" si="14"/>
        <v>-28</v>
      </c>
    </row>
    <row r="961" spans="3:13">
      <c r="C961" s="2">
        <v>41453</v>
      </c>
      <c r="D961">
        <v>93.210242596653401</v>
      </c>
      <c r="E961">
        <f>VLOOKUP(C961,'10y swap Vol'!$C$2:$G$3809,5,0)</f>
        <v>83.916098823644447</v>
      </c>
      <c r="F961">
        <f>VLOOKUP(C961,'5y10y Swaption Vol'!temp,3,0)</f>
        <v>99.523566665999994</v>
      </c>
      <c r="H961" s="1">
        <v>41481</v>
      </c>
      <c r="I961" t="s">
        <v>2</v>
      </c>
      <c r="J961">
        <v>2.7586059999999999</v>
      </c>
      <c r="K961">
        <v>-4.6654999999999891E-2</v>
      </c>
      <c r="L961">
        <v>99.535280399084115</v>
      </c>
      <c r="M961">
        <f t="shared" si="14"/>
        <v>-28</v>
      </c>
    </row>
    <row r="962" spans="3:13">
      <c r="C962" s="2">
        <v>41456</v>
      </c>
      <c r="D962">
        <v>91.795474234764228</v>
      </c>
      <c r="E962">
        <f>VLOOKUP(C962,'10y swap Vol'!$C$2:$G$3809,5,0)</f>
        <v>82.425241214156387</v>
      </c>
      <c r="F962">
        <f>VLOOKUP(C962,'5y10y Swaption Vol'!temp,3,0)</f>
        <v>99.213326351000006</v>
      </c>
      <c r="H962" s="1">
        <v>41484</v>
      </c>
      <c r="I962" t="s">
        <v>2</v>
      </c>
      <c r="J962">
        <v>2.7777820000000002</v>
      </c>
      <c r="K962">
        <v>1.9176000000000304E-2</v>
      </c>
      <c r="L962">
        <v>99.420835372802969</v>
      </c>
      <c r="M962">
        <f t="shared" si="14"/>
        <v>-28</v>
      </c>
    </row>
    <row r="963" spans="3:13">
      <c r="C963" s="2">
        <v>41457</v>
      </c>
      <c r="D963">
        <v>91.321268448436172</v>
      </c>
      <c r="E963">
        <f>VLOOKUP(C963,'10y swap Vol'!$C$2:$G$3809,5,0)</f>
        <v>82.056823015817244</v>
      </c>
      <c r="F963">
        <f>VLOOKUP(C963,'5y10y Swaption Vol'!temp,3,0)</f>
        <v>99.249865553999996</v>
      </c>
      <c r="H963" s="1">
        <v>41485</v>
      </c>
      <c r="I963" t="s">
        <v>2</v>
      </c>
      <c r="J963">
        <v>2.7940510000000001</v>
      </c>
      <c r="K963">
        <v>1.6268999999999867E-2</v>
      </c>
      <c r="L963">
        <v>97.663527755079031</v>
      </c>
      <c r="M963">
        <f t="shared" ref="M963:M1026" si="15">C963-H963</f>
        <v>-28</v>
      </c>
    </row>
    <row r="964" spans="3:13">
      <c r="C964" s="2">
        <v>41458</v>
      </c>
      <c r="D964">
        <v>91.744856089426847</v>
      </c>
      <c r="E964">
        <f>VLOOKUP(C964,'10y swap Vol'!$C$2:$G$3809,5,0)</f>
        <v>82.186049920180153</v>
      </c>
      <c r="F964">
        <f>VLOOKUP(C964,'5y10y Swaption Vol'!temp,3,0)</f>
        <v>99.656354394999994</v>
      </c>
      <c r="H964" s="1">
        <v>41486</v>
      </c>
      <c r="I964" t="s">
        <v>2</v>
      </c>
      <c r="J964">
        <v>2.7776000000000001</v>
      </c>
      <c r="K964">
        <v>-1.6450999999999993E-2</v>
      </c>
      <c r="L964">
        <v>97.784915721453885</v>
      </c>
      <c r="M964">
        <f t="shared" si="15"/>
        <v>-28</v>
      </c>
    </row>
    <row r="965" spans="3:13">
      <c r="C965" s="2">
        <v>41460</v>
      </c>
      <c r="D965">
        <v>108.89619695630404</v>
      </c>
      <c r="E965">
        <f>VLOOKUP(C965,'10y swap Vol'!$C$2:$G$3809,5,0)</f>
        <v>93.3345200310807</v>
      </c>
      <c r="F965">
        <f>VLOOKUP(C965,'5y10y Swaption Vol'!temp,3,0)</f>
        <v>100.99797074999999</v>
      </c>
      <c r="H965" s="1">
        <v>41487</v>
      </c>
      <c r="I965" t="s">
        <v>2</v>
      </c>
      <c r="J965">
        <v>2.9082599999999998</v>
      </c>
      <c r="K965">
        <v>0.13065999999999978</v>
      </c>
      <c r="L965">
        <v>100.64638607498433</v>
      </c>
      <c r="M965">
        <f t="shared" si="15"/>
        <v>-27</v>
      </c>
    </row>
    <row r="966" spans="3:13">
      <c r="C966" s="2">
        <v>41463</v>
      </c>
      <c r="D966">
        <v>112.62375299493515</v>
      </c>
      <c r="E966">
        <f>VLOOKUP(C966,'10y swap Vol'!$C$2:$G$3809,5,0)</f>
        <v>94.762047630584917</v>
      </c>
      <c r="F966">
        <f>VLOOKUP(C966,'5y10y Swaption Vol'!temp,3,0)</f>
        <v>100.297853988</v>
      </c>
      <c r="H966" s="1">
        <v>41488</v>
      </c>
      <c r="I966" t="s">
        <v>2</v>
      </c>
      <c r="J966">
        <v>2.7748370000000002</v>
      </c>
      <c r="K966">
        <v>-0.13342299999999963</v>
      </c>
      <c r="L966">
        <v>104.94967975423381</v>
      </c>
      <c r="M966">
        <f t="shared" si="15"/>
        <v>-25</v>
      </c>
    </row>
    <row r="967" spans="3:13">
      <c r="C967" s="2">
        <v>41464</v>
      </c>
      <c r="D967">
        <v>112.38269989413317</v>
      </c>
      <c r="E967">
        <f>VLOOKUP(C967,'10y swap Vol'!$C$2:$G$3809,5,0)</f>
        <v>94.097345251323389</v>
      </c>
      <c r="F967">
        <f>VLOOKUP(C967,'5y10y Swaption Vol'!temp,3,0)</f>
        <v>99.675337811999995</v>
      </c>
      <c r="H967" s="1">
        <v>41491</v>
      </c>
      <c r="I967" t="s">
        <v>2</v>
      </c>
      <c r="J967">
        <v>2.8136060000000001</v>
      </c>
      <c r="K967">
        <v>3.8768999999999831E-2</v>
      </c>
      <c r="L967">
        <v>105.07272914809643</v>
      </c>
      <c r="M967">
        <f t="shared" si="15"/>
        <v>-27</v>
      </c>
    </row>
    <row r="968" spans="3:13">
      <c r="C968" s="2">
        <v>41465</v>
      </c>
      <c r="D968">
        <v>113.24504894270055</v>
      </c>
      <c r="E968">
        <f>VLOOKUP(C968,'10y swap Vol'!$C$2:$G$3809,5,0)</f>
        <v>93.750734654940729</v>
      </c>
      <c r="F968">
        <f>VLOOKUP(C968,'5y10y Swaption Vol'!temp,3,0)</f>
        <v>99.964776256999997</v>
      </c>
      <c r="H968" s="1">
        <v>41492</v>
      </c>
      <c r="I968" t="s">
        <v>2</v>
      </c>
      <c r="J968">
        <v>2.8242389999999999</v>
      </c>
      <c r="K968">
        <v>1.0632999999999893E-2</v>
      </c>
      <c r="L968">
        <v>104.09920027144616</v>
      </c>
      <c r="M968">
        <f t="shared" si="15"/>
        <v>-27</v>
      </c>
    </row>
    <row r="969" spans="3:13">
      <c r="C969" s="2">
        <v>41466</v>
      </c>
      <c r="D969">
        <v>116.62137856834566</v>
      </c>
      <c r="E969">
        <f>VLOOKUP(C969,'10y swap Vol'!$C$2:$G$3809,5,0)</f>
        <v>96.796664602094609</v>
      </c>
      <c r="F969">
        <f>VLOOKUP(C969,'5y10y Swaption Vol'!temp,3,0)</f>
        <v>99.529834014000002</v>
      </c>
      <c r="H969" s="1">
        <v>41493</v>
      </c>
      <c r="I969" t="s">
        <v>2</v>
      </c>
      <c r="J969">
        <v>2.7795860000000001</v>
      </c>
      <c r="K969">
        <v>-4.4652999999999832E-2</v>
      </c>
      <c r="L969">
        <v>104.73369415378637</v>
      </c>
      <c r="M969">
        <f t="shared" si="15"/>
        <v>-27</v>
      </c>
    </row>
    <row r="970" spans="3:13">
      <c r="C970" s="2">
        <v>41467</v>
      </c>
      <c r="D970">
        <v>116.55541439651687</v>
      </c>
      <c r="E970">
        <f>VLOOKUP(C970,'10y swap Vol'!$C$2:$G$3809,5,0)</f>
        <v>96.593108860776553</v>
      </c>
      <c r="F970">
        <f>VLOOKUP(C970,'5y10y Swaption Vol'!temp,3,0)</f>
        <v>99.773425295999999</v>
      </c>
      <c r="H970" s="1">
        <v>41494</v>
      </c>
      <c r="I970" t="s">
        <v>2</v>
      </c>
      <c r="J970">
        <v>2.7605940000000002</v>
      </c>
      <c r="K970">
        <v>-1.8991999999999898E-2</v>
      </c>
      <c r="L970">
        <v>104.84076642748128</v>
      </c>
      <c r="M970">
        <f t="shared" si="15"/>
        <v>-27</v>
      </c>
    </row>
    <row r="971" spans="3:13">
      <c r="C971" s="2">
        <v>41470</v>
      </c>
      <c r="D971">
        <v>117.68800343993659</v>
      </c>
      <c r="E971">
        <f>VLOOKUP(C971,'10y swap Vol'!$C$2:$G$3809,5,0)</f>
        <v>97.359910984687787</v>
      </c>
      <c r="F971">
        <f>VLOOKUP(C971,'5y10y Swaption Vol'!temp,3,0)</f>
        <v>99.505995654000003</v>
      </c>
      <c r="H971" s="1">
        <v>41495</v>
      </c>
      <c r="I971" t="s">
        <v>2</v>
      </c>
      <c r="J971">
        <v>2.7477230000000001</v>
      </c>
      <c r="K971">
        <v>-1.2871000000000077E-2</v>
      </c>
      <c r="L971">
        <v>104.76549072695589</v>
      </c>
      <c r="M971">
        <f t="shared" si="15"/>
        <v>-25</v>
      </c>
    </row>
    <row r="972" spans="3:13">
      <c r="C972" s="2">
        <v>41471</v>
      </c>
      <c r="D972">
        <v>117.84493372731866</v>
      </c>
      <c r="E972">
        <f>VLOOKUP(C972,'10y swap Vol'!$C$2:$G$3809,5,0)</f>
        <v>97.709151037918886</v>
      </c>
      <c r="F972">
        <f>VLOOKUP(C972,'5y10y Swaption Vol'!temp,3,0)</f>
        <v>99.254879110000005</v>
      </c>
      <c r="H972" s="1">
        <v>41498</v>
      </c>
      <c r="I972" t="s">
        <v>2</v>
      </c>
      <c r="J972">
        <v>2.7778130000000001</v>
      </c>
      <c r="K972">
        <v>3.008999999999995E-2</v>
      </c>
      <c r="L972">
        <v>102.94953385924654</v>
      </c>
      <c r="M972">
        <f t="shared" si="15"/>
        <v>-27</v>
      </c>
    </row>
    <row r="973" spans="3:13">
      <c r="C973" s="2">
        <v>41472</v>
      </c>
      <c r="D973">
        <v>118.50310182830646</v>
      </c>
      <c r="E973">
        <f>VLOOKUP(C973,'10y swap Vol'!$C$2:$G$3809,5,0)</f>
        <v>98.546321360196501</v>
      </c>
      <c r="F973">
        <f>VLOOKUP(C973,'5y10y Swaption Vol'!temp,3,0)</f>
        <v>98.547245923000006</v>
      </c>
      <c r="H973" s="1">
        <v>41499</v>
      </c>
      <c r="I973" t="s">
        <v>2</v>
      </c>
      <c r="J973">
        <v>2.8866839999999998</v>
      </c>
      <c r="K973">
        <v>0.10887099999999972</v>
      </c>
      <c r="L973">
        <v>103.49398434104901</v>
      </c>
      <c r="M973">
        <f t="shared" si="15"/>
        <v>-27</v>
      </c>
    </row>
    <row r="974" spans="3:13">
      <c r="C974" s="2">
        <v>41473</v>
      </c>
      <c r="D974">
        <v>118.55667523510884</v>
      </c>
      <c r="E974">
        <f>VLOOKUP(C974,'10y swap Vol'!$C$2:$G$3809,5,0)</f>
        <v>98.699114048118361</v>
      </c>
      <c r="F974">
        <f>VLOOKUP(C974,'5y10y Swaption Vol'!temp,3,0)</f>
        <v>98.641074614000004</v>
      </c>
      <c r="H974" s="1">
        <v>41500</v>
      </c>
      <c r="I974" t="s">
        <v>2</v>
      </c>
      <c r="J974">
        <v>2.8785560000000001</v>
      </c>
      <c r="K974">
        <v>-8.127999999999691E-3</v>
      </c>
      <c r="L974">
        <v>103.57934888552896</v>
      </c>
      <c r="M974">
        <f t="shared" si="15"/>
        <v>-27</v>
      </c>
    </row>
    <row r="975" spans="3:13">
      <c r="C975" s="2">
        <v>41474</v>
      </c>
      <c r="D975">
        <v>119.42698209548399</v>
      </c>
      <c r="E975">
        <f>VLOOKUP(C975,'10y swap Vol'!$C$2:$G$3809,5,0)</f>
        <v>99.175200664215595</v>
      </c>
      <c r="F975">
        <f>VLOOKUP(C975,'5y10y Swaption Vol'!temp,3,0)</f>
        <v>98.473210257999995</v>
      </c>
      <c r="H975" s="1">
        <v>41501</v>
      </c>
      <c r="I975" t="s">
        <v>2</v>
      </c>
      <c r="J975">
        <v>2.9185940000000001</v>
      </c>
      <c r="K975">
        <v>4.0038000000000018E-2</v>
      </c>
      <c r="L975">
        <v>103.38509824280833</v>
      </c>
      <c r="M975">
        <f t="shared" si="15"/>
        <v>-27</v>
      </c>
    </row>
    <row r="976" spans="3:13">
      <c r="C976" s="2">
        <v>41477</v>
      </c>
      <c r="D976">
        <v>119.49133761875336</v>
      </c>
      <c r="E976">
        <f>VLOOKUP(C976,'10y swap Vol'!$C$2:$G$3809,5,0)</f>
        <v>99.216638640506076</v>
      </c>
      <c r="F976">
        <f>VLOOKUP(C976,'5y10y Swaption Vol'!temp,3,0)</f>
        <v>98.675621879999994</v>
      </c>
      <c r="H976" s="1">
        <v>41502</v>
      </c>
      <c r="I976" t="s">
        <v>2</v>
      </c>
      <c r="J976">
        <v>2.9977719999999999</v>
      </c>
      <c r="K976">
        <v>7.9177999999999749E-2</v>
      </c>
      <c r="L976">
        <v>103.11099548836182</v>
      </c>
      <c r="M976">
        <f t="shared" si="15"/>
        <v>-25</v>
      </c>
    </row>
    <row r="977" spans="3:13">
      <c r="C977" s="2">
        <v>41478</v>
      </c>
      <c r="D977">
        <v>118.78010220300061</v>
      </c>
      <c r="E977">
        <f>VLOOKUP(C977,'10y swap Vol'!$C$2:$G$3809,5,0)</f>
        <v>98.630633111492656</v>
      </c>
      <c r="F977">
        <f>VLOOKUP(C977,'5y10y Swaption Vol'!temp,3,0)</f>
        <v>98.955526324000004</v>
      </c>
      <c r="H977" s="1">
        <v>41505</v>
      </c>
      <c r="I977" t="s">
        <v>2</v>
      </c>
      <c r="J977">
        <v>3.064101</v>
      </c>
      <c r="K977">
        <v>6.6329000000000082E-2</v>
      </c>
      <c r="L977">
        <v>103.62507784346874</v>
      </c>
      <c r="M977">
        <f t="shared" si="15"/>
        <v>-27</v>
      </c>
    </row>
    <row r="978" spans="3:13">
      <c r="C978" s="2">
        <v>41479</v>
      </c>
      <c r="D978">
        <v>119.11741004175811</v>
      </c>
      <c r="E978">
        <f>VLOOKUP(C978,'10y swap Vol'!$C$2:$G$3809,5,0)</f>
        <v>99.136992689149324</v>
      </c>
      <c r="F978">
        <f>VLOOKUP(C978,'5y10y Swaption Vol'!temp,3,0)</f>
        <v>100.709451583</v>
      </c>
      <c r="H978" s="1">
        <v>41506</v>
      </c>
      <c r="I978" t="s">
        <v>2</v>
      </c>
      <c r="J978">
        <v>2.9987309999999998</v>
      </c>
      <c r="K978">
        <v>-6.537000000000015E-2</v>
      </c>
      <c r="L978">
        <v>104.87583208551541</v>
      </c>
      <c r="M978">
        <f t="shared" si="15"/>
        <v>-27</v>
      </c>
    </row>
    <row r="979" spans="3:13">
      <c r="C979" s="2">
        <v>41480</v>
      </c>
      <c r="D979">
        <v>118.85751473652479</v>
      </c>
      <c r="E979">
        <f>VLOOKUP(C979,'10y swap Vol'!$C$2:$G$3809,5,0)</f>
        <v>99.137598514989307</v>
      </c>
      <c r="F979">
        <f>VLOOKUP(C979,'5y10y Swaption Vol'!temp,3,0)</f>
        <v>100.709982009</v>
      </c>
      <c r="H979" s="1">
        <v>41507</v>
      </c>
      <c r="I979" t="s">
        <v>2</v>
      </c>
      <c r="J979">
        <v>3.0449109999999999</v>
      </c>
      <c r="K979">
        <v>4.618000000000011E-2</v>
      </c>
      <c r="L979">
        <v>101.79928538278801</v>
      </c>
      <c r="M979">
        <f t="shared" si="15"/>
        <v>-27</v>
      </c>
    </row>
    <row r="980" spans="3:13">
      <c r="C980" s="2">
        <v>41481</v>
      </c>
      <c r="D980">
        <v>118.90834169914302</v>
      </c>
      <c r="E980">
        <f>VLOOKUP(C980,'10y swap Vol'!$C$2:$G$3809,5,0)</f>
        <v>99.535280399084115</v>
      </c>
      <c r="F980">
        <f>VLOOKUP(C980,'5y10y Swaption Vol'!temp,3,0)</f>
        <v>101.068929825</v>
      </c>
      <c r="H980" s="1">
        <v>41508</v>
      </c>
      <c r="I980" t="s">
        <v>2</v>
      </c>
      <c r="J980">
        <v>3.1006580000000001</v>
      </c>
      <c r="K980">
        <v>5.5747000000000213E-2</v>
      </c>
      <c r="L980">
        <v>102.07291425174762</v>
      </c>
      <c r="M980">
        <f t="shared" si="15"/>
        <v>-27</v>
      </c>
    </row>
    <row r="981" spans="3:13">
      <c r="C981" s="2">
        <v>41484</v>
      </c>
      <c r="D981">
        <v>118.88315158332419</v>
      </c>
      <c r="E981">
        <f>VLOOKUP(C981,'10y swap Vol'!$C$2:$G$3809,5,0)</f>
        <v>99.420835372802969</v>
      </c>
      <c r="F981">
        <f>VLOOKUP(C981,'5y10y Swaption Vol'!temp,3,0)</f>
        <v>101.17095392</v>
      </c>
      <c r="H981" s="1">
        <v>41509</v>
      </c>
      <c r="I981" t="s">
        <v>2</v>
      </c>
      <c r="J981">
        <v>3.0132569999999999</v>
      </c>
      <c r="K981">
        <v>-8.7401000000000284E-2</v>
      </c>
      <c r="L981">
        <v>104.11224685210291</v>
      </c>
      <c r="M981">
        <f t="shared" si="15"/>
        <v>-25</v>
      </c>
    </row>
    <row r="982" spans="3:13">
      <c r="C982" s="2">
        <v>41485</v>
      </c>
      <c r="D982">
        <v>117.1971290980586</v>
      </c>
      <c r="E982">
        <f>VLOOKUP(C982,'10y swap Vol'!$C$2:$G$3809,5,0)</f>
        <v>97.663527755079031</v>
      </c>
      <c r="F982">
        <f>VLOOKUP(C982,'5y10y Swaption Vol'!temp,3,0)</f>
        <v>101.199492768</v>
      </c>
      <c r="H982" s="1">
        <v>41512</v>
      </c>
      <c r="I982" t="s">
        <v>2</v>
      </c>
      <c r="J982">
        <v>2.992308</v>
      </c>
      <c r="K982">
        <v>-2.0948999999999884E-2</v>
      </c>
      <c r="L982">
        <v>104.04647477187679</v>
      </c>
      <c r="M982">
        <f t="shared" si="15"/>
        <v>-27</v>
      </c>
    </row>
    <row r="983" spans="3:13">
      <c r="C983" s="2">
        <v>41486</v>
      </c>
      <c r="D983">
        <v>117.41797999900996</v>
      </c>
      <c r="E983">
        <f>VLOOKUP(C983,'10y swap Vol'!$C$2:$G$3809,5,0)</f>
        <v>97.784915721453885</v>
      </c>
      <c r="F983">
        <f>VLOOKUP(C983,'5y10y Swaption Vol'!temp,3,0)</f>
        <v>101.254067292</v>
      </c>
      <c r="H983" s="1">
        <v>41513</v>
      </c>
      <c r="I983" t="s">
        <v>2</v>
      </c>
      <c r="J983">
        <v>2.908118</v>
      </c>
      <c r="K983">
        <v>-8.4189999999999987E-2</v>
      </c>
      <c r="L983">
        <v>105.63196483589856</v>
      </c>
      <c r="M983">
        <f t="shared" si="15"/>
        <v>-27</v>
      </c>
    </row>
    <row r="984" spans="3:13">
      <c r="C984" s="2">
        <v>41487</v>
      </c>
      <c r="D984">
        <v>119.45920654080209</v>
      </c>
      <c r="E984">
        <f>VLOOKUP(C984,'10y swap Vol'!$C$2:$G$3809,5,0)</f>
        <v>100.64638607498433</v>
      </c>
      <c r="F984">
        <f>VLOOKUP(C984,'5y10y Swaption Vol'!temp,3,0)</f>
        <v>102.149700565</v>
      </c>
      <c r="H984" s="1">
        <v>41514</v>
      </c>
      <c r="I984" t="s">
        <v>2</v>
      </c>
      <c r="J984">
        <v>2.9692639999999999</v>
      </c>
      <c r="K984">
        <v>6.1145999999999923E-2</v>
      </c>
      <c r="L984">
        <v>106.14027818114127</v>
      </c>
      <c r="M984">
        <f t="shared" si="15"/>
        <v>-27</v>
      </c>
    </row>
    <row r="985" spans="3:13">
      <c r="C985" s="2">
        <v>41488</v>
      </c>
      <c r="D985">
        <v>122.98281671315007</v>
      </c>
      <c r="E985">
        <f>VLOOKUP(C985,'10y swap Vol'!$C$2:$G$3809,5,0)</f>
        <v>104.94967975423381</v>
      </c>
      <c r="F985">
        <f>VLOOKUP(C985,'5y10y Swaption Vol'!temp,3,0)</f>
        <v>101.54521894</v>
      </c>
      <c r="H985" s="1">
        <v>41515</v>
      </c>
      <c r="I985" t="s">
        <v>2</v>
      </c>
      <c r="J985">
        <v>2.9388960000000002</v>
      </c>
      <c r="K985">
        <v>-3.0367999999999729E-2</v>
      </c>
      <c r="L985">
        <v>105.96034812491664</v>
      </c>
      <c r="M985">
        <f t="shared" si="15"/>
        <v>-27</v>
      </c>
    </row>
    <row r="986" spans="3:13">
      <c r="C986" s="2">
        <v>41491</v>
      </c>
      <c r="D986">
        <v>122.96979829360272</v>
      </c>
      <c r="E986">
        <f>VLOOKUP(C986,'10y swap Vol'!$C$2:$G$3809,5,0)</f>
        <v>105.07272914809643</v>
      </c>
      <c r="F986">
        <f>VLOOKUP(C986,'5y10y Swaption Vol'!temp,3,0)</f>
        <v>101.677962519</v>
      </c>
      <c r="H986" s="1">
        <v>41516</v>
      </c>
      <c r="I986" t="s">
        <v>2</v>
      </c>
      <c r="J986">
        <v>2.9431180000000001</v>
      </c>
      <c r="K986">
        <v>4.221999999999948E-3</v>
      </c>
      <c r="L986">
        <v>105.70090083018616</v>
      </c>
      <c r="M986">
        <f t="shared" si="15"/>
        <v>-25</v>
      </c>
    </row>
    <row r="987" spans="3:13">
      <c r="C987" s="2">
        <v>41492</v>
      </c>
      <c r="D987">
        <v>122.00562948520408</v>
      </c>
      <c r="E987">
        <f>VLOOKUP(C987,'10y swap Vol'!$C$2:$G$3809,5,0)</f>
        <v>104.09920027144616</v>
      </c>
      <c r="F987">
        <f>VLOOKUP(C987,'5y10y Swaption Vol'!temp,3,0)</f>
        <v>101.758093045</v>
      </c>
      <c r="H987" s="1">
        <v>41520</v>
      </c>
      <c r="I987" t="s">
        <v>2</v>
      </c>
      <c r="J987">
        <v>3.02841</v>
      </c>
      <c r="K987">
        <v>8.5291999999999923E-2</v>
      </c>
      <c r="L987">
        <v>105.60523210461707</v>
      </c>
      <c r="M987">
        <f t="shared" si="15"/>
        <v>-28</v>
      </c>
    </row>
    <row r="988" spans="3:13">
      <c r="C988" s="2">
        <v>41493</v>
      </c>
      <c r="D988">
        <v>122.32061594261239</v>
      </c>
      <c r="E988">
        <f>VLOOKUP(C988,'10y swap Vol'!$C$2:$G$3809,5,0)</f>
        <v>104.73369415378637</v>
      </c>
      <c r="F988">
        <f>VLOOKUP(C988,'5y10y Swaption Vol'!temp,3,0)</f>
        <v>101.070372053</v>
      </c>
      <c r="H988" s="1">
        <v>41521</v>
      </c>
      <c r="I988" t="s">
        <v>2</v>
      </c>
      <c r="J988">
        <v>3.0707740000000001</v>
      </c>
      <c r="K988">
        <v>4.2364000000000068E-2</v>
      </c>
      <c r="L988">
        <v>105.21600374841948</v>
      </c>
      <c r="M988">
        <f t="shared" si="15"/>
        <v>-28</v>
      </c>
    </row>
    <row r="989" spans="3:13">
      <c r="C989" s="2">
        <v>41494</v>
      </c>
      <c r="D989">
        <v>122.45875360959444</v>
      </c>
      <c r="E989">
        <f>VLOOKUP(C989,'10y swap Vol'!$C$2:$G$3809,5,0)</f>
        <v>104.84076642748128</v>
      </c>
      <c r="F989">
        <f>VLOOKUP(C989,'5y10y Swaption Vol'!temp,3,0)</f>
        <v>100.605366456</v>
      </c>
      <c r="H989" s="1">
        <v>41522</v>
      </c>
      <c r="I989" t="s">
        <v>2</v>
      </c>
      <c r="J989">
        <v>3.1593650000000002</v>
      </c>
      <c r="K989">
        <v>8.8591000000000086E-2</v>
      </c>
      <c r="L989">
        <v>106.08746674384825</v>
      </c>
      <c r="M989">
        <f t="shared" si="15"/>
        <v>-28</v>
      </c>
    </row>
    <row r="990" spans="3:13">
      <c r="C990" s="2">
        <v>41495</v>
      </c>
      <c r="D990">
        <v>122.5801075237799</v>
      </c>
      <c r="E990">
        <f>VLOOKUP(C990,'10y swap Vol'!$C$2:$G$3809,5,0)</f>
        <v>104.76549072695589</v>
      </c>
      <c r="F990">
        <f>VLOOKUP(C990,'5y10y Swaption Vol'!temp,3,0)</f>
        <v>100.49104452</v>
      </c>
      <c r="H990" s="1">
        <v>41523</v>
      </c>
      <c r="I990" t="s">
        <v>2</v>
      </c>
      <c r="J990">
        <v>3.1194489999999999</v>
      </c>
      <c r="K990">
        <v>-3.9916000000000285E-2</v>
      </c>
      <c r="L990">
        <v>106.56445803337211</v>
      </c>
      <c r="M990">
        <f t="shared" si="15"/>
        <v>-28</v>
      </c>
    </row>
    <row r="991" spans="3:13">
      <c r="C991" s="2">
        <v>41498</v>
      </c>
      <c r="D991">
        <v>120.45374313849973</v>
      </c>
      <c r="E991">
        <f>VLOOKUP(C991,'10y swap Vol'!$C$2:$G$3809,5,0)</f>
        <v>102.94953385924654</v>
      </c>
      <c r="F991">
        <f>VLOOKUP(C991,'5y10y Swaption Vol'!temp,3,0)</f>
        <v>100.77704322</v>
      </c>
      <c r="H991" s="1">
        <v>41526</v>
      </c>
      <c r="I991" t="s">
        <v>2</v>
      </c>
      <c r="J991">
        <v>3.0705870000000002</v>
      </c>
      <c r="K991">
        <v>-4.8861999999999739E-2</v>
      </c>
      <c r="L991">
        <v>106.06182631183087</v>
      </c>
      <c r="M991">
        <f t="shared" si="15"/>
        <v>-28</v>
      </c>
    </row>
    <row r="992" spans="3:13">
      <c r="C992" s="2">
        <v>41499</v>
      </c>
      <c r="D992">
        <v>119.78367844337585</v>
      </c>
      <c r="E992">
        <f>VLOOKUP(C992,'10y swap Vol'!$C$2:$G$3809,5,0)</f>
        <v>103.49398434104901</v>
      </c>
      <c r="F992">
        <f>VLOOKUP(C992,'5y10y Swaption Vol'!temp,3,0)</f>
        <v>101.23527198399999</v>
      </c>
      <c r="H992" s="1">
        <v>41527</v>
      </c>
      <c r="I992" t="s">
        <v>2</v>
      </c>
      <c r="J992">
        <v>3.1218309999999998</v>
      </c>
      <c r="K992">
        <v>5.1243999999999623E-2</v>
      </c>
      <c r="L992">
        <v>105.43032527450862</v>
      </c>
      <c r="M992">
        <f t="shared" si="15"/>
        <v>-28</v>
      </c>
    </row>
    <row r="993" spans="3:13">
      <c r="C993" s="2">
        <v>41500</v>
      </c>
      <c r="D993">
        <v>119.79225257248946</v>
      </c>
      <c r="E993">
        <f>VLOOKUP(C993,'10y swap Vol'!$C$2:$G$3809,5,0)</f>
        <v>103.57934888552896</v>
      </c>
      <c r="F993">
        <f>VLOOKUP(C993,'5y10y Swaption Vol'!temp,3,0)</f>
        <v>101.2934951</v>
      </c>
      <c r="H993" s="1">
        <v>41528</v>
      </c>
      <c r="I993" t="s">
        <v>2</v>
      </c>
      <c r="J993">
        <v>3.080241</v>
      </c>
      <c r="K993">
        <v>-4.1589999999999794E-2</v>
      </c>
      <c r="L993">
        <v>105.78301876606993</v>
      </c>
      <c r="M993">
        <f t="shared" si="15"/>
        <v>-28</v>
      </c>
    </row>
    <row r="994" spans="3:13">
      <c r="C994" s="2">
        <v>41501</v>
      </c>
      <c r="D994">
        <v>119.46200688457496</v>
      </c>
      <c r="E994">
        <f>VLOOKUP(C994,'10y swap Vol'!$C$2:$G$3809,5,0)</f>
        <v>103.38509824280833</v>
      </c>
      <c r="F994">
        <f>VLOOKUP(C994,'5y10y Swaption Vol'!temp,3,0)</f>
        <v>101.74477770599999</v>
      </c>
      <c r="H994" s="1">
        <v>41529</v>
      </c>
      <c r="I994" t="s">
        <v>2</v>
      </c>
      <c r="J994">
        <v>3.067164</v>
      </c>
      <c r="K994">
        <v>-1.3077000000000005E-2</v>
      </c>
      <c r="L994">
        <v>105.90420112723378</v>
      </c>
      <c r="M994">
        <f t="shared" si="15"/>
        <v>-28</v>
      </c>
    </row>
    <row r="995" spans="3:13">
      <c r="C995" s="2">
        <v>41502</v>
      </c>
      <c r="D995">
        <v>118.39138747020348</v>
      </c>
      <c r="E995">
        <f>VLOOKUP(C995,'10y swap Vol'!$C$2:$G$3809,5,0)</f>
        <v>103.11099548836182</v>
      </c>
      <c r="F995">
        <f>VLOOKUP(C995,'5y10y Swaption Vol'!temp,3,0)</f>
        <v>101.781858525</v>
      </c>
      <c r="H995" s="1">
        <v>41530</v>
      </c>
      <c r="I995" t="s">
        <v>2</v>
      </c>
      <c r="J995">
        <v>3.0632779999999999</v>
      </c>
      <c r="K995">
        <v>-3.8860000000000561E-3</v>
      </c>
      <c r="L995">
        <v>101.74805740751702</v>
      </c>
      <c r="M995">
        <f t="shared" si="15"/>
        <v>-28</v>
      </c>
    </row>
    <row r="996" spans="3:13">
      <c r="C996" s="2">
        <v>41505</v>
      </c>
      <c r="D996">
        <v>119.02098570943768</v>
      </c>
      <c r="E996">
        <f>VLOOKUP(C996,'10y swap Vol'!$C$2:$G$3809,5,0)</f>
        <v>103.62507784346874</v>
      </c>
      <c r="F996">
        <f>VLOOKUP(C996,'5y10y Swaption Vol'!temp,3,0)</f>
        <v>102.31510785</v>
      </c>
      <c r="H996" s="1">
        <v>41533</v>
      </c>
      <c r="I996" t="s">
        <v>2</v>
      </c>
      <c r="J996">
        <v>3.0275620000000001</v>
      </c>
      <c r="K996">
        <v>-3.5715999999999859E-2</v>
      </c>
      <c r="L996">
        <v>99.036239356813041</v>
      </c>
      <c r="M996">
        <f t="shared" si="15"/>
        <v>-28</v>
      </c>
    </row>
    <row r="997" spans="3:13">
      <c r="C997" s="2">
        <v>41506</v>
      </c>
      <c r="D997">
        <v>120.52399172526169</v>
      </c>
      <c r="E997">
        <f>VLOOKUP(C997,'10y swap Vol'!$C$2:$G$3809,5,0)</f>
        <v>104.87583208551541</v>
      </c>
      <c r="F997">
        <f>VLOOKUP(C997,'5y10y Swaption Vol'!temp,3,0)</f>
        <v>102.065283936</v>
      </c>
      <c r="H997" s="1">
        <v>41534</v>
      </c>
      <c r="I997" t="s">
        <v>2</v>
      </c>
      <c r="J997">
        <v>3.001385</v>
      </c>
      <c r="K997">
        <v>-2.6177000000000117E-2</v>
      </c>
      <c r="L997">
        <v>97.498117854537313</v>
      </c>
      <c r="M997">
        <f t="shared" si="15"/>
        <v>-28</v>
      </c>
    </row>
    <row r="998" spans="3:13">
      <c r="C998" s="2">
        <v>41507</v>
      </c>
      <c r="D998">
        <v>118.30384787598854</v>
      </c>
      <c r="E998">
        <f>VLOOKUP(C998,'10y swap Vol'!$C$2:$G$3809,5,0)</f>
        <v>101.79928538278801</v>
      </c>
      <c r="F998">
        <f>VLOOKUP(C998,'5y10y Swaption Vol'!temp,3,0)</f>
        <v>102.954410395</v>
      </c>
      <c r="H998" s="1">
        <v>41535</v>
      </c>
      <c r="I998" t="s">
        <v>2</v>
      </c>
      <c r="J998">
        <v>2.845936</v>
      </c>
      <c r="K998">
        <v>-0.15544899999999995</v>
      </c>
      <c r="L998">
        <v>102.63999865900395</v>
      </c>
      <c r="M998">
        <f t="shared" si="15"/>
        <v>-28</v>
      </c>
    </row>
    <row r="999" spans="3:13">
      <c r="C999" s="2">
        <v>41508</v>
      </c>
      <c r="D999">
        <v>118.15302976819399</v>
      </c>
      <c r="E999">
        <f>VLOOKUP(C999,'10y swap Vol'!$C$2:$G$3809,5,0)</f>
        <v>102.07291425174762</v>
      </c>
      <c r="F999">
        <f>VLOOKUP(C999,'5y10y Swaption Vol'!temp,3,0)</f>
        <v>102.62610888</v>
      </c>
      <c r="H999" s="1">
        <v>41536</v>
      </c>
      <c r="I999" t="s">
        <v>2</v>
      </c>
      <c r="J999">
        <v>2.8999069999999998</v>
      </c>
      <c r="K999">
        <v>5.3970999999999769E-2</v>
      </c>
      <c r="L999">
        <v>102.91557591994669</v>
      </c>
      <c r="M999">
        <f t="shared" si="15"/>
        <v>-28</v>
      </c>
    </row>
    <row r="1000" spans="3:13">
      <c r="C1000" s="2">
        <v>41509</v>
      </c>
      <c r="D1000">
        <v>120.62310592473789</v>
      </c>
      <c r="E1000">
        <f>VLOOKUP(C1000,'10y swap Vol'!$C$2:$G$3809,5,0)</f>
        <v>104.11224685210291</v>
      </c>
      <c r="F1000">
        <f>VLOOKUP(C1000,'5y10y Swaption Vol'!temp,3,0)</f>
        <v>102.331239666</v>
      </c>
      <c r="H1000" s="1">
        <v>41537</v>
      </c>
      <c r="I1000" t="s">
        <v>2</v>
      </c>
      <c r="J1000">
        <v>2.8825620000000001</v>
      </c>
      <c r="K1000">
        <v>-1.7344999999999722E-2</v>
      </c>
      <c r="L1000">
        <v>102.25483261998542</v>
      </c>
      <c r="M1000">
        <f t="shared" si="15"/>
        <v>-28</v>
      </c>
    </row>
    <row r="1001" spans="3:13">
      <c r="C1001" s="2">
        <v>41512</v>
      </c>
      <c r="D1001">
        <v>120.71062461003676</v>
      </c>
      <c r="E1001">
        <f>VLOOKUP(C1001,'10y swap Vol'!$C$2:$G$3809,5,0)</f>
        <v>104.04647477187679</v>
      </c>
      <c r="F1001">
        <f>VLOOKUP(C1001,'5y10y Swaption Vol'!temp,3,0)</f>
        <v>102.08138252400001</v>
      </c>
      <c r="H1001" s="1">
        <v>41540</v>
      </c>
      <c r="I1001" t="s">
        <v>2</v>
      </c>
      <c r="J1001">
        <v>2.8627929999999999</v>
      </c>
      <c r="K1001">
        <v>-1.9769000000000148E-2</v>
      </c>
      <c r="L1001">
        <v>100.99243058918191</v>
      </c>
      <c r="M1001">
        <f t="shared" si="15"/>
        <v>-28</v>
      </c>
    </row>
    <row r="1002" spans="3:13">
      <c r="C1002" s="2">
        <v>41513</v>
      </c>
      <c r="D1002">
        <v>121.80611799996419</v>
      </c>
      <c r="E1002">
        <f>VLOOKUP(C1002,'10y swap Vol'!$C$2:$G$3809,5,0)</f>
        <v>105.63196483589856</v>
      </c>
      <c r="F1002">
        <f>VLOOKUP(C1002,'5y10y Swaption Vol'!temp,3,0)</f>
        <v>101.97745772499999</v>
      </c>
      <c r="H1002" s="1">
        <v>41541</v>
      </c>
      <c r="I1002" t="s">
        <v>2</v>
      </c>
      <c r="J1002">
        <v>2.805418</v>
      </c>
      <c r="K1002">
        <v>-5.7374999999999954E-2</v>
      </c>
      <c r="L1002">
        <v>101.72175526263717</v>
      </c>
      <c r="M1002">
        <f t="shared" si="15"/>
        <v>-28</v>
      </c>
    </row>
    <row r="1003" spans="3:13">
      <c r="C1003" s="2">
        <v>41514</v>
      </c>
      <c r="D1003">
        <v>122.36578953564377</v>
      </c>
      <c r="E1003">
        <f>VLOOKUP(C1003,'10y swap Vol'!$C$2:$G$3809,5,0)</f>
        <v>106.14027818114127</v>
      </c>
      <c r="F1003">
        <f>VLOOKUP(C1003,'5y10y Swaption Vol'!temp,3,0)</f>
        <v>102.903514989</v>
      </c>
      <c r="H1003" s="1">
        <v>41542</v>
      </c>
      <c r="I1003" t="s">
        <v>2</v>
      </c>
      <c r="J1003">
        <v>2.763471</v>
      </c>
      <c r="K1003">
        <v>-4.1946999999999957E-2</v>
      </c>
      <c r="L1003">
        <v>102.09663862100959</v>
      </c>
      <c r="M1003">
        <f t="shared" si="15"/>
        <v>-28</v>
      </c>
    </row>
    <row r="1004" spans="3:13">
      <c r="C1004" s="2">
        <v>41515</v>
      </c>
      <c r="D1004">
        <v>122.82500508767814</v>
      </c>
      <c r="E1004">
        <f>VLOOKUP(C1004,'10y swap Vol'!$C$2:$G$3809,5,0)</f>
        <v>105.96034812491664</v>
      </c>
      <c r="F1004">
        <f>VLOOKUP(C1004,'5y10y Swaption Vol'!temp,3,0)</f>
        <v>102.986442375</v>
      </c>
      <c r="H1004" s="1">
        <v>41543</v>
      </c>
      <c r="I1004" t="s">
        <v>2</v>
      </c>
      <c r="J1004">
        <v>2.7925650000000002</v>
      </c>
      <c r="K1004">
        <v>2.9094000000000175E-2</v>
      </c>
      <c r="L1004">
        <v>102.24066653724542</v>
      </c>
      <c r="M1004">
        <f t="shared" si="15"/>
        <v>-28</v>
      </c>
    </row>
    <row r="1005" spans="3:13">
      <c r="C1005" s="2">
        <v>41516</v>
      </c>
      <c r="D1005">
        <v>122.45841511635737</v>
      </c>
      <c r="E1005">
        <f>VLOOKUP(C1005,'10y swap Vol'!$C$2:$G$3809,5,0)</f>
        <v>105.70090083018616</v>
      </c>
      <c r="F1005">
        <f>VLOOKUP(C1005,'5y10y Swaption Vol'!temp,3,0)</f>
        <v>103.3595607</v>
      </c>
      <c r="H1005" s="1">
        <v>41544</v>
      </c>
      <c r="I1005" t="s">
        <v>2</v>
      </c>
      <c r="J1005">
        <v>2.770702</v>
      </c>
      <c r="K1005">
        <v>-2.1863000000000188E-2</v>
      </c>
      <c r="L1005">
        <v>102.0822620350301</v>
      </c>
      <c r="M1005">
        <f t="shared" si="15"/>
        <v>-28</v>
      </c>
    </row>
    <row r="1006" spans="3:13">
      <c r="C1006" s="2">
        <v>41520</v>
      </c>
      <c r="D1006">
        <v>123.63246661296974</v>
      </c>
      <c r="E1006">
        <f>VLOOKUP(C1006,'10y swap Vol'!$C$2:$G$3809,5,0)</f>
        <v>105.60523210461707</v>
      </c>
      <c r="F1006">
        <f>VLOOKUP(C1006,'5y10y Swaption Vol'!temp,3,0)</f>
        <v>103.90149166800001</v>
      </c>
      <c r="H1006" s="1">
        <v>41547</v>
      </c>
      <c r="I1006" t="s">
        <v>2</v>
      </c>
      <c r="J1006">
        <v>2.769412</v>
      </c>
      <c r="K1006">
        <v>-1.2900000000000134E-3</v>
      </c>
      <c r="L1006">
        <v>89.996255385136664</v>
      </c>
      <c r="M1006">
        <f t="shared" si="15"/>
        <v>-27</v>
      </c>
    </row>
    <row r="1007" spans="3:13">
      <c r="C1007" s="2">
        <v>41521</v>
      </c>
      <c r="D1007">
        <v>123.95332441737187</v>
      </c>
      <c r="E1007">
        <f>VLOOKUP(C1007,'10y swap Vol'!$C$2:$G$3809,5,0)</f>
        <v>105.21600374841948</v>
      </c>
      <c r="F1007">
        <f>VLOOKUP(C1007,'5y10y Swaption Vol'!temp,3,0)</f>
        <v>104.15605034399999</v>
      </c>
      <c r="H1007" s="1">
        <v>41548</v>
      </c>
      <c r="I1007" t="s">
        <v>2</v>
      </c>
      <c r="J1007">
        <v>2.8028680000000001</v>
      </c>
      <c r="K1007">
        <v>3.3456000000000152E-2</v>
      </c>
      <c r="L1007">
        <v>89.243764580390788</v>
      </c>
      <c r="M1007">
        <f t="shared" si="15"/>
        <v>-27</v>
      </c>
    </row>
    <row r="1008" spans="3:13">
      <c r="C1008" s="2">
        <v>41522</v>
      </c>
      <c r="D1008">
        <v>125.18301786622659</v>
      </c>
      <c r="E1008">
        <f>VLOOKUP(C1008,'10y swap Vol'!$C$2:$G$3809,5,0)</f>
        <v>106.08746674384825</v>
      </c>
      <c r="F1008">
        <f>VLOOKUP(C1008,'5y10y Swaption Vol'!temp,3,0)</f>
        <v>104.91573302400001</v>
      </c>
      <c r="H1008" s="1">
        <v>41549</v>
      </c>
      <c r="I1008" t="s">
        <v>2</v>
      </c>
      <c r="J1008">
        <v>2.7878720000000001</v>
      </c>
      <c r="K1008">
        <v>-1.4996000000000009E-2</v>
      </c>
      <c r="L1008">
        <v>88.988518677338348</v>
      </c>
      <c r="M1008">
        <f t="shared" si="15"/>
        <v>-27</v>
      </c>
    </row>
    <row r="1009" spans="3:13">
      <c r="C1009" s="2">
        <v>41523</v>
      </c>
      <c r="D1009">
        <v>126.16398480056976</v>
      </c>
      <c r="E1009">
        <f>VLOOKUP(C1009,'10y swap Vol'!$C$2:$G$3809,5,0)</f>
        <v>106.56445803337211</v>
      </c>
      <c r="F1009">
        <f>VLOOKUP(C1009,'5y10y Swaption Vol'!temp,3,0)</f>
        <v>104.80515174999999</v>
      </c>
      <c r="H1009" s="1">
        <v>41550</v>
      </c>
      <c r="I1009" t="s">
        <v>2</v>
      </c>
      <c r="J1009">
        <v>2.7732209999999999</v>
      </c>
      <c r="K1009">
        <v>-1.4651000000000192E-2</v>
      </c>
      <c r="L1009">
        <v>88.697534600894215</v>
      </c>
      <c r="M1009">
        <f t="shared" si="15"/>
        <v>-27</v>
      </c>
    </row>
    <row r="1010" spans="3:13">
      <c r="C1010" s="2">
        <v>41526</v>
      </c>
      <c r="D1010">
        <v>126.75612586566163</v>
      </c>
      <c r="E1010">
        <f>VLOOKUP(C1010,'10y swap Vol'!$C$2:$G$3809,5,0)</f>
        <v>106.06182631183087</v>
      </c>
      <c r="F1010">
        <f>VLOOKUP(C1010,'5y10y Swaption Vol'!temp,3,0)</f>
        <v>104.85865665599999</v>
      </c>
      <c r="H1010" s="1">
        <v>41551</v>
      </c>
      <c r="I1010" t="s">
        <v>2</v>
      </c>
      <c r="J1010">
        <v>2.8143590000000001</v>
      </c>
      <c r="K1010">
        <v>4.1138000000000119E-2</v>
      </c>
      <c r="L1010">
        <v>86.692305180607192</v>
      </c>
      <c r="M1010">
        <f t="shared" si="15"/>
        <v>-25</v>
      </c>
    </row>
    <row r="1011" spans="3:13">
      <c r="C1011" s="2">
        <v>41527</v>
      </c>
      <c r="D1011">
        <v>126.62296519437035</v>
      </c>
      <c r="E1011">
        <f>VLOOKUP(C1011,'10y swap Vol'!$C$2:$G$3809,5,0)</f>
        <v>105.43032527450862</v>
      </c>
      <c r="F1011">
        <f>VLOOKUP(C1011,'5y10y Swaption Vol'!temp,3,0)</f>
        <v>105.037626745</v>
      </c>
      <c r="H1011" s="1">
        <v>41554</v>
      </c>
      <c r="I1011" t="s">
        <v>2</v>
      </c>
      <c r="J1011">
        <v>2.789479</v>
      </c>
      <c r="K1011">
        <v>-2.4880000000000013E-2</v>
      </c>
      <c r="L1011">
        <v>86.539089989457267</v>
      </c>
      <c r="M1011">
        <f t="shared" si="15"/>
        <v>-27</v>
      </c>
    </row>
    <row r="1012" spans="3:13">
      <c r="C1012" s="2">
        <v>41528</v>
      </c>
      <c r="D1012">
        <v>126.74677165295545</v>
      </c>
      <c r="E1012">
        <f>VLOOKUP(C1012,'10y swap Vol'!$C$2:$G$3809,5,0)</f>
        <v>105.78301876606993</v>
      </c>
      <c r="F1012">
        <f>VLOOKUP(C1012,'5y10y Swaption Vol'!temp,3,0)</f>
        <v>104.35300029</v>
      </c>
      <c r="H1012" s="1">
        <v>41555</v>
      </c>
      <c r="I1012" t="s">
        <v>2</v>
      </c>
      <c r="J1012">
        <v>2.7770090000000001</v>
      </c>
      <c r="K1012">
        <v>-1.2469999999999981E-2</v>
      </c>
      <c r="L1012">
        <v>85.844109469870617</v>
      </c>
      <c r="M1012">
        <f t="shared" si="15"/>
        <v>-27</v>
      </c>
    </row>
    <row r="1013" spans="3:13">
      <c r="C1013" s="2">
        <v>41529</v>
      </c>
      <c r="D1013">
        <v>126.74321829594209</v>
      </c>
      <c r="E1013">
        <f>VLOOKUP(C1013,'10y swap Vol'!$C$2:$G$3809,5,0)</f>
        <v>105.90420112723378</v>
      </c>
      <c r="F1013">
        <f>VLOOKUP(C1013,'5y10y Swaption Vol'!temp,3,0)</f>
        <v>103.513701144</v>
      </c>
      <c r="H1013" s="1">
        <v>41556</v>
      </c>
      <c r="I1013" t="s">
        <v>2</v>
      </c>
      <c r="J1013">
        <v>2.7952870000000001</v>
      </c>
      <c r="K1013">
        <v>1.8278000000000016E-2</v>
      </c>
      <c r="L1013">
        <v>85.753696743209872</v>
      </c>
      <c r="M1013">
        <f t="shared" si="15"/>
        <v>-27</v>
      </c>
    </row>
    <row r="1014" spans="3:13">
      <c r="C1014" s="2">
        <v>41530</v>
      </c>
      <c r="D1014">
        <v>123.7629879759201</v>
      </c>
      <c r="E1014">
        <f>VLOOKUP(C1014,'10y swap Vol'!$C$2:$G$3809,5,0)</f>
        <v>101.74805740751702</v>
      </c>
      <c r="F1014">
        <f>VLOOKUP(C1014,'5y10y Swaption Vol'!temp,3,0)</f>
        <v>103.14056196</v>
      </c>
      <c r="H1014" s="1">
        <v>41557</v>
      </c>
      <c r="I1014" t="s">
        <v>2</v>
      </c>
      <c r="J1014">
        <v>2.8210920000000002</v>
      </c>
      <c r="K1014">
        <v>2.5805000000000078E-2</v>
      </c>
      <c r="L1014">
        <v>85.259191309127658</v>
      </c>
      <c r="M1014">
        <f t="shared" si="15"/>
        <v>-27</v>
      </c>
    </row>
    <row r="1015" spans="3:13">
      <c r="C1015" s="2">
        <v>41533</v>
      </c>
      <c r="D1015">
        <v>120.91575819409709</v>
      </c>
      <c r="E1015">
        <f>VLOOKUP(C1015,'10y swap Vol'!$C$2:$G$3809,5,0)</f>
        <v>99.036239356813041</v>
      </c>
      <c r="F1015">
        <f>VLOOKUP(C1015,'5y10y Swaption Vol'!temp,3,0)</f>
        <v>102.80277563</v>
      </c>
      <c r="H1015" s="1">
        <v>41558</v>
      </c>
      <c r="I1015" t="s">
        <v>2</v>
      </c>
      <c r="J1015">
        <v>2.815096</v>
      </c>
      <c r="K1015">
        <v>-5.9960000000001124E-3</v>
      </c>
      <c r="L1015">
        <v>84.893088040604965</v>
      </c>
      <c r="M1015">
        <f t="shared" si="15"/>
        <v>-25</v>
      </c>
    </row>
    <row r="1016" spans="3:13">
      <c r="C1016" s="2">
        <v>41534</v>
      </c>
      <c r="D1016">
        <v>116.90314741283649</v>
      </c>
      <c r="E1016">
        <f>VLOOKUP(C1016,'10y swap Vol'!$C$2:$G$3809,5,0)</f>
        <v>97.498117854537313</v>
      </c>
      <c r="F1016">
        <f>VLOOKUP(C1016,'5y10y Swaption Vol'!temp,3,0)</f>
        <v>101.83514754399999</v>
      </c>
      <c r="H1016" s="1">
        <v>41562</v>
      </c>
      <c r="I1016" t="s">
        <v>2</v>
      </c>
      <c r="J1016">
        <v>2.8517389999999998</v>
      </c>
      <c r="K1016">
        <v>3.6642999999999759E-2</v>
      </c>
      <c r="L1016">
        <v>84.766246117182263</v>
      </c>
      <c r="M1016">
        <f t="shared" si="15"/>
        <v>-28</v>
      </c>
    </row>
    <row r="1017" spans="3:13">
      <c r="C1017" s="2">
        <v>41535</v>
      </c>
      <c r="D1017">
        <v>122.29677517083333</v>
      </c>
      <c r="E1017">
        <f>VLOOKUP(C1017,'10y swap Vol'!$C$2:$G$3809,5,0)</f>
        <v>102.63999865900395</v>
      </c>
      <c r="F1017">
        <f>VLOOKUP(C1017,'5y10y Swaption Vol'!temp,3,0)</f>
        <v>100.283735138</v>
      </c>
      <c r="H1017" s="1">
        <v>41563</v>
      </c>
      <c r="I1017" t="s">
        <v>2</v>
      </c>
      <c r="J1017">
        <v>2.8061759999999998</v>
      </c>
      <c r="K1017">
        <v>-4.556300000000002E-2</v>
      </c>
      <c r="L1017">
        <v>85.332980981728838</v>
      </c>
      <c r="M1017">
        <f t="shared" si="15"/>
        <v>-28</v>
      </c>
    </row>
    <row r="1018" spans="3:13">
      <c r="C1018" s="2">
        <v>41536</v>
      </c>
      <c r="D1018">
        <v>122.33219989594444</v>
      </c>
      <c r="E1018">
        <f>VLOOKUP(C1018,'10y swap Vol'!$C$2:$G$3809,5,0)</f>
        <v>102.91557591994669</v>
      </c>
      <c r="F1018">
        <f>VLOOKUP(C1018,'5y10y Swaption Vol'!temp,3,0)</f>
        <v>100.23288304800001</v>
      </c>
      <c r="H1018" s="1">
        <v>41564</v>
      </c>
      <c r="I1018" t="s">
        <v>2</v>
      </c>
      <c r="J1018">
        <v>2.726899</v>
      </c>
      <c r="K1018">
        <v>-7.927699999999982E-2</v>
      </c>
      <c r="L1018">
        <v>86.835399744896208</v>
      </c>
      <c r="M1018">
        <f t="shared" si="15"/>
        <v>-28</v>
      </c>
    </row>
    <row r="1019" spans="3:13">
      <c r="C1019" s="2">
        <v>41537</v>
      </c>
      <c r="D1019">
        <v>121.83131587878779</v>
      </c>
      <c r="E1019">
        <f>VLOOKUP(C1019,'10y swap Vol'!$C$2:$G$3809,5,0)</f>
        <v>102.25483261998542</v>
      </c>
      <c r="F1019">
        <f>VLOOKUP(C1019,'5y10y Swaption Vol'!temp,3,0)</f>
        <v>100.106283899</v>
      </c>
      <c r="H1019" s="1">
        <v>41565</v>
      </c>
      <c r="I1019" t="s">
        <v>2</v>
      </c>
      <c r="J1019">
        <v>2.731776</v>
      </c>
      <c r="K1019">
        <v>4.8770000000000202E-3</v>
      </c>
      <c r="L1019">
        <v>85.68397047983099</v>
      </c>
      <c r="M1019">
        <f t="shared" si="15"/>
        <v>-28</v>
      </c>
    </row>
    <row r="1020" spans="3:13">
      <c r="C1020" s="2">
        <v>41540</v>
      </c>
      <c r="D1020">
        <v>119.33767682443528</v>
      </c>
      <c r="E1020">
        <f>VLOOKUP(C1020,'10y swap Vol'!$C$2:$G$3809,5,0)</f>
        <v>100.99243058918191</v>
      </c>
      <c r="F1020">
        <f>VLOOKUP(C1020,'5y10y Swaption Vol'!temp,3,0)</f>
        <v>99.689183639999996</v>
      </c>
      <c r="H1020" s="1">
        <v>41568</v>
      </c>
      <c r="I1020" t="s">
        <v>2</v>
      </c>
      <c r="J1020">
        <v>2.7488389999999998</v>
      </c>
      <c r="K1020">
        <v>1.7062999999999828E-2</v>
      </c>
      <c r="L1020">
        <v>85.647788997042468</v>
      </c>
      <c r="M1020">
        <f t="shared" si="15"/>
        <v>-28</v>
      </c>
    </row>
    <row r="1021" spans="3:13">
      <c r="C1021" s="2">
        <v>41541</v>
      </c>
      <c r="D1021">
        <v>120.01766579691289</v>
      </c>
      <c r="E1021">
        <f>VLOOKUP(C1021,'10y swap Vol'!$C$2:$G$3809,5,0)</f>
        <v>101.72175526263717</v>
      </c>
      <c r="F1021">
        <f>VLOOKUP(C1021,'5y10y Swaption Vol'!temp,3,0)</f>
        <v>99.514982111999998</v>
      </c>
      <c r="H1021" s="1">
        <v>41569</v>
      </c>
      <c r="I1021" t="s">
        <v>2</v>
      </c>
      <c r="J1021">
        <v>2.656628</v>
      </c>
      <c r="K1021">
        <v>-9.2210999999999821E-2</v>
      </c>
      <c r="L1021">
        <v>87.169410451069325</v>
      </c>
      <c r="M1021">
        <f t="shared" si="15"/>
        <v>-28</v>
      </c>
    </row>
    <row r="1022" spans="3:13">
      <c r="C1022" s="2">
        <v>41542</v>
      </c>
      <c r="D1022">
        <v>120.34684757324383</v>
      </c>
      <c r="E1022">
        <f>VLOOKUP(C1022,'10y swap Vol'!$C$2:$G$3809,5,0)</f>
        <v>102.09663862100959</v>
      </c>
      <c r="F1022">
        <f>VLOOKUP(C1022,'5y10y Swaption Vol'!temp,3,0)</f>
        <v>99.210617639999995</v>
      </c>
      <c r="H1022" s="1">
        <v>41570</v>
      </c>
      <c r="I1022" t="s">
        <v>2</v>
      </c>
      <c r="J1022">
        <v>2.6343529999999999</v>
      </c>
      <c r="K1022">
        <v>-2.2275000000000045E-2</v>
      </c>
      <c r="L1022">
        <v>87.159424750014949</v>
      </c>
      <c r="M1022">
        <f t="shared" si="15"/>
        <v>-28</v>
      </c>
    </row>
    <row r="1023" spans="3:13">
      <c r="C1023" s="2">
        <v>41543</v>
      </c>
      <c r="D1023">
        <v>120.44272547453075</v>
      </c>
      <c r="E1023">
        <f>VLOOKUP(C1023,'10y swap Vol'!$C$2:$G$3809,5,0)</f>
        <v>102.24066653724542</v>
      </c>
      <c r="F1023">
        <f>VLOOKUP(C1023,'5y10y Swaption Vol'!temp,3,0)</f>
        <v>99.615379775999997</v>
      </c>
      <c r="H1023" s="1">
        <v>41571</v>
      </c>
      <c r="I1023" t="s">
        <v>2</v>
      </c>
      <c r="J1023">
        <v>2.6708660000000002</v>
      </c>
      <c r="K1023">
        <v>3.651300000000024E-2</v>
      </c>
      <c r="L1023">
        <v>87.440569645075016</v>
      </c>
      <c r="M1023">
        <f t="shared" si="15"/>
        <v>-28</v>
      </c>
    </row>
    <row r="1024" spans="3:13">
      <c r="C1024" s="2">
        <v>41544</v>
      </c>
      <c r="D1024">
        <v>119.99506010820022</v>
      </c>
      <c r="E1024">
        <f>VLOOKUP(C1024,'10y swap Vol'!$C$2:$G$3809,5,0)</f>
        <v>102.0822620350301</v>
      </c>
      <c r="F1024">
        <f>VLOOKUP(C1024,'5y10y Swaption Vol'!temp,3,0)</f>
        <v>100.14421054500001</v>
      </c>
      <c r="H1024" s="1">
        <v>41572</v>
      </c>
      <c r="I1024" t="s">
        <v>2</v>
      </c>
      <c r="J1024">
        <v>2.651284</v>
      </c>
      <c r="K1024">
        <v>-1.958200000000021E-2</v>
      </c>
      <c r="L1024">
        <v>87.464747261186687</v>
      </c>
      <c r="M1024">
        <f t="shared" si="15"/>
        <v>-28</v>
      </c>
    </row>
    <row r="1025" spans="3:13">
      <c r="C1025" s="2">
        <v>41547</v>
      </c>
      <c r="D1025">
        <v>101.86965129181318</v>
      </c>
      <c r="E1025">
        <f>VLOOKUP(C1025,'10y swap Vol'!$C$2:$G$3809,5,0)</f>
        <v>89.996255385136664</v>
      </c>
      <c r="F1025">
        <f>VLOOKUP(C1025,'5y10y Swaption Vol'!temp,3,0)</f>
        <v>100.26934362900001</v>
      </c>
      <c r="H1025" s="1">
        <v>41575</v>
      </c>
      <c r="I1025" t="s">
        <v>2</v>
      </c>
      <c r="J1025">
        <v>2.6609470000000002</v>
      </c>
      <c r="K1025">
        <v>9.6630000000001992E-3</v>
      </c>
      <c r="L1025">
        <v>83.058537408045481</v>
      </c>
      <c r="M1025">
        <f t="shared" si="15"/>
        <v>-28</v>
      </c>
    </row>
    <row r="1026" spans="3:13">
      <c r="C1026" s="2">
        <v>41548</v>
      </c>
      <c r="D1026">
        <v>98.78066483256967</v>
      </c>
      <c r="E1026">
        <f>VLOOKUP(C1026,'10y swap Vol'!$C$2:$G$3809,5,0)</f>
        <v>89.243764580390788</v>
      </c>
      <c r="F1026">
        <f>VLOOKUP(C1026,'5y10y Swaption Vol'!temp,3,0)</f>
        <v>100.37207077399999</v>
      </c>
      <c r="H1026" s="1">
        <v>41576</v>
      </c>
      <c r="I1026" t="s">
        <v>2</v>
      </c>
      <c r="J1026">
        <v>2.6527090000000002</v>
      </c>
      <c r="K1026">
        <v>-8.2379999999999676E-3</v>
      </c>
      <c r="L1026">
        <v>78.612647932472015</v>
      </c>
      <c r="M1026">
        <f t="shared" si="15"/>
        <v>-28</v>
      </c>
    </row>
    <row r="1027" spans="3:13">
      <c r="C1027" s="2">
        <v>41549</v>
      </c>
      <c r="D1027">
        <v>98.175214747636019</v>
      </c>
      <c r="E1027">
        <f>VLOOKUP(C1027,'10y swap Vol'!$C$2:$G$3809,5,0)</f>
        <v>88.988518677338348</v>
      </c>
      <c r="F1027">
        <f>VLOOKUP(C1027,'5y10y Swaption Vol'!temp,3,0)</f>
        <v>100.051053806</v>
      </c>
      <c r="H1027" s="1">
        <v>41577</v>
      </c>
      <c r="I1027" t="s">
        <v>2</v>
      </c>
      <c r="J1027">
        <v>2.6709499999999999</v>
      </c>
      <c r="K1027">
        <v>1.824099999999973E-2</v>
      </c>
      <c r="L1027">
        <v>78.272094373691445</v>
      </c>
      <c r="M1027">
        <f t="shared" ref="M1027:M1090" si="16">C1027-H1027</f>
        <v>-28</v>
      </c>
    </row>
    <row r="1028" spans="3:13">
      <c r="C1028" s="2">
        <v>41550</v>
      </c>
      <c r="D1028">
        <v>96.010444188996672</v>
      </c>
      <c r="E1028">
        <f>VLOOKUP(C1028,'10y swap Vol'!$C$2:$G$3809,5,0)</f>
        <v>88.697534600894215</v>
      </c>
      <c r="F1028">
        <f>VLOOKUP(C1028,'5y10y Swaption Vol'!temp,3,0)</f>
        <v>99.381111274000006</v>
      </c>
      <c r="H1028" s="1">
        <v>41578</v>
      </c>
      <c r="I1028" t="s">
        <v>2</v>
      </c>
      <c r="J1028">
        <v>2.68648</v>
      </c>
      <c r="K1028">
        <v>1.5530000000000044E-2</v>
      </c>
      <c r="L1028">
        <v>78.312957731691696</v>
      </c>
      <c r="M1028">
        <f t="shared" si="16"/>
        <v>-28</v>
      </c>
    </row>
    <row r="1029" spans="3:13">
      <c r="C1029" s="2">
        <v>41551</v>
      </c>
      <c r="D1029">
        <v>93.367173313685242</v>
      </c>
      <c r="E1029">
        <f>VLOOKUP(C1029,'10y swap Vol'!$C$2:$G$3809,5,0)</f>
        <v>86.692305180607192</v>
      </c>
      <c r="F1029">
        <f>VLOOKUP(C1029,'5y10y Swaption Vol'!temp,3,0)</f>
        <v>99.636052637999995</v>
      </c>
      <c r="H1029" s="1">
        <v>41579</v>
      </c>
      <c r="I1029" t="s">
        <v>2</v>
      </c>
      <c r="J1029">
        <v>2.7616520000000002</v>
      </c>
      <c r="K1029">
        <v>7.5172000000000239E-2</v>
      </c>
      <c r="L1029">
        <v>79.379150151586614</v>
      </c>
      <c r="M1029">
        <f t="shared" si="16"/>
        <v>-28</v>
      </c>
    </row>
    <row r="1030" spans="3:13">
      <c r="C1030" s="2">
        <v>41554</v>
      </c>
      <c r="D1030">
        <v>93.349566073794449</v>
      </c>
      <c r="E1030">
        <f>VLOOKUP(C1030,'10y swap Vol'!$C$2:$G$3809,5,0)</f>
        <v>86.539089989457267</v>
      </c>
      <c r="F1030">
        <f>VLOOKUP(C1030,'5y10y Swaption Vol'!temp,3,0)</f>
        <v>99.485692596000007</v>
      </c>
      <c r="H1030" s="1">
        <v>41582</v>
      </c>
      <c r="I1030" t="s">
        <v>2</v>
      </c>
      <c r="J1030">
        <v>2.7430460000000001</v>
      </c>
      <c r="K1030">
        <v>-1.8606000000000122E-2</v>
      </c>
      <c r="L1030">
        <v>79.375337484651084</v>
      </c>
      <c r="M1030">
        <f t="shared" si="16"/>
        <v>-28</v>
      </c>
    </row>
    <row r="1031" spans="3:13">
      <c r="C1031" s="2">
        <v>41555</v>
      </c>
      <c r="D1031">
        <v>92.356669809370047</v>
      </c>
      <c r="E1031">
        <f>VLOOKUP(C1031,'10y swap Vol'!$C$2:$G$3809,5,0)</f>
        <v>85.844109469870617</v>
      </c>
      <c r="F1031">
        <f>VLOOKUP(C1031,'5y10y Swaption Vol'!temp,3,0)</f>
        <v>99.415289791999996</v>
      </c>
      <c r="H1031" s="1">
        <v>41583</v>
      </c>
      <c r="I1031" t="s">
        <v>2</v>
      </c>
      <c r="J1031">
        <v>2.8039450000000001</v>
      </c>
      <c r="K1031">
        <v>6.0899000000000036E-2</v>
      </c>
      <c r="L1031">
        <v>80.302911438010142</v>
      </c>
      <c r="M1031">
        <f t="shared" si="16"/>
        <v>-28</v>
      </c>
    </row>
    <row r="1032" spans="3:13">
      <c r="C1032" s="2">
        <v>41556</v>
      </c>
      <c r="D1032">
        <v>92.323808408420476</v>
      </c>
      <c r="E1032">
        <f>VLOOKUP(C1032,'10y swap Vol'!$C$2:$G$3809,5,0)</f>
        <v>85.753696743209872</v>
      </c>
      <c r="F1032">
        <f>VLOOKUP(C1032,'5y10y Swaption Vol'!temp,3,0)</f>
        <v>99.651911904000002</v>
      </c>
      <c r="H1032" s="1">
        <v>41584</v>
      </c>
      <c r="I1032" t="s">
        <v>2</v>
      </c>
      <c r="J1032">
        <v>2.7722570000000002</v>
      </c>
      <c r="K1032">
        <v>-3.1687999999999938E-2</v>
      </c>
      <c r="L1032">
        <v>80.342710759194489</v>
      </c>
      <c r="M1032">
        <f t="shared" si="16"/>
        <v>-28</v>
      </c>
    </row>
    <row r="1033" spans="3:13">
      <c r="C1033" s="2">
        <v>41557</v>
      </c>
      <c r="D1033">
        <v>91.866161655110616</v>
      </c>
      <c r="E1033">
        <f>VLOOKUP(C1033,'10y swap Vol'!$C$2:$G$3809,5,0)</f>
        <v>85.259191309127658</v>
      </c>
      <c r="F1033">
        <f>VLOOKUP(C1033,'5y10y Swaption Vol'!temp,3,0)</f>
        <v>99.511876544000003</v>
      </c>
      <c r="H1033" s="1">
        <v>41585</v>
      </c>
      <c r="I1033" t="s">
        <v>2</v>
      </c>
      <c r="J1033">
        <v>2.740602</v>
      </c>
      <c r="K1033">
        <v>-3.1655000000000211E-2</v>
      </c>
      <c r="L1033">
        <v>77.331237983600573</v>
      </c>
      <c r="M1033">
        <f t="shared" si="16"/>
        <v>-28</v>
      </c>
    </row>
    <row r="1034" spans="3:13">
      <c r="C1034" s="2">
        <v>41558</v>
      </c>
      <c r="D1034">
        <v>91.394209128748031</v>
      </c>
      <c r="E1034">
        <f>VLOOKUP(C1034,'10y swap Vol'!$C$2:$G$3809,5,0)</f>
        <v>84.893088040604965</v>
      </c>
      <c r="F1034">
        <f>VLOOKUP(C1034,'5y10y Swaption Vol'!temp,3,0)</f>
        <v>99.572658598000004</v>
      </c>
      <c r="H1034" s="1">
        <v>41586</v>
      </c>
      <c r="I1034" t="s">
        <v>2</v>
      </c>
      <c r="J1034">
        <v>2.8699439999999998</v>
      </c>
      <c r="K1034">
        <v>0.12934199999999985</v>
      </c>
      <c r="L1034">
        <v>81.860919413618447</v>
      </c>
      <c r="M1034">
        <f t="shared" si="16"/>
        <v>-28</v>
      </c>
    </row>
    <row r="1035" spans="3:13">
      <c r="C1035" s="2">
        <v>41562</v>
      </c>
      <c r="D1035">
        <v>91.007982475579681</v>
      </c>
      <c r="E1035">
        <f>VLOOKUP(C1035,'10y swap Vol'!$C$2:$G$3809,5,0)</f>
        <v>84.766246117182263</v>
      </c>
      <c r="F1035">
        <f>VLOOKUP(C1035,'5y10y Swaption Vol'!temp,3,0)</f>
        <v>99.974802269999998</v>
      </c>
      <c r="H1035" s="1">
        <v>41590</v>
      </c>
      <c r="I1035" t="s">
        <v>2</v>
      </c>
      <c r="J1035">
        <v>2.8873280000000001</v>
      </c>
      <c r="K1035">
        <v>1.7384000000000288E-2</v>
      </c>
      <c r="L1035">
        <v>81.519641080165343</v>
      </c>
      <c r="M1035">
        <f t="shared" si="16"/>
        <v>-28</v>
      </c>
    </row>
    <row r="1036" spans="3:13">
      <c r="C1036" s="2">
        <v>41563</v>
      </c>
      <c r="D1036">
        <v>91.456796575478037</v>
      </c>
      <c r="E1036">
        <f>VLOOKUP(C1036,'10y swap Vol'!$C$2:$G$3809,5,0)</f>
        <v>85.332980981728838</v>
      </c>
      <c r="F1036">
        <f>VLOOKUP(C1036,'5y10y Swaption Vol'!temp,3,0)</f>
        <v>99.633746880000004</v>
      </c>
      <c r="H1036" s="1">
        <v>41591</v>
      </c>
      <c r="I1036" t="s">
        <v>2</v>
      </c>
      <c r="J1036">
        <v>2.837993</v>
      </c>
      <c r="K1036">
        <v>-4.9335000000000129E-2</v>
      </c>
      <c r="L1036">
        <v>80.408979716879031</v>
      </c>
      <c r="M1036">
        <f t="shared" si="16"/>
        <v>-28</v>
      </c>
    </row>
    <row r="1037" spans="3:13">
      <c r="C1037" s="2">
        <v>41564</v>
      </c>
      <c r="D1037">
        <v>92.902511894766022</v>
      </c>
      <c r="E1037">
        <f>VLOOKUP(C1037,'10y swap Vol'!$C$2:$G$3809,5,0)</f>
        <v>86.835399744896208</v>
      </c>
      <c r="F1037">
        <f>VLOOKUP(C1037,'5y10y Swaption Vol'!temp,3,0)</f>
        <v>99.305187903999993</v>
      </c>
      <c r="H1037" s="1">
        <v>41592</v>
      </c>
      <c r="I1037" t="s">
        <v>2</v>
      </c>
      <c r="J1037">
        <v>2.789075</v>
      </c>
      <c r="K1037">
        <v>-4.8918000000000017E-2</v>
      </c>
      <c r="L1037">
        <v>79.656711320115136</v>
      </c>
      <c r="M1037">
        <f t="shared" si="16"/>
        <v>-28</v>
      </c>
    </row>
    <row r="1038" spans="3:13">
      <c r="C1038" s="2">
        <v>41565</v>
      </c>
      <c r="D1038">
        <v>91.84771300775229</v>
      </c>
      <c r="E1038">
        <f>VLOOKUP(C1038,'10y swap Vol'!$C$2:$G$3809,5,0)</f>
        <v>85.68397047983099</v>
      </c>
      <c r="F1038">
        <f>VLOOKUP(C1038,'5y10y Swaption Vol'!temp,3,0)</f>
        <v>99.412553450000004</v>
      </c>
      <c r="H1038" s="1">
        <v>41593</v>
      </c>
      <c r="I1038" t="s">
        <v>2</v>
      </c>
      <c r="J1038">
        <v>2.7753960000000002</v>
      </c>
      <c r="K1038">
        <v>-1.3678999999999775E-2</v>
      </c>
      <c r="L1038">
        <v>78.678100776187264</v>
      </c>
      <c r="M1038">
        <f t="shared" si="16"/>
        <v>-28</v>
      </c>
    </row>
    <row r="1039" spans="3:13">
      <c r="C1039" s="2">
        <v>41568</v>
      </c>
      <c r="D1039">
        <v>91.949119788800431</v>
      </c>
      <c r="E1039">
        <f>VLOOKUP(C1039,'10y swap Vol'!$C$2:$G$3809,5,0)</f>
        <v>85.647788997042468</v>
      </c>
      <c r="F1039">
        <f>VLOOKUP(C1039,'5y10y Swaption Vol'!temp,3,0)</f>
        <v>99.328987416000004</v>
      </c>
      <c r="H1039" s="1">
        <v>41596</v>
      </c>
      <c r="I1039" t="s">
        <v>2</v>
      </c>
      <c r="J1039">
        <v>2.7382499999999999</v>
      </c>
      <c r="K1039">
        <v>-3.7146000000000345E-2</v>
      </c>
      <c r="L1039">
        <v>78.276167911046045</v>
      </c>
      <c r="M1039">
        <f t="shared" si="16"/>
        <v>-28</v>
      </c>
    </row>
    <row r="1040" spans="3:13">
      <c r="C1040" s="2">
        <v>41569</v>
      </c>
      <c r="D1040">
        <v>93.565790887616529</v>
      </c>
      <c r="E1040">
        <f>VLOOKUP(C1040,'10y swap Vol'!$C$2:$G$3809,5,0)</f>
        <v>87.169410451069325</v>
      </c>
      <c r="F1040">
        <f>VLOOKUP(C1040,'5y10y Swaption Vol'!temp,3,0)</f>
        <v>98.416683057</v>
      </c>
      <c r="H1040" s="1">
        <v>41598</v>
      </c>
      <c r="I1040" t="s">
        <v>2</v>
      </c>
      <c r="J1040">
        <v>2.8296519999999998</v>
      </c>
      <c r="K1040">
        <v>9.1401999999999983E-2</v>
      </c>
      <c r="L1040">
        <v>79.774793163432008</v>
      </c>
      <c r="M1040">
        <f t="shared" si="16"/>
        <v>-29</v>
      </c>
    </row>
    <row r="1041" spans="3:13">
      <c r="C1041" s="2">
        <v>41570</v>
      </c>
      <c r="D1041">
        <v>93.665557761972678</v>
      </c>
      <c r="E1041">
        <f>VLOOKUP(C1041,'10y swap Vol'!$C$2:$G$3809,5,0)</f>
        <v>87.159424750014949</v>
      </c>
      <c r="F1041">
        <f>VLOOKUP(C1041,'5y10y Swaption Vol'!temp,3,0)</f>
        <v>98.079649889999999</v>
      </c>
      <c r="H1041" s="1">
        <v>41599</v>
      </c>
      <c r="I1041" t="s">
        <v>2</v>
      </c>
      <c r="J1041">
        <v>2.8274270000000001</v>
      </c>
      <c r="K1041">
        <v>-2.2249999999996994E-3</v>
      </c>
      <c r="L1041">
        <v>77.897519635435771</v>
      </c>
      <c r="M1041">
        <f t="shared" si="16"/>
        <v>-29</v>
      </c>
    </row>
    <row r="1042" spans="3:13">
      <c r="C1042" s="2">
        <v>41571</v>
      </c>
      <c r="D1042">
        <v>93.672956207476815</v>
      </c>
      <c r="E1042">
        <f>VLOOKUP(C1042,'10y swap Vol'!$C$2:$G$3809,5,0)</f>
        <v>87.440569645075016</v>
      </c>
      <c r="F1042">
        <f>VLOOKUP(C1042,'5y10y Swaption Vol'!temp,3,0)</f>
        <v>98.173869991999993</v>
      </c>
      <c r="H1042" s="1">
        <v>41600</v>
      </c>
      <c r="I1042" t="s">
        <v>2</v>
      </c>
      <c r="J1042">
        <v>2.8167460000000002</v>
      </c>
      <c r="K1042">
        <v>-1.0680999999999941E-2</v>
      </c>
      <c r="L1042">
        <v>77.825975337835033</v>
      </c>
      <c r="M1042">
        <f t="shared" si="16"/>
        <v>-29</v>
      </c>
    </row>
    <row r="1043" spans="3:13">
      <c r="C1043" s="2">
        <v>41572</v>
      </c>
      <c r="D1043">
        <v>93.721773039685516</v>
      </c>
      <c r="E1043">
        <f>VLOOKUP(C1043,'10y swap Vol'!$C$2:$G$3809,5,0)</f>
        <v>87.464747261186687</v>
      </c>
      <c r="F1043">
        <f>VLOOKUP(C1043,'5y10y Swaption Vol'!temp,3,0)</f>
        <v>97.997705960000005</v>
      </c>
      <c r="H1043" s="1">
        <v>41611</v>
      </c>
      <c r="I1043" t="s">
        <v>2</v>
      </c>
      <c r="J1043">
        <v>2.8629030000000002</v>
      </c>
      <c r="K1043">
        <v>-2.668199999999965E-2</v>
      </c>
      <c r="L1043">
        <v>74.343444075961145</v>
      </c>
      <c r="M1043">
        <f t="shared" si="16"/>
        <v>-39</v>
      </c>
    </row>
    <row r="1044" spans="3:13">
      <c r="C1044" s="2">
        <v>41575</v>
      </c>
      <c r="D1044">
        <v>89.942774620615509</v>
      </c>
      <c r="E1044">
        <f>VLOOKUP(C1044,'10y swap Vol'!$C$2:$G$3809,5,0)</f>
        <v>83.058537408045481</v>
      </c>
      <c r="F1044">
        <f>VLOOKUP(C1044,'5y10y Swaption Vol'!temp,3,0)</f>
        <v>97.487399640000007</v>
      </c>
      <c r="H1044" s="1">
        <v>41612</v>
      </c>
      <c r="I1044" t="s">
        <v>2</v>
      </c>
      <c r="J1044">
        <v>2.9302969999999999</v>
      </c>
      <c r="K1044">
        <v>6.7393999999999732E-2</v>
      </c>
      <c r="L1044">
        <v>73.350559443408542</v>
      </c>
      <c r="M1044">
        <f t="shared" si="16"/>
        <v>-37</v>
      </c>
    </row>
    <row r="1045" spans="3:13">
      <c r="C1045" s="2">
        <v>41576</v>
      </c>
      <c r="D1045">
        <v>86.23789238754091</v>
      </c>
      <c r="E1045">
        <f>VLOOKUP(C1045,'10y swap Vol'!$C$2:$G$3809,5,0)</f>
        <v>78.612647932472015</v>
      </c>
      <c r="F1045">
        <f>VLOOKUP(C1045,'5y10y Swaption Vol'!temp,3,0)</f>
        <v>97.371158039999997</v>
      </c>
      <c r="H1045" s="1">
        <v>41613</v>
      </c>
      <c r="I1045" t="s">
        <v>2</v>
      </c>
      <c r="J1045">
        <v>2.9325369999999999</v>
      </c>
      <c r="K1045">
        <v>2.2400000000000198E-3</v>
      </c>
      <c r="L1045">
        <v>72.975264546120471</v>
      </c>
      <c r="M1045">
        <f t="shared" si="16"/>
        <v>-37</v>
      </c>
    </row>
    <row r="1046" spans="3:13">
      <c r="C1046" s="2">
        <v>41577</v>
      </c>
      <c r="D1046">
        <v>86.184036656724004</v>
      </c>
      <c r="E1046">
        <f>VLOOKUP(C1046,'10y swap Vol'!$C$2:$G$3809,5,0)</f>
        <v>78.272094373691445</v>
      </c>
      <c r="F1046">
        <f>VLOOKUP(C1046,'5y10y Swaption Vol'!temp,3,0)</f>
        <v>97.706434135999999</v>
      </c>
      <c r="H1046" s="1">
        <v>41614</v>
      </c>
      <c r="I1046" t="s">
        <v>2</v>
      </c>
      <c r="J1046">
        <v>2.9460730000000002</v>
      </c>
      <c r="K1046">
        <v>1.3536000000000215E-2</v>
      </c>
      <c r="L1046">
        <v>72.42728289865579</v>
      </c>
      <c r="M1046">
        <f t="shared" si="16"/>
        <v>-37</v>
      </c>
    </row>
    <row r="1047" spans="3:13">
      <c r="C1047" s="2">
        <v>41578</v>
      </c>
      <c r="D1047">
        <v>86.104858767082433</v>
      </c>
      <c r="E1047">
        <f>VLOOKUP(C1047,'10y swap Vol'!$C$2:$G$3809,5,0)</f>
        <v>78.312957731691696</v>
      </c>
      <c r="F1047">
        <f>VLOOKUP(C1047,'5y10y Swaption Vol'!temp,3,0)</f>
        <v>98.490174805999999</v>
      </c>
      <c r="H1047" s="1">
        <v>41617</v>
      </c>
      <c r="I1047" t="s">
        <v>2</v>
      </c>
      <c r="J1047">
        <v>2.913815</v>
      </c>
      <c r="K1047">
        <v>-3.225800000000012E-2</v>
      </c>
      <c r="L1047">
        <v>71.825658715419749</v>
      </c>
      <c r="M1047">
        <f t="shared" si="16"/>
        <v>-39</v>
      </c>
    </row>
    <row r="1048" spans="3:13">
      <c r="C1048" s="2">
        <v>41579</v>
      </c>
      <c r="D1048">
        <v>87.539096562166137</v>
      </c>
      <c r="E1048">
        <f>VLOOKUP(C1048,'10y swap Vol'!$C$2:$G$3809,5,0)</f>
        <v>79.379150151586614</v>
      </c>
      <c r="F1048">
        <f>VLOOKUP(C1048,'5y10y Swaption Vol'!temp,3,0)</f>
        <v>98.995830261999998</v>
      </c>
      <c r="H1048" s="1">
        <v>41618</v>
      </c>
      <c r="I1048" t="s">
        <v>2</v>
      </c>
      <c r="J1048">
        <v>2.863693</v>
      </c>
      <c r="K1048">
        <v>-5.0122E-2</v>
      </c>
      <c r="L1048">
        <v>72.038345980213691</v>
      </c>
      <c r="M1048">
        <f t="shared" si="16"/>
        <v>-39</v>
      </c>
    </row>
    <row r="1049" spans="3:13">
      <c r="C1049" s="2">
        <v>41582</v>
      </c>
      <c r="D1049">
        <v>87.459590460448595</v>
      </c>
      <c r="E1049">
        <f>VLOOKUP(C1049,'10y swap Vol'!$C$2:$G$3809,5,0)</f>
        <v>79.375337484651084</v>
      </c>
      <c r="F1049">
        <f>VLOOKUP(C1049,'5y10y Swaption Vol'!temp,3,0)</f>
        <v>98.702372284000006</v>
      </c>
      <c r="H1049" s="1">
        <v>41619</v>
      </c>
      <c r="I1049" t="s">
        <v>2</v>
      </c>
      <c r="J1049">
        <v>2.9053930000000001</v>
      </c>
      <c r="K1049">
        <v>4.170000000000007E-2</v>
      </c>
      <c r="L1049">
        <v>72.598856647795003</v>
      </c>
      <c r="M1049">
        <f t="shared" si="16"/>
        <v>-37</v>
      </c>
    </row>
    <row r="1050" spans="3:13">
      <c r="C1050" s="2">
        <v>41583</v>
      </c>
      <c r="D1050">
        <v>88.746753957717502</v>
      </c>
      <c r="E1050">
        <f>VLOOKUP(C1050,'10y swap Vol'!$C$2:$G$3809,5,0)</f>
        <v>80.302911438010142</v>
      </c>
      <c r="F1050">
        <f>VLOOKUP(C1050,'5y10y Swaption Vol'!temp,3,0)</f>
        <v>99.582810768000002</v>
      </c>
      <c r="H1050" s="1">
        <v>41620</v>
      </c>
      <c r="I1050" t="s">
        <v>2</v>
      </c>
      <c r="J1050">
        <v>2.938847</v>
      </c>
      <c r="K1050">
        <v>3.3453999999999873E-2</v>
      </c>
      <c r="L1050">
        <v>72.972075065104207</v>
      </c>
      <c r="M1050">
        <f t="shared" si="16"/>
        <v>-37</v>
      </c>
    </row>
    <row r="1051" spans="3:13">
      <c r="C1051" s="2">
        <v>41584</v>
      </c>
      <c r="D1051">
        <v>88.670393661357139</v>
      </c>
      <c r="E1051">
        <f>VLOOKUP(C1051,'10y swap Vol'!$C$2:$G$3809,5,0)</f>
        <v>80.342710759194489</v>
      </c>
      <c r="F1051">
        <f>VLOOKUP(C1051,'5y10y Swaption Vol'!temp,3,0)</f>
        <v>99.301634215999997</v>
      </c>
      <c r="H1051" s="1">
        <v>41621</v>
      </c>
      <c r="I1051" t="s">
        <v>2</v>
      </c>
      <c r="J1051">
        <v>2.9279280000000001</v>
      </c>
      <c r="K1051">
        <v>-1.0918999999999901E-2</v>
      </c>
      <c r="L1051">
        <v>72.662557234414976</v>
      </c>
      <c r="M1051">
        <f t="shared" si="16"/>
        <v>-37</v>
      </c>
    </row>
    <row r="1052" spans="3:13">
      <c r="C1052" s="2">
        <v>41585</v>
      </c>
      <c r="D1052">
        <v>86.002209716520355</v>
      </c>
      <c r="E1052">
        <f>VLOOKUP(C1052,'10y swap Vol'!$C$2:$G$3809,5,0)</f>
        <v>77.331237983600573</v>
      </c>
      <c r="F1052">
        <f>VLOOKUP(C1052,'5y10y Swaption Vol'!temp,3,0)</f>
        <v>99.005326221000004</v>
      </c>
      <c r="H1052" s="1">
        <v>41624</v>
      </c>
      <c r="I1052" t="s">
        <v>2</v>
      </c>
      <c r="J1052">
        <v>2.9344540000000001</v>
      </c>
      <c r="K1052">
        <v>6.5260000000000318E-3</v>
      </c>
      <c r="L1052">
        <v>72.501471078875269</v>
      </c>
      <c r="M1052">
        <f t="shared" si="16"/>
        <v>-39</v>
      </c>
    </row>
    <row r="1053" spans="3:13">
      <c r="C1053" s="2">
        <v>41586</v>
      </c>
      <c r="D1053">
        <v>90.018933429865598</v>
      </c>
      <c r="E1053">
        <f>VLOOKUP(C1053,'10y swap Vol'!$C$2:$G$3809,5,0)</f>
        <v>81.860919413618447</v>
      </c>
      <c r="F1053">
        <f>VLOOKUP(C1053,'5y10y Swaption Vol'!temp,3,0)</f>
        <v>100.10343889000001</v>
      </c>
      <c r="H1053" s="1">
        <v>41625</v>
      </c>
      <c r="I1053" t="s">
        <v>2</v>
      </c>
      <c r="J1053">
        <v>2.893348</v>
      </c>
      <c r="K1053">
        <v>-4.1106000000000087E-2</v>
      </c>
      <c r="L1053">
        <v>65.618001935702807</v>
      </c>
      <c r="M1053">
        <f t="shared" si="16"/>
        <v>-39</v>
      </c>
    </row>
    <row r="1054" spans="3:13">
      <c r="C1054" s="2">
        <v>41590</v>
      </c>
      <c r="D1054">
        <v>89.181766693977195</v>
      </c>
      <c r="E1054">
        <f>VLOOKUP(C1054,'10y swap Vol'!$C$2:$G$3809,5,0)</f>
        <v>81.519641080165343</v>
      </c>
      <c r="F1054">
        <f>VLOOKUP(C1054,'5y10y Swaption Vol'!temp,3,0)</f>
        <v>100.294593632</v>
      </c>
      <c r="H1054" s="1">
        <v>41626</v>
      </c>
      <c r="I1054" t="s">
        <v>2</v>
      </c>
      <c r="J1054">
        <v>2.9363519999999999</v>
      </c>
      <c r="K1054">
        <v>4.300399999999982E-2</v>
      </c>
      <c r="L1054">
        <v>65.278687517502732</v>
      </c>
      <c r="M1054">
        <f t="shared" si="16"/>
        <v>-36</v>
      </c>
    </row>
    <row r="1055" spans="3:13">
      <c r="C1055" s="2">
        <v>41591</v>
      </c>
      <c r="D1055">
        <v>87.309888713207528</v>
      </c>
      <c r="E1055">
        <f>VLOOKUP(C1055,'10y swap Vol'!$C$2:$G$3809,5,0)</f>
        <v>80.408979716879031</v>
      </c>
      <c r="F1055">
        <f>VLOOKUP(C1055,'5y10y Swaption Vol'!temp,3,0)</f>
        <v>99.92011445</v>
      </c>
      <c r="H1055" s="1">
        <v>41627</v>
      </c>
      <c r="I1055" t="s">
        <v>2</v>
      </c>
      <c r="J1055">
        <v>2.9908779999999999</v>
      </c>
      <c r="K1055">
        <v>5.4526000000000074E-2</v>
      </c>
      <c r="L1055">
        <v>66.084717048358328</v>
      </c>
      <c r="M1055">
        <f t="shared" si="16"/>
        <v>-36</v>
      </c>
    </row>
    <row r="1056" spans="3:13">
      <c r="C1056" s="2">
        <v>41592</v>
      </c>
      <c r="D1056">
        <v>86.199959303400689</v>
      </c>
      <c r="E1056">
        <f>VLOOKUP(C1056,'10y swap Vol'!$C$2:$G$3809,5,0)</f>
        <v>79.656711320115136</v>
      </c>
      <c r="F1056">
        <f>VLOOKUP(C1056,'5y10y Swaption Vol'!temp,3,0)</f>
        <v>98.928534524</v>
      </c>
      <c r="H1056" s="1">
        <v>41628</v>
      </c>
      <c r="I1056" t="s">
        <v>2</v>
      </c>
      <c r="J1056">
        <v>2.9489670000000001</v>
      </c>
      <c r="K1056">
        <v>-4.191099999999981E-2</v>
      </c>
      <c r="L1056">
        <v>66.543974175719853</v>
      </c>
      <c r="M1056">
        <f t="shared" si="16"/>
        <v>-36</v>
      </c>
    </row>
    <row r="1057" spans="3:13">
      <c r="C1057" s="2">
        <v>41593</v>
      </c>
      <c r="D1057">
        <v>84.817783827533418</v>
      </c>
      <c r="E1057">
        <f>VLOOKUP(C1057,'10y swap Vol'!$C$2:$G$3809,5,0)</f>
        <v>78.678100776187264</v>
      </c>
      <c r="F1057">
        <f>VLOOKUP(C1057,'5y10y Swaption Vol'!temp,3,0)</f>
        <v>98.664037766000007</v>
      </c>
      <c r="H1057" s="1">
        <v>41631</v>
      </c>
      <c r="I1057" t="s">
        <v>2</v>
      </c>
      <c r="J1057">
        <v>2.9972259999999999</v>
      </c>
      <c r="K1057">
        <v>4.825899999999983E-2</v>
      </c>
      <c r="L1057">
        <v>66.079948493203347</v>
      </c>
      <c r="M1057">
        <f t="shared" si="16"/>
        <v>-38</v>
      </c>
    </row>
    <row r="1058" spans="3:13">
      <c r="C1058" s="2">
        <v>41596</v>
      </c>
      <c r="D1058">
        <v>84.464578158115259</v>
      </c>
      <c r="E1058">
        <f>VLOOKUP(C1058,'10y swap Vol'!$C$2:$G$3809,5,0)</f>
        <v>78.276167911046045</v>
      </c>
      <c r="F1058">
        <f>VLOOKUP(C1058,'5y10y Swaption Vol'!temp,3,0)</f>
        <v>98.027682357000003</v>
      </c>
      <c r="H1058" s="1">
        <v>41632</v>
      </c>
      <c r="I1058" t="s">
        <v>2</v>
      </c>
      <c r="J1058">
        <v>3.0530339999999998</v>
      </c>
      <c r="K1058">
        <v>5.5807999999999858E-2</v>
      </c>
      <c r="L1058">
        <v>66.262675392754161</v>
      </c>
      <c r="M1058">
        <f t="shared" si="16"/>
        <v>-36</v>
      </c>
    </row>
    <row r="1059" spans="3:13">
      <c r="C1059" s="2">
        <v>41597</v>
      </c>
      <c r="D1059">
        <v>84.467735599270611</v>
      </c>
      <c r="E1059" t="e">
        <f>VLOOKUP(C1059,'10y swap Vol'!$C$2:$G$3809,5,0)</f>
        <v>#N/A</v>
      </c>
      <c r="F1059">
        <f>VLOOKUP(C1059,'5y10y Swaption Vol'!temp,3,0)</f>
        <v>98.320183400000005</v>
      </c>
      <c r="H1059" s="1">
        <v>41634</v>
      </c>
      <c r="I1059" t="s">
        <v>2</v>
      </c>
      <c r="J1059">
        <v>3.0565220000000002</v>
      </c>
      <c r="K1059">
        <v>3.4880000000003797E-3</v>
      </c>
      <c r="L1059">
        <v>66.071175007503641</v>
      </c>
      <c r="M1059">
        <f t="shared" si="16"/>
        <v>-37</v>
      </c>
    </row>
    <row r="1060" spans="3:13">
      <c r="C1060" s="2">
        <v>41598</v>
      </c>
      <c r="D1060">
        <v>83.181096874184874</v>
      </c>
      <c r="E1060">
        <f>VLOOKUP(C1060,'10y swap Vol'!$C$2:$G$3809,5,0)</f>
        <v>79.774793163432008</v>
      </c>
      <c r="F1060">
        <f>VLOOKUP(C1060,'5y10y Swaption Vol'!temp,3,0)</f>
        <v>99.079306388999996</v>
      </c>
      <c r="H1060" s="1">
        <v>41635</v>
      </c>
      <c r="I1060" t="s">
        <v>2</v>
      </c>
      <c r="J1060">
        <v>3.0562200000000002</v>
      </c>
      <c r="K1060">
        <v>-3.0200000000002447E-4</v>
      </c>
      <c r="L1060">
        <v>65.854259521429725</v>
      </c>
      <c r="M1060">
        <f t="shared" si="16"/>
        <v>-37</v>
      </c>
    </row>
    <row r="1061" spans="3:13">
      <c r="C1061" s="2">
        <v>41599</v>
      </c>
      <c r="D1061">
        <v>82.898456493275901</v>
      </c>
      <c r="E1061">
        <f>VLOOKUP(C1061,'10y swap Vol'!$C$2:$G$3809,5,0)</f>
        <v>77.897519635435771</v>
      </c>
      <c r="F1061">
        <f>VLOOKUP(C1061,'5y10y Swaption Vol'!temp,3,0)</f>
        <v>99.105447056000003</v>
      </c>
      <c r="H1061" s="1">
        <v>41638</v>
      </c>
      <c r="I1061" t="s">
        <v>2</v>
      </c>
      <c r="J1061">
        <v>3.0342220000000002</v>
      </c>
      <c r="K1061">
        <v>-2.1997999999999962E-2</v>
      </c>
      <c r="L1061">
        <v>66.07015883654617</v>
      </c>
      <c r="M1061">
        <f t="shared" si="16"/>
        <v>-39</v>
      </c>
    </row>
    <row r="1062" spans="3:13">
      <c r="C1062" s="2">
        <v>41600</v>
      </c>
      <c r="D1062">
        <v>81.758713947206857</v>
      </c>
      <c r="E1062">
        <f>VLOOKUP(C1062,'10y swap Vol'!$C$2:$G$3809,5,0)</f>
        <v>77.825975337835033</v>
      </c>
      <c r="F1062">
        <f>VLOOKUP(C1062,'5y10y Swaption Vol'!temp,3,0)</f>
        <v>99.039049035000005</v>
      </c>
      <c r="H1062" s="1">
        <v>41641</v>
      </c>
      <c r="I1062" t="s">
        <v>2</v>
      </c>
      <c r="J1062">
        <v>3.0544609999999999</v>
      </c>
      <c r="K1062">
        <v>2.0238999999999674E-2</v>
      </c>
      <c r="L1062">
        <v>65.878786718482388</v>
      </c>
      <c r="M1062">
        <f t="shared" si="16"/>
        <v>-41</v>
      </c>
    </row>
    <row r="1063" spans="3:13">
      <c r="C1063" s="2">
        <v>41611</v>
      </c>
      <c r="D1063">
        <v>74.359552990842175</v>
      </c>
      <c r="E1063">
        <f>VLOOKUP(C1063,'10y swap Vol'!$C$2:$G$3809,5,0)</f>
        <v>74.343444075961145</v>
      </c>
      <c r="F1063">
        <f>VLOOKUP(C1063,'5y10y Swaption Vol'!temp,3,0)</f>
        <v>100.095755786</v>
      </c>
      <c r="H1063" s="1">
        <v>41642</v>
      </c>
      <c r="I1063" t="s">
        <v>2</v>
      </c>
      <c r="J1063">
        <v>3.0614400000000002</v>
      </c>
      <c r="K1063">
        <v>6.9790000000002905E-3</v>
      </c>
      <c r="L1063">
        <v>65.760166881970662</v>
      </c>
      <c r="M1063">
        <f t="shared" si="16"/>
        <v>-31</v>
      </c>
    </row>
    <row r="1064" spans="3:13">
      <c r="C1064" s="2">
        <v>41612</v>
      </c>
      <c r="D1064">
        <v>74.311905288102935</v>
      </c>
      <c r="E1064">
        <f>VLOOKUP(C1064,'10y swap Vol'!$C$2:$G$3809,5,0)</f>
        <v>73.350559443408542</v>
      </c>
      <c r="F1064">
        <f>VLOOKUP(C1064,'5y10y Swaption Vol'!temp,3,0)</f>
        <v>100.36307187600001</v>
      </c>
      <c r="H1064" s="1">
        <v>41645</v>
      </c>
      <c r="I1064" t="s">
        <v>2</v>
      </c>
      <c r="J1064">
        <v>3.0279880000000001</v>
      </c>
      <c r="K1064">
        <v>-3.3452000000000037E-2</v>
      </c>
      <c r="L1064">
        <v>66.103978064409787</v>
      </c>
      <c r="M1064">
        <f t="shared" si="16"/>
        <v>-33</v>
      </c>
    </row>
    <row r="1065" spans="3:13">
      <c r="C1065" s="2">
        <v>41613</v>
      </c>
      <c r="D1065">
        <v>73.004649539222143</v>
      </c>
      <c r="E1065">
        <f>VLOOKUP(C1065,'10y swap Vol'!$C$2:$G$3809,5,0)</f>
        <v>72.975264546120471</v>
      </c>
      <c r="F1065">
        <f>VLOOKUP(C1065,'5y10y Swaption Vol'!temp,3,0)</f>
        <v>100.5387929</v>
      </c>
      <c r="H1065" s="1">
        <v>41646</v>
      </c>
      <c r="I1065" t="s">
        <v>2</v>
      </c>
      <c r="J1065">
        <v>3.0053969999999999</v>
      </c>
      <c r="K1065">
        <v>-2.259100000000025E-2</v>
      </c>
      <c r="L1065">
        <v>65.876520866222521</v>
      </c>
      <c r="M1065">
        <f t="shared" si="16"/>
        <v>-33</v>
      </c>
    </row>
    <row r="1066" spans="3:13">
      <c r="C1066" s="2">
        <v>41614</v>
      </c>
      <c r="D1066">
        <v>72.17164673125896</v>
      </c>
      <c r="E1066">
        <f>VLOOKUP(C1066,'10y swap Vol'!$C$2:$G$3809,5,0)</f>
        <v>72.42728289865579</v>
      </c>
      <c r="F1066">
        <f>VLOOKUP(C1066,'5y10y Swaption Vol'!temp,3,0)</f>
        <v>100.089100242</v>
      </c>
      <c r="H1066" s="1">
        <v>41647</v>
      </c>
      <c r="I1066" t="s">
        <v>2</v>
      </c>
      <c r="J1066">
        <v>3.061245</v>
      </c>
      <c r="K1066">
        <v>5.584800000000012E-2</v>
      </c>
      <c r="L1066">
        <v>66.477533793518234</v>
      </c>
      <c r="M1066">
        <f t="shared" si="16"/>
        <v>-33</v>
      </c>
    </row>
    <row r="1067" spans="3:13">
      <c r="C1067" s="2">
        <v>41617</v>
      </c>
      <c r="D1067">
        <v>72.09808362324469</v>
      </c>
      <c r="E1067">
        <f>VLOOKUP(C1067,'10y swap Vol'!$C$2:$G$3809,5,0)</f>
        <v>71.825658715419749</v>
      </c>
      <c r="F1067">
        <f>VLOOKUP(C1067,'5y10y Swaption Vol'!temp,3,0)</f>
        <v>99.807311604000006</v>
      </c>
      <c r="H1067" s="1">
        <v>41648</v>
      </c>
      <c r="I1067" t="s">
        <v>2</v>
      </c>
      <c r="J1067">
        <v>3.047993</v>
      </c>
      <c r="K1067">
        <v>-1.3252000000000042E-2</v>
      </c>
      <c r="L1067">
        <v>66.48619820722827</v>
      </c>
      <c r="M1067">
        <f t="shared" si="16"/>
        <v>-31</v>
      </c>
    </row>
    <row r="1068" spans="3:13">
      <c r="C1068" s="2">
        <v>41618</v>
      </c>
      <c r="D1068">
        <v>72.491237186783763</v>
      </c>
      <c r="E1068">
        <f>VLOOKUP(C1068,'10y swap Vol'!$C$2:$G$3809,5,0)</f>
        <v>72.038345980213691</v>
      </c>
      <c r="F1068">
        <f>VLOOKUP(C1068,'5y10y Swaption Vol'!temp,3,0)</f>
        <v>99.391882296000006</v>
      </c>
      <c r="H1068" s="1">
        <v>41649</v>
      </c>
      <c r="I1068" t="s">
        <v>2</v>
      </c>
      <c r="J1068">
        <v>2.95126</v>
      </c>
      <c r="K1068">
        <v>-9.6732999999999958E-2</v>
      </c>
      <c r="L1068">
        <v>69.551646448377355</v>
      </c>
      <c r="M1068">
        <f t="shared" si="16"/>
        <v>-31</v>
      </c>
    </row>
    <row r="1069" spans="3:13">
      <c r="C1069" s="2">
        <v>41619</v>
      </c>
      <c r="D1069">
        <v>73.283051933408117</v>
      </c>
      <c r="E1069">
        <f>VLOOKUP(C1069,'10y swap Vol'!$C$2:$G$3809,5,0)</f>
        <v>72.598856647795003</v>
      </c>
      <c r="F1069">
        <f>VLOOKUP(C1069,'5y10y Swaption Vol'!temp,3,0)</f>
        <v>99.560516747999998</v>
      </c>
      <c r="H1069" s="1">
        <v>41652</v>
      </c>
      <c r="I1069" t="s">
        <v>2</v>
      </c>
      <c r="J1069">
        <v>2.9088150000000002</v>
      </c>
      <c r="K1069">
        <v>-4.2444999999999844E-2</v>
      </c>
      <c r="L1069">
        <v>69.980708043405457</v>
      </c>
      <c r="M1069">
        <f t="shared" si="16"/>
        <v>-33</v>
      </c>
    </row>
    <row r="1070" spans="3:13">
      <c r="C1070" s="2">
        <v>41620</v>
      </c>
      <c r="D1070">
        <v>72.959426589308848</v>
      </c>
      <c r="E1070">
        <f>VLOOKUP(C1070,'10y swap Vol'!$C$2:$G$3809,5,0)</f>
        <v>72.972075065104207</v>
      </c>
      <c r="F1070">
        <f>VLOOKUP(C1070,'5y10y Swaption Vol'!temp,3,0)</f>
        <v>99.693663983999997</v>
      </c>
      <c r="H1070" s="1">
        <v>41653</v>
      </c>
      <c r="I1070" t="s">
        <v>2</v>
      </c>
      <c r="J1070">
        <v>2.9610340000000002</v>
      </c>
      <c r="K1070">
        <v>5.2219000000000015E-2</v>
      </c>
      <c r="L1070">
        <v>70.722790934519779</v>
      </c>
      <c r="M1070">
        <f t="shared" si="16"/>
        <v>-33</v>
      </c>
    </row>
    <row r="1071" spans="3:13">
      <c r="C1071" s="2">
        <v>41621</v>
      </c>
      <c r="D1071">
        <v>72.914589118865536</v>
      </c>
      <c r="E1071">
        <f>VLOOKUP(C1071,'10y swap Vol'!$C$2:$G$3809,5,0)</f>
        <v>72.662557234414976</v>
      </c>
      <c r="F1071">
        <f>VLOOKUP(C1071,'5y10y Swaption Vol'!temp,3,0)</f>
        <v>99.443296610000004</v>
      </c>
      <c r="H1071" s="1">
        <v>41654</v>
      </c>
      <c r="I1071" t="s">
        <v>2</v>
      </c>
      <c r="J1071">
        <v>2.9853420000000002</v>
      </c>
      <c r="K1071">
        <v>2.4307999999999996E-2</v>
      </c>
      <c r="L1071">
        <v>70.514474083424901</v>
      </c>
      <c r="M1071">
        <f t="shared" si="16"/>
        <v>-33</v>
      </c>
    </row>
    <row r="1072" spans="3:13">
      <c r="C1072" s="2">
        <v>41624</v>
      </c>
      <c r="D1072">
        <v>62.459342645802742</v>
      </c>
      <c r="E1072">
        <f>VLOOKUP(C1072,'10y swap Vol'!$C$2:$G$3809,5,0)</f>
        <v>72.501471078875269</v>
      </c>
      <c r="F1072">
        <f>VLOOKUP(C1072,'5y10y Swaption Vol'!temp,3,0)</f>
        <v>99.357911423999994</v>
      </c>
      <c r="H1072" s="1">
        <v>41655</v>
      </c>
      <c r="I1072" t="s">
        <v>2</v>
      </c>
      <c r="J1072">
        <v>2.9507669999999999</v>
      </c>
      <c r="K1072">
        <v>-3.4575000000000244E-2</v>
      </c>
      <c r="L1072">
        <v>70.234041545142674</v>
      </c>
      <c r="M1072">
        <f t="shared" si="16"/>
        <v>-31</v>
      </c>
    </row>
    <row r="1073" spans="3:13">
      <c r="C1073" s="2">
        <v>41625</v>
      </c>
      <c r="D1073">
        <v>62.711649619958507</v>
      </c>
      <c r="E1073">
        <f>VLOOKUP(C1073,'10y swap Vol'!$C$2:$G$3809,5,0)</f>
        <v>65.618001935702807</v>
      </c>
      <c r="F1073">
        <f>VLOOKUP(C1073,'5y10y Swaption Vol'!temp,3,0)</f>
        <v>98.970481522</v>
      </c>
      <c r="H1073" s="1">
        <v>41656</v>
      </c>
      <c r="I1073" t="s">
        <v>2</v>
      </c>
      <c r="J1073">
        <v>2.937271</v>
      </c>
      <c r="K1073">
        <v>-1.3495999999999952E-2</v>
      </c>
      <c r="L1073">
        <v>68.247648984030633</v>
      </c>
      <c r="M1073">
        <f t="shared" si="16"/>
        <v>-31</v>
      </c>
    </row>
    <row r="1074" spans="3:13">
      <c r="C1074" s="2">
        <v>41626</v>
      </c>
      <c r="D1074">
        <v>63.257818579990207</v>
      </c>
      <c r="E1074">
        <f>VLOOKUP(C1074,'10y swap Vol'!$C$2:$G$3809,5,0)</f>
        <v>65.278687517502732</v>
      </c>
      <c r="F1074">
        <f>VLOOKUP(C1074,'5y10y Swaption Vol'!temp,3,0)</f>
        <v>99.066364062999995</v>
      </c>
      <c r="H1074" s="1">
        <v>41660</v>
      </c>
      <c r="I1074" t="s">
        <v>2</v>
      </c>
      <c r="J1074">
        <v>2.9237649999999999</v>
      </c>
      <c r="K1074">
        <v>-1.3506000000000018E-2</v>
      </c>
      <c r="L1074">
        <v>68.335105620218457</v>
      </c>
      <c r="M1074">
        <f t="shared" si="16"/>
        <v>-34</v>
      </c>
    </row>
    <row r="1075" spans="3:13">
      <c r="C1075" s="2">
        <v>41627</v>
      </c>
      <c r="D1075">
        <v>63.600567152930651</v>
      </c>
      <c r="E1075">
        <f>VLOOKUP(C1075,'10y swap Vol'!$C$2:$G$3809,5,0)</f>
        <v>66.084717048358328</v>
      </c>
      <c r="F1075">
        <f>VLOOKUP(C1075,'5y10y Swaption Vol'!temp,3,0)</f>
        <v>99.518416560000006</v>
      </c>
      <c r="H1075" s="1">
        <v>41661</v>
      </c>
      <c r="I1075" t="s">
        <v>2</v>
      </c>
      <c r="J1075">
        <v>2.9685109999999999</v>
      </c>
      <c r="K1075">
        <v>4.4745999999999952E-2</v>
      </c>
      <c r="L1075">
        <v>68.805095089224949</v>
      </c>
      <c r="M1075">
        <f t="shared" si="16"/>
        <v>-34</v>
      </c>
    </row>
    <row r="1076" spans="3:13">
      <c r="C1076" s="2">
        <v>41628</v>
      </c>
      <c r="D1076">
        <v>63.897800308597276</v>
      </c>
      <c r="E1076">
        <f>VLOOKUP(C1076,'10y swap Vol'!$C$2:$G$3809,5,0)</f>
        <v>66.543974175719853</v>
      </c>
      <c r="F1076">
        <f>VLOOKUP(C1076,'5y10y Swaption Vol'!temp,3,0)</f>
        <v>98.937091260000003</v>
      </c>
      <c r="H1076" s="1">
        <v>41662</v>
      </c>
      <c r="I1076" t="s">
        <v>2</v>
      </c>
      <c r="J1076">
        <v>2.8917039999999998</v>
      </c>
      <c r="K1076">
        <v>-7.680700000000007E-2</v>
      </c>
      <c r="L1076">
        <v>67.962298858193407</v>
      </c>
      <c r="M1076">
        <f t="shared" si="16"/>
        <v>-34</v>
      </c>
    </row>
    <row r="1077" spans="3:13">
      <c r="C1077" s="2">
        <v>41631</v>
      </c>
      <c r="D1077">
        <v>63.23487944966719</v>
      </c>
      <c r="E1077">
        <f>VLOOKUP(C1077,'10y swap Vol'!$C$2:$G$3809,5,0)</f>
        <v>66.079948493203347</v>
      </c>
      <c r="F1077">
        <f>VLOOKUP(C1077,'5y10y Swaption Vol'!temp,3,0)</f>
        <v>99.063927890000002</v>
      </c>
      <c r="H1077" s="1">
        <v>41663</v>
      </c>
      <c r="I1077" t="s">
        <v>2</v>
      </c>
      <c r="J1077">
        <v>2.8552810000000002</v>
      </c>
      <c r="K1077">
        <v>-3.642299999999965E-2</v>
      </c>
      <c r="L1077">
        <v>68.254078231333821</v>
      </c>
      <c r="M1077">
        <f t="shared" si="16"/>
        <v>-32</v>
      </c>
    </row>
    <row r="1078" spans="3:13">
      <c r="C1078" s="2">
        <v>41632</v>
      </c>
      <c r="D1078">
        <v>64.396225081606033</v>
      </c>
      <c r="E1078">
        <f>VLOOKUP(C1078,'10y swap Vol'!$C$2:$G$3809,5,0)</f>
        <v>66.262675392754161</v>
      </c>
      <c r="F1078">
        <f>VLOOKUP(C1078,'5y10y Swaption Vol'!temp,3,0)</f>
        <v>99.321477995999999</v>
      </c>
      <c r="H1078" s="1">
        <v>41666</v>
      </c>
      <c r="I1078" t="s">
        <v>2</v>
      </c>
      <c r="J1078">
        <v>2.8858869999999999</v>
      </c>
      <c r="K1078">
        <v>3.0605999999999689E-2</v>
      </c>
      <c r="L1078">
        <v>68.144245144493681</v>
      </c>
      <c r="M1078">
        <f t="shared" si="16"/>
        <v>-34</v>
      </c>
    </row>
    <row r="1079" spans="3:13">
      <c r="C1079" s="2">
        <v>41634</v>
      </c>
      <c r="D1079">
        <v>64.031551307194306</v>
      </c>
      <c r="E1079">
        <f>VLOOKUP(C1079,'10y swap Vol'!$C$2:$G$3809,5,0)</f>
        <v>66.071175007503641</v>
      </c>
      <c r="F1079">
        <f>VLOOKUP(C1079,'5y10y Swaption Vol'!temp,3,0)</f>
        <v>99.332236026000004</v>
      </c>
      <c r="H1079" s="1">
        <v>41667</v>
      </c>
      <c r="I1079" t="s">
        <v>2</v>
      </c>
      <c r="J1079">
        <v>2.8720720000000002</v>
      </c>
      <c r="K1079">
        <v>-1.3814999999999689E-2</v>
      </c>
      <c r="L1079">
        <v>68.071302113473081</v>
      </c>
      <c r="M1079">
        <f t="shared" si="16"/>
        <v>-33</v>
      </c>
    </row>
    <row r="1080" spans="3:13">
      <c r="C1080" s="2">
        <v>41635</v>
      </c>
      <c r="D1080">
        <v>64.039647839312082</v>
      </c>
      <c r="E1080">
        <f>VLOOKUP(C1080,'10y swap Vol'!$C$2:$G$3809,5,0)</f>
        <v>65.854259521429725</v>
      </c>
      <c r="F1080">
        <f>VLOOKUP(C1080,'5y10y Swaption Vol'!temp,3,0)</f>
        <v>98.918927912000001</v>
      </c>
      <c r="H1080" s="1">
        <v>41668</v>
      </c>
      <c r="I1080" t="s">
        <v>2</v>
      </c>
      <c r="J1080">
        <v>2.8099280000000002</v>
      </c>
      <c r="K1080">
        <v>-6.2143999999999977E-2</v>
      </c>
      <c r="L1080">
        <v>69.369560494946214</v>
      </c>
      <c r="M1080">
        <f t="shared" si="16"/>
        <v>-33</v>
      </c>
    </row>
    <row r="1081" spans="3:13">
      <c r="C1081" s="2">
        <v>41638</v>
      </c>
      <c r="D1081">
        <v>64.475319854121665</v>
      </c>
      <c r="E1081">
        <f>VLOOKUP(C1081,'10y swap Vol'!$C$2:$G$3809,5,0)</f>
        <v>66.07015883654617</v>
      </c>
      <c r="F1081">
        <f>VLOOKUP(C1081,'5y10y Swaption Vol'!temp,3,0)</f>
        <v>98.918211200000002</v>
      </c>
      <c r="H1081" s="1">
        <v>41669</v>
      </c>
      <c r="I1081" t="s">
        <v>2</v>
      </c>
      <c r="J1081">
        <v>2.827108</v>
      </c>
      <c r="K1081">
        <v>1.7179999999999751E-2</v>
      </c>
      <c r="L1081">
        <v>69.397131833239925</v>
      </c>
      <c r="M1081">
        <f t="shared" si="16"/>
        <v>-31</v>
      </c>
    </row>
    <row r="1082" spans="3:13">
      <c r="C1082" s="2">
        <v>41639</v>
      </c>
      <c r="D1082">
        <v>64.489874135457839</v>
      </c>
      <c r="E1082" t="e">
        <f>VLOOKUP(C1082,'10y swap Vol'!$C$2:$G$3809,5,0)</f>
        <v>#N/A</v>
      </c>
      <c r="F1082">
        <f>VLOOKUP(C1082,'5y10y Swaption Vol'!temp,3,0)</f>
        <v>99.505472814000001</v>
      </c>
      <c r="H1082" s="1">
        <v>41670</v>
      </c>
      <c r="I1082" t="s">
        <v>2</v>
      </c>
      <c r="J1082">
        <v>2.803121</v>
      </c>
      <c r="K1082">
        <v>-2.3986999999999981E-2</v>
      </c>
      <c r="L1082">
        <v>69.536939046948746</v>
      </c>
      <c r="M1082">
        <f t="shared" si="16"/>
        <v>-31</v>
      </c>
    </row>
    <row r="1083" spans="3:13">
      <c r="C1083" s="2">
        <v>41641</v>
      </c>
      <c r="D1083">
        <v>64.23652410943977</v>
      </c>
      <c r="E1083">
        <f>VLOOKUP(C1083,'10y swap Vol'!$C$2:$G$3809,5,0)</f>
        <v>65.878786718482388</v>
      </c>
      <c r="F1083">
        <f>VLOOKUP(C1083,'5y10y Swaption Vol'!temp,3,0)</f>
        <v>99.143789045000005</v>
      </c>
      <c r="H1083" s="1">
        <v>41673</v>
      </c>
      <c r="I1083" t="s">
        <v>2</v>
      </c>
      <c r="J1083">
        <v>2.7218149999999999</v>
      </c>
      <c r="K1083">
        <v>-8.13060000000001E-2</v>
      </c>
      <c r="L1083">
        <v>71.53135359270351</v>
      </c>
      <c r="M1083">
        <f t="shared" si="16"/>
        <v>-32</v>
      </c>
    </row>
    <row r="1084" spans="3:13">
      <c r="C1084" s="2">
        <v>41642</v>
      </c>
      <c r="D1084">
        <v>64.04245338676624</v>
      </c>
      <c r="E1084">
        <f>VLOOKUP(C1084,'10y swap Vol'!$C$2:$G$3809,5,0)</f>
        <v>65.760166881970662</v>
      </c>
      <c r="F1084">
        <f>VLOOKUP(C1084,'5y10y Swaption Vol'!temp,3,0)</f>
        <v>98.439395469999994</v>
      </c>
      <c r="H1084" s="1">
        <v>41674</v>
      </c>
      <c r="I1084" t="s">
        <v>2</v>
      </c>
      <c r="J1084">
        <v>2.7656510000000001</v>
      </c>
      <c r="K1084">
        <v>4.3836000000000208E-2</v>
      </c>
      <c r="L1084">
        <v>70.424332350538236</v>
      </c>
      <c r="M1084">
        <f t="shared" si="16"/>
        <v>-32</v>
      </c>
    </row>
    <row r="1085" spans="3:13">
      <c r="C1085" s="2">
        <v>41645</v>
      </c>
      <c r="D1085">
        <v>64.365012749738341</v>
      </c>
      <c r="E1085">
        <f>VLOOKUP(C1085,'10y swap Vol'!$C$2:$G$3809,5,0)</f>
        <v>66.103978064409787</v>
      </c>
      <c r="F1085">
        <f>VLOOKUP(C1085,'5y10y Swaption Vol'!temp,3,0)</f>
        <v>97.907158080000002</v>
      </c>
      <c r="H1085" s="1">
        <v>41675</v>
      </c>
      <c r="I1085" t="s">
        <v>2</v>
      </c>
      <c r="J1085">
        <v>2.8041930000000002</v>
      </c>
      <c r="K1085">
        <v>3.8542000000000076E-2</v>
      </c>
      <c r="L1085">
        <v>70.747670677407839</v>
      </c>
      <c r="M1085">
        <f t="shared" si="16"/>
        <v>-30</v>
      </c>
    </row>
    <row r="1086" spans="3:13">
      <c r="C1086" s="2">
        <v>41646</v>
      </c>
      <c r="D1086">
        <v>64.793587419284819</v>
      </c>
      <c r="E1086">
        <f>VLOOKUP(C1086,'10y swap Vol'!$C$2:$G$3809,5,0)</f>
        <v>65.876520866222521</v>
      </c>
      <c r="F1086">
        <f>VLOOKUP(C1086,'5y10y Swaption Vol'!temp,3,0)</f>
        <v>96.90021376</v>
      </c>
      <c r="H1086" s="1">
        <v>41676</v>
      </c>
      <c r="I1086" t="s">
        <v>2</v>
      </c>
      <c r="J1086">
        <v>2.8371330000000001</v>
      </c>
      <c r="K1086">
        <v>3.2939999999999969E-2</v>
      </c>
      <c r="L1086">
        <v>69.970880906169157</v>
      </c>
      <c r="M1086">
        <f t="shared" si="16"/>
        <v>-30</v>
      </c>
    </row>
    <row r="1087" spans="3:13">
      <c r="C1087" s="2">
        <v>41647</v>
      </c>
      <c r="D1087">
        <v>65.589804272480407</v>
      </c>
      <c r="E1087">
        <f>VLOOKUP(C1087,'10y swap Vol'!$C$2:$G$3809,5,0)</f>
        <v>66.477533793518234</v>
      </c>
      <c r="F1087">
        <f>VLOOKUP(C1087,'5y10y Swaption Vol'!temp,3,0)</f>
        <v>97.052304101999994</v>
      </c>
      <c r="H1087" s="1">
        <v>41677</v>
      </c>
      <c r="I1087" t="s">
        <v>2</v>
      </c>
      <c r="J1087">
        <v>2.8038949999999998</v>
      </c>
      <c r="K1087">
        <v>-3.3238000000000323E-2</v>
      </c>
      <c r="L1087">
        <v>70.001852426034191</v>
      </c>
      <c r="M1087">
        <f t="shared" si="16"/>
        <v>-30</v>
      </c>
    </row>
    <row r="1088" spans="3:13">
      <c r="C1088" s="2">
        <v>41648</v>
      </c>
      <c r="D1088">
        <v>65.764142991027086</v>
      </c>
      <c r="E1088">
        <f>VLOOKUP(C1088,'10y swap Vol'!$C$2:$G$3809,5,0)</f>
        <v>66.48619820722827</v>
      </c>
      <c r="F1088">
        <f>VLOOKUP(C1088,'5y10y Swaption Vol'!temp,3,0)</f>
        <v>96.273680694000006</v>
      </c>
      <c r="H1088" s="1">
        <v>41680</v>
      </c>
      <c r="I1088" t="s">
        <v>2</v>
      </c>
      <c r="J1088">
        <v>2.7961990000000001</v>
      </c>
      <c r="K1088">
        <v>-7.6959999999997031E-3</v>
      </c>
      <c r="L1088">
        <v>69.705334857169561</v>
      </c>
      <c r="M1088">
        <f t="shared" si="16"/>
        <v>-32</v>
      </c>
    </row>
    <row r="1089" spans="3:13">
      <c r="C1089" s="2">
        <v>41649</v>
      </c>
      <c r="D1089">
        <v>69.291759946015858</v>
      </c>
      <c r="E1089">
        <f>VLOOKUP(C1089,'10y swap Vol'!$C$2:$G$3809,5,0)</f>
        <v>69.551646448377355</v>
      </c>
      <c r="F1089">
        <f>VLOOKUP(C1089,'5y10y Swaption Vol'!temp,3,0)</f>
        <v>94.343277177000004</v>
      </c>
      <c r="H1089" s="1">
        <v>41681</v>
      </c>
      <c r="I1089" t="s">
        <v>2</v>
      </c>
      <c r="J1089">
        <v>2.8445420000000001</v>
      </c>
      <c r="K1089">
        <v>4.8343000000000025E-2</v>
      </c>
      <c r="L1089">
        <v>65.197526120899013</v>
      </c>
      <c r="M1089">
        <f t="shared" si="16"/>
        <v>-32</v>
      </c>
    </row>
    <row r="1090" spans="3:13">
      <c r="C1090" s="2">
        <v>41652</v>
      </c>
      <c r="D1090">
        <v>69.481128994283722</v>
      </c>
      <c r="E1090">
        <f>VLOOKUP(C1090,'10y swap Vol'!$C$2:$G$3809,5,0)</f>
        <v>69.980708043405457</v>
      </c>
      <c r="F1090">
        <f>VLOOKUP(C1090,'5y10y Swaption Vol'!temp,3,0)</f>
        <v>93.553590130000003</v>
      </c>
      <c r="H1090" s="1">
        <v>41682</v>
      </c>
      <c r="I1090" t="s">
        <v>2</v>
      </c>
      <c r="J1090">
        <v>2.887594</v>
      </c>
      <c r="K1090">
        <v>4.3051999999999868E-2</v>
      </c>
      <c r="L1090">
        <v>65.703157367678443</v>
      </c>
      <c r="M1090">
        <f t="shared" si="16"/>
        <v>-30</v>
      </c>
    </row>
    <row r="1091" spans="3:13">
      <c r="C1091" s="2">
        <v>41653</v>
      </c>
      <c r="D1091">
        <v>69.778350069294717</v>
      </c>
      <c r="E1091">
        <f>VLOOKUP(C1091,'10y swap Vol'!$C$2:$G$3809,5,0)</f>
        <v>70.722790934519779</v>
      </c>
      <c r="F1091">
        <f>VLOOKUP(C1091,'5y10y Swaption Vol'!temp,3,0)</f>
        <v>93.989569520000003</v>
      </c>
      <c r="H1091" s="1">
        <v>41683</v>
      </c>
      <c r="I1091" t="s">
        <v>2</v>
      </c>
      <c r="J1091">
        <v>2.836303</v>
      </c>
      <c r="K1091">
        <v>-5.1290999999999976E-2</v>
      </c>
      <c r="L1091">
        <v>65.766579205194375</v>
      </c>
      <c r="M1091">
        <f t="shared" ref="M1091:M1154" si="17">C1091-H1091</f>
        <v>-30</v>
      </c>
    </row>
    <row r="1092" spans="3:13">
      <c r="C1092" s="2">
        <v>41654</v>
      </c>
      <c r="D1092">
        <v>67.071058520466693</v>
      </c>
      <c r="E1092">
        <f>VLOOKUP(C1092,'10y swap Vol'!$C$2:$G$3809,5,0)</f>
        <v>70.514474083424901</v>
      </c>
      <c r="F1092">
        <f>VLOOKUP(C1092,'5y10y Swaption Vol'!temp,3,0)</f>
        <v>94.063556001999999</v>
      </c>
      <c r="H1092" s="1">
        <v>41684</v>
      </c>
      <c r="I1092" t="s">
        <v>2</v>
      </c>
      <c r="J1092">
        <v>2.850587</v>
      </c>
      <c r="K1092">
        <v>1.4283999999999963E-2</v>
      </c>
      <c r="L1092">
        <v>65.037075744062946</v>
      </c>
      <c r="M1092">
        <f t="shared" si="17"/>
        <v>-30</v>
      </c>
    </row>
    <row r="1093" spans="3:13">
      <c r="C1093" s="2">
        <v>41655</v>
      </c>
      <c r="D1093">
        <v>67.609734525851849</v>
      </c>
      <c r="E1093">
        <f>VLOOKUP(C1093,'10y swap Vol'!$C$2:$G$3809,5,0)</f>
        <v>70.234041545142674</v>
      </c>
      <c r="F1093">
        <f>VLOOKUP(C1093,'5y10y Swaption Vol'!temp,3,0)</f>
        <v>93.741374065000002</v>
      </c>
      <c r="H1093" s="1">
        <v>41688</v>
      </c>
      <c r="I1093" t="s">
        <v>2</v>
      </c>
      <c r="J1093">
        <v>2.8219639999999999</v>
      </c>
      <c r="K1093">
        <v>-2.8623000000000065E-2</v>
      </c>
      <c r="L1093">
        <v>65.251424114900331</v>
      </c>
      <c r="M1093">
        <f t="shared" si="17"/>
        <v>-33</v>
      </c>
    </row>
    <row r="1094" spans="3:13">
      <c r="C1094" s="2">
        <v>41656</v>
      </c>
      <c r="D1094">
        <v>67.656124165044844</v>
      </c>
      <c r="E1094">
        <f>VLOOKUP(C1094,'10y swap Vol'!$C$2:$G$3809,5,0)</f>
        <v>68.247648984030633</v>
      </c>
      <c r="F1094">
        <f>VLOOKUP(C1094,'5y10y Swaption Vol'!temp,3,0)</f>
        <v>93.547170553000001</v>
      </c>
      <c r="H1094" s="1">
        <v>41689</v>
      </c>
      <c r="I1094" t="s">
        <v>2</v>
      </c>
      <c r="J1094">
        <v>2.8424870000000002</v>
      </c>
      <c r="K1094">
        <v>2.0523000000000291E-2</v>
      </c>
      <c r="L1094">
        <v>64.892114843186647</v>
      </c>
      <c r="M1094">
        <f t="shared" si="17"/>
        <v>-33</v>
      </c>
    </row>
    <row r="1095" spans="3:13">
      <c r="C1095" s="2">
        <v>41660</v>
      </c>
      <c r="D1095">
        <v>64.437287408100701</v>
      </c>
      <c r="E1095">
        <f>VLOOKUP(C1095,'10y swap Vol'!$C$2:$G$3809,5,0)</f>
        <v>68.335105620218457</v>
      </c>
      <c r="F1095">
        <f>VLOOKUP(C1095,'5y10y Swaption Vol'!temp,3,0)</f>
        <v>93.697014124000006</v>
      </c>
      <c r="H1095" s="1">
        <v>41690</v>
      </c>
      <c r="I1095" t="s">
        <v>2</v>
      </c>
      <c r="J1095">
        <v>2.8585669999999999</v>
      </c>
      <c r="K1095">
        <v>1.607999999999965E-2</v>
      </c>
      <c r="L1095">
        <v>62.249728881917001</v>
      </c>
      <c r="M1095">
        <f t="shared" si="17"/>
        <v>-30</v>
      </c>
    </row>
    <row r="1096" spans="3:13">
      <c r="C1096" s="2">
        <v>41661</v>
      </c>
      <c r="D1096">
        <v>64.743056402709499</v>
      </c>
      <c r="E1096">
        <f>VLOOKUP(C1096,'10y swap Vol'!$C$2:$G$3809,5,0)</f>
        <v>68.805095089224949</v>
      </c>
      <c r="F1096">
        <f>VLOOKUP(C1096,'5y10y Swaption Vol'!temp,3,0)</f>
        <v>93.820181930000004</v>
      </c>
      <c r="H1096" s="1">
        <v>41691</v>
      </c>
      <c r="I1096" t="s">
        <v>2</v>
      </c>
      <c r="J1096">
        <v>2.8294480000000002</v>
      </c>
      <c r="K1096">
        <v>-2.9118999999999673E-2</v>
      </c>
      <c r="L1096">
        <v>62.540668289055425</v>
      </c>
      <c r="M1096">
        <f t="shared" si="17"/>
        <v>-30</v>
      </c>
    </row>
    <row r="1097" spans="3:13">
      <c r="C1097" s="2">
        <v>41662</v>
      </c>
      <c r="D1097">
        <v>65.807773315719118</v>
      </c>
      <c r="E1097">
        <f>VLOOKUP(C1097,'10y swap Vol'!$C$2:$G$3809,5,0)</f>
        <v>67.962298858193407</v>
      </c>
      <c r="F1097">
        <f>VLOOKUP(C1097,'5y10y Swaption Vol'!temp,3,0)</f>
        <v>93.434447645000006</v>
      </c>
      <c r="H1097" s="1">
        <v>41694</v>
      </c>
      <c r="I1097" t="s">
        <v>2</v>
      </c>
      <c r="J1097">
        <v>2.8449439999999999</v>
      </c>
      <c r="K1097">
        <v>1.5495999999999732E-2</v>
      </c>
      <c r="L1097">
        <v>62.578888752833748</v>
      </c>
      <c r="M1097">
        <f t="shared" si="17"/>
        <v>-32</v>
      </c>
    </row>
    <row r="1098" spans="3:13">
      <c r="C1098" s="2">
        <v>41663</v>
      </c>
      <c r="D1098">
        <v>66.26902863377056</v>
      </c>
      <c r="E1098">
        <f>VLOOKUP(C1098,'10y swap Vol'!$C$2:$G$3809,5,0)</f>
        <v>68.254078231333821</v>
      </c>
      <c r="F1098">
        <f>VLOOKUP(C1098,'5y10y Swaption Vol'!temp,3,0)</f>
        <v>93.254997176000003</v>
      </c>
      <c r="H1098" s="1">
        <v>41695</v>
      </c>
      <c r="I1098" t="s">
        <v>2</v>
      </c>
      <c r="J1098">
        <v>2.794886</v>
      </c>
      <c r="K1098">
        <v>-5.0057999999999936E-2</v>
      </c>
      <c r="L1098">
        <v>63.406936628095487</v>
      </c>
      <c r="M1098">
        <f t="shared" si="17"/>
        <v>-32</v>
      </c>
    </row>
    <row r="1099" spans="3:13">
      <c r="C1099" s="2">
        <v>41666</v>
      </c>
      <c r="D1099">
        <v>66.740267064134017</v>
      </c>
      <c r="E1099">
        <f>VLOOKUP(C1099,'10y swap Vol'!$C$2:$G$3809,5,0)</f>
        <v>68.144245144493681</v>
      </c>
      <c r="F1099">
        <f>VLOOKUP(C1099,'5y10y Swaption Vol'!temp,3,0)</f>
        <v>93.551087280000004</v>
      </c>
      <c r="H1099" s="1">
        <v>41696</v>
      </c>
      <c r="I1099" t="s">
        <v>2</v>
      </c>
      <c r="J1099">
        <v>2.7659120000000001</v>
      </c>
      <c r="K1099">
        <v>-2.8973999999999833E-2</v>
      </c>
      <c r="L1099">
        <v>63.105886865857507</v>
      </c>
      <c r="M1099">
        <f t="shared" si="17"/>
        <v>-30</v>
      </c>
    </row>
    <row r="1100" spans="3:13">
      <c r="C1100" s="2">
        <v>41667</v>
      </c>
      <c r="D1100">
        <v>66.780029389349451</v>
      </c>
      <c r="E1100">
        <f>VLOOKUP(C1100,'10y swap Vol'!$C$2:$G$3809,5,0)</f>
        <v>68.071302113473081</v>
      </c>
      <c r="F1100">
        <f>VLOOKUP(C1100,'5y10y Swaption Vol'!temp,3,0)</f>
        <v>94.407808590000002</v>
      </c>
      <c r="H1100" s="1">
        <v>41697</v>
      </c>
      <c r="I1100" t="s">
        <v>2</v>
      </c>
      <c r="J1100">
        <v>2.7482980000000001</v>
      </c>
      <c r="K1100">
        <v>-1.7614000000000019E-2</v>
      </c>
      <c r="L1100">
        <v>62.413687370440904</v>
      </c>
      <c r="M1100">
        <f t="shared" si="17"/>
        <v>-30</v>
      </c>
    </row>
    <row r="1101" spans="3:13">
      <c r="C1101" s="2">
        <v>41668</v>
      </c>
      <c r="D1101">
        <v>67.813007731078557</v>
      </c>
      <c r="E1101">
        <f>VLOOKUP(C1101,'10y swap Vol'!$C$2:$G$3809,5,0)</f>
        <v>69.369560494946214</v>
      </c>
      <c r="F1101">
        <f>VLOOKUP(C1101,'5y10y Swaption Vol'!temp,3,0)</f>
        <v>94.637566475</v>
      </c>
      <c r="H1101" s="1">
        <v>41698</v>
      </c>
      <c r="I1101" t="s">
        <v>2</v>
      </c>
      <c r="J1101">
        <v>2.767001</v>
      </c>
      <c r="K1101">
        <v>1.8702999999999914E-2</v>
      </c>
      <c r="L1101">
        <v>62.462139003427261</v>
      </c>
      <c r="M1101">
        <f t="shared" si="17"/>
        <v>-30</v>
      </c>
    </row>
    <row r="1102" spans="3:13">
      <c r="C1102" s="2">
        <v>41669</v>
      </c>
      <c r="D1102">
        <v>67.74707130617368</v>
      </c>
      <c r="E1102">
        <f>VLOOKUP(C1102,'10y swap Vol'!$C$2:$G$3809,5,0)</f>
        <v>69.397131833239925</v>
      </c>
      <c r="F1102">
        <f>VLOOKUP(C1102,'5y10y Swaption Vol'!temp,3,0)</f>
        <v>95.117651705</v>
      </c>
      <c r="H1102" s="1">
        <v>41701</v>
      </c>
      <c r="I1102" t="s">
        <v>2</v>
      </c>
      <c r="J1102">
        <v>2.7275170000000002</v>
      </c>
      <c r="K1102">
        <v>-3.9483999999999853E-2</v>
      </c>
      <c r="L1102">
        <v>61.663330152920039</v>
      </c>
      <c r="M1102">
        <f t="shared" si="17"/>
        <v>-32</v>
      </c>
    </row>
    <row r="1103" spans="3:13">
      <c r="C1103" s="2">
        <v>41670</v>
      </c>
      <c r="D1103">
        <v>66.224875521494127</v>
      </c>
      <c r="E1103">
        <f>VLOOKUP(C1103,'10y swap Vol'!$C$2:$G$3809,5,0)</f>
        <v>69.536939046948746</v>
      </c>
      <c r="F1103">
        <f>VLOOKUP(C1103,'5y10y Swaption Vol'!temp,3,0)</f>
        <v>95.443978678999997</v>
      </c>
      <c r="H1103" s="1">
        <v>41702</v>
      </c>
      <c r="I1103" t="s">
        <v>2</v>
      </c>
      <c r="J1103">
        <v>2.8064939999999998</v>
      </c>
      <c r="K1103">
        <v>7.8976999999999631E-2</v>
      </c>
      <c r="L1103">
        <v>63.661584117566875</v>
      </c>
      <c r="M1103">
        <f t="shared" si="17"/>
        <v>-32</v>
      </c>
    </row>
    <row r="1104" spans="3:13">
      <c r="C1104" s="2">
        <v>41673</v>
      </c>
      <c r="D1104">
        <v>67.653112988566562</v>
      </c>
      <c r="E1104">
        <f>VLOOKUP(C1104,'10y swap Vol'!$C$2:$G$3809,5,0)</f>
        <v>71.53135359270351</v>
      </c>
      <c r="F1104">
        <f>VLOOKUP(C1104,'5y10y Swaption Vol'!temp,3,0)</f>
        <v>95.596080775999994</v>
      </c>
      <c r="H1104" s="1">
        <v>41703</v>
      </c>
      <c r="I1104" t="s">
        <v>2</v>
      </c>
      <c r="J1104">
        <v>2.8051590000000002</v>
      </c>
      <c r="K1104">
        <v>-1.334999999999642E-3</v>
      </c>
      <c r="L1104">
        <v>62.061303763518197</v>
      </c>
      <c r="M1104">
        <f t="shared" si="17"/>
        <v>-30</v>
      </c>
    </row>
    <row r="1105" spans="3:13">
      <c r="C1105" s="2">
        <v>41674</v>
      </c>
      <c r="D1105">
        <v>66.470547902817074</v>
      </c>
      <c r="E1105">
        <f>VLOOKUP(C1105,'10y swap Vol'!$C$2:$G$3809,5,0)</f>
        <v>70.424332350538236</v>
      </c>
      <c r="F1105">
        <f>VLOOKUP(C1105,'5y10y Swaption Vol'!temp,3,0)</f>
        <v>96.383639823999999</v>
      </c>
      <c r="H1105" s="1">
        <v>41704</v>
      </c>
      <c r="I1105" t="s">
        <v>2</v>
      </c>
      <c r="J1105">
        <v>2.8482560000000001</v>
      </c>
      <c r="K1105">
        <v>4.3096999999999941E-2</v>
      </c>
      <c r="L1105">
        <v>62.738637874357735</v>
      </c>
      <c r="M1105">
        <f t="shared" si="17"/>
        <v>-30</v>
      </c>
    </row>
    <row r="1106" spans="3:13">
      <c r="C1106" s="2">
        <v>41675</v>
      </c>
      <c r="D1106">
        <v>67.112658872744134</v>
      </c>
      <c r="E1106">
        <f>VLOOKUP(C1106,'10y swap Vol'!$C$2:$G$3809,5,0)</f>
        <v>70.747670677407839</v>
      </c>
      <c r="F1106">
        <f>VLOOKUP(C1106,'5y10y Swaption Vol'!temp,3,0)</f>
        <v>96.418449248000002</v>
      </c>
      <c r="H1106" s="1">
        <v>41705</v>
      </c>
      <c r="I1106" t="s">
        <v>2</v>
      </c>
      <c r="J1106">
        <v>2.895543</v>
      </c>
      <c r="K1106">
        <v>4.7286999999999857E-2</v>
      </c>
      <c r="L1106">
        <v>63.453404835230153</v>
      </c>
      <c r="M1106">
        <f t="shared" si="17"/>
        <v>-30</v>
      </c>
    </row>
    <row r="1107" spans="3:13">
      <c r="C1107" s="2">
        <v>41676</v>
      </c>
      <c r="D1107">
        <v>67.214537142380323</v>
      </c>
      <c r="E1107">
        <f>VLOOKUP(C1107,'10y swap Vol'!$C$2:$G$3809,5,0)</f>
        <v>69.970880906169157</v>
      </c>
      <c r="F1107">
        <f>VLOOKUP(C1107,'5y10y Swaption Vol'!temp,3,0)</f>
        <v>96.200147049999998</v>
      </c>
      <c r="H1107" s="1">
        <v>41708</v>
      </c>
      <c r="I1107" t="s">
        <v>2</v>
      </c>
      <c r="J1107">
        <v>2.8842889999999999</v>
      </c>
      <c r="K1107">
        <v>-1.1254000000000097E-2</v>
      </c>
      <c r="L1107">
        <v>63.156918880807837</v>
      </c>
      <c r="M1107">
        <f t="shared" si="17"/>
        <v>-32</v>
      </c>
    </row>
    <row r="1108" spans="3:13">
      <c r="C1108" s="2">
        <v>41677</v>
      </c>
      <c r="D1108">
        <v>62.398787756624699</v>
      </c>
      <c r="E1108">
        <f>VLOOKUP(C1108,'10y swap Vol'!$C$2:$G$3809,5,0)</f>
        <v>70.001852426034191</v>
      </c>
      <c r="F1108">
        <f>VLOOKUP(C1108,'5y10y Swaption Vol'!temp,3,0)</f>
        <v>95.754556754999996</v>
      </c>
      <c r="H1108" s="1">
        <v>41709</v>
      </c>
      <c r="I1108" t="s">
        <v>2</v>
      </c>
      <c r="J1108">
        <v>2.8633500000000001</v>
      </c>
      <c r="K1108">
        <v>-2.0938999999999819E-2</v>
      </c>
      <c r="L1108">
        <v>62.462310575103139</v>
      </c>
      <c r="M1108">
        <f t="shared" si="17"/>
        <v>-32</v>
      </c>
    </row>
    <row r="1109" spans="3:13">
      <c r="C1109" s="2">
        <v>41680</v>
      </c>
      <c r="D1109">
        <v>62.395376491353858</v>
      </c>
      <c r="E1109">
        <f>VLOOKUP(C1109,'10y swap Vol'!$C$2:$G$3809,5,0)</f>
        <v>69.705334857169561</v>
      </c>
      <c r="F1109">
        <f>VLOOKUP(C1109,'5y10y Swaption Vol'!temp,3,0)</f>
        <v>95.345154621000006</v>
      </c>
      <c r="H1109" s="1">
        <v>41710</v>
      </c>
      <c r="I1109" t="s">
        <v>2</v>
      </c>
      <c r="J1109">
        <v>2.8265720000000001</v>
      </c>
      <c r="K1109">
        <v>-3.6777999999999977E-2</v>
      </c>
      <c r="L1109">
        <v>62.295950684228487</v>
      </c>
      <c r="M1109">
        <f t="shared" si="17"/>
        <v>-30</v>
      </c>
    </row>
    <row r="1110" spans="3:13">
      <c r="C1110" s="2">
        <v>41681</v>
      </c>
      <c r="D1110">
        <v>62.485475731778948</v>
      </c>
      <c r="E1110">
        <f>VLOOKUP(C1110,'10y swap Vol'!$C$2:$G$3809,5,0)</f>
        <v>65.197526120899013</v>
      </c>
      <c r="F1110">
        <f>VLOOKUP(C1110,'5y10y Swaption Vol'!temp,3,0)</f>
        <v>95.389644380999997</v>
      </c>
      <c r="H1110" s="1">
        <v>41711</v>
      </c>
      <c r="I1110" t="s">
        <v>2</v>
      </c>
      <c r="J1110">
        <v>2.7652030000000001</v>
      </c>
      <c r="K1110">
        <v>-6.1369000000000007E-2</v>
      </c>
      <c r="L1110">
        <v>63.055843456191617</v>
      </c>
      <c r="M1110">
        <f t="shared" si="17"/>
        <v>-30</v>
      </c>
    </row>
    <row r="1111" spans="3:13">
      <c r="C1111" s="2">
        <v>41682</v>
      </c>
      <c r="D1111">
        <v>62.338644812952751</v>
      </c>
      <c r="E1111">
        <f>VLOOKUP(C1111,'10y swap Vol'!$C$2:$G$3809,5,0)</f>
        <v>65.703157367678443</v>
      </c>
      <c r="F1111">
        <f>VLOOKUP(C1111,'5y10y Swaption Vol'!temp,3,0)</f>
        <v>95.366595071999996</v>
      </c>
      <c r="H1111" s="1">
        <v>41712</v>
      </c>
      <c r="I1111" t="s">
        <v>2</v>
      </c>
      <c r="J1111">
        <v>2.758864</v>
      </c>
      <c r="K1111">
        <v>-6.3390000000000946E-3</v>
      </c>
      <c r="L1111">
        <v>63.038073006545204</v>
      </c>
      <c r="M1111">
        <f t="shared" si="17"/>
        <v>-30</v>
      </c>
    </row>
    <row r="1112" spans="3:13">
      <c r="C1112" s="2">
        <v>41683</v>
      </c>
      <c r="D1112">
        <v>62.907032492548055</v>
      </c>
      <c r="E1112">
        <f>VLOOKUP(C1112,'10y swap Vol'!$C$2:$G$3809,5,0)</f>
        <v>65.766579205194375</v>
      </c>
      <c r="F1112">
        <f>VLOOKUP(C1112,'5y10y Swaption Vol'!temp,3,0)</f>
        <v>94.925264616000007</v>
      </c>
      <c r="H1112" s="1">
        <v>41715</v>
      </c>
      <c r="I1112" t="s">
        <v>2</v>
      </c>
      <c r="J1112">
        <v>2.8114560000000002</v>
      </c>
      <c r="K1112">
        <v>5.2592000000000194E-2</v>
      </c>
      <c r="L1112">
        <v>64.021054984031252</v>
      </c>
      <c r="M1112">
        <f t="shared" si="17"/>
        <v>-32</v>
      </c>
    </row>
    <row r="1113" spans="3:13">
      <c r="C1113" s="2">
        <v>41684</v>
      </c>
      <c r="D1113">
        <v>62.595082437520276</v>
      </c>
      <c r="E1113">
        <f>VLOOKUP(C1113,'10y swap Vol'!$C$2:$G$3809,5,0)</f>
        <v>65.037075744062946</v>
      </c>
      <c r="F1113">
        <f>VLOOKUP(C1113,'5y10y Swaption Vol'!temp,3,0)</f>
        <v>94.495113013999998</v>
      </c>
      <c r="H1113" s="1">
        <v>41716</v>
      </c>
      <c r="I1113" t="s">
        <v>2</v>
      </c>
      <c r="J1113">
        <v>2.7959320000000001</v>
      </c>
      <c r="K1113">
        <v>-1.5524000000000093E-2</v>
      </c>
      <c r="L1113">
        <v>63.571153875808214</v>
      </c>
      <c r="M1113">
        <f t="shared" si="17"/>
        <v>-32</v>
      </c>
    </row>
    <row r="1114" spans="3:13">
      <c r="C1114" s="2">
        <v>41688</v>
      </c>
      <c r="D1114">
        <v>62.393006450312214</v>
      </c>
      <c r="E1114">
        <f>VLOOKUP(C1114,'10y swap Vol'!$C$2:$G$3809,5,0)</f>
        <v>65.251424114900331</v>
      </c>
      <c r="F1114">
        <f>VLOOKUP(C1114,'5y10y Swaption Vol'!temp,3,0)</f>
        <v>94.361176139999998</v>
      </c>
      <c r="H1114" s="1">
        <v>41717</v>
      </c>
      <c r="I1114" t="s">
        <v>2</v>
      </c>
      <c r="J1114">
        <v>2.885475</v>
      </c>
      <c r="K1114">
        <v>8.9542999999999928E-2</v>
      </c>
      <c r="L1114">
        <v>65.631905666959639</v>
      </c>
      <c r="M1114">
        <f t="shared" si="17"/>
        <v>-29</v>
      </c>
    </row>
    <row r="1115" spans="3:13">
      <c r="C1115" s="2">
        <v>41689</v>
      </c>
      <c r="D1115">
        <v>60.834734223042574</v>
      </c>
      <c r="E1115">
        <f>VLOOKUP(C1115,'10y swap Vol'!$C$2:$G$3809,5,0)</f>
        <v>64.892114843186647</v>
      </c>
      <c r="F1115">
        <f>VLOOKUP(C1115,'5y10y Swaption Vol'!temp,3,0)</f>
        <v>94.542731833000005</v>
      </c>
      <c r="H1115" s="1">
        <v>41718</v>
      </c>
      <c r="I1115" t="s">
        <v>2</v>
      </c>
      <c r="J1115">
        <v>2.8959239999999999</v>
      </c>
      <c r="K1115">
        <v>1.0448999999999931E-2</v>
      </c>
      <c r="L1115">
        <v>64.665723644275758</v>
      </c>
      <c r="M1115">
        <f t="shared" si="17"/>
        <v>-29</v>
      </c>
    </row>
    <row r="1116" spans="3:13">
      <c r="C1116" s="2">
        <v>41690</v>
      </c>
      <c r="D1116">
        <v>60.955408938441224</v>
      </c>
      <c r="E1116">
        <f>VLOOKUP(C1116,'10y swap Vol'!$C$2:$G$3809,5,0)</f>
        <v>62.249728881917001</v>
      </c>
      <c r="F1116">
        <f>VLOOKUP(C1116,'5y10y Swaption Vol'!temp,3,0)</f>
        <v>94.379280731999998</v>
      </c>
      <c r="H1116" s="1">
        <v>41719</v>
      </c>
      <c r="I1116" t="s">
        <v>2</v>
      </c>
      <c r="J1116">
        <v>2.8635090000000001</v>
      </c>
      <c r="K1116">
        <v>-3.2414999999999861E-2</v>
      </c>
      <c r="L1116">
        <v>64.443455286496743</v>
      </c>
      <c r="M1116">
        <f t="shared" si="17"/>
        <v>-29</v>
      </c>
    </row>
    <row r="1117" spans="3:13">
      <c r="C1117" s="2">
        <v>41691</v>
      </c>
      <c r="D1117">
        <v>60.995105289038939</v>
      </c>
      <c r="E1117">
        <f>VLOOKUP(C1117,'10y swap Vol'!$C$2:$G$3809,5,0)</f>
        <v>62.540668289055425</v>
      </c>
      <c r="F1117">
        <f>VLOOKUP(C1117,'5y10y Swaption Vol'!temp,3,0)</f>
        <v>94.132731176999997</v>
      </c>
      <c r="H1117" s="1">
        <v>41722</v>
      </c>
      <c r="I1117" t="s">
        <v>2</v>
      </c>
      <c r="J1117">
        <v>2.8500040000000002</v>
      </c>
      <c r="K1117">
        <v>-1.3504999999999878E-2</v>
      </c>
      <c r="L1117">
        <v>63.654178195976087</v>
      </c>
      <c r="M1117">
        <f t="shared" si="17"/>
        <v>-31</v>
      </c>
    </row>
    <row r="1118" spans="3:13">
      <c r="C1118" s="2">
        <v>41694</v>
      </c>
      <c r="D1118">
        <v>61.004133944816253</v>
      </c>
      <c r="E1118">
        <f>VLOOKUP(C1118,'10y swap Vol'!$C$2:$G$3809,5,0)</f>
        <v>62.578888752833748</v>
      </c>
      <c r="F1118">
        <f>VLOOKUP(C1118,'5y10y Swaption Vol'!temp,3,0)</f>
        <v>93.680428904999999</v>
      </c>
      <c r="H1118" s="1">
        <v>41723</v>
      </c>
      <c r="I1118" t="s">
        <v>2</v>
      </c>
      <c r="J1118">
        <v>2.8558089999999998</v>
      </c>
      <c r="K1118">
        <v>5.804999999999616E-3</v>
      </c>
      <c r="L1118">
        <v>62.523172875187996</v>
      </c>
      <c r="M1118">
        <f t="shared" si="17"/>
        <v>-29</v>
      </c>
    </row>
    <row r="1119" spans="3:13">
      <c r="C1119" s="2">
        <v>41695</v>
      </c>
      <c r="D1119">
        <v>61.952110232916354</v>
      </c>
      <c r="E1119">
        <f>VLOOKUP(C1119,'10y swap Vol'!$C$2:$G$3809,5,0)</f>
        <v>63.406936628095487</v>
      </c>
      <c r="F1119">
        <f>VLOOKUP(C1119,'5y10y Swaption Vol'!temp,3,0)</f>
        <v>93.005106249999997</v>
      </c>
      <c r="H1119" s="1">
        <v>41724</v>
      </c>
      <c r="I1119" t="s">
        <v>2</v>
      </c>
      <c r="J1119">
        <v>2.8199209999999999</v>
      </c>
      <c r="K1119">
        <v>-3.588799999999992E-2</v>
      </c>
      <c r="L1119">
        <v>62.85810948843227</v>
      </c>
      <c r="M1119">
        <f t="shared" si="17"/>
        <v>-29</v>
      </c>
    </row>
    <row r="1120" spans="3:13">
      <c r="C1120" s="2">
        <v>41696</v>
      </c>
      <c r="D1120">
        <v>61.276041870686925</v>
      </c>
      <c r="E1120">
        <f>VLOOKUP(C1120,'10y swap Vol'!$C$2:$G$3809,5,0)</f>
        <v>63.105886865857507</v>
      </c>
      <c r="F1120">
        <f>VLOOKUP(C1120,'5y10y Swaption Vol'!temp,3,0)</f>
        <v>92.641287293999994</v>
      </c>
      <c r="H1120" s="1">
        <v>41725</v>
      </c>
      <c r="I1120" t="s">
        <v>2</v>
      </c>
      <c r="J1120">
        <v>2.792036</v>
      </c>
      <c r="K1120">
        <v>-2.7884999999999938E-2</v>
      </c>
      <c r="L1120">
        <v>63.042295568783921</v>
      </c>
      <c r="M1120">
        <f t="shared" si="17"/>
        <v>-29</v>
      </c>
    </row>
    <row r="1121" spans="3:13">
      <c r="C1121" s="2">
        <v>41697</v>
      </c>
      <c r="D1121">
        <v>61.464331178425233</v>
      </c>
      <c r="E1121">
        <f>VLOOKUP(C1121,'10y swap Vol'!$C$2:$G$3809,5,0)</f>
        <v>62.413687370440904</v>
      </c>
      <c r="F1121">
        <f>VLOOKUP(C1121,'5y10y Swaption Vol'!temp,3,0)</f>
        <v>92.609713429999999</v>
      </c>
      <c r="H1121" s="1">
        <v>41726</v>
      </c>
      <c r="I1121" t="s">
        <v>2</v>
      </c>
      <c r="J1121">
        <v>2.8322159999999998</v>
      </c>
      <c r="K1121">
        <v>4.0179999999999882E-2</v>
      </c>
      <c r="L1121">
        <v>63.582272011808527</v>
      </c>
      <c r="M1121">
        <f t="shared" si="17"/>
        <v>-29</v>
      </c>
    </row>
    <row r="1122" spans="3:13">
      <c r="C1122" s="2">
        <v>41698</v>
      </c>
      <c r="D1122">
        <v>59.877899466087058</v>
      </c>
      <c r="E1122">
        <f>VLOOKUP(C1122,'10y swap Vol'!$C$2:$G$3809,5,0)</f>
        <v>62.462139003427261</v>
      </c>
      <c r="F1122">
        <f>VLOOKUP(C1122,'5y10y Swaption Vol'!temp,3,0)</f>
        <v>92.461310777999998</v>
      </c>
      <c r="H1122" s="1">
        <v>41729</v>
      </c>
      <c r="I1122" t="s">
        <v>2</v>
      </c>
      <c r="J1122">
        <v>2.8440720000000002</v>
      </c>
      <c r="K1122">
        <v>1.1856000000000311E-2</v>
      </c>
      <c r="L1122">
        <v>63.473327701078034</v>
      </c>
      <c r="M1122">
        <f t="shared" si="17"/>
        <v>-31</v>
      </c>
    </row>
    <row r="1123" spans="3:13">
      <c r="C1123" s="2">
        <v>41701</v>
      </c>
      <c r="D1123">
        <v>60.076837890063651</v>
      </c>
      <c r="E1123">
        <f>VLOOKUP(C1123,'10y swap Vol'!$C$2:$G$3809,5,0)</f>
        <v>61.663330152920039</v>
      </c>
      <c r="F1123">
        <f>VLOOKUP(C1123,'5y10y Swaption Vol'!temp,3,0)</f>
        <v>92.379528500000006</v>
      </c>
      <c r="H1123" s="1">
        <v>41730</v>
      </c>
      <c r="I1123" t="s">
        <v>2</v>
      </c>
      <c r="J1123">
        <v>2.8810669999999998</v>
      </c>
      <c r="K1123">
        <v>3.6994999999999667E-2</v>
      </c>
      <c r="L1123">
        <v>63.977148781375071</v>
      </c>
      <c r="M1123">
        <f t="shared" si="17"/>
        <v>-29</v>
      </c>
    </row>
    <row r="1124" spans="3:13">
      <c r="C1124" s="2">
        <v>41702</v>
      </c>
      <c r="D1124">
        <v>60.877412520232653</v>
      </c>
      <c r="E1124">
        <f>VLOOKUP(C1124,'10y swap Vol'!$C$2:$G$3809,5,0)</f>
        <v>63.661584117566875</v>
      </c>
      <c r="F1124">
        <f>VLOOKUP(C1124,'5y10y Swaption Vol'!temp,3,0)</f>
        <v>93.433774385000007</v>
      </c>
      <c r="H1124" s="1">
        <v>41731</v>
      </c>
      <c r="I1124" t="s">
        <v>2</v>
      </c>
      <c r="J1124">
        <v>2.920655</v>
      </c>
      <c r="K1124">
        <v>3.9588000000000179E-2</v>
      </c>
      <c r="L1124">
        <v>64.241002438705735</v>
      </c>
      <c r="M1124">
        <f t="shared" si="17"/>
        <v>-29</v>
      </c>
    </row>
    <row r="1125" spans="3:13">
      <c r="C1125" s="2">
        <v>41703</v>
      </c>
      <c r="D1125">
        <v>60.792611789181372</v>
      </c>
      <c r="E1125">
        <f>VLOOKUP(C1125,'10y swap Vol'!$C$2:$G$3809,5,0)</f>
        <v>62.061303763518197</v>
      </c>
      <c r="F1125">
        <f>VLOOKUP(C1125,'5y10y Swaption Vol'!temp,3,0)</f>
        <v>92.950739088000006</v>
      </c>
      <c r="H1125" s="1">
        <v>41732</v>
      </c>
      <c r="I1125" t="s">
        <v>2</v>
      </c>
      <c r="J1125">
        <v>2.9070510000000001</v>
      </c>
      <c r="K1125">
        <v>-1.3603999999999949E-2</v>
      </c>
      <c r="L1125">
        <v>64.143811453414429</v>
      </c>
      <c r="M1125">
        <f t="shared" si="17"/>
        <v>-29</v>
      </c>
    </row>
    <row r="1126" spans="3:13">
      <c r="C1126" s="2">
        <v>41704</v>
      </c>
      <c r="D1126">
        <v>60.929543845982671</v>
      </c>
      <c r="E1126">
        <f>VLOOKUP(C1126,'10y swap Vol'!$C$2:$G$3809,5,0)</f>
        <v>62.738637874357735</v>
      </c>
      <c r="F1126">
        <f>VLOOKUP(C1126,'5y10y Swaption Vol'!temp,3,0)</f>
        <v>93.062957466</v>
      </c>
      <c r="H1126" s="1">
        <v>41733</v>
      </c>
      <c r="I1126" t="s">
        <v>2</v>
      </c>
      <c r="J1126">
        <v>2.8408310000000001</v>
      </c>
      <c r="K1126">
        <v>-6.6219999999999946E-2</v>
      </c>
      <c r="L1126">
        <v>64.347473192832155</v>
      </c>
      <c r="M1126">
        <f t="shared" si="17"/>
        <v>-29</v>
      </c>
    </row>
    <row r="1127" spans="3:13">
      <c r="C1127" s="2">
        <v>41705</v>
      </c>
      <c r="D1127">
        <v>61.144128067136506</v>
      </c>
      <c r="E1127">
        <f>VLOOKUP(C1127,'10y swap Vol'!$C$2:$G$3809,5,0)</f>
        <v>63.453404835230153</v>
      </c>
      <c r="F1127">
        <f>VLOOKUP(C1127,'5y10y Swaption Vol'!temp,3,0)</f>
        <v>92.923129734</v>
      </c>
      <c r="H1127" s="1">
        <v>41736</v>
      </c>
      <c r="I1127" t="s">
        <v>2</v>
      </c>
      <c r="J1127">
        <v>2.8143090000000002</v>
      </c>
      <c r="K1127">
        <v>-2.6521999999999935E-2</v>
      </c>
      <c r="L1127">
        <v>64.488031364825574</v>
      </c>
      <c r="M1127">
        <f t="shared" si="17"/>
        <v>-31</v>
      </c>
    </row>
    <row r="1128" spans="3:13">
      <c r="C1128" s="2">
        <v>41708</v>
      </c>
      <c r="D1128">
        <v>60.680268557964567</v>
      </c>
      <c r="E1128">
        <f>VLOOKUP(C1128,'10y swap Vol'!$C$2:$G$3809,5,0)</f>
        <v>63.156918880807837</v>
      </c>
      <c r="F1128">
        <f>VLOOKUP(C1128,'5y10y Swaption Vol'!temp,3,0)</f>
        <v>92.573822079999999</v>
      </c>
      <c r="H1128" s="1">
        <v>41737</v>
      </c>
      <c r="I1128" t="s">
        <v>2</v>
      </c>
      <c r="J1128">
        <v>2.7950050000000002</v>
      </c>
      <c r="K1128">
        <v>-1.9303999999999988E-2</v>
      </c>
      <c r="L1128">
        <v>61.638656899505797</v>
      </c>
      <c r="M1128">
        <f t="shared" si="17"/>
        <v>-29</v>
      </c>
    </row>
    <row r="1129" spans="3:13">
      <c r="C1129" s="2">
        <v>41709</v>
      </c>
      <c r="D1129">
        <v>59.742057348540776</v>
      </c>
      <c r="E1129">
        <f>VLOOKUP(C1129,'10y swap Vol'!$C$2:$G$3809,5,0)</f>
        <v>62.462310575103139</v>
      </c>
      <c r="F1129">
        <f>VLOOKUP(C1129,'5y10y Swaption Vol'!temp,3,0)</f>
        <v>92.250746092</v>
      </c>
      <c r="H1129" s="1">
        <v>41738</v>
      </c>
      <c r="I1129" t="s">
        <v>2</v>
      </c>
      <c r="J1129">
        <v>2.7959130000000001</v>
      </c>
      <c r="K1129">
        <v>9.0799999999990888E-4</v>
      </c>
      <c r="L1129">
        <v>61.084053234186598</v>
      </c>
      <c r="M1129">
        <f t="shared" si="17"/>
        <v>-29</v>
      </c>
    </row>
    <row r="1130" spans="3:13">
      <c r="C1130" s="2">
        <v>41710</v>
      </c>
      <c r="D1130">
        <v>59.847160676967562</v>
      </c>
      <c r="E1130">
        <f>VLOOKUP(C1130,'10y swap Vol'!$C$2:$G$3809,5,0)</f>
        <v>62.295950684228487</v>
      </c>
      <c r="F1130">
        <f>VLOOKUP(C1130,'5y10y Swaption Vol'!temp,3,0)</f>
        <v>92.059967999999998</v>
      </c>
      <c r="H1130" s="1">
        <v>41739</v>
      </c>
      <c r="I1130" t="s">
        <v>2</v>
      </c>
      <c r="J1130">
        <v>2.747433</v>
      </c>
      <c r="K1130">
        <v>-4.8480000000000079E-2</v>
      </c>
      <c r="L1130">
        <v>60.762556705011974</v>
      </c>
      <c r="M1130">
        <f t="shared" si="17"/>
        <v>-29</v>
      </c>
    </row>
    <row r="1131" spans="3:13">
      <c r="C1131" s="2">
        <v>41711</v>
      </c>
      <c r="D1131">
        <v>60.965180510285919</v>
      </c>
      <c r="E1131">
        <f>VLOOKUP(C1131,'10y swap Vol'!$C$2:$G$3809,5,0)</f>
        <v>63.055843456191617</v>
      </c>
      <c r="F1131">
        <f>VLOOKUP(C1131,'5y10y Swaption Vol'!temp,3,0)</f>
        <v>92.106062292000004</v>
      </c>
      <c r="H1131" s="1">
        <v>41740</v>
      </c>
      <c r="I1131" t="s">
        <v>2</v>
      </c>
      <c r="J1131">
        <v>2.7335340000000001</v>
      </c>
      <c r="K1131">
        <v>-1.3898999999999884E-2</v>
      </c>
      <c r="L1131">
        <v>60.52007037156892</v>
      </c>
      <c r="M1131">
        <f t="shared" si="17"/>
        <v>-29</v>
      </c>
    </row>
    <row r="1132" spans="3:13">
      <c r="C1132" s="2">
        <v>41712</v>
      </c>
      <c r="D1132">
        <v>61.069922986826029</v>
      </c>
      <c r="E1132">
        <f>VLOOKUP(C1132,'10y swap Vol'!$C$2:$G$3809,5,0)</f>
        <v>63.038073006545204</v>
      </c>
      <c r="F1132">
        <f>VLOOKUP(C1132,'5y10y Swaption Vol'!temp,3,0)</f>
        <v>92.507664633999994</v>
      </c>
      <c r="H1132" s="1">
        <v>41743</v>
      </c>
      <c r="I1132" t="s">
        <v>2</v>
      </c>
      <c r="J1132">
        <v>2.758124</v>
      </c>
      <c r="K1132">
        <v>2.458999999999989E-2</v>
      </c>
      <c r="L1132">
        <v>60.466661797275243</v>
      </c>
      <c r="M1132">
        <f t="shared" si="17"/>
        <v>-31</v>
      </c>
    </row>
    <row r="1133" spans="3:13">
      <c r="C1133" s="2">
        <v>41715</v>
      </c>
      <c r="D1133">
        <v>61.86794588730293</v>
      </c>
      <c r="E1133">
        <f>VLOOKUP(C1133,'10y swap Vol'!$C$2:$G$3809,5,0)</f>
        <v>64.021054984031252</v>
      </c>
      <c r="F1133">
        <f>VLOOKUP(C1133,'5y10y Swaption Vol'!temp,3,0)</f>
        <v>92.399087703999996</v>
      </c>
      <c r="H1133" s="1">
        <v>41744</v>
      </c>
      <c r="I1133" t="s">
        <v>2</v>
      </c>
      <c r="J1133">
        <v>2.748472</v>
      </c>
      <c r="K1133">
        <v>-9.6519999999999939E-3</v>
      </c>
      <c r="L1133">
        <v>60.444042781582475</v>
      </c>
      <c r="M1133">
        <f t="shared" si="17"/>
        <v>-29</v>
      </c>
    </row>
    <row r="1134" spans="3:13">
      <c r="C1134" s="2">
        <v>41716</v>
      </c>
      <c r="D1134">
        <v>61.349080722676497</v>
      </c>
      <c r="E1134">
        <f>VLOOKUP(C1134,'10y swap Vol'!$C$2:$G$3809,5,0)</f>
        <v>63.571153875808214</v>
      </c>
      <c r="F1134">
        <f>VLOOKUP(C1134,'5y10y Swaption Vol'!temp,3,0)</f>
        <v>92.460432855999997</v>
      </c>
      <c r="H1134" s="1">
        <v>41745</v>
      </c>
      <c r="I1134" t="s">
        <v>2</v>
      </c>
      <c r="J1134">
        <v>2.7642609999999999</v>
      </c>
      <c r="K1134">
        <v>1.5788999999999831E-2</v>
      </c>
      <c r="L1134">
        <v>60.527036222792589</v>
      </c>
      <c r="M1134">
        <f t="shared" si="17"/>
        <v>-29</v>
      </c>
    </row>
    <row r="1135" spans="3:13">
      <c r="C1135" s="2">
        <v>41717</v>
      </c>
      <c r="D1135">
        <v>62.723109563096756</v>
      </c>
      <c r="E1135">
        <f>VLOOKUP(C1135,'10y swap Vol'!$C$2:$G$3809,5,0)</f>
        <v>65.631905666959639</v>
      </c>
      <c r="F1135">
        <f>VLOOKUP(C1135,'5y10y Swaption Vol'!temp,3,0)</f>
        <v>92.843695315000005</v>
      </c>
      <c r="H1135" s="1">
        <v>41746</v>
      </c>
      <c r="I1135" t="s">
        <v>2</v>
      </c>
      <c r="J1135">
        <v>2.8321499999999999</v>
      </c>
      <c r="K1135">
        <v>6.7889000000000088E-2</v>
      </c>
      <c r="L1135">
        <v>61.472039170564564</v>
      </c>
      <c r="M1135">
        <f t="shared" si="17"/>
        <v>-29</v>
      </c>
    </row>
    <row r="1136" spans="3:13">
      <c r="C1136" s="2">
        <v>41718</v>
      </c>
      <c r="D1136">
        <v>61.240586548245112</v>
      </c>
      <c r="E1136">
        <f>VLOOKUP(C1136,'10y swap Vol'!$C$2:$G$3809,5,0)</f>
        <v>64.665723644275758</v>
      </c>
      <c r="F1136">
        <f>VLOOKUP(C1136,'5y10y Swaption Vol'!temp,3,0)</f>
        <v>92.423363123000001</v>
      </c>
      <c r="H1136" s="1">
        <v>41750</v>
      </c>
      <c r="I1136" t="s">
        <v>2</v>
      </c>
      <c r="J1136">
        <v>2.83074</v>
      </c>
      <c r="K1136">
        <v>-1.4099999999999113E-3</v>
      </c>
      <c r="L1136">
        <v>59.493123263673588</v>
      </c>
      <c r="M1136">
        <f t="shared" si="17"/>
        <v>-32</v>
      </c>
    </row>
    <row r="1137" spans="3:13">
      <c r="C1137" s="2">
        <v>41719</v>
      </c>
      <c r="D1137">
        <v>61.427548654384246</v>
      </c>
      <c r="E1137">
        <f>VLOOKUP(C1137,'10y swap Vol'!$C$2:$G$3809,5,0)</f>
        <v>64.443455286496743</v>
      </c>
      <c r="F1137">
        <f>VLOOKUP(C1137,'5y10y Swaption Vol'!temp,3,0)</f>
        <v>91.566058272000006</v>
      </c>
      <c r="H1137" s="1">
        <v>41751</v>
      </c>
      <c r="I1137" t="s">
        <v>2</v>
      </c>
      <c r="J1137">
        <v>2.8345189999999998</v>
      </c>
      <c r="K1137">
        <v>3.7789999999997548E-3</v>
      </c>
      <c r="L1137">
        <v>59.043575385635336</v>
      </c>
      <c r="M1137">
        <f t="shared" si="17"/>
        <v>-32</v>
      </c>
    </row>
    <row r="1138" spans="3:13">
      <c r="C1138" s="2">
        <v>41722</v>
      </c>
      <c r="D1138">
        <v>59.722030502295134</v>
      </c>
      <c r="E1138">
        <f>VLOOKUP(C1138,'10y swap Vol'!$C$2:$G$3809,5,0)</f>
        <v>63.654178195976087</v>
      </c>
      <c r="F1138">
        <f>VLOOKUP(C1138,'5y10y Swaption Vol'!temp,3,0)</f>
        <v>91.221451238</v>
      </c>
      <c r="H1138" s="1">
        <v>41752</v>
      </c>
      <c r="I1138" t="s">
        <v>2</v>
      </c>
      <c r="J1138">
        <v>2.789161</v>
      </c>
      <c r="K1138">
        <v>-4.5357999999999787E-2</v>
      </c>
      <c r="L1138">
        <v>59.391286110186456</v>
      </c>
      <c r="M1138">
        <f t="shared" si="17"/>
        <v>-30</v>
      </c>
    </row>
    <row r="1139" spans="3:13">
      <c r="C1139" s="2">
        <v>41723</v>
      </c>
      <c r="D1139">
        <v>59.71861366893387</v>
      </c>
      <c r="E1139">
        <f>VLOOKUP(C1139,'10y swap Vol'!$C$2:$G$3809,5,0)</f>
        <v>62.523172875187996</v>
      </c>
      <c r="F1139">
        <f>VLOOKUP(C1139,'5y10y Swaption Vol'!temp,3,0)</f>
        <v>91.344702384000001</v>
      </c>
      <c r="H1139" s="1">
        <v>41753</v>
      </c>
      <c r="I1139" t="s">
        <v>2</v>
      </c>
      <c r="J1139">
        <v>2.7947769999999998</v>
      </c>
      <c r="K1139">
        <v>5.6159999999998433E-3</v>
      </c>
      <c r="L1139">
        <v>59.35454688409029</v>
      </c>
      <c r="M1139">
        <f t="shared" si="17"/>
        <v>-30</v>
      </c>
    </row>
    <row r="1140" spans="3:13">
      <c r="C1140" s="2">
        <v>41724</v>
      </c>
      <c r="D1140">
        <v>59.982699018642037</v>
      </c>
      <c r="E1140">
        <f>VLOOKUP(C1140,'10y swap Vol'!$C$2:$G$3809,5,0)</f>
        <v>62.85810948843227</v>
      </c>
      <c r="F1140">
        <f>VLOOKUP(C1140,'5y10y Swaption Vol'!temp,3,0)</f>
        <v>90.926573270000006</v>
      </c>
      <c r="H1140" s="1">
        <v>41754</v>
      </c>
      <c r="I1140" t="s">
        <v>2</v>
      </c>
      <c r="J1140">
        <v>2.7749299999999999</v>
      </c>
      <c r="K1140">
        <v>-1.9846999999999948E-2</v>
      </c>
      <c r="L1140">
        <v>58.132336019141427</v>
      </c>
      <c r="M1140">
        <f t="shared" si="17"/>
        <v>-30</v>
      </c>
    </row>
    <row r="1141" spans="3:13">
      <c r="C1141" s="2">
        <v>41725</v>
      </c>
      <c r="D1141">
        <v>59.690716353354176</v>
      </c>
      <c r="E1141">
        <f>VLOOKUP(C1141,'10y swap Vol'!$C$2:$G$3809,5,0)</f>
        <v>63.042295568783921</v>
      </c>
      <c r="F1141">
        <f>VLOOKUP(C1141,'5y10y Swaption Vol'!temp,3,0)</f>
        <v>90.538897316000003</v>
      </c>
      <c r="H1141" s="1">
        <v>41757</v>
      </c>
      <c r="I1141" t="s">
        <v>2</v>
      </c>
      <c r="J1141">
        <v>2.7808030000000001</v>
      </c>
      <c r="K1141">
        <v>5.8730000000002391E-3</v>
      </c>
      <c r="L1141">
        <v>58.031666752471537</v>
      </c>
      <c r="M1141">
        <f t="shared" si="17"/>
        <v>-32</v>
      </c>
    </row>
    <row r="1142" spans="3:13">
      <c r="C1142" s="2">
        <v>41726</v>
      </c>
      <c r="D1142">
        <v>59.812735025766194</v>
      </c>
      <c r="E1142">
        <f>VLOOKUP(C1142,'10y swap Vol'!$C$2:$G$3809,5,0)</f>
        <v>63.582272011808527</v>
      </c>
      <c r="F1142">
        <f>VLOOKUP(C1142,'5y10y Swaption Vol'!temp,3,0)</f>
        <v>90.611478489999996</v>
      </c>
      <c r="H1142" s="1">
        <v>41758</v>
      </c>
      <c r="I1142" t="s">
        <v>2</v>
      </c>
      <c r="J1142">
        <v>2.7941530000000001</v>
      </c>
      <c r="K1142">
        <v>1.3349999999999973E-2</v>
      </c>
      <c r="L1142">
        <v>57.899078022039809</v>
      </c>
      <c r="M1142">
        <f t="shared" si="17"/>
        <v>-32</v>
      </c>
    </row>
    <row r="1143" spans="3:13">
      <c r="C1143" s="2">
        <v>41729</v>
      </c>
      <c r="D1143">
        <v>59.908256862162787</v>
      </c>
      <c r="E1143">
        <f>VLOOKUP(C1143,'10y swap Vol'!$C$2:$G$3809,5,0)</f>
        <v>63.473327701078034</v>
      </c>
      <c r="F1143">
        <f>VLOOKUP(C1143,'5y10y Swaption Vol'!temp,3,0)</f>
        <v>90.353633766000002</v>
      </c>
      <c r="H1143" s="1">
        <v>41759</v>
      </c>
      <c r="I1143" t="s">
        <v>2</v>
      </c>
      <c r="J1143">
        <v>2.7519100000000001</v>
      </c>
      <c r="K1143">
        <v>-4.2243000000000031E-2</v>
      </c>
      <c r="L1143">
        <v>56.100094808140369</v>
      </c>
      <c r="M1143">
        <f t="shared" si="17"/>
        <v>-30</v>
      </c>
    </row>
    <row r="1144" spans="3:13">
      <c r="C1144" s="2">
        <v>41730</v>
      </c>
      <c r="D1144">
        <v>60.176573166554057</v>
      </c>
      <c r="E1144">
        <f>VLOOKUP(C1144,'10y swap Vol'!$C$2:$G$3809,5,0)</f>
        <v>63.977148781375071</v>
      </c>
      <c r="F1144">
        <f>VLOOKUP(C1144,'5y10y Swaption Vol'!temp,3,0)</f>
        <v>90.353265225000001</v>
      </c>
      <c r="H1144" s="1">
        <v>41760</v>
      </c>
      <c r="I1144" t="s">
        <v>2</v>
      </c>
      <c r="J1144">
        <v>2.7212749999999999</v>
      </c>
      <c r="K1144">
        <v>-3.063500000000019E-2</v>
      </c>
      <c r="L1144">
        <v>55.720850110625918</v>
      </c>
      <c r="M1144">
        <f t="shared" si="17"/>
        <v>-30</v>
      </c>
    </row>
    <row r="1145" spans="3:13">
      <c r="C1145" s="2">
        <v>41731</v>
      </c>
      <c r="D1145">
        <v>60.39797740432077</v>
      </c>
      <c r="E1145">
        <f>VLOOKUP(C1145,'10y swap Vol'!$C$2:$G$3809,5,0)</f>
        <v>64.241002438705735</v>
      </c>
      <c r="F1145">
        <f>VLOOKUP(C1145,'5y10y Swaption Vol'!temp,3,0)</f>
        <v>90.161683120999996</v>
      </c>
      <c r="H1145" s="1">
        <v>41761</v>
      </c>
      <c r="I1145" t="s">
        <v>2</v>
      </c>
      <c r="J1145">
        <v>2.708221</v>
      </c>
      <c r="K1145">
        <v>-1.3053999999999899E-2</v>
      </c>
      <c r="L1145">
        <v>55.172234658774968</v>
      </c>
      <c r="M1145">
        <f t="shared" si="17"/>
        <v>-30</v>
      </c>
    </row>
    <row r="1146" spans="3:13">
      <c r="C1146" s="2">
        <v>41732</v>
      </c>
      <c r="D1146">
        <v>60.191275398301222</v>
      </c>
      <c r="E1146">
        <f>VLOOKUP(C1146,'10y swap Vol'!$C$2:$G$3809,5,0)</f>
        <v>64.143811453414429</v>
      </c>
      <c r="F1146">
        <f>VLOOKUP(C1146,'5y10y Swaption Vol'!temp,3,0)</f>
        <v>90.003168744000007</v>
      </c>
      <c r="H1146" s="1">
        <v>41764</v>
      </c>
      <c r="I1146" t="s">
        <v>2</v>
      </c>
      <c r="J1146">
        <v>2.7277429999999998</v>
      </c>
      <c r="K1146">
        <v>1.9521999999999817E-2</v>
      </c>
      <c r="L1146">
        <v>54.883528586442601</v>
      </c>
      <c r="M1146">
        <f t="shared" si="17"/>
        <v>-32</v>
      </c>
    </row>
    <row r="1147" spans="3:13">
      <c r="C1147" s="2">
        <v>41733</v>
      </c>
      <c r="D1147">
        <v>60.084514926075272</v>
      </c>
      <c r="E1147">
        <f>VLOOKUP(C1147,'10y swap Vol'!$C$2:$G$3809,5,0)</f>
        <v>64.347473192832155</v>
      </c>
      <c r="F1147">
        <f>VLOOKUP(C1147,'5y10y Swaption Vol'!temp,3,0)</f>
        <v>89.120001189999996</v>
      </c>
      <c r="H1147" s="1">
        <v>41765</v>
      </c>
      <c r="I1147" t="s">
        <v>2</v>
      </c>
      <c r="J1147">
        <v>2.7092510000000001</v>
      </c>
      <c r="K1147">
        <v>-1.8491999999999731E-2</v>
      </c>
      <c r="L1147">
        <v>54.607728442912773</v>
      </c>
      <c r="M1147">
        <f t="shared" si="17"/>
        <v>-32</v>
      </c>
    </row>
    <row r="1148" spans="3:13">
      <c r="C1148" s="2">
        <v>41736</v>
      </c>
      <c r="D1148">
        <v>60.314317908300993</v>
      </c>
      <c r="E1148">
        <f>VLOOKUP(C1148,'10y swap Vol'!$C$2:$G$3809,5,0)</f>
        <v>64.488031364825574</v>
      </c>
      <c r="F1148">
        <f>VLOOKUP(C1148,'5y10y Swaption Vol'!temp,3,0)</f>
        <v>88.538362535000005</v>
      </c>
      <c r="H1148" s="1">
        <v>41766</v>
      </c>
      <c r="I1148" t="s">
        <v>2</v>
      </c>
      <c r="J1148">
        <v>2.6957949999999999</v>
      </c>
      <c r="K1148">
        <v>-1.3456000000000135E-2</v>
      </c>
      <c r="L1148">
        <v>54.647718270167367</v>
      </c>
      <c r="M1148">
        <f t="shared" si="17"/>
        <v>-30</v>
      </c>
    </row>
    <row r="1149" spans="3:13">
      <c r="C1149" s="2">
        <v>41737</v>
      </c>
      <c r="D1149">
        <v>56.777636200074745</v>
      </c>
      <c r="E1149">
        <f>VLOOKUP(C1149,'10y swap Vol'!$C$2:$G$3809,5,0)</f>
        <v>61.638656899505797</v>
      </c>
      <c r="F1149">
        <f>VLOOKUP(C1149,'5y10y Swaption Vol'!temp,3,0)</f>
        <v>88.218986228999995</v>
      </c>
      <c r="H1149" s="1">
        <v>41767</v>
      </c>
      <c r="I1149" t="s">
        <v>2</v>
      </c>
      <c r="J1149">
        <v>2.6782249999999999</v>
      </c>
      <c r="K1149">
        <v>-1.7570000000000086E-2</v>
      </c>
      <c r="L1149">
        <v>53.740217218866206</v>
      </c>
      <c r="M1149">
        <f t="shared" si="17"/>
        <v>-30</v>
      </c>
    </row>
    <row r="1150" spans="3:13">
      <c r="C1150" s="2">
        <v>41738</v>
      </c>
      <c r="D1150">
        <v>56.049982479048765</v>
      </c>
      <c r="E1150">
        <f>VLOOKUP(C1150,'10y swap Vol'!$C$2:$G$3809,5,0)</f>
        <v>61.084053234186598</v>
      </c>
      <c r="F1150">
        <f>VLOOKUP(C1150,'5y10y Swaption Vol'!temp,3,0)</f>
        <v>88.358692919999996</v>
      </c>
      <c r="H1150" s="1">
        <v>41768</v>
      </c>
      <c r="I1150" t="s">
        <v>2</v>
      </c>
      <c r="J1150">
        <v>2.704475</v>
      </c>
      <c r="K1150">
        <v>2.6250000000000107E-2</v>
      </c>
      <c r="L1150">
        <v>53.240258284124643</v>
      </c>
      <c r="M1150">
        <f t="shared" si="17"/>
        <v>-30</v>
      </c>
    </row>
    <row r="1151" spans="3:13">
      <c r="C1151" s="2">
        <v>41739</v>
      </c>
      <c r="D1151">
        <v>56.004249138007523</v>
      </c>
      <c r="E1151">
        <f>VLOOKUP(C1151,'10y swap Vol'!$C$2:$G$3809,5,0)</f>
        <v>60.762556705011974</v>
      </c>
      <c r="F1151">
        <f>VLOOKUP(C1151,'5y10y Swaption Vol'!temp,3,0)</f>
        <v>88.348300757999993</v>
      </c>
      <c r="H1151" s="1">
        <v>41771</v>
      </c>
      <c r="I1151" t="s">
        <v>2</v>
      </c>
      <c r="J1151">
        <v>2.731681</v>
      </c>
      <c r="K1151">
        <v>2.7206000000000063E-2</v>
      </c>
      <c r="L1151">
        <v>52.634266936641374</v>
      </c>
      <c r="M1151">
        <f t="shared" si="17"/>
        <v>-32</v>
      </c>
    </row>
    <row r="1152" spans="3:13">
      <c r="C1152" s="2">
        <v>41740</v>
      </c>
      <c r="D1152">
        <v>55.932046697919482</v>
      </c>
      <c r="E1152">
        <f>VLOOKUP(C1152,'10y swap Vol'!$C$2:$G$3809,5,0)</f>
        <v>60.52007037156892</v>
      </c>
      <c r="F1152">
        <f>VLOOKUP(C1152,'5y10y Swaption Vol'!temp,3,0)</f>
        <v>88.729671538000005</v>
      </c>
      <c r="H1152" s="1">
        <v>41772</v>
      </c>
      <c r="I1152" t="s">
        <v>2</v>
      </c>
      <c r="J1152">
        <v>2.6995849999999999</v>
      </c>
      <c r="K1152">
        <v>-3.2096000000000124E-2</v>
      </c>
      <c r="L1152">
        <v>52.88665611739556</v>
      </c>
      <c r="M1152">
        <f t="shared" si="17"/>
        <v>-32</v>
      </c>
    </row>
    <row r="1153" spans="3:13">
      <c r="C1153" s="2">
        <v>41743</v>
      </c>
      <c r="D1153">
        <v>55.739013131240114</v>
      </c>
      <c r="E1153">
        <f>VLOOKUP(C1153,'10y swap Vol'!$C$2:$G$3809,5,0)</f>
        <v>60.466661797275243</v>
      </c>
      <c r="F1153">
        <f>VLOOKUP(C1153,'5y10y Swaption Vol'!temp,3,0)</f>
        <v>88.842836969999993</v>
      </c>
      <c r="H1153" s="1">
        <v>41773</v>
      </c>
      <c r="I1153" t="s">
        <v>2</v>
      </c>
      <c r="J1153">
        <v>2.6294230000000001</v>
      </c>
      <c r="K1153">
        <v>-7.0161999999999836E-2</v>
      </c>
      <c r="L1153">
        <v>54.413183728911086</v>
      </c>
      <c r="M1153">
        <f t="shared" si="17"/>
        <v>-30</v>
      </c>
    </row>
    <row r="1154" spans="3:13">
      <c r="C1154" s="2">
        <v>41744</v>
      </c>
      <c r="D1154">
        <v>55.613749839525141</v>
      </c>
      <c r="E1154">
        <f>VLOOKUP(C1154,'10y swap Vol'!$C$2:$G$3809,5,0)</f>
        <v>60.444042781582475</v>
      </c>
      <c r="F1154">
        <f>VLOOKUP(C1154,'5y10y Swaption Vol'!temp,3,0)</f>
        <v>88.564145358000005</v>
      </c>
      <c r="H1154" s="1">
        <v>41774</v>
      </c>
      <c r="I1154" t="s">
        <v>2</v>
      </c>
      <c r="J1154">
        <v>2.5917189999999999</v>
      </c>
      <c r="K1154">
        <v>-3.7704000000000182E-2</v>
      </c>
      <c r="L1154">
        <v>54.634742689687407</v>
      </c>
      <c r="M1154">
        <f t="shared" si="17"/>
        <v>-30</v>
      </c>
    </row>
    <row r="1155" spans="3:13">
      <c r="C1155" s="2">
        <v>41745</v>
      </c>
      <c r="D1155">
        <v>55.682842614193952</v>
      </c>
      <c r="E1155">
        <f>VLOOKUP(C1155,'10y swap Vol'!$C$2:$G$3809,5,0)</f>
        <v>60.527036222792589</v>
      </c>
      <c r="F1155">
        <f>VLOOKUP(C1155,'5y10y Swaption Vol'!temp,3,0)</f>
        <v>88.945922891999999</v>
      </c>
      <c r="H1155" s="1">
        <v>41775</v>
      </c>
      <c r="I1155" t="s">
        <v>2</v>
      </c>
      <c r="J1155">
        <v>2.6149900000000001</v>
      </c>
      <c r="K1155">
        <v>2.3271000000000264E-2</v>
      </c>
      <c r="L1155">
        <v>54.767289219773652</v>
      </c>
      <c r="M1155">
        <f t="shared" ref="M1155:M1218" si="18">C1155-H1155</f>
        <v>-30</v>
      </c>
    </row>
    <row r="1156" spans="3:13">
      <c r="C1156" s="2">
        <v>41746</v>
      </c>
      <c r="D1156">
        <v>55.956866221150094</v>
      </c>
      <c r="E1156">
        <f>VLOOKUP(C1156,'10y swap Vol'!$C$2:$G$3809,5,0)</f>
        <v>61.472039170564564</v>
      </c>
      <c r="F1156">
        <f>VLOOKUP(C1156,'5y10y Swaption Vol'!temp,3,0)</f>
        <v>89.513000888999997</v>
      </c>
      <c r="H1156" s="1">
        <v>41778</v>
      </c>
      <c r="I1156" t="s">
        <v>2</v>
      </c>
      <c r="J1156">
        <v>2.6360950000000001</v>
      </c>
      <c r="K1156">
        <v>2.1104999999999929E-2</v>
      </c>
      <c r="L1156">
        <v>54.753068662106642</v>
      </c>
      <c r="M1156">
        <f t="shared" si="18"/>
        <v>-32</v>
      </c>
    </row>
    <row r="1157" spans="3:13">
      <c r="C1157" s="2">
        <v>41750</v>
      </c>
      <c r="D1157">
        <v>54.89069657525539</v>
      </c>
      <c r="E1157">
        <f>VLOOKUP(C1157,'10y swap Vol'!$C$2:$G$3809,5,0)</f>
        <v>59.493123263673588</v>
      </c>
      <c r="F1157">
        <f>VLOOKUP(C1157,'5y10y Swaption Vol'!temp,3,0)</f>
        <v>89.233609920000006</v>
      </c>
      <c r="H1157" s="1">
        <v>41779</v>
      </c>
      <c r="I1157" t="s">
        <v>2</v>
      </c>
      <c r="J1157">
        <v>2.6080869999999998</v>
      </c>
      <c r="K1157">
        <v>-2.8008000000000255E-2</v>
      </c>
      <c r="L1157">
        <v>54.842917584318066</v>
      </c>
      <c r="M1157">
        <f t="shared" si="18"/>
        <v>-29</v>
      </c>
    </row>
    <row r="1158" spans="3:13">
      <c r="C1158" s="2">
        <v>41751</v>
      </c>
      <c r="D1158">
        <v>54.150372051028171</v>
      </c>
      <c r="E1158">
        <f>VLOOKUP(C1158,'10y swap Vol'!$C$2:$G$3809,5,0)</f>
        <v>59.043575385635336</v>
      </c>
      <c r="F1158">
        <f>VLOOKUP(C1158,'5y10y Swaption Vol'!temp,3,0)</f>
        <v>89.248810383000006</v>
      </c>
      <c r="H1158" s="1">
        <v>41780</v>
      </c>
      <c r="I1158" t="s">
        <v>2</v>
      </c>
      <c r="J1158">
        <v>2.6287099999999999</v>
      </c>
      <c r="K1158">
        <v>2.0623000000000058E-2</v>
      </c>
      <c r="L1158">
        <v>54.219063166887238</v>
      </c>
      <c r="M1158">
        <f t="shared" si="18"/>
        <v>-29</v>
      </c>
    </row>
    <row r="1159" spans="3:13">
      <c r="C1159" s="2">
        <v>41752</v>
      </c>
      <c r="D1159">
        <v>54.201742508530792</v>
      </c>
      <c r="E1159">
        <f>VLOOKUP(C1159,'10y swap Vol'!$C$2:$G$3809,5,0)</f>
        <v>59.391286110186456</v>
      </c>
      <c r="F1159">
        <f>VLOOKUP(C1159,'5y10y Swaption Vol'!temp,3,0)</f>
        <v>89.195101015999995</v>
      </c>
      <c r="H1159" s="1">
        <v>41781</v>
      </c>
      <c r="I1159" t="s">
        <v>2</v>
      </c>
      <c r="J1159">
        <v>2.6510530000000001</v>
      </c>
      <c r="K1159">
        <v>2.2343000000000224E-2</v>
      </c>
      <c r="L1159">
        <v>54.180005324758071</v>
      </c>
      <c r="M1159">
        <f t="shared" si="18"/>
        <v>-29</v>
      </c>
    </row>
    <row r="1160" spans="3:13">
      <c r="C1160" s="2">
        <v>41753</v>
      </c>
      <c r="D1160">
        <v>54.177569086396772</v>
      </c>
      <c r="E1160">
        <f>VLOOKUP(C1160,'10y swap Vol'!$C$2:$G$3809,5,0)</f>
        <v>59.35454688409029</v>
      </c>
      <c r="F1160">
        <f>VLOOKUP(C1160,'5y10y Swaption Vol'!temp,3,0)</f>
        <v>89.059186851000007</v>
      </c>
      <c r="H1160" s="1">
        <v>41782</v>
      </c>
      <c r="I1160" t="s">
        <v>2</v>
      </c>
      <c r="J1160">
        <v>2.6286230000000002</v>
      </c>
      <c r="K1160">
        <v>-2.242999999999995E-2</v>
      </c>
      <c r="L1160">
        <v>54.24801367080736</v>
      </c>
      <c r="M1160">
        <f t="shared" si="18"/>
        <v>-29</v>
      </c>
    </row>
    <row r="1161" spans="3:13">
      <c r="C1161" s="2">
        <v>41754</v>
      </c>
      <c r="D1161">
        <v>53.239652943574796</v>
      </c>
      <c r="E1161">
        <f>VLOOKUP(C1161,'10y swap Vol'!$C$2:$G$3809,5,0)</f>
        <v>58.132336019141427</v>
      </c>
      <c r="F1161">
        <f>VLOOKUP(C1161,'5y10y Swaption Vol'!temp,3,0)</f>
        <v>89.017764159999999</v>
      </c>
      <c r="H1161" s="1">
        <v>41786</v>
      </c>
      <c r="I1161" t="s">
        <v>2</v>
      </c>
      <c r="J1161">
        <v>2.6084849999999999</v>
      </c>
      <c r="K1161">
        <v>-2.0138000000000211E-2</v>
      </c>
      <c r="L1161">
        <v>54.199427255453571</v>
      </c>
      <c r="M1161">
        <f t="shared" si="18"/>
        <v>-32</v>
      </c>
    </row>
    <row r="1162" spans="3:13">
      <c r="C1162" s="2">
        <v>41757</v>
      </c>
      <c r="D1162">
        <v>53.221944720361904</v>
      </c>
      <c r="E1162">
        <f>VLOOKUP(C1162,'10y swap Vol'!$C$2:$G$3809,5,0)</f>
        <v>58.031666752471537</v>
      </c>
      <c r="F1162">
        <f>VLOOKUP(C1162,'5y10y Swaption Vol'!temp,3,0)</f>
        <v>89.355189766999999</v>
      </c>
      <c r="H1162" s="1">
        <v>41787</v>
      </c>
      <c r="I1162" t="s">
        <v>2</v>
      </c>
      <c r="J1162">
        <v>2.5342760000000002</v>
      </c>
      <c r="K1162">
        <v>-7.4208999999999747E-2</v>
      </c>
      <c r="L1162">
        <v>55.643861818645448</v>
      </c>
      <c r="M1162">
        <f t="shared" si="18"/>
        <v>-30</v>
      </c>
    </row>
    <row r="1163" spans="3:13">
      <c r="C1163" s="2">
        <v>41758</v>
      </c>
      <c r="D1163">
        <v>53.041562736993257</v>
      </c>
      <c r="E1163">
        <f>VLOOKUP(C1163,'10y swap Vol'!$C$2:$G$3809,5,0)</f>
        <v>57.899078022039809</v>
      </c>
      <c r="F1163">
        <f>VLOOKUP(C1163,'5y10y Swaption Vol'!temp,3,0)</f>
        <v>89.248500289999996</v>
      </c>
      <c r="H1163" s="1">
        <v>41788</v>
      </c>
      <c r="I1163" t="s">
        <v>2</v>
      </c>
      <c r="J1163">
        <v>2.5458430000000001</v>
      </c>
      <c r="K1163">
        <v>1.1566999999999883E-2</v>
      </c>
      <c r="L1163">
        <v>53.066048607253812</v>
      </c>
      <c r="M1163">
        <f t="shared" si="18"/>
        <v>-30</v>
      </c>
    </row>
    <row r="1164" spans="3:13">
      <c r="C1164" s="2">
        <v>41759</v>
      </c>
      <c r="D1164">
        <v>51.925504173607941</v>
      </c>
      <c r="E1164">
        <f>VLOOKUP(C1164,'10y swap Vol'!$C$2:$G$3809,5,0)</f>
        <v>56.100094808140369</v>
      </c>
      <c r="F1164">
        <f>VLOOKUP(C1164,'5y10y Swaption Vol'!temp,3,0)</f>
        <v>89.274744847999997</v>
      </c>
      <c r="H1164" s="1">
        <v>41789</v>
      </c>
      <c r="I1164" t="s">
        <v>2</v>
      </c>
      <c r="J1164">
        <v>2.563939</v>
      </c>
      <c r="K1164">
        <v>1.809599999999989E-2</v>
      </c>
      <c r="L1164">
        <v>53.260609694749959</v>
      </c>
      <c r="M1164">
        <f t="shared" si="18"/>
        <v>-30</v>
      </c>
    </row>
    <row r="1165" spans="3:13">
      <c r="C1165" s="2">
        <v>41760</v>
      </c>
      <c r="D1165">
        <v>51.938026332538278</v>
      </c>
      <c r="E1165">
        <f>VLOOKUP(C1165,'10y swap Vol'!$C$2:$G$3809,5,0)</f>
        <v>55.720850110625918</v>
      </c>
      <c r="F1165">
        <f>VLOOKUP(C1165,'5y10y Swaption Vol'!temp,3,0)</f>
        <v>89.169025736999998</v>
      </c>
      <c r="H1165" s="1">
        <v>41792</v>
      </c>
      <c r="I1165" t="s">
        <v>2</v>
      </c>
      <c r="J1165">
        <v>2.642865</v>
      </c>
      <c r="K1165">
        <v>7.8926000000000052E-2</v>
      </c>
      <c r="L1165">
        <v>55.074910422149259</v>
      </c>
      <c r="M1165">
        <f t="shared" si="18"/>
        <v>-32</v>
      </c>
    </row>
    <row r="1166" spans="3:13">
      <c r="C1166" s="2">
        <v>41761</v>
      </c>
      <c r="D1166">
        <v>51.032845981934805</v>
      </c>
      <c r="E1166">
        <f>VLOOKUP(C1166,'10y swap Vol'!$C$2:$G$3809,5,0)</f>
        <v>55.172234658774968</v>
      </c>
      <c r="F1166">
        <f>VLOOKUP(C1166,'5y10y Swaption Vol'!temp,3,0)</f>
        <v>88.861087679999997</v>
      </c>
      <c r="H1166" s="1">
        <v>41793</v>
      </c>
      <c r="I1166" t="s">
        <v>2</v>
      </c>
      <c r="J1166">
        <v>2.7031170000000002</v>
      </c>
      <c r="K1166">
        <v>6.0252000000000194E-2</v>
      </c>
      <c r="L1166">
        <v>55.641408129365686</v>
      </c>
      <c r="M1166">
        <f t="shared" si="18"/>
        <v>-32</v>
      </c>
    </row>
    <row r="1167" spans="3:13">
      <c r="C1167" s="2">
        <v>41764</v>
      </c>
      <c r="D1167">
        <v>50.89647401216051</v>
      </c>
      <c r="E1167">
        <f>VLOOKUP(C1167,'10y swap Vol'!$C$2:$G$3809,5,0)</f>
        <v>54.883528586442601</v>
      </c>
      <c r="F1167">
        <f>VLOOKUP(C1167,'5y10y Swaption Vol'!temp,3,0)</f>
        <v>88.975695963000007</v>
      </c>
      <c r="H1167" s="1">
        <v>41794</v>
      </c>
      <c r="I1167" t="s">
        <v>2</v>
      </c>
      <c r="J1167">
        <v>2.7204480000000002</v>
      </c>
      <c r="K1167">
        <v>1.7330999999999985E-2</v>
      </c>
      <c r="L1167">
        <v>55.772026593809997</v>
      </c>
      <c r="M1167">
        <f t="shared" si="18"/>
        <v>-30</v>
      </c>
    </row>
    <row r="1168" spans="3:13">
      <c r="C1168" s="2">
        <v>41765</v>
      </c>
      <c r="D1168">
        <v>50.526333718470781</v>
      </c>
      <c r="E1168">
        <f>VLOOKUP(C1168,'10y swap Vol'!$C$2:$G$3809,5,0)</f>
        <v>54.607728442912773</v>
      </c>
      <c r="F1168">
        <f>VLOOKUP(C1168,'5y10y Swaption Vol'!temp,3,0)</f>
        <v>89.007774459999993</v>
      </c>
      <c r="H1168" s="1">
        <v>41795</v>
      </c>
      <c r="I1168" t="s">
        <v>2</v>
      </c>
      <c r="J1168">
        <v>2.7031510000000001</v>
      </c>
      <c r="K1168">
        <v>-1.7297000000000118E-2</v>
      </c>
      <c r="L1168">
        <v>55.726580147690022</v>
      </c>
      <c r="M1168">
        <f t="shared" si="18"/>
        <v>-30</v>
      </c>
    </row>
    <row r="1169" spans="3:13">
      <c r="C1169" s="2">
        <v>41766</v>
      </c>
      <c r="D1169">
        <v>50.876106945827779</v>
      </c>
      <c r="E1169">
        <f>VLOOKUP(C1169,'10y swap Vol'!$C$2:$G$3809,5,0)</f>
        <v>54.647718270167367</v>
      </c>
      <c r="F1169">
        <f>VLOOKUP(C1169,'5y10y Swaption Vol'!temp,3,0)</f>
        <v>89.105002217000006</v>
      </c>
      <c r="H1169" s="1">
        <v>41796</v>
      </c>
      <c r="I1169" t="s">
        <v>2</v>
      </c>
      <c r="J1169">
        <v>2.7130130000000001</v>
      </c>
      <c r="K1169">
        <v>9.8620000000000374E-3</v>
      </c>
      <c r="L1169">
        <v>55.328793774070682</v>
      </c>
      <c r="M1169">
        <f t="shared" si="18"/>
        <v>-30</v>
      </c>
    </row>
    <row r="1170" spans="3:13">
      <c r="C1170" s="2">
        <v>41767</v>
      </c>
      <c r="D1170">
        <v>50.142426029498978</v>
      </c>
      <c r="E1170">
        <f>VLOOKUP(C1170,'10y swap Vol'!$C$2:$G$3809,5,0)</f>
        <v>53.740217218866206</v>
      </c>
      <c r="F1170">
        <f>VLOOKUP(C1170,'5y10y Swaption Vol'!temp,3,0)</f>
        <v>88.999884909000002</v>
      </c>
      <c r="H1170" s="1">
        <v>41799</v>
      </c>
      <c r="I1170" t="s">
        <v>2</v>
      </c>
      <c r="J1170">
        <v>2.7292779999999999</v>
      </c>
      <c r="K1170">
        <v>1.6264999999999752E-2</v>
      </c>
      <c r="L1170">
        <v>54.04718330015065</v>
      </c>
      <c r="M1170">
        <f t="shared" si="18"/>
        <v>-32</v>
      </c>
    </row>
    <row r="1171" spans="3:13">
      <c r="C1171" s="2">
        <v>41768</v>
      </c>
      <c r="D1171">
        <v>49.684870270659538</v>
      </c>
      <c r="E1171">
        <f>VLOOKUP(C1171,'10y swap Vol'!$C$2:$G$3809,5,0)</f>
        <v>53.240258284124643</v>
      </c>
      <c r="F1171">
        <f>VLOOKUP(C1171,'5y10y Swaption Vol'!temp,3,0)</f>
        <v>89.060858847999995</v>
      </c>
      <c r="H1171" s="1">
        <v>41800</v>
      </c>
      <c r="I1171" t="s">
        <v>2</v>
      </c>
      <c r="J1171">
        <v>2.7498179999999999</v>
      </c>
      <c r="K1171">
        <v>2.0540000000000003E-2</v>
      </c>
      <c r="L1171">
        <v>54.204481127194271</v>
      </c>
      <c r="M1171">
        <f t="shared" si="18"/>
        <v>-32</v>
      </c>
    </row>
    <row r="1172" spans="3:13">
      <c r="C1172" s="2">
        <v>41771</v>
      </c>
      <c r="D1172">
        <v>49.448446235040869</v>
      </c>
      <c r="E1172">
        <f>VLOOKUP(C1172,'10y swap Vol'!$C$2:$G$3809,5,0)</f>
        <v>52.634266936641374</v>
      </c>
      <c r="F1172">
        <f>VLOOKUP(C1172,'5y10y Swaption Vol'!temp,3,0)</f>
        <v>89.253635885999998</v>
      </c>
      <c r="H1172" s="1">
        <v>41801</v>
      </c>
      <c r="I1172" t="s">
        <v>2</v>
      </c>
      <c r="J1172">
        <v>2.7452830000000001</v>
      </c>
      <c r="K1172">
        <v>-4.5349999999997337E-3</v>
      </c>
      <c r="L1172">
        <v>53.092020678756704</v>
      </c>
      <c r="M1172">
        <f t="shared" si="18"/>
        <v>-30</v>
      </c>
    </row>
    <row r="1173" spans="3:13">
      <c r="C1173" s="2">
        <v>41772</v>
      </c>
      <c r="D1173">
        <v>49.254395106391271</v>
      </c>
      <c r="E1173">
        <f>VLOOKUP(C1173,'10y swap Vol'!$C$2:$G$3809,5,0)</f>
        <v>52.88665611739556</v>
      </c>
      <c r="F1173">
        <f>VLOOKUP(C1173,'5y10y Swaption Vol'!temp,3,0)</f>
        <v>89.005323673000007</v>
      </c>
      <c r="H1173" s="1">
        <v>41802</v>
      </c>
      <c r="I1173" t="s">
        <v>2</v>
      </c>
      <c r="J1173">
        <v>2.6895699999999998</v>
      </c>
      <c r="K1173">
        <v>-5.5713000000000346E-2</v>
      </c>
      <c r="L1173">
        <v>54.177273264077321</v>
      </c>
      <c r="M1173">
        <f t="shared" si="18"/>
        <v>-30</v>
      </c>
    </row>
    <row r="1174" spans="3:13">
      <c r="C1174" s="2">
        <v>41773</v>
      </c>
      <c r="D1174">
        <v>51.334183723807847</v>
      </c>
      <c r="E1174">
        <f>VLOOKUP(C1174,'10y swap Vol'!$C$2:$G$3809,5,0)</f>
        <v>54.413183728911086</v>
      </c>
      <c r="F1174">
        <f>VLOOKUP(C1174,'5y10y Swaption Vol'!temp,3,0)</f>
        <v>89.048846609999998</v>
      </c>
      <c r="H1174" s="1">
        <v>41803</v>
      </c>
      <c r="I1174" t="s">
        <v>2</v>
      </c>
      <c r="J1174">
        <v>2.7013769999999999</v>
      </c>
      <c r="K1174">
        <v>1.1807000000000123E-2</v>
      </c>
      <c r="L1174">
        <v>50.846775545901167</v>
      </c>
      <c r="M1174">
        <f t="shared" si="18"/>
        <v>-30</v>
      </c>
    </row>
    <row r="1175" spans="3:13">
      <c r="C1175" s="2">
        <v>41774</v>
      </c>
      <c r="D1175">
        <v>51.207760862277006</v>
      </c>
      <c r="E1175">
        <f>VLOOKUP(C1175,'10y swap Vol'!$C$2:$G$3809,5,0)</f>
        <v>54.634742689687407</v>
      </c>
      <c r="F1175">
        <f>VLOOKUP(C1175,'5y10y Swaption Vol'!temp,3,0)</f>
        <v>89.369130479999995</v>
      </c>
      <c r="H1175" s="1">
        <v>41806</v>
      </c>
      <c r="I1175" t="s">
        <v>2</v>
      </c>
      <c r="J1175">
        <v>2.697476</v>
      </c>
      <c r="K1175">
        <v>-3.9009999999999323E-3</v>
      </c>
      <c r="L1175">
        <v>50.769442346171601</v>
      </c>
      <c r="M1175">
        <f t="shared" si="18"/>
        <v>-32</v>
      </c>
    </row>
    <row r="1176" spans="3:13">
      <c r="C1176" s="2">
        <v>41775</v>
      </c>
      <c r="D1176">
        <v>51.380867417130474</v>
      </c>
      <c r="E1176">
        <f>VLOOKUP(C1176,'10y swap Vol'!$C$2:$G$3809,5,0)</f>
        <v>54.767289219773652</v>
      </c>
      <c r="F1176">
        <f>VLOOKUP(C1176,'5y10y Swaption Vol'!temp,3,0)</f>
        <v>89.403605440000007</v>
      </c>
      <c r="H1176" s="1">
        <v>41807</v>
      </c>
      <c r="I1176" t="s">
        <v>2</v>
      </c>
      <c r="J1176">
        <v>2.7474970000000001</v>
      </c>
      <c r="K1176">
        <v>5.0021000000000093E-2</v>
      </c>
      <c r="L1176">
        <v>51.549413273606781</v>
      </c>
      <c r="M1176">
        <f t="shared" si="18"/>
        <v>-32</v>
      </c>
    </row>
    <row r="1177" spans="3:13">
      <c r="C1177" s="2">
        <v>41778</v>
      </c>
      <c r="D1177">
        <v>51.493762221242569</v>
      </c>
      <c r="E1177">
        <f>VLOOKUP(C1177,'10y swap Vol'!$C$2:$G$3809,5,0)</f>
        <v>54.753068662106642</v>
      </c>
      <c r="F1177">
        <f>VLOOKUP(C1177,'5y10y Swaption Vol'!temp,3,0)</f>
        <v>89.415656310000003</v>
      </c>
      <c r="H1177" s="1">
        <v>41808</v>
      </c>
      <c r="I1177" t="s">
        <v>2</v>
      </c>
      <c r="J1177">
        <v>2.7082999999999999</v>
      </c>
      <c r="K1177">
        <v>-3.9197000000000148E-2</v>
      </c>
      <c r="L1177">
        <v>52.058041760498973</v>
      </c>
      <c r="M1177">
        <f t="shared" si="18"/>
        <v>-30</v>
      </c>
    </row>
    <row r="1178" spans="3:13">
      <c r="C1178" s="2">
        <v>41779</v>
      </c>
      <c r="D1178">
        <v>51.84144193094432</v>
      </c>
      <c r="E1178">
        <f>VLOOKUP(C1178,'10y swap Vol'!$C$2:$G$3809,5,0)</f>
        <v>54.842917584318066</v>
      </c>
      <c r="F1178">
        <f>VLOOKUP(C1178,'5y10y Swaption Vol'!temp,3,0)</f>
        <v>89.206730160000006</v>
      </c>
      <c r="H1178" s="1">
        <v>41809</v>
      </c>
      <c r="I1178" t="s">
        <v>2</v>
      </c>
      <c r="J1178">
        <v>2.7145709999999998</v>
      </c>
      <c r="K1178">
        <v>6.2709999999999155E-3</v>
      </c>
      <c r="L1178">
        <v>52.061226232788485</v>
      </c>
      <c r="M1178">
        <f t="shared" si="18"/>
        <v>-30</v>
      </c>
    </row>
    <row r="1179" spans="3:13">
      <c r="C1179" s="2">
        <v>41780</v>
      </c>
      <c r="D1179">
        <v>50.875129285072816</v>
      </c>
      <c r="E1179">
        <f>VLOOKUP(C1179,'10y swap Vol'!$C$2:$G$3809,5,0)</f>
        <v>54.219063166887238</v>
      </c>
      <c r="F1179">
        <f>VLOOKUP(C1179,'5y10y Swaption Vol'!temp,3,0)</f>
        <v>89.260403584000002</v>
      </c>
      <c r="H1179" s="1">
        <v>41810</v>
      </c>
      <c r="I1179" t="s">
        <v>2</v>
      </c>
      <c r="J1179">
        <v>2.7129639999999999</v>
      </c>
      <c r="K1179">
        <v>-1.6069999999999141E-3</v>
      </c>
      <c r="L1179">
        <v>51.59375301011535</v>
      </c>
      <c r="M1179">
        <f t="shared" si="18"/>
        <v>-30</v>
      </c>
    </row>
    <row r="1180" spans="3:13">
      <c r="C1180" s="2">
        <v>41781</v>
      </c>
      <c r="D1180">
        <v>50.934972902726614</v>
      </c>
      <c r="E1180">
        <f>VLOOKUP(C1180,'10y swap Vol'!$C$2:$G$3809,5,0)</f>
        <v>54.180005324758071</v>
      </c>
      <c r="F1180">
        <f>VLOOKUP(C1180,'5y10y Swaption Vol'!temp,3,0)</f>
        <v>89.368843662000003</v>
      </c>
      <c r="H1180" s="1">
        <v>41813</v>
      </c>
      <c r="I1180" t="s">
        <v>2</v>
      </c>
      <c r="J1180">
        <v>2.709676</v>
      </c>
      <c r="K1180">
        <v>-3.2879999999999576E-3</v>
      </c>
      <c r="L1180">
        <v>51.309979567254672</v>
      </c>
      <c r="M1180">
        <f t="shared" si="18"/>
        <v>-32</v>
      </c>
    </row>
    <row r="1181" spans="3:13">
      <c r="C1181" s="2">
        <v>41782</v>
      </c>
      <c r="D1181">
        <v>50.737825901345033</v>
      </c>
      <c r="E1181">
        <f>VLOOKUP(C1181,'10y swap Vol'!$C$2:$G$3809,5,0)</f>
        <v>54.24801367080736</v>
      </c>
      <c r="F1181">
        <f>VLOOKUP(C1181,'5y10y Swaption Vol'!temp,3,0)</f>
        <v>89.256290309999997</v>
      </c>
      <c r="H1181" s="1">
        <v>41814</v>
      </c>
      <c r="I1181" t="s">
        <v>2</v>
      </c>
      <c r="J1181">
        <v>2.6842830000000002</v>
      </c>
      <c r="K1181">
        <v>-2.5392999999999777E-2</v>
      </c>
      <c r="L1181">
        <v>50.803184181723495</v>
      </c>
      <c r="M1181">
        <f t="shared" si="18"/>
        <v>-32</v>
      </c>
    </row>
    <row r="1182" spans="3:13">
      <c r="C1182" s="2">
        <v>41786</v>
      </c>
      <c r="D1182">
        <v>50.74575537199464</v>
      </c>
      <c r="E1182">
        <f>VLOOKUP(C1182,'10y swap Vol'!$C$2:$G$3809,5,0)</f>
        <v>54.199427255453571</v>
      </c>
      <c r="F1182">
        <f>VLOOKUP(C1182,'5y10y Swaption Vol'!temp,3,0)</f>
        <v>89.252649071999997</v>
      </c>
      <c r="H1182" s="1">
        <v>41815</v>
      </c>
      <c r="I1182" t="s">
        <v>2</v>
      </c>
      <c r="J1182">
        <v>2.6579000000000002</v>
      </c>
      <c r="K1182">
        <v>-2.6383000000000045E-2</v>
      </c>
      <c r="L1182">
        <v>50.945844631422496</v>
      </c>
      <c r="M1182">
        <f t="shared" si="18"/>
        <v>-29</v>
      </c>
    </row>
    <row r="1183" spans="3:13">
      <c r="C1183" s="2">
        <v>41787</v>
      </c>
      <c r="D1183">
        <v>53.569920317473894</v>
      </c>
      <c r="E1183">
        <f>VLOOKUP(C1183,'10y swap Vol'!$C$2:$G$3809,5,0)</f>
        <v>55.643861818645448</v>
      </c>
      <c r="F1183">
        <f>VLOOKUP(C1183,'5y10y Swaption Vol'!temp,3,0)</f>
        <v>89.496323844000003</v>
      </c>
      <c r="H1183" s="1">
        <v>41816</v>
      </c>
      <c r="I1183" t="s">
        <v>2</v>
      </c>
      <c r="J1183">
        <v>2.6286890000000001</v>
      </c>
      <c r="K1183">
        <v>-2.9211000000000098E-2</v>
      </c>
      <c r="L1183">
        <v>50.528582370588602</v>
      </c>
      <c r="M1183">
        <f t="shared" si="18"/>
        <v>-29</v>
      </c>
    </row>
    <row r="1184" spans="3:13">
      <c r="C1184" s="2">
        <v>41788</v>
      </c>
      <c r="D1184">
        <v>51.55985620938187</v>
      </c>
      <c r="E1184">
        <f>VLOOKUP(C1184,'10y swap Vol'!$C$2:$G$3809,5,0)</f>
        <v>53.066048607253812</v>
      </c>
      <c r="F1184">
        <f>VLOOKUP(C1184,'5y10y Swaption Vol'!temp,3,0)</f>
        <v>90.251257047999999</v>
      </c>
      <c r="H1184" s="1">
        <v>41817</v>
      </c>
      <c r="I1184" t="s">
        <v>2</v>
      </c>
      <c r="J1184">
        <v>2.6377000000000002</v>
      </c>
      <c r="K1184">
        <v>9.0110000000001023E-3</v>
      </c>
      <c r="L1184">
        <v>49.785651554465829</v>
      </c>
      <c r="M1184">
        <f t="shared" si="18"/>
        <v>-29</v>
      </c>
    </row>
    <row r="1185" spans="3:13">
      <c r="C1185" s="2">
        <v>41789</v>
      </c>
      <c r="D1185">
        <v>51.611768381655629</v>
      </c>
      <c r="E1185">
        <f>VLOOKUP(C1185,'10y swap Vol'!$C$2:$G$3809,5,0)</f>
        <v>53.260609694749959</v>
      </c>
      <c r="F1185">
        <f>VLOOKUP(C1185,'5y10y Swaption Vol'!temp,3,0)</f>
        <v>90.294937344000004</v>
      </c>
      <c r="H1185" s="1">
        <v>41820</v>
      </c>
      <c r="I1185" t="s">
        <v>2</v>
      </c>
      <c r="J1185">
        <v>2.6142059999999998</v>
      </c>
      <c r="K1185">
        <v>-2.3494000000000348E-2</v>
      </c>
      <c r="L1185">
        <v>49.901262748216382</v>
      </c>
      <c r="M1185">
        <f t="shared" si="18"/>
        <v>-31</v>
      </c>
    </row>
    <row r="1186" spans="3:13">
      <c r="C1186" s="2">
        <v>41792</v>
      </c>
      <c r="D1186">
        <v>53.846765547100084</v>
      </c>
      <c r="E1186">
        <f>VLOOKUP(C1186,'10y swap Vol'!$C$2:$G$3809,5,0)</f>
        <v>55.074910422149259</v>
      </c>
      <c r="F1186">
        <f>VLOOKUP(C1186,'5y10y Swaption Vol'!temp,3,0)</f>
        <v>90.791950466000003</v>
      </c>
      <c r="H1186" s="1">
        <v>41821</v>
      </c>
      <c r="I1186" t="s">
        <v>2</v>
      </c>
      <c r="J1186">
        <v>2.6651959999999999</v>
      </c>
      <c r="K1186">
        <v>5.0990000000000091E-2</v>
      </c>
      <c r="L1186">
        <v>49.530540802333398</v>
      </c>
      <c r="M1186">
        <f t="shared" si="18"/>
        <v>-29</v>
      </c>
    </row>
    <row r="1187" spans="3:13">
      <c r="C1187" s="2">
        <v>41793</v>
      </c>
      <c r="D1187">
        <v>54.377001379555267</v>
      </c>
      <c r="E1187">
        <f>VLOOKUP(C1187,'10y swap Vol'!$C$2:$G$3809,5,0)</f>
        <v>55.641408129365686</v>
      </c>
      <c r="F1187">
        <f>VLOOKUP(C1187,'5y10y Swaption Vol'!temp,3,0)</f>
        <v>90.964515614999996</v>
      </c>
      <c r="H1187" s="1">
        <v>41822</v>
      </c>
      <c r="I1187" t="s">
        <v>2</v>
      </c>
      <c r="J1187">
        <v>2.7306910000000002</v>
      </c>
      <c r="K1187">
        <v>6.5495000000000303E-2</v>
      </c>
      <c r="L1187">
        <v>51.206234229634873</v>
      </c>
      <c r="M1187">
        <f t="shared" si="18"/>
        <v>-29</v>
      </c>
    </row>
    <row r="1188" spans="3:13">
      <c r="C1188" s="2">
        <v>41794</v>
      </c>
      <c r="D1188">
        <v>54.345279402914045</v>
      </c>
      <c r="E1188">
        <f>VLOOKUP(C1188,'10y swap Vol'!$C$2:$G$3809,5,0)</f>
        <v>55.772026593809997</v>
      </c>
      <c r="F1188">
        <f>VLOOKUP(C1188,'5y10y Swaption Vol'!temp,3,0)</f>
        <v>91.096686183000003</v>
      </c>
      <c r="H1188" s="1">
        <v>41823</v>
      </c>
      <c r="I1188" t="s">
        <v>2</v>
      </c>
      <c r="J1188">
        <v>2.743859</v>
      </c>
      <c r="K1188">
        <v>1.3167999999999846E-2</v>
      </c>
      <c r="L1188">
        <v>51.153945492384636</v>
      </c>
      <c r="M1188">
        <f t="shared" si="18"/>
        <v>-29</v>
      </c>
    </row>
    <row r="1189" spans="3:13">
      <c r="C1189" s="2">
        <v>41795</v>
      </c>
      <c r="D1189">
        <v>54.542524575543418</v>
      </c>
      <c r="E1189">
        <f>VLOOKUP(C1189,'10y swap Vol'!$C$2:$G$3809,5,0)</f>
        <v>55.726580147690022</v>
      </c>
      <c r="F1189">
        <f>VLOOKUP(C1189,'5y10y Swaption Vol'!temp,3,0)</f>
        <v>90.996506109999999</v>
      </c>
      <c r="H1189" s="1">
        <v>41827</v>
      </c>
      <c r="I1189" t="s">
        <v>2</v>
      </c>
      <c r="J1189">
        <v>2.7144119999999998</v>
      </c>
      <c r="K1189">
        <v>-2.9447000000000223E-2</v>
      </c>
      <c r="L1189">
        <v>51.483883403684281</v>
      </c>
      <c r="M1189">
        <f t="shared" si="18"/>
        <v>-32</v>
      </c>
    </row>
    <row r="1190" spans="3:13">
      <c r="C1190" s="2">
        <v>41796</v>
      </c>
      <c r="D1190">
        <v>54.223656234357897</v>
      </c>
      <c r="E1190">
        <f>VLOOKUP(C1190,'10y swap Vol'!$C$2:$G$3809,5,0)</f>
        <v>55.328793774070682</v>
      </c>
      <c r="F1190">
        <f>VLOOKUP(C1190,'5y10y Swaption Vol'!temp,3,0)</f>
        <v>90.471119013999996</v>
      </c>
      <c r="H1190" s="1">
        <v>41828</v>
      </c>
      <c r="I1190" t="s">
        <v>2</v>
      </c>
      <c r="J1190">
        <v>2.6612909999999999</v>
      </c>
      <c r="K1190">
        <v>-5.3120999999999974E-2</v>
      </c>
      <c r="L1190">
        <v>51.672244853942317</v>
      </c>
      <c r="M1190">
        <f t="shared" si="18"/>
        <v>-32</v>
      </c>
    </row>
    <row r="1191" spans="3:13">
      <c r="C1191" s="2">
        <v>41799</v>
      </c>
      <c r="D1191">
        <v>53.006358204723156</v>
      </c>
      <c r="E1191">
        <f>VLOOKUP(C1191,'10y swap Vol'!$C$2:$G$3809,5,0)</f>
        <v>54.04718330015065</v>
      </c>
      <c r="F1191">
        <f>VLOOKUP(C1191,'5y10y Swaption Vol'!temp,3,0)</f>
        <v>90.259845107999993</v>
      </c>
      <c r="H1191" s="1">
        <v>41829</v>
      </c>
      <c r="I1191" t="s">
        <v>2</v>
      </c>
      <c r="J1191">
        <v>2.6439020000000002</v>
      </c>
      <c r="K1191">
        <v>-1.7388999999999655E-2</v>
      </c>
      <c r="L1191">
        <v>51.712808585680335</v>
      </c>
      <c r="M1191">
        <f t="shared" si="18"/>
        <v>-30</v>
      </c>
    </row>
    <row r="1192" spans="3:13">
      <c r="C1192" s="2">
        <v>41800</v>
      </c>
      <c r="D1192">
        <v>53.109034744648675</v>
      </c>
      <c r="E1192">
        <f>VLOOKUP(C1192,'10y swap Vol'!$C$2:$G$3809,5,0)</f>
        <v>54.204481127194271</v>
      </c>
      <c r="F1192">
        <f>VLOOKUP(C1192,'5y10y Swaption Vol'!temp,3,0)</f>
        <v>89.961732499999997</v>
      </c>
      <c r="H1192" s="1">
        <v>41830</v>
      </c>
      <c r="I1192" t="s">
        <v>2</v>
      </c>
      <c r="J1192">
        <v>2.6437620000000002</v>
      </c>
      <c r="K1192">
        <v>-1.4000000000002899E-4</v>
      </c>
      <c r="L1192">
        <v>51.429866622854838</v>
      </c>
      <c r="M1192">
        <f t="shared" si="18"/>
        <v>-30</v>
      </c>
    </row>
    <row r="1193" spans="3:13">
      <c r="C1193" s="2">
        <v>41801</v>
      </c>
      <c r="D1193">
        <v>51.855560858870845</v>
      </c>
      <c r="E1193">
        <f>VLOOKUP(C1193,'10y swap Vol'!$C$2:$G$3809,5,0)</f>
        <v>53.092020678756704</v>
      </c>
      <c r="F1193">
        <f>VLOOKUP(C1193,'5y10y Swaption Vol'!temp,3,0)</f>
        <v>89.091823567999995</v>
      </c>
      <c r="H1193" s="1">
        <v>41831</v>
      </c>
      <c r="I1193" t="s">
        <v>2</v>
      </c>
      <c r="J1193">
        <v>2.6306379999999998</v>
      </c>
      <c r="K1193">
        <v>-1.3124000000000358E-2</v>
      </c>
      <c r="L1193">
        <v>51.456900564815342</v>
      </c>
      <c r="M1193">
        <f t="shared" si="18"/>
        <v>-30</v>
      </c>
    </row>
    <row r="1194" spans="3:13">
      <c r="C1194" s="2">
        <v>41802</v>
      </c>
      <c r="D1194">
        <v>52.478366283242082</v>
      </c>
      <c r="E1194">
        <f>VLOOKUP(C1194,'10y swap Vol'!$C$2:$G$3809,5,0)</f>
        <v>54.177273264077321</v>
      </c>
      <c r="F1194">
        <f>VLOOKUP(C1194,'5y10y Swaption Vol'!temp,3,0)</f>
        <v>88.600057632000002</v>
      </c>
      <c r="H1194" s="1">
        <v>41834</v>
      </c>
      <c r="I1194" t="s">
        <v>2</v>
      </c>
      <c r="J1194">
        <v>2.6575679999999999</v>
      </c>
      <c r="K1194">
        <v>2.6930000000000121E-2</v>
      </c>
      <c r="L1194">
        <v>51.669582990851126</v>
      </c>
      <c r="M1194">
        <f t="shared" si="18"/>
        <v>-32</v>
      </c>
    </row>
    <row r="1195" spans="3:13">
      <c r="C1195" s="2">
        <v>41803</v>
      </c>
      <c r="D1195">
        <v>49.899048356177637</v>
      </c>
      <c r="E1195">
        <f>VLOOKUP(C1195,'10y swap Vol'!$C$2:$G$3809,5,0)</f>
        <v>50.846775545901167</v>
      </c>
      <c r="F1195">
        <f>VLOOKUP(C1195,'5y10y Swaption Vol'!temp,3,0)</f>
        <v>88.622540964999999</v>
      </c>
      <c r="H1195" s="1">
        <v>41835</v>
      </c>
      <c r="I1195" t="s">
        <v>2</v>
      </c>
      <c r="J1195">
        <v>2.6565780000000001</v>
      </c>
      <c r="K1195">
        <v>-9.8999999999982435E-4</v>
      </c>
      <c r="L1195">
        <v>49.606087864327655</v>
      </c>
      <c r="M1195">
        <f t="shared" si="18"/>
        <v>-32</v>
      </c>
    </row>
    <row r="1196" spans="3:13">
      <c r="C1196" s="2">
        <v>41806</v>
      </c>
      <c r="D1196">
        <v>49.80770319206821</v>
      </c>
      <c r="E1196">
        <f>VLOOKUP(C1196,'10y swap Vol'!$C$2:$G$3809,5,0)</f>
        <v>50.769442346171601</v>
      </c>
      <c r="F1196">
        <f>VLOOKUP(C1196,'5y10y Swaption Vol'!temp,3,0)</f>
        <v>87.405020340999997</v>
      </c>
      <c r="H1196" s="1">
        <v>41836</v>
      </c>
      <c r="I1196" t="s">
        <v>2</v>
      </c>
      <c r="J1196">
        <v>2.6467260000000001</v>
      </c>
      <c r="K1196">
        <v>-9.8519999999999719E-3</v>
      </c>
      <c r="L1196">
        <v>49.625081372686616</v>
      </c>
      <c r="M1196">
        <f t="shared" si="18"/>
        <v>-30</v>
      </c>
    </row>
    <row r="1197" spans="3:13">
      <c r="C1197" s="2">
        <v>41807</v>
      </c>
      <c r="D1197">
        <v>50.875457191993057</v>
      </c>
      <c r="E1197">
        <f>VLOOKUP(C1197,'10y swap Vol'!$C$2:$G$3809,5,0)</f>
        <v>51.549413273606781</v>
      </c>
      <c r="F1197">
        <f>VLOOKUP(C1197,'5y10y Swaption Vol'!temp,3,0)</f>
        <v>87.542324363999995</v>
      </c>
      <c r="H1197" s="1">
        <v>41837</v>
      </c>
      <c r="I1197" t="s">
        <v>2</v>
      </c>
      <c r="J1197">
        <v>2.5937860000000001</v>
      </c>
      <c r="K1197">
        <v>-5.2939999999999987E-2</v>
      </c>
      <c r="L1197">
        <v>50.633843312226425</v>
      </c>
      <c r="M1197">
        <f t="shared" si="18"/>
        <v>-30</v>
      </c>
    </row>
    <row r="1198" spans="3:13">
      <c r="C1198" s="2">
        <v>41808</v>
      </c>
      <c r="D1198">
        <v>51.441754347318245</v>
      </c>
      <c r="E1198">
        <f>VLOOKUP(C1198,'10y swap Vol'!$C$2:$G$3809,5,0)</f>
        <v>52.058041760498973</v>
      </c>
      <c r="F1198">
        <f>VLOOKUP(C1198,'5y10y Swaption Vol'!temp,3,0)</f>
        <v>87.186607171999995</v>
      </c>
      <c r="H1198" s="1">
        <v>41838</v>
      </c>
      <c r="I1198" t="s">
        <v>2</v>
      </c>
      <c r="J1198">
        <v>2.5995650000000001</v>
      </c>
      <c r="K1198">
        <v>5.7789999999999786E-3</v>
      </c>
      <c r="L1198">
        <v>49.935620672400383</v>
      </c>
      <c r="M1198">
        <f t="shared" si="18"/>
        <v>-30</v>
      </c>
    </row>
    <row r="1199" spans="3:13">
      <c r="C1199" s="2">
        <v>41809</v>
      </c>
      <c r="D1199">
        <v>51.491742634856116</v>
      </c>
      <c r="E1199">
        <f>VLOOKUP(C1199,'10y swap Vol'!$C$2:$G$3809,5,0)</f>
        <v>52.061226232788485</v>
      </c>
      <c r="F1199">
        <f>VLOOKUP(C1199,'5y10y Swaption Vol'!temp,3,0)</f>
        <v>87.855491074</v>
      </c>
      <c r="H1199" s="1">
        <v>41841</v>
      </c>
      <c r="I1199" t="s">
        <v>2</v>
      </c>
      <c r="J1199">
        <v>2.5935540000000001</v>
      </c>
      <c r="K1199">
        <v>-6.0109999999999886E-3</v>
      </c>
      <c r="L1199">
        <v>49.905427958825662</v>
      </c>
      <c r="M1199">
        <f t="shared" si="18"/>
        <v>-32</v>
      </c>
    </row>
    <row r="1200" spans="3:13">
      <c r="C1200" s="2">
        <v>41810</v>
      </c>
      <c r="D1200">
        <v>51.192880948690046</v>
      </c>
      <c r="E1200">
        <f>VLOOKUP(C1200,'10y swap Vol'!$C$2:$G$3809,5,0)</f>
        <v>51.59375301011535</v>
      </c>
      <c r="F1200">
        <f>VLOOKUP(C1200,'5y10y Swaption Vol'!temp,3,0)</f>
        <v>87.809163378999997</v>
      </c>
      <c r="H1200" s="1">
        <v>41842</v>
      </c>
      <c r="I1200" t="s">
        <v>2</v>
      </c>
      <c r="J1200">
        <v>2.5895459999999999</v>
      </c>
      <c r="K1200">
        <v>-4.0080000000002336E-3</v>
      </c>
      <c r="L1200">
        <v>49.788212272182406</v>
      </c>
      <c r="M1200">
        <f t="shared" si="18"/>
        <v>-32</v>
      </c>
    </row>
    <row r="1201" spans="3:13">
      <c r="C1201" s="2">
        <v>41813</v>
      </c>
      <c r="D1201">
        <v>51.132256680241106</v>
      </c>
      <c r="E1201">
        <f>VLOOKUP(C1201,'10y swap Vol'!$C$2:$G$3809,5,0)</f>
        <v>51.309979567254672</v>
      </c>
      <c r="F1201">
        <f>VLOOKUP(C1201,'5y10y Swaption Vol'!temp,3,0)</f>
        <v>87.944032211000007</v>
      </c>
      <c r="H1201" s="1">
        <v>41843</v>
      </c>
      <c r="I1201" t="s">
        <v>2</v>
      </c>
      <c r="J1201">
        <v>2.5877370000000002</v>
      </c>
      <c r="K1201">
        <v>-1.8089999999997275E-3</v>
      </c>
      <c r="L1201">
        <v>49.754297001523661</v>
      </c>
      <c r="M1201">
        <f t="shared" si="18"/>
        <v>-30</v>
      </c>
    </row>
    <row r="1202" spans="3:13">
      <c r="C1202" s="2">
        <v>41814</v>
      </c>
      <c r="D1202">
        <v>50.975714355246836</v>
      </c>
      <c r="E1202">
        <f>VLOOKUP(C1202,'10y swap Vol'!$C$2:$G$3809,5,0)</f>
        <v>50.803184181723495</v>
      </c>
      <c r="F1202">
        <f>VLOOKUP(C1202,'5y10y Swaption Vol'!temp,3,0)</f>
        <v>87.545324489999999</v>
      </c>
      <c r="H1202" s="1">
        <v>41844</v>
      </c>
      <c r="I1202" t="s">
        <v>2</v>
      </c>
      <c r="J1202">
        <v>2.6313230000000001</v>
      </c>
      <c r="K1202">
        <v>4.3585999999999903E-2</v>
      </c>
      <c r="L1202">
        <v>50.557246629872878</v>
      </c>
      <c r="M1202">
        <f t="shared" si="18"/>
        <v>-30</v>
      </c>
    </row>
    <row r="1203" spans="3:13">
      <c r="C1203" s="2">
        <v>41815</v>
      </c>
      <c r="D1203">
        <v>50.962006462808773</v>
      </c>
      <c r="E1203">
        <f>VLOOKUP(C1203,'10y swap Vol'!$C$2:$G$3809,5,0)</f>
        <v>50.945844631422496</v>
      </c>
      <c r="F1203">
        <f>VLOOKUP(C1203,'5y10y Swaption Vol'!temp,3,0)</f>
        <v>87.165351336000001</v>
      </c>
      <c r="H1203" s="1">
        <v>41845</v>
      </c>
      <c r="I1203" t="s">
        <v>2</v>
      </c>
      <c r="J1203">
        <v>2.5908000000000002</v>
      </c>
      <c r="K1203">
        <v>-4.0522999999999865E-2</v>
      </c>
      <c r="L1203">
        <v>50.501451216072837</v>
      </c>
      <c r="M1203">
        <f t="shared" si="18"/>
        <v>-30</v>
      </c>
    </row>
    <row r="1204" spans="3:13">
      <c r="C1204" s="2">
        <v>41816</v>
      </c>
      <c r="D1204">
        <v>50.7383891386635</v>
      </c>
      <c r="E1204">
        <f>VLOOKUP(C1204,'10y swap Vol'!$C$2:$G$3809,5,0)</f>
        <v>50.528582370588602</v>
      </c>
      <c r="F1204">
        <f>VLOOKUP(C1204,'5y10y Swaption Vol'!temp,3,0)</f>
        <v>86.995236856999995</v>
      </c>
      <c r="H1204" s="1">
        <v>41848</v>
      </c>
      <c r="I1204" t="s">
        <v>2</v>
      </c>
      <c r="J1204">
        <v>2.6142470000000002</v>
      </c>
      <c r="K1204">
        <v>2.3446999999999996E-2</v>
      </c>
      <c r="L1204">
        <v>50.439722545742974</v>
      </c>
      <c r="M1204">
        <f t="shared" si="18"/>
        <v>-32</v>
      </c>
    </row>
    <row r="1205" spans="3:13">
      <c r="C1205" s="2">
        <v>41817</v>
      </c>
      <c r="D1205">
        <v>50.113460085890125</v>
      </c>
      <c r="E1205">
        <f>VLOOKUP(C1205,'10y swap Vol'!$C$2:$G$3809,5,0)</f>
        <v>49.785651554465829</v>
      </c>
      <c r="F1205">
        <f>VLOOKUP(C1205,'5y10y Swaption Vol'!temp,3,0)</f>
        <v>87.053804040000003</v>
      </c>
      <c r="H1205" s="1">
        <v>41849</v>
      </c>
      <c r="I1205" t="s">
        <v>2</v>
      </c>
      <c r="J1205">
        <v>2.590074</v>
      </c>
      <c r="K1205">
        <v>-2.4173000000000222E-2</v>
      </c>
      <c r="L1205">
        <v>50.595817280472524</v>
      </c>
      <c r="M1205">
        <f t="shared" si="18"/>
        <v>-32</v>
      </c>
    </row>
    <row r="1206" spans="3:13">
      <c r="C1206" s="2">
        <v>41820</v>
      </c>
      <c r="D1206">
        <v>50.009325324429064</v>
      </c>
      <c r="E1206">
        <f>VLOOKUP(C1206,'10y swap Vol'!$C$2:$G$3809,5,0)</f>
        <v>49.901262748216382</v>
      </c>
      <c r="F1206">
        <f>VLOOKUP(C1206,'5y10y Swaption Vol'!temp,3,0)</f>
        <v>87.045280718000001</v>
      </c>
      <c r="H1206" s="1">
        <v>41850</v>
      </c>
      <c r="I1206" t="s">
        <v>2</v>
      </c>
      <c r="J1206">
        <v>2.6813739999999999</v>
      </c>
      <c r="K1206">
        <v>9.1299999999999937E-2</v>
      </c>
      <c r="L1206">
        <v>53.901156691380855</v>
      </c>
      <c r="M1206">
        <f t="shared" si="18"/>
        <v>-30</v>
      </c>
    </row>
    <row r="1207" spans="3:13">
      <c r="C1207" s="2">
        <v>41821</v>
      </c>
      <c r="D1207">
        <v>50.244631807541062</v>
      </c>
      <c r="E1207">
        <f>VLOOKUP(C1207,'10y swap Vol'!$C$2:$G$3809,5,0)</f>
        <v>49.530540802333398</v>
      </c>
      <c r="F1207">
        <f>VLOOKUP(C1207,'5y10y Swaption Vol'!temp,3,0)</f>
        <v>87.335228375</v>
      </c>
      <c r="H1207" s="1">
        <v>41851</v>
      </c>
      <c r="I1207" t="s">
        <v>2</v>
      </c>
      <c r="J1207">
        <v>2.6932040000000002</v>
      </c>
      <c r="K1207">
        <v>1.1830000000000229E-2</v>
      </c>
      <c r="L1207">
        <v>53.834112959828886</v>
      </c>
      <c r="M1207">
        <f t="shared" si="18"/>
        <v>-30</v>
      </c>
    </row>
    <row r="1208" spans="3:13">
      <c r="C1208" s="2">
        <v>41822</v>
      </c>
      <c r="D1208">
        <v>50.886290450430891</v>
      </c>
      <c r="E1208">
        <f>VLOOKUP(C1208,'10y swap Vol'!$C$2:$G$3809,5,0)</f>
        <v>51.206234229634873</v>
      </c>
      <c r="F1208">
        <f>VLOOKUP(C1208,'5y10y Swaption Vol'!temp,3,0)</f>
        <v>87.633492575999995</v>
      </c>
      <c r="H1208" s="1">
        <v>41852</v>
      </c>
      <c r="I1208" t="s">
        <v>2</v>
      </c>
      <c r="J1208">
        <v>2.6444000000000001</v>
      </c>
      <c r="K1208">
        <v>-4.880400000000007E-2</v>
      </c>
      <c r="L1208">
        <v>54.677975107024444</v>
      </c>
      <c r="M1208">
        <f t="shared" si="18"/>
        <v>-30</v>
      </c>
    </row>
    <row r="1209" spans="3:13">
      <c r="C1209" s="2">
        <v>41823</v>
      </c>
      <c r="D1209">
        <v>50.991349842476133</v>
      </c>
      <c r="E1209">
        <f>VLOOKUP(C1209,'10y swap Vol'!$C$2:$G$3809,5,0)</f>
        <v>51.153945492384636</v>
      </c>
      <c r="F1209">
        <f>VLOOKUP(C1209,'5y10y Swaption Vol'!temp,3,0)</f>
        <v>87.344594279999995</v>
      </c>
      <c r="H1209" s="1">
        <v>41855</v>
      </c>
      <c r="I1209" t="s">
        <v>2</v>
      </c>
      <c r="J1209">
        <v>2.6299169999999998</v>
      </c>
      <c r="K1209">
        <v>-1.4483000000000246E-2</v>
      </c>
      <c r="L1209">
        <v>54.641610768831065</v>
      </c>
      <c r="M1209">
        <f t="shared" si="18"/>
        <v>-32</v>
      </c>
    </row>
    <row r="1210" spans="3:13">
      <c r="C1210" s="2">
        <v>41827</v>
      </c>
      <c r="D1210">
        <v>51.06230564533432</v>
      </c>
      <c r="E1210">
        <f>VLOOKUP(C1210,'10y swap Vol'!$C$2:$G$3809,5,0)</f>
        <v>51.483883403684281</v>
      </c>
      <c r="F1210">
        <f>VLOOKUP(C1210,'5y10y Swaption Vol'!temp,3,0)</f>
        <v>87.254474328000001</v>
      </c>
      <c r="H1210" s="1">
        <v>41856</v>
      </c>
      <c r="I1210" t="s">
        <v>2</v>
      </c>
      <c r="J1210">
        <v>2.626986</v>
      </c>
      <c r="K1210">
        <v>-2.9309999999997949E-3</v>
      </c>
      <c r="L1210">
        <v>54.353285532498084</v>
      </c>
      <c r="M1210">
        <f t="shared" si="18"/>
        <v>-29</v>
      </c>
    </row>
    <row r="1211" spans="3:13">
      <c r="C1211" s="2">
        <v>41828</v>
      </c>
      <c r="D1211">
        <v>50.081550617662671</v>
      </c>
      <c r="E1211">
        <f>VLOOKUP(C1211,'10y swap Vol'!$C$2:$G$3809,5,0)</f>
        <v>51.672244853942317</v>
      </c>
      <c r="F1211">
        <f>VLOOKUP(C1211,'5y10y Swaption Vol'!temp,3,0)</f>
        <v>86.655060790999997</v>
      </c>
      <c r="H1211" s="1">
        <v>41857</v>
      </c>
      <c r="I1211" t="s">
        <v>2</v>
      </c>
      <c r="J1211">
        <v>2.6204399999999999</v>
      </c>
      <c r="K1211">
        <v>-6.5460000000001628E-3</v>
      </c>
      <c r="L1211">
        <v>54.039187154756107</v>
      </c>
      <c r="M1211">
        <f t="shared" si="18"/>
        <v>-29</v>
      </c>
    </row>
    <row r="1212" spans="3:13">
      <c r="C1212" s="2">
        <v>41829</v>
      </c>
      <c r="D1212">
        <v>50.150286001631819</v>
      </c>
      <c r="E1212">
        <f>VLOOKUP(C1212,'10y swap Vol'!$C$2:$G$3809,5,0)</f>
        <v>51.712808585680335</v>
      </c>
      <c r="F1212">
        <f>VLOOKUP(C1212,'5y10y Swaption Vol'!temp,3,0)</f>
        <v>86.791721808000005</v>
      </c>
      <c r="H1212" s="1">
        <v>41858</v>
      </c>
      <c r="I1212" t="s">
        <v>2</v>
      </c>
      <c r="J1212">
        <v>2.5751369999999998</v>
      </c>
      <c r="K1212">
        <v>-4.5303000000000093E-2</v>
      </c>
      <c r="L1212">
        <v>54.4182819078503</v>
      </c>
      <c r="M1212">
        <f t="shared" si="18"/>
        <v>-29</v>
      </c>
    </row>
    <row r="1213" spans="3:13">
      <c r="C1213" s="2">
        <v>41830</v>
      </c>
      <c r="D1213">
        <v>49.952279506733063</v>
      </c>
      <c r="E1213">
        <f>VLOOKUP(C1213,'10y swap Vol'!$C$2:$G$3809,5,0)</f>
        <v>51.429866622854838</v>
      </c>
      <c r="F1213">
        <f>VLOOKUP(C1213,'5y10y Swaption Vol'!temp,3,0)</f>
        <v>86.839577117999994</v>
      </c>
      <c r="H1213" s="1">
        <v>41859</v>
      </c>
      <c r="I1213" t="s">
        <v>2</v>
      </c>
      <c r="J1213">
        <v>2.5705819999999999</v>
      </c>
      <c r="K1213">
        <v>-4.5549999999998647E-3</v>
      </c>
      <c r="L1213">
        <v>52.555985126993789</v>
      </c>
      <c r="M1213">
        <f t="shared" si="18"/>
        <v>-29</v>
      </c>
    </row>
    <row r="1214" spans="3:13">
      <c r="C1214" s="2">
        <v>41831</v>
      </c>
      <c r="D1214">
        <v>50.00499959163183</v>
      </c>
      <c r="E1214">
        <f>VLOOKUP(C1214,'10y swap Vol'!$C$2:$G$3809,5,0)</f>
        <v>51.456900564815342</v>
      </c>
      <c r="F1214">
        <f>VLOOKUP(C1214,'5y10y Swaption Vol'!temp,3,0)</f>
        <v>86.812626207999998</v>
      </c>
      <c r="H1214" s="1">
        <v>41862</v>
      </c>
      <c r="I1214" t="s">
        <v>2</v>
      </c>
      <c r="J1214">
        <v>2.5774590000000002</v>
      </c>
      <c r="K1214">
        <v>6.877000000000244E-3</v>
      </c>
      <c r="L1214">
        <v>52.021150314622069</v>
      </c>
      <c r="M1214">
        <f t="shared" si="18"/>
        <v>-31</v>
      </c>
    </row>
    <row r="1215" spans="3:13">
      <c r="C1215" s="2">
        <v>41834</v>
      </c>
      <c r="D1215">
        <v>50.539714059435994</v>
      </c>
      <c r="E1215">
        <f>VLOOKUP(C1215,'10y swap Vol'!$C$2:$G$3809,5,0)</f>
        <v>51.669582990851126</v>
      </c>
      <c r="F1215">
        <f>VLOOKUP(C1215,'5y10y Swaption Vol'!temp,3,0)</f>
        <v>87.068745375000006</v>
      </c>
      <c r="H1215" s="1">
        <v>41863</v>
      </c>
      <c r="I1215" t="s">
        <v>2</v>
      </c>
      <c r="J1215">
        <v>2.595869</v>
      </c>
      <c r="K1215">
        <v>1.8409999999999815E-2</v>
      </c>
      <c r="L1215">
        <v>51.937464895655381</v>
      </c>
      <c r="M1215">
        <f t="shared" si="18"/>
        <v>-29</v>
      </c>
    </row>
    <row r="1216" spans="3:13">
      <c r="C1216" s="2">
        <v>41835</v>
      </c>
      <c r="D1216">
        <v>49.07767575519199</v>
      </c>
      <c r="E1216">
        <f>VLOOKUP(C1216,'10y swap Vol'!$C$2:$G$3809,5,0)</f>
        <v>49.606087864327655</v>
      </c>
      <c r="F1216">
        <f>VLOOKUP(C1216,'5y10y Swaption Vol'!temp,3,0)</f>
        <v>87.129652922000005</v>
      </c>
      <c r="H1216" s="1">
        <v>41864</v>
      </c>
      <c r="I1216" t="s">
        <v>2</v>
      </c>
      <c r="J1216">
        <v>2.562017</v>
      </c>
      <c r="K1216">
        <v>-3.3851999999999993E-2</v>
      </c>
      <c r="L1216">
        <v>52.187803540549702</v>
      </c>
      <c r="M1216">
        <f t="shared" si="18"/>
        <v>-29</v>
      </c>
    </row>
    <row r="1217" spans="3:13">
      <c r="C1217" s="2">
        <v>41836</v>
      </c>
      <c r="D1217">
        <v>48.976515393129247</v>
      </c>
      <c r="E1217">
        <f>VLOOKUP(C1217,'10y swap Vol'!$C$2:$G$3809,5,0)</f>
        <v>49.625081372686616</v>
      </c>
      <c r="F1217">
        <f>VLOOKUP(C1217,'5y10y Swaption Vol'!temp,3,0)</f>
        <v>87.006049653000005</v>
      </c>
      <c r="H1217" s="1">
        <v>41865</v>
      </c>
      <c r="I1217" t="s">
        <v>2</v>
      </c>
      <c r="J1217">
        <v>2.5439660000000002</v>
      </c>
      <c r="K1217">
        <v>-1.8050999999999817E-2</v>
      </c>
      <c r="L1217">
        <v>52.010633710232547</v>
      </c>
      <c r="M1217">
        <f t="shared" si="18"/>
        <v>-29</v>
      </c>
    </row>
    <row r="1218" spans="3:13">
      <c r="C1218" s="2">
        <v>41837</v>
      </c>
      <c r="D1218">
        <v>49.977624542148092</v>
      </c>
      <c r="E1218">
        <f>VLOOKUP(C1218,'10y swap Vol'!$C$2:$G$3809,5,0)</f>
        <v>50.633843312226425</v>
      </c>
      <c r="F1218">
        <f>VLOOKUP(C1218,'5y10y Swaption Vol'!temp,3,0)</f>
        <v>87.205127700999995</v>
      </c>
      <c r="H1218" s="1">
        <v>41866</v>
      </c>
      <c r="I1218" t="s">
        <v>2</v>
      </c>
      <c r="J1218">
        <v>2.4960119999999999</v>
      </c>
      <c r="K1218">
        <v>-4.7954000000000274E-2</v>
      </c>
      <c r="L1218">
        <v>52.678198686568514</v>
      </c>
      <c r="M1218">
        <f t="shared" si="18"/>
        <v>-29</v>
      </c>
    </row>
    <row r="1219" spans="3:13">
      <c r="C1219" s="2">
        <v>41838</v>
      </c>
      <c r="D1219">
        <v>49.261662754530455</v>
      </c>
      <c r="E1219">
        <f>VLOOKUP(C1219,'10y swap Vol'!$C$2:$G$3809,5,0)</f>
        <v>49.935620672400383</v>
      </c>
      <c r="F1219">
        <f>VLOOKUP(C1219,'5y10y Swaption Vol'!temp,3,0)</f>
        <v>87.359604497999996</v>
      </c>
      <c r="H1219" s="1">
        <v>41869</v>
      </c>
      <c r="I1219" t="s">
        <v>2</v>
      </c>
      <c r="J1219">
        <v>2.5365869999999999</v>
      </c>
      <c r="K1219">
        <v>4.0575000000000028E-2</v>
      </c>
      <c r="L1219">
        <v>53.167488646064378</v>
      </c>
      <c r="M1219">
        <f t="shared" ref="M1219:M1282" si="19">C1219-H1219</f>
        <v>-31</v>
      </c>
    </row>
    <row r="1220" spans="3:13">
      <c r="C1220" s="2">
        <v>41841</v>
      </c>
      <c r="D1220">
        <v>49.258373637527839</v>
      </c>
      <c r="E1220">
        <f>VLOOKUP(C1220,'10y swap Vol'!$C$2:$G$3809,5,0)</f>
        <v>49.905427958825662</v>
      </c>
      <c r="F1220">
        <f>VLOOKUP(C1220,'5y10y Swaption Vol'!temp,3,0)</f>
        <v>87.636379050000002</v>
      </c>
      <c r="H1220" s="1">
        <v>41870</v>
      </c>
      <c r="I1220" t="s">
        <v>2</v>
      </c>
      <c r="J1220">
        <v>2.5582859999999998</v>
      </c>
      <c r="K1220">
        <v>2.1698999999999913E-2</v>
      </c>
      <c r="L1220">
        <v>53.208780044475127</v>
      </c>
      <c r="M1220">
        <f t="shared" si="19"/>
        <v>-29</v>
      </c>
    </row>
    <row r="1221" spans="3:13">
      <c r="C1221" s="2">
        <v>41842</v>
      </c>
      <c r="D1221">
        <v>49.127384315161081</v>
      </c>
      <c r="E1221">
        <f>VLOOKUP(C1221,'10y swap Vol'!$C$2:$G$3809,5,0)</f>
        <v>49.788212272182406</v>
      </c>
      <c r="F1221">
        <f>VLOOKUP(C1221,'5y10y Swaption Vol'!temp,3,0)</f>
        <v>87.753882047999994</v>
      </c>
      <c r="H1221" s="1">
        <v>41871</v>
      </c>
      <c r="I1221" t="s">
        <v>2</v>
      </c>
      <c r="J1221">
        <v>2.5816300000000001</v>
      </c>
      <c r="K1221">
        <v>2.3344000000000253E-2</v>
      </c>
      <c r="L1221">
        <v>53.292267062574773</v>
      </c>
      <c r="M1221">
        <f t="shared" si="19"/>
        <v>-29</v>
      </c>
    </row>
    <row r="1222" spans="3:13">
      <c r="C1222" s="2">
        <v>41843</v>
      </c>
      <c r="D1222">
        <v>49.191600384637709</v>
      </c>
      <c r="E1222">
        <f>VLOOKUP(C1222,'10y swap Vol'!$C$2:$G$3809,5,0)</f>
        <v>49.754297001523661</v>
      </c>
      <c r="F1222">
        <f>VLOOKUP(C1222,'5y10y Swaption Vol'!temp,3,0)</f>
        <v>87.783029016</v>
      </c>
      <c r="H1222" s="1">
        <v>41872</v>
      </c>
      <c r="I1222" t="s">
        <v>2</v>
      </c>
      <c r="J1222">
        <v>2.5568379999999999</v>
      </c>
      <c r="K1222">
        <v>-2.4792000000000147E-2</v>
      </c>
      <c r="L1222">
        <v>51.311921899934532</v>
      </c>
      <c r="M1222">
        <f t="shared" si="19"/>
        <v>-29</v>
      </c>
    </row>
    <row r="1223" spans="3:13">
      <c r="C1223" s="2">
        <v>41844</v>
      </c>
      <c r="D1223">
        <v>50.181513213987294</v>
      </c>
      <c r="E1223">
        <f>VLOOKUP(C1223,'10y swap Vol'!$C$2:$G$3809,5,0)</f>
        <v>50.557246629872878</v>
      </c>
      <c r="F1223">
        <f>VLOOKUP(C1223,'5y10y Swaption Vol'!temp,3,0)</f>
        <v>88.06573152</v>
      </c>
      <c r="H1223" s="1">
        <v>41873</v>
      </c>
      <c r="I1223" t="s">
        <v>2</v>
      </c>
      <c r="J1223">
        <v>2.5497999999999998</v>
      </c>
      <c r="K1223">
        <v>-7.0380000000000997E-3</v>
      </c>
      <c r="L1223">
        <v>51.280516181748148</v>
      </c>
      <c r="M1223">
        <f t="shared" si="19"/>
        <v>-29</v>
      </c>
    </row>
    <row r="1224" spans="3:13">
      <c r="C1224" s="2">
        <v>41845</v>
      </c>
      <c r="D1224">
        <v>50.125254843890318</v>
      </c>
      <c r="E1224">
        <f>VLOOKUP(C1224,'10y swap Vol'!$C$2:$G$3809,5,0)</f>
        <v>50.501451216072837</v>
      </c>
      <c r="F1224">
        <f>VLOOKUP(C1224,'5y10y Swaption Vol'!temp,3,0)</f>
        <v>88.189210075999995</v>
      </c>
      <c r="H1224" s="1">
        <v>41876</v>
      </c>
      <c r="I1224" t="s">
        <v>2</v>
      </c>
      <c r="J1224">
        <v>2.5273479999999999</v>
      </c>
      <c r="K1224">
        <v>-2.2451999999999916E-2</v>
      </c>
      <c r="L1224">
        <v>51.344337999057402</v>
      </c>
      <c r="M1224">
        <f t="shared" si="19"/>
        <v>-31</v>
      </c>
    </row>
    <row r="1225" spans="3:13">
      <c r="C1225" s="2">
        <v>41848</v>
      </c>
      <c r="D1225">
        <v>49.607945830842098</v>
      </c>
      <c r="E1225">
        <f>VLOOKUP(C1225,'10y swap Vol'!$C$2:$G$3809,5,0)</f>
        <v>50.439722545742974</v>
      </c>
      <c r="F1225">
        <f>VLOOKUP(C1225,'5y10y Swaption Vol'!temp,3,0)</f>
        <v>88.434854134000005</v>
      </c>
      <c r="H1225" s="1">
        <v>41877</v>
      </c>
      <c r="I1225" t="s">
        <v>2</v>
      </c>
      <c r="J1225">
        <v>2.530119</v>
      </c>
      <c r="K1225">
        <v>2.771000000000079E-3</v>
      </c>
      <c r="L1225">
        <v>48.62695581418032</v>
      </c>
      <c r="M1225">
        <f t="shared" si="19"/>
        <v>-29</v>
      </c>
    </row>
    <row r="1226" spans="3:13">
      <c r="C1226" s="2">
        <v>41849</v>
      </c>
      <c r="D1226">
        <v>49.753429685439315</v>
      </c>
      <c r="E1226">
        <f>VLOOKUP(C1226,'10y swap Vol'!$C$2:$G$3809,5,0)</f>
        <v>50.595817280472524</v>
      </c>
      <c r="F1226">
        <f>VLOOKUP(C1226,'5y10y Swaption Vol'!temp,3,0)</f>
        <v>89.165602109999995</v>
      </c>
      <c r="H1226" s="1">
        <v>41878</v>
      </c>
      <c r="I1226" t="s">
        <v>2</v>
      </c>
      <c r="J1226">
        <v>2.5067970000000002</v>
      </c>
      <c r="K1226">
        <v>-2.3321999999999843E-2</v>
      </c>
      <c r="L1226">
        <v>47.069738100296618</v>
      </c>
      <c r="M1226">
        <f t="shared" si="19"/>
        <v>-29</v>
      </c>
    </row>
    <row r="1227" spans="3:13">
      <c r="C1227" s="2">
        <v>41850</v>
      </c>
      <c r="D1227">
        <v>52.623557669042931</v>
      </c>
      <c r="E1227">
        <f>VLOOKUP(C1227,'10y swap Vol'!$C$2:$G$3809,5,0)</f>
        <v>53.901156691380855</v>
      </c>
      <c r="F1227">
        <f>VLOOKUP(C1227,'5y10y Swaption Vol'!temp,3,0)</f>
        <v>89.928954000000004</v>
      </c>
      <c r="H1227" s="1">
        <v>41879</v>
      </c>
      <c r="I1227" t="s">
        <v>2</v>
      </c>
      <c r="J1227">
        <v>2.4878049999999998</v>
      </c>
      <c r="K1227">
        <v>-1.8992000000000342E-2</v>
      </c>
      <c r="L1227">
        <v>46.979921437015129</v>
      </c>
      <c r="M1227">
        <f t="shared" si="19"/>
        <v>-29</v>
      </c>
    </row>
    <row r="1228" spans="3:13">
      <c r="C1228" s="2">
        <v>41851</v>
      </c>
      <c r="D1228">
        <v>52.494924824924013</v>
      </c>
      <c r="E1228">
        <f>VLOOKUP(C1228,'10y swap Vol'!$C$2:$G$3809,5,0)</f>
        <v>53.834112959828886</v>
      </c>
      <c r="F1228">
        <f>VLOOKUP(C1228,'5y10y Swaption Vol'!temp,3,0)</f>
        <v>89.966215250000005</v>
      </c>
      <c r="H1228" s="1">
        <v>41880</v>
      </c>
      <c r="I1228" t="s">
        <v>2</v>
      </c>
      <c r="J1228">
        <v>2.4965799999999998</v>
      </c>
      <c r="K1228">
        <v>8.7749999999999773E-3</v>
      </c>
      <c r="L1228">
        <v>46.965789374770928</v>
      </c>
      <c r="M1228">
        <f t="shared" si="19"/>
        <v>-29</v>
      </c>
    </row>
    <row r="1229" spans="3:13">
      <c r="C1229" s="2">
        <v>41852</v>
      </c>
      <c r="D1229">
        <v>53.018771216803451</v>
      </c>
      <c r="E1229">
        <f>VLOOKUP(C1229,'10y swap Vol'!$C$2:$G$3809,5,0)</f>
        <v>54.677975107024444</v>
      </c>
      <c r="F1229">
        <f>VLOOKUP(C1229,'5y10y Swaption Vol'!temp,3,0)</f>
        <v>90.045602324000001</v>
      </c>
      <c r="H1229" s="1">
        <v>41884</v>
      </c>
      <c r="I1229" t="s">
        <v>2</v>
      </c>
      <c r="J1229">
        <v>2.550341</v>
      </c>
      <c r="K1229">
        <v>5.376100000000017E-2</v>
      </c>
      <c r="L1229">
        <v>48.327834159615819</v>
      </c>
      <c r="M1229">
        <f t="shared" si="19"/>
        <v>-32</v>
      </c>
    </row>
    <row r="1230" spans="3:13">
      <c r="C1230" s="2">
        <v>41855</v>
      </c>
      <c r="D1230">
        <v>53.04694341951889</v>
      </c>
      <c r="E1230">
        <f>VLOOKUP(C1230,'10y swap Vol'!$C$2:$G$3809,5,0)</f>
        <v>54.641610768831065</v>
      </c>
      <c r="F1230">
        <f>VLOOKUP(C1230,'5y10y Swaption Vol'!temp,3,0)</f>
        <v>90.028575970000006</v>
      </c>
      <c r="H1230" s="1">
        <v>41885</v>
      </c>
      <c r="I1230" t="s">
        <v>2</v>
      </c>
      <c r="J1230">
        <v>2.5284469999999999</v>
      </c>
      <c r="K1230">
        <v>-2.189400000000008E-2</v>
      </c>
      <c r="L1230">
        <v>48.320650675840348</v>
      </c>
      <c r="M1230">
        <f t="shared" si="19"/>
        <v>-30</v>
      </c>
    </row>
    <row r="1231" spans="3:13">
      <c r="C1231" s="2">
        <v>41856</v>
      </c>
      <c r="D1231">
        <v>52.459214513384232</v>
      </c>
      <c r="E1231">
        <f>VLOOKUP(C1231,'10y swap Vol'!$C$2:$G$3809,5,0)</f>
        <v>54.353285532498084</v>
      </c>
      <c r="F1231">
        <f>VLOOKUP(C1231,'5y10y Swaption Vol'!temp,3,0)</f>
        <v>89.863003402000004</v>
      </c>
      <c r="H1231" s="1">
        <v>41886</v>
      </c>
      <c r="I1231" t="s">
        <v>2</v>
      </c>
      <c r="J1231">
        <v>2.5688970000000002</v>
      </c>
      <c r="K1231">
        <v>4.0450000000000319E-2</v>
      </c>
      <c r="L1231">
        <v>48.905079970636301</v>
      </c>
      <c r="M1231">
        <f t="shared" si="19"/>
        <v>-30</v>
      </c>
    </row>
    <row r="1232" spans="3:13">
      <c r="C1232" s="2">
        <v>41857</v>
      </c>
      <c r="D1232">
        <v>52.12216764642492</v>
      </c>
      <c r="E1232">
        <f>VLOOKUP(C1232,'10y swap Vol'!$C$2:$G$3809,5,0)</f>
        <v>54.039187154756107</v>
      </c>
      <c r="F1232">
        <f>VLOOKUP(C1232,'5y10y Swaption Vol'!temp,3,0)</f>
        <v>89.943136031999998</v>
      </c>
      <c r="H1232" s="1">
        <v>41887</v>
      </c>
      <c r="I1232" t="s">
        <v>2</v>
      </c>
      <c r="J1232">
        <v>2.5814620000000001</v>
      </c>
      <c r="K1232">
        <v>1.2564999999999937E-2</v>
      </c>
      <c r="L1232">
        <v>49.007023907531</v>
      </c>
      <c r="M1232">
        <f t="shared" si="19"/>
        <v>-30</v>
      </c>
    </row>
    <row r="1233" spans="3:13">
      <c r="C1233" s="2">
        <v>41858</v>
      </c>
      <c r="D1233">
        <v>52.405696608614029</v>
      </c>
      <c r="E1233">
        <f>VLOOKUP(C1233,'10y swap Vol'!$C$2:$G$3809,5,0)</f>
        <v>54.4182819078503</v>
      </c>
      <c r="F1233">
        <f>VLOOKUP(C1233,'5y10y Swaption Vol'!temp,3,0)</f>
        <v>90.382161984000007</v>
      </c>
      <c r="H1233" s="1">
        <v>41890</v>
      </c>
      <c r="I1233" t="s">
        <v>2</v>
      </c>
      <c r="J1233">
        <v>2.5929350000000002</v>
      </c>
      <c r="K1233">
        <v>1.1473000000000066E-2</v>
      </c>
      <c r="L1233">
        <v>47.834100383682888</v>
      </c>
      <c r="M1233">
        <f t="shared" si="19"/>
        <v>-32</v>
      </c>
    </row>
    <row r="1234" spans="3:13">
      <c r="C1234" s="2">
        <v>41859</v>
      </c>
      <c r="D1234">
        <v>50.124363457805401</v>
      </c>
      <c r="E1234">
        <f>VLOOKUP(C1234,'10y swap Vol'!$C$2:$G$3809,5,0)</f>
        <v>52.555985126993789</v>
      </c>
      <c r="F1234">
        <f>VLOOKUP(C1234,'5y10y Swaption Vol'!temp,3,0)</f>
        <v>90.629908112999999</v>
      </c>
      <c r="H1234" s="1">
        <v>41891</v>
      </c>
      <c r="I1234" t="s">
        <v>2</v>
      </c>
      <c r="J1234">
        <v>2.6256740000000001</v>
      </c>
      <c r="K1234">
        <v>3.2738999999999852E-2</v>
      </c>
      <c r="L1234">
        <v>48.271718226268376</v>
      </c>
      <c r="M1234">
        <f t="shared" si="19"/>
        <v>-32</v>
      </c>
    </row>
    <row r="1235" spans="3:13">
      <c r="C1235" s="2">
        <v>41862</v>
      </c>
      <c r="D1235">
        <v>50.044296272312607</v>
      </c>
      <c r="E1235">
        <f>VLOOKUP(C1235,'10y swap Vol'!$C$2:$G$3809,5,0)</f>
        <v>52.021150314622069</v>
      </c>
      <c r="F1235">
        <f>VLOOKUP(C1235,'5y10y Swaption Vol'!temp,3,0)</f>
        <v>90.373852176</v>
      </c>
      <c r="H1235" s="1">
        <v>41892</v>
      </c>
      <c r="I1235" t="s">
        <v>2</v>
      </c>
      <c r="J1235">
        <v>2.6682229999999998</v>
      </c>
      <c r="K1235">
        <v>4.2548999999999726E-2</v>
      </c>
      <c r="L1235">
        <v>49.088384597671421</v>
      </c>
      <c r="M1235">
        <f t="shared" si="19"/>
        <v>-30</v>
      </c>
    </row>
    <row r="1236" spans="3:13">
      <c r="C1236" s="2">
        <v>41863</v>
      </c>
      <c r="D1236">
        <v>49.75601386003116</v>
      </c>
      <c r="E1236">
        <f>VLOOKUP(C1236,'10y swap Vol'!$C$2:$G$3809,5,0)</f>
        <v>51.937464895655381</v>
      </c>
      <c r="F1236">
        <f>VLOOKUP(C1236,'5y10y Swaption Vol'!temp,3,0)</f>
        <v>90.533122370000001</v>
      </c>
      <c r="H1236" s="1">
        <v>41893</v>
      </c>
      <c r="I1236" t="s">
        <v>2</v>
      </c>
      <c r="J1236">
        <v>2.66465</v>
      </c>
      <c r="K1236">
        <v>-3.5729999999998263E-3</v>
      </c>
      <c r="L1236">
        <v>47.95775625581873</v>
      </c>
      <c r="M1236">
        <f t="shared" si="19"/>
        <v>-30</v>
      </c>
    </row>
    <row r="1237" spans="3:13">
      <c r="C1237" s="2">
        <v>41864</v>
      </c>
      <c r="D1237">
        <v>50.001465655677769</v>
      </c>
      <c r="E1237">
        <f>VLOOKUP(C1237,'10y swap Vol'!$C$2:$G$3809,5,0)</f>
        <v>52.187803540549702</v>
      </c>
      <c r="F1237">
        <f>VLOOKUP(C1237,'5y10y Swaption Vol'!temp,3,0)</f>
        <v>90.566763867999995</v>
      </c>
      <c r="H1237" s="1">
        <v>41894</v>
      </c>
      <c r="I1237" t="s">
        <v>2</v>
      </c>
      <c r="J1237">
        <v>2.7458269999999998</v>
      </c>
      <c r="K1237">
        <v>8.1176999999999833E-2</v>
      </c>
      <c r="L1237">
        <v>50.178899315961935</v>
      </c>
      <c r="M1237">
        <f t="shared" si="19"/>
        <v>-30</v>
      </c>
    </row>
    <row r="1238" spans="3:13">
      <c r="C1238" s="2">
        <v>41865</v>
      </c>
      <c r="D1238">
        <v>49.701862495680075</v>
      </c>
      <c r="E1238">
        <f>VLOOKUP(C1238,'10y swap Vol'!$C$2:$G$3809,5,0)</f>
        <v>52.010633710232547</v>
      </c>
      <c r="F1238">
        <f>VLOOKUP(C1238,'5y10y Swaption Vol'!temp,3,0)</f>
        <v>90.936592750000003</v>
      </c>
      <c r="H1238" s="1">
        <v>41897</v>
      </c>
      <c r="I1238" t="s">
        <v>2</v>
      </c>
      <c r="J1238">
        <v>2.730559</v>
      </c>
      <c r="K1238">
        <v>-1.5267999999999837E-2</v>
      </c>
      <c r="L1238">
        <v>50.268750224243178</v>
      </c>
      <c r="M1238">
        <f t="shared" si="19"/>
        <v>-32</v>
      </c>
    </row>
    <row r="1239" spans="3:13">
      <c r="C1239" s="2">
        <v>41866</v>
      </c>
      <c r="D1239">
        <v>50.508916943868428</v>
      </c>
      <c r="E1239">
        <f>VLOOKUP(C1239,'10y swap Vol'!$C$2:$G$3809,5,0)</f>
        <v>52.678198686568514</v>
      </c>
      <c r="F1239">
        <f>VLOOKUP(C1239,'5y10y Swaption Vol'!temp,3,0)</f>
        <v>91.618018769000003</v>
      </c>
      <c r="H1239" s="1">
        <v>41898</v>
      </c>
      <c r="I1239" t="s">
        <v>2</v>
      </c>
      <c r="J1239">
        <v>2.7312919999999998</v>
      </c>
      <c r="K1239">
        <v>7.3299999999987264E-4</v>
      </c>
      <c r="L1239">
        <v>50.2673241891912</v>
      </c>
      <c r="M1239">
        <f t="shared" si="19"/>
        <v>-32</v>
      </c>
    </row>
    <row r="1240" spans="3:13">
      <c r="C1240" s="2">
        <v>41869</v>
      </c>
      <c r="D1240">
        <v>51.362946645288652</v>
      </c>
      <c r="E1240">
        <f>VLOOKUP(C1240,'10y swap Vol'!$C$2:$G$3809,5,0)</f>
        <v>53.167488646064378</v>
      </c>
      <c r="F1240">
        <f>VLOOKUP(C1240,'5y10y Swaption Vol'!temp,3,0)</f>
        <v>91.803800928000001</v>
      </c>
      <c r="H1240" s="1">
        <v>41899</v>
      </c>
      <c r="I1240" t="s">
        <v>2</v>
      </c>
      <c r="J1240">
        <v>2.7397490000000002</v>
      </c>
      <c r="K1240">
        <v>8.4570000000003809E-3</v>
      </c>
      <c r="L1240">
        <v>50.28891401749118</v>
      </c>
      <c r="M1240">
        <f t="shared" si="19"/>
        <v>-30</v>
      </c>
    </row>
    <row r="1241" spans="3:13">
      <c r="C1241" s="2">
        <v>41870</v>
      </c>
      <c r="D1241">
        <v>51.616167128448339</v>
      </c>
      <c r="E1241">
        <f>VLOOKUP(C1241,'10y swap Vol'!$C$2:$G$3809,5,0)</f>
        <v>53.208780044475127</v>
      </c>
      <c r="F1241">
        <f>VLOOKUP(C1241,'5y10y Swaption Vol'!temp,3,0)</f>
        <v>91.679271068999995</v>
      </c>
      <c r="H1241" s="1">
        <v>41900</v>
      </c>
      <c r="I1241" t="s">
        <v>2</v>
      </c>
      <c r="J1241">
        <v>2.7664559999999998</v>
      </c>
      <c r="K1241">
        <v>2.6706999999999592E-2</v>
      </c>
      <c r="L1241">
        <v>50.276691815060083</v>
      </c>
      <c r="M1241">
        <f t="shared" si="19"/>
        <v>-30</v>
      </c>
    </row>
    <row r="1242" spans="3:13">
      <c r="C1242" s="2">
        <v>41871</v>
      </c>
      <c r="D1242">
        <v>51.59815113158924</v>
      </c>
      <c r="E1242">
        <f>VLOOKUP(C1242,'10y swap Vol'!$C$2:$G$3809,5,0)</f>
        <v>53.292267062574773</v>
      </c>
      <c r="F1242">
        <f>VLOOKUP(C1242,'5y10y Swaption Vol'!temp,3,0)</f>
        <v>91.416510283999997</v>
      </c>
      <c r="H1242" s="1">
        <v>41901</v>
      </c>
      <c r="I1242" t="s">
        <v>2</v>
      </c>
      <c r="J1242">
        <v>2.7212179999999999</v>
      </c>
      <c r="K1242">
        <v>-4.5237999999999889E-2</v>
      </c>
      <c r="L1242">
        <v>50.86161599345921</v>
      </c>
      <c r="M1242">
        <f t="shared" si="19"/>
        <v>-30</v>
      </c>
    </row>
    <row r="1243" spans="3:13">
      <c r="C1243" s="2">
        <v>41872</v>
      </c>
      <c r="D1243">
        <v>48.449445192460381</v>
      </c>
      <c r="E1243">
        <f>VLOOKUP(C1243,'10y swap Vol'!$C$2:$G$3809,5,0)</f>
        <v>51.311921899934532</v>
      </c>
      <c r="F1243">
        <f>VLOOKUP(C1243,'5y10y Swaption Vol'!temp,3,0)</f>
        <v>91.106458599999996</v>
      </c>
      <c r="H1243" s="1">
        <v>41904</v>
      </c>
      <c r="I1243" t="s">
        <v>2</v>
      </c>
      <c r="J1243">
        <v>2.6864620000000001</v>
      </c>
      <c r="K1243">
        <v>-3.4755999999999787E-2</v>
      </c>
      <c r="L1243">
        <v>51.01379914853522</v>
      </c>
      <c r="M1243">
        <f t="shared" si="19"/>
        <v>-32</v>
      </c>
    </row>
    <row r="1244" spans="3:13">
      <c r="C1244" s="2">
        <v>41873</v>
      </c>
      <c r="D1244">
        <v>48.165948174656108</v>
      </c>
      <c r="E1244">
        <f>VLOOKUP(C1244,'10y swap Vol'!$C$2:$G$3809,5,0)</f>
        <v>51.280516181748148</v>
      </c>
      <c r="F1244">
        <f>VLOOKUP(C1244,'5y10y Swaption Vol'!temp,3,0)</f>
        <v>90.472766167000003</v>
      </c>
      <c r="H1244" s="1">
        <v>41905</v>
      </c>
      <c r="I1244" t="s">
        <v>2</v>
      </c>
      <c r="J1244">
        <v>2.6548790000000002</v>
      </c>
      <c r="K1244">
        <v>-3.1582999999999917E-2</v>
      </c>
      <c r="L1244">
        <v>51.413832635905052</v>
      </c>
      <c r="M1244">
        <f t="shared" si="19"/>
        <v>-32</v>
      </c>
    </row>
    <row r="1245" spans="3:13">
      <c r="C1245" s="2">
        <v>41876</v>
      </c>
      <c r="D1245">
        <v>48.200696933723329</v>
      </c>
      <c r="E1245">
        <f>VLOOKUP(C1245,'10y swap Vol'!$C$2:$G$3809,5,0)</f>
        <v>51.344337999057402</v>
      </c>
      <c r="F1245">
        <f>VLOOKUP(C1245,'5y10y Swaption Vol'!temp,3,0)</f>
        <v>89.544852035999995</v>
      </c>
      <c r="H1245" s="1">
        <v>41906</v>
      </c>
      <c r="I1245" t="s">
        <v>2</v>
      </c>
      <c r="J1245">
        <v>2.6956829999999998</v>
      </c>
      <c r="K1245">
        <v>4.0803999999999618E-2</v>
      </c>
      <c r="L1245">
        <v>51.827245190334672</v>
      </c>
      <c r="M1245">
        <f t="shared" si="19"/>
        <v>-30</v>
      </c>
    </row>
    <row r="1246" spans="3:13">
      <c r="C1246" s="2">
        <v>41877</v>
      </c>
      <c r="D1246">
        <v>45.651517016335653</v>
      </c>
      <c r="E1246">
        <f>VLOOKUP(C1246,'10y swap Vol'!$C$2:$G$3809,5,0)</f>
        <v>48.62695581418032</v>
      </c>
      <c r="F1246">
        <f>VLOOKUP(C1246,'5y10y Swaption Vol'!temp,3,0)</f>
        <v>89.210297659999995</v>
      </c>
      <c r="H1246" s="1">
        <v>41907</v>
      </c>
      <c r="I1246" t="s">
        <v>2</v>
      </c>
      <c r="J1246">
        <v>2.6429399999999998</v>
      </c>
      <c r="K1246">
        <v>-5.2742999999999984E-2</v>
      </c>
      <c r="L1246">
        <v>51.943305578250218</v>
      </c>
      <c r="M1246">
        <f t="shared" si="19"/>
        <v>-30</v>
      </c>
    </row>
    <row r="1247" spans="3:13">
      <c r="C1247" s="2">
        <v>41878</v>
      </c>
      <c r="D1247">
        <v>44.681388954316176</v>
      </c>
      <c r="E1247">
        <f>VLOOKUP(C1247,'10y swap Vol'!$C$2:$G$3809,5,0)</f>
        <v>47.069738100296618</v>
      </c>
      <c r="F1247">
        <f>VLOOKUP(C1247,'5y10y Swaption Vol'!temp,3,0)</f>
        <v>89.141666856000001</v>
      </c>
      <c r="H1247" s="1">
        <v>41908</v>
      </c>
      <c r="I1247" t="s">
        <v>2</v>
      </c>
      <c r="J1247">
        <v>2.6623709999999998</v>
      </c>
      <c r="K1247">
        <v>1.9430999999999976E-2</v>
      </c>
      <c r="L1247">
        <v>50.29310512661587</v>
      </c>
      <c r="M1247">
        <f t="shared" si="19"/>
        <v>-30</v>
      </c>
    </row>
    <row r="1248" spans="3:13">
      <c r="C1248" s="2">
        <v>41879</v>
      </c>
      <c r="D1248">
        <v>44.809603158483554</v>
      </c>
      <c r="E1248">
        <f>VLOOKUP(C1248,'10y swap Vol'!$C$2:$G$3809,5,0)</f>
        <v>46.979921437015129</v>
      </c>
      <c r="F1248">
        <f>VLOOKUP(C1248,'5y10y Swaption Vol'!temp,3,0)</f>
        <v>89.301872176000003</v>
      </c>
      <c r="H1248" s="1">
        <v>41911</v>
      </c>
      <c r="I1248" t="s">
        <v>2</v>
      </c>
      <c r="J1248">
        <v>2.6383019999999999</v>
      </c>
      <c r="K1248">
        <v>-2.4068999999999896E-2</v>
      </c>
      <c r="L1248">
        <v>50.418488152166361</v>
      </c>
      <c r="M1248">
        <f t="shared" si="19"/>
        <v>-32</v>
      </c>
    </row>
    <row r="1249" spans="3:13">
      <c r="C1249" s="2">
        <v>41880</v>
      </c>
      <c r="D1249">
        <v>44.573068947714468</v>
      </c>
      <c r="E1249">
        <f>VLOOKUP(C1249,'10y swap Vol'!$C$2:$G$3809,5,0)</f>
        <v>46.965789374770928</v>
      </c>
      <c r="F1249">
        <f>VLOOKUP(C1249,'5y10y Swaption Vol'!temp,3,0)</f>
        <v>89.428560880000006</v>
      </c>
      <c r="H1249" s="1">
        <v>41912</v>
      </c>
      <c r="I1249" t="s">
        <v>2</v>
      </c>
      <c r="J1249">
        <v>2.6524760000000001</v>
      </c>
      <c r="K1249">
        <v>1.4174000000000131E-2</v>
      </c>
      <c r="L1249">
        <v>50.189181017178797</v>
      </c>
      <c r="M1249">
        <f t="shared" si="19"/>
        <v>-32</v>
      </c>
    </row>
    <row r="1250" spans="3:13">
      <c r="C1250" s="2">
        <v>41884</v>
      </c>
      <c r="D1250">
        <v>45.918357373759626</v>
      </c>
      <c r="E1250">
        <f>VLOOKUP(C1250,'10y swap Vol'!$C$2:$G$3809,5,0)</f>
        <v>48.327834159615819</v>
      </c>
      <c r="F1250">
        <f>VLOOKUP(C1250,'5y10y Swaption Vol'!temp,3,0)</f>
        <v>89.742488420000001</v>
      </c>
      <c r="H1250" s="1">
        <v>41913</v>
      </c>
      <c r="I1250" t="s">
        <v>2</v>
      </c>
      <c r="J1250">
        <v>2.5546579999999999</v>
      </c>
      <c r="K1250">
        <v>-9.7818000000000183E-2</v>
      </c>
      <c r="L1250">
        <v>52.910324213688185</v>
      </c>
      <c r="M1250">
        <f t="shared" si="19"/>
        <v>-29</v>
      </c>
    </row>
    <row r="1251" spans="3:13">
      <c r="C1251" s="2">
        <v>41885</v>
      </c>
      <c r="D1251">
        <v>45.795366899383815</v>
      </c>
      <c r="E1251">
        <f>VLOOKUP(C1251,'10y swap Vol'!$C$2:$G$3809,5,0)</f>
        <v>48.320650675840348</v>
      </c>
      <c r="F1251">
        <f>VLOOKUP(C1251,'5y10y Swaption Vol'!temp,3,0)</f>
        <v>89.344458978000006</v>
      </c>
      <c r="H1251" s="1">
        <v>41914</v>
      </c>
      <c r="I1251" t="s">
        <v>2</v>
      </c>
      <c r="J1251">
        <v>2.5842360000000002</v>
      </c>
      <c r="K1251">
        <v>2.9578000000000326E-2</v>
      </c>
      <c r="L1251">
        <v>53.19093911255132</v>
      </c>
      <c r="M1251">
        <f t="shared" si="19"/>
        <v>-29</v>
      </c>
    </row>
    <row r="1252" spans="3:13">
      <c r="C1252" s="2">
        <v>41886</v>
      </c>
      <c r="D1252">
        <v>45.941170118802823</v>
      </c>
      <c r="E1252">
        <f>VLOOKUP(C1252,'10y swap Vol'!$C$2:$G$3809,5,0)</f>
        <v>48.905079970636301</v>
      </c>
      <c r="F1252">
        <f>VLOOKUP(C1252,'5y10y Swaption Vol'!temp,3,0)</f>
        <v>89.553921567000003</v>
      </c>
      <c r="H1252" s="1">
        <v>41915</v>
      </c>
      <c r="I1252" t="s">
        <v>2</v>
      </c>
      <c r="J1252">
        <v>2.5992660000000001</v>
      </c>
      <c r="K1252">
        <v>1.5029999999999877E-2</v>
      </c>
      <c r="L1252">
        <v>53.291304746106306</v>
      </c>
      <c r="M1252">
        <f t="shared" si="19"/>
        <v>-29</v>
      </c>
    </row>
    <row r="1253" spans="3:13">
      <c r="C1253" s="2">
        <v>41887</v>
      </c>
      <c r="D1253">
        <v>46.080800862025391</v>
      </c>
      <c r="E1253">
        <f>VLOOKUP(C1253,'10y swap Vol'!$C$2:$G$3809,5,0)</f>
        <v>49.007023907531</v>
      </c>
      <c r="F1253">
        <f>VLOOKUP(C1253,'5y10y Swaption Vol'!temp,3,0)</f>
        <v>89.420268755999999</v>
      </c>
      <c r="H1253" s="1">
        <v>41918</v>
      </c>
      <c r="I1253" t="s">
        <v>2</v>
      </c>
      <c r="J1253">
        <v>2.580708</v>
      </c>
      <c r="K1253">
        <v>-1.8558000000000074E-2</v>
      </c>
      <c r="L1253">
        <v>53.356308997574345</v>
      </c>
      <c r="M1253">
        <f t="shared" si="19"/>
        <v>-31</v>
      </c>
    </row>
    <row r="1254" spans="3:13">
      <c r="C1254" s="2">
        <v>41890</v>
      </c>
      <c r="D1254">
        <v>45.168445121964666</v>
      </c>
      <c r="E1254">
        <f>VLOOKUP(C1254,'10y swap Vol'!$C$2:$G$3809,5,0)</f>
        <v>47.834100383682888</v>
      </c>
      <c r="F1254">
        <f>VLOOKUP(C1254,'5y10y Swaption Vol'!temp,3,0)</f>
        <v>89.688281184999994</v>
      </c>
      <c r="H1254" s="1">
        <v>41919</v>
      </c>
      <c r="I1254" t="s">
        <v>2</v>
      </c>
      <c r="J1254">
        <v>2.5108359999999998</v>
      </c>
      <c r="K1254">
        <v>-6.9872000000000156E-2</v>
      </c>
      <c r="L1254">
        <v>54.859729573277228</v>
      </c>
      <c r="M1254">
        <f t="shared" si="19"/>
        <v>-29</v>
      </c>
    </row>
    <row r="1255" spans="3:13">
      <c r="C1255" s="2">
        <v>41891</v>
      </c>
      <c r="D1255">
        <v>45.424553695711083</v>
      </c>
      <c r="E1255">
        <f>VLOOKUP(C1255,'10y swap Vol'!$C$2:$G$3809,5,0)</f>
        <v>48.271718226268376</v>
      </c>
      <c r="F1255">
        <f>VLOOKUP(C1255,'5y10y Swaption Vol'!temp,3,0)</f>
        <v>89.626256573999996</v>
      </c>
      <c r="H1255" s="1">
        <v>41920</v>
      </c>
      <c r="I1255" t="s">
        <v>2</v>
      </c>
      <c r="J1255">
        <v>2.4727260000000002</v>
      </c>
      <c r="K1255">
        <v>-3.8109999999999644E-2</v>
      </c>
      <c r="L1255">
        <v>55.339167260032909</v>
      </c>
      <c r="M1255">
        <f t="shared" si="19"/>
        <v>-29</v>
      </c>
    </row>
    <row r="1256" spans="3:13">
      <c r="C1256" s="2">
        <v>41892</v>
      </c>
      <c r="D1256">
        <v>45.945800497094034</v>
      </c>
      <c r="E1256">
        <f>VLOOKUP(C1256,'10y swap Vol'!$C$2:$G$3809,5,0)</f>
        <v>49.088384597671421</v>
      </c>
      <c r="F1256">
        <f>VLOOKUP(C1256,'5y10y Swaption Vol'!temp,3,0)</f>
        <v>89.180581502999999</v>
      </c>
      <c r="H1256" s="1">
        <v>41921</v>
      </c>
      <c r="I1256" t="s">
        <v>2</v>
      </c>
      <c r="J1256">
        <v>2.4691519999999998</v>
      </c>
      <c r="K1256">
        <v>-3.5740000000004102E-3</v>
      </c>
      <c r="L1256">
        <v>55.321373026215184</v>
      </c>
      <c r="M1256">
        <f t="shared" si="19"/>
        <v>-29</v>
      </c>
    </row>
    <row r="1257" spans="3:13">
      <c r="C1257" s="2">
        <v>41893</v>
      </c>
      <c r="D1257">
        <v>44.486815134573078</v>
      </c>
      <c r="E1257">
        <f>VLOOKUP(C1257,'10y swap Vol'!$C$2:$G$3809,5,0)</f>
        <v>47.95775625581873</v>
      </c>
      <c r="F1257">
        <f>VLOOKUP(C1257,'5y10y Swaption Vol'!temp,3,0)</f>
        <v>88.385454100000004</v>
      </c>
      <c r="H1257" s="1">
        <v>41922</v>
      </c>
      <c r="I1257" t="s">
        <v>2</v>
      </c>
      <c r="J1257">
        <v>2.4399600000000001</v>
      </c>
      <c r="K1257">
        <v>-2.9191999999999663E-2</v>
      </c>
      <c r="L1257">
        <v>54.620190585600689</v>
      </c>
      <c r="M1257">
        <f t="shared" si="19"/>
        <v>-29</v>
      </c>
    </row>
    <row r="1258" spans="3:13">
      <c r="C1258" s="2">
        <v>41894</v>
      </c>
      <c r="D1258">
        <v>45.593522100535218</v>
      </c>
      <c r="E1258">
        <f>VLOOKUP(C1258,'10y swap Vol'!$C$2:$G$3809,5,0)</f>
        <v>50.178899315961935</v>
      </c>
      <c r="F1258">
        <f>VLOOKUP(C1258,'5y10y Swaption Vol'!temp,3,0)</f>
        <v>87.079121327999999</v>
      </c>
      <c r="H1258" s="1">
        <v>41926</v>
      </c>
      <c r="I1258" t="s">
        <v>2</v>
      </c>
      <c r="J1258">
        <v>2.3458429999999999</v>
      </c>
      <c r="K1258">
        <v>-9.4117000000000228E-2</v>
      </c>
      <c r="L1258">
        <v>57.693481324267125</v>
      </c>
      <c r="M1258">
        <f t="shared" si="19"/>
        <v>-32</v>
      </c>
    </row>
    <row r="1259" spans="3:13">
      <c r="C1259" s="2">
        <v>41897</v>
      </c>
      <c r="D1259">
        <v>45.68102736049768</v>
      </c>
      <c r="E1259">
        <f>VLOOKUP(C1259,'10y swap Vol'!$C$2:$G$3809,5,0)</f>
        <v>50.268750224243178</v>
      </c>
      <c r="F1259">
        <f>VLOOKUP(C1259,'5y10y Swaption Vol'!temp,3,0)</f>
        <v>87.120673388</v>
      </c>
      <c r="H1259" s="1">
        <v>41927</v>
      </c>
      <c r="I1259" t="s">
        <v>2</v>
      </c>
      <c r="J1259">
        <v>2.2479469999999999</v>
      </c>
      <c r="K1259">
        <v>-9.7895999999999983E-2</v>
      </c>
      <c r="L1259">
        <v>60.779946255219976</v>
      </c>
      <c r="M1259">
        <f t="shared" si="19"/>
        <v>-30</v>
      </c>
    </row>
    <row r="1260" spans="3:13">
      <c r="C1260" s="2">
        <v>41898</v>
      </c>
      <c r="D1260">
        <v>45.679530374631447</v>
      </c>
      <c r="E1260">
        <f>VLOOKUP(C1260,'10y swap Vol'!$C$2:$G$3809,5,0)</f>
        <v>50.2673241891912</v>
      </c>
      <c r="F1260">
        <f>VLOOKUP(C1260,'5y10y Swaption Vol'!temp,3,0)</f>
        <v>87.466742433999997</v>
      </c>
      <c r="H1260" s="1">
        <v>41928</v>
      </c>
      <c r="I1260" t="s">
        <v>2</v>
      </c>
      <c r="J1260">
        <v>2.315537</v>
      </c>
      <c r="K1260">
        <v>6.7590000000000039E-2</v>
      </c>
      <c r="L1260">
        <v>62.597346516359018</v>
      </c>
      <c r="M1260">
        <f t="shared" si="19"/>
        <v>-30</v>
      </c>
    </row>
    <row r="1261" spans="3:13">
      <c r="C1261" s="2">
        <v>41899</v>
      </c>
      <c r="D1261">
        <v>45.684338694162903</v>
      </c>
      <c r="E1261">
        <f>VLOOKUP(C1261,'10y swap Vol'!$C$2:$G$3809,5,0)</f>
        <v>50.28891401749118</v>
      </c>
      <c r="F1261">
        <f>VLOOKUP(C1261,'5y10y Swaption Vol'!temp,3,0)</f>
        <v>87.667822375</v>
      </c>
      <c r="H1261" s="1">
        <v>41929</v>
      </c>
      <c r="I1261" t="s">
        <v>2</v>
      </c>
      <c r="J1261">
        <v>2.3530760000000002</v>
      </c>
      <c r="K1261">
        <v>3.7539000000000211E-2</v>
      </c>
      <c r="L1261">
        <v>63.183344220657354</v>
      </c>
      <c r="M1261">
        <f t="shared" si="19"/>
        <v>-30</v>
      </c>
    </row>
    <row r="1262" spans="3:13">
      <c r="C1262" s="2">
        <v>41900</v>
      </c>
      <c r="D1262">
        <v>45.440964994851271</v>
      </c>
      <c r="E1262">
        <f>VLOOKUP(C1262,'10y swap Vol'!$C$2:$G$3809,5,0)</f>
        <v>50.276691815060083</v>
      </c>
      <c r="F1262">
        <f>VLOOKUP(C1262,'5y10y Swaption Vol'!temp,3,0)</f>
        <v>87.650284176</v>
      </c>
      <c r="H1262" s="1">
        <v>41932</v>
      </c>
      <c r="I1262" t="s">
        <v>2</v>
      </c>
      <c r="J1262">
        <v>2.3226830000000001</v>
      </c>
      <c r="K1262">
        <v>-3.0393000000000114E-2</v>
      </c>
      <c r="L1262">
        <v>62.629019261394077</v>
      </c>
      <c r="M1262">
        <f t="shared" si="19"/>
        <v>-32</v>
      </c>
    </row>
    <row r="1263" spans="3:13">
      <c r="C1263" s="2">
        <v>41901</v>
      </c>
      <c r="D1263">
        <v>46.098514985830811</v>
      </c>
      <c r="E1263">
        <f>VLOOKUP(C1263,'10y swap Vol'!$C$2:$G$3809,5,0)</f>
        <v>50.86161599345921</v>
      </c>
      <c r="F1263">
        <f>VLOOKUP(C1263,'5y10y Swaption Vol'!temp,3,0)</f>
        <v>87.424182509999994</v>
      </c>
      <c r="H1263" s="1">
        <v>41933</v>
      </c>
      <c r="I1263" t="s">
        <v>2</v>
      </c>
      <c r="J1263">
        <v>2.344805</v>
      </c>
      <c r="K1263">
        <v>2.2121999999999975E-2</v>
      </c>
      <c r="L1263">
        <v>62.434662180155541</v>
      </c>
      <c r="M1263">
        <f t="shared" si="19"/>
        <v>-32</v>
      </c>
    </row>
    <row r="1264" spans="3:13">
      <c r="C1264" s="2">
        <v>41904</v>
      </c>
      <c r="D1264">
        <v>45.945803065506908</v>
      </c>
      <c r="E1264">
        <f>VLOOKUP(C1264,'10y swap Vol'!$C$2:$G$3809,5,0)</f>
        <v>51.01379914853522</v>
      </c>
      <c r="F1264">
        <f>VLOOKUP(C1264,'5y10y Swaption Vol'!temp,3,0)</f>
        <v>86.444965800000006</v>
      </c>
      <c r="H1264" s="1">
        <v>41934</v>
      </c>
      <c r="I1264" t="s">
        <v>2</v>
      </c>
      <c r="J1264">
        <v>2.3629989999999998</v>
      </c>
      <c r="K1264">
        <v>1.8193999999999821E-2</v>
      </c>
      <c r="L1264">
        <v>62.345599243567719</v>
      </c>
      <c r="M1264">
        <f t="shared" si="19"/>
        <v>-30</v>
      </c>
    </row>
    <row r="1265" spans="3:13">
      <c r="C1265" s="2">
        <v>41905</v>
      </c>
      <c r="D1265">
        <v>46.255523822248058</v>
      </c>
      <c r="E1265">
        <f>VLOOKUP(C1265,'10y swap Vol'!$C$2:$G$3809,5,0)</f>
        <v>51.413832635905052</v>
      </c>
      <c r="F1265">
        <f>VLOOKUP(C1265,'5y10y Swaption Vol'!temp,3,0)</f>
        <v>86.432927340000006</v>
      </c>
      <c r="H1265" s="1">
        <v>41935</v>
      </c>
      <c r="I1265" t="s">
        <v>2</v>
      </c>
      <c r="J1265">
        <v>2.4172959999999999</v>
      </c>
      <c r="K1265">
        <v>5.429700000000004E-2</v>
      </c>
      <c r="L1265">
        <v>63.329567758982463</v>
      </c>
      <c r="M1265">
        <f t="shared" si="19"/>
        <v>-30</v>
      </c>
    </row>
    <row r="1266" spans="3:13">
      <c r="C1266" s="2">
        <v>41906</v>
      </c>
      <c r="D1266">
        <v>46.447849387293815</v>
      </c>
      <c r="E1266">
        <f>VLOOKUP(C1266,'10y swap Vol'!$C$2:$G$3809,5,0)</f>
        <v>51.827245190334672</v>
      </c>
      <c r="F1266">
        <f>VLOOKUP(C1266,'5y10y Swaption Vol'!temp,3,0)</f>
        <v>86.479700328000007</v>
      </c>
      <c r="H1266" s="1">
        <v>41936</v>
      </c>
      <c r="I1266" t="s">
        <v>2</v>
      </c>
      <c r="J1266">
        <v>2.4179409999999999</v>
      </c>
      <c r="K1266">
        <v>6.4500000000000668E-4</v>
      </c>
      <c r="L1266">
        <v>60.245477203775202</v>
      </c>
      <c r="M1266">
        <f t="shared" si="19"/>
        <v>-30</v>
      </c>
    </row>
    <row r="1267" spans="3:13">
      <c r="C1267" s="2">
        <v>41907</v>
      </c>
      <c r="D1267">
        <v>46.185183689734721</v>
      </c>
      <c r="E1267">
        <f>VLOOKUP(C1267,'10y swap Vol'!$C$2:$G$3809,5,0)</f>
        <v>51.943305578250218</v>
      </c>
      <c r="F1267">
        <f>VLOOKUP(C1267,'5y10y Swaption Vol'!temp,3,0)</f>
        <v>86.659359232</v>
      </c>
      <c r="H1267" s="1">
        <v>41939</v>
      </c>
      <c r="I1267" t="s">
        <v>2</v>
      </c>
      <c r="J1267">
        <v>2.4041960000000002</v>
      </c>
      <c r="K1267">
        <v>-1.3744999999999674E-2</v>
      </c>
      <c r="L1267">
        <v>60.179854625072984</v>
      </c>
      <c r="M1267">
        <f t="shared" si="19"/>
        <v>-32</v>
      </c>
    </row>
    <row r="1268" spans="3:13">
      <c r="C1268" s="2">
        <v>41908</v>
      </c>
      <c r="D1268">
        <v>45.296073915060234</v>
      </c>
      <c r="E1268">
        <f>VLOOKUP(C1268,'10y swap Vol'!$C$2:$G$3809,5,0)</f>
        <v>50.29310512661587</v>
      </c>
      <c r="F1268">
        <f>VLOOKUP(C1268,'5y10y Swaption Vol'!temp,3,0)</f>
        <v>87.313419875999998</v>
      </c>
      <c r="H1268" s="1">
        <v>41940</v>
      </c>
      <c r="I1268" t="s">
        <v>2</v>
      </c>
      <c r="J1268">
        <v>2.4255689999999999</v>
      </c>
      <c r="K1268">
        <v>2.1372999999999642E-2</v>
      </c>
      <c r="L1268">
        <v>59.709417597121416</v>
      </c>
      <c r="M1268">
        <f t="shared" si="19"/>
        <v>-32</v>
      </c>
    </row>
    <row r="1269" spans="3:13">
      <c r="C1269" s="2">
        <v>41911</v>
      </c>
      <c r="D1269">
        <v>45.223472343508035</v>
      </c>
      <c r="E1269">
        <f>VLOOKUP(C1269,'10y swap Vol'!$C$2:$G$3809,5,0)</f>
        <v>50.418488152166361</v>
      </c>
      <c r="F1269">
        <f>VLOOKUP(C1269,'5y10y Swaption Vol'!temp,3,0)</f>
        <v>87.872964039999999</v>
      </c>
      <c r="H1269" s="1">
        <v>41941</v>
      </c>
      <c r="I1269" t="s">
        <v>2</v>
      </c>
      <c r="J1269">
        <v>2.462024</v>
      </c>
      <c r="K1269">
        <v>3.6455000000000126E-2</v>
      </c>
      <c r="L1269">
        <v>60.22084669744293</v>
      </c>
      <c r="M1269">
        <f t="shared" si="19"/>
        <v>-30</v>
      </c>
    </row>
    <row r="1270" spans="3:13">
      <c r="C1270" s="2">
        <v>41912</v>
      </c>
      <c r="D1270">
        <v>45.258401482916398</v>
      </c>
      <c r="E1270">
        <f>VLOOKUP(C1270,'10y swap Vol'!$C$2:$G$3809,5,0)</f>
        <v>50.189181017178797</v>
      </c>
      <c r="F1270">
        <f>VLOOKUP(C1270,'5y10y Swaption Vol'!temp,3,0)</f>
        <v>88.011864054</v>
      </c>
      <c r="H1270" s="1">
        <v>41942</v>
      </c>
      <c r="I1270" t="s">
        <v>2</v>
      </c>
      <c r="J1270">
        <v>2.4484270000000001</v>
      </c>
      <c r="K1270">
        <v>-1.3596999999999859E-2</v>
      </c>
      <c r="L1270">
        <v>60.261186079876758</v>
      </c>
      <c r="M1270">
        <f t="shared" si="19"/>
        <v>-30</v>
      </c>
    </row>
    <row r="1271" spans="3:13">
      <c r="C1271" s="2">
        <v>41913</v>
      </c>
      <c r="D1271">
        <v>48.273715628354374</v>
      </c>
      <c r="E1271">
        <f>VLOOKUP(C1271,'10y swap Vol'!$C$2:$G$3809,5,0)</f>
        <v>52.910324213688185</v>
      </c>
      <c r="F1271">
        <f>VLOOKUP(C1271,'5y10y Swaption Vol'!temp,3,0)</f>
        <v>88.153246899999999</v>
      </c>
      <c r="H1271" s="1">
        <v>41943</v>
      </c>
      <c r="I1271" t="s">
        <v>2</v>
      </c>
      <c r="J1271">
        <v>2.4777119999999999</v>
      </c>
      <c r="K1271">
        <v>2.9284999999999783E-2</v>
      </c>
      <c r="L1271">
        <v>60.614060179332405</v>
      </c>
      <c r="M1271">
        <f t="shared" si="19"/>
        <v>-30</v>
      </c>
    </row>
    <row r="1272" spans="3:13">
      <c r="C1272" s="2">
        <v>41914</v>
      </c>
      <c r="D1272">
        <v>48.359439816844514</v>
      </c>
      <c r="E1272">
        <f>VLOOKUP(C1272,'10y swap Vol'!$C$2:$G$3809,5,0)</f>
        <v>53.19093911255132</v>
      </c>
      <c r="F1272">
        <f>VLOOKUP(C1272,'5y10y Swaption Vol'!temp,3,0)</f>
        <v>89.125798447999998</v>
      </c>
      <c r="H1272" s="1">
        <v>41946</v>
      </c>
      <c r="I1272" t="s">
        <v>2</v>
      </c>
      <c r="J1272">
        <v>2.488842</v>
      </c>
      <c r="K1272">
        <v>1.1130000000000084E-2</v>
      </c>
      <c r="L1272">
        <v>60.012300981721765</v>
      </c>
      <c r="M1272">
        <f t="shared" si="19"/>
        <v>-32</v>
      </c>
    </row>
    <row r="1273" spans="3:13">
      <c r="C1273" s="2">
        <v>41915</v>
      </c>
      <c r="D1273">
        <v>48.257644093865096</v>
      </c>
      <c r="E1273">
        <f>VLOOKUP(C1273,'10y swap Vol'!$C$2:$G$3809,5,0)</f>
        <v>53.291304746106306</v>
      </c>
      <c r="F1273">
        <f>VLOOKUP(C1273,'5y10y Swaption Vol'!temp,3,0)</f>
        <v>88.940315639999994</v>
      </c>
      <c r="H1273" s="1">
        <v>41947</v>
      </c>
      <c r="I1273" t="s">
        <v>2</v>
      </c>
      <c r="J1273">
        <v>2.4834499999999999</v>
      </c>
      <c r="K1273">
        <v>-5.3920000000000634E-3</v>
      </c>
      <c r="L1273">
        <v>60.014386087343077</v>
      </c>
      <c r="M1273">
        <f t="shared" si="19"/>
        <v>-32</v>
      </c>
    </row>
    <row r="1274" spans="3:13">
      <c r="C1274" s="2">
        <v>41918</v>
      </c>
      <c r="D1274">
        <v>48.312239953743592</v>
      </c>
      <c r="E1274">
        <f>VLOOKUP(C1274,'10y swap Vol'!$C$2:$G$3809,5,0)</f>
        <v>53.356308997574345</v>
      </c>
      <c r="F1274">
        <f>VLOOKUP(C1274,'5y10y Swaption Vol'!temp,3,0)</f>
        <v>88.877141253000005</v>
      </c>
      <c r="H1274" s="1">
        <v>41948</v>
      </c>
      <c r="I1274" t="s">
        <v>2</v>
      </c>
      <c r="J1274">
        <v>2.496124</v>
      </c>
      <c r="K1274">
        <v>1.2674000000000074E-2</v>
      </c>
      <c r="L1274">
        <v>60.060125294977929</v>
      </c>
      <c r="M1274">
        <f t="shared" si="19"/>
        <v>-30</v>
      </c>
    </row>
    <row r="1275" spans="3:13">
      <c r="C1275" s="2">
        <v>41919</v>
      </c>
      <c r="D1275">
        <v>49.444441935462606</v>
      </c>
      <c r="E1275">
        <f>VLOOKUP(C1275,'10y swap Vol'!$C$2:$G$3809,5,0)</f>
        <v>54.859729573277228</v>
      </c>
      <c r="F1275">
        <f>VLOOKUP(C1275,'5y10y Swaption Vol'!temp,3,0)</f>
        <v>89.025757549999994</v>
      </c>
      <c r="H1275" s="1">
        <v>41949</v>
      </c>
      <c r="I1275" t="s">
        <v>2</v>
      </c>
      <c r="J1275">
        <v>2.5167999999999999</v>
      </c>
      <c r="K1275">
        <v>2.0675999999999917E-2</v>
      </c>
      <c r="L1275">
        <v>60.093495992785172</v>
      </c>
      <c r="M1275">
        <f t="shared" si="19"/>
        <v>-30</v>
      </c>
    </row>
    <row r="1276" spans="3:13">
      <c r="C1276" s="2">
        <v>41920</v>
      </c>
      <c r="D1276">
        <v>50.316824348741015</v>
      </c>
      <c r="E1276">
        <f>VLOOKUP(C1276,'10y swap Vol'!$C$2:$G$3809,5,0)</f>
        <v>55.339167260032909</v>
      </c>
      <c r="F1276">
        <f>VLOOKUP(C1276,'5y10y Swaption Vol'!temp,3,0)</f>
        <v>89.066110223999999</v>
      </c>
      <c r="H1276" s="1">
        <v>41950</v>
      </c>
      <c r="I1276" t="s">
        <v>2</v>
      </c>
      <c r="J1276">
        <v>2.4491209999999999</v>
      </c>
      <c r="K1276">
        <v>-6.7679000000000045E-2</v>
      </c>
      <c r="L1276">
        <v>61.254971925633669</v>
      </c>
      <c r="M1276">
        <f t="shared" si="19"/>
        <v>-30</v>
      </c>
    </row>
    <row r="1277" spans="3:13">
      <c r="C1277" s="2">
        <v>41921</v>
      </c>
      <c r="D1277">
        <v>50.312844763929107</v>
      </c>
      <c r="E1277">
        <f>VLOOKUP(C1277,'10y swap Vol'!$C$2:$G$3809,5,0)</f>
        <v>55.321373026215184</v>
      </c>
      <c r="F1277">
        <f>VLOOKUP(C1277,'5y10y Swaption Vol'!temp,3,0)</f>
        <v>89.151914232999999</v>
      </c>
      <c r="H1277" s="1">
        <v>41953</v>
      </c>
      <c r="I1277" t="s">
        <v>2</v>
      </c>
      <c r="J1277">
        <v>2.493582</v>
      </c>
      <c r="K1277">
        <v>4.4461000000000084E-2</v>
      </c>
      <c r="L1277">
        <v>61.881621313154298</v>
      </c>
      <c r="M1277">
        <f t="shared" si="19"/>
        <v>-32</v>
      </c>
    </row>
    <row r="1278" spans="3:13">
      <c r="C1278" s="2">
        <v>41922</v>
      </c>
      <c r="D1278">
        <v>49.311915749546372</v>
      </c>
      <c r="E1278">
        <f>VLOOKUP(C1278,'10y swap Vol'!$C$2:$G$3809,5,0)</f>
        <v>54.620190585600689</v>
      </c>
      <c r="F1278">
        <f>VLOOKUP(C1278,'5y10y Swaption Vol'!temp,3,0)</f>
        <v>89.555830212000004</v>
      </c>
      <c r="H1278" s="1">
        <v>41955</v>
      </c>
      <c r="I1278" t="s">
        <v>2</v>
      </c>
      <c r="J1278">
        <v>2.4875780000000001</v>
      </c>
      <c r="K1278">
        <v>-6.0039999999998983E-3</v>
      </c>
      <c r="L1278">
        <v>61.115995858505286</v>
      </c>
      <c r="M1278">
        <f t="shared" si="19"/>
        <v>-33</v>
      </c>
    </row>
    <row r="1279" spans="3:13">
      <c r="C1279" s="2">
        <v>41926</v>
      </c>
      <c r="D1279">
        <v>52.465241796829851</v>
      </c>
      <c r="E1279">
        <f>VLOOKUP(C1279,'10y swap Vol'!$C$2:$G$3809,5,0)</f>
        <v>57.693481324267125</v>
      </c>
      <c r="F1279">
        <f>VLOOKUP(C1279,'5y10y Swaption Vol'!temp,3,0)</f>
        <v>90.153183771000002</v>
      </c>
      <c r="H1279" s="1">
        <v>41956</v>
      </c>
      <c r="I1279" t="s">
        <v>2</v>
      </c>
      <c r="J1279">
        <v>2.4661849999999998</v>
      </c>
      <c r="K1279">
        <v>-2.1393000000000217E-2</v>
      </c>
      <c r="L1279">
        <v>60.674108912165416</v>
      </c>
      <c r="M1279">
        <f t="shared" si="19"/>
        <v>-30</v>
      </c>
    </row>
    <row r="1280" spans="3:13">
      <c r="C1280" s="2">
        <v>41927</v>
      </c>
      <c r="D1280">
        <v>57.061607779727773</v>
      </c>
      <c r="E1280">
        <f>VLOOKUP(C1280,'10y swap Vol'!$C$2:$G$3809,5,0)</f>
        <v>60.779946255219976</v>
      </c>
      <c r="F1280">
        <f>VLOOKUP(C1280,'5y10y Swaption Vol'!temp,3,0)</f>
        <v>93.410392454999993</v>
      </c>
      <c r="H1280" s="1">
        <v>41957</v>
      </c>
      <c r="I1280" t="s">
        <v>2</v>
      </c>
      <c r="J1280">
        <v>2.444652</v>
      </c>
      <c r="K1280">
        <v>-2.1532999999999802E-2</v>
      </c>
      <c r="L1280">
        <v>60.625280091402601</v>
      </c>
      <c r="M1280">
        <f t="shared" si="19"/>
        <v>-30</v>
      </c>
    </row>
    <row r="1281" spans="3:13">
      <c r="C1281" s="2">
        <v>41928</v>
      </c>
      <c r="D1281">
        <v>60.263324948471165</v>
      </c>
      <c r="E1281">
        <f>VLOOKUP(C1281,'10y swap Vol'!$C$2:$G$3809,5,0)</f>
        <v>62.597346516359018</v>
      </c>
      <c r="F1281">
        <f>VLOOKUP(C1281,'5y10y Swaption Vol'!temp,3,0)</f>
        <v>92.086694245000004</v>
      </c>
      <c r="H1281" s="1">
        <v>41960</v>
      </c>
      <c r="I1281" t="s">
        <v>2</v>
      </c>
      <c r="J1281">
        <v>2.4633910000000001</v>
      </c>
      <c r="K1281">
        <v>1.8739000000000061E-2</v>
      </c>
      <c r="L1281">
        <v>60.551292084651351</v>
      </c>
      <c r="M1281">
        <f t="shared" si="19"/>
        <v>-32</v>
      </c>
    </row>
    <row r="1282" spans="3:13">
      <c r="C1282" s="2">
        <v>41929</v>
      </c>
      <c r="D1282">
        <v>60.349088567244515</v>
      </c>
      <c r="E1282">
        <f>VLOOKUP(C1282,'10y swap Vol'!$C$2:$G$3809,5,0)</f>
        <v>63.183344220657354</v>
      </c>
      <c r="F1282">
        <f>VLOOKUP(C1282,'5y10y Swaption Vol'!temp,3,0)</f>
        <v>90.164103023999999</v>
      </c>
      <c r="H1282" s="1">
        <v>41961</v>
      </c>
      <c r="I1282" t="s">
        <v>2</v>
      </c>
      <c r="J1282">
        <v>2.4432130000000001</v>
      </c>
      <c r="K1282">
        <v>-2.0178000000000029E-2</v>
      </c>
      <c r="L1282">
        <v>60.48489464294552</v>
      </c>
      <c r="M1282">
        <f t="shared" si="19"/>
        <v>-32</v>
      </c>
    </row>
    <row r="1283" spans="3:13">
      <c r="C1283" s="2">
        <v>41932</v>
      </c>
      <c r="D1283">
        <v>59.372517080044126</v>
      </c>
      <c r="E1283">
        <f>VLOOKUP(C1283,'10y swap Vol'!$C$2:$G$3809,5,0)</f>
        <v>62.629019261394077</v>
      </c>
      <c r="F1283">
        <f>VLOOKUP(C1283,'5y10y Swaption Vol'!temp,3,0)</f>
        <v>90.231596388</v>
      </c>
      <c r="H1283" s="1">
        <v>41962</v>
      </c>
      <c r="I1283" t="s">
        <v>2</v>
      </c>
      <c r="J1283">
        <v>2.4680629999999999</v>
      </c>
      <c r="K1283">
        <v>2.4849999999999817E-2</v>
      </c>
      <c r="L1283">
        <v>60.719760547452509</v>
      </c>
      <c r="M1283">
        <f t="shared" ref="M1283:M1346" si="20">C1283-H1283</f>
        <v>-30</v>
      </c>
    </row>
    <row r="1284" spans="3:13">
      <c r="C1284" s="2">
        <v>41933</v>
      </c>
      <c r="D1284">
        <v>59.06312246867973</v>
      </c>
      <c r="E1284">
        <f>VLOOKUP(C1284,'10y swap Vol'!$C$2:$G$3809,5,0)</f>
        <v>62.434662180155541</v>
      </c>
      <c r="F1284">
        <f>VLOOKUP(C1284,'5y10y Swaption Vol'!temp,3,0)</f>
        <v>91.056554370000001</v>
      </c>
      <c r="H1284" s="1">
        <v>41963</v>
      </c>
      <c r="I1284" t="s">
        <v>2</v>
      </c>
      <c r="J1284">
        <v>2.4543599999999999</v>
      </c>
      <c r="K1284">
        <v>-1.3703000000000021E-2</v>
      </c>
      <c r="L1284">
        <v>60.617175141688939</v>
      </c>
      <c r="M1284">
        <f t="shared" si="20"/>
        <v>-30</v>
      </c>
    </row>
    <row r="1285" spans="3:13">
      <c r="C1285" s="2">
        <v>41934</v>
      </c>
      <c r="D1285">
        <v>59.057596032933027</v>
      </c>
      <c r="E1285">
        <f>VLOOKUP(C1285,'10y swap Vol'!$C$2:$G$3809,5,0)</f>
        <v>62.345599243567719</v>
      </c>
      <c r="F1285">
        <f>VLOOKUP(C1285,'5y10y Swaption Vol'!temp,3,0)</f>
        <v>91.436013279999997</v>
      </c>
      <c r="H1285" s="1">
        <v>41964</v>
      </c>
      <c r="I1285" t="s">
        <v>2</v>
      </c>
      <c r="J1285">
        <v>2.4339360000000001</v>
      </c>
      <c r="K1285">
        <v>-2.0423999999999776E-2</v>
      </c>
      <c r="L1285">
        <v>60.737310179432754</v>
      </c>
      <c r="M1285">
        <f t="shared" si="20"/>
        <v>-30</v>
      </c>
    </row>
    <row r="1286" spans="3:13">
      <c r="C1286" s="2">
        <v>41935</v>
      </c>
      <c r="D1286">
        <v>59.681953297088242</v>
      </c>
      <c r="E1286">
        <f>VLOOKUP(C1286,'10y swap Vol'!$C$2:$G$3809,5,0)</f>
        <v>63.329567758982463</v>
      </c>
      <c r="F1286">
        <f>VLOOKUP(C1286,'5y10y Swaption Vol'!temp,3,0)</f>
        <v>92.055175407999997</v>
      </c>
      <c r="H1286" s="1">
        <v>41967</v>
      </c>
      <c r="I1286" t="s">
        <v>2</v>
      </c>
      <c r="J1286">
        <v>2.4291429999999998</v>
      </c>
      <c r="K1286">
        <v>-4.7930000000002693E-3</v>
      </c>
      <c r="L1286">
        <v>60.574101186954024</v>
      </c>
      <c r="M1286">
        <f t="shared" si="20"/>
        <v>-32</v>
      </c>
    </row>
    <row r="1287" spans="3:13">
      <c r="C1287" s="2">
        <v>41936</v>
      </c>
      <c r="D1287">
        <v>56.958457165168483</v>
      </c>
      <c r="E1287">
        <f>VLOOKUP(C1287,'10y swap Vol'!$C$2:$G$3809,5,0)</f>
        <v>60.245477203775202</v>
      </c>
      <c r="F1287">
        <f>VLOOKUP(C1287,'5y10y Swaption Vol'!temp,3,0)</f>
        <v>91.972188494999997</v>
      </c>
      <c r="H1287" s="1">
        <v>41968</v>
      </c>
      <c r="I1287" t="s">
        <v>2</v>
      </c>
      <c r="J1287">
        <v>2.388036</v>
      </c>
      <c r="K1287">
        <v>-4.1106999999999783E-2</v>
      </c>
      <c r="L1287">
        <v>61.01449090209362</v>
      </c>
      <c r="M1287">
        <f t="shared" si="20"/>
        <v>-32</v>
      </c>
    </row>
    <row r="1288" spans="3:13">
      <c r="C1288" s="2">
        <v>41939</v>
      </c>
      <c r="D1288">
        <v>56.915816854749259</v>
      </c>
      <c r="E1288">
        <f>VLOOKUP(C1288,'10y swap Vol'!$C$2:$G$3809,5,0)</f>
        <v>60.179854625072984</v>
      </c>
      <c r="F1288">
        <f>VLOOKUP(C1288,'5y10y Swaption Vol'!temp,3,0)</f>
        <v>91.817195201999994</v>
      </c>
      <c r="H1288" s="1">
        <v>41969</v>
      </c>
      <c r="I1288" t="s">
        <v>2</v>
      </c>
      <c r="J1288">
        <v>2.3626330000000002</v>
      </c>
      <c r="K1288">
        <v>-2.5402999999999842E-2</v>
      </c>
      <c r="L1288">
        <v>61.165414274946642</v>
      </c>
      <c r="M1288">
        <f t="shared" si="20"/>
        <v>-30</v>
      </c>
    </row>
    <row r="1289" spans="3:13">
      <c r="C1289" s="2">
        <v>41940</v>
      </c>
      <c r="D1289">
        <v>56.511971369470061</v>
      </c>
      <c r="E1289">
        <f>VLOOKUP(C1289,'10y swap Vol'!$C$2:$G$3809,5,0)</f>
        <v>59.709417597121416</v>
      </c>
      <c r="F1289">
        <f>VLOOKUP(C1289,'5y10y Swaption Vol'!temp,3,0)</f>
        <v>91.657893971999997</v>
      </c>
      <c r="H1289" s="1">
        <v>41971</v>
      </c>
      <c r="I1289" t="s">
        <v>2</v>
      </c>
      <c r="J1289">
        <v>2.3245140000000002</v>
      </c>
      <c r="K1289">
        <v>-3.8119000000000014E-2</v>
      </c>
      <c r="L1289">
        <v>60.472849224365554</v>
      </c>
      <c r="M1289">
        <f t="shared" si="20"/>
        <v>-31</v>
      </c>
    </row>
    <row r="1290" spans="3:13">
      <c r="C1290" s="2">
        <v>41941</v>
      </c>
      <c r="D1290">
        <v>57.083033586606838</v>
      </c>
      <c r="E1290">
        <f>VLOOKUP(C1290,'10y swap Vol'!$C$2:$G$3809,5,0)</f>
        <v>60.22084669744293</v>
      </c>
      <c r="F1290">
        <f>VLOOKUP(C1290,'5y10y Swaption Vol'!temp,3,0)</f>
        <v>89.861501730000001</v>
      </c>
      <c r="H1290" s="1">
        <v>41974</v>
      </c>
      <c r="I1290" t="s">
        <v>2</v>
      </c>
      <c r="J1290">
        <v>2.3492929999999999</v>
      </c>
      <c r="K1290">
        <v>2.4778999999999662E-2</v>
      </c>
      <c r="L1290">
        <v>60.630188129360874</v>
      </c>
      <c r="M1290">
        <f t="shared" si="20"/>
        <v>-33</v>
      </c>
    </row>
    <row r="1291" spans="3:13">
      <c r="C1291" s="2">
        <v>41942</v>
      </c>
      <c r="D1291">
        <v>57.189074183458523</v>
      </c>
      <c r="E1291">
        <f>VLOOKUP(C1291,'10y swap Vol'!$C$2:$G$3809,5,0)</f>
        <v>60.261186079876758</v>
      </c>
      <c r="F1291">
        <f>VLOOKUP(C1291,'5y10y Swaption Vol'!temp,3,0)</f>
        <v>88.986773374999999</v>
      </c>
      <c r="H1291" s="1">
        <v>41975</v>
      </c>
      <c r="I1291" t="s">
        <v>2</v>
      </c>
      <c r="J1291">
        <v>2.413726</v>
      </c>
      <c r="K1291">
        <v>6.4433000000000185E-2</v>
      </c>
      <c r="L1291">
        <v>61.548902109534986</v>
      </c>
      <c r="M1291">
        <f t="shared" si="20"/>
        <v>-33</v>
      </c>
    </row>
    <row r="1292" spans="3:13">
      <c r="C1292" s="2">
        <v>41943</v>
      </c>
      <c r="D1292">
        <v>57.413028960503887</v>
      </c>
      <c r="E1292">
        <f>VLOOKUP(C1292,'10y swap Vol'!$C$2:$G$3809,5,0)</f>
        <v>60.614060179332405</v>
      </c>
      <c r="F1292">
        <f>VLOOKUP(C1292,'5y10y Swaption Vol'!temp,3,0)</f>
        <v>88.964212157999995</v>
      </c>
      <c r="H1292" s="1">
        <v>41976</v>
      </c>
      <c r="I1292" t="s">
        <v>2</v>
      </c>
      <c r="J1292">
        <v>2.414231</v>
      </c>
      <c r="K1292">
        <v>5.0499999999997769E-4</v>
      </c>
      <c r="L1292">
        <v>61.47229032599175</v>
      </c>
      <c r="M1292">
        <f t="shared" si="20"/>
        <v>-33</v>
      </c>
    </row>
    <row r="1293" spans="3:13">
      <c r="C1293" s="2">
        <v>41946</v>
      </c>
      <c r="D1293">
        <v>57.620563376723354</v>
      </c>
      <c r="E1293">
        <f>VLOOKUP(C1293,'10y swap Vol'!$C$2:$G$3809,5,0)</f>
        <v>60.012300981721765</v>
      </c>
      <c r="F1293">
        <f>VLOOKUP(C1293,'5y10y Swaption Vol'!temp,3,0)</f>
        <v>88.528142721999998</v>
      </c>
      <c r="H1293" s="1">
        <v>41977</v>
      </c>
      <c r="I1293" t="s">
        <v>2</v>
      </c>
      <c r="J1293">
        <v>2.3752179999999998</v>
      </c>
      <c r="K1293">
        <v>-3.9013000000000186E-2</v>
      </c>
      <c r="L1293">
        <v>61.838759320066025</v>
      </c>
      <c r="M1293">
        <f t="shared" si="20"/>
        <v>-31</v>
      </c>
    </row>
    <row r="1294" spans="3:13">
      <c r="C1294" s="2">
        <v>41947</v>
      </c>
      <c r="D1294">
        <v>57.603142498291568</v>
      </c>
      <c r="E1294">
        <f>VLOOKUP(C1294,'10y swap Vol'!$C$2:$G$3809,5,0)</f>
        <v>60.014386087343077</v>
      </c>
      <c r="F1294">
        <f>VLOOKUP(C1294,'5y10y Swaption Vol'!temp,3,0)</f>
        <v>88.501971609999998</v>
      </c>
      <c r="H1294" s="1">
        <v>41978</v>
      </c>
      <c r="I1294" t="s">
        <v>2</v>
      </c>
      <c r="J1294">
        <v>2.4190140000000002</v>
      </c>
      <c r="K1294">
        <v>4.379600000000039E-2</v>
      </c>
      <c r="L1294">
        <v>62.154677184456141</v>
      </c>
      <c r="M1294">
        <f t="shared" si="20"/>
        <v>-31</v>
      </c>
    </row>
    <row r="1295" spans="3:13">
      <c r="C1295" s="2">
        <v>41948</v>
      </c>
      <c r="D1295">
        <v>57.546088028673822</v>
      </c>
      <c r="E1295">
        <f>VLOOKUP(C1295,'10y swap Vol'!$C$2:$G$3809,5,0)</f>
        <v>60.060125294977929</v>
      </c>
      <c r="F1295">
        <f>VLOOKUP(C1295,'5y10y Swaption Vol'!temp,3,0)</f>
        <v>88.345867679999998</v>
      </c>
      <c r="H1295" s="1">
        <v>41981</v>
      </c>
      <c r="I1295" t="s">
        <v>2</v>
      </c>
      <c r="J1295">
        <v>2.3759769999999998</v>
      </c>
      <c r="K1295">
        <v>-4.3037000000000436E-2</v>
      </c>
      <c r="L1295">
        <v>61.925913144336334</v>
      </c>
      <c r="M1295">
        <f t="shared" si="20"/>
        <v>-33</v>
      </c>
    </row>
    <row r="1296" spans="3:13">
      <c r="C1296" s="2">
        <v>41949</v>
      </c>
      <c r="D1296">
        <v>57.530786654102464</v>
      </c>
      <c r="E1296">
        <f>VLOOKUP(C1296,'10y swap Vol'!$C$2:$G$3809,5,0)</f>
        <v>60.093495992785172</v>
      </c>
      <c r="F1296">
        <f>VLOOKUP(C1296,'5y10y Swaption Vol'!temp,3,0)</f>
        <v>88.528068888000007</v>
      </c>
      <c r="H1296" s="1">
        <v>41982</v>
      </c>
      <c r="I1296" t="s">
        <v>2</v>
      </c>
      <c r="J1296">
        <v>2.3374649999999999</v>
      </c>
      <c r="K1296">
        <v>-3.851199999999988E-2</v>
      </c>
      <c r="L1296">
        <v>62.304414166941136</v>
      </c>
      <c r="M1296">
        <f t="shared" si="20"/>
        <v>-33</v>
      </c>
    </row>
    <row r="1297" spans="3:13">
      <c r="C1297" s="2">
        <v>41950</v>
      </c>
      <c r="D1297">
        <v>58.08356403192456</v>
      </c>
      <c r="E1297">
        <f>VLOOKUP(C1297,'10y swap Vol'!$C$2:$G$3809,5,0)</f>
        <v>61.254971925633669</v>
      </c>
      <c r="F1297">
        <f>VLOOKUP(C1297,'5y10y Swaption Vol'!temp,3,0)</f>
        <v>87.393002609000007</v>
      </c>
      <c r="H1297" s="1">
        <v>41983</v>
      </c>
      <c r="I1297" t="s">
        <v>2</v>
      </c>
      <c r="J1297">
        <v>2.2838059999999998</v>
      </c>
      <c r="K1297">
        <v>-5.3659000000000123E-2</v>
      </c>
      <c r="L1297">
        <v>60.410829087895046</v>
      </c>
      <c r="M1297">
        <f t="shared" si="20"/>
        <v>-33</v>
      </c>
    </row>
    <row r="1298" spans="3:13">
      <c r="C1298" s="2">
        <v>41953</v>
      </c>
      <c r="D1298">
        <v>58.454545477486441</v>
      </c>
      <c r="E1298">
        <f>VLOOKUP(C1298,'10y swap Vol'!$C$2:$G$3809,5,0)</f>
        <v>61.881621313154298</v>
      </c>
      <c r="F1298">
        <f>VLOOKUP(C1298,'5y10y Swaption Vol'!temp,3,0)</f>
        <v>87.561358894999998</v>
      </c>
      <c r="H1298" s="1">
        <v>41984</v>
      </c>
      <c r="I1298" t="s">
        <v>2</v>
      </c>
      <c r="J1298">
        <v>2.2987929999999999</v>
      </c>
      <c r="K1298">
        <v>1.4987000000000084E-2</v>
      </c>
      <c r="L1298">
        <v>60.56570939175996</v>
      </c>
      <c r="M1298">
        <f t="shared" si="20"/>
        <v>-31</v>
      </c>
    </row>
    <row r="1299" spans="3:13">
      <c r="C1299" s="2">
        <v>41955</v>
      </c>
      <c r="D1299">
        <v>57.715438620449142</v>
      </c>
      <c r="E1299">
        <f>VLOOKUP(C1299,'10y swap Vol'!$C$2:$G$3809,5,0)</f>
        <v>61.115995858505286</v>
      </c>
      <c r="F1299">
        <f>VLOOKUP(C1299,'5y10y Swaption Vol'!temp,3,0)</f>
        <v>87.302002462000004</v>
      </c>
      <c r="H1299" s="1">
        <v>41985</v>
      </c>
      <c r="I1299" t="s">
        <v>2</v>
      </c>
      <c r="J1299">
        <v>2.2263519999999999</v>
      </c>
      <c r="K1299">
        <v>-7.2440999999999978E-2</v>
      </c>
      <c r="L1299">
        <v>61.984972008439321</v>
      </c>
      <c r="M1299">
        <f t="shared" si="20"/>
        <v>-30</v>
      </c>
    </row>
    <row r="1300" spans="3:13">
      <c r="C1300" s="2">
        <v>41956</v>
      </c>
      <c r="D1300">
        <v>56.913656542750999</v>
      </c>
      <c r="E1300">
        <f>VLOOKUP(C1300,'10y swap Vol'!$C$2:$G$3809,5,0)</f>
        <v>60.674108912165416</v>
      </c>
      <c r="F1300">
        <f>VLOOKUP(C1300,'5y10y Swaption Vol'!temp,3,0)</f>
        <v>86.768071571999997</v>
      </c>
      <c r="H1300" s="1">
        <v>41988</v>
      </c>
      <c r="I1300" t="s">
        <v>2</v>
      </c>
      <c r="J1300">
        <v>2.2429939999999999</v>
      </c>
      <c r="K1300">
        <v>1.6642000000000046E-2</v>
      </c>
      <c r="L1300">
        <v>62.101785852501166</v>
      </c>
      <c r="M1300">
        <f t="shared" si="20"/>
        <v>-32</v>
      </c>
    </row>
    <row r="1301" spans="3:13">
      <c r="C1301" s="2">
        <v>41957</v>
      </c>
      <c r="D1301">
        <v>57.049984406301668</v>
      </c>
      <c r="E1301">
        <f>VLOOKUP(C1301,'10y swap Vol'!$C$2:$G$3809,5,0)</f>
        <v>60.625280091402601</v>
      </c>
      <c r="F1301">
        <f>VLOOKUP(C1301,'5y10y Swaption Vol'!temp,3,0)</f>
        <v>86.937602354999996</v>
      </c>
      <c r="H1301" s="1">
        <v>41989</v>
      </c>
      <c r="I1301" t="s">
        <v>2</v>
      </c>
      <c r="J1301">
        <v>2.1952389999999999</v>
      </c>
      <c r="K1301">
        <v>-4.7754999999999992E-2</v>
      </c>
      <c r="L1301">
        <v>62.184252580463017</v>
      </c>
      <c r="M1301">
        <f t="shared" si="20"/>
        <v>-32</v>
      </c>
    </row>
    <row r="1302" spans="3:13">
      <c r="C1302" s="2">
        <v>41960</v>
      </c>
      <c r="D1302">
        <v>56.913625569579615</v>
      </c>
      <c r="E1302">
        <f>VLOOKUP(C1302,'10y swap Vol'!$C$2:$G$3809,5,0)</f>
        <v>60.551292084651351</v>
      </c>
      <c r="F1302">
        <f>VLOOKUP(C1302,'5y10y Swaption Vol'!temp,3,0)</f>
        <v>87.059723849999997</v>
      </c>
      <c r="H1302" s="1">
        <v>41990</v>
      </c>
      <c r="I1302" t="s">
        <v>2</v>
      </c>
      <c r="J1302">
        <v>2.2711250000000001</v>
      </c>
      <c r="K1302">
        <v>7.588600000000012E-2</v>
      </c>
      <c r="L1302">
        <v>64.121296219349617</v>
      </c>
      <c r="M1302">
        <f t="shared" si="20"/>
        <v>-30</v>
      </c>
    </row>
    <row r="1303" spans="3:13">
      <c r="C1303" s="2">
        <v>41961</v>
      </c>
      <c r="D1303">
        <v>56.744039381531167</v>
      </c>
      <c r="E1303">
        <f>VLOOKUP(C1303,'10y swap Vol'!$C$2:$G$3809,5,0)</f>
        <v>60.48489464294552</v>
      </c>
      <c r="F1303">
        <f>VLOOKUP(C1303,'5y10y Swaption Vol'!temp,3,0)</f>
        <v>86.974288896000004</v>
      </c>
      <c r="H1303" s="1">
        <v>41991</v>
      </c>
      <c r="I1303" t="s">
        <v>2</v>
      </c>
      <c r="J1303">
        <v>2.3287589999999998</v>
      </c>
      <c r="K1303">
        <v>5.7633999999999741E-2</v>
      </c>
      <c r="L1303">
        <v>65.221242922171101</v>
      </c>
      <c r="M1303">
        <f t="shared" si="20"/>
        <v>-30</v>
      </c>
    </row>
    <row r="1304" spans="3:13">
      <c r="C1304" s="2">
        <v>41962</v>
      </c>
      <c r="D1304">
        <v>56.961423892978281</v>
      </c>
      <c r="E1304">
        <f>VLOOKUP(C1304,'10y swap Vol'!$C$2:$G$3809,5,0)</f>
        <v>60.719760547452509</v>
      </c>
      <c r="F1304">
        <f>VLOOKUP(C1304,'5y10y Swaption Vol'!temp,3,0)</f>
        <v>87.408785924</v>
      </c>
      <c r="H1304" s="1">
        <v>41992</v>
      </c>
      <c r="I1304" t="s">
        <v>2</v>
      </c>
      <c r="J1304">
        <v>2.306832</v>
      </c>
      <c r="K1304">
        <v>-2.1926999999999808E-2</v>
      </c>
      <c r="L1304">
        <v>65.09016386943685</v>
      </c>
      <c r="M1304">
        <f t="shared" si="20"/>
        <v>-30</v>
      </c>
    </row>
    <row r="1305" spans="3:13">
      <c r="C1305" s="2">
        <v>41963</v>
      </c>
      <c r="D1305">
        <v>57.059986256082709</v>
      </c>
      <c r="E1305">
        <f>VLOOKUP(C1305,'10y swap Vol'!$C$2:$G$3809,5,0)</f>
        <v>60.617175141688939</v>
      </c>
      <c r="F1305">
        <f>VLOOKUP(C1305,'5y10y Swaption Vol'!temp,3,0)</f>
        <v>87.362775220000003</v>
      </c>
      <c r="H1305" s="1">
        <v>41995</v>
      </c>
      <c r="I1305" t="s">
        <v>2</v>
      </c>
      <c r="J1305">
        <v>2.290009</v>
      </c>
      <c r="K1305">
        <v>-1.6823000000000032E-2</v>
      </c>
      <c r="L1305">
        <v>64.401070559955485</v>
      </c>
      <c r="M1305">
        <f t="shared" si="20"/>
        <v>-32</v>
      </c>
    </row>
    <row r="1306" spans="3:13">
      <c r="C1306" s="2">
        <v>41964</v>
      </c>
      <c r="D1306">
        <v>57.125304731199719</v>
      </c>
      <c r="E1306">
        <f>VLOOKUP(C1306,'10y swap Vol'!$C$2:$G$3809,5,0)</f>
        <v>60.737310179432754</v>
      </c>
      <c r="F1306">
        <f>VLOOKUP(C1306,'5y10y Swaption Vol'!temp,3,0)</f>
        <v>87.147821772</v>
      </c>
      <c r="H1306" s="1">
        <v>41996</v>
      </c>
      <c r="I1306" t="s">
        <v>2</v>
      </c>
      <c r="J1306">
        <v>2.3837359999999999</v>
      </c>
      <c r="K1306">
        <v>9.3726999999999894E-2</v>
      </c>
      <c r="L1306">
        <v>66.862797374813113</v>
      </c>
      <c r="M1306">
        <f t="shared" si="20"/>
        <v>-32</v>
      </c>
    </row>
    <row r="1307" spans="3:13">
      <c r="C1307" s="2">
        <v>41967</v>
      </c>
      <c r="D1307">
        <v>56.864799858544387</v>
      </c>
      <c r="E1307">
        <f>VLOOKUP(C1307,'10y swap Vol'!$C$2:$G$3809,5,0)</f>
        <v>60.574101186954024</v>
      </c>
      <c r="F1307">
        <f>VLOOKUP(C1307,'5y10y Swaption Vol'!temp,3,0)</f>
        <v>87.139186092000003</v>
      </c>
      <c r="H1307" s="1">
        <v>41997</v>
      </c>
      <c r="I1307" t="s">
        <v>2</v>
      </c>
      <c r="J1307">
        <v>2.384509</v>
      </c>
      <c r="K1307">
        <v>7.7300000000013469E-4</v>
      </c>
      <c r="L1307">
        <v>66.690208039764045</v>
      </c>
      <c r="M1307">
        <f t="shared" si="20"/>
        <v>-30</v>
      </c>
    </row>
    <row r="1308" spans="3:13">
      <c r="C1308" s="2">
        <v>41968</v>
      </c>
      <c r="D1308">
        <v>57.74206960017014</v>
      </c>
      <c r="E1308">
        <f>VLOOKUP(C1308,'10y swap Vol'!$C$2:$G$3809,5,0)</f>
        <v>61.01449090209362</v>
      </c>
      <c r="F1308">
        <f>VLOOKUP(C1308,'5y10y Swaption Vol'!temp,3,0)</f>
        <v>87.356194172000002</v>
      </c>
      <c r="H1308" s="1">
        <v>41999</v>
      </c>
      <c r="I1308" t="s">
        <v>2</v>
      </c>
      <c r="J1308">
        <v>2.3628239999999998</v>
      </c>
      <c r="K1308">
        <v>-2.1685000000000176E-2</v>
      </c>
      <c r="L1308">
        <v>66.66253468683054</v>
      </c>
      <c r="M1308">
        <f t="shared" si="20"/>
        <v>-31</v>
      </c>
    </row>
    <row r="1309" spans="3:13">
      <c r="C1309" s="2">
        <v>41969</v>
      </c>
      <c r="D1309">
        <v>57.780081864967102</v>
      </c>
      <c r="E1309">
        <f>VLOOKUP(C1309,'10y swap Vol'!$C$2:$G$3809,5,0)</f>
        <v>61.165414274946642</v>
      </c>
      <c r="F1309">
        <f>VLOOKUP(C1309,'5y10y Swaption Vol'!temp,3,0)</f>
        <v>87.509470676000007</v>
      </c>
      <c r="H1309" s="1">
        <v>42002</v>
      </c>
      <c r="I1309" t="s">
        <v>2</v>
      </c>
      <c r="J1309">
        <v>2.3199000000000001</v>
      </c>
      <c r="K1309">
        <v>-4.292399999999974E-2</v>
      </c>
      <c r="L1309">
        <v>66.999497333597986</v>
      </c>
      <c r="M1309">
        <f t="shared" si="20"/>
        <v>-33</v>
      </c>
    </row>
    <row r="1310" spans="3:13">
      <c r="C1310" s="2">
        <v>41971</v>
      </c>
      <c r="D1310">
        <v>57.010006804925126</v>
      </c>
      <c r="E1310">
        <f>VLOOKUP(C1310,'10y swap Vol'!$C$2:$G$3809,5,0)</f>
        <v>60.472849224365554</v>
      </c>
      <c r="F1310">
        <f>VLOOKUP(C1310,'5y10y Swaption Vol'!temp,3,0)</f>
        <v>87.399345088000004</v>
      </c>
      <c r="H1310" s="1">
        <v>42003</v>
      </c>
      <c r="I1310" t="s">
        <v>2</v>
      </c>
      <c r="J1310">
        <v>2.3017409999999998</v>
      </c>
      <c r="K1310">
        <v>-1.8159000000000258E-2</v>
      </c>
      <c r="L1310">
        <v>64.268217199807779</v>
      </c>
      <c r="M1310">
        <f t="shared" si="20"/>
        <v>-32</v>
      </c>
    </row>
    <row r="1311" spans="3:13">
      <c r="C1311" s="2">
        <v>41974</v>
      </c>
      <c r="D1311">
        <v>57.171955665480766</v>
      </c>
      <c r="E1311">
        <f>VLOOKUP(C1311,'10y swap Vol'!$C$2:$G$3809,5,0)</f>
        <v>60.630188129360874</v>
      </c>
      <c r="F1311">
        <f>VLOOKUP(C1311,'5y10y Swaption Vol'!temp,3,0)</f>
        <v>87.890628315000001</v>
      </c>
      <c r="H1311" s="1">
        <v>42004</v>
      </c>
      <c r="I1311" t="s">
        <v>2</v>
      </c>
      <c r="J1311">
        <v>2.2853219999999999</v>
      </c>
      <c r="K1311">
        <v>-1.6418999999999961E-2</v>
      </c>
      <c r="L1311">
        <v>63.928326838323066</v>
      </c>
      <c r="M1311">
        <f t="shared" si="20"/>
        <v>-30</v>
      </c>
    </row>
    <row r="1312" spans="3:13">
      <c r="C1312" s="2">
        <v>41975</v>
      </c>
      <c r="D1312">
        <v>58.444675944166988</v>
      </c>
      <c r="E1312">
        <f>VLOOKUP(C1312,'10y swap Vol'!$C$2:$G$3809,5,0)</f>
        <v>61.548902109534986</v>
      </c>
      <c r="F1312">
        <f>VLOOKUP(C1312,'5y10y Swaption Vol'!temp,3,0)</f>
        <v>87.974179405000001</v>
      </c>
      <c r="H1312" s="1">
        <v>42006</v>
      </c>
      <c r="I1312" t="s">
        <v>2</v>
      </c>
      <c r="J1312">
        <v>2.238051</v>
      </c>
      <c r="K1312">
        <v>-4.7270999999999841E-2</v>
      </c>
      <c r="L1312">
        <v>64.365354318092926</v>
      </c>
      <c r="M1312">
        <f t="shared" si="20"/>
        <v>-31</v>
      </c>
    </row>
    <row r="1313" spans="3:13">
      <c r="C1313" s="2">
        <v>41976</v>
      </c>
      <c r="D1313">
        <v>58.355711433072479</v>
      </c>
      <c r="E1313">
        <f>VLOOKUP(C1313,'10y swap Vol'!$C$2:$G$3809,5,0)</f>
        <v>61.47229032599175</v>
      </c>
      <c r="F1313">
        <f>VLOOKUP(C1313,'5y10y Swaption Vol'!temp,3,0)</f>
        <v>87.439996929000003</v>
      </c>
      <c r="H1313" s="1">
        <v>42009</v>
      </c>
      <c r="I1313" t="s">
        <v>2</v>
      </c>
      <c r="J1313">
        <v>2.1471770000000001</v>
      </c>
      <c r="K1313">
        <v>-9.0873999999999899E-2</v>
      </c>
      <c r="L1313">
        <v>66.615585858558319</v>
      </c>
      <c r="M1313">
        <f t="shared" si="20"/>
        <v>-33</v>
      </c>
    </row>
    <row r="1314" spans="3:13">
      <c r="C1314" s="2">
        <v>41977</v>
      </c>
      <c r="D1314">
        <v>58.539114424476978</v>
      </c>
      <c r="E1314">
        <f>VLOOKUP(C1314,'10y swap Vol'!$C$2:$G$3809,5,0)</f>
        <v>61.838759320066025</v>
      </c>
      <c r="F1314">
        <f>VLOOKUP(C1314,'5y10y Swaption Vol'!temp,3,0)</f>
        <v>87.035145392999993</v>
      </c>
      <c r="H1314" s="1">
        <v>42010</v>
      </c>
      <c r="I1314" t="s">
        <v>2</v>
      </c>
      <c r="J1314">
        <v>2.0648629999999999</v>
      </c>
      <c r="K1314">
        <v>-8.231400000000022E-2</v>
      </c>
      <c r="L1314">
        <v>67.157585544703807</v>
      </c>
      <c r="M1314">
        <f t="shared" si="20"/>
        <v>-33</v>
      </c>
    </row>
    <row r="1315" spans="3:13">
      <c r="C1315" s="2">
        <v>41978</v>
      </c>
      <c r="D1315">
        <v>59.305525733734363</v>
      </c>
      <c r="E1315">
        <f>VLOOKUP(C1315,'10y swap Vol'!$C$2:$G$3809,5,0)</f>
        <v>62.154677184456141</v>
      </c>
      <c r="F1315">
        <f>VLOOKUP(C1315,'5y10y Swaption Vol'!temp,3,0)</f>
        <v>87.101953559999998</v>
      </c>
      <c r="H1315" s="1">
        <v>42013</v>
      </c>
      <c r="I1315" t="s">
        <v>2</v>
      </c>
      <c r="J1315">
        <v>2.0891410000000001</v>
      </c>
      <c r="K1315">
        <v>2.4278000000000244E-2</v>
      </c>
      <c r="L1315">
        <v>67.157466797963977</v>
      </c>
      <c r="M1315">
        <f t="shared" si="20"/>
        <v>-35</v>
      </c>
    </row>
    <row r="1316" spans="3:13">
      <c r="C1316" s="2">
        <v>41981</v>
      </c>
      <c r="D1316">
        <v>59.328725662791967</v>
      </c>
      <c r="E1316">
        <f>VLOOKUP(C1316,'10y swap Vol'!$C$2:$G$3809,5,0)</f>
        <v>61.925913144336334</v>
      </c>
      <c r="F1316">
        <f>VLOOKUP(C1316,'5y10y Swaption Vol'!temp,3,0)</f>
        <v>86.822180251999995</v>
      </c>
      <c r="H1316" s="1">
        <v>42016</v>
      </c>
      <c r="I1316" t="s">
        <v>2</v>
      </c>
      <c r="J1316">
        <v>2.0246749999999998</v>
      </c>
      <c r="K1316">
        <v>-6.4466000000000356E-2</v>
      </c>
      <c r="L1316">
        <v>68.191429621066277</v>
      </c>
      <c r="M1316">
        <f t="shared" si="20"/>
        <v>-35</v>
      </c>
    </row>
    <row r="1317" spans="3:13">
      <c r="C1317" s="2">
        <v>41982</v>
      </c>
      <c r="D1317">
        <v>59.424874585816553</v>
      </c>
      <c r="E1317">
        <f>VLOOKUP(C1317,'10y swap Vol'!$C$2:$G$3809,5,0)</f>
        <v>62.304414166941136</v>
      </c>
      <c r="F1317">
        <f>VLOOKUP(C1317,'5y10y Swaption Vol'!temp,3,0)</f>
        <v>86.803940724</v>
      </c>
      <c r="H1317" s="1">
        <v>42017</v>
      </c>
      <c r="I1317" t="s">
        <v>2</v>
      </c>
      <c r="J1317">
        <v>2.002894</v>
      </c>
      <c r="K1317">
        <v>-2.1780999999999828E-2</v>
      </c>
      <c r="L1317">
        <v>68.107841235374238</v>
      </c>
      <c r="M1317">
        <f t="shared" si="20"/>
        <v>-35</v>
      </c>
    </row>
    <row r="1318" spans="3:13">
      <c r="C1318" s="2">
        <v>41983</v>
      </c>
      <c r="D1318">
        <v>57.96334917926518</v>
      </c>
      <c r="E1318">
        <f>VLOOKUP(C1318,'10y swap Vol'!$C$2:$G$3809,5,0)</f>
        <v>60.410829087895046</v>
      </c>
      <c r="F1318">
        <f>VLOOKUP(C1318,'5y10y Swaption Vol'!temp,3,0)</f>
        <v>87.247949070000004</v>
      </c>
      <c r="H1318" s="1">
        <v>42018</v>
      </c>
      <c r="I1318" t="s">
        <v>2</v>
      </c>
      <c r="J1318">
        <v>1.9482550000000001</v>
      </c>
      <c r="K1318">
        <v>-5.4638999999999882E-2</v>
      </c>
      <c r="L1318">
        <v>66.431239726238559</v>
      </c>
      <c r="M1318">
        <f t="shared" si="20"/>
        <v>-35</v>
      </c>
    </row>
    <row r="1319" spans="3:13">
      <c r="C1319" s="2">
        <v>41984</v>
      </c>
      <c r="D1319">
        <v>58.038193216911239</v>
      </c>
      <c r="E1319">
        <f>VLOOKUP(C1319,'10y swap Vol'!$C$2:$G$3809,5,0)</f>
        <v>60.56570939175996</v>
      </c>
      <c r="F1319">
        <f>VLOOKUP(C1319,'5y10y Swaption Vol'!temp,3,0)</f>
        <v>87.817104</v>
      </c>
      <c r="H1319" s="1">
        <v>42019</v>
      </c>
      <c r="I1319" t="s">
        <v>2</v>
      </c>
      <c r="J1319">
        <v>1.8910039999999999</v>
      </c>
      <c r="K1319">
        <v>-5.7251000000000163E-2</v>
      </c>
      <c r="L1319">
        <v>64.556691973106851</v>
      </c>
      <c r="M1319">
        <f t="shared" si="20"/>
        <v>-35</v>
      </c>
    </row>
    <row r="1320" spans="3:13">
      <c r="C1320" s="2">
        <v>41985</v>
      </c>
      <c r="D1320">
        <v>59.108094688479582</v>
      </c>
      <c r="E1320">
        <f>VLOOKUP(C1320,'10y swap Vol'!$C$2:$G$3809,5,0)</f>
        <v>61.984972008439321</v>
      </c>
      <c r="F1320">
        <f>VLOOKUP(C1320,'5y10y Swaption Vol'!temp,3,0)</f>
        <v>88.854272910000006</v>
      </c>
      <c r="H1320" s="1">
        <v>42020</v>
      </c>
      <c r="I1320" t="s">
        <v>2</v>
      </c>
      <c r="J1320">
        <v>1.929718</v>
      </c>
      <c r="K1320">
        <v>3.8714000000000137E-2</v>
      </c>
      <c r="L1320">
        <v>63.42200200920206</v>
      </c>
      <c r="M1320">
        <f t="shared" si="20"/>
        <v>-35</v>
      </c>
    </row>
    <row r="1321" spans="3:13">
      <c r="C1321" s="2">
        <v>41988</v>
      </c>
      <c r="D1321">
        <v>59.525023188681125</v>
      </c>
      <c r="E1321">
        <f>VLOOKUP(C1321,'10y swap Vol'!$C$2:$G$3809,5,0)</f>
        <v>62.101785852501166</v>
      </c>
      <c r="F1321">
        <f>VLOOKUP(C1321,'5y10y Swaption Vol'!temp,3,0)</f>
        <v>89.224059503999996</v>
      </c>
      <c r="H1321" s="1">
        <v>42024</v>
      </c>
      <c r="I1321" t="s">
        <v>2</v>
      </c>
      <c r="J1321">
        <v>1.9340710000000001</v>
      </c>
      <c r="K1321">
        <v>4.3530000000000513E-3</v>
      </c>
      <c r="L1321">
        <v>62.805892769310624</v>
      </c>
      <c r="M1321">
        <f t="shared" si="20"/>
        <v>-36</v>
      </c>
    </row>
    <row r="1322" spans="3:13">
      <c r="C1322" s="2">
        <v>41989</v>
      </c>
      <c r="D1322">
        <v>59.798467572316113</v>
      </c>
      <c r="E1322">
        <f>VLOOKUP(C1322,'10y swap Vol'!$C$2:$G$3809,5,0)</f>
        <v>62.184252580463017</v>
      </c>
      <c r="F1322">
        <f>VLOOKUP(C1322,'5y10y Swaption Vol'!temp,3,0)</f>
        <v>90.332264523000006</v>
      </c>
      <c r="H1322" s="1">
        <v>42025</v>
      </c>
      <c r="I1322" t="s">
        <v>2</v>
      </c>
      <c r="J1322">
        <v>1.98715</v>
      </c>
      <c r="K1322">
        <v>5.3078999999999876E-2</v>
      </c>
      <c r="L1322">
        <v>63.791055569615217</v>
      </c>
      <c r="M1322">
        <f t="shared" si="20"/>
        <v>-36</v>
      </c>
    </row>
    <row r="1323" spans="3:13">
      <c r="C1323" s="2">
        <v>41990</v>
      </c>
      <c r="D1323">
        <v>60.515718462117199</v>
      </c>
      <c r="E1323">
        <f>VLOOKUP(C1323,'10y swap Vol'!$C$2:$G$3809,5,0)</f>
        <v>64.121296219349617</v>
      </c>
      <c r="F1323">
        <f>VLOOKUP(C1323,'5y10y Swaption Vol'!temp,3,0)</f>
        <v>89.414969337000002</v>
      </c>
      <c r="H1323" s="1">
        <v>42026</v>
      </c>
      <c r="I1323" t="s">
        <v>2</v>
      </c>
      <c r="J1323">
        <v>2.0295169999999998</v>
      </c>
      <c r="K1323">
        <v>4.2366999999999821E-2</v>
      </c>
      <c r="L1323">
        <v>64.295605935477212</v>
      </c>
      <c r="M1323">
        <f t="shared" si="20"/>
        <v>-36</v>
      </c>
    </row>
    <row r="1324" spans="3:13">
      <c r="C1324" s="2">
        <v>41991</v>
      </c>
      <c r="D1324">
        <v>60.74949734871803</v>
      </c>
      <c r="E1324">
        <f>VLOOKUP(C1324,'10y swap Vol'!$C$2:$G$3809,5,0)</f>
        <v>65.221242922171101</v>
      </c>
      <c r="F1324">
        <f>VLOOKUP(C1324,'5y10y Swaption Vol'!temp,3,0)</f>
        <v>89.899372764000006</v>
      </c>
      <c r="H1324" s="1">
        <v>42031</v>
      </c>
      <c r="I1324" t="s">
        <v>2</v>
      </c>
      <c r="J1324">
        <v>1.9678899999999999</v>
      </c>
      <c r="K1324">
        <v>-6.1626999999999876E-2</v>
      </c>
      <c r="L1324">
        <v>65.121274573704525</v>
      </c>
      <c r="M1324">
        <f t="shared" si="20"/>
        <v>-40</v>
      </c>
    </row>
    <row r="1325" spans="3:13">
      <c r="C1325" s="2">
        <v>41992</v>
      </c>
      <c r="D1325">
        <v>60.742338377383255</v>
      </c>
      <c r="E1325">
        <f>VLOOKUP(C1325,'10y swap Vol'!$C$2:$G$3809,5,0)</f>
        <v>65.09016386943685</v>
      </c>
      <c r="F1325">
        <f>VLOOKUP(C1325,'5y10y Swaption Vol'!temp,3,0)</f>
        <v>89.382592975999998</v>
      </c>
      <c r="H1325" s="1">
        <v>42032</v>
      </c>
      <c r="I1325" t="s">
        <v>2</v>
      </c>
      <c r="J1325">
        <v>1.861423</v>
      </c>
      <c r="K1325">
        <v>-0.10646699999999987</v>
      </c>
      <c r="L1325">
        <v>66.993996125775496</v>
      </c>
      <c r="M1325">
        <f t="shared" si="20"/>
        <v>-40</v>
      </c>
    </row>
    <row r="1326" spans="3:13">
      <c r="C1326" s="2">
        <v>41995</v>
      </c>
      <c r="D1326">
        <v>60.38220942583893</v>
      </c>
      <c r="E1326">
        <f>VLOOKUP(C1326,'10y swap Vol'!$C$2:$G$3809,5,0)</f>
        <v>64.401070559955485</v>
      </c>
      <c r="F1326">
        <f>VLOOKUP(C1326,'5y10y Swaption Vol'!temp,3,0)</f>
        <v>89.18504403</v>
      </c>
      <c r="H1326" s="1">
        <v>42033</v>
      </c>
      <c r="I1326" t="s">
        <v>2</v>
      </c>
      <c r="J1326">
        <v>1.888673</v>
      </c>
      <c r="K1326">
        <v>2.7249999999999996E-2</v>
      </c>
      <c r="L1326">
        <v>67.379751736130629</v>
      </c>
      <c r="M1326">
        <f t="shared" si="20"/>
        <v>-38</v>
      </c>
    </row>
    <row r="1327" spans="3:13">
      <c r="C1327" s="2">
        <v>41996</v>
      </c>
      <c r="D1327">
        <v>62.713885383691292</v>
      </c>
      <c r="E1327">
        <f>VLOOKUP(C1327,'10y swap Vol'!$C$2:$G$3809,5,0)</f>
        <v>66.862797374813113</v>
      </c>
      <c r="F1327">
        <f>VLOOKUP(C1327,'5y10y Swaption Vol'!temp,3,0)</f>
        <v>88.963690139999997</v>
      </c>
      <c r="H1327" s="1">
        <v>42034</v>
      </c>
      <c r="I1327" t="s">
        <v>2</v>
      </c>
      <c r="J1327">
        <v>1.815269</v>
      </c>
      <c r="K1327">
        <v>-7.3404000000000025E-2</v>
      </c>
      <c r="L1327">
        <v>68.65293225953738</v>
      </c>
      <c r="M1327">
        <f t="shared" si="20"/>
        <v>-38</v>
      </c>
    </row>
    <row r="1328" spans="3:13">
      <c r="C1328" s="2">
        <v>41997</v>
      </c>
      <c r="D1328">
        <v>62.534672319662434</v>
      </c>
      <c r="E1328">
        <f>VLOOKUP(C1328,'10y swap Vol'!$C$2:$G$3809,5,0)</f>
        <v>66.690208039764045</v>
      </c>
      <c r="F1328">
        <f>VLOOKUP(C1328,'5y10y Swaption Vol'!temp,3,0)</f>
        <v>88.439825892000002</v>
      </c>
      <c r="H1328" s="1">
        <v>42037</v>
      </c>
      <c r="I1328" t="s">
        <v>2</v>
      </c>
      <c r="J1328">
        <v>1.801553</v>
      </c>
      <c r="K1328">
        <v>-1.3716000000000061E-2</v>
      </c>
      <c r="L1328">
        <v>68.350445050109386</v>
      </c>
      <c r="M1328">
        <f t="shared" si="20"/>
        <v>-40</v>
      </c>
    </row>
    <row r="1329" spans="3:13">
      <c r="C1329" s="2">
        <v>41999</v>
      </c>
      <c r="D1329">
        <v>62.493071977814864</v>
      </c>
      <c r="E1329">
        <f>VLOOKUP(C1329,'10y swap Vol'!$C$2:$G$3809,5,0)</f>
        <v>66.66253468683054</v>
      </c>
      <c r="F1329">
        <f>VLOOKUP(C1329,'5y10y Swaption Vol'!temp,3,0)</f>
        <v>88.258510525999995</v>
      </c>
      <c r="H1329" s="1">
        <v>42038</v>
      </c>
      <c r="I1329" t="s">
        <v>2</v>
      </c>
      <c r="J1329">
        <v>1.917834</v>
      </c>
      <c r="K1329">
        <v>0.11628100000000008</v>
      </c>
      <c r="L1329">
        <v>72.486296463051431</v>
      </c>
      <c r="M1329">
        <f t="shared" si="20"/>
        <v>-39</v>
      </c>
    </row>
    <row r="1330" spans="3:13">
      <c r="C1330" s="2">
        <v>42002</v>
      </c>
      <c r="D1330">
        <v>62.558479309581138</v>
      </c>
      <c r="E1330">
        <f>VLOOKUP(C1330,'10y swap Vol'!$C$2:$G$3809,5,0)</f>
        <v>66.999497333597986</v>
      </c>
      <c r="F1330">
        <f>VLOOKUP(C1330,'5y10y Swaption Vol'!temp,3,0)</f>
        <v>88.110349487999997</v>
      </c>
      <c r="H1330" s="1">
        <v>42039</v>
      </c>
      <c r="I1330" t="s">
        <v>2</v>
      </c>
      <c r="J1330">
        <v>1.9338150000000001</v>
      </c>
      <c r="K1330">
        <v>1.5981000000000023E-2</v>
      </c>
      <c r="L1330">
        <v>72.659257862232522</v>
      </c>
      <c r="M1330">
        <f t="shared" si="20"/>
        <v>-37</v>
      </c>
    </row>
    <row r="1331" spans="3:13">
      <c r="C1331" s="2">
        <v>42003</v>
      </c>
      <c r="D1331">
        <v>60.12695787129941</v>
      </c>
      <c r="E1331">
        <f>VLOOKUP(C1331,'10y swap Vol'!$C$2:$G$3809,5,0)</f>
        <v>64.268217199807779</v>
      </c>
      <c r="F1331">
        <f>VLOOKUP(C1331,'5y10y Swaption Vol'!temp,3,0)</f>
        <v>87.817055436000004</v>
      </c>
      <c r="H1331" s="1">
        <v>42040</v>
      </c>
      <c r="I1331" t="s">
        <v>2</v>
      </c>
      <c r="J1331">
        <v>1.951263</v>
      </c>
      <c r="K1331">
        <v>1.7447999999999908E-2</v>
      </c>
      <c r="L1331">
        <v>72.437733772205831</v>
      </c>
      <c r="M1331">
        <f t="shared" si="20"/>
        <v>-37</v>
      </c>
    </row>
    <row r="1332" spans="3:13">
      <c r="C1332" s="2">
        <v>42004</v>
      </c>
      <c r="D1332">
        <v>60.018610875937128</v>
      </c>
      <c r="E1332">
        <f>VLOOKUP(C1332,'10y swap Vol'!$C$2:$G$3809,5,0)</f>
        <v>63.928326838323066</v>
      </c>
      <c r="F1332">
        <f>VLOOKUP(C1332,'5y10y Swaption Vol'!temp,3,0)</f>
        <v>87.840077745000002</v>
      </c>
      <c r="H1332" s="1">
        <v>42041</v>
      </c>
      <c r="I1332" t="s">
        <v>2</v>
      </c>
      <c r="J1332">
        <v>2.0743140000000002</v>
      </c>
      <c r="K1332">
        <v>0.12305100000000024</v>
      </c>
      <c r="L1332">
        <v>77.187708584937425</v>
      </c>
      <c r="M1332">
        <f t="shared" si="20"/>
        <v>-37</v>
      </c>
    </row>
    <row r="1333" spans="3:13">
      <c r="C1333" s="2">
        <v>42006</v>
      </c>
      <c r="D1333">
        <v>60.629813571401726</v>
      </c>
      <c r="E1333">
        <f>VLOOKUP(C1333,'10y swap Vol'!$C$2:$G$3809,5,0)</f>
        <v>64.365354318092926</v>
      </c>
      <c r="F1333">
        <f>VLOOKUP(C1333,'5y10y Swaption Vol'!temp,3,0)</f>
        <v>87.505744301999997</v>
      </c>
      <c r="H1333" s="1">
        <v>42044</v>
      </c>
      <c r="I1333" t="s">
        <v>2</v>
      </c>
      <c r="J1333">
        <v>2.0851660000000001</v>
      </c>
      <c r="K1333">
        <v>1.0851999999999862E-2</v>
      </c>
      <c r="L1333">
        <v>77.272406974061411</v>
      </c>
      <c r="M1333">
        <f t="shared" si="20"/>
        <v>-38</v>
      </c>
    </row>
    <row r="1334" spans="3:13">
      <c r="C1334" s="2">
        <v>42009</v>
      </c>
      <c r="D1334">
        <v>62.929026896493234</v>
      </c>
      <c r="E1334">
        <f>VLOOKUP(C1334,'10y swap Vol'!$C$2:$G$3809,5,0)</f>
        <v>66.615585858558319</v>
      </c>
      <c r="F1334">
        <f>VLOOKUP(C1334,'5y10y Swaption Vol'!temp,3,0)</f>
        <v>88.511079248000001</v>
      </c>
      <c r="H1334" s="1">
        <v>42045</v>
      </c>
      <c r="I1334" t="s">
        <v>2</v>
      </c>
      <c r="J1334">
        <v>2.1299250000000001</v>
      </c>
      <c r="K1334">
        <v>4.4758999999999993E-2</v>
      </c>
      <c r="L1334">
        <v>77.887286077377851</v>
      </c>
      <c r="M1334">
        <f t="shared" si="20"/>
        <v>-36</v>
      </c>
    </row>
    <row r="1335" spans="3:13">
      <c r="C1335" s="2">
        <v>42010</v>
      </c>
      <c r="D1335">
        <v>63.548767879285748</v>
      </c>
      <c r="E1335">
        <f>VLOOKUP(C1335,'10y swap Vol'!$C$2:$G$3809,5,0)</f>
        <v>67.157585544703807</v>
      </c>
      <c r="F1335">
        <f>VLOOKUP(C1335,'5y10y Swaption Vol'!temp,3,0)</f>
        <v>90.342237753999996</v>
      </c>
      <c r="H1335" s="1">
        <v>42046</v>
      </c>
      <c r="I1335" t="s">
        <v>2</v>
      </c>
      <c r="J1335">
        <v>2.1176170000000001</v>
      </c>
      <c r="K1335">
        <v>-1.2307999999999986E-2</v>
      </c>
      <c r="L1335">
        <v>77.697524701767577</v>
      </c>
      <c r="M1335">
        <f t="shared" si="20"/>
        <v>-36</v>
      </c>
    </row>
    <row r="1336" spans="3:13">
      <c r="C1336" s="2">
        <v>42011</v>
      </c>
      <c r="D1336">
        <v>62.998251028379229</v>
      </c>
      <c r="E1336" t="e">
        <f>VLOOKUP(C1336,'10y swap Vol'!$C$2:$G$3809,5,0)</f>
        <v>#N/A</v>
      </c>
      <c r="F1336">
        <f>VLOOKUP(C1336,'5y10y Swaption Vol'!temp,3,0)</f>
        <v>91.201624838000001</v>
      </c>
      <c r="H1336" s="1">
        <v>42047</v>
      </c>
      <c r="I1336" t="s">
        <v>2</v>
      </c>
      <c r="J1336">
        <v>2.1154130000000002</v>
      </c>
      <c r="K1336">
        <v>-2.2039999999998727E-3</v>
      </c>
      <c r="L1336">
        <v>76.661025834624425</v>
      </c>
      <c r="M1336">
        <f t="shared" si="20"/>
        <v>-36</v>
      </c>
    </row>
    <row r="1337" spans="3:13">
      <c r="C1337" s="2">
        <v>42012</v>
      </c>
      <c r="D1337">
        <v>64.117237931100362</v>
      </c>
      <c r="E1337" t="e">
        <f>VLOOKUP(C1337,'10y swap Vol'!$C$2:$G$3809,5,0)</f>
        <v>#N/A</v>
      </c>
      <c r="F1337">
        <f>VLOOKUP(C1337,'5y10y Swaption Vol'!temp,3,0)</f>
        <v>90.874401234000004</v>
      </c>
      <c r="H1337" s="1">
        <v>42048</v>
      </c>
      <c r="I1337" t="s">
        <v>2</v>
      </c>
      <c r="J1337">
        <v>2.1455709999999999</v>
      </c>
      <c r="K1337">
        <v>3.0157999999999685E-2</v>
      </c>
      <c r="L1337">
        <v>76.320399013305376</v>
      </c>
      <c r="M1337">
        <f t="shared" si="20"/>
        <v>-36</v>
      </c>
    </row>
    <row r="1338" spans="3:13">
      <c r="C1338" s="2">
        <v>42013</v>
      </c>
      <c r="D1338">
        <v>64.326813188795654</v>
      </c>
      <c r="E1338">
        <f>VLOOKUP(C1338,'10y swap Vol'!$C$2:$G$3809,5,0)</f>
        <v>67.157466797963977</v>
      </c>
      <c r="F1338">
        <f>VLOOKUP(C1338,'5y10y Swaption Vol'!temp,3,0)</f>
        <v>90.698680424000003</v>
      </c>
      <c r="H1338" s="1">
        <v>42052</v>
      </c>
      <c r="I1338" t="s">
        <v>2</v>
      </c>
      <c r="J1338">
        <v>2.2678660000000002</v>
      </c>
      <c r="K1338">
        <v>0.12229500000000026</v>
      </c>
      <c r="L1338">
        <v>80.674946380083711</v>
      </c>
      <c r="M1338">
        <f t="shared" si="20"/>
        <v>-39</v>
      </c>
    </row>
    <row r="1339" spans="3:13">
      <c r="C1339" s="2">
        <v>42016</v>
      </c>
      <c r="D1339">
        <v>62.646119468592644</v>
      </c>
      <c r="E1339">
        <f>VLOOKUP(C1339,'10y swap Vol'!$C$2:$G$3809,5,0)</f>
        <v>68.191429621066277</v>
      </c>
      <c r="F1339">
        <f>VLOOKUP(C1339,'5y10y Swaption Vol'!temp,3,0)</f>
        <v>91.717080989999999</v>
      </c>
      <c r="H1339" s="1">
        <v>42053</v>
      </c>
      <c r="I1339" t="s">
        <v>2</v>
      </c>
      <c r="J1339">
        <v>2.1945779999999999</v>
      </c>
      <c r="K1339">
        <v>-7.3288000000000242E-2</v>
      </c>
      <c r="L1339">
        <v>81.845210734515589</v>
      </c>
      <c r="M1339">
        <f t="shared" si="20"/>
        <v>-37</v>
      </c>
    </row>
    <row r="1340" spans="3:13">
      <c r="C1340" s="2">
        <v>42017</v>
      </c>
      <c r="D1340">
        <v>58.454561456368793</v>
      </c>
      <c r="E1340">
        <f>VLOOKUP(C1340,'10y swap Vol'!$C$2:$G$3809,5,0)</f>
        <v>68.107841235374238</v>
      </c>
      <c r="F1340">
        <f>VLOOKUP(C1340,'5y10y Swaption Vol'!temp,3,0)</f>
        <v>92.008069305000006</v>
      </c>
      <c r="H1340" s="1">
        <v>42054</v>
      </c>
      <c r="I1340" t="s">
        <v>2</v>
      </c>
      <c r="J1340">
        <v>2.2450770000000002</v>
      </c>
      <c r="K1340">
        <v>5.0499000000000294E-2</v>
      </c>
      <c r="L1340">
        <v>82.528890084185363</v>
      </c>
      <c r="M1340">
        <f t="shared" si="20"/>
        <v>-37</v>
      </c>
    </row>
    <row r="1341" spans="3:13">
      <c r="C1341" s="2">
        <v>42018</v>
      </c>
      <c r="D1341">
        <v>57.77199750525709</v>
      </c>
      <c r="E1341">
        <f>VLOOKUP(C1341,'10y swap Vol'!$C$2:$G$3809,5,0)</f>
        <v>66.431239726238559</v>
      </c>
      <c r="F1341">
        <f>VLOOKUP(C1341,'5y10y Swaption Vol'!temp,3,0)</f>
        <v>93.103695134999995</v>
      </c>
      <c r="H1341" s="1">
        <v>42055</v>
      </c>
      <c r="I1341" t="s">
        <v>2</v>
      </c>
      <c r="J1341">
        <v>2.259973</v>
      </c>
      <c r="K1341">
        <v>1.4895999999999798E-2</v>
      </c>
      <c r="L1341">
        <v>82.489071355913708</v>
      </c>
      <c r="M1341">
        <f t="shared" si="20"/>
        <v>-37</v>
      </c>
    </row>
    <row r="1342" spans="3:13">
      <c r="C1342" s="2">
        <v>42019</v>
      </c>
      <c r="D1342">
        <v>57.822876747830762</v>
      </c>
      <c r="E1342">
        <f>VLOOKUP(C1342,'10y swap Vol'!$C$2:$G$3809,5,0)</f>
        <v>64.556691973106851</v>
      </c>
      <c r="F1342">
        <f>VLOOKUP(C1342,'5y10y Swaption Vol'!temp,3,0)</f>
        <v>93.961748540000002</v>
      </c>
      <c r="H1342" s="1">
        <v>42058</v>
      </c>
      <c r="I1342" t="s">
        <v>2</v>
      </c>
      <c r="J1342">
        <v>2.1931600000000002</v>
      </c>
      <c r="K1342">
        <v>-6.6812999999999789E-2</v>
      </c>
      <c r="L1342">
        <v>83.435073618335338</v>
      </c>
      <c r="M1342">
        <f t="shared" si="20"/>
        <v>-39</v>
      </c>
    </row>
    <row r="1343" spans="3:13">
      <c r="C1343" s="2">
        <v>42020</v>
      </c>
      <c r="D1343">
        <v>61.015538366172947</v>
      </c>
      <c r="E1343">
        <f>VLOOKUP(C1343,'10y swap Vol'!$C$2:$G$3809,5,0)</f>
        <v>63.42200200920206</v>
      </c>
      <c r="F1343">
        <f>VLOOKUP(C1343,'5y10y Swaption Vol'!temp,3,0)</f>
        <v>93.564352200000002</v>
      </c>
      <c r="H1343" s="1">
        <v>42059</v>
      </c>
      <c r="I1343" t="s">
        <v>2</v>
      </c>
      <c r="J1343">
        <v>2.1193590000000002</v>
      </c>
      <c r="K1343">
        <v>-7.3801000000000005E-2</v>
      </c>
      <c r="L1343">
        <v>84.405676582771889</v>
      </c>
      <c r="M1343">
        <f t="shared" si="20"/>
        <v>-39</v>
      </c>
    </row>
    <row r="1344" spans="3:13">
      <c r="C1344" s="2">
        <v>42024</v>
      </c>
      <c r="D1344">
        <v>60.887817852507453</v>
      </c>
      <c r="E1344">
        <f>VLOOKUP(C1344,'10y swap Vol'!$C$2:$G$3809,5,0)</f>
        <v>62.805892769310624</v>
      </c>
      <c r="F1344">
        <f>VLOOKUP(C1344,'5y10y Swaption Vol'!temp,3,0)</f>
        <v>93.045655515999997</v>
      </c>
      <c r="H1344" s="1">
        <v>42060</v>
      </c>
      <c r="I1344" t="s">
        <v>2</v>
      </c>
      <c r="J1344">
        <v>2.0985299999999998</v>
      </c>
      <c r="K1344">
        <v>-2.0829000000000431E-2</v>
      </c>
      <c r="L1344">
        <v>84.446430298308812</v>
      </c>
      <c r="M1344">
        <f t="shared" si="20"/>
        <v>-36</v>
      </c>
    </row>
    <row r="1345" spans="3:13">
      <c r="C1345" s="2">
        <v>42025</v>
      </c>
      <c r="D1345">
        <v>61.874608082439018</v>
      </c>
      <c r="E1345">
        <f>VLOOKUP(C1345,'10y swap Vol'!$C$2:$G$3809,5,0)</f>
        <v>63.791055569615217</v>
      </c>
      <c r="F1345">
        <f>VLOOKUP(C1345,'5y10y Swaption Vol'!temp,3,0)</f>
        <v>92.185703196000006</v>
      </c>
      <c r="H1345" s="1">
        <v>42061</v>
      </c>
      <c r="I1345" t="s">
        <v>2</v>
      </c>
      <c r="J1345">
        <v>2.140371</v>
      </c>
      <c r="K1345">
        <v>4.1841000000000239E-2</v>
      </c>
      <c r="L1345">
        <v>84.948576043085552</v>
      </c>
      <c r="M1345">
        <f t="shared" si="20"/>
        <v>-36</v>
      </c>
    </row>
    <row r="1346" spans="3:13">
      <c r="C1346" s="2">
        <v>42026</v>
      </c>
      <c r="D1346">
        <v>61.188561331947753</v>
      </c>
      <c r="E1346">
        <f>VLOOKUP(C1346,'10y swap Vol'!$C$2:$G$3809,5,0)</f>
        <v>64.295605935477212</v>
      </c>
      <c r="F1346">
        <f>VLOOKUP(C1346,'5y10y Swaption Vol'!temp,3,0)</f>
        <v>90.627526247999995</v>
      </c>
      <c r="H1346" s="1">
        <v>42062</v>
      </c>
      <c r="I1346" t="s">
        <v>2</v>
      </c>
      <c r="J1346">
        <v>2.1242200000000002</v>
      </c>
      <c r="K1346">
        <v>-1.6150999999999804E-2</v>
      </c>
      <c r="L1346">
        <v>84.979643042591064</v>
      </c>
      <c r="M1346">
        <f t="shared" si="20"/>
        <v>-36</v>
      </c>
    </row>
    <row r="1347" spans="3:13">
      <c r="C1347" s="2">
        <v>42027</v>
      </c>
      <c r="D1347">
        <v>61.707601907729057</v>
      </c>
      <c r="E1347" t="e">
        <f>VLOOKUP(C1347,'10y swap Vol'!$C$2:$G$3809,5,0)</f>
        <v>#N/A</v>
      </c>
      <c r="F1347">
        <f>VLOOKUP(C1347,'5y10y Swaption Vol'!temp,3,0)</f>
        <v>90.23382986</v>
      </c>
      <c r="H1347" s="1">
        <v>42065</v>
      </c>
      <c r="I1347" t="s">
        <v>2</v>
      </c>
      <c r="J1347">
        <v>2.2037550000000001</v>
      </c>
      <c r="K1347">
        <v>7.9534999999999911E-2</v>
      </c>
      <c r="L1347">
        <v>86.369331825020126</v>
      </c>
      <c r="M1347">
        <f t="shared" ref="M1347:M1363" si="21">C1347-H1347</f>
        <v>-38</v>
      </c>
    </row>
    <row r="1348" spans="3:13">
      <c r="C1348" s="2">
        <v>42030</v>
      </c>
      <c r="D1348">
        <v>62.06526758944122</v>
      </c>
      <c r="E1348" t="e">
        <f>VLOOKUP(C1348,'10y swap Vol'!$C$2:$G$3809,5,0)</f>
        <v>#N/A</v>
      </c>
      <c r="F1348">
        <f>VLOOKUP(C1348,'5y10y Swaption Vol'!temp,3,0)</f>
        <v>89.505183703</v>
      </c>
      <c r="H1348" s="1">
        <v>42066</v>
      </c>
      <c r="I1348" t="s">
        <v>2</v>
      </c>
      <c r="J1348">
        <v>2.2444359999999999</v>
      </c>
      <c r="K1348">
        <v>4.0680999999999745E-2</v>
      </c>
      <c r="L1348">
        <v>86.698090889301511</v>
      </c>
      <c r="M1348">
        <f t="shared" si="21"/>
        <v>-36</v>
      </c>
    </row>
    <row r="1349" spans="3:13">
      <c r="C1349" s="2">
        <v>42031</v>
      </c>
      <c r="D1349">
        <v>61.788390965154214</v>
      </c>
      <c r="E1349">
        <f>VLOOKUP(C1349,'10y swap Vol'!$C$2:$G$3809,5,0)</f>
        <v>65.121274573704525</v>
      </c>
      <c r="F1349">
        <f>VLOOKUP(C1349,'5y10y Swaption Vol'!temp,3,0)</f>
        <v>89.518733280000006</v>
      </c>
      <c r="H1349" s="1">
        <v>42067</v>
      </c>
      <c r="I1349" t="s">
        <v>2</v>
      </c>
      <c r="J1349">
        <v>2.2422029999999999</v>
      </c>
      <c r="K1349">
        <v>-2.2329999999999295E-3</v>
      </c>
      <c r="L1349">
        <v>86.37292113067727</v>
      </c>
      <c r="M1349">
        <f t="shared" si="21"/>
        <v>-36</v>
      </c>
    </row>
    <row r="1350" spans="3:13">
      <c r="C1350" s="2">
        <v>42032</v>
      </c>
      <c r="D1350">
        <v>62.85060053286734</v>
      </c>
      <c r="E1350">
        <f>VLOOKUP(C1350,'10y swap Vol'!$C$2:$G$3809,5,0)</f>
        <v>66.993996125775496</v>
      </c>
      <c r="F1350">
        <f>VLOOKUP(C1350,'5y10y Swaption Vol'!temp,3,0)</f>
        <v>89.586542499999993</v>
      </c>
      <c r="H1350" s="1">
        <v>42068</v>
      </c>
      <c r="I1350" t="s">
        <v>2</v>
      </c>
      <c r="J1350">
        <v>2.2279110000000002</v>
      </c>
      <c r="K1350">
        <v>-1.4291999999999749E-2</v>
      </c>
      <c r="L1350">
        <v>86.239778182283075</v>
      </c>
      <c r="M1350">
        <f t="shared" si="21"/>
        <v>-36</v>
      </c>
    </row>
    <row r="1351" spans="3:13">
      <c r="C1351" s="2">
        <v>42033</v>
      </c>
      <c r="D1351">
        <v>62.862788817726589</v>
      </c>
      <c r="E1351">
        <f>VLOOKUP(C1351,'10y swap Vol'!$C$2:$G$3809,5,0)</f>
        <v>67.379751736130629</v>
      </c>
      <c r="F1351">
        <f>VLOOKUP(C1351,'5y10y Swaption Vol'!temp,3,0)</f>
        <v>89.718403383999998</v>
      </c>
      <c r="H1351" s="1">
        <v>42069</v>
      </c>
      <c r="I1351" t="s">
        <v>2</v>
      </c>
      <c r="J1351">
        <v>2.3508170000000002</v>
      </c>
      <c r="K1351">
        <v>0.12290599999999996</v>
      </c>
      <c r="L1351">
        <v>88.932972900606316</v>
      </c>
      <c r="M1351">
        <f t="shared" si="21"/>
        <v>-36</v>
      </c>
    </row>
    <row r="1352" spans="3:13">
      <c r="C1352" s="2">
        <v>42034</v>
      </c>
      <c r="D1352">
        <v>63.472470941230718</v>
      </c>
      <c r="E1352">
        <f>VLOOKUP(C1352,'10y swap Vol'!$C$2:$G$3809,5,0)</f>
        <v>68.65293225953738</v>
      </c>
      <c r="F1352">
        <f>VLOOKUP(C1352,'5y10y Swaption Vol'!temp,3,0)</f>
        <v>89.649380608000001</v>
      </c>
      <c r="H1352" s="1">
        <v>42072</v>
      </c>
      <c r="I1352" t="s">
        <v>2</v>
      </c>
      <c r="J1352">
        <v>2.3026580000000001</v>
      </c>
      <c r="K1352">
        <v>-4.8159000000000063E-2</v>
      </c>
      <c r="L1352">
        <v>89.450217266472166</v>
      </c>
      <c r="M1352">
        <f t="shared" si="21"/>
        <v>-38</v>
      </c>
    </row>
    <row r="1353" spans="3:13">
      <c r="C1353" s="2">
        <v>42037</v>
      </c>
      <c r="D1353">
        <v>62.73449524382643</v>
      </c>
      <c r="E1353">
        <f>VLOOKUP(C1353,'10y swap Vol'!$C$2:$G$3809,5,0)</f>
        <v>68.350445050109386</v>
      </c>
      <c r="F1353">
        <f>VLOOKUP(C1353,'5y10y Swaption Vol'!temp,3,0)</f>
        <v>90.813980970000003</v>
      </c>
      <c r="H1353" s="1">
        <v>42073</v>
      </c>
      <c r="I1353" t="s">
        <v>2</v>
      </c>
      <c r="J1353">
        <v>2.242162</v>
      </c>
      <c r="K1353">
        <v>-6.0496000000000105E-2</v>
      </c>
      <c r="L1353">
        <v>89.934490928543525</v>
      </c>
      <c r="M1353">
        <f t="shared" si="21"/>
        <v>-36</v>
      </c>
    </row>
    <row r="1354" spans="3:13">
      <c r="C1354" s="2">
        <v>42038</v>
      </c>
      <c r="D1354">
        <v>65.985793325089105</v>
      </c>
      <c r="E1354">
        <f>VLOOKUP(C1354,'10y swap Vol'!$C$2:$G$3809,5,0)</f>
        <v>72.486296463051431</v>
      </c>
      <c r="F1354">
        <f>VLOOKUP(C1354,'5y10y Swaption Vol'!temp,3,0)</f>
        <v>91.425323254999995</v>
      </c>
      <c r="H1354" s="1">
        <v>42074</v>
      </c>
      <c r="I1354" t="s">
        <v>2</v>
      </c>
      <c r="J1354">
        <v>2.2278210000000001</v>
      </c>
      <c r="K1354">
        <v>-1.4340999999999937E-2</v>
      </c>
      <c r="L1354">
        <v>89.455796379460395</v>
      </c>
      <c r="M1354">
        <f t="shared" si="21"/>
        <v>-36</v>
      </c>
    </row>
    <row r="1355" spans="3:13">
      <c r="C1355" s="2">
        <v>42039</v>
      </c>
      <c r="D1355">
        <v>66.373334788784774</v>
      </c>
      <c r="E1355">
        <f>VLOOKUP(C1355,'10y swap Vol'!$C$2:$G$3809,5,0)</f>
        <v>72.659257862232522</v>
      </c>
      <c r="F1355">
        <f>VLOOKUP(C1355,'5y10y Swaption Vol'!temp,3,0)</f>
        <v>90.724070975999993</v>
      </c>
      <c r="H1355" s="1">
        <v>42075</v>
      </c>
      <c r="I1355" t="s">
        <v>2</v>
      </c>
      <c r="J1355">
        <v>2.2097579999999999</v>
      </c>
      <c r="K1355">
        <v>-1.8063000000000162E-2</v>
      </c>
      <c r="L1355">
        <v>89.129040837624245</v>
      </c>
      <c r="M1355">
        <f t="shared" si="21"/>
        <v>-36</v>
      </c>
    </row>
    <row r="1356" spans="3:13">
      <c r="C1356" s="2">
        <v>42040</v>
      </c>
      <c r="D1356">
        <v>66.295245452962874</v>
      </c>
      <c r="E1356">
        <f>VLOOKUP(C1356,'10y swap Vol'!$C$2:$G$3809,5,0)</f>
        <v>72.437733772205831</v>
      </c>
      <c r="F1356">
        <f>VLOOKUP(C1356,'5y10y Swaption Vol'!temp,3,0)</f>
        <v>91.658172433999994</v>
      </c>
      <c r="H1356" s="1">
        <v>42076</v>
      </c>
      <c r="I1356" t="s">
        <v>2</v>
      </c>
      <c r="J1356">
        <v>2.2256870000000002</v>
      </c>
      <c r="K1356">
        <v>1.5929000000000304E-2</v>
      </c>
      <c r="L1356">
        <v>88.896451665552974</v>
      </c>
      <c r="M1356">
        <f t="shared" si="21"/>
        <v>-36</v>
      </c>
    </row>
    <row r="1357" spans="3:13">
      <c r="C1357" s="2">
        <v>42041</v>
      </c>
      <c r="D1357">
        <v>70.374704761482448</v>
      </c>
      <c r="E1357">
        <f>VLOOKUP(C1357,'10y swap Vol'!$C$2:$G$3809,5,0)</f>
        <v>77.187708584937425</v>
      </c>
      <c r="F1357">
        <f>VLOOKUP(C1357,'5y10y Swaption Vol'!temp,3,0)</f>
        <v>90.670176994000002</v>
      </c>
      <c r="H1357" s="1">
        <v>42079</v>
      </c>
      <c r="I1357" t="s">
        <v>2</v>
      </c>
      <c r="J1357">
        <v>2.2071079999999998</v>
      </c>
      <c r="K1357">
        <v>-1.8579000000000345E-2</v>
      </c>
      <c r="L1357">
        <v>88.316877908952094</v>
      </c>
      <c r="M1357">
        <f t="shared" si="21"/>
        <v>-38</v>
      </c>
    </row>
    <row r="1358" spans="3:13">
      <c r="C1358" s="2">
        <v>42044</v>
      </c>
      <c r="D1358">
        <v>69.958251966916237</v>
      </c>
      <c r="E1358">
        <f>VLOOKUP(C1358,'10y swap Vol'!$C$2:$G$3809,5,0)</f>
        <v>77.272406974061411</v>
      </c>
      <c r="F1358">
        <f>VLOOKUP(C1358,'5y10y Swaption Vol'!temp,3,0)</f>
        <v>89.849327778000003</v>
      </c>
      <c r="H1358" s="1">
        <v>42080</v>
      </c>
      <c r="I1358" t="s">
        <v>2</v>
      </c>
      <c r="J1358">
        <v>2.159923</v>
      </c>
      <c r="K1358">
        <v>-4.718499999999981E-2</v>
      </c>
      <c r="L1358">
        <v>88.742485069995141</v>
      </c>
      <c r="M1358">
        <f t="shared" si="21"/>
        <v>-36</v>
      </c>
    </row>
    <row r="1359" spans="3:13">
      <c r="C1359" s="2">
        <v>42045</v>
      </c>
      <c r="D1359">
        <v>71.207549595549125</v>
      </c>
      <c r="E1359">
        <f>VLOOKUP(C1359,'10y swap Vol'!$C$2:$G$3809,5,0)</f>
        <v>77.887286077377851</v>
      </c>
      <c r="F1359">
        <f>VLOOKUP(C1359,'5y10y Swaption Vol'!temp,3,0)</f>
        <v>89.592406960000005</v>
      </c>
      <c r="H1359" s="1">
        <v>42081</v>
      </c>
      <c r="I1359" t="s">
        <v>2</v>
      </c>
      <c r="J1359">
        <v>2.0401880000000001</v>
      </c>
      <c r="K1359">
        <v>-0.11973499999999992</v>
      </c>
      <c r="L1359">
        <v>90.826703448905832</v>
      </c>
      <c r="M1359">
        <f t="shared" si="21"/>
        <v>-36</v>
      </c>
    </row>
    <row r="1360" spans="3:13">
      <c r="C1360" s="2">
        <v>42046</v>
      </c>
      <c r="D1360">
        <v>71.19079773841969</v>
      </c>
      <c r="E1360">
        <f>VLOOKUP(C1360,'10y swap Vol'!$C$2:$G$3809,5,0)</f>
        <v>77.697524701767577</v>
      </c>
      <c r="F1360">
        <f>VLOOKUP(C1360,'5y10y Swaption Vol'!temp,3,0)</f>
        <v>89.659410257999994</v>
      </c>
      <c r="H1360" s="1">
        <v>42082</v>
      </c>
      <c r="I1360" t="s">
        <v>2</v>
      </c>
      <c r="J1360">
        <v>2.0562610000000001</v>
      </c>
      <c r="K1360">
        <v>1.6073000000000004E-2</v>
      </c>
      <c r="L1360">
        <v>90.821536276935362</v>
      </c>
      <c r="M1360">
        <f t="shared" si="21"/>
        <v>-36</v>
      </c>
    </row>
    <row r="1361" spans="3:13">
      <c r="C1361" s="2">
        <v>42047</v>
      </c>
      <c r="D1361">
        <v>70.949380321378442</v>
      </c>
      <c r="E1361">
        <f>VLOOKUP(C1361,'10y swap Vol'!$C$2:$G$3809,5,0)</f>
        <v>76.661025834624425</v>
      </c>
      <c r="F1361">
        <f>VLOOKUP(C1361,'5y10y Swaption Vol'!temp,3,0)</f>
        <v>89.278742527999995</v>
      </c>
      <c r="H1361" s="1">
        <v>42083</v>
      </c>
      <c r="I1361" t="s">
        <v>2</v>
      </c>
      <c r="J1361">
        <v>2.0267599999999999</v>
      </c>
      <c r="K1361">
        <v>-2.9501000000000221E-2</v>
      </c>
      <c r="L1361">
        <v>90.517263679503259</v>
      </c>
      <c r="M1361">
        <f t="shared" si="21"/>
        <v>-36</v>
      </c>
    </row>
    <row r="1362" spans="3:13">
      <c r="C1362" s="2">
        <v>42048</v>
      </c>
      <c r="D1362">
        <v>71.12860817621106</v>
      </c>
      <c r="E1362">
        <f>VLOOKUP(C1362,'10y swap Vol'!$C$2:$G$3809,5,0)</f>
        <v>76.320399013305376</v>
      </c>
      <c r="F1362">
        <f>VLOOKUP(C1362,'5y10y Swaption Vol'!temp,3,0)</f>
        <v>89.022807327999999</v>
      </c>
      <c r="H1362" s="1">
        <v>42086</v>
      </c>
      <c r="I1362" t="s">
        <v>2</v>
      </c>
      <c r="J1362">
        <v>2.0081310000000001</v>
      </c>
      <c r="K1362">
        <v>-1.8628999999999785E-2</v>
      </c>
      <c r="L1362">
        <v>89.080121850189641</v>
      </c>
      <c r="M1362">
        <f t="shared" si="21"/>
        <v>-38</v>
      </c>
    </row>
    <row r="1363" spans="3:13">
      <c r="C1363" s="2">
        <v>42052</v>
      </c>
      <c r="D1363">
        <v>75.538325944536183</v>
      </c>
      <c r="E1363">
        <f>VLOOKUP(C1363,'10y swap Vol'!$C$2:$G$3809,5,0)</f>
        <v>80.674946380083711</v>
      </c>
      <c r="F1363">
        <f>VLOOKUP(C1363,'5y10y Swaption Vol'!temp,3,0)</f>
        <v>88.657097480000004</v>
      </c>
      <c r="H1363" s="1">
        <v>42087</v>
      </c>
      <c r="I1363" t="s">
        <v>2</v>
      </c>
      <c r="J1363">
        <v>1.9717720000000001</v>
      </c>
      <c r="K1363">
        <v>-3.635900000000003E-2</v>
      </c>
      <c r="L1363">
        <v>88.370702987659868</v>
      </c>
      <c r="M1363">
        <f t="shared" si="21"/>
        <v>-35</v>
      </c>
    </row>
    <row r="1364" spans="3:13">
      <c r="C1364" s="2">
        <v>42053</v>
      </c>
      <c r="D1364">
        <v>76.232716031866971</v>
      </c>
      <c r="E1364">
        <f>VLOOKUP(C1364,'10y swap Vol'!$C$2:$G$3809,5,0)</f>
        <v>81.845210734515589</v>
      </c>
      <c r="F1364">
        <f>VLOOKUP(C1364,'5y10y Swaption Vol'!temp,3,0)</f>
        <v>89.114105316000007</v>
      </c>
      <c r="H1364" s="1"/>
    </row>
    <row r="1365" spans="3:13">
      <c r="C1365" s="2">
        <v>42054</v>
      </c>
      <c r="D1365">
        <v>76.344432621134487</v>
      </c>
      <c r="E1365">
        <f>VLOOKUP(C1365,'10y swap Vol'!$C$2:$G$3809,5,0)</f>
        <v>82.528890084185363</v>
      </c>
      <c r="F1365">
        <f>VLOOKUP(C1365,'5y10y Swaption Vol'!temp,3,0)</f>
        <v>90.157665537</v>
      </c>
      <c r="H1365" s="1"/>
    </row>
    <row r="1366" spans="3:13">
      <c r="C1366" s="2">
        <v>42055</v>
      </c>
      <c r="D1366">
        <v>76.398943161582153</v>
      </c>
      <c r="E1366">
        <f>VLOOKUP(C1366,'10y swap Vol'!$C$2:$G$3809,5,0)</f>
        <v>82.489071355913708</v>
      </c>
      <c r="F1366">
        <f>VLOOKUP(C1366,'5y10y Swaption Vol'!temp,3,0)</f>
        <v>89.937807539999994</v>
      </c>
      <c r="H1366" s="1"/>
    </row>
    <row r="1367" spans="3:13">
      <c r="C1367" s="2">
        <v>42058</v>
      </c>
      <c r="D1367">
        <v>76.865804245716205</v>
      </c>
      <c r="E1367">
        <f>VLOOKUP(C1367,'10y swap Vol'!$C$2:$G$3809,5,0)</f>
        <v>83.435073618335338</v>
      </c>
      <c r="F1367">
        <f>VLOOKUP(C1367,'5y10y Swaption Vol'!temp,3,0)</f>
        <v>90.138489767999999</v>
      </c>
      <c r="H1367" s="1"/>
    </row>
    <row r="1368" spans="3:13">
      <c r="C1368" s="2">
        <v>42059</v>
      </c>
      <c r="D1368">
        <v>77.01102868803855</v>
      </c>
      <c r="E1368">
        <f>VLOOKUP(C1368,'10y swap Vol'!$C$2:$G$3809,5,0)</f>
        <v>84.405676582771889</v>
      </c>
      <c r="F1368">
        <f>VLOOKUP(C1368,'5y10y Swaption Vol'!temp,3,0)</f>
        <v>90.018676232000004</v>
      </c>
      <c r="H1368" s="1"/>
    </row>
    <row r="1369" spans="3:13">
      <c r="C1369" s="2">
        <v>42060</v>
      </c>
      <c r="D1369">
        <v>77.049321545069731</v>
      </c>
      <c r="E1369">
        <f>VLOOKUP(C1369,'10y swap Vol'!$C$2:$G$3809,5,0)</f>
        <v>84.446430298308812</v>
      </c>
      <c r="F1369">
        <f>VLOOKUP(C1369,'5y10y Swaption Vol'!temp,3,0)</f>
        <v>90.099287008000005</v>
      </c>
    </row>
    <row r="1370" spans="3:13">
      <c r="C1370" s="2">
        <v>42061</v>
      </c>
      <c r="D1370">
        <v>77.123532795113547</v>
      </c>
      <c r="E1370">
        <f>VLOOKUP(C1370,'10y swap Vol'!$C$2:$G$3809,5,0)</f>
        <v>84.948576043085552</v>
      </c>
      <c r="F1370">
        <f>VLOOKUP(C1370,'5y10y Swaption Vol'!temp,3,0)</f>
        <v>90.518138448000002</v>
      </c>
    </row>
    <row r="1371" spans="3:13">
      <c r="C1371" s="2">
        <v>42062</v>
      </c>
      <c r="D1371">
        <v>77.215102800047717</v>
      </c>
      <c r="E1371">
        <f>VLOOKUP(C1371,'10y swap Vol'!$C$2:$G$3809,5,0)</f>
        <v>84.979643042591064</v>
      </c>
      <c r="F1371">
        <f>VLOOKUP(C1371,'5y10y Swaption Vol'!temp,3,0)</f>
        <v>90.775166580000004</v>
      </c>
    </row>
    <row r="1372" spans="3:13">
      <c r="C1372" s="2">
        <v>42065</v>
      </c>
      <c r="D1372">
        <v>76.955837048127663</v>
      </c>
      <c r="E1372">
        <f>VLOOKUP(C1372,'10y swap Vol'!$C$2:$G$3809,5,0)</f>
        <v>86.369331825020126</v>
      </c>
      <c r="F1372">
        <f>VLOOKUP(C1372,'5y10y Swaption Vol'!temp,3,0)</f>
        <v>91.030669301000003</v>
      </c>
    </row>
    <row r="1373" spans="3:13">
      <c r="C1373" s="2">
        <v>42066</v>
      </c>
      <c r="D1373">
        <v>77.475795016500953</v>
      </c>
      <c r="E1373">
        <f>VLOOKUP(C1373,'10y swap Vol'!$C$2:$G$3809,5,0)</f>
        <v>86.698090889301511</v>
      </c>
      <c r="F1373">
        <f>VLOOKUP(C1373,'5y10y Swaption Vol'!temp,3,0)</f>
        <v>90.581423094000002</v>
      </c>
    </row>
    <row r="1374" spans="3:13">
      <c r="C1374" s="2">
        <v>42067</v>
      </c>
      <c r="D1374">
        <v>77.275944592439828</v>
      </c>
      <c r="E1374">
        <f>VLOOKUP(C1374,'10y swap Vol'!$C$2:$G$3809,5,0)</f>
        <v>86.37292113067727</v>
      </c>
      <c r="F1374">
        <f>VLOOKUP(C1374,'5y10y Swaption Vol'!temp,3,0)</f>
        <v>90.153401970000004</v>
      </c>
    </row>
    <row r="1375" spans="3:13">
      <c r="C1375" s="2">
        <v>42068</v>
      </c>
      <c r="D1375">
        <v>76.487039499732774</v>
      </c>
      <c r="E1375">
        <f>VLOOKUP(C1375,'10y swap Vol'!$C$2:$G$3809,5,0)</f>
        <v>86.239778182283075</v>
      </c>
      <c r="F1375">
        <f>VLOOKUP(C1375,'5y10y Swaption Vol'!temp,3,0)</f>
        <v>89.856816699999996</v>
      </c>
    </row>
    <row r="1376" spans="3:13">
      <c r="C1376" s="2">
        <v>42069</v>
      </c>
      <c r="D1376">
        <v>79.57650001268351</v>
      </c>
      <c r="E1376">
        <f>VLOOKUP(C1376,'10y swap Vol'!$C$2:$G$3809,5,0)</f>
        <v>88.932972900606316</v>
      </c>
      <c r="F1376">
        <f>VLOOKUP(C1376,'5y10y Swaption Vol'!temp,3,0)</f>
        <v>89.224521760000002</v>
      </c>
    </row>
    <row r="1377" spans="3:6">
      <c r="C1377" s="2">
        <v>42072</v>
      </c>
      <c r="D1377">
        <v>79.649819440686272</v>
      </c>
      <c r="E1377">
        <f>VLOOKUP(C1377,'10y swap Vol'!$C$2:$G$3809,5,0)</f>
        <v>89.450217266472166</v>
      </c>
      <c r="F1377">
        <f>VLOOKUP(C1377,'5y10y Swaption Vol'!temp,3,0)</f>
        <v>88.269984957999995</v>
      </c>
    </row>
    <row r="1378" spans="3:6">
      <c r="C1378" s="2">
        <v>42073</v>
      </c>
      <c r="D1378">
        <v>80.162810677022961</v>
      </c>
      <c r="E1378">
        <f>VLOOKUP(C1378,'10y swap Vol'!$C$2:$G$3809,5,0)</f>
        <v>89.934490928543525</v>
      </c>
      <c r="F1378">
        <f>VLOOKUP(C1378,'5y10y Swaption Vol'!temp,3,0)</f>
        <v>88.462606821999998</v>
      </c>
    </row>
    <row r="1379" spans="3:6">
      <c r="C1379" s="2">
        <v>42074</v>
      </c>
      <c r="D1379">
        <v>80.210334342745227</v>
      </c>
      <c r="E1379">
        <f>VLOOKUP(C1379,'10y swap Vol'!$C$2:$G$3809,5,0)</f>
        <v>89.455796379460395</v>
      </c>
      <c r="F1379">
        <f>VLOOKUP(C1379,'5y10y Swaption Vol'!temp,3,0)</f>
        <v>88.966707865999993</v>
      </c>
    </row>
    <row r="1380" spans="3:6">
      <c r="C1380" s="2">
        <v>42075</v>
      </c>
      <c r="D1380">
        <v>79.217298019453551</v>
      </c>
      <c r="E1380">
        <f>VLOOKUP(C1380,'10y swap Vol'!$C$2:$G$3809,5,0)</f>
        <v>89.129040837624245</v>
      </c>
      <c r="F1380">
        <f>VLOOKUP(C1380,'5y10y Swaption Vol'!temp,3,0)</f>
        <v>89.688855899999993</v>
      </c>
    </row>
    <row r="1381" spans="3:6">
      <c r="C1381" s="2">
        <v>42076</v>
      </c>
      <c r="D1381">
        <v>79.082885273767545</v>
      </c>
      <c r="E1381">
        <f>VLOOKUP(C1381,'10y swap Vol'!$C$2:$G$3809,5,0)</f>
        <v>88.896451665552974</v>
      </c>
      <c r="F1381">
        <f>VLOOKUP(C1381,'5y10y Swaption Vol'!temp,3,0)</f>
        <v>90.886981280000001</v>
      </c>
    </row>
    <row r="1382" spans="3:6">
      <c r="C1382" s="2">
        <v>42079</v>
      </c>
      <c r="D1382">
        <v>78.618934814893706</v>
      </c>
      <c r="E1382">
        <f>VLOOKUP(C1382,'10y swap Vol'!$C$2:$G$3809,5,0)</f>
        <v>88.316877908952094</v>
      </c>
      <c r="F1382">
        <f>VLOOKUP(C1382,'5y10y Swaption Vol'!temp,3,0)</f>
        <v>90.740053544000006</v>
      </c>
    </row>
    <row r="1383" spans="3:6">
      <c r="C1383" s="2">
        <v>42080</v>
      </c>
      <c r="D1383">
        <v>78.161391845269463</v>
      </c>
      <c r="E1383">
        <f>VLOOKUP(C1383,'10y swap Vol'!$C$2:$G$3809,5,0)</f>
        <v>88.742485069995141</v>
      </c>
      <c r="F1383">
        <f>VLOOKUP(C1383,'5y10y Swaption Vol'!temp,3,0)</f>
        <v>91.053523200000001</v>
      </c>
    </row>
    <row r="1384" spans="3:6">
      <c r="C1384" s="2">
        <v>42081</v>
      </c>
      <c r="D1384">
        <v>80.757221422026404</v>
      </c>
      <c r="E1384">
        <f>VLOOKUP(C1384,'10y swap Vol'!$C$2:$G$3809,5,0)</f>
        <v>90.826703448905832</v>
      </c>
      <c r="F1384">
        <f>VLOOKUP(C1384,'5y10y Swaption Vol'!temp,3,0)</f>
        <v>91.413793818000002</v>
      </c>
    </row>
    <row r="1385" spans="3:6">
      <c r="C1385" s="2">
        <v>42082</v>
      </c>
      <c r="D1385">
        <v>80.725261759371335</v>
      </c>
      <c r="E1385">
        <f>VLOOKUP(C1385,'10y swap Vol'!$C$2:$G$3809,5,0)</f>
        <v>90.821536276935362</v>
      </c>
      <c r="F1385">
        <f>VLOOKUP(C1385,'5y10y Swaption Vol'!temp,3,0)</f>
        <v>92.726434331999997</v>
      </c>
    </row>
    <row r="1386" spans="3:6">
      <c r="C1386" s="2">
        <v>42083</v>
      </c>
      <c r="D1386">
        <v>81.045991207422759</v>
      </c>
      <c r="E1386">
        <f>VLOOKUP(C1386,'10y swap Vol'!$C$2:$G$3809,5,0)</f>
        <v>90.517263679503259</v>
      </c>
      <c r="F1386">
        <f>VLOOKUP(C1386,'5y10y Swaption Vol'!temp,3,0)</f>
        <v>93.131768464000004</v>
      </c>
    </row>
    <row r="1387" spans="3:6">
      <c r="C1387" s="2">
        <v>42086</v>
      </c>
      <c r="D1387">
        <v>79.024117196849303</v>
      </c>
      <c r="E1387">
        <f>VLOOKUP(C1387,'10y swap Vol'!$C$2:$G$3809,5,0)</f>
        <v>89.080121850189641</v>
      </c>
      <c r="F1387">
        <f>VLOOKUP(C1387,'5y10y Swaption Vol'!temp,3,0)</f>
        <v>93.508603359999995</v>
      </c>
    </row>
    <row r="1388" spans="3:6">
      <c r="C1388" s="2">
        <v>42087</v>
      </c>
      <c r="D1388">
        <v>79.515255444207085</v>
      </c>
      <c r="E1388">
        <f>VLOOKUP(C1388,'10y swap Vol'!$C$2:$G$3809,5,0)</f>
        <v>88.370702987659868</v>
      </c>
      <c r="F1388">
        <f>VLOOKUP(C1388,'5y10y Swaption Vol'!temp,3,0)</f>
        <v>93.387206500000005</v>
      </c>
    </row>
    <row r="1389" spans="3:6">
      <c r="C1389" s="2">
        <v>42088</v>
      </c>
      <c r="D1389">
        <v>80.376015491739579</v>
      </c>
      <c r="E1389">
        <f>VLOOKUP(C1389,'10y swap Vol'!$C$2:$G$3809,5,0)</f>
        <v>88.794650627397985</v>
      </c>
      <c r="F1389">
        <f>VLOOKUP(C1389,'5y10y Swaption Vol'!temp,3,0)</f>
        <v>94.203001220999994</v>
      </c>
    </row>
    <row r="1390" spans="3:6">
      <c r="C1390" s="2">
        <v>42089</v>
      </c>
      <c r="D1390">
        <v>82.318831210566827</v>
      </c>
      <c r="E1390">
        <f>VLOOKUP(C1390,'10y swap Vol'!$C$2:$G$3809,5,0)</f>
        <v>90.813535021393847</v>
      </c>
      <c r="F1390">
        <f>VLOOKUP(C1390,'5y10y Swaption Vol'!temp,3,0)</f>
        <v>93.845603600000004</v>
      </c>
    </row>
    <row r="1391" spans="3:6">
      <c r="C1391" s="2">
        <v>42090</v>
      </c>
      <c r="D1391">
        <v>83.118609410049842</v>
      </c>
      <c r="E1391">
        <f>VLOOKUP(C1391,'10y swap Vol'!$C$2:$G$3809,5,0)</f>
        <v>89.383007912135682</v>
      </c>
      <c r="F1391">
        <f>VLOOKUP(C1391,'5y10y Swaption Vol'!temp,3,0)</f>
        <v>93.859920485000004</v>
      </c>
    </row>
    <row r="1392" spans="3:6">
      <c r="C1392" s="2">
        <v>42093</v>
      </c>
      <c r="D1392">
        <v>83.056448449326609</v>
      </c>
      <c r="E1392">
        <f>VLOOKUP(C1392,'10y swap Vol'!$C$2:$G$3809,5,0)</f>
        <v>89.507529125639849</v>
      </c>
      <c r="F1392">
        <f>VLOOKUP(C1392,'5y10y Swaption Vol'!temp,3,0)</f>
        <v>94.213958744999999</v>
      </c>
    </row>
    <row r="1393" spans="3:6">
      <c r="C1393" s="2">
        <v>42094</v>
      </c>
      <c r="D1393">
        <v>82.702345884887848</v>
      </c>
      <c r="E1393">
        <f>VLOOKUP(C1393,'10y swap Vol'!$C$2:$G$3809,5,0)</f>
        <v>89.529750500052771</v>
      </c>
      <c r="F1393">
        <f>VLOOKUP(C1393,'5y10y Swaption Vol'!temp,3,0)</f>
        <v>93.615529416000001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726"/>
  <sheetViews>
    <sheetView workbookViewId="0">
      <selection activeCell="J8" sqref="J8"/>
    </sheetView>
  </sheetViews>
  <sheetFormatPr defaultRowHeight="15"/>
  <cols>
    <col min="2" max="2" width="10.7109375" bestFit="1" customWidth="1"/>
    <col min="3" max="3" width="11" bestFit="1" customWidth="1"/>
    <col min="4" max="4" width="12" bestFit="1" customWidth="1"/>
  </cols>
  <sheetData>
    <row r="1" spans="2:4">
      <c r="B1" s="2">
        <v>42094</v>
      </c>
      <c r="C1" t="s">
        <v>3</v>
      </c>
      <c r="D1">
        <v>93.615529416000001</v>
      </c>
    </row>
    <row r="2" spans="2:4">
      <c r="B2" s="2">
        <v>42093</v>
      </c>
      <c r="C2" t="s">
        <v>3</v>
      </c>
      <c r="D2">
        <v>94.213958744999999</v>
      </c>
    </row>
    <row r="3" spans="2:4">
      <c r="B3" s="2">
        <v>42090</v>
      </c>
      <c r="C3" t="s">
        <v>3</v>
      </c>
      <c r="D3">
        <v>93.859920485000004</v>
      </c>
    </row>
    <row r="4" spans="2:4">
      <c r="B4" s="2">
        <v>42089</v>
      </c>
      <c r="C4" t="s">
        <v>3</v>
      </c>
      <c r="D4">
        <v>93.845603600000004</v>
      </c>
    </row>
    <row r="5" spans="2:4">
      <c r="B5" s="2">
        <v>42088</v>
      </c>
      <c r="C5" t="s">
        <v>3</v>
      </c>
      <c r="D5">
        <v>94.203001220999994</v>
      </c>
    </row>
    <row r="6" spans="2:4">
      <c r="B6" s="2">
        <v>42087</v>
      </c>
      <c r="C6" t="s">
        <v>3</v>
      </c>
      <c r="D6">
        <v>93.387206500000005</v>
      </c>
    </row>
    <row r="7" spans="2:4">
      <c r="B7" s="2">
        <v>42086</v>
      </c>
      <c r="C7" t="s">
        <v>3</v>
      </c>
      <c r="D7">
        <v>93.508603359999995</v>
      </c>
    </row>
    <row r="8" spans="2:4">
      <c r="B8" s="2">
        <v>42083</v>
      </c>
      <c r="C8" t="s">
        <v>3</v>
      </c>
      <c r="D8">
        <v>93.131768464000004</v>
      </c>
    </row>
    <row r="9" spans="2:4">
      <c r="B9" s="2">
        <v>42082</v>
      </c>
      <c r="C9" t="s">
        <v>3</v>
      </c>
      <c r="D9">
        <v>92.726434331999997</v>
      </c>
    </row>
    <row r="10" spans="2:4">
      <c r="B10" s="2">
        <v>42081</v>
      </c>
      <c r="C10" t="s">
        <v>3</v>
      </c>
      <c r="D10">
        <v>91.413793818000002</v>
      </c>
    </row>
    <row r="11" spans="2:4">
      <c r="B11" s="2">
        <v>42080</v>
      </c>
      <c r="C11" t="s">
        <v>3</v>
      </c>
      <c r="D11">
        <v>91.053523200000001</v>
      </c>
    </row>
    <row r="12" spans="2:4">
      <c r="B12" s="2">
        <v>42079</v>
      </c>
      <c r="C12" t="s">
        <v>3</v>
      </c>
      <c r="D12">
        <v>90.740053544000006</v>
      </c>
    </row>
    <row r="13" spans="2:4">
      <c r="B13" s="2">
        <v>42076</v>
      </c>
      <c r="C13" t="s">
        <v>3</v>
      </c>
      <c r="D13">
        <v>90.886981280000001</v>
      </c>
    </row>
    <row r="14" spans="2:4">
      <c r="B14" s="2">
        <v>42075</v>
      </c>
      <c r="C14" t="s">
        <v>3</v>
      </c>
      <c r="D14">
        <v>89.688855899999993</v>
      </c>
    </row>
    <row r="15" spans="2:4">
      <c r="B15" s="2">
        <v>42074</v>
      </c>
      <c r="C15" t="s">
        <v>3</v>
      </c>
      <c r="D15">
        <v>88.966707865999993</v>
      </c>
    </row>
    <row r="16" spans="2:4">
      <c r="B16" s="2">
        <v>42073</v>
      </c>
      <c r="C16" t="s">
        <v>3</v>
      </c>
      <c r="D16">
        <v>88.462606821999998</v>
      </c>
    </row>
    <row r="17" spans="2:4">
      <c r="B17" s="2">
        <v>42072</v>
      </c>
      <c r="C17" t="s">
        <v>3</v>
      </c>
      <c r="D17">
        <v>88.269984957999995</v>
      </c>
    </row>
    <row r="18" spans="2:4">
      <c r="B18" s="2">
        <v>42069</v>
      </c>
      <c r="C18" t="s">
        <v>3</v>
      </c>
      <c r="D18">
        <v>89.224521760000002</v>
      </c>
    </row>
    <row r="19" spans="2:4">
      <c r="B19" s="2">
        <v>42068</v>
      </c>
      <c r="C19" t="s">
        <v>3</v>
      </c>
      <c r="D19">
        <v>89.856816699999996</v>
      </c>
    </row>
    <row r="20" spans="2:4">
      <c r="B20" s="2">
        <v>42067</v>
      </c>
      <c r="C20" t="s">
        <v>3</v>
      </c>
      <c r="D20">
        <v>90.153401970000004</v>
      </c>
    </row>
    <row r="21" spans="2:4">
      <c r="B21" s="2">
        <v>42066</v>
      </c>
      <c r="C21" t="s">
        <v>3</v>
      </c>
      <c r="D21">
        <v>90.581423094000002</v>
      </c>
    </row>
    <row r="22" spans="2:4">
      <c r="B22" s="2">
        <v>42065</v>
      </c>
      <c r="C22" t="s">
        <v>3</v>
      </c>
      <c r="D22">
        <v>91.030669301000003</v>
      </c>
    </row>
    <row r="23" spans="2:4">
      <c r="B23" s="2">
        <v>42062</v>
      </c>
      <c r="C23" t="s">
        <v>3</v>
      </c>
      <c r="D23">
        <v>90.775166580000004</v>
      </c>
    </row>
    <row r="24" spans="2:4">
      <c r="B24" s="2">
        <v>42061</v>
      </c>
      <c r="C24" t="s">
        <v>3</v>
      </c>
      <c r="D24">
        <v>90.518138448000002</v>
      </c>
    </row>
    <row r="25" spans="2:4">
      <c r="B25" s="2">
        <v>42060</v>
      </c>
      <c r="C25" t="s">
        <v>3</v>
      </c>
      <c r="D25">
        <v>90.099287008000005</v>
      </c>
    </row>
    <row r="26" spans="2:4">
      <c r="B26" s="2">
        <v>42059</v>
      </c>
      <c r="C26" t="s">
        <v>3</v>
      </c>
      <c r="D26">
        <v>90.018676232000004</v>
      </c>
    </row>
    <row r="27" spans="2:4">
      <c r="B27" s="2">
        <v>42058</v>
      </c>
      <c r="C27" t="s">
        <v>3</v>
      </c>
      <c r="D27">
        <v>90.138489767999999</v>
      </c>
    </row>
    <row r="28" spans="2:4">
      <c r="B28" s="2">
        <v>42055</v>
      </c>
      <c r="C28" t="s">
        <v>3</v>
      </c>
      <c r="D28">
        <v>89.937807539999994</v>
      </c>
    </row>
    <row r="29" spans="2:4">
      <c r="B29" s="2">
        <v>42054</v>
      </c>
      <c r="C29" t="s">
        <v>3</v>
      </c>
      <c r="D29">
        <v>90.157665537</v>
      </c>
    </row>
    <row r="30" spans="2:4">
      <c r="B30" s="2">
        <v>42053</v>
      </c>
      <c r="C30" t="s">
        <v>3</v>
      </c>
      <c r="D30">
        <v>89.114105316000007</v>
      </c>
    </row>
    <row r="31" spans="2:4">
      <c r="B31" s="2">
        <v>42052</v>
      </c>
      <c r="C31" t="s">
        <v>3</v>
      </c>
      <c r="D31">
        <v>88.657097480000004</v>
      </c>
    </row>
    <row r="32" spans="2:4">
      <c r="B32" s="2">
        <v>42048</v>
      </c>
      <c r="C32" t="s">
        <v>3</v>
      </c>
      <c r="D32">
        <v>89.022807327999999</v>
      </c>
    </row>
    <row r="33" spans="2:4">
      <c r="B33" s="2">
        <v>42047</v>
      </c>
      <c r="C33" t="s">
        <v>3</v>
      </c>
      <c r="D33">
        <v>89.278742527999995</v>
      </c>
    </row>
    <row r="34" spans="2:4">
      <c r="B34" s="2">
        <v>42046</v>
      </c>
      <c r="C34" t="s">
        <v>3</v>
      </c>
      <c r="D34">
        <v>89.659410257999994</v>
      </c>
    </row>
    <row r="35" spans="2:4">
      <c r="B35" s="2">
        <v>42045</v>
      </c>
      <c r="C35" t="s">
        <v>3</v>
      </c>
      <c r="D35">
        <v>89.592406960000005</v>
      </c>
    </row>
    <row r="36" spans="2:4">
      <c r="B36" s="2">
        <v>42044</v>
      </c>
      <c r="C36" t="s">
        <v>3</v>
      </c>
      <c r="D36">
        <v>89.849327778000003</v>
      </c>
    </row>
    <row r="37" spans="2:4">
      <c r="B37" s="2">
        <v>42041</v>
      </c>
      <c r="C37" t="s">
        <v>3</v>
      </c>
      <c r="D37">
        <v>90.670176994000002</v>
      </c>
    </row>
    <row r="38" spans="2:4">
      <c r="B38" s="2">
        <v>42040</v>
      </c>
      <c r="C38" t="s">
        <v>3</v>
      </c>
      <c r="D38">
        <v>91.658172433999994</v>
      </c>
    </row>
    <row r="39" spans="2:4">
      <c r="B39" s="2">
        <v>42039</v>
      </c>
      <c r="C39" t="s">
        <v>3</v>
      </c>
      <c r="D39">
        <v>90.724070975999993</v>
      </c>
    </row>
    <row r="40" spans="2:4">
      <c r="B40" s="2">
        <v>42038</v>
      </c>
      <c r="C40" t="s">
        <v>3</v>
      </c>
      <c r="D40">
        <v>91.425323254999995</v>
      </c>
    </row>
    <row r="41" spans="2:4">
      <c r="B41" s="2">
        <v>42037</v>
      </c>
      <c r="C41" t="s">
        <v>3</v>
      </c>
      <c r="D41">
        <v>90.813980970000003</v>
      </c>
    </row>
    <row r="42" spans="2:4">
      <c r="B42" s="2">
        <v>42034</v>
      </c>
      <c r="C42" t="s">
        <v>3</v>
      </c>
      <c r="D42">
        <v>89.649380608000001</v>
      </c>
    </row>
    <row r="43" spans="2:4">
      <c r="B43" s="2">
        <v>42033</v>
      </c>
      <c r="C43" t="s">
        <v>3</v>
      </c>
      <c r="D43">
        <v>89.718403383999998</v>
      </c>
    </row>
    <row r="44" spans="2:4">
      <c r="B44" s="2">
        <v>42032</v>
      </c>
      <c r="C44" t="s">
        <v>3</v>
      </c>
      <c r="D44">
        <v>89.586542499999993</v>
      </c>
    </row>
    <row r="45" spans="2:4">
      <c r="B45" s="2">
        <v>42031</v>
      </c>
      <c r="C45" t="s">
        <v>3</v>
      </c>
      <c r="D45">
        <v>89.518733280000006</v>
      </c>
    </row>
    <row r="46" spans="2:4">
      <c r="B46" s="2">
        <v>42030</v>
      </c>
      <c r="C46" t="s">
        <v>3</v>
      </c>
      <c r="D46">
        <v>89.505183703</v>
      </c>
    </row>
    <row r="47" spans="2:4">
      <c r="B47" s="2">
        <v>42027</v>
      </c>
      <c r="C47" t="s">
        <v>3</v>
      </c>
      <c r="D47">
        <v>90.23382986</v>
      </c>
    </row>
    <row r="48" spans="2:4">
      <c r="B48" s="2">
        <v>42026</v>
      </c>
      <c r="C48" t="s">
        <v>3</v>
      </c>
      <c r="D48">
        <v>90.627526247999995</v>
      </c>
    </row>
    <row r="49" spans="2:4">
      <c r="B49" s="2">
        <v>42025</v>
      </c>
      <c r="C49" t="s">
        <v>3</v>
      </c>
      <c r="D49">
        <v>92.185703196000006</v>
      </c>
    </row>
    <row r="50" spans="2:4">
      <c r="B50" s="2">
        <v>42024</v>
      </c>
      <c r="C50" t="s">
        <v>3</v>
      </c>
      <c r="D50">
        <v>93.045655515999997</v>
      </c>
    </row>
    <row r="51" spans="2:4">
      <c r="B51" s="2">
        <v>42020</v>
      </c>
      <c r="C51" t="s">
        <v>3</v>
      </c>
      <c r="D51">
        <v>93.564352200000002</v>
      </c>
    </row>
    <row r="52" spans="2:4">
      <c r="B52" s="2">
        <v>42019</v>
      </c>
      <c r="C52" t="s">
        <v>3</v>
      </c>
      <c r="D52">
        <v>93.961748540000002</v>
      </c>
    </row>
    <row r="53" spans="2:4">
      <c r="B53" s="2">
        <v>42018</v>
      </c>
      <c r="C53" t="s">
        <v>3</v>
      </c>
      <c r="D53">
        <v>93.103695134999995</v>
      </c>
    </row>
    <row r="54" spans="2:4">
      <c r="B54" s="2">
        <v>42017</v>
      </c>
      <c r="C54" t="s">
        <v>3</v>
      </c>
      <c r="D54">
        <v>92.008069305000006</v>
      </c>
    </row>
    <row r="55" spans="2:4">
      <c r="B55" s="2">
        <v>42016</v>
      </c>
      <c r="C55" t="s">
        <v>3</v>
      </c>
      <c r="D55">
        <v>91.717080989999999</v>
      </c>
    </row>
    <row r="56" spans="2:4">
      <c r="B56" s="2">
        <v>42013</v>
      </c>
      <c r="C56" t="s">
        <v>3</v>
      </c>
      <c r="D56">
        <v>90.698680424000003</v>
      </c>
    </row>
    <row r="57" spans="2:4">
      <c r="B57" s="2">
        <v>42012</v>
      </c>
      <c r="C57" t="s">
        <v>3</v>
      </c>
      <c r="D57">
        <v>90.874401234000004</v>
      </c>
    </row>
    <row r="58" spans="2:4">
      <c r="B58" s="2">
        <v>42011</v>
      </c>
      <c r="C58" t="s">
        <v>3</v>
      </c>
      <c r="D58">
        <v>91.201624838000001</v>
      </c>
    </row>
    <row r="59" spans="2:4">
      <c r="B59" s="2">
        <v>42010</v>
      </c>
      <c r="C59" t="s">
        <v>3</v>
      </c>
      <c r="D59">
        <v>90.342237753999996</v>
      </c>
    </row>
    <row r="60" spans="2:4">
      <c r="B60" s="2">
        <v>42009</v>
      </c>
      <c r="C60" t="s">
        <v>3</v>
      </c>
      <c r="D60">
        <v>88.511079248000001</v>
      </c>
    </row>
    <row r="61" spans="2:4">
      <c r="B61" s="2">
        <v>42006</v>
      </c>
      <c r="C61" t="s">
        <v>3</v>
      </c>
      <c r="D61">
        <v>87.505744301999997</v>
      </c>
    </row>
    <row r="62" spans="2:4">
      <c r="B62" s="2">
        <v>42004</v>
      </c>
      <c r="C62" t="s">
        <v>3</v>
      </c>
      <c r="D62">
        <v>87.840077745000002</v>
      </c>
    </row>
    <row r="63" spans="2:4">
      <c r="B63" s="2">
        <v>42003</v>
      </c>
      <c r="C63" t="s">
        <v>3</v>
      </c>
      <c r="D63">
        <v>87.817055436000004</v>
      </c>
    </row>
    <row r="64" spans="2:4">
      <c r="B64" s="2">
        <v>42002</v>
      </c>
      <c r="C64" t="s">
        <v>3</v>
      </c>
      <c r="D64">
        <v>88.110349487999997</v>
      </c>
    </row>
    <row r="65" spans="2:4">
      <c r="B65" s="2">
        <v>41999</v>
      </c>
      <c r="C65" t="s">
        <v>3</v>
      </c>
      <c r="D65">
        <v>88.258510525999995</v>
      </c>
    </row>
    <row r="66" spans="2:4">
      <c r="B66" s="2">
        <v>41997</v>
      </c>
      <c r="C66" t="s">
        <v>3</v>
      </c>
      <c r="D66">
        <v>88.439825892000002</v>
      </c>
    </row>
    <row r="67" spans="2:4">
      <c r="B67" s="2">
        <v>41996</v>
      </c>
      <c r="C67" t="s">
        <v>3</v>
      </c>
      <c r="D67">
        <v>88.963690139999997</v>
      </c>
    </row>
    <row r="68" spans="2:4">
      <c r="B68" s="2">
        <v>41995</v>
      </c>
      <c r="C68" t="s">
        <v>3</v>
      </c>
      <c r="D68">
        <v>89.18504403</v>
      </c>
    </row>
    <row r="69" spans="2:4">
      <c r="B69" s="2">
        <v>41992</v>
      </c>
      <c r="C69" t="s">
        <v>3</v>
      </c>
      <c r="D69">
        <v>89.382592975999998</v>
      </c>
    </row>
    <row r="70" spans="2:4">
      <c r="B70" s="2">
        <v>41991</v>
      </c>
      <c r="C70" t="s">
        <v>3</v>
      </c>
      <c r="D70">
        <v>89.899372764000006</v>
      </c>
    </row>
    <row r="71" spans="2:4">
      <c r="B71" s="2">
        <v>41990</v>
      </c>
      <c r="C71" t="s">
        <v>3</v>
      </c>
      <c r="D71">
        <v>89.414969337000002</v>
      </c>
    </row>
    <row r="72" spans="2:4">
      <c r="B72" s="2">
        <v>41989</v>
      </c>
      <c r="C72" t="s">
        <v>3</v>
      </c>
      <c r="D72">
        <v>90.332264523000006</v>
      </c>
    </row>
    <row r="73" spans="2:4">
      <c r="B73" s="2">
        <v>41988</v>
      </c>
      <c r="C73" t="s">
        <v>3</v>
      </c>
      <c r="D73">
        <v>89.224059503999996</v>
      </c>
    </row>
    <row r="74" spans="2:4">
      <c r="B74" s="2">
        <v>41985</v>
      </c>
      <c r="C74" t="s">
        <v>3</v>
      </c>
      <c r="D74">
        <v>88.854272910000006</v>
      </c>
    </row>
    <row r="75" spans="2:4">
      <c r="B75" s="2">
        <v>41984</v>
      </c>
      <c r="C75" t="s">
        <v>3</v>
      </c>
      <c r="D75">
        <v>87.817104</v>
      </c>
    </row>
    <row r="76" spans="2:4">
      <c r="B76" s="2">
        <v>41983</v>
      </c>
      <c r="C76" t="s">
        <v>3</v>
      </c>
      <c r="D76">
        <v>87.247949070000004</v>
      </c>
    </row>
    <row r="77" spans="2:4">
      <c r="B77" s="2">
        <v>41982</v>
      </c>
      <c r="C77" t="s">
        <v>3</v>
      </c>
      <c r="D77">
        <v>86.803940724</v>
      </c>
    </row>
    <row r="78" spans="2:4">
      <c r="B78" s="2">
        <v>41981</v>
      </c>
      <c r="C78" t="s">
        <v>3</v>
      </c>
      <c r="D78">
        <v>86.822180251999995</v>
      </c>
    </row>
    <row r="79" spans="2:4">
      <c r="B79" s="2">
        <v>41978</v>
      </c>
      <c r="C79" t="s">
        <v>3</v>
      </c>
      <c r="D79">
        <v>87.101953559999998</v>
      </c>
    </row>
    <row r="80" spans="2:4">
      <c r="B80" s="2">
        <v>41977</v>
      </c>
      <c r="C80" t="s">
        <v>3</v>
      </c>
      <c r="D80">
        <v>87.035145392999993</v>
      </c>
    </row>
    <row r="81" spans="2:4">
      <c r="B81" s="2">
        <v>41976</v>
      </c>
      <c r="C81" t="s">
        <v>3</v>
      </c>
      <c r="D81">
        <v>87.439996929000003</v>
      </c>
    </row>
    <row r="82" spans="2:4">
      <c r="B82" s="2">
        <v>41975</v>
      </c>
      <c r="C82" t="s">
        <v>3</v>
      </c>
      <c r="D82">
        <v>87.974179405000001</v>
      </c>
    </row>
    <row r="83" spans="2:4">
      <c r="B83" s="2">
        <v>41974</v>
      </c>
      <c r="C83" t="s">
        <v>3</v>
      </c>
      <c r="D83">
        <v>87.890628315000001</v>
      </c>
    </row>
    <row r="84" spans="2:4">
      <c r="B84" s="2">
        <v>41971</v>
      </c>
      <c r="C84" t="s">
        <v>3</v>
      </c>
      <c r="D84">
        <v>87.399345088000004</v>
      </c>
    </row>
    <row r="85" spans="2:4">
      <c r="B85" s="2">
        <v>41969</v>
      </c>
      <c r="C85" t="s">
        <v>3</v>
      </c>
      <c r="D85">
        <v>87.509470676000007</v>
      </c>
    </row>
    <row r="86" spans="2:4">
      <c r="B86" s="2">
        <v>41968</v>
      </c>
      <c r="C86" t="s">
        <v>3</v>
      </c>
      <c r="D86">
        <v>87.356194172000002</v>
      </c>
    </row>
    <row r="87" spans="2:4">
      <c r="B87" s="2">
        <v>41967</v>
      </c>
      <c r="C87" t="s">
        <v>3</v>
      </c>
      <c r="D87">
        <v>87.139186092000003</v>
      </c>
    </row>
    <row r="88" spans="2:4">
      <c r="B88" s="2">
        <v>41964</v>
      </c>
      <c r="C88" t="s">
        <v>3</v>
      </c>
      <c r="D88">
        <v>87.147821772</v>
      </c>
    </row>
    <row r="89" spans="2:4">
      <c r="B89" s="2">
        <v>41963</v>
      </c>
      <c r="C89" t="s">
        <v>3</v>
      </c>
      <c r="D89">
        <v>87.362775220000003</v>
      </c>
    </row>
    <row r="90" spans="2:4">
      <c r="B90" s="2">
        <v>41962</v>
      </c>
      <c r="C90" t="s">
        <v>3</v>
      </c>
      <c r="D90">
        <v>87.408785924</v>
      </c>
    </row>
    <row r="91" spans="2:4">
      <c r="B91" s="2">
        <v>41961</v>
      </c>
      <c r="C91" t="s">
        <v>3</v>
      </c>
      <c r="D91">
        <v>86.974288896000004</v>
      </c>
    </row>
    <row r="92" spans="2:4">
      <c r="B92" s="2">
        <v>41960</v>
      </c>
      <c r="C92" t="s">
        <v>3</v>
      </c>
      <c r="D92">
        <v>87.059723849999997</v>
      </c>
    </row>
    <row r="93" spans="2:4">
      <c r="B93" s="2">
        <v>41957</v>
      </c>
      <c r="C93" t="s">
        <v>3</v>
      </c>
      <c r="D93">
        <v>86.937602354999996</v>
      </c>
    </row>
    <row r="94" spans="2:4">
      <c r="B94" s="2">
        <v>41956</v>
      </c>
      <c r="C94" t="s">
        <v>3</v>
      </c>
      <c r="D94">
        <v>86.768071571999997</v>
      </c>
    </row>
    <row r="95" spans="2:4">
      <c r="B95" s="2">
        <v>41955</v>
      </c>
      <c r="C95" t="s">
        <v>3</v>
      </c>
      <c r="D95">
        <v>87.302002462000004</v>
      </c>
    </row>
    <row r="96" spans="2:4">
      <c r="B96" s="2">
        <v>41953</v>
      </c>
      <c r="C96" t="s">
        <v>3</v>
      </c>
      <c r="D96">
        <v>87.561358894999998</v>
      </c>
    </row>
    <row r="97" spans="2:4">
      <c r="B97" s="2">
        <v>41950</v>
      </c>
      <c r="C97" t="s">
        <v>3</v>
      </c>
      <c r="D97">
        <v>87.393002609000007</v>
      </c>
    </row>
    <row r="98" spans="2:4">
      <c r="B98" s="2">
        <v>41949</v>
      </c>
      <c r="C98" t="s">
        <v>3</v>
      </c>
      <c r="D98">
        <v>88.528068888000007</v>
      </c>
    </row>
    <row r="99" spans="2:4">
      <c r="B99" s="2">
        <v>41948</v>
      </c>
      <c r="C99" t="s">
        <v>3</v>
      </c>
      <c r="D99">
        <v>88.345867679999998</v>
      </c>
    </row>
    <row r="100" spans="2:4">
      <c r="B100" s="2">
        <v>41947</v>
      </c>
      <c r="C100" t="s">
        <v>3</v>
      </c>
      <c r="D100">
        <v>88.501971609999998</v>
      </c>
    </row>
    <row r="101" spans="2:4">
      <c r="B101" s="2">
        <v>41946</v>
      </c>
      <c r="C101" t="s">
        <v>3</v>
      </c>
      <c r="D101">
        <v>88.528142721999998</v>
      </c>
    </row>
    <row r="102" spans="2:4">
      <c r="B102" s="2">
        <v>41943</v>
      </c>
      <c r="C102" t="s">
        <v>3</v>
      </c>
      <c r="D102">
        <v>88.964212157999995</v>
      </c>
    </row>
    <row r="103" spans="2:4">
      <c r="B103" s="2">
        <v>41942</v>
      </c>
      <c r="C103" t="s">
        <v>3</v>
      </c>
      <c r="D103">
        <v>88.986773374999999</v>
      </c>
    </row>
    <row r="104" spans="2:4">
      <c r="B104" s="2">
        <v>41941</v>
      </c>
      <c r="C104" t="s">
        <v>3</v>
      </c>
      <c r="D104">
        <v>89.861501730000001</v>
      </c>
    </row>
    <row r="105" spans="2:4">
      <c r="B105" s="2">
        <v>41940</v>
      </c>
      <c r="C105" t="s">
        <v>3</v>
      </c>
      <c r="D105">
        <v>91.657893971999997</v>
      </c>
    </row>
    <row r="106" spans="2:4">
      <c r="B106" s="2">
        <v>41939</v>
      </c>
      <c r="C106" t="s">
        <v>3</v>
      </c>
      <c r="D106">
        <v>91.817195201999994</v>
      </c>
    </row>
    <row r="107" spans="2:4">
      <c r="B107" s="2">
        <v>41936</v>
      </c>
      <c r="C107" t="s">
        <v>3</v>
      </c>
      <c r="D107">
        <v>91.972188494999997</v>
      </c>
    </row>
    <row r="108" spans="2:4">
      <c r="B108" s="2">
        <v>41935</v>
      </c>
      <c r="C108" t="s">
        <v>3</v>
      </c>
      <c r="D108">
        <v>92.055175407999997</v>
      </c>
    </row>
    <row r="109" spans="2:4">
      <c r="B109" s="2">
        <v>41934</v>
      </c>
      <c r="C109" t="s">
        <v>3</v>
      </c>
      <c r="D109">
        <v>91.436013279999997</v>
      </c>
    </row>
    <row r="110" spans="2:4">
      <c r="B110" s="2">
        <v>41933</v>
      </c>
      <c r="C110" t="s">
        <v>3</v>
      </c>
      <c r="D110">
        <v>91.056554370000001</v>
      </c>
    </row>
    <row r="111" spans="2:4">
      <c r="B111" s="2">
        <v>41932</v>
      </c>
      <c r="C111" t="s">
        <v>3</v>
      </c>
      <c r="D111">
        <v>90.231596388</v>
      </c>
    </row>
    <row r="112" spans="2:4">
      <c r="B112" s="2">
        <v>41929</v>
      </c>
      <c r="C112" t="s">
        <v>3</v>
      </c>
      <c r="D112">
        <v>90.164103023999999</v>
      </c>
    </row>
    <row r="113" spans="2:4">
      <c r="B113" s="2">
        <v>41928</v>
      </c>
      <c r="C113" t="s">
        <v>3</v>
      </c>
      <c r="D113">
        <v>92.086694245000004</v>
      </c>
    </row>
    <row r="114" spans="2:4">
      <c r="B114" s="2">
        <v>41927</v>
      </c>
      <c r="C114" t="s">
        <v>3</v>
      </c>
      <c r="D114">
        <v>93.410392454999993</v>
      </c>
    </row>
    <row r="115" spans="2:4">
      <c r="B115" s="2">
        <v>41926</v>
      </c>
      <c r="C115" t="s">
        <v>3</v>
      </c>
      <c r="D115">
        <v>90.153183771000002</v>
      </c>
    </row>
    <row r="116" spans="2:4">
      <c r="B116" s="2">
        <v>41922</v>
      </c>
      <c r="C116" t="s">
        <v>3</v>
      </c>
      <c r="D116">
        <v>89.555830212000004</v>
      </c>
    </row>
    <row r="117" spans="2:4">
      <c r="B117" s="2">
        <v>41921</v>
      </c>
      <c r="C117" t="s">
        <v>3</v>
      </c>
      <c r="D117">
        <v>89.151914232999999</v>
      </c>
    </row>
    <row r="118" spans="2:4">
      <c r="B118" s="2">
        <v>41920</v>
      </c>
      <c r="C118" t="s">
        <v>3</v>
      </c>
      <c r="D118">
        <v>89.066110223999999</v>
      </c>
    </row>
    <row r="119" spans="2:4">
      <c r="B119" s="2">
        <v>41919</v>
      </c>
      <c r="C119" t="s">
        <v>3</v>
      </c>
      <c r="D119">
        <v>89.025757549999994</v>
      </c>
    </row>
    <row r="120" spans="2:4">
      <c r="B120" s="2">
        <v>41918</v>
      </c>
      <c r="C120" t="s">
        <v>3</v>
      </c>
      <c r="D120">
        <v>88.877141253000005</v>
      </c>
    </row>
    <row r="121" spans="2:4">
      <c r="B121" s="2">
        <v>41915</v>
      </c>
      <c r="C121" t="s">
        <v>3</v>
      </c>
      <c r="D121">
        <v>88.940315639999994</v>
      </c>
    </row>
    <row r="122" spans="2:4">
      <c r="B122" s="2">
        <v>41914</v>
      </c>
      <c r="C122" t="s">
        <v>3</v>
      </c>
      <c r="D122">
        <v>89.125798447999998</v>
      </c>
    </row>
    <row r="123" spans="2:4">
      <c r="B123" s="2">
        <v>41913</v>
      </c>
      <c r="C123" t="s">
        <v>3</v>
      </c>
      <c r="D123">
        <v>88.153246899999999</v>
      </c>
    </row>
    <row r="124" spans="2:4">
      <c r="B124" s="2">
        <v>41912</v>
      </c>
      <c r="C124" t="s">
        <v>3</v>
      </c>
      <c r="D124">
        <v>88.011864054</v>
      </c>
    </row>
    <row r="125" spans="2:4">
      <c r="B125" s="2">
        <v>41911</v>
      </c>
      <c r="C125" t="s">
        <v>3</v>
      </c>
      <c r="D125">
        <v>87.872964039999999</v>
      </c>
    </row>
    <row r="126" spans="2:4">
      <c r="B126" s="2">
        <v>41908</v>
      </c>
      <c r="C126" t="s">
        <v>3</v>
      </c>
      <c r="D126">
        <v>87.313419875999998</v>
      </c>
    </row>
    <row r="127" spans="2:4">
      <c r="B127" s="2">
        <v>41907</v>
      </c>
      <c r="C127" t="s">
        <v>3</v>
      </c>
      <c r="D127">
        <v>86.659359232</v>
      </c>
    </row>
    <row r="128" spans="2:4">
      <c r="B128" s="2">
        <v>41906</v>
      </c>
      <c r="C128" t="s">
        <v>3</v>
      </c>
      <c r="D128">
        <v>86.479700328000007</v>
      </c>
    </row>
    <row r="129" spans="2:4">
      <c r="B129" s="2">
        <v>41905</v>
      </c>
      <c r="C129" t="s">
        <v>3</v>
      </c>
      <c r="D129">
        <v>86.432927340000006</v>
      </c>
    </row>
    <row r="130" spans="2:4">
      <c r="B130" s="2">
        <v>41904</v>
      </c>
      <c r="C130" t="s">
        <v>3</v>
      </c>
      <c r="D130">
        <v>86.444965800000006</v>
      </c>
    </row>
    <row r="131" spans="2:4">
      <c r="B131" s="2">
        <v>41901</v>
      </c>
      <c r="C131" t="s">
        <v>3</v>
      </c>
      <c r="D131">
        <v>87.424182509999994</v>
      </c>
    </row>
    <row r="132" spans="2:4">
      <c r="B132" s="2">
        <v>41900</v>
      </c>
      <c r="C132" t="s">
        <v>3</v>
      </c>
      <c r="D132">
        <v>87.650284176</v>
      </c>
    </row>
    <row r="133" spans="2:4">
      <c r="B133" s="2">
        <v>41899</v>
      </c>
      <c r="C133" t="s">
        <v>3</v>
      </c>
      <c r="D133">
        <v>87.667822375</v>
      </c>
    </row>
    <row r="134" spans="2:4">
      <c r="B134" s="2">
        <v>41898</v>
      </c>
      <c r="C134" t="s">
        <v>3</v>
      </c>
      <c r="D134">
        <v>87.466742433999997</v>
      </c>
    </row>
    <row r="135" spans="2:4">
      <c r="B135" s="2">
        <v>41897</v>
      </c>
      <c r="C135" t="s">
        <v>3</v>
      </c>
      <c r="D135">
        <v>87.120673388</v>
      </c>
    </row>
    <row r="136" spans="2:4">
      <c r="B136" s="2">
        <v>41894</v>
      </c>
      <c r="C136" t="s">
        <v>3</v>
      </c>
      <c r="D136">
        <v>87.079121327999999</v>
      </c>
    </row>
    <row r="137" spans="2:4">
      <c r="B137" s="2">
        <v>41893</v>
      </c>
      <c r="C137" t="s">
        <v>3</v>
      </c>
      <c r="D137">
        <v>88.385454100000004</v>
      </c>
    </row>
    <row r="138" spans="2:4">
      <c r="B138" s="2">
        <v>41892</v>
      </c>
      <c r="C138" t="s">
        <v>3</v>
      </c>
      <c r="D138">
        <v>89.180581502999999</v>
      </c>
    </row>
    <row r="139" spans="2:4">
      <c r="B139" s="2">
        <v>41891</v>
      </c>
      <c r="C139" t="s">
        <v>3</v>
      </c>
      <c r="D139">
        <v>89.626256573999996</v>
      </c>
    </row>
    <row r="140" spans="2:4">
      <c r="B140" s="2">
        <v>41890</v>
      </c>
      <c r="C140" t="s">
        <v>3</v>
      </c>
      <c r="D140">
        <v>89.688281184999994</v>
      </c>
    </row>
    <row r="141" spans="2:4">
      <c r="B141" s="2">
        <v>41887</v>
      </c>
      <c r="C141" t="s">
        <v>3</v>
      </c>
      <c r="D141">
        <v>89.420268755999999</v>
      </c>
    </row>
    <row r="142" spans="2:4">
      <c r="B142" s="2">
        <v>41886</v>
      </c>
      <c r="C142" t="s">
        <v>3</v>
      </c>
      <c r="D142">
        <v>89.553921567000003</v>
      </c>
    </row>
    <row r="143" spans="2:4">
      <c r="B143" s="2">
        <v>41885</v>
      </c>
      <c r="C143" t="s">
        <v>3</v>
      </c>
      <c r="D143">
        <v>89.344458978000006</v>
      </c>
    </row>
    <row r="144" spans="2:4">
      <c r="B144" s="2">
        <v>41884</v>
      </c>
      <c r="C144" t="s">
        <v>3</v>
      </c>
      <c r="D144">
        <v>89.742488420000001</v>
      </c>
    </row>
    <row r="145" spans="2:4">
      <c r="B145" s="2">
        <v>41880</v>
      </c>
      <c r="C145" t="s">
        <v>3</v>
      </c>
      <c r="D145">
        <v>89.428560880000006</v>
      </c>
    </row>
    <row r="146" spans="2:4">
      <c r="B146" s="2">
        <v>41879</v>
      </c>
      <c r="C146" t="s">
        <v>3</v>
      </c>
      <c r="D146">
        <v>89.301872176000003</v>
      </c>
    </row>
    <row r="147" spans="2:4">
      <c r="B147" s="2">
        <v>41878</v>
      </c>
      <c r="C147" t="s">
        <v>3</v>
      </c>
      <c r="D147">
        <v>89.141666856000001</v>
      </c>
    </row>
    <row r="148" spans="2:4">
      <c r="B148" s="2">
        <v>41877</v>
      </c>
      <c r="C148" t="s">
        <v>3</v>
      </c>
      <c r="D148">
        <v>89.210297659999995</v>
      </c>
    </row>
    <row r="149" spans="2:4">
      <c r="B149" s="2">
        <v>41876</v>
      </c>
      <c r="C149" t="s">
        <v>3</v>
      </c>
      <c r="D149">
        <v>89.544852035999995</v>
      </c>
    </row>
    <row r="150" spans="2:4">
      <c r="B150" s="2">
        <v>41873</v>
      </c>
      <c r="C150" t="s">
        <v>3</v>
      </c>
      <c r="D150">
        <v>90.472766167000003</v>
      </c>
    </row>
    <row r="151" spans="2:4">
      <c r="B151" s="2">
        <v>41872</v>
      </c>
      <c r="C151" t="s">
        <v>3</v>
      </c>
      <c r="D151">
        <v>91.106458599999996</v>
      </c>
    </row>
    <row r="152" spans="2:4">
      <c r="B152" s="2">
        <v>41871</v>
      </c>
      <c r="C152" t="s">
        <v>3</v>
      </c>
      <c r="D152">
        <v>91.416510283999997</v>
      </c>
    </row>
    <row r="153" spans="2:4">
      <c r="B153" s="2">
        <v>41870</v>
      </c>
      <c r="C153" t="s">
        <v>3</v>
      </c>
      <c r="D153">
        <v>91.679271068999995</v>
      </c>
    </row>
    <row r="154" spans="2:4">
      <c r="B154" s="2">
        <v>41869</v>
      </c>
      <c r="C154" t="s">
        <v>3</v>
      </c>
      <c r="D154">
        <v>91.803800928000001</v>
      </c>
    </row>
    <row r="155" spans="2:4">
      <c r="B155" s="2">
        <v>41866</v>
      </c>
      <c r="C155" t="s">
        <v>3</v>
      </c>
      <c r="D155">
        <v>91.618018769000003</v>
      </c>
    </row>
    <row r="156" spans="2:4">
      <c r="B156" s="2">
        <v>41865</v>
      </c>
      <c r="C156" t="s">
        <v>3</v>
      </c>
      <c r="D156">
        <v>90.936592750000003</v>
      </c>
    </row>
    <row r="157" spans="2:4">
      <c r="B157" s="2">
        <v>41864</v>
      </c>
      <c r="C157" t="s">
        <v>3</v>
      </c>
      <c r="D157">
        <v>90.566763867999995</v>
      </c>
    </row>
    <row r="158" spans="2:4">
      <c r="B158" s="2">
        <v>41863</v>
      </c>
      <c r="C158" t="s">
        <v>3</v>
      </c>
      <c r="D158">
        <v>90.533122370000001</v>
      </c>
    </row>
    <row r="159" spans="2:4">
      <c r="B159" s="2">
        <v>41862</v>
      </c>
      <c r="C159" t="s">
        <v>3</v>
      </c>
      <c r="D159">
        <v>90.373852176</v>
      </c>
    </row>
    <row r="160" spans="2:4">
      <c r="B160" s="2">
        <v>41859</v>
      </c>
      <c r="C160" t="s">
        <v>3</v>
      </c>
      <c r="D160">
        <v>90.629908112999999</v>
      </c>
    </row>
    <row r="161" spans="2:4">
      <c r="B161" s="2">
        <v>41858</v>
      </c>
      <c r="C161" t="s">
        <v>3</v>
      </c>
      <c r="D161">
        <v>90.382161984000007</v>
      </c>
    </row>
    <row r="162" spans="2:4">
      <c r="B162" s="2">
        <v>41857</v>
      </c>
      <c r="C162" t="s">
        <v>3</v>
      </c>
      <c r="D162">
        <v>89.943136031999998</v>
      </c>
    </row>
    <row r="163" spans="2:4">
      <c r="B163" s="2">
        <v>41856</v>
      </c>
      <c r="C163" t="s">
        <v>3</v>
      </c>
      <c r="D163">
        <v>89.863003402000004</v>
      </c>
    </row>
    <row r="164" spans="2:4">
      <c r="B164" s="2">
        <v>41855</v>
      </c>
      <c r="C164" t="s">
        <v>3</v>
      </c>
      <c r="D164">
        <v>90.028575970000006</v>
      </c>
    </row>
    <row r="165" spans="2:4">
      <c r="B165" s="2">
        <v>41852</v>
      </c>
      <c r="C165" t="s">
        <v>3</v>
      </c>
      <c r="D165">
        <v>90.045602324000001</v>
      </c>
    </row>
    <row r="166" spans="2:4">
      <c r="B166" s="2">
        <v>41851</v>
      </c>
      <c r="C166" t="s">
        <v>3</v>
      </c>
      <c r="D166">
        <v>89.966215250000005</v>
      </c>
    </row>
    <row r="167" spans="2:4">
      <c r="B167" s="2">
        <v>41850</v>
      </c>
      <c r="C167" t="s">
        <v>3</v>
      </c>
      <c r="D167">
        <v>89.928954000000004</v>
      </c>
    </row>
    <row r="168" spans="2:4">
      <c r="B168" s="2">
        <v>41849</v>
      </c>
      <c r="C168" t="s">
        <v>3</v>
      </c>
      <c r="D168">
        <v>89.165602109999995</v>
      </c>
    </row>
    <row r="169" spans="2:4">
      <c r="B169" s="2">
        <v>41848</v>
      </c>
      <c r="C169" t="s">
        <v>3</v>
      </c>
      <c r="D169">
        <v>88.434854134000005</v>
      </c>
    </row>
    <row r="170" spans="2:4">
      <c r="B170" s="2">
        <v>41845</v>
      </c>
      <c r="C170" t="s">
        <v>3</v>
      </c>
      <c r="D170">
        <v>88.189210075999995</v>
      </c>
    </row>
    <row r="171" spans="2:4">
      <c r="B171" s="2">
        <v>41844</v>
      </c>
      <c r="C171" t="s">
        <v>3</v>
      </c>
      <c r="D171">
        <v>88.06573152</v>
      </c>
    </row>
    <row r="172" spans="2:4">
      <c r="B172" s="2">
        <v>41843</v>
      </c>
      <c r="C172" t="s">
        <v>3</v>
      </c>
      <c r="D172">
        <v>87.783029016</v>
      </c>
    </row>
    <row r="173" spans="2:4">
      <c r="B173" s="2">
        <v>41842</v>
      </c>
      <c r="C173" t="s">
        <v>3</v>
      </c>
      <c r="D173">
        <v>87.753882047999994</v>
      </c>
    </row>
    <row r="174" spans="2:4">
      <c r="B174" s="2">
        <v>41841</v>
      </c>
      <c r="C174" t="s">
        <v>3</v>
      </c>
      <c r="D174">
        <v>87.636379050000002</v>
      </c>
    </row>
    <row r="175" spans="2:4">
      <c r="B175" s="2">
        <v>41838</v>
      </c>
      <c r="C175" t="s">
        <v>3</v>
      </c>
      <c r="D175">
        <v>87.359604497999996</v>
      </c>
    </row>
    <row r="176" spans="2:4">
      <c r="B176" s="2">
        <v>41837</v>
      </c>
      <c r="C176" t="s">
        <v>3</v>
      </c>
      <c r="D176">
        <v>87.205127700999995</v>
      </c>
    </row>
    <row r="177" spans="2:4">
      <c r="B177" s="2">
        <v>41836</v>
      </c>
      <c r="C177" t="s">
        <v>3</v>
      </c>
      <c r="D177">
        <v>87.006049653000005</v>
      </c>
    </row>
    <row r="178" spans="2:4">
      <c r="B178" s="2">
        <v>41835</v>
      </c>
      <c r="C178" t="s">
        <v>3</v>
      </c>
      <c r="D178">
        <v>87.129652922000005</v>
      </c>
    </row>
    <row r="179" spans="2:4">
      <c r="B179" s="2">
        <v>41834</v>
      </c>
      <c r="C179" t="s">
        <v>3</v>
      </c>
      <c r="D179">
        <v>87.068745375000006</v>
      </c>
    </row>
    <row r="180" spans="2:4">
      <c r="B180" s="2">
        <v>41831</v>
      </c>
      <c r="C180" t="s">
        <v>3</v>
      </c>
      <c r="D180">
        <v>86.812626207999998</v>
      </c>
    </row>
    <row r="181" spans="2:4">
      <c r="B181" s="2">
        <v>41830</v>
      </c>
      <c r="C181" t="s">
        <v>3</v>
      </c>
      <c r="D181">
        <v>86.839577117999994</v>
      </c>
    </row>
    <row r="182" spans="2:4">
      <c r="B182" s="2">
        <v>41829</v>
      </c>
      <c r="C182" t="s">
        <v>3</v>
      </c>
      <c r="D182">
        <v>86.791721808000005</v>
      </c>
    </row>
    <row r="183" spans="2:4">
      <c r="B183" s="2">
        <v>41828</v>
      </c>
      <c r="C183" t="s">
        <v>3</v>
      </c>
      <c r="D183">
        <v>86.655060790999997</v>
      </c>
    </row>
    <row r="184" spans="2:4">
      <c r="B184" s="2">
        <v>41827</v>
      </c>
      <c r="C184" t="s">
        <v>3</v>
      </c>
      <c r="D184">
        <v>87.254474328000001</v>
      </c>
    </row>
    <row r="185" spans="2:4">
      <c r="B185" s="2">
        <v>41823</v>
      </c>
      <c r="C185" t="s">
        <v>3</v>
      </c>
      <c r="D185">
        <v>87.344594279999995</v>
      </c>
    </row>
    <row r="186" spans="2:4">
      <c r="B186" s="2">
        <v>41822</v>
      </c>
      <c r="C186" t="s">
        <v>3</v>
      </c>
      <c r="D186">
        <v>87.633492575999995</v>
      </c>
    </row>
    <row r="187" spans="2:4">
      <c r="B187" s="2">
        <v>41821</v>
      </c>
      <c r="C187" t="s">
        <v>3</v>
      </c>
      <c r="D187">
        <v>87.335228375</v>
      </c>
    </row>
    <row r="188" spans="2:4">
      <c r="B188" s="2">
        <v>41820</v>
      </c>
      <c r="C188" t="s">
        <v>3</v>
      </c>
      <c r="D188">
        <v>87.045280718000001</v>
      </c>
    </row>
    <row r="189" spans="2:4">
      <c r="B189" s="2">
        <v>41817</v>
      </c>
      <c r="C189" t="s">
        <v>3</v>
      </c>
      <c r="D189">
        <v>87.053804040000003</v>
      </c>
    </row>
    <row r="190" spans="2:4">
      <c r="B190" s="2">
        <v>41816</v>
      </c>
      <c r="C190" t="s">
        <v>3</v>
      </c>
      <c r="D190">
        <v>86.995236856999995</v>
      </c>
    </row>
    <row r="191" spans="2:4">
      <c r="B191" s="2">
        <v>41815</v>
      </c>
      <c r="C191" t="s">
        <v>3</v>
      </c>
      <c r="D191">
        <v>87.165351336000001</v>
      </c>
    </row>
    <row r="192" spans="2:4">
      <c r="B192" s="2">
        <v>41814</v>
      </c>
      <c r="C192" t="s">
        <v>3</v>
      </c>
      <c r="D192">
        <v>87.545324489999999</v>
      </c>
    </row>
    <row r="193" spans="2:4">
      <c r="B193" s="2">
        <v>41813</v>
      </c>
      <c r="C193" t="s">
        <v>3</v>
      </c>
      <c r="D193">
        <v>87.944032211000007</v>
      </c>
    </row>
    <row r="194" spans="2:4">
      <c r="B194" s="2">
        <v>41810</v>
      </c>
      <c r="C194" t="s">
        <v>3</v>
      </c>
      <c r="D194">
        <v>87.809163378999997</v>
      </c>
    </row>
    <row r="195" spans="2:4">
      <c r="B195" s="2">
        <v>41809</v>
      </c>
      <c r="C195" t="s">
        <v>3</v>
      </c>
      <c r="D195">
        <v>87.855491074</v>
      </c>
    </row>
    <row r="196" spans="2:4">
      <c r="B196" s="2">
        <v>41808</v>
      </c>
      <c r="C196" t="s">
        <v>3</v>
      </c>
      <c r="D196">
        <v>87.186607171999995</v>
      </c>
    </row>
    <row r="197" spans="2:4">
      <c r="B197" s="2">
        <v>41807</v>
      </c>
      <c r="C197" t="s">
        <v>3</v>
      </c>
      <c r="D197">
        <v>87.542324363999995</v>
      </c>
    </row>
    <row r="198" spans="2:4">
      <c r="B198" s="2">
        <v>41806</v>
      </c>
      <c r="C198" t="s">
        <v>3</v>
      </c>
      <c r="D198">
        <v>87.405020340999997</v>
      </c>
    </row>
    <row r="199" spans="2:4">
      <c r="B199" s="2">
        <v>41803</v>
      </c>
      <c r="C199" t="s">
        <v>3</v>
      </c>
      <c r="D199">
        <v>88.622540964999999</v>
      </c>
    </row>
    <row r="200" spans="2:4">
      <c r="B200" s="2">
        <v>41802</v>
      </c>
      <c r="C200" t="s">
        <v>3</v>
      </c>
      <c r="D200">
        <v>88.600057632000002</v>
      </c>
    </row>
    <row r="201" spans="2:4">
      <c r="B201" s="2">
        <v>41801</v>
      </c>
      <c r="C201" t="s">
        <v>3</v>
      </c>
      <c r="D201">
        <v>89.091823567999995</v>
      </c>
    </row>
    <row r="202" spans="2:4">
      <c r="B202" s="2">
        <v>41800</v>
      </c>
      <c r="C202" t="s">
        <v>3</v>
      </c>
      <c r="D202">
        <v>89.961732499999997</v>
      </c>
    </row>
    <row r="203" spans="2:4">
      <c r="B203" s="2">
        <v>41799</v>
      </c>
      <c r="C203" t="s">
        <v>3</v>
      </c>
      <c r="D203">
        <v>90.259845107999993</v>
      </c>
    </row>
    <row r="204" spans="2:4">
      <c r="B204" s="2">
        <v>41796</v>
      </c>
      <c r="C204" t="s">
        <v>3</v>
      </c>
      <c r="D204">
        <v>90.471119013999996</v>
      </c>
    </row>
    <row r="205" spans="2:4">
      <c r="B205" s="2">
        <v>41795</v>
      </c>
      <c r="C205" t="s">
        <v>3</v>
      </c>
      <c r="D205">
        <v>90.996506109999999</v>
      </c>
    </row>
    <row r="206" spans="2:4">
      <c r="B206" s="2">
        <v>41794</v>
      </c>
      <c r="C206" t="s">
        <v>3</v>
      </c>
      <c r="D206">
        <v>91.096686183000003</v>
      </c>
    </row>
    <row r="207" spans="2:4">
      <c r="B207" s="2">
        <v>41793</v>
      </c>
      <c r="C207" t="s">
        <v>3</v>
      </c>
      <c r="D207">
        <v>90.964515614999996</v>
      </c>
    </row>
    <row r="208" spans="2:4">
      <c r="B208" s="2">
        <v>41792</v>
      </c>
      <c r="C208" t="s">
        <v>3</v>
      </c>
      <c r="D208">
        <v>90.791950466000003</v>
      </c>
    </row>
    <row r="209" spans="2:4">
      <c r="B209" s="2">
        <v>41789</v>
      </c>
      <c r="C209" t="s">
        <v>3</v>
      </c>
      <c r="D209">
        <v>90.294937344000004</v>
      </c>
    </row>
    <row r="210" spans="2:4">
      <c r="B210" s="2">
        <v>41788</v>
      </c>
      <c r="C210" t="s">
        <v>3</v>
      </c>
      <c r="D210">
        <v>90.251257047999999</v>
      </c>
    </row>
    <row r="211" spans="2:4">
      <c r="B211" s="2">
        <v>41787</v>
      </c>
      <c r="C211" t="s">
        <v>3</v>
      </c>
      <c r="D211">
        <v>89.496323844000003</v>
      </c>
    </row>
    <row r="212" spans="2:4">
      <c r="B212" s="2">
        <v>41786</v>
      </c>
      <c r="C212" t="s">
        <v>3</v>
      </c>
      <c r="D212">
        <v>89.252649071999997</v>
      </c>
    </row>
    <row r="213" spans="2:4">
      <c r="B213" s="2">
        <v>41782</v>
      </c>
      <c r="C213" t="s">
        <v>3</v>
      </c>
      <c r="D213">
        <v>89.256290309999997</v>
      </c>
    </row>
    <row r="214" spans="2:4">
      <c r="B214" s="2">
        <v>41781</v>
      </c>
      <c r="C214" t="s">
        <v>3</v>
      </c>
      <c r="D214">
        <v>89.368843662000003</v>
      </c>
    </row>
    <row r="215" spans="2:4">
      <c r="B215" s="2">
        <v>41780</v>
      </c>
      <c r="C215" t="s">
        <v>3</v>
      </c>
      <c r="D215">
        <v>89.260403584000002</v>
      </c>
    </row>
    <row r="216" spans="2:4">
      <c r="B216" s="2">
        <v>41779</v>
      </c>
      <c r="C216" t="s">
        <v>3</v>
      </c>
      <c r="D216">
        <v>89.206730160000006</v>
      </c>
    </row>
    <row r="217" spans="2:4">
      <c r="B217" s="2">
        <v>41778</v>
      </c>
      <c r="C217" t="s">
        <v>3</v>
      </c>
      <c r="D217">
        <v>89.415656310000003</v>
      </c>
    </row>
    <row r="218" spans="2:4">
      <c r="B218" s="2">
        <v>41775</v>
      </c>
      <c r="C218" t="s">
        <v>3</v>
      </c>
      <c r="D218">
        <v>89.403605440000007</v>
      </c>
    </row>
    <row r="219" spans="2:4">
      <c r="B219" s="2">
        <v>41774</v>
      </c>
      <c r="C219" t="s">
        <v>3</v>
      </c>
      <c r="D219">
        <v>89.369130479999995</v>
      </c>
    </row>
    <row r="220" spans="2:4">
      <c r="B220" s="2">
        <v>41773</v>
      </c>
      <c r="C220" t="s">
        <v>3</v>
      </c>
      <c r="D220">
        <v>89.048846609999998</v>
      </c>
    </row>
    <row r="221" spans="2:4">
      <c r="B221" s="2">
        <v>41772</v>
      </c>
      <c r="C221" t="s">
        <v>3</v>
      </c>
      <c r="D221">
        <v>89.005323673000007</v>
      </c>
    </row>
    <row r="222" spans="2:4">
      <c r="B222" s="2">
        <v>41771</v>
      </c>
      <c r="C222" t="s">
        <v>3</v>
      </c>
      <c r="D222">
        <v>89.253635885999998</v>
      </c>
    </row>
    <row r="223" spans="2:4">
      <c r="B223" s="2">
        <v>41768</v>
      </c>
      <c r="C223" t="s">
        <v>3</v>
      </c>
      <c r="D223">
        <v>89.060858847999995</v>
      </c>
    </row>
    <row r="224" spans="2:4">
      <c r="B224" s="2">
        <v>41767</v>
      </c>
      <c r="C224" t="s">
        <v>3</v>
      </c>
      <c r="D224">
        <v>88.999884909000002</v>
      </c>
    </row>
    <row r="225" spans="2:4">
      <c r="B225" s="2">
        <v>41766</v>
      </c>
      <c r="C225" t="s">
        <v>3</v>
      </c>
      <c r="D225">
        <v>89.105002217000006</v>
      </c>
    </row>
    <row r="226" spans="2:4">
      <c r="B226" s="2">
        <v>41765</v>
      </c>
      <c r="C226" t="s">
        <v>3</v>
      </c>
      <c r="D226">
        <v>89.007774459999993</v>
      </c>
    </row>
    <row r="227" spans="2:4">
      <c r="B227" s="2">
        <v>41764</v>
      </c>
      <c r="C227" t="s">
        <v>3</v>
      </c>
      <c r="D227">
        <v>88.975695963000007</v>
      </c>
    </row>
    <row r="228" spans="2:4">
      <c r="B228" s="2">
        <v>41761</v>
      </c>
      <c r="C228" t="s">
        <v>3</v>
      </c>
      <c r="D228">
        <v>88.861087679999997</v>
      </c>
    </row>
    <row r="229" spans="2:4">
      <c r="B229" s="2">
        <v>41760</v>
      </c>
      <c r="C229" t="s">
        <v>3</v>
      </c>
      <c r="D229">
        <v>89.169025736999998</v>
      </c>
    </row>
    <row r="230" spans="2:4">
      <c r="B230" s="2">
        <v>41759</v>
      </c>
      <c r="C230" t="s">
        <v>3</v>
      </c>
      <c r="D230">
        <v>89.274744847999997</v>
      </c>
    </row>
    <row r="231" spans="2:4">
      <c r="B231" s="2">
        <v>41758</v>
      </c>
      <c r="C231" t="s">
        <v>3</v>
      </c>
      <c r="D231">
        <v>89.248500289999996</v>
      </c>
    </row>
    <row r="232" spans="2:4">
      <c r="B232" s="2">
        <v>41757</v>
      </c>
      <c r="C232" t="s">
        <v>3</v>
      </c>
      <c r="D232">
        <v>89.355189766999999</v>
      </c>
    </row>
    <row r="233" spans="2:4">
      <c r="B233" s="2">
        <v>41754</v>
      </c>
      <c r="C233" t="s">
        <v>3</v>
      </c>
      <c r="D233">
        <v>89.017764159999999</v>
      </c>
    </row>
    <row r="234" spans="2:4">
      <c r="B234" s="2">
        <v>41753</v>
      </c>
      <c r="C234" t="s">
        <v>3</v>
      </c>
      <c r="D234">
        <v>89.059186851000007</v>
      </c>
    </row>
    <row r="235" spans="2:4">
      <c r="B235" s="2">
        <v>41752</v>
      </c>
      <c r="C235" t="s">
        <v>3</v>
      </c>
      <c r="D235">
        <v>89.195101015999995</v>
      </c>
    </row>
    <row r="236" spans="2:4">
      <c r="B236" s="2">
        <v>41751</v>
      </c>
      <c r="C236" t="s">
        <v>3</v>
      </c>
      <c r="D236">
        <v>89.248810383000006</v>
      </c>
    </row>
    <row r="237" spans="2:4">
      <c r="B237" s="2">
        <v>41750</v>
      </c>
      <c r="C237" t="s">
        <v>3</v>
      </c>
      <c r="D237">
        <v>89.233609920000006</v>
      </c>
    </row>
    <row r="238" spans="2:4">
      <c r="B238" s="2">
        <v>41746</v>
      </c>
      <c r="C238" t="s">
        <v>3</v>
      </c>
      <c r="D238">
        <v>89.513000888999997</v>
      </c>
    </row>
    <row r="239" spans="2:4">
      <c r="B239" s="2">
        <v>41745</v>
      </c>
      <c r="C239" t="s">
        <v>3</v>
      </c>
      <c r="D239">
        <v>88.945922891999999</v>
      </c>
    </row>
    <row r="240" spans="2:4">
      <c r="B240" s="2">
        <v>41744</v>
      </c>
      <c r="C240" t="s">
        <v>3</v>
      </c>
      <c r="D240">
        <v>88.564145358000005</v>
      </c>
    </row>
    <row r="241" spans="2:4">
      <c r="B241" s="2">
        <v>41743</v>
      </c>
      <c r="C241" t="s">
        <v>3</v>
      </c>
      <c r="D241">
        <v>88.842836969999993</v>
      </c>
    </row>
    <row r="242" spans="2:4">
      <c r="B242" s="2">
        <v>41740</v>
      </c>
      <c r="C242" t="s">
        <v>3</v>
      </c>
      <c r="D242">
        <v>88.729671538000005</v>
      </c>
    </row>
    <row r="243" spans="2:4">
      <c r="B243" s="2">
        <v>41739</v>
      </c>
      <c r="C243" t="s">
        <v>3</v>
      </c>
      <c r="D243">
        <v>88.348300757999993</v>
      </c>
    </row>
    <row r="244" spans="2:4">
      <c r="B244" s="2">
        <v>41738</v>
      </c>
      <c r="C244" t="s">
        <v>3</v>
      </c>
      <c r="D244">
        <v>88.358692919999996</v>
      </c>
    </row>
    <row r="245" spans="2:4">
      <c r="B245" s="2">
        <v>41737</v>
      </c>
      <c r="C245" t="s">
        <v>3</v>
      </c>
      <c r="D245">
        <v>88.218986228999995</v>
      </c>
    </row>
    <row r="246" spans="2:4">
      <c r="B246" s="2">
        <v>41736</v>
      </c>
      <c r="C246" t="s">
        <v>3</v>
      </c>
      <c r="D246">
        <v>88.538362535000005</v>
      </c>
    </row>
    <row r="247" spans="2:4">
      <c r="B247" s="2">
        <v>41733</v>
      </c>
      <c r="C247" t="s">
        <v>3</v>
      </c>
      <c r="D247">
        <v>89.120001189999996</v>
      </c>
    </row>
    <row r="248" spans="2:4">
      <c r="B248" s="2">
        <v>41732</v>
      </c>
      <c r="C248" t="s">
        <v>3</v>
      </c>
      <c r="D248">
        <v>90.003168744000007</v>
      </c>
    </row>
    <row r="249" spans="2:4">
      <c r="B249" s="2">
        <v>41731</v>
      </c>
      <c r="C249" t="s">
        <v>3</v>
      </c>
      <c r="D249">
        <v>90.161683120999996</v>
      </c>
    </row>
    <row r="250" spans="2:4">
      <c r="B250" s="2">
        <v>41730</v>
      </c>
      <c r="C250" t="s">
        <v>3</v>
      </c>
      <c r="D250">
        <v>90.353265225000001</v>
      </c>
    </row>
    <row r="251" spans="2:4">
      <c r="B251" s="2">
        <v>41729</v>
      </c>
      <c r="C251" t="s">
        <v>3</v>
      </c>
      <c r="D251">
        <v>90.353633766000002</v>
      </c>
    </row>
    <row r="252" spans="2:4">
      <c r="B252" s="2">
        <v>41726</v>
      </c>
      <c r="C252" t="s">
        <v>3</v>
      </c>
      <c r="D252">
        <v>90.611478489999996</v>
      </c>
    </row>
    <row r="253" spans="2:4">
      <c r="B253" s="2">
        <v>41725</v>
      </c>
      <c r="C253" t="s">
        <v>3</v>
      </c>
      <c r="D253">
        <v>90.538897316000003</v>
      </c>
    </row>
    <row r="254" spans="2:4">
      <c r="B254" s="2">
        <v>41724</v>
      </c>
      <c r="C254" t="s">
        <v>3</v>
      </c>
      <c r="D254">
        <v>90.926573270000006</v>
      </c>
    </row>
    <row r="255" spans="2:4">
      <c r="B255" s="2">
        <v>41723</v>
      </c>
      <c r="C255" t="s">
        <v>3</v>
      </c>
      <c r="D255">
        <v>91.344702384000001</v>
      </c>
    </row>
    <row r="256" spans="2:4">
      <c r="B256" s="2">
        <v>41722</v>
      </c>
      <c r="C256" t="s">
        <v>3</v>
      </c>
      <c r="D256">
        <v>91.221451238</v>
      </c>
    </row>
    <row r="257" spans="2:4">
      <c r="B257" s="2">
        <v>41719</v>
      </c>
      <c r="C257" t="s">
        <v>3</v>
      </c>
      <c r="D257">
        <v>91.566058272000006</v>
      </c>
    </row>
    <row r="258" spans="2:4">
      <c r="B258" s="2">
        <v>41718</v>
      </c>
      <c r="C258" t="s">
        <v>3</v>
      </c>
      <c r="D258">
        <v>92.423363123000001</v>
      </c>
    </row>
    <row r="259" spans="2:4">
      <c r="B259" s="2">
        <v>41717</v>
      </c>
      <c r="C259" t="s">
        <v>3</v>
      </c>
      <c r="D259">
        <v>92.843695315000005</v>
      </c>
    </row>
    <row r="260" spans="2:4">
      <c r="B260" s="2">
        <v>41716</v>
      </c>
      <c r="C260" t="s">
        <v>3</v>
      </c>
      <c r="D260">
        <v>92.460432855999997</v>
      </c>
    </row>
    <row r="261" spans="2:4">
      <c r="B261" s="2">
        <v>41715</v>
      </c>
      <c r="C261" t="s">
        <v>3</v>
      </c>
      <c r="D261">
        <v>92.399087703999996</v>
      </c>
    </row>
    <row r="262" spans="2:4">
      <c r="B262" s="2">
        <v>41712</v>
      </c>
      <c r="C262" t="s">
        <v>3</v>
      </c>
      <c r="D262">
        <v>92.507664633999994</v>
      </c>
    </row>
    <row r="263" spans="2:4">
      <c r="B263" s="2">
        <v>41711</v>
      </c>
      <c r="C263" t="s">
        <v>3</v>
      </c>
      <c r="D263">
        <v>92.106062292000004</v>
      </c>
    </row>
    <row r="264" spans="2:4">
      <c r="B264" s="2">
        <v>41710</v>
      </c>
      <c r="C264" t="s">
        <v>3</v>
      </c>
      <c r="D264">
        <v>92.059967999999998</v>
      </c>
    </row>
    <row r="265" spans="2:4">
      <c r="B265" s="2">
        <v>41709</v>
      </c>
      <c r="C265" t="s">
        <v>3</v>
      </c>
      <c r="D265">
        <v>92.250746092</v>
      </c>
    </row>
    <row r="266" spans="2:4">
      <c r="B266" s="2">
        <v>41708</v>
      </c>
      <c r="C266" t="s">
        <v>3</v>
      </c>
      <c r="D266">
        <v>92.573822079999999</v>
      </c>
    </row>
    <row r="267" spans="2:4">
      <c r="B267" s="2">
        <v>41705</v>
      </c>
      <c r="C267" t="s">
        <v>3</v>
      </c>
      <c r="D267">
        <v>92.923129734</v>
      </c>
    </row>
    <row r="268" spans="2:4">
      <c r="B268" s="2">
        <v>41704</v>
      </c>
      <c r="C268" t="s">
        <v>3</v>
      </c>
      <c r="D268">
        <v>93.062957466</v>
      </c>
    </row>
    <row r="269" spans="2:4">
      <c r="B269" s="2">
        <v>41703</v>
      </c>
      <c r="C269" t="s">
        <v>3</v>
      </c>
      <c r="D269">
        <v>92.950739088000006</v>
      </c>
    </row>
    <row r="270" spans="2:4">
      <c r="B270" s="2">
        <v>41702</v>
      </c>
      <c r="C270" t="s">
        <v>3</v>
      </c>
      <c r="D270">
        <v>93.433774385000007</v>
      </c>
    </row>
    <row r="271" spans="2:4">
      <c r="B271" s="2">
        <v>41701</v>
      </c>
      <c r="C271" t="s">
        <v>3</v>
      </c>
      <c r="D271">
        <v>92.379528500000006</v>
      </c>
    </row>
    <row r="272" spans="2:4">
      <c r="B272" s="2">
        <v>41698</v>
      </c>
      <c r="C272" t="s">
        <v>3</v>
      </c>
      <c r="D272">
        <v>92.461310777999998</v>
      </c>
    </row>
    <row r="273" spans="2:4">
      <c r="B273" s="2">
        <v>41697</v>
      </c>
      <c r="C273" t="s">
        <v>3</v>
      </c>
      <c r="D273">
        <v>92.609713429999999</v>
      </c>
    </row>
    <row r="274" spans="2:4">
      <c r="B274" s="2">
        <v>41696</v>
      </c>
      <c r="C274" t="s">
        <v>3</v>
      </c>
      <c r="D274">
        <v>92.641287293999994</v>
      </c>
    </row>
    <row r="275" spans="2:4">
      <c r="B275" s="2">
        <v>41695</v>
      </c>
      <c r="C275" t="s">
        <v>3</v>
      </c>
      <c r="D275">
        <v>93.005106249999997</v>
      </c>
    </row>
    <row r="276" spans="2:4">
      <c r="B276" s="2">
        <v>41694</v>
      </c>
      <c r="C276" t="s">
        <v>3</v>
      </c>
      <c r="D276">
        <v>93.680428904999999</v>
      </c>
    </row>
    <row r="277" spans="2:4">
      <c r="B277" s="2">
        <v>41691</v>
      </c>
      <c r="C277" t="s">
        <v>3</v>
      </c>
      <c r="D277">
        <v>94.132731176999997</v>
      </c>
    </row>
    <row r="278" spans="2:4">
      <c r="B278" s="2">
        <v>41690</v>
      </c>
      <c r="C278" t="s">
        <v>3</v>
      </c>
      <c r="D278">
        <v>94.379280731999998</v>
      </c>
    </row>
    <row r="279" spans="2:4">
      <c r="B279" s="2">
        <v>41689</v>
      </c>
      <c r="C279" t="s">
        <v>3</v>
      </c>
      <c r="D279">
        <v>94.542731833000005</v>
      </c>
    </row>
    <row r="280" spans="2:4">
      <c r="B280" s="2">
        <v>41688</v>
      </c>
      <c r="C280" t="s">
        <v>3</v>
      </c>
      <c r="D280">
        <v>94.361176139999998</v>
      </c>
    </row>
    <row r="281" spans="2:4">
      <c r="B281" s="2">
        <v>41684</v>
      </c>
      <c r="C281" t="s">
        <v>3</v>
      </c>
      <c r="D281">
        <v>94.495113013999998</v>
      </c>
    </row>
    <row r="282" spans="2:4">
      <c r="B282" s="2">
        <v>41683</v>
      </c>
      <c r="C282" t="s">
        <v>3</v>
      </c>
      <c r="D282">
        <v>94.925264616000007</v>
      </c>
    </row>
    <row r="283" spans="2:4">
      <c r="B283" s="2">
        <v>41682</v>
      </c>
      <c r="C283" t="s">
        <v>3</v>
      </c>
      <c r="D283">
        <v>95.366595071999996</v>
      </c>
    </row>
    <row r="284" spans="2:4">
      <c r="B284" s="2">
        <v>41681</v>
      </c>
      <c r="C284" t="s">
        <v>3</v>
      </c>
      <c r="D284">
        <v>95.389644380999997</v>
      </c>
    </row>
    <row r="285" spans="2:4">
      <c r="B285" s="2">
        <v>41680</v>
      </c>
      <c r="C285" t="s">
        <v>3</v>
      </c>
      <c r="D285">
        <v>95.345154621000006</v>
      </c>
    </row>
    <row r="286" spans="2:4">
      <c r="B286" s="2">
        <v>41677</v>
      </c>
      <c r="C286" t="s">
        <v>3</v>
      </c>
      <c r="D286">
        <v>95.754556754999996</v>
      </c>
    </row>
    <row r="287" spans="2:4">
      <c r="B287" s="2">
        <v>41676</v>
      </c>
      <c r="C287" t="s">
        <v>3</v>
      </c>
      <c r="D287">
        <v>96.200147049999998</v>
      </c>
    </row>
    <row r="288" spans="2:4">
      <c r="B288" s="2">
        <v>41675</v>
      </c>
      <c r="C288" t="s">
        <v>3</v>
      </c>
      <c r="D288">
        <v>96.418449248000002</v>
      </c>
    </row>
    <row r="289" spans="2:4">
      <c r="B289" s="2">
        <v>41674</v>
      </c>
      <c r="C289" t="s">
        <v>3</v>
      </c>
      <c r="D289">
        <v>96.383639823999999</v>
      </c>
    </row>
    <row r="290" spans="2:4">
      <c r="B290" s="2">
        <v>41673</v>
      </c>
      <c r="C290" t="s">
        <v>3</v>
      </c>
      <c r="D290">
        <v>95.596080775999994</v>
      </c>
    </row>
    <row r="291" spans="2:4">
      <c r="B291" s="2">
        <v>41670</v>
      </c>
      <c r="C291" t="s">
        <v>3</v>
      </c>
      <c r="D291">
        <v>95.443978678999997</v>
      </c>
    </row>
    <row r="292" spans="2:4">
      <c r="B292" s="2">
        <v>41669</v>
      </c>
      <c r="C292" t="s">
        <v>3</v>
      </c>
      <c r="D292">
        <v>95.117651705</v>
      </c>
    </row>
    <row r="293" spans="2:4">
      <c r="B293" s="2">
        <v>41668</v>
      </c>
      <c r="C293" t="s">
        <v>3</v>
      </c>
      <c r="D293">
        <v>94.637566475</v>
      </c>
    </row>
    <row r="294" spans="2:4">
      <c r="B294" s="2">
        <v>41667</v>
      </c>
      <c r="C294" t="s">
        <v>3</v>
      </c>
      <c r="D294">
        <v>94.407808590000002</v>
      </c>
    </row>
    <row r="295" spans="2:4">
      <c r="B295" s="2">
        <v>41666</v>
      </c>
      <c r="C295" t="s">
        <v>3</v>
      </c>
      <c r="D295">
        <v>93.551087280000004</v>
      </c>
    </row>
    <row r="296" spans="2:4">
      <c r="B296" s="2">
        <v>41663</v>
      </c>
      <c r="C296" t="s">
        <v>3</v>
      </c>
      <c r="D296">
        <v>93.254997176000003</v>
      </c>
    </row>
    <row r="297" spans="2:4">
      <c r="B297" s="2">
        <v>41662</v>
      </c>
      <c r="C297" t="s">
        <v>3</v>
      </c>
      <c r="D297">
        <v>93.434447645000006</v>
      </c>
    </row>
    <row r="298" spans="2:4">
      <c r="B298" s="2">
        <v>41661</v>
      </c>
      <c r="C298" t="s">
        <v>3</v>
      </c>
      <c r="D298">
        <v>93.820181930000004</v>
      </c>
    </row>
    <row r="299" spans="2:4">
      <c r="B299" s="2">
        <v>41660</v>
      </c>
      <c r="C299" t="s">
        <v>3</v>
      </c>
      <c r="D299">
        <v>93.697014124000006</v>
      </c>
    </row>
    <row r="300" spans="2:4">
      <c r="B300" s="2">
        <v>41656</v>
      </c>
      <c r="C300" t="s">
        <v>3</v>
      </c>
      <c r="D300">
        <v>93.547170553000001</v>
      </c>
    </row>
    <row r="301" spans="2:4">
      <c r="B301" s="2">
        <v>41655</v>
      </c>
      <c r="C301" t="s">
        <v>3</v>
      </c>
      <c r="D301">
        <v>93.741374065000002</v>
      </c>
    </row>
    <row r="302" spans="2:4">
      <c r="B302" s="2">
        <v>41654</v>
      </c>
      <c r="C302" t="s">
        <v>3</v>
      </c>
      <c r="D302">
        <v>94.063556001999999</v>
      </c>
    </row>
    <row r="303" spans="2:4">
      <c r="B303" s="2">
        <v>41653</v>
      </c>
      <c r="C303" t="s">
        <v>3</v>
      </c>
      <c r="D303">
        <v>93.989569520000003</v>
      </c>
    </row>
    <row r="304" spans="2:4">
      <c r="B304" s="2">
        <v>41652</v>
      </c>
      <c r="C304" t="s">
        <v>3</v>
      </c>
      <c r="D304">
        <v>93.553590130000003</v>
      </c>
    </row>
    <row r="305" spans="2:4">
      <c r="B305" s="2">
        <v>41649</v>
      </c>
      <c r="C305" t="s">
        <v>3</v>
      </c>
      <c r="D305">
        <v>94.343277177000004</v>
      </c>
    </row>
    <row r="306" spans="2:4">
      <c r="B306" s="2">
        <v>41648</v>
      </c>
      <c r="C306" t="s">
        <v>3</v>
      </c>
      <c r="D306">
        <v>96.273680694000006</v>
      </c>
    </row>
    <row r="307" spans="2:4">
      <c r="B307" s="2">
        <v>41647</v>
      </c>
      <c r="C307" t="s">
        <v>3</v>
      </c>
      <c r="D307">
        <v>97.052304101999994</v>
      </c>
    </row>
    <row r="308" spans="2:4">
      <c r="B308" s="2">
        <v>41646</v>
      </c>
      <c r="C308" t="s">
        <v>3</v>
      </c>
      <c r="D308">
        <v>96.90021376</v>
      </c>
    </row>
    <row r="309" spans="2:4">
      <c r="B309" s="2">
        <v>41645</v>
      </c>
      <c r="C309" t="s">
        <v>3</v>
      </c>
      <c r="D309">
        <v>97.907158080000002</v>
      </c>
    </row>
    <row r="310" spans="2:4">
      <c r="B310" s="2">
        <v>41642</v>
      </c>
      <c r="C310" t="s">
        <v>3</v>
      </c>
      <c r="D310">
        <v>98.439395469999994</v>
      </c>
    </row>
    <row r="311" spans="2:4">
      <c r="B311" s="2">
        <v>41641</v>
      </c>
      <c r="C311" t="s">
        <v>3</v>
      </c>
      <c r="D311">
        <v>99.143789045000005</v>
      </c>
    </row>
    <row r="312" spans="2:4">
      <c r="B312" s="2">
        <v>41639</v>
      </c>
      <c r="C312" t="s">
        <v>3</v>
      </c>
      <c r="D312">
        <v>99.505472814000001</v>
      </c>
    </row>
    <row r="313" spans="2:4">
      <c r="B313" s="2">
        <v>41638</v>
      </c>
      <c r="C313" t="s">
        <v>3</v>
      </c>
      <c r="D313">
        <v>98.918211200000002</v>
      </c>
    </row>
    <row r="314" spans="2:4">
      <c r="B314" s="2">
        <v>41635</v>
      </c>
      <c r="C314" t="s">
        <v>3</v>
      </c>
      <c r="D314">
        <v>98.918927912000001</v>
      </c>
    </row>
    <row r="315" spans="2:4">
      <c r="B315" s="2">
        <v>41634</v>
      </c>
      <c r="C315" t="s">
        <v>3</v>
      </c>
      <c r="D315">
        <v>99.332236026000004</v>
      </c>
    </row>
    <row r="316" spans="2:4">
      <c r="B316" s="2">
        <v>41632</v>
      </c>
      <c r="C316" t="s">
        <v>3</v>
      </c>
      <c r="D316">
        <v>99.321477995999999</v>
      </c>
    </row>
    <row r="317" spans="2:4">
      <c r="B317" s="2">
        <v>41631</v>
      </c>
      <c r="C317" t="s">
        <v>3</v>
      </c>
      <c r="D317">
        <v>99.063927890000002</v>
      </c>
    </row>
    <row r="318" spans="2:4">
      <c r="B318" s="2">
        <v>41628</v>
      </c>
      <c r="C318" t="s">
        <v>3</v>
      </c>
      <c r="D318">
        <v>98.937091260000003</v>
      </c>
    </row>
    <row r="319" spans="2:4">
      <c r="B319" s="2">
        <v>41627</v>
      </c>
      <c r="C319" t="s">
        <v>3</v>
      </c>
      <c r="D319">
        <v>99.518416560000006</v>
      </c>
    </row>
    <row r="320" spans="2:4">
      <c r="B320" s="2">
        <v>41626</v>
      </c>
      <c r="C320" t="s">
        <v>3</v>
      </c>
      <c r="D320">
        <v>99.066364062999995</v>
      </c>
    </row>
    <row r="321" spans="2:4">
      <c r="B321" s="2">
        <v>41625</v>
      </c>
      <c r="C321" t="s">
        <v>3</v>
      </c>
      <c r="D321">
        <v>98.970481522</v>
      </c>
    </row>
    <row r="322" spans="2:4">
      <c r="B322" s="2">
        <v>41624</v>
      </c>
      <c r="C322" t="s">
        <v>3</v>
      </c>
      <c r="D322">
        <v>99.357911423999994</v>
      </c>
    </row>
    <row r="323" spans="2:4">
      <c r="B323" s="2">
        <v>41621</v>
      </c>
      <c r="C323" t="s">
        <v>3</v>
      </c>
      <c r="D323">
        <v>99.443296610000004</v>
      </c>
    </row>
    <row r="324" spans="2:4">
      <c r="B324" s="2">
        <v>41620</v>
      </c>
      <c r="C324" t="s">
        <v>3</v>
      </c>
      <c r="D324">
        <v>99.693663983999997</v>
      </c>
    </row>
    <row r="325" spans="2:4">
      <c r="B325" s="2">
        <v>41619</v>
      </c>
      <c r="C325" t="s">
        <v>3</v>
      </c>
      <c r="D325">
        <v>99.560516747999998</v>
      </c>
    </row>
    <row r="326" spans="2:4">
      <c r="B326" s="2">
        <v>41618</v>
      </c>
      <c r="C326" t="s">
        <v>3</v>
      </c>
      <c r="D326">
        <v>99.391882296000006</v>
      </c>
    </row>
    <row r="327" spans="2:4">
      <c r="B327" s="2">
        <v>41617</v>
      </c>
      <c r="C327" t="s">
        <v>3</v>
      </c>
      <c r="D327">
        <v>99.807311604000006</v>
      </c>
    </row>
    <row r="328" spans="2:4">
      <c r="B328" s="2">
        <v>41614</v>
      </c>
      <c r="C328" t="s">
        <v>3</v>
      </c>
      <c r="D328">
        <v>100.089100242</v>
      </c>
    </row>
    <row r="329" spans="2:4">
      <c r="B329" s="2">
        <v>41613</v>
      </c>
      <c r="C329" t="s">
        <v>3</v>
      </c>
      <c r="D329">
        <v>100.5387929</v>
      </c>
    </row>
    <row r="330" spans="2:4">
      <c r="B330" s="2">
        <v>41612</v>
      </c>
      <c r="C330" t="s">
        <v>3</v>
      </c>
      <c r="D330">
        <v>100.36307187600001</v>
      </c>
    </row>
    <row r="331" spans="2:4">
      <c r="B331" s="2">
        <v>41611</v>
      </c>
      <c r="C331" t="s">
        <v>3</v>
      </c>
      <c r="D331">
        <v>100.095755786</v>
      </c>
    </row>
    <row r="332" spans="2:4">
      <c r="B332" s="2">
        <v>41600</v>
      </c>
      <c r="C332" t="s">
        <v>3</v>
      </c>
      <c r="D332">
        <v>99.039049035000005</v>
      </c>
    </row>
    <row r="333" spans="2:4">
      <c r="B333" s="2">
        <v>41599</v>
      </c>
      <c r="C333" t="s">
        <v>3</v>
      </c>
      <c r="D333">
        <v>99.105447056000003</v>
      </c>
    </row>
    <row r="334" spans="2:4">
      <c r="B334" s="2">
        <v>41598</v>
      </c>
      <c r="C334" t="s">
        <v>3</v>
      </c>
      <c r="D334">
        <v>99.079306388999996</v>
      </c>
    </row>
    <row r="335" spans="2:4">
      <c r="B335" s="2">
        <v>41597</v>
      </c>
      <c r="C335" t="s">
        <v>3</v>
      </c>
      <c r="D335">
        <v>98.320183400000005</v>
      </c>
    </row>
    <row r="336" spans="2:4">
      <c r="B336" s="2">
        <v>41596</v>
      </c>
      <c r="C336" t="s">
        <v>3</v>
      </c>
      <c r="D336">
        <v>98.027682357000003</v>
      </c>
    </row>
    <row r="337" spans="2:4">
      <c r="B337" s="2">
        <v>41593</v>
      </c>
      <c r="C337" t="s">
        <v>3</v>
      </c>
      <c r="D337">
        <v>98.664037766000007</v>
      </c>
    </row>
    <row r="338" spans="2:4">
      <c r="B338" s="2">
        <v>41592</v>
      </c>
      <c r="C338" t="s">
        <v>3</v>
      </c>
      <c r="D338">
        <v>98.928534524</v>
      </c>
    </row>
    <row r="339" spans="2:4">
      <c r="B339" s="2">
        <v>41591</v>
      </c>
      <c r="C339" t="s">
        <v>3</v>
      </c>
      <c r="D339">
        <v>99.92011445</v>
      </c>
    </row>
    <row r="340" spans="2:4">
      <c r="B340" s="2">
        <v>41590</v>
      </c>
      <c r="C340" t="s">
        <v>3</v>
      </c>
      <c r="D340">
        <v>100.294593632</v>
      </c>
    </row>
    <row r="341" spans="2:4">
      <c r="B341" s="2">
        <v>41586</v>
      </c>
      <c r="C341" t="s">
        <v>3</v>
      </c>
      <c r="D341">
        <v>100.10343889000001</v>
      </c>
    </row>
    <row r="342" spans="2:4">
      <c r="B342" s="2">
        <v>41585</v>
      </c>
      <c r="C342" t="s">
        <v>3</v>
      </c>
      <c r="D342">
        <v>99.005326221000004</v>
      </c>
    </row>
    <row r="343" spans="2:4">
      <c r="B343" s="2">
        <v>41584</v>
      </c>
      <c r="C343" t="s">
        <v>3</v>
      </c>
      <c r="D343">
        <v>99.301634215999997</v>
      </c>
    </row>
    <row r="344" spans="2:4">
      <c r="B344" s="2">
        <v>41583</v>
      </c>
      <c r="C344" t="s">
        <v>3</v>
      </c>
      <c r="D344">
        <v>99.582810768000002</v>
      </c>
    </row>
    <row r="345" spans="2:4">
      <c r="B345" s="2">
        <v>41582</v>
      </c>
      <c r="C345" t="s">
        <v>3</v>
      </c>
      <c r="D345">
        <v>98.702372284000006</v>
      </c>
    </row>
    <row r="346" spans="2:4">
      <c r="B346" s="2">
        <v>41579</v>
      </c>
      <c r="C346" t="s">
        <v>3</v>
      </c>
      <c r="D346">
        <v>98.995830261999998</v>
      </c>
    </row>
    <row r="347" spans="2:4">
      <c r="B347" s="2">
        <v>41578</v>
      </c>
      <c r="C347" t="s">
        <v>3</v>
      </c>
      <c r="D347">
        <v>98.490174805999999</v>
      </c>
    </row>
    <row r="348" spans="2:4">
      <c r="B348" s="2">
        <v>41577</v>
      </c>
      <c r="C348" t="s">
        <v>3</v>
      </c>
      <c r="D348">
        <v>97.706434135999999</v>
      </c>
    </row>
    <row r="349" spans="2:4">
      <c r="B349" s="2">
        <v>41576</v>
      </c>
      <c r="C349" t="s">
        <v>3</v>
      </c>
      <c r="D349">
        <v>97.371158039999997</v>
      </c>
    </row>
    <row r="350" spans="2:4">
      <c r="B350" s="2">
        <v>41575</v>
      </c>
      <c r="C350" t="s">
        <v>3</v>
      </c>
      <c r="D350">
        <v>97.487399640000007</v>
      </c>
    </row>
    <row r="351" spans="2:4">
      <c r="B351" s="2">
        <v>41572</v>
      </c>
      <c r="C351" t="s">
        <v>3</v>
      </c>
      <c r="D351">
        <v>97.997705960000005</v>
      </c>
    </row>
    <row r="352" spans="2:4">
      <c r="B352" s="2">
        <v>41571</v>
      </c>
      <c r="C352" t="s">
        <v>3</v>
      </c>
      <c r="D352">
        <v>98.173869991999993</v>
      </c>
    </row>
    <row r="353" spans="2:4">
      <c r="B353" s="2">
        <v>41570</v>
      </c>
      <c r="C353" t="s">
        <v>3</v>
      </c>
      <c r="D353">
        <v>98.079649889999999</v>
      </c>
    </row>
    <row r="354" spans="2:4">
      <c r="B354" s="2">
        <v>41569</v>
      </c>
      <c r="C354" t="s">
        <v>3</v>
      </c>
      <c r="D354">
        <v>98.416683057</v>
      </c>
    </row>
    <row r="355" spans="2:4">
      <c r="B355" s="2">
        <v>41568</v>
      </c>
      <c r="C355" t="s">
        <v>3</v>
      </c>
      <c r="D355">
        <v>99.328987416000004</v>
      </c>
    </row>
    <row r="356" spans="2:4">
      <c r="B356" s="2">
        <v>41565</v>
      </c>
      <c r="C356" t="s">
        <v>3</v>
      </c>
      <c r="D356">
        <v>99.412553450000004</v>
      </c>
    </row>
    <row r="357" spans="2:4">
      <c r="B357" s="2">
        <v>41564</v>
      </c>
      <c r="C357" t="s">
        <v>3</v>
      </c>
      <c r="D357">
        <v>99.305187903999993</v>
      </c>
    </row>
    <row r="358" spans="2:4">
      <c r="B358" s="2">
        <v>41563</v>
      </c>
      <c r="C358" t="s">
        <v>3</v>
      </c>
      <c r="D358">
        <v>99.633746880000004</v>
      </c>
    </row>
    <row r="359" spans="2:4">
      <c r="B359" s="2">
        <v>41562</v>
      </c>
      <c r="C359" t="s">
        <v>3</v>
      </c>
      <c r="D359">
        <v>99.974802269999998</v>
      </c>
    </row>
    <row r="360" spans="2:4">
      <c r="B360" s="2">
        <v>41558</v>
      </c>
      <c r="C360" t="s">
        <v>3</v>
      </c>
      <c r="D360">
        <v>99.572658598000004</v>
      </c>
    </row>
    <row r="361" spans="2:4">
      <c r="B361" s="2">
        <v>41557</v>
      </c>
      <c r="C361" t="s">
        <v>3</v>
      </c>
      <c r="D361">
        <v>99.511876544000003</v>
      </c>
    </row>
    <row r="362" spans="2:4">
      <c r="B362" s="2">
        <v>41556</v>
      </c>
      <c r="C362" t="s">
        <v>3</v>
      </c>
      <c r="D362">
        <v>99.651911904000002</v>
      </c>
    </row>
    <row r="363" spans="2:4">
      <c r="B363" s="2">
        <v>41555</v>
      </c>
      <c r="C363" t="s">
        <v>3</v>
      </c>
      <c r="D363">
        <v>99.415289791999996</v>
      </c>
    </row>
    <row r="364" spans="2:4">
      <c r="B364" s="2">
        <v>41554</v>
      </c>
      <c r="C364" t="s">
        <v>3</v>
      </c>
      <c r="D364">
        <v>99.485692596000007</v>
      </c>
    </row>
    <row r="365" spans="2:4">
      <c r="B365" s="2">
        <v>41551</v>
      </c>
      <c r="C365" t="s">
        <v>3</v>
      </c>
      <c r="D365">
        <v>99.636052637999995</v>
      </c>
    </row>
    <row r="366" spans="2:4">
      <c r="B366" s="2">
        <v>41550</v>
      </c>
      <c r="C366" t="s">
        <v>3</v>
      </c>
      <c r="D366">
        <v>99.381111274000006</v>
      </c>
    </row>
    <row r="367" spans="2:4">
      <c r="B367" s="2">
        <v>41549</v>
      </c>
      <c r="C367" t="s">
        <v>3</v>
      </c>
      <c r="D367">
        <v>100.051053806</v>
      </c>
    </row>
    <row r="368" spans="2:4">
      <c r="B368" s="2">
        <v>41548</v>
      </c>
      <c r="C368" t="s">
        <v>3</v>
      </c>
      <c r="D368">
        <v>100.37207077399999</v>
      </c>
    </row>
    <row r="369" spans="2:4">
      <c r="B369" s="2">
        <v>41547</v>
      </c>
      <c r="C369" t="s">
        <v>3</v>
      </c>
      <c r="D369">
        <v>100.26934362900001</v>
      </c>
    </row>
    <row r="370" spans="2:4">
      <c r="B370" s="2">
        <v>41544</v>
      </c>
      <c r="C370" t="s">
        <v>3</v>
      </c>
      <c r="D370">
        <v>100.14421054500001</v>
      </c>
    </row>
    <row r="371" spans="2:4">
      <c r="B371" s="2">
        <v>41543</v>
      </c>
      <c r="C371" t="s">
        <v>3</v>
      </c>
      <c r="D371">
        <v>99.615379775999997</v>
      </c>
    </row>
    <row r="372" spans="2:4">
      <c r="B372" s="2">
        <v>41542</v>
      </c>
      <c r="C372" t="s">
        <v>3</v>
      </c>
      <c r="D372">
        <v>99.210617639999995</v>
      </c>
    </row>
    <row r="373" spans="2:4">
      <c r="B373" s="2">
        <v>41541</v>
      </c>
      <c r="C373" t="s">
        <v>3</v>
      </c>
      <c r="D373">
        <v>99.514982111999998</v>
      </c>
    </row>
    <row r="374" spans="2:4">
      <c r="B374" s="2">
        <v>41540</v>
      </c>
      <c r="C374" t="s">
        <v>3</v>
      </c>
      <c r="D374">
        <v>99.689183639999996</v>
      </c>
    </row>
    <row r="375" spans="2:4">
      <c r="B375" s="2">
        <v>41537</v>
      </c>
      <c r="C375" t="s">
        <v>3</v>
      </c>
      <c r="D375">
        <v>100.106283899</v>
      </c>
    </row>
    <row r="376" spans="2:4">
      <c r="B376" s="2">
        <v>41536</v>
      </c>
      <c r="C376" t="s">
        <v>3</v>
      </c>
      <c r="D376">
        <v>100.23288304800001</v>
      </c>
    </row>
    <row r="377" spans="2:4">
      <c r="B377" s="2">
        <v>41535</v>
      </c>
      <c r="C377" t="s">
        <v>3</v>
      </c>
      <c r="D377">
        <v>100.283735138</v>
      </c>
    </row>
    <row r="378" spans="2:4">
      <c r="B378" s="2">
        <v>41534</v>
      </c>
      <c r="C378" t="s">
        <v>3</v>
      </c>
      <c r="D378">
        <v>101.83514754399999</v>
      </c>
    </row>
    <row r="379" spans="2:4">
      <c r="B379" s="2">
        <v>41533</v>
      </c>
      <c r="C379" t="s">
        <v>3</v>
      </c>
      <c r="D379">
        <v>102.80277563</v>
      </c>
    </row>
    <row r="380" spans="2:4">
      <c r="B380" s="2">
        <v>41530</v>
      </c>
      <c r="C380" t="s">
        <v>3</v>
      </c>
      <c r="D380">
        <v>103.14056196</v>
      </c>
    </row>
    <row r="381" spans="2:4">
      <c r="B381" s="2">
        <v>41529</v>
      </c>
      <c r="C381" t="s">
        <v>3</v>
      </c>
      <c r="D381">
        <v>103.513701144</v>
      </c>
    </row>
    <row r="382" spans="2:4">
      <c r="B382" s="2">
        <v>41528</v>
      </c>
      <c r="C382" t="s">
        <v>3</v>
      </c>
      <c r="D382">
        <v>104.35300029</v>
      </c>
    </row>
    <row r="383" spans="2:4">
      <c r="B383" s="2">
        <v>41527</v>
      </c>
      <c r="C383" t="s">
        <v>3</v>
      </c>
      <c r="D383">
        <v>105.037626745</v>
      </c>
    </row>
    <row r="384" spans="2:4">
      <c r="B384" s="2">
        <v>41526</v>
      </c>
      <c r="C384" t="s">
        <v>3</v>
      </c>
      <c r="D384">
        <v>104.85865665599999</v>
      </c>
    </row>
    <row r="385" spans="2:4">
      <c r="B385" s="2">
        <v>41523</v>
      </c>
      <c r="C385" t="s">
        <v>3</v>
      </c>
      <c r="D385">
        <v>104.80515174999999</v>
      </c>
    </row>
    <row r="386" spans="2:4">
      <c r="B386" s="2">
        <v>41522</v>
      </c>
      <c r="C386" t="s">
        <v>3</v>
      </c>
      <c r="D386">
        <v>104.91573302400001</v>
      </c>
    </row>
    <row r="387" spans="2:4">
      <c r="B387" s="2">
        <v>41521</v>
      </c>
      <c r="C387" t="s">
        <v>3</v>
      </c>
      <c r="D387">
        <v>104.15605034399999</v>
      </c>
    </row>
    <row r="388" spans="2:4">
      <c r="B388" s="2">
        <v>41520</v>
      </c>
      <c r="C388" t="s">
        <v>3</v>
      </c>
      <c r="D388">
        <v>103.90149166800001</v>
      </c>
    </row>
    <row r="389" spans="2:4">
      <c r="B389" s="2">
        <v>41516</v>
      </c>
      <c r="C389" t="s">
        <v>3</v>
      </c>
      <c r="D389">
        <v>103.3595607</v>
      </c>
    </row>
    <row r="390" spans="2:4">
      <c r="B390" s="2">
        <v>41515</v>
      </c>
      <c r="C390" t="s">
        <v>3</v>
      </c>
      <c r="D390">
        <v>102.986442375</v>
      </c>
    </row>
    <row r="391" spans="2:4">
      <c r="B391" s="2">
        <v>41514</v>
      </c>
      <c r="C391" t="s">
        <v>3</v>
      </c>
      <c r="D391">
        <v>102.903514989</v>
      </c>
    </row>
    <row r="392" spans="2:4">
      <c r="B392" s="2">
        <v>41513</v>
      </c>
      <c r="C392" t="s">
        <v>3</v>
      </c>
      <c r="D392">
        <v>101.97745772499999</v>
      </c>
    </row>
    <row r="393" spans="2:4">
      <c r="B393" s="2">
        <v>41512</v>
      </c>
      <c r="C393" t="s">
        <v>3</v>
      </c>
      <c r="D393">
        <v>102.08138252400001</v>
      </c>
    </row>
    <row r="394" spans="2:4">
      <c r="B394" s="2">
        <v>41509</v>
      </c>
      <c r="C394" t="s">
        <v>3</v>
      </c>
      <c r="D394">
        <v>102.331239666</v>
      </c>
    </row>
    <row r="395" spans="2:4">
      <c r="B395" s="2">
        <v>41508</v>
      </c>
      <c r="C395" t="s">
        <v>3</v>
      </c>
      <c r="D395">
        <v>102.62610888</v>
      </c>
    </row>
    <row r="396" spans="2:4">
      <c r="B396" s="2">
        <v>41507</v>
      </c>
      <c r="C396" t="s">
        <v>3</v>
      </c>
      <c r="D396">
        <v>102.954410395</v>
      </c>
    </row>
    <row r="397" spans="2:4">
      <c r="B397" s="2">
        <v>41506</v>
      </c>
      <c r="C397" t="s">
        <v>3</v>
      </c>
      <c r="D397">
        <v>102.065283936</v>
      </c>
    </row>
    <row r="398" spans="2:4">
      <c r="B398" s="2">
        <v>41505</v>
      </c>
      <c r="C398" t="s">
        <v>3</v>
      </c>
      <c r="D398">
        <v>102.31510785</v>
      </c>
    </row>
    <row r="399" spans="2:4">
      <c r="B399" s="2">
        <v>41502</v>
      </c>
      <c r="C399" t="s">
        <v>3</v>
      </c>
      <c r="D399">
        <v>101.781858525</v>
      </c>
    </row>
    <row r="400" spans="2:4">
      <c r="B400" s="2">
        <v>41501</v>
      </c>
      <c r="C400" t="s">
        <v>3</v>
      </c>
      <c r="D400">
        <v>101.74477770599999</v>
      </c>
    </row>
    <row r="401" spans="2:4">
      <c r="B401" s="2">
        <v>41500</v>
      </c>
      <c r="C401" t="s">
        <v>3</v>
      </c>
      <c r="D401">
        <v>101.2934951</v>
      </c>
    </row>
    <row r="402" spans="2:4">
      <c r="B402" s="2">
        <v>41499</v>
      </c>
      <c r="C402" t="s">
        <v>3</v>
      </c>
      <c r="D402">
        <v>101.23527198399999</v>
      </c>
    </row>
    <row r="403" spans="2:4">
      <c r="B403" s="2">
        <v>41498</v>
      </c>
      <c r="C403" t="s">
        <v>3</v>
      </c>
      <c r="D403">
        <v>100.77704322</v>
      </c>
    </row>
    <row r="404" spans="2:4">
      <c r="B404" s="2">
        <v>41495</v>
      </c>
      <c r="C404" t="s">
        <v>3</v>
      </c>
      <c r="D404">
        <v>100.49104452</v>
      </c>
    </row>
    <row r="405" spans="2:4">
      <c r="B405" s="2">
        <v>41494</v>
      </c>
      <c r="C405" t="s">
        <v>3</v>
      </c>
      <c r="D405">
        <v>100.605366456</v>
      </c>
    </row>
    <row r="406" spans="2:4">
      <c r="B406" s="2">
        <v>41493</v>
      </c>
      <c r="C406" t="s">
        <v>3</v>
      </c>
      <c r="D406">
        <v>101.070372053</v>
      </c>
    </row>
    <row r="407" spans="2:4">
      <c r="B407" s="2">
        <v>41492</v>
      </c>
      <c r="C407" t="s">
        <v>3</v>
      </c>
      <c r="D407">
        <v>101.758093045</v>
      </c>
    </row>
    <row r="408" spans="2:4">
      <c r="B408" s="2">
        <v>41491</v>
      </c>
      <c r="C408" t="s">
        <v>3</v>
      </c>
      <c r="D408">
        <v>101.677962519</v>
      </c>
    </row>
    <row r="409" spans="2:4">
      <c r="B409" s="2">
        <v>41488</v>
      </c>
      <c r="C409" t="s">
        <v>3</v>
      </c>
      <c r="D409">
        <v>101.54521894</v>
      </c>
    </row>
    <row r="410" spans="2:4">
      <c r="B410" s="2">
        <v>41487</v>
      </c>
      <c r="C410" t="s">
        <v>3</v>
      </c>
      <c r="D410">
        <v>102.149700565</v>
      </c>
    </row>
    <row r="411" spans="2:4">
      <c r="B411" s="2">
        <v>41486</v>
      </c>
      <c r="C411" t="s">
        <v>3</v>
      </c>
      <c r="D411">
        <v>101.254067292</v>
      </c>
    </row>
    <row r="412" spans="2:4">
      <c r="B412" s="2">
        <v>41485</v>
      </c>
      <c r="C412" t="s">
        <v>3</v>
      </c>
      <c r="D412">
        <v>101.199492768</v>
      </c>
    </row>
    <row r="413" spans="2:4">
      <c r="B413" s="2">
        <v>41484</v>
      </c>
      <c r="C413" t="s">
        <v>3</v>
      </c>
      <c r="D413">
        <v>101.17095392</v>
      </c>
    </row>
    <row r="414" spans="2:4">
      <c r="B414" s="2">
        <v>41481</v>
      </c>
      <c r="C414" t="s">
        <v>3</v>
      </c>
      <c r="D414">
        <v>101.068929825</v>
      </c>
    </row>
    <row r="415" spans="2:4">
      <c r="B415" s="2">
        <v>41480</v>
      </c>
      <c r="C415" t="s">
        <v>3</v>
      </c>
      <c r="D415">
        <v>100.709982009</v>
      </c>
    </row>
    <row r="416" spans="2:4">
      <c r="B416" s="2">
        <v>41479</v>
      </c>
      <c r="C416" t="s">
        <v>3</v>
      </c>
      <c r="D416">
        <v>100.709451583</v>
      </c>
    </row>
    <row r="417" spans="2:4">
      <c r="B417" s="2">
        <v>41478</v>
      </c>
      <c r="C417" t="s">
        <v>3</v>
      </c>
      <c r="D417">
        <v>98.955526324000004</v>
      </c>
    </row>
    <row r="418" spans="2:4">
      <c r="B418" s="2">
        <v>41477</v>
      </c>
      <c r="C418" t="s">
        <v>3</v>
      </c>
      <c r="D418">
        <v>98.675621879999994</v>
      </c>
    </row>
    <row r="419" spans="2:4">
      <c r="B419" s="2">
        <v>41474</v>
      </c>
      <c r="C419" t="s">
        <v>3</v>
      </c>
      <c r="D419">
        <v>98.473210257999995</v>
      </c>
    </row>
    <row r="420" spans="2:4">
      <c r="B420" s="2">
        <v>41473</v>
      </c>
      <c r="C420" t="s">
        <v>3</v>
      </c>
      <c r="D420">
        <v>98.641074614000004</v>
      </c>
    </row>
    <row r="421" spans="2:4">
      <c r="B421" s="2">
        <v>41472</v>
      </c>
      <c r="C421" t="s">
        <v>3</v>
      </c>
      <c r="D421">
        <v>98.547245923000006</v>
      </c>
    </row>
    <row r="422" spans="2:4">
      <c r="B422" s="2">
        <v>41471</v>
      </c>
      <c r="C422" t="s">
        <v>3</v>
      </c>
      <c r="D422">
        <v>99.254879110000005</v>
      </c>
    </row>
    <row r="423" spans="2:4">
      <c r="B423" s="2">
        <v>41470</v>
      </c>
      <c r="C423" t="s">
        <v>3</v>
      </c>
      <c r="D423">
        <v>99.505995654000003</v>
      </c>
    </row>
    <row r="424" spans="2:4">
      <c r="B424" s="2">
        <v>41467</v>
      </c>
      <c r="C424" t="s">
        <v>3</v>
      </c>
      <c r="D424">
        <v>99.773425295999999</v>
      </c>
    </row>
    <row r="425" spans="2:4">
      <c r="B425" s="2">
        <v>41466</v>
      </c>
      <c r="C425" t="s">
        <v>3</v>
      </c>
      <c r="D425">
        <v>99.529834014000002</v>
      </c>
    </row>
    <row r="426" spans="2:4">
      <c r="B426" s="2">
        <v>41465</v>
      </c>
      <c r="C426" t="s">
        <v>3</v>
      </c>
      <c r="D426">
        <v>99.964776256999997</v>
      </c>
    </row>
    <row r="427" spans="2:4">
      <c r="B427" s="2">
        <v>41464</v>
      </c>
      <c r="C427" t="s">
        <v>3</v>
      </c>
      <c r="D427">
        <v>99.675337811999995</v>
      </c>
    </row>
    <row r="428" spans="2:4">
      <c r="B428" s="2">
        <v>41463</v>
      </c>
      <c r="C428" t="s">
        <v>3</v>
      </c>
      <c r="D428">
        <v>100.297853988</v>
      </c>
    </row>
    <row r="429" spans="2:4">
      <c r="B429" s="2">
        <v>41460</v>
      </c>
      <c r="C429" t="s">
        <v>3</v>
      </c>
      <c r="D429">
        <v>100.99797074999999</v>
      </c>
    </row>
    <row r="430" spans="2:4">
      <c r="B430" s="2">
        <v>41458</v>
      </c>
      <c r="C430" t="s">
        <v>3</v>
      </c>
      <c r="D430">
        <v>99.656354394999994</v>
      </c>
    </row>
    <row r="431" spans="2:4">
      <c r="B431" s="2">
        <v>41457</v>
      </c>
      <c r="C431" t="s">
        <v>3</v>
      </c>
      <c r="D431">
        <v>99.249865553999996</v>
      </c>
    </row>
    <row r="432" spans="2:4">
      <c r="B432" s="2">
        <v>41456</v>
      </c>
      <c r="C432" t="s">
        <v>3</v>
      </c>
      <c r="D432">
        <v>99.213326351000006</v>
      </c>
    </row>
    <row r="433" spans="2:4">
      <c r="B433" s="2">
        <v>41453</v>
      </c>
      <c r="C433" t="s">
        <v>3</v>
      </c>
      <c r="D433">
        <v>99.523566665999994</v>
      </c>
    </row>
    <row r="434" spans="2:4">
      <c r="B434" s="2">
        <v>41452</v>
      </c>
      <c r="C434" t="s">
        <v>3</v>
      </c>
      <c r="D434">
        <v>98.615558132000004</v>
      </c>
    </row>
    <row r="435" spans="2:4">
      <c r="B435" s="2">
        <v>41451</v>
      </c>
      <c r="C435" t="s">
        <v>3</v>
      </c>
      <c r="D435">
        <v>99.633912280000004</v>
      </c>
    </row>
    <row r="436" spans="2:4">
      <c r="B436" s="2">
        <v>41450</v>
      </c>
      <c r="C436" t="s">
        <v>3</v>
      </c>
      <c r="D436">
        <v>99.785441266000007</v>
      </c>
    </row>
    <row r="437" spans="2:4">
      <c r="B437" s="2">
        <v>41449</v>
      </c>
      <c r="C437" t="s">
        <v>3</v>
      </c>
      <c r="D437">
        <v>100.375734816</v>
      </c>
    </row>
    <row r="438" spans="2:4">
      <c r="B438" s="2">
        <v>41446</v>
      </c>
      <c r="C438" t="s">
        <v>3</v>
      </c>
      <c r="D438">
        <v>99.925265874999994</v>
      </c>
    </row>
    <row r="439" spans="2:4">
      <c r="B439" s="2">
        <v>41445</v>
      </c>
      <c r="C439" t="s">
        <v>3</v>
      </c>
      <c r="D439">
        <v>100.147992399</v>
      </c>
    </row>
    <row r="440" spans="2:4">
      <c r="B440" s="2">
        <v>41444</v>
      </c>
      <c r="C440" t="s">
        <v>3</v>
      </c>
      <c r="D440">
        <v>99.661064475000003</v>
      </c>
    </row>
    <row r="441" spans="2:4">
      <c r="B441" s="2">
        <v>41443</v>
      </c>
      <c r="C441" t="s">
        <v>3</v>
      </c>
      <c r="D441">
        <v>97.664974763999993</v>
      </c>
    </row>
    <row r="442" spans="2:4">
      <c r="B442" s="2">
        <v>41442</v>
      </c>
      <c r="C442" t="s">
        <v>3</v>
      </c>
      <c r="D442">
        <v>97.604246700000004</v>
      </c>
    </row>
    <row r="443" spans="2:4">
      <c r="B443" s="2">
        <v>41439</v>
      </c>
      <c r="C443" t="s">
        <v>3</v>
      </c>
      <c r="D443">
        <v>97.241121251999999</v>
      </c>
    </row>
    <row r="444" spans="2:4">
      <c r="B444" s="2">
        <v>41438</v>
      </c>
      <c r="C444" t="s">
        <v>3</v>
      </c>
      <c r="D444">
        <v>97.562164420000002</v>
      </c>
    </row>
    <row r="445" spans="2:4">
      <c r="B445" s="2">
        <v>41437</v>
      </c>
      <c r="C445" t="s">
        <v>3</v>
      </c>
      <c r="D445">
        <v>98.577654120000005</v>
      </c>
    </row>
    <row r="446" spans="2:4">
      <c r="B446" s="2">
        <v>41436</v>
      </c>
      <c r="C446" t="s">
        <v>3</v>
      </c>
      <c r="D446">
        <v>98.901633743999994</v>
      </c>
    </row>
    <row r="447" spans="2:4">
      <c r="B447" s="2">
        <v>41435</v>
      </c>
      <c r="C447" t="s">
        <v>3</v>
      </c>
      <c r="D447">
        <v>98.887086885000002</v>
      </c>
    </row>
    <row r="448" spans="2:4">
      <c r="B448" s="2">
        <v>41432</v>
      </c>
      <c r="C448" t="s">
        <v>3</v>
      </c>
      <c r="D448">
        <v>98.527290719999996</v>
      </c>
    </row>
    <row r="449" spans="2:4">
      <c r="B449" s="2">
        <v>41431</v>
      </c>
      <c r="C449" t="s">
        <v>3</v>
      </c>
      <c r="D449">
        <v>97.757545863000004</v>
      </c>
    </row>
    <row r="450" spans="2:4">
      <c r="B450" s="2">
        <v>41430</v>
      </c>
      <c r="C450" t="s">
        <v>3</v>
      </c>
      <c r="D450">
        <v>98.120006774999993</v>
      </c>
    </row>
    <row r="451" spans="2:4">
      <c r="B451" s="2">
        <v>41429</v>
      </c>
      <c r="C451" t="s">
        <v>3</v>
      </c>
      <c r="D451">
        <v>97.998733853999994</v>
      </c>
    </row>
    <row r="452" spans="2:4">
      <c r="B452" s="2">
        <v>41428</v>
      </c>
      <c r="C452" t="s">
        <v>3</v>
      </c>
      <c r="D452">
        <v>96.941435760999994</v>
      </c>
    </row>
    <row r="453" spans="2:4">
      <c r="B453" s="2">
        <v>41425</v>
      </c>
      <c r="C453" t="s">
        <v>3</v>
      </c>
      <c r="D453">
        <v>95.565666379999996</v>
      </c>
    </row>
    <row r="454" spans="2:4">
      <c r="B454" s="2">
        <v>41424</v>
      </c>
      <c r="C454" t="s">
        <v>3</v>
      </c>
      <c r="D454">
        <v>94.973171699999995</v>
      </c>
    </row>
    <row r="455" spans="2:4">
      <c r="B455" s="2">
        <v>41423</v>
      </c>
      <c r="C455" t="s">
        <v>3</v>
      </c>
      <c r="D455">
        <v>94.271426207999994</v>
      </c>
    </row>
    <row r="456" spans="2:4">
      <c r="B456" s="2">
        <v>41422</v>
      </c>
      <c r="C456" t="s">
        <v>3</v>
      </c>
      <c r="D456">
        <v>93.751467711000004</v>
      </c>
    </row>
    <row r="457" spans="2:4">
      <c r="B457" s="2">
        <v>41418</v>
      </c>
      <c r="C457" t="s">
        <v>3</v>
      </c>
      <c r="D457">
        <v>92.274246207999994</v>
      </c>
    </row>
    <row r="458" spans="2:4">
      <c r="B458" s="2">
        <v>41417</v>
      </c>
      <c r="C458" t="s">
        <v>3</v>
      </c>
      <c r="D458">
        <v>91.943237088000004</v>
      </c>
    </row>
    <row r="459" spans="2:4">
      <c r="B459" s="2">
        <v>41416</v>
      </c>
      <c r="C459" t="s">
        <v>3</v>
      </c>
      <c r="D459">
        <v>91.935543733000003</v>
      </c>
    </row>
    <row r="460" spans="2:4">
      <c r="B460" s="2">
        <v>41415</v>
      </c>
      <c r="C460" t="s">
        <v>3</v>
      </c>
      <c r="D460">
        <v>91.743016819999994</v>
      </c>
    </row>
    <row r="461" spans="2:4">
      <c r="B461" s="2">
        <v>41414</v>
      </c>
      <c r="C461" t="s">
        <v>3</v>
      </c>
      <c r="D461">
        <v>91.771285422000005</v>
      </c>
    </row>
    <row r="462" spans="2:4">
      <c r="B462" s="2">
        <v>41411</v>
      </c>
      <c r="C462" t="s">
        <v>3</v>
      </c>
      <c r="D462">
        <v>91.744062803999995</v>
      </c>
    </row>
    <row r="463" spans="2:4">
      <c r="B463" s="2">
        <v>41410</v>
      </c>
      <c r="C463" t="s">
        <v>3</v>
      </c>
      <c r="D463">
        <v>91.672093493999995</v>
      </c>
    </row>
    <row r="464" spans="2:4">
      <c r="B464" s="2">
        <v>41409</v>
      </c>
      <c r="C464" t="s">
        <v>3</v>
      </c>
      <c r="D464">
        <v>91.705508674000001</v>
      </c>
    </row>
    <row r="465" spans="2:4">
      <c r="B465" s="2">
        <v>41408</v>
      </c>
      <c r="C465" t="s">
        <v>3</v>
      </c>
      <c r="D465">
        <v>91.901895877000001</v>
      </c>
    </row>
    <row r="466" spans="2:4">
      <c r="B466" s="2">
        <v>41407</v>
      </c>
      <c r="C466" t="s">
        <v>3</v>
      </c>
      <c r="D466">
        <v>91.704805472999993</v>
      </c>
    </row>
    <row r="467" spans="2:4">
      <c r="B467" s="2">
        <v>41404</v>
      </c>
      <c r="C467" t="s">
        <v>3</v>
      </c>
      <c r="D467">
        <v>91.592237060000002</v>
      </c>
    </row>
    <row r="468" spans="2:4">
      <c r="B468" s="2">
        <v>41403</v>
      </c>
      <c r="C468" t="s">
        <v>3</v>
      </c>
      <c r="D468">
        <v>92.422849780000007</v>
      </c>
    </row>
    <row r="469" spans="2:4">
      <c r="B469" s="2">
        <v>41402</v>
      </c>
      <c r="C469" t="s">
        <v>3</v>
      </c>
      <c r="D469">
        <v>93.118934358000004</v>
      </c>
    </row>
    <row r="470" spans="2:4">
      <c r="B470" s="2">
        <v>41401</v>
      </c>
      <c r="C470" t="s">
        <v>3</v>
      </c>
      <c r="D470">
        <v>93.099890131999999</v>
      </c>
    </row>
    <row r="471" spans="2:4">
      <c r="B471" s="2">
        <v>41400</v>
      </c>
      <c r="C471" t="s">
        <v>3</v>
      </c>
      <c r="D471">
        <v>93.104473876</v>
      </c>
    </row>
    <row r="472" spans="2:4">
      <c r="B472" s="2">
        <v>41397</v>
      </c>
      <c r="C472" t="s">
        <v>3</v>
      </c>
      <c r="D472">
        <v>93.265828347999999</v>
      </c>
    </row>
    <row r="473" spans="2:4">
      <c r="B473" s="2">
        <v>41396</v>
      </c>
      <c r="C473" t="s">
        <v>3</v>
      </c>
      <c r="D473">
        <v>93.023138549999999</v>
      </c>
    </row>
    <row r="474" spans="2:4">
      <c r="B474" s="2">
        <v>41395</v>
      </c>
      <c r="C474" t="s">
        <v>3</v>
      </c>
      <c r="D474">
        <v>93.022202903999997</v>
      </c>
    </row>
    <row r="475" spans="2:4">
      <c r="B475" s="2">
        <v>41394</v>
      </c>
      <c r="C475" t="s">
        <v>3</v>
      </c>
      <c r="D475">
        <v>93.011049184000001</v>
      </c>
    </row>
    <row r="476" spans="2:4">
      <c r="B476" s="2">
        <v>41393</v>
      </c>
      <c r="C476" t="s">
        <v>3</v>
      </c>
      <c r="D476">
        <v>92.998614575000005</v>
      </c>
    </row>
    <row r="477" spans="2:4">
      <c r="B477" s="2">
        <v>41390</v>
      </c>
      <c r="C477" t="s">
        <v>3</v>
      </c>
      <c r="D477">
        <v>92.940141464000007</v>
      </c>
    </row>
    <row r="478" spans="2:4">
      <c r="B478" s="2">
        <v>41389</v>
      </c>
      <c r="C478" t="s">
        <v>3</v>
      </c>
      <c r="D478">
        <v>93.192945074999997</v>
      </c>
    </row>
    <row r="479" spans="2:4">
      <c r="B479" s="2">
        <v>41388</v>
      </c>
      <c r="C479" t="s">
        <v>3</v>
      </c>
      <c r="D479">
        <v>93.527552987999997</v>
      </c>
    </row>
    <row r="480" spans="2:4">
      <c r="B480" s="2">
        <v>41387</v>
      </c>
      <c r="C480" t="s">
        <v>3</v>
      </c>
      <c r="D480">
        <v>93.489263464000004</v>
      </c>
    </row>
    <row r="481" spans="2:4">
      <c r="B481" s="2">
        <v>41386</v>
      </c>
      <c r="C481" t="s">
        <v>3</v>
      </c>
      <c r="D481">
        <v>93.529106229999996</v>
      </c>
    </row>
    <row r="482" spans="2:4">
      <c r="B482" s="2">
        <v>41383</v>
      </c>
      <c r="C482" t="s">
        <v>3</v>
      </c>
      <c r="D482">
        <v>93.610701734000003</v>
      </c>
    </row>
    <row r="483" spans="2:4">
      <c r="B483" s="2">
        <v>41382</v>
      </c>
      <c r="C483" t="s">
        <v>3</v>
      </c>
      <c r="D483">
        <v>93.196761502000001</v>
      </c>
    </row>
    <row r="484" spans="2:4">
      <c r="B484" s="2">
        <v>41381</v>
      </c>
      <c r="C484" t="s">
        <v>3</v>
      </c>
      <c r="D484">
        <v>93.326165498999998</v>
      </c>
    </row>
    <row r="485" spans="2:4">
      <c r="B485" s="2">
        <v>41380</v>
      </c>
      <c r="C485" t="s">
        <v>3</v>
      </c>
      <c r="D485">
        <v>93.419257139999999</v>
      </c>
    </row>
    <row r="486" spans="2:4">
      <c r="B486" s="2">
        <v>41379</v>
      </c>
      <c r="C486" t="s">
        <v>3</v>
      </c>
      <c r="D486">
        <v>93.020501030000005</v>
      </c>
    </row>
    <row r="487" spans="2:4">
      <c r="B487" s="2">
        <v>41376</v>
      </c>
      <c r="C487" t="s">
        <v>3</v>
      </c>
      <c r="D487">
        <v>93.106493401999998</v>
      </c>
    </row>
    <row r="488" spans="2:4">
      <c r="B488" s="2">
        <v>41375</v>
      </c>
      <c r="C488" t="s">
        <v>3</v>
      </c>
      <c r="D488">
        <v>92.479156223999993</v>
      </c>
    </row>
    <row r="489" spans="2:4">
      <c r="B489" s="2">
        <v>41374</v>
      </c>
      <c r="C489" t="s">
        <v>3</v>
      </c>
      <c r="D489">
        <v>93.429166887999997</v>
      </c>
    </row>
    <row r="490" spans="2:4">
      <c r="B490" s="2">
        <v>41373</v>
      </c>
      <c r="C490" t="s">
        <v>3</v>
      </c>
      <c r="D490">
        <v>92.978653915999999</v>
      </c>
    </row>
    <row r="491" spans="2:4">
      <c r="B491" s="2">
        <v>41372</v>
      </c>
      <c r="C491" t="s">
        <v>3</v>
      </c>
      <c r="D491">
        <v>92.996413709999999</v>
      </c>
    </row>
    <row r="492" spans="2:4">
      <c r="B492" s="2">
        <v>41369</v>
      </c>
      <c r="C492" t="s">
        <v>3</v>
      </c>
      <c r="D492">
        <v>92.746060020000002</v>
      </c>
    </row>
    <row r="493" spans="2:4">
      <c r="B493" s="2">
        <v>41368</v>
      </c>
      <c r="C493" t="s">
        <v>3</v>
      </c>
      <c r="D493">
        <v>92.796203188000007</v>
      </c>
    </row>
    <row r="494" spans="2:4">
      <c r="B494" s="2">
        <v>41367</v>
      </c>
      <c r="C494" t="s">
        <v>3</v>
      </c>
      <c r="D494">
        <v>93.042589273999994</v>
      </c>
    </row>
    <row r="495" spans="2:4">
      <c r="B495" s="2">
        <v>41366</v>
      </c>
      <c r="C495" t="s">
        <v>3</v>
      </c>
      <c r="D495">
        <v>93.342339425999995</v>
      </c>
    </row>
    <row r="496" spans="2:4">
      <c r="B496" s="2">
        <v>41365</v>
      </c>
      <c r="C496" t="s">
        <v>3</v>
      </c>
      <c r="D496">
        <v>93.374800464000003</v>
      </c>
    </row>
    <row r="497" spans="2:4">
      <c r="B497" s="2">
        <v>41361</v>
      </c>
      <c r="C497" t="s">
        <v>3</v>
      </c>
      <c r="D497">
        <v>93.393614702999997</v>
      </c>
    </row>
    <row r="498" spans="2:4">
      <c r="B498" s="2">
        <v>41360</v>
      </c>
      <c r="C498" t="s">
        <v>3</v>
      </c>
      <c r="D498">
        <v>93.352586189999997</v>
      </c>
    </row>
    <row r="499" spans="2:4">
      <c r="B499" s="2">
        <v>41359</v>
      </c>
      <c r="C499" t="s">
        <v>3</v>
      </c>
      <c r="D499">
        <v>93.480197085</v>
      </c>
    </row>
    <row r="500" spans="2:4">
      <c r="B500" s="2">
        <v>41358</v>
      </c>
      <c r="C500" t="s">
        <v>3</v>
      </c>
      <c r="D500">
        <v>93.656918187000002</v>
      </c>
    </row>
    <row r="501" spans="2:4">
      <c r="B501" s="2">
        <v>41355</v>
      </c>
      <c r="C501" t="s">
        <v>3</v>
      </c>
      <c r="D501">
        <v>94.352661077999997</v>
      </c>
    </row>
    <row r="502" spans="2:4">
      <c r="B502" s="2">
        <v>41354</v>
      </c>
      <c r="C502" t="s">
        <v>3</v>
      </c>
      <c r="D502">
        <v>94.536274636000002</v>
      </c>
    </row>
    <row r="503" spans="2:4">
      <c r="B503" s="2">
        <v>41353</v>
      </c>
      <c r="C503" t="s">
        <v>3</v>
      </c>
      <c r="D503">
        <v>94.632793050999993</v>
      </c>
    </row>
    <row r="504" spans="2:4">
      <c r="B504" s="2">
        <v>41352</v>
      </c>
      <c r="C504" t="s">
        <v>3</v>
      </c>
      <c r="D504">
        <v>94.507193364000003</v>
      </c>
    </row>
    <row r="505" spans="2:4">
      <c r="B505" s="2">
        <v>41351</v>
      </c>
      <c r="C505" t="s">
        <v>3</v>
      </c>
      <c r="D505">
        <v>94.597378656000004</v>
      </c>
    </row>
    <row r="506" spans="2:4">
      <c r="B506" s="2">
        <v>41348</v>
      </c>
      <c r="C506" t="s">
        <v>3</v>
      </c>
      <c r="D506">
        <v>93.645108973999996</v>
      </c>
    </row>
    <row r="507" spans="2:4">
      <c r="B507" s="2">
        <v>41347</v>
      </c>
      <c r="C507" t="s">
        <v>3</v>
      </c>
      <c r="D507">
        <v>93.365531630000007</v>
      </c>
    </row>
    <row r="508" spans="2:4">
      <c r="B508" s="2">
        <v>41346</v>
      </c>
      <c r="C508" t="s">
        <v>3</v>
      </c>
      <c r="D508">
        <v>93.099768695999998</v>
      </c>
    </row>
    <row r="509" spans="2:4">
      <c r="B509" s="2">
        <v>41345</v>
      </c>
      <c r="C509" t="s">
        <v>3</v>
      </c>
      <c r="D509">
        <v>92.839455185000006</v>
      </c>
    </row>
    <row r="510" spans="2:4">
      <c r="B510" s="2">
        <v>41344</v>
      </c>
      <c r="C510" t="s">
        <v>3</v>
      </c>
      <c r="D510">
        <v>93.367212839999993</v>
      </c>
    </row>
    <row r="511" spans="2:4">
      <c r="B511" s="2">
        <v>41341</v>
      </c>
      <c r="C511" t="s">
        <v>3</v>
      </c>
      <c r="D511">
        <v>93.675743280000006</v>
      </c>
    </row>
    <row r="512" spans="2:4">
      <c r="B512" s="2">
        <v>41340</v>
      </c>
      <c r="C512" t="s">
        <v>3</v>
      </c>
      <c r="D512">
        <v>93.655491979999994</v>
      </c>
    </row>
    <row r="513" spans="2:4">
      <c r="B513" s="2">
        <v>41339</v>
      </c>
      <c r="C513" t="s">
        <v>3</v>
      </c>
      <c r="D513">
        <v>93.802494695999997</v>
      </c>
    </row>
    <row r="514" spans="2:4">
      <c r="B514" s="2">
        <v>41338</v>
      </c>
      <c r="C514" t="s">
        <v>3</v>
      </c>
      <c r="D514">
        <v>93.775337867999994</v>
      </c>
    </row>
    <row r="515" spans="2:4">
      <c r="B515" s="2">
        <v>41337</v>
      </c>
      <c r="C515" t="s">
        <v>3</v>
      </c>
      <c r="D515">
        <v>93.767160211999993</v>
      </c>
    </row>
    <row r="516" spans="2:4">
      <c r="B516" s="2">
        <v>41334</v>
      </c>
      <c r="C516" t="s">
        <v>3</v>
      </c>
      <c r="D516">
        <v>94.219149422000001</v>
      </c>
    </row>
    <row r="517" spans="2:4">
      <c r="B517" s="2">
        <v>41333</v>
      </c>
      <c r="C517" t="s">
        <v>3</v>
      </c>
      <c r="D517">
        <v>93.738259999999997</v>
      </c>
    </row>
    <row r="518" spans="2:4">
      <c r="B518" s="2">
        <v>41332</v>
      </c>
      <c r="C518" t="s">
        <v>3</v>
      </c>
      <c r="D518">
        <v>93.615418890000001</v>
      </c>
    </row>
    <row r="519" spans="2:4">
      <c r="B519" s="2">
        <v>41331</v>
      </c>
      <c r="C519" t="s">
        <v>3</v>
      </c>
      <c r="D519">
        <v>93.118715445000007</v>
      </c>
    </row>
    <row r="520" spans="2:4">
      <c r="B520" s="2">
        <v>41330</v>
      </c>
      <c r="C520" t="s">
        <v>3</v>
      </c>
      <c r="D520">
        <v>92.577030987000001</v>
      </c>
    </row>
    <row r="521" spans="2:4">
      <c r="B521" s="2">
        <v>41327</v>
      </c>
      <c r="C521" t="s">
        <v>3</v>
      </c>
      <c r="D521">
        <v>92.344272720000006</v>
      </c>
    </row>
    <row r="522" spans="2:4">
      <c r="B522" s="2">
        <v>41326</v>
      </c>
      <c r="C522" t="s">
        <v>3</v>
      </c>
      <c r="D522">
        <v>92.290810160000007</v>
      </c>
    </row>
    <row r="523" spans="2:4">
      <c r="B523" s="2">
        <v>41325</v>
      </c>
      <c r="C523" t="s">
        <v>3</v>
      </c>
      <c r="D523">
        <v>91.912868459999999</v>
      </c>
    </row>
    <row r="524" spans="2:4">
      <c r="B524" s="2">
        <v>41324</v>
      </c>
      <c r="C524" t="s">
        <v>3</v>
      </c>
      <c r="D524">
        <v>92.161865015000004</v>
      </c>
    </row>
    <row r="525" spans="2:4">
      <c r="B525" s="2">
        <v>41320</v>
      </c>
      <c r="C525" t="s">
        <v>3</v>
      </c>
      <c r="D525">
        <v>92.227016109000004</v>
      </c>
    </row>
    <row r="526" spans="2:4">
      <c r="B526" s="2">
        <v>41319</v>
      </c>
      <c r="C526" t="s">
        <v>3</v>
      </c>
      <c r="D526">
        <v>92.143354303999999</v>
      </c>
    </row>
    <row r="527" spans="2:4">
      <c r="B527" s="2">
        <v>41318</v>
      </c>
      <c r="C527" t="s">
        <v>3</v>
      </c>
      <c r="D527">
        <v>92.948674026000006</v>
      </c>
    </row>
    <row r="528" spans="2:4">
      <c r="B528" s="2">
        <v>41317</v>
      </c>
      <c r="C528" t="s">
        <v>3</v>
      </c>
      <c r="D528">
        <v>92.533551176000003</v>
      </c>
    </row>
    <row r="529" spans="2:4">
      <c r="B529" s="2">
        <v>41316</v>
      </c>
      <c r="C529" t="s">
        <v>3</v>
      </c>
      <c r="D529">
        <v>92.660936199000005</v>
      </c>
    </row>
    <row r="530" spans="2:4">
      <c r="B530" s="2">
        <v>41313</v>
      </c>
      <c r="C530" t="s">
        <v>3</v>
      </c>
      <c r="D530">
        <v>92.318756449999995</v>
      </c>
    </row>
    <row r="531" spans="2:4">
      <c r="B531" s="2">
        <v>41312</v>
      </c>
      <c r="C531" t="s">
        <v>3</v>
      </c>
      <c r="D531">
        <v>92.547916443000005</v>
      </c>
    </row>
    <row r="532" spans="2:4">
      <c r="B532" s="2">
        <v>41311</v>
      </c>
      <c r="C532" t="s">
        <v>3</v>
      </c>
      <c r="D532">
        <v>92.365591499000004</v>
      </c>
    </row>
    <row r="533" spans="2:4">
      <c r="B533" s="2">
        <v>41310</v>
      </c>
      <c r="C533" t="s">
        <v>3</v>
      </c>
      <c r="D533">
        <v>92.780779956000003</v>
      </c>
    </row>
    <row r="534" spans="2:4">
      <c r="B534" s="2">
        <v>41309</v>
      </c>
      <c r="C534" t="s">
        <v>3</v>
      </c>
      <c r="D534">
        <v>90.772653082999994</v>
      </c>
    </row>
    <row r="535" spans="2:4">
      <c r="B535" s="2">
        <v>41306</v>
      </c>
      <c r="C535" t="s">
        <v>3</v>
      </c>
      <c r="D535">
        <v>91.163559551999995</v>
      </c>
    </row>
    <row r="536" spans="2:4">
      <c r="B536" s="2">
        <v>41305</v>
      </c>
      <c r="C536" t="s">
        <v>3</v>
      </c>
      <c r="D536">
        <v>90.873588725999994</v>
      </c>
    </row>
    <row r="537" spans="2:4">
      <c r="B537" s="2">
        <v>41304</v>
      </c>
      <c r="C537" t="s">
        <v>3</v>
      </c>
      <c r="D537">
        <v>90.631692713999996</v>
      </c>
    </row>
    <row r="538" spans="2:4">
      <c r="B538" s="2">
        <v>41303</v>
      </c>
      <c r="C538" t="s">
        <v>3</v>
      </c>
      <c r="D538">
        <v>90.580382634000003</v>
      </c>
    </row>
    <row r="539" spans="2:4">
      <c r="B539" s="2">
        <v>41302</v>
      </c>
      <c r="C539" t="s">
        <v>3</v>
      </c>
      <c r="D539">
        <v>89.83137807</v>
      </c>
    </row>
    <row r="540" spans="2:4">
      <c r="B540" s="2">
        <v>41299</v>
      </c>
      <c r="C540" t="s">
        <v>3</v>
      </c>
      <c r="D540">
        <v>89.427540160000007</v>
      </c>
    </row>
    <row r="541" spans="2:4">
      <c r="B541" s="2">
        <v>41298</v>
      </c>
      <c r="C541" t="s">
        <v>3</v>
      </c>
      <c r="D541">
        <v>88.648826592000006</v>
      </c>
    </row>
    <row r="542" spans="2:4">
      <c r="B542" s="2">
        <v>41297</v>
      </c>
      <c r="C542" t="s">
        <v>3</v>
      </c>
      <c r="D542">
        <v>87.858868220000005</v>
      </c>
    </row>
    <row r="543" spans="2:4">
      <c r="B543" s="2">
        <v>41296</v>
      </c>
      <c r="C543" t="s">
        <v>3</v>
      </c>
      <c r="D543">
        <v>87.261382944999994</v>
      </c>
    </row>
    <row r="544" spans="2:4">
      <c r="B544" s="2">
        <v>41292</v>
      </c>
      <c r="C544" t="s">
        <v>3</v>
      </c>
      <c r="D544">
        <v>87.065556263999994</v>
      </c>
    </row>
    <row r="545" spans="2:4">
      <c r="B545" s="2">
        <v>41291</v>
      </c>
      <c r="C545" t="s">
        <v>3</v>
      </c>
      <c r="D545">
        <v>87.293716755000005</v>
      </c>
    </row>
    <row r="546" spans="2:4">
      <c r="B546" s="2">
        <v>41290</v>
      </c>
      <c r="C546" t="s">
        <v>3</v>
      </c>
      <c r="D546">
        <v>86.990743792000004</v>
      </c>
    </row>
    <row r="547" spans="2:4">
      <c r="B547" s="2">
        <v>41289</v>
      </c>
      <c r="C547" t="s">
        <v>3</v>
      </c>
      <c r="D547">
        <v>86.909109311999998</v>
      </c>
    </row>
    <row r="548" spans="2:4">
      <c r="B548" s="2">
        <v>41288</v>
      </c>
      <c r="C548" t="s">
        <v>3</v>
      </c>
      <c r="D548">
        <v>87.593501807999999</v>
      </c>
    </row>
    <row r="549" spans="2:4">
      <c r="B549" s="2">
        <v>41285</v>
      </c>
      <c r="C549" t="s">
        <v>3</v>
      </c>
      <c r="D549">
        <v>87.690370250000001</v>
      </c>
    </row>
    <row r="550" spans="2:4">
      <c r="B550" s="2">
        <v>41284</v>
      </c>
      <c r="C550" t="s">
        <v>3</v>
      </c>
      <c r="D550">
        <v>88.554602076999998</v>
      </c>
    </row>
    <row r="551" spans="2:4">
      <c r="B551" s="2">
        <v>41283</v>
      </c>
      <c r="C551" t="s">
        <v>3</v>
      </c>
      <c r="D551">
        <v>88.462337005999998</v>
      </c>
    </row>
    <row r="552" spans="2:4">
      <c r="B552" s="2">
        <v>41282</v>
      </c>
      <c r="C552" t="s">
        <v>3</v>
      </c>
      <c r="D552">
        <v>88.432720665000005</v>
      </c>
    </row>
    <row r="553" spans="2:4">
      <c r="B553" s="2">
        <v>41281</v>
      </c>
      <c r="C553" t="s">
        <v>3</v>
      </c>
      <c r="D553">
        <v>88.337544601000005</v>
      </c>
    </row>
    <row r="554" spans="2:4">
      <c r="B554" s="2">
        <v>41278</v>
      </c>
      <c r="C554" t="s">
        <v>3</v>
      </c>
      <c r="D554">
        <v>88.460603169999999</v>
      </c>
    </row>
    <row r="555" spans="2:4">
      <c r="B555" s="2">
        <v>41277</v>
      </c>
      <c r="C555" t="s">
        <v>3</v>
      </c>
      <c r="D555">
        <v>88.939934440000002</v>
      </c>
    </row>
    <row r="556" spans="2:4">
      <c r="B556" s="2">
        <v>41276</v>
      </c>
      <c r="C556" t="s">
        <v>3</v>
      </c>
      <c r="D556">
        <v>89.786328646000001</v>
      </c>
    </row>
    <row r="557" spans="2:4">
      <c r="B557" s="2">
        <v>41274</v>
      </c>
      <c r="C557" t="s">
        <v>3</v>
      </c>
      <c r="D557">
        <v>89.931944755999993</v>
      </c>
    </row>
    <row r="558" spans="2:4">
      <c r="B558" s="2">
        <v>41271</v>
      </c>
      <c r="C558" t="s">
        <v>3</v>
      </c>
      <c r="D558">
        <v>88.945653089999993</v>
      </c>
    </row>
    <row r="559" spans="2:4">
      <c r="B559" s="2">
        <v>41270</v>
      </c>
      <c r="C559" t="s">
        <v>3</v>
      </c>
      <c r="D559">
        <v>89.229311803000002</v>
      </c>
    </row>
    <row r="560" spans="2:4">
      <c r="B560" s="2">
        <v>41269</v>
      </c>
      <c r="C560" t="s">
        <v>3</v>
      </c>
      <c r="D560">
        <v>89.046157367999996</v>
      </c>
    </row>
    <row r="561" spans="2:4">
      <c r="B561" s="2">
        <v>41267</v>
      </c>
      <c r="C561" t="s">
        <v>3</v>
      </c>
      <c r="D561">
        <v>89.322702777000003</v>
      </c>
    </row>
    <row r="562" spans="2:4">
      <c r="B562" s="2">
        <v>41264</v>
      </c>
      <c r="C562" t="s">
        <v>3</v>
      </c>
      <c r="D562">
        <v>89.299945350000002</v>
      </c>
    </row>
    <row r="563" spans="2:4">
      <c r="B563" s="2">
        <v>41263</v>
      </c>
      <c r="C563" t="s">
        <v>3</v>
      </c>
      <c r="D563">
        <v>89.471210060000004</v>
      </c>
    </row>
    <row r="564" spans="2:4">
      <c r="B564" s="2">
        <v>41262</v>
      </c>
      <c r="C564" t="s">
        <v>3</v>
      </c>
      <c r="D564">
        <v>90.447553678999995</v>
      </c>
    </row>
    <row r="565" spans="2:4">
      <c r="B565" s="2">
        <v>41261</v>
      </c>
      <c r="C565" t="s">
        <v>3</v>
      </c>
      <c r="D565">
        <v>91.113859872000006</v>
      </c>
    </row>
    <row r="566" spans="2:4">
      <c r="B566" s="2">
        <v>41260</v>
      </c>
      <c r="C566" t="s">
        <v>3</v>
      </c>
      <c r="D566">
        <v>90.883319643999997</v>
      </c>
    </row>
    <row r="567" spans="2:4">
      <c r="B567" s="2">
        <v>41257</v>
      </c>
      <c r="C567" t="s">
        <v>3</v>
      </c>
      <c r="D567">
        <v>90.243185568000001</v>
      </c>
    </row>
    <row r="568" spans="2:4">
      <c r="B568" s="2">
        <v>41256</v>
      </c>
      <c r="C568" t="s">
        <v>3</v>
      </c>
      <c r="D568">
        <v>90.056268900000006</v>
      </c>
    </row>
    <row r="569" spans="2:4">
      <c r="B569" s="2">
        <v>41255</v>
      </c>
      <c r="C569" t="s">
        <v>3</v>
      </c>
      <c r="D569">
        <v>90.042762207999999</v>
      </c>
    </row>
    <row r="570" spans="2:4">
      <c r="B570" s="2">
        <v>41254</v>
      </c>
      <c r="C570" t="s">
        <v>3</v>
      </c>
      <c r="D570">
        <v>89.457426807000004</v>
      </c>
    </row>
    <row r="571" spans="2:4">
      <c r="B571" s="2">
        <v>41253</v>
      </c>
      <c r="C571" t="s">
        <v>3</v>
      </c>
      <c r="D571">
        <v>89.199485228</v>
      </c>
    </row>
    <row r="572" spans="2:4">
      <c r="B572" s="2">
        <v>41250</v>
      </c>
      <c r="C572" t="s">
        <v>3</v>
      </c>
      <c r="D572">
        <v>89.370491987999998</v>
      </c>
    </row>
    <row r="573" spans="2:4">
      <c r="B573" s="2">
        <v>41249</v>
      </c>
      <c r="C573" t="s">
        <v>3</v>
      </c>
      <c r="D573">
        <v>89.259830346000001</v>
      </c>
    </row>
    <row r="574" spans="2:4">
      <c r="B574" s="2">
        <v>41248</v>
      </c>
      <c r="C574" t="s">
        <v>3</v>
      </c>
      <c r="D574">
        <v>89.290622099999993</v>
      </c>
    </row>
    <row r="575" spans="2:4">
      <c r="B575" s="2">
        <v>41247</v>
      </c>
      <c r="C575" t="s">
        <v>3</v>
      </c>
      <c r="D575">
        <v>89.288250911999995</v>
      </c>
    </row>
    <row r="576" spans="2:4">
      <c r="B576" s="2">
        <v>41246</v>
      </c>
      <c r="C576" t="s">
        <v>3</v>
      </c>
      <c r="D576">
        <v>89.499080503000002</v>
      </c>
    </row>
    <row r="577" spans="2:4">
      <c r="B577" s="2">
        <v>41243</v>
      </c>
      <c r="C577" t="s">
        <v>3</v>
      </c>
      <c r="D577">
        <v>89.808711324000001</v>
      </c>
    </row>
    <row r="578" spans="2:4">
      <c r="B578" s="2">
        <v>41242</v>
      </c>
      <c r="C578" t="s">
        <v>3</v>
      </c>
      <c r="D578">
        <v>89.566517951999998</v>
      </c>
    </row>
    <row r="579" spans="2:4">
      <c r="B579" s="2">
        <v>41241</v>
      </c>
      <c r="C579" t="s">
        <v>3</v>
      </c>
      <c r="D579">
        <v>89.388460916</v>
      </c>
    </row>
    <row r="580" spans="2:4">
      <c r="B580" s="2">
        <v>41240</v>
      </c>
      <c r="C580" t="s">
        <v>3</v>
      </c>
      <c r="D580">
        <v>89.711093837999996</v>
      </c>
    </row>
    <row r="581" spans="2:4">
      <c r="B581" s="2">
        <v>41239</v>
      </c>
      <c r="C581" t="s">
        <v>3</v>
      </c>
      <c r="D581">
        <v>90.259598126</v>
      </c>
    </row>
    <row r="582" spans="2:4">
      <c r="B582" s="2">
        <v>41236</v>
      </c>
      <c r="C582" t="s">
        <v>3</v>
      </c>
      <c r="D582">
        <v>90.519970022999999</v>
      </c>
    </row>
    <row r="583" spans="2:4">
      <c r="B583" s="2">
        <v>41234</v>
      </c>
      <c r="C583" t="s">
        <v>3</v>
      </c>
      <c r="D583">
        <v>90.581118642000007</v>
      </c>
    </row>
    <row r="584" spans="2:4">
      <c r="B584" s="2">
        <v>41233</v>
      </c>
      <c r="C584" t="s">
        <v>3</v>
      </c>
      <c r="D584">
        <v>91.012661930999997</v>
      </c>
    </row>
    <row r="585" spans="2:4">
      <c r="B585" s="2">
        <v>41232</v>
      </c>
      <c r="C585" t="s">
        <v>3</v>
      </c>
      <c r="D585">
        <v>90.504056136000003</v>
      </c>
    </row>
    <row r="586" spans="2:4">
      <c r="B586" s="2">
        <v>41229</v>
      </c>
      <c r="C586" t="s">
        <v>3</v>
      </c>
      <c r="D586">
        <v>90.018351550000006</v>
      </c>
    </row>
    <row r="587" spans="2:4">
      <c r="B587" s="2">
        <v>41228</v>
      </c>
      <c r="C587" t="s">
        <v>3</v>
      </c>
      <c r="D587">
        <v>89.912402909999997</v>
      </c>
    </row>
    <row r="588" spans="2:4">
      <c r="B588" s="2">
        <v>41227</v>
      </c>
      <c r="C588" t="s">
        <v>3</v>
      </c>
      <c r="D588">
        <v>89.602275594000005</v>
      </c>
    </row>
    <row r="589" spans="2:4">
      <c r="B589" s="2">
        <v>41226</v>
      </c>
      <c r="C589" t="s">
        <v>3</v>
      </c>
      <c r="D589">
        <v>89.308351164000001</v>
      </c>
    </row>
    <row r="590" spans="2:4">
      <c r="B590" s="2">
        <v>41222</v>
      </c>
      <c r="C590" t="s">
        <v>3</v>
      </c>
      <c r="D590">
        <v>89.184109437999993</v>
      </c>
    </row>
    <row r="591" spans="2:4">
      <c r="B591" s="2">
        <v>41221</v>
      </c>
      <c r="C591" t="s">
        <v>3</v>
      </c>
      <c r="D591">
        <v>88.306746696000005</v>
      </c>
    </row>
    <row r="592" spans="2:4">
      <c r="B592" s="2">
        <v>41220</v>
      </c>
      <c r="C592" t="s">
        <v>3</v>
      </c>
      <c r="D592">
        <v>88.463758807000005</v>
      </c>
    </row>
    <row r="593" spans="2:4">
      <c r="B593" s="2">
        <v>41219</v>
      </c>
      <c r="C593" t="s">
        <v>3</v>
      </c>
      <c r="D593">
        <v>89.741608601999999</v>
      </c>
    </row>
    <row r="594" spans="2:4">
      <c r="B594" s="2">
        <v>41218</v>
      </c>
      <c r="C594" t="s">
        <v>3</v>
      </c>
      <c r="D594">
        <v>89.637848783999999</v>
      </c>
    </row>
    <row r="595" spans="2:4">
      <c r="B595" s="2">
        <v>41215</v>
      </c>
      <c r="C595" t="s">
        <v>3</v>
      </c>
      <c r="D595">
        <v>89.738957393999996</v>
      </c>
    </row>
    <row r="596" spans="2:4">
      <c r="B596" s="2">
        <v>41214</v>
      </c>
      <c r="C596" t="s">
        <v>3</v>
      </c>
      <c r="D596">
        <v>89.622506688000001</v>
      </c>
    </row>
    <row r="597" spans="2:4">
      <c r="B597" s="2">
        <v>41213</v>
      </c>
      <c r="C597" t="s">
        <v>3</v>
      </c>
      <c r="D597">
        <v>89.248050759999998</v>
      </c>
    </row>
    <row r="598" spans="2:4">
      <c r="B598" s="2">
        <v>41211</v>
      </c>
      <c r="C598" t="s">
        <v>3</v>
      </c>
      <c r="D598">
        <v>89.246549168000001</v>
      </c>
    </row>
    <row r="599" spans="2:4">
      <c r="B599" s="2">
        <v>41208</v>
      </c>
      <c r="C599" t="s">
        <v>3</v>
      </c>
      <c r="D599">
        <v>89.569090947000007</v>
      </c>
    </row>
    <row r="600" spans="2:4">
      <c r="B600" s="2">
        <v>41207</v>
      </c>
      <c r="C600" t="s">
        <v>3</v>
      </c>
      <c r="D600">
        <v>90.195796086000001</v>
      </c>
    </row>
    <row r="601" spans="2:4">
      <c r="B601" s="2">
        <v>41206</v>
      </c>
      <c r="C601" t="s">
        <v>3</v>
      </c>
      <c r="D601">
        <v>90.640239600000001</v>
      </c>
    </row>
    <row r="602" spans="2:4">
      <c r="B602" s="2">
        <v>41205</v>
      </c>
      <c r="C602" t="s">
        <v>3</v>
      </c>
      <c r="D602">
        <v>90.371639520000002</v>
      </c>
    </row>
    <row r="603" spans="2:4">
      <c r="B603" s="2">
        <v>41204</v>
      </c>
      <c r="C603" t="s">
        <v>3</v>
      </c>
      <c r="D603">
        <v>92.371027311999995</v>
      </c>
    </row>
    <row r="604" spans="2:4">
      <c r="B604" s="2">
        <v>41201</v>
      </c>
      <c r="C604" t="s">
        <v>3</v>
      </c>
      <c r="D604">
        <v>90.384527540999997</v>
      </c>
    </row>
    <row r="605" spans="2:4">
      <c r="B605" s="2">
        <v>41200</v>
      </c>
      <c r="C605" t="s">
        <v>3</v>
      </c>
      <c r="D605">
        <v>90.982561349999997</v>
      </c>
    </row>
    <row r="606" spans="2:4">
      <c r="B606" s="2">
        <v>41199</v>
      </c>
      <c r="C606" t="s">
        <v>3</v>
      </c>
      <c r="D606">
        <v>91.227109131000006</v>
      </c>
    </row>
    <row r="607" spans="2:4">
      <c r="B607" s="2">
        <v>41198</v>
      </c>
      <c r="C607" t="s">
        <v>3</v>
      </c>
      <c r="D607">
        <v>90.620773229999998</v>
      </c>
    </row>
    <row r="608" spans="2:4">
      <c r="B608" s="2">
        <v>41197</v>
      </c>
      <c r="C608" t="s">
        <v>3</v>
      </c>
      <c r="D608">
        <v>90.678833850000004</v>
      </c>
    </row>
    <row r="609" spans="2:4">
      <c r="B609" s="2">
        <v>41194</v>
      </c>
      <c r="C609" t="s">
        <v>3</v>
      </c>
      <c r="D609">
        <v>90.095510202</v>
      </c>
    </row>
    <row r="610" spans="2:4">
      <c r="B610" s="2">
        <v>41193</v>
      </c>
      <c r="C610" t="s">
        <v>3</v>
      </c>
      <c r="D610">
        <v>90.460561279000004</v>
      </c>
    </row>
    <row r="611" spans="2:4">
      <c r="B611" s="2">
        <v>41192</v>
      </c>
      <c r="C611" t="s">
        <v>3</v>
      </c>
      <c r="D611">
        <v>90.553193247999999</v>
      </c>
    </row>
    <row r="612" spans="2:4">
      <c r="B612" s="2">
        <v>41191</v>
      </c>
      <c r="C612" t="s">
        <v>3</v>
      </c>
      <c r="D612">
        <v>91.164253672000001</v>
      </c>
    </row>
    <row r="613" spans="2:4">
      <c r="B613" s="2">
        <v>41187</v>
      </c>
      <c r="C613" t="s">
        <v>3</v>
      </c>
      <c r="D613">
        <v>91.531823321999994</v>
      </c>
    </row>
    <row r="614" spans="2:4">
      <c r="B614" s="2">
        <v>41186</v>
      </c>
      <c r="C614" t="s">
        <v>3</v>
      </c>
      <c r="D614">
        <v>91.799470967999994</v>
      </c>
    </row>
    <row r="615" spans="2:4">
      <c r="B615" s="2">
        <v>41185</v>
      </c>
      <c r="C615" t="s">
        <v>3</v>
      </c>
      <c r="D615">
        <v>91.648194197999999</v>
      </c>
    </row>
    <row r="616" spans="2:4">
      <c r="B616" s="2">
        <v>41184</v>
      </c>
      <c r="C616" t="s">
        <v>3</v>
      </c>
      <c r="D616">
        <v>91.685298144000001</v>
      </c>
    </row>
    <row r="617" spans="2:4">
      <c r="B617" s="2">
        <v>41183</v>
      </c>
      <c r="C617" t="s">
        <v>3</v>
      </c>
      <c r="D617">
        <v>91.575150500000007</v>
      </c>
    </row>
    <row r="618" spans="2:4">
      <c r="B618" s="2">
        <v>41180</v>
      </c>
      <c r="C618" t="s">
        <v>3</v>
      </c>
      <c r="D618">
        <v>91.710913293999994</v>
      </c>
    </row>
    <row r="619" spans="2:4">
      <c r="B619" s="2">
        <v>41179</v>
      </c>
      <c r="C619" t="s">
        <v>3</v>
      </c>
      <c r="D619">
        <v>91.525602321999997</v>
      </c>
    </row>
    <row r="620" spans="2:4">
      <c r="B620" s="2">
        <v>41178</v>
      </c>
      <c r="C620" t="s">
        <v>3</v>
      </c>
      <c r="D620">
        <v>91.343692688000004</v>
      </c>
    </row>
    <row r="621" spans="2:4">
      <c r="B621" s="2">
        <v>41177</v>
      </c>
      <c r="C621" t="s">
        <v>3</v>
      </c>
      <c r="D621">
        <v>91.880724623999996</v>
      </c>
    </row>
    <row r="622" spans="2:4">
      <c r="B622" s="2">
        <v>41176</v>
      </c>
      <c r="C622" t="s">
        <v>3</v>
      </c>
      <c r="D622">
        <v>92.324011138000003</v>
      </c>
    </row>
    <row r="623" spans="2:4">
      <c r="B623" s="2">
        <v>41173</v>
      </c>
      <c r="C623" t="s">
        <v>3</v>
      </c>
      <c r="D623">
        <v>92.556565075999998</v>
      </c>
    </row>
    <row r="624" spans="2:4">
      <c r="B624" s="2">
        <v>41172</v>
      </c>
      <c r="C624" t="s">
        <v>3</v>
      </c>
      <c r="D624">
        <v>92.651043263999995</v>
      </c>
    </row>
    <row r="625" spans="2:4">
      <c r="B625" s="2">
        <v>41171</v>
      </c>
      <c r="C625" t="s">
        <v>3</v>
      </c>
      <c r="D625">
        <v>92.869263395999994</v>
      </c>
    </row>
    <row r="626" spans="2:4">
      <c r="B626" s="2">
        <v>41170</v>
      </c>
      <c r="C626" t="s">
        <v>3</v>
      </c>
      <c r="D626">
        <v>92.973184877999998</v>
      </c>
    </row>
    <row r="627" spans="2:4">
      <c r="B627" s="2">
        <v>41169</v>
      </c>
      <c r="C627" t="s">
        <v>3</v>
      </c>
      <c r="D627">
        <v>94.290733446000004</v>
      </c>
    </row>
    <row r="628" spans="2:4">
      <c r="B628" s="2">
        <v>41166</v>
      </c>
      <c r="C628" t="s">
        <v>3</v>
      </c>
      <c r="D628">
        <v>95.052958434999994</v>
      </c>
    </row>
    <row r="629" spans="2:4">
      <c r="B629" s="2">
        <v>41165</v>
      </c>
      <c r="C629" t="s">
        <v>3</v>
      </c>
      <c r="D629">
        <v>94.078779878999995</v>
      </c>
    </row>
    <row r="630" spans="2:4">
      <c r="B630" s="2">
        <v>41164</v>
      </c>
      <c r="C630" t="s">
        <v>3</v>
      </c>
      <c r="D630">
        <v>95.829219339000005</v>
      </c>
    </row>
    <row r="631" spans="2:4">
      <c r="B631" s="2">
        <v>41163</v>
      </c>
      <c r="C631" t="s">
        <v>3</v>
      </c>
      <c r="D631">
        <v>94.290434676000004</v>
      </c>
    </row>
    <row r="632" spans="2:4">
      <c r="B632" s="2">
        <v>41162</v>
      </c>
      <c r="C632" t="s">
        <v>3</v>
      </c>
      <c r="D632">
        <v>94.290555784999995</v>
      </c>
    </row>
    <row r="633" spans="2:4">
      <c r="B633" s="2">
        <v>41159</v>
      </c>
      <c r="C633" t="s">
        <v>3</v>
      </c>
      <c r="D633">
        <v>94.514786603999994</v>
      </c>
    </row>
    <row r="634" spans="2:4">
      <c r="B634" s="2">
        <v>41158</v>
      </c>
      <c r="C634" t="s">
        <v>3</v>
      </c>
      <c r="D634">
        <v>94.986239744000002</v>
      </c>
    </row>
    <row r="635" spans="2:4">
      <c r="B635" s="2">
        <v>41157</v>
      </c>
      <c r="C635" t="s">
        <v>3</v>
      </c>
      <c r="D635">
        <v>94.412898996999999</v>
      </c>
    </row>
    <row r="636" spans="2:4">
      <c r="B636" s="2">
        <v>41156</v>
      </c>
      <c r="C636" t="s">
        <v>3</v>
      </c>
      <c r="D636">
        <v>94.836671397999993</v>
      </c>
    </row>
    <row r="637" spans="2:4">
      <c r="B637" s="2">
        <v>41152</v>
      </c>
      <c r="C637" t="s">
        <v>3</v>
      </c>
      <c r="D637">
        <v>95.404084859999998</v>
      </c>
    </row>
    <row r="638" spans="2:4">
      <c r="B638" s="2">
        <v>41151</v>
      </c>
      <c r="C638" t="s">
        <v>3</v>
      </c>
      <c r="D638">
        <v>95.694424499999997</v>
      </c>
    </row>
    <row r="639" spans="2:4">
      <c r="B639" s="2">
        <v>41150</v>
      </c>
      <c r="C639" t="s">
        <v>3</v>
      </c>
      <c r="D639">
        <v>95.481905322000003</v>
      </c>
    </row>
    <row r="640" spans="2:4">
      <c r="B640" s="2">
        <v>41149</v>
      </c>
      <c r="C640" t="s">
        <v>3</v>
      </c>
      <c r="D640">
        <v>95.231480207000004</v>
      </c>
    </row>
    <row r="641" spans="2:4">
      <c r="B641" s="2">
        <v>41148</v>
      </c>
      <c r="C641" t="s">
        <v>3</v>
      </c>
      <c r="D641">
        <v>94.959940008000004</v>
      </c>
    </row>
    <row r="642" spans="2:4">
      <c r="B642" s="2">
        <v>41145</v>
      </c>
      <c r="C642" t="s">
        <v>3</v>
      </c>
      <c r="D642">
        <v>94.940321775000001</v>
      </c>
    </row>
    <row r="643" spans="2:4">
      <c r="B643" s="2">
        <v>41144</v>
      </c>
      <c r="C643" t="s">
        <v>3</v>
      </c>
      <c r="D643">
        <v>94.520914039999994</v>
      </c>
    </row>
    <row r="644" spans="2:4">
      <c r="B644" s="2">
        <v>41143</v>
      </c>
      <c r="C644" t="s">
        <v>3</v>
      </c>
      <c r="D644">
        <v>94.48265585</v>
      </c>
    </row>
    <row r="645" spans="2:4">
      <c r="B645" s="2">
        <v>41142</v>
      </c>
      <c r="C645" t="s">
        <v>3</v>
      </c>
      <c r="D645">
        <v>93.221526372</v>
      </c>
    </row>
    <row r="646" spans="2:4">
      <c r="B646" s="2">
        <v>41141</v>
      </c>
      <c r="C646" t="s">
        <v>3</v>
      </c>
      <c r="D646">
        <v>96.077175045000004</v>
      </c>
    </row>
    <row r="647" spans="2:4">
      <c r="B647" s="2">
        <v>41138</v>
      </c>
      <c r="C647" t="s">
        <v>3</v>
      </c>
      <c r="D647">
        <v>96.161036706000004</v>
      </c>
    </row>
    <row r="648" spans="2:4">
      <c r="B648" s="2">
        <v>41137</v>
      </c>
      <c r="C648" t="s">
        <v>3</v>
      </c>
      <c r="D648">
        <v>96.949099740999998</v>
      </c>
    </row>
    <row r="649" spans="2:4">
      <c r="B649" s="2">
        <v>41136</v>
      </c>
      <c r="C649" t="s">
        <v>3</v>
      </c>
      <c r="D649">
        <v>96.183852603999995</v>
      </c>
    </row>
    <row r="650" spans="2:4">
      <c r="B650" s="2">
        <v>41135</v>
      </c>
      <c r="C650" t="s">
        <v>3</v>
      </c>
      <c r="D650">
        <v>95.119273149999998</v>
      </c>
    </row>
    <row r="651" spans="2:4">
      <c r="B651" s="2">
        <v>41134</v>
      </c>
      <c r="C651" t="s">
        <v>3</v>
      </c>
      <c r="D651">
        <v>94.168723701000005</v>
      </c>
    </row>
    <row r="652" spans="2:4">
      <c r="B652" s="2">
        <v>41131</v>
      </c>
      <c r="C652" t="s">
        <v>3</v>
      </c>
      <c r="D652">
        <v>93.552825503999998</v>
      </c>
    </row>
    <row r="653" spans="2:4">
      <c r="B653" s="2">
        <v>41130</v>
      </c>
      <c r="C653" t="s">
        <v>3</v>
      </c>
      <c r="D653">
        <v>93.639496437000005</v>
      </c>
    </row>
    <row r="654" spans="2:4">
      <c r="B654" s="2">
        <v>41129</v>
      </c>
      <c r="C654" t="s">
        <v>3</v>
      </c>
      <c r="D654">
        <v>93.584098608000005</v>
      </c>
    </row>
    <row r="655" spans="2:4">
      <c r="B655" s="2">
        <v>41128</v>
      </c>
      <c r="C655" t="s">
        <v>3</v>
      </c>
      <c r="D655">
        <v>93.569748341999997</v>
      </c>
    </row>
    <row r="656" spans="2:4">
      <c r="B656" s="2">
        <v>41127</v>
      </c>
      <c r="C656" t="s">
        <v>3</v>
      </c>
      <c r="D656">
        <v>92.943004653000003</v>
      </c>
    </row>
    <row r="657" spans="2:4">
      <c r="B657" s="2">
        <v>41124</v>
      </c>
      <c r="C657" t="s">
        <v>3</v>
      </c>
      <c r="D657">
        <v>93.287029423999996</v>
      </c>
    </row>
    <row r="658" spans="2:4">
      <c r="B658" s="2">
        <v>41123</v>
      </c>
      <c r="C658" t="s">
        <v>3</v>
      </c>
      <c r="D658">
        <v>92.699955338999999</v>
      </c>
    </row>
    <row r="659" spans="2:4">
      <c r="B659" s="2">
        <v>41122</v>
      </c>
      <c r="C659" t="s">
        <v>3</v>
      </c>
      <c r="D659">
        <v>92.620954691999998</v>
      </c>
    </row>
    <row r="660" spans="2:4">
      <c r="B660" s="2">
        <v>41121</v>
      </c>
      <c r="C660" t="s">
        <v>3</v>
      </c>
      <c r="D660">
        <v>92.191701570000006</v>
      </c>
    </row>
    <row r="661" spans="2:4">
      <c r="B661" s="2">
        <v>41120</v>
      </c>
      <c r="C661" t="s">
        <v>3</v>
      </c>
      <c r="D661">
        <v>92.304847116000005</v>
      </c>
    </row>
    <row r="662" spans="2:4">
      <c r="B662" s="2">
        <v>41117</v>
      </c>
      <c r="C662" t="s">
        <v>3</v>
      </c>
      <c r="D662">
        <v>92.273210567999996</v>
      </c>
    </row>
    <row r="663" spans="2:4">
      <c r="B663" s="2">
        <v>41116</v>
      </c>
      <c r="C663" t="s">
        <v>3</v>
      </c>
      <c r="D663">
        <v>91.697518020000004</v>
      </c>
    </row>
    <row r="664" spans="2:4">
      <c r="B664" s="2">
        <v>41115</v>
      </c>
      <c r="C664" t="s">
        <v>3</v>
      </c>
      <c r="D664">
        <v>91.661089967999999</v>
      </c>
    </row>
    <row r="665" spans="2:4">
      <c r="B665" s="2">
        <v>41114</v>
      </c>
      <c r="C665" t="s">
        <v>3</v>
      </c>
      <c r="D665">
        <v>91.672520860999995</v>
      </c>
    </row>
    <row r="666" spans="2:4">
      <c r="B666" s="2">
        <v>41113</v>
      </c>
      <c r="C666" t="s">
        <v>3</v>
      </c>
      <c r="D666">
        <v>91.502354514999993</v>
      </c>
    </row>
    <row r="667" spans="2:4">
      <c r="B667" s="2">
        <v>41110</v>
      </c>
      <c r="C667" t="s">
        <v>3</v>
      </c>
      <c r="D667">
        <v>91.609601650000002</v>
      </c>
    </row>
    <row r="668" spans="2:4">
      <c r="B668" s="2">
        <v>41109</v>
      </c>
      <c r="C668" t="s">
        <v>3</v>
      </c>
      <c r="D668">
        <v>91.793470663999997</v>
      </c>
    </row>
    <row r="669" spans="2:4">
      <c r="B669" s="2">
        <v>41108</v>
      </c>
      <c r="C669" t="s">
        <v>3</v>
      </c>
      <c r="D669">
        <v>92.471643775999993</v>
      </c>
    </row>
    <row r="670" spans="2:4">
      <c r="B670" s="2">
        <v>41107</v>
      </c>
      <c r="C670" t="s">
        <v>3</v>
      </c>
      <c r="D670">
        <v>92.893548221000003</v>
      </c>
    </row>
    <row r="671" spans="2:4">
      <c r="B671" s="2">
        <v>41106</v>
      </c>
      <c r="C671" t="s">
        <v>3</v>
      </c>
      <c r="D671">
        <v>92.810250893000003</v>
      </c>
    </row>
    <row r="672" spans="2:4">
      <c r="B672" s="2">
        <v>41103</v>
      </c>
      <c r="C672" t="s">
        <v>3</v>
      </c>
      <c r="D672">
        <v>92.686167323999996</v>
      </c>
    </row>
    <row r="673" spans="2:4">
      <c r="B673" s="2">
        <v>41102</v>
      </c>
      <c r="C673" t="s">
        <v>3</v>
      </c>
      <c r="D673">
        <v>92.501429071999993</v>
      </c>
    </row>
    <row r="674" spans="2:4">
      <c r="B674" s="2">
        <v>41101</v>
      </c>
      <c r="C674" t="s">
        <v>3</v>
      </c>
      <c r="D674">
        <v>92.651555040000005</v>
      </c>
    </row>
    <row r="675" spans="2:4">
      <c r="B675" s="2">
        <v>41100</v>
      </c>
      <c r="C675" t="s">
        <v>3</v>
      </c>
      <c r="D675">
        <v>93.341602640000005</v>
      </c>
    </row>
    <row r="676" spans="2:4">
      <c r="B676" s="2">
        <v>41099</v>
      </c>
      <c r="C676" t="s">
        <v>3</v>
      </c>
      <c r="D676">
        <v>93.070888014000005</v>
      </c>
    </row>
    <row r="677" spans="2:4">
      <c r="B677" s="2">
        <v>41096</v>
      </c>
      <c r="C677" t="s">
        <v>3</v>
      </c>
      <c r="D677">
        <v>93.355912122000007</v>
      </c>
    </row>
    <row r="678" spans="2:4">
      <c r="B678" s="2">
        <v>41095</v>
      </c>
      <c r="C678" t="s">
        <v>3</v>
      </c>
      <c r="D678">
        <v>93.692876455999993</v>
      </c>
    </row>
    <row r="679" spans="2:4">
      <c r="B679" s="2">
        <v>41093</v>
      </c>
      <c r="C679" t="s">
        <v>3</v>
      </c>
      <c r="D679">
        <v>93.984903971999998</v>
      </c>
    </row>
    <row r="680" spans="2:4">
      <c r="B680" s="2">
        <v>41092</v>
      </c>
      <c r="C680" t="s">
        <v>3</v>
      </c>
      <c r="D680">
        <v>94.075926241000005</v>
      </c>
    </row>
    <row r="681" spans="2:4">
      <c r="B681" s="2">
        <v>41089</v>
      </c>
      <c r="C681" t="s">
        <v>3</v>
      </c>
      <c r="D681">
        <v>93.869625247000002</v>
      </c>
    </row>
    <row r="682" spans="2:4">
      <c r="B682" s="2">
        <v>41088</v>
      </c>
      <c r="C682" t="s">
        <v>3</v>
      </c>
      <c r="D682">
        <v>93.662011152000005</v>
      </c>
    </row>
    <row r="683" spans="2:4">
      <c r="B683" s="2">
        <v>41087</v>
      </c>
      <c r="C683" t="s">
        <v>3</v>
      </c>
      <c r="D683">
        <v>93.654121337000007</v>
      </c>
    </row>
    <row r="684" spans="2:4">
      <c r="B684" s="2">
        <v>41086</v>
      </c>
      <c r="C684" t="s">
        <v>3</v>
      </c>
      <c r="D684">
        <v>93.742523969999993</v>
      </c>
    </row>
    <row r="685" spans="2:4">
      <c r="B685" s="2">
        <v>41085</v>
      </c>
      <c r="C685" t="s">
        <v>3</v>
      </c>
      <c r="D685">
        <v>93.238787590000001</v>
      </c>
    </row>
    <row r="686" spans="2:4">
      <c r="B686" s="2">
        <v>41082</v>
      </c>
      <c r="C686" t="s">
        <v>3</v>
      </c>
      <c r="D686">
        <v>93.667235550000001</v>
      </c>
    </row>
    <row r="687" spans="2:4">
      <c r="B687" s="2">
        <v>41081</v>
      </c>
      <c r="C687" t="s">
        <v>3</v>
      </c>
      <c r="D687">
        <v>93.316273894000005</v>
      </c>
    </row>
    <row r="688" spans="2:4">
      <c r="B688" s="2">
        <v>41080</v>
      </c>
      <c r="C688" t="s">
        <v>3</v>
      </c>
      <c r="D688">
        <v>92.845016172000001</v>
      </c>
    </row>
    <row r="689" spans="2:4">
      <c r="B689" s="2">
        <v>41079</v>
      </c>
      <c r="C689" t="s">
        <v>3</v>
      </c>
      <c r="D689">
        <v>93.677724327000007</v>
      </c>
    </row>
    <row r="690" spans="2:4">
      <c r="B690" s="2">
        <v>41078</v>
      </c>
      <c r="C690" t="s">
        <v>3</v>
      </c>
      <c r="D690">
        <v>93.540099327999997</v>
      </c>
    </row>
    <row r="691" spans="2:4">
      <c r="B691" s="2">
        <v>41075</v>
      </c>
      <c r="C691" t="s">
        <v>3</v>
      </c>
      <c r="D691">
        <v>94.285457751999999</v>
      </c>
    </row>
    <row r="692" spans="2:4">
      <c r="B692" s="2">
        <v>41074</v>
      </c>
      <c r="C692" t="s">
        <v>3</v>
      </c>
      <c r="D692">
        <v>94.255007778000007</v>
      </c>
    </row>
    <row r="693" spans="2:4">
      <c r="B693" s="2">
        <v>41073</v>
      </c>
      <c r="C693" t="s">
        <v>3</v>
      </c>
      <c r="D693">
        <v>94.1257904</v>
      </c>
    </row>
    <row r="694" spans="2:4">
      <c r="B694" s="2">
        <v>41072</v>
      </c>
      <c r="C694" t="s">
        <v>3</v>
      </c>
      <c r="D694">
        <v>94.526384633999996</v>
      </c>
    </row>
    <row r="695" spans="2:4">
      <c r="B695" s="2">
        <v>41071</v>
      </c>
      <c r="C695" t="s">
        <v>3</v>
      </c>
      <c r="D695">
        <v>94.366623223000005</v>
      </c>
    </row>
    <row r="696" spans="2:4">
      <c r="B696" s="2">
        <v>41068</v>
      </c>
      <c r="C696" t="s">
        <v>3</v>
      </c>
      <c r="D696">
        <v>94.082497541999999</v>
      </c>
    </row>
    <row r="697" spans="2:4">
      <c r="B697" s="2">
        <v>41067</v>
      </c>
      <c r="C697" t="s">
        <v>3</v>
      </c>
      <c r="D697">
        <v>94.619147264000006</v>
      </c>
    </row>
    <row r="698" spans="2:4">
      <c r="B698" s="2">
        <v>41066</v>
      </c>
      <c r="C698" t="s">
        <v>3</v>
      </c>
      <c r="D698">
        <v>94.150456399999996</v>
      </c>
    </row>
    <row r="699" spans="2:4">
      <c r="B699" s="2">
        <v>41065</v>
      </c>
      <c r="C699" t="s">
        <v>3</v>
      </c>
      <c r="D699">
        <v>94.249046231999998</v>
      </c>
    </row>
    <row r="700" spans="2:4">
      <c r="B700" s="2">
        <v>41064</v>
      </c>
      <c r="C700" t="s">
        <v>3</v>
      </c>
      <c r="D700">
        <v>94.466085227999997</v>
      </c>
    </row>
    <row r="701" spans="2:4">
      <c r="B701" s="2">
        <v>41061</v>
      </c>
      <c r="C701" t="s">
        <v>3</v>
      </c>
      <c r="D701">
        <v>93.942567420000003</v>
      </c>
    </row>
    <row r="702" spans="2:4">
      <c r="B702" s="2">
        <v>41060</v>
      </c>
      <c r="C702" t="s">
        <v>3</v>
      </c>
      <c r="D702">
        <v>94.138797530999994</v>
      </c>
    </row>
    <row r="703" spans="2:4">
      <c r="B703" s="2">
        <v>41059</v>
      </c>
      <c r="C703" t="s">
        <v>3</v>
      </c>
      <c r="D703">
        <v>94.276040910000006</v>
      </c>
    </row>
    <row r="704" spans="2:4">
      <c r="B704" s="2">
        <v>41058</v>
      </c>
      <c r="C704" t="s">
        <v>3</v>
      </c>
      <c r="D704">
        <v>96.068260452999994</v>
      </c>
    </row>
    <row r="705" spans="2:4">
      <c r="B705" s="2">
        <v>41054</v>
      </c>
      <c r="C705" t="s">
        <v>3</v>
      </c>
      <c r="D705">
        <v>96.687977885999999</v>
      </c>
    </row>
    <row r="706" spans="2:4">
      <c r="B706" s="2">
        <v>41053</v>
      </c>
      <c r="C706" t="s">
        <v>3</v>
      </c>
      <c r="D706">
        <v>96.830761846000001</v>
      </c>
    </row>
    <row r="707" spans="2:4">
      <c r="B707" s="2">
        <v>41052</v>
      </c>
      <c r="C707" t="s">
        <v>3</v>
      </c>
      <c r="D707">
        <v>97.382095002</v>
      </c>
    </row>
    <row r="708" spans="2:4">
      <c r="B708" s="2">
        <v>41051</v>
      </c>
      <c r="C708" t="s">
        <v>3</v>
      </c>
      <c r="D708">
        <v>98.105163340000004</v>
      </c>
    </row>
    <row r="709" spans="2:4">
      <c r="B709" s="2">
        <v>41050</v>
      </c>
      <c r="C709" t="s">
        <v>3</v>
      </c>
      <c r="D709">
        <v>97.007764895999998</v>
      </c>
    </row>
    <row r="710" spans="2:4">
      <c r="B710" s="2">
        <v>41047</v>
      </c>
      <c r="C710" t="s">
        <v>3</v>
      </c>
      <c r="D710">
        <v>96.832633560000005</v>
      </c>
    </row>
    <row r="711" spans="2:4">
      <c r="B711" s="2">
        <v>41046</v>
      </c>
      <c r="C711" t="s">
        <v>3</v>
      </c>
      <c r="D711">
        <v>97.064328959999997</v>
      </c>
    </row>
    <row r="712" spans="2:4">
      <c r="B712" s="2">
        <v>41045</v>
      </c>
      <c r="C712" t="s">
        <v>3</v>
      </c>
      <c r="D712">
        <v>97.342912116999997</v>
      </c>
    </row>
    <row r="713" spans="2:4">
      <c r="B713" s="2">
        <v>41044</v>
      </c>
      <c r="C713" t="s">
        <v>3</v>
      </c>
      <c r="D713">
        <v>98.124823403999997</v>
      </c>
    </row>
    <row r="714" spans="2:4">
      <c r="B714" s="2">
        <v>41043</v>
      </c>
      <c r="C714" t="s">
        <v>3</v>
      </c>
      <c r="D714">
        <v>98.112986711999994</v>
      </c>
    </row>
    <row r="715" spans="2:4">
      <c r="B715" s="2">
        <v>41040</v>
      </c>
      <c r="C715" t="s">
        <v>3</v>
      </c>
      <c r="D715">
        <v>97.641260775000006</v>
      </c>
    </row>
    <row r="716" spans="2:4">
      <c r="B716" s="2">
        <v>41039</v>
      </c>
      <c r="C716" t="s">
        <v>3</v>
      </c>
      <c r="D716">
        <v>97.592224896000005</v>
      </c>
    </row>
    <row r="717" spans="2:4">
      <c r="B717" s="2">
        <v>41038</v>
      </c>
      <c r="C717" t="s">
        <v>3</v>
      </c>
      <c r="D717">
        <v>97.929157611999997</v>
      </c>
    </row>
    <row r="718" spans="2:4">
      <c r="B718" s="2">
        <v>41037</v>
      </c>
      <c r="C718" t="s">
        <v>3</v>
      </c>
      <c r="D718">
        <v>97.601929841</v>
      </c>
    </row>
    <row r="719" spans="2:4">
      <c r="B719" s="2">
        <v>41036</v>
      </c>
      <c r="C719" t="s">
        <v>3</v>
      </c>
      <c r="D719">
        <v>97.799584319999994</v>
      </c>
    </row>
    <row r="720" spans="2:4">
      <c r="B720" s="2">
        <v>41033</v>
      </c>
      <c r="C720" t="s">
        <v>3</v>
      </c>
      <c r="D720">
        <v>97.272269813999998</v>
      </c>
    </row>
    <row r="721" spans="2:4">
      <c r="B721" s="2">
        <v>41032</v>
      </c>
      <c r="C721" t="s">
        <v>3</v>
      </c>
      <c r="D721">
        <v>98.872642064000004</v>
      </c>
    </row>
    <row r="722" spans="2:4">
      <c r="B722" s="2">
        <v>41031</v>
      </c>
      <c r="C722" t="s">
        <v>3</v>
      </c>
      <c r="D722">
        <v>99.030185099999997</v>
      </c>
    </row>
    <row r="723" spans="2:4">
      <c r="B723" s="2">
        <v>41030</v>
      </c>
      <c r="C723" t="s">
        <v>3</v>
      </c>
      <c r="D723">
        <v>100.291815156</v>
      </c>
    </row>
    <row r="724" spans="2:4">
      <c r="B724" s="2">
        <v>41029</v>
      </c>
      <c r="C724" t="s">
        <v>3</v>
      </c>
      <c r="D724">
        <v>98.533153404000004</v>
      </c>
    </row>
    <row r="725" spans="2:4">
      <c r="B725" s="2">
        <v>41026</v>
      </c>
      <c r="C725" t="s">
        <v>3</v>
      </c>
      <c r="D725">
        <v>99.602698623999999</v>
      </c>
    </row>
    <row r="726" spans="2:4">
      <c r="B726" s="2">
        <v>41025</v>
      </c>
      <c r="C726" t="s">
        <v>3</v>
      </c>
      <c r="D726">
        <v>101.332439964</v>
      </c>
    </row>
    <row r="727" spans="2:4">
      <c r="B727" s="2">
        <v>41024</v>
      </c>
      <c r="C727" t="s">
        <v>3</v>
      </c>
      <c r="D727">
        <v>101.763535576</v>
      </c>
    </row>
    <row r="728" spans="2:4">
      <c r="B728" s="2">
        <v>41023</v>
      </c>
      <c r="C728" t="s">
        <v>3</v>
      </c>
      <c r="D728">
        <v>102.08953008899999</v>
      </c>
    </row>
    <row r="729" spans="2:4">
      <c r="B729" s="2">
        <v>41022</v>
      </c>
      <c r="C729" t="s">
        <v>3</v>
      </c>
      <c r="D729">
        <v>102.188368932</v>
      </c>
    </row>
    <row r="730" spans="2:4">
      <c r="B730" s="2">
        <v>41019</v>
      </c>
      <c r="C730" t="s">
        <v>3</v>
      </c>
      <c r="D730">
        <v>102.431642274</v>
      </c>
    </row>
    <row r="731" spans="2:4">
      <c r="B731" s="2">
        <v>41018</v>
      </c>
      <c r="C731" t="s">
        <v>3</v>
      </c>
      <c r="D731">
        <v>102.265605927</v>
      </c>
    </row>
    <row r="732" spans="2:4">
      <c r="B732" s="2">
        <v>41017</v>
      </c>
      <c r="C732" t="s">
        <v>3</v>
      </c>
      <c r="D732">
        <v>102.68532092</v>
      </c>
    </row>
    <row r="733" spans="2:4">
      <c r="B733" s="2">
        <v>41016</v>
      </c>
      <c r="C733" t="s">
        <v>3</v>
      </c>
      <c r="D733">
        <v>102.762571776</v>
      </c>
    </row>
    <row r="734" spans="2:4">
      <c r="B734" s="2">
        <v>41015</v>
      </c>
      <c r="C734" t="s">
        <v>3</v>
      </c>
      <c r="D734">
        <v>102.16024041599999</v>
      </c>
    </row>
    <row r="735" spans="2:4">
      <c r="B735" s="2">
        <v>41012</v>
      </c>
      <c r="C735" t="s">
        <v>3</v>
      </c>
      <c r="D735">
        <v>101.992673645</v>
      </c>
    </row>
    <row r="736" spans="2:4">
      <c r="B736" s="2">
        <v>41011</v>
      </c>
      <c r="C736" t="s">
        <v>3</v>
      </c>
      <c r="D736">
        <v>101.69477120099999</v>
      </c>
    </row>
    <row r="737" spans="2:4">
      <c r="B737" s="2">
        <v>41010</v>
      </c>
      <c r="C737" t="s">
        <v>3</v>
      </c>
      <c r="D737">
        <v>101.43355201</v>
      </c>
    </row>
    <row r="738" spans="2:4">
      <c r="B738" s="2">
        <v>41009</v>
      </c>
      <c r="C738" t="s">
        <v>3</v>
      </c>
      <c r="D738">
        <v>101.373983456</v>
      </c>
    </row>
    <row r="739" spans="2:4">
      <c r="B739" s="2">
        <v>41008</v>
      </c>
      <c r="C739" t="s">
        <v>3</v>
      </c>
      <c r="D739">
        <v>100.46654074999999</v>
      </c>
    </row>
    <row r="740" spans="2:4">
      <c r="B740" s="2">
        <v>41005</v>
      </c>
      <c r="C740" t="s">
        <v>3</v>
      </c>
      <c r="D740">
        <v>101.487801261</v>
      </c>
    </row>
    <row r="741" spans="2:4">
      <c r="B741" s="2">
        <v>41004</v>
      </c>
      <c r="C741" t="s">
        <v>3</v>
      </c>
      <c r="D741">
        <v>102.81664658299999</v>
      </c>
    </row>
    <row r="742" spans="2:4">
      <c r="B742" s="2">
        <v>41003</v>
      </c>
      <c r="C742" t="s">
        <v>3</v>
      </c>
      <c r="D742">
        <v>102.488376774</v>
      </c>
    </row>
    <row r="743" spans="2:4">
      <c r="B743" s="2">
        <v>41002</v>
      </c>
      <c r="C743" t="s">
        <v>3</v>
      </c>
      <c r="D743">
        <v>101.792748948</v>
      </c>
    </row>
    <row r="744" spans="2:4">
      <c r="B744" s="2">
        <v>41001</v>
      </c>
      <c r="C744" t="s">
        <v>3</v>
      </c>
      <c r="D744">
        <v>101.056384665</v>
      </c>
    </row>
    <row r="745" spans="2:4">
      <c r="B745" s="2">
        <v>40998</v>
      </c>
      <c r="C745" t="s">
        <v>3</v>
      </c>
      <c r="D745">
        <v>101.68895646</v>
      </c>
    </row>
    <row r="746" spans="2:4">
      <c r="B746" s="2">
        <v>40997</v>
      </c>
      <c r="C746" t="s">
        <v>3</v>
      </c>
      <c r="D746">
        <v>100.97121129200001</v>
      </c>
    </row>
    <row r="747" spans="2:4">
      <c r="B747" s="2">
        <v>40996</v>
      </c>
      <c r="C747" t="s">
        <v>3</v>
      </c>
      <c r="D747">
        <v>101.77491680999999</v>
      </c>
    </row>
    <row r="748" spans="2:4">
      <c r="B748" s="2">
        <v>40995</v>
      </c>
      <c r="C748" t="s">
        <v>3</v>
      </c>
      <c r="D748">
        <v>102.580000215</v>
      </c>
    </row>
    <row r="749" spans="2:4">
      <c r="B749" s="2">
        <v>40994</v>
      </c>
      <c r="C749" t="s">
        <v>3</v>
      </c>
      <c r="D749">
        <v>102.95396791</v>
      </c>
    </row>
    <row r="750" spans="2:4">
      <c r="B750" s="2">
        <v>40991</v>
      </c>
      <c r="C750" t="s">
        <v>3</v>
      </c>
      <c r="D750">
        <v>103.22967500999999</v>
      </c>
    </row>
    <row r="751" spans="2:4">
      <c r="B751" s="2">
        <v>40990</v>
      </c>
      <c r="C751" t="s">
        <v>3</v>
      </c>
      <c r="D751">
        <v>103.204769136</v>
      </c>
    </row>
    <row r="752" spans="2:4">
      <c r="B752" s="2">
        <v>40989</v>
      </c>
      <c r="C752" t="s">
        <v>3</v>
      </c>
      <c r="D752">
        <v>103.70980627199999</v>
      </c>
    </row>
    <row r="753" spans="2:4">
      <c r="B753" s="2">
        <v>40988</v>
      </c>
      <c r="C753" t="s">
        <v>3</v>
      </c>
      <c r="D753">
        <v>104.112832301</v>
      </c>
    </row>
    <row r="754" spans="2:4">
      <c r="B754" s="2">
        <v>40987</v>
      </c>
      <c r="C754" t="s">
        <v>3</v>
      </c>
      <c r="D754">
        <v>104.41965833</v>
      </c>
    </row>
    <row r="755" spans="2:4">
      <c r="B755" s="2">
        <v>40984</v>
      </c>
      <c r="C755" t="s">
        <v>3</v>
      </c>
      <c r="D755">
        <v>103.529730716</v>
      </c>
    </row>
    <row r="756" spans="2:4">
      <c r="B756" s="2">
        <v>40983</v>
      </c>
      <c r="C756" t="s">
        <v>3</v>
      </c>
      <c r="D756">
        <v>104.56826135599999</v>
      </c>
    </row>
    <row r="757" spans="2:4">
      <c r="B757" s="2">
        <v>40982</v>
      </c>
      <c r="C757" t="s">
        <v>3</v>
      </c>
      <c r="D757">
        <v>105.552737794</v>
      </c>
    </row>
    <row r="758" spans="2:4">
      <c r="B758" s="2">
        <v>40981</v>
      </c>
      <c r="C758" t="s">
        <v>3</v>
      </c>
      <c r="D758">
        <v>104.692009971</v>
      </c>
    </row>
    <row r="759" spans="2:4">
      <c r="B759" s="2">
        <v>40980</v>
      </c>
      <c r="C759" t="s">
        <v>3</v>
      </c>
      <c r="D759">
        <v>104.094332368</v>
      </c>
    </row>
    <row r="760" spans="2:4">
      <c r="B760" s="2">
        <v>40977</v>
      </c>
      <c r="C760" t="s">
        <v>3</v>
      </c>
      <c r="D760">
        <v>103.81598286400001</v>
      </c>
    </row>
    <row r="761" spans="2:4">
      <c r="B761" s="2">
        <v>40976</v>
      </c>
      <c r="C761" t="s">
        <v>3</v>
      </c>
      <c r="D761">
        <v>103.919897381</v>
      </c>
    </row>
    <row r="762" spans="2:4">
      <c r="B762" s="2">
        <v>40975</v>
      </c>
      <c r="C762" t="s">
        <v>3</v>
      </c>
      <c r="D762">
        <v>104.285661</v>
      </c>
    </row>
    <row r="763" spans="2:4">
      <c r="B763" s="2">
        <v>40974</v>
      </c>
      <c r="C763" t="s">
        <v>3</v>
      </c>
      <c r="D763">
        <v>105.17475672</v>
      </c>
    </row>
    <row r="764" spans="2:4">
      <c r="B764" s="2">
        <v>40973</v>
      </c>
      <c r="C764" t="s">
        <v>3</v>
      </c>
      <c r="D764">
        <v>105.19474131600001</v>
      </c>
    </row>
    <row r="765" spans="2:4">
      <c r="B765" s="2">
        <v>40970</v>
      </c>
      <c r="C765" t="s">
        <v>3</v>
      </c>
      <c r="D765">
        <v>104.85951566599999</v>
      </c>
    </row>
    <row r="766" spans="2:4">
      <c r="B766" s="2">
        <v>40969</v>
      </c>
      <c r="C766" t="s">
        <v>3</v>
      </c>
      <c r="D766">
        <v>104.897876049</v>
      </c>
    </row>
    <row r="767" spans="2:4">
      <c r="B767" s="2">
        <v>40968</v>
      </c>
      <c r="C767" t="s">
        <v>3</v>
      </c>
      <c r="D767">
        <v>104.26855704</v>
      </c>
    </row>
    <row r="768" spans="2:4">
      <c r="B768" s="2">
        <v>40967</v>
      </c>
      <c r="C768" t="s">
        <v>3</v>
      </c>
      <c r="D768">
        <v>102.96151264</v>
      </c>
    </row>
    <row r="769" spans="2:4">
      <c r="B769" s="2">
        <v>40966</v>
      </c>
      <c r="C769" t="s">
        <v>3</v>
      </c>
      <c r="D769">
        <v>102.986047265</v>
      </c>
    </row>
    <row r="770" spans="2:4">
      <c r="B770" s="2">
        <v>40963</v>
      </c>
      <c r="C770" t="s">
        <v>3</v>
      </c>
      <c r="D770">
        <v>103.18487402300001</v>
      </c>
    </row>
    <row r="771" spans="2:4">
      <c r="B771" s="2">
        <v>40962</v>
      </c>
      <c r="C771" t="s">
        <v>3</v>
      </c>
      <c r="D771">
        <v>102.59464888399999</v>
      </c>
    </row>
    <row r="772" spans="2:4">
      <c r="B772" s="2">
        <v>40961</v>
      </c>
      <c r="C772" t="s">
        <v>3</v>
      </c>
      <c r="D772">
        <v>102.715655936</v>
      </c>
    </row>
    <row r="773" spans="2:4">
      <c r="B773" s="2">
        <v>40960</v>
      </c>
      <c r="C773" t="s">
        <v>3</v>
      </c>
      <c r="D773">
        <v>102.422808053</v>
      </c>
    </row>
    <row r="774" spans="2:4">
      <c r="B774" s="2">
        <v>40956</v>
      </c>
      <c r="C774" t="s">
        <v>3</v>
      </c>
      <c r="D774">
        <v>102.31843870100001</v>
      </c>
    </row>
    <row r="775" spans="2:4">
      <c r="B775" s="2">
        <v>40955</v>
      </c>
      <c r="C775" t="s">
        <v>3</v>
      </c>
      <c r="D775">
        <v>102.41069780700001</v>
      </c>
    </row>
    <row r="776" spans="2:4">
      <c r="B776" s="2">
        <v>40954</v>
      </c>
      <c r="C776" t="s">
        <v>3</v>
      </c>
      <c r="D776">
        <v>102.393790771</v>
      </c>
    </row>
    <row r="777" spans="2:4">
      <c r="B777" s="2">
        <v>40953</v>
      </c>
      <c r="C777" t="s">
        <v>3</v>
      </c>
      <c r="D777">
        <v>103.125953112</v>
      </c>
    </row>
    <row r="778" spans="2:4">
      <c r="B778" s="2">
        <v>40952</v>
      </c>
      <c r="C778" t="s">
        <v>3</v>
      </c>
      <c r="D778">
        <v>103.96210087999999</v>
      </c>
    </row>
    <row r="779" spans="2:4">
      <c r="B779" s="2">
        <v>40949</v>
      </c>
      <c r="C779" t="s">
        <v>3</v>
      </c>
      <c r="D779">
        <v>102.43740042899999</v>
      </c>
    </row>
    <row r="780" spans="2:4">
      <c r="B780" s="2">
        <v>40948</v>
      </c>
      <c r="C780" t="s">
        <v>3</v>
      </c>
      <c r="D780">
        <v>102.04631523800001</v>
      </c>
    </row>
    <row r="781" spans="2:4">
      <c r="B781" s="2">
        <v>40947</v>
      </c>
      <c r="C781" t="s">
        <v>3</v>
      </c>
      <c r="D781">
        <v>101.808938088</v>
      </c>
    </row>
    <row r="782" spans="2:4">
      <c r="B782" s="2">
        <v>40946</v>
      </c>
      <c r="C782" t="s">
        <v>3</v>
      </c>
      <c r="D782">
        <v>101.622819335</v>
      </c>
    </row>
    <row r="783" spans="2:4">
      <c r="B783" s="2">
        <v>40945</v>
      </c>
      <c r="C783" t="s">
        <v>3</v>
      </c>
      <c r="D783">
        <v>101.429063554</v>
      </c>
    </row>
    <row r="784" spans="2:4">
      <c r="B784" s="2">
        <v>40942</v>
      </c>
      <c r="C784" t="s">
        <v>3</v>
      </c>
      <c r="D784">
        <v>102.17253657800001</v>
      </c>
    </row>
    <row r="785" spans="2:4">
      <c r="B785" s="2">
        <v>40941</v>
      </c>
      <c r="C785" t="s">
        <v>3</v>
      </c>
      <c r="D785">
        <v>101.63824365399999</v>
      </c>
    </row>
    <row r="786" spans="2:4">
      <c r="B786" s="2">
        <v>40940</v>
      </c>
      <c r="C786" t="s">
        <v>3</v>
      </c>
      <c r="D786">
        <v>101.40928860699999</v>
      </c>
    </row>
    <row r="787" spans="2:4">
      <c r="B787" s="2">
        <v>40939</v>
      </c>
      <c r="C787" t="s">
        <v>3</v>
      </c>
      <c r="D787">
        <v>101.00779326</v>
      </c>
    </row>
    <row r="788" spans="2:4">
      <c r="B788" s="2">
        <v>40938</v>
      </c>
      <c r="C788" t="s">
        <v>3</v>
      </c>
      <c r="D788">
        <v>100.575841102</v>
      </c>
    </row>
    <row r="789" spans="2:4">
      <c r="B789" s="2">
        <v>40935</v>
      </c>
      <c r="C789" t="s">
        <v>3</v>
      </c>
      <c r="D789">
        <v>100.454829047</v>
      </c>
    </row>
    <row r="790" spans="2:4">
      <c r="B790" s="2">
        <v>40934</v>
      </c>
      <c r="C790" t="s">
        <v>3</v>
      </c>
      <c r="D790">
        <v>100.309579602</v>
      </c>
    </row>
    <row r="791" spans="2:4">
      <c r="B791" s="2">
        <v>40933</v>
      </c>
      <c r="C791" t="s">
        <v>3</v>
      </c>
      <c r="D791">
        <v>102.16642423499999</v>
      </c>
    </row>
    <row r="792" spans="2:4">
      <c r="B792" s="2">
        <v>40932</v>
      </c>
      <c r="C792" t="s">
        <v>3</v>
      </c>
      <c r="D792">
        <v>103.251470328</v>
      </c>
    </row>
    <row r="793" spans="2:4">
      <c r="B793" s="2">
        <v>40931</v>
      </c>
      <c r="C793" t="s">
        <v>3</v>
      </c>
      <c r="D793">
        <v>103.76328645700001</v>
      </c>
    </row>
    <row r="794" spans="2:4">
      <c r="B794" s="2">
        <v>40928</v>
      </c>
      <c r="C794" t="s">
        <v>3</v>
      </c>
      <c r="D794">
        <v>103.83280193</v>
      </c>
    </row>
    <row r="795" spans="2:4">
      <c r="B795" s="2">
        <v>40927</v>
      </c>
      <c r="C795" t="s">
        <v>3</v>
      </c>
      <c r="D795">
        <v>103.70136898</v>
      </c>
    </row>
    <row r="796" spans="2:4">
      <c r="B796" s="2">
        <v>40926</v>
      </c>
      <c r="C796" t="s">
        <v>3</v>
      </c>
      <c r="D796">
        <v>103.015152493</v>
      </c>
    </row>
    <row r="797" spans="2:4">
      <c r="B797" s="2">
        <v>40925</v>
      </c>
      <c r="C797" t="s">
        <v>3</v>
      </c>
      <c r="D797">
        <v>103.340909673</v>
      </c>
    </row>
    <row r="798" spans="2:4">
      <c r="B798" s="2">
        <v>40921</v>
      </c>
      <c r="C798" t="s">
        <v>3</v>
      </c>
      <c r="D798">
        <v>103.042189576</v>
      </c>
    </row>
    <row r="799" spans="2:4">
      <c r="B799" s="2">
        <v>40920</v>
      </c>
      <c r="C799" t="s">
        <v>3</v>
      </c>
      <c r="D799">
        <v>103.75468739999999</v>
      </c>
    </row>
    <row r="800" spans="2:4">
      <c r="B800" s="2">
        <v>40919</v>
      </c>
      <c r="C800" t="s">
        <v>3</v>
      </c>
      <c r="D800">
        <v>103.131240758</v>
      </c>
    </row>
    <row r="801" spans="2:4">
      <c r="B801" s="2">
        <v>40918</v>
      </c>
      <c r="C801" t="s">
        <v>3</v>
      </c>
      <c r="D801">
        <v>103.94068828</v>
      </c>
    </row>
    <row r="802" spans="2:4">
      <c r="B802" s="2">
        <v>40917</v>
      </c>
      <c r="C802" t="s">
        <v>3</v>
      </c>
      <c r="D802">
        <v>103.28523183999999</v>
      </c>
    </row>
    <row r="803" spans="2:4">
      <c r="B803" s="2">
        <v>40914</v>
      </c>
      <c r="C803" t="s">
        <v>3</v>
      </c>
      <c r="D803">
        <v>104.74488261899999</v>
      </c>
    </row>
    <row r="804" spans="2:4">
      <c r="B804" s="2">
        <v>40913</v>
      </c>
      <c r="C804" t="s">
        <v>3</v>
      </c>
      <c r="D804">
        <v>105.760910673</v>
      </c>
    </row>
    <row r="805" spans="2:4">
      <c r="B805" s="2">
        <v>40912</v>
      </c>
      <c r="C805" t="s">
        <v>3</v>
      </c>
      <c r="D805">
        <v>106.12042008900001</v>
      </c>
    </row>
    <row r="806" spans="2:4">
      <c r="B806" s="2">
        <v>40911</v>
      </c>
      <c r="C806" t="s">
        <v>3</v>
      </c>
      <c r="D806">
        <v>107.49438581</v>
      </c>
    </row>
    <row r="807" spans="2:4">
      <c r="B807" s="2">
        <v>40907</v>
      </c>
      <c r="C807" t="s">
        <v>3</v>
      </c>
      <c r="D807">
        <v>106.94812539599999</v>
      </c>
    </row>
    <row r="808" spans="2:4">
      <c r="B808" s="2">
        <v>40906</v>
      </c>
      <c r="C808" t="s">
        <v>3</v>
      </c>
      <c r="D808">
        <v>108.01539529</v>
      </c>
    </row>
    <row r="809" spans="2:4">
      <c r="B809" s="2">
        <v>40905</v>
      </c>
      <c r="C809" t="s">
        <v>3</v>
      </c>
      <c r="D809">
        <v>107.68804686</v>
      </c>
    </row>
    <row r="810" spans="2:4">
      <c r="B810" s="2">
        <v>40904</v>
      </c>
      <c r="C810" t="s">
        <v>3</v>
      </c>
      <c r="D810">
        <v>108.198230032</v>
      </c>
    </row>
    <row r="811" spans="2:4">
      <c r="B811" s="2">
        <v>40900</v>
      </c>
      <c r="C811" t="s">
        <v>3</v>
      </c>
      <c r="D811">
        <v>107.791473504</v>
      </c>
    </row>
    <row r="812" spans="2:4">
      <c r="B812" s="2">
        <v>40899</v>
      </c>
      <c r="C812" t="s">
        <v>3</v>
      </c>
      <c r="D812">
        <v>106.651354017</v>
      </c>
    </row>
    <row r="813" spans="2:4">
      <c r="B813" s="2">
        <v>40898</v>
      </c>
      <c r="C813" t="s">
        <v>3</v>
      </c>
      <c r="D813">
        <v>107.06094230399999</v>
      </c>
    </row>
    <row r="814" spans="2:4">
      <c r="B814" s="2">
        <v>40897</v>
      </c>
      <c r="C814" t="s">
        <v>3</v>
      </c>
      <c r="D814">
        <v>107.415783432</v>
      </c>
    </row>
    <row r="815" spans="2:4">
      <c r="B815" s="2">
        <v>40896</v>
      </c>
      <c r="C815" t="s">
        <v>3</v>
      </c>
      <c r="D815">
        <v>105.53536738</v>
      </c>
    </row>
    <row r="816" spans="2:4">
      <c r="B816" s="2">
        <v>40893</v>
      </c>
      <c r="C816" t="s">
        <v>3</v>
      </c>
      <c r="D816">
        <v>107.076154066</v>
      </c>
    </row>
    <row r="817" spans="2:4">
      <c r="B817" s="2">
        <v>40892</v>
      </c>
      <c r="C817" t="s">
        <v>3</v>
      </c>
      <c r="D817">
        <v>106.63726339999999</v>
      </c>
    </row>
    <row r="818" spans="2:4">
      <c r="B818" s="2">
        <v>40891</v>
      </c>
      <c r="C818" t="s">
        <v>3</v>
      </c>
      <c r="D818">
        <v>107.691085852</v>
      </c>
    </row>
    <row r="819" spans="2:4">
      <c r="B819" s="2">
        <v>40890</v>
      </c>
      <c r="C819" t="s">
        <v>3</v>
      </c>
      <c r="D819">
        <v>108.34515485</v>
      </c>
    </row>
    <row r="820" spans="2:4">
      <c r="B820" s="2">
        <v>40889</v>
      </c>
      <c r="C820" t="s">
        <v>3</v>
      </c>
      <c r="D820">
        <v>109.02354475999999</v>
      </c>
    </row>
    <row r="821" spans="2:4">
      <c r="B821" s="2">
        <v>40886</v>
      </c>
      <c r="C821" t="s">
        <v>3</v>
      </c>
      <c r="D821">
        <v>109.085828896</v>
      </c>
    </row>
    <row r="822" spans="2:4">
      <c r="B822" s="2">
        <v>40885</v>
      </c>
      <c r="C822" t="s">
        <v>3</v>
      </c>
      <c r="D822">
        <v>108.174566595</v>
      </c>
    </row>
    <row r="823" spans="2:4">
      <c r="B823" s="2">
        <v>40884</v>
      </c>
      <c r="C823" t="s">
        <v>3</v>
      </c>
      <c r="D823">
        <v>106.81558104</v>
      </c>
    </row>
    <row r="824" spans="2:4">
      <c r="B824" s="2">
        <v>40883</v>
      </c>
      <c r="C824" t="s">
        <v>3</v>
      </c>
      <c r="D824">
        <v>107.813634533</v>
      </c>
    </row>
    <row r="825" spans="2:4">
      <c r="B825" s="2">
        <v>40882</v>
      </c>
      <c r="C825" t="s">
        <v>3</v>
      </c>
      <c r="D825">
        <v>108.661502599</v>
      </c>
    </row>
    <row r="826" spans="2:4">
      <c r="B826" s="2">
        <v>40879</v>
      </c>
      <c r="C826" t="s">
        <v>3</v>
      </c>
      <c r="D826">
        <v>108.832933454</v>
      </c>
    </row>
    <row r="827" spans="2:4">
      <c r="B827" s="2">
        <v>40878</v>
      </c>
      <c r="C827" t="s">
        <v>3</v>
      </c>
      <c r="D827">
        <v>108.68079824</v>
      </c>
    </row>
    <row r="828" spans="2:4">
      <c r="B828" s="2">
        <v>40877</v>
      </c>
      <c r="C828" t="s">
        <v>3</v>
      </c>
      <c r="D828">
        <v>109.4107168</v>
      </c>
    </row>
    <row r="829" spans="2:4">
      <c r="B829" s="2">
        <v>40876</v>
      </c>
      <c r="C829" t="s">
        <v>3</v>
      </c>
      <c r="D829">
        <v>109.957882482</v>
      </c>
    </row>
    <row r="830" spans="2:4">
      <c r="B830" s="2">
        <v>40875</v>
      </c>
      <c r="C830" t="s">
        <v>3</v>
      </c>
      <c r="D830">
        <v>110.145230247</v>
      </c>
    </row>
    <row r="831" spans="2:4">
      <c r="B831" s="2">
        <v>40872</v>
      </c>
      <c r="C831" t="s">
        <v>3</v>
      </c>
      <c r="D831">
        <v>109.91915025599999</v>
      </c>
    </row>
    <row r="832" spans="2:4">
      <c r="B832" s="2">
        <v>40870</v>
      </c>
      <c r="C832" t="s">
        <v>3</v>
      </c>
      <c r="D832">
        <v>110.128525848</v>
      </c>
    </row>
    <row r="833" spans="2:4">
      <c r="B833" s="2">
        <v>40869</v>
      </c>
      <c r="C833" t="s">
        <v>3</v>
      </c>
      <c r="D833">
        <v>110.221318991</v>
      </c>
    </row>
    <row r="834" spans="2:4">
      <c r="B834" s="2">
        <v>40868</v>
      </c>
      <c r="C834" t="s">
        <v>3</v>
      </c>
      <c r="D834">
        <v>109.95952593600001</v>
      </c>
    </row>
    <row r="835" spans="2:4">
      <c r="B835" s="2">
        <v>40865</v>
      </c>
      <c r="C835" t="s">
        <v>3</v>
      </c>
      <c r="D835">
        <v>109.64847648</v>
      </c>
    </row>
    <row r="836" spans="2:4">
      <c r="B836" s="2">
        <v>40864</v>
      </c>
      <c r="C836" t="s">
        <v>3</v>
      </c>
      <c r="D836">
        <v>109.16498624800001</v>
      </c>
    </row>
    <row r="837" spans="2:4">
      <c r="B837" s="2">
        <v>40863</v>
      </c>
      <c r="C837" t="s">
        <v>3</v>
      </c>
      <c r="D837">
        <v>109.24806438</v>
      </c>
    </row>
    <row r="838" spans="2:4">
      <c r="B838" s="2">
        <v>40862</v>
      </c>
      <c r="C838" t="s">
        <v>3</v>
      </c>
      <c r="D838">
        <v>108.89438944</v>
      </c>
    </row>
    <row r="839" spans="2:4">
      <c r="B839" s="2">
        <v>40861</v>
      </c>
      <c r="C839" t="s">
        <v>3</v>
      </c>
      <c r="D839">
        <v>109.327400697</v>
      </c>
    </row>
    <row r="840" spans="2:4">
      <c r="B840" s="2">
        <v>40857</v>
      </c>
      <c r="C840" t="s">
        <v>3</v>
      </c>
      <c r="D840">
        <v>109.347536358</v>
      </c>
    </row>
    <row r="841" spans="2:4">
      <c r="B841" s="2">
        <v>40856</v>
      </c>
      <c r="C841" t="s">
        <v>3</v>
      </c>
      <c r="D841">
        <v>109.12705518</v>
      </c>
    </row>
    <row r="842" spans="2:4">
      <c r="B842" s="2">
        <v>40855</v>
      </c>
      <c r="C842" t="s">
        <v>3</v>
      </c>
      <c r="D842">
        <v>108.320326542</v>
      </c>
    </row>
    <row r="843" spans="2:4">
      <c r="B843" s="2">
        <v>40854</v>
      </c>
      <c r="C843" t="s">
        <v>3</v>
      </c>
      <c r="D843">
        <v>108.970494479</v>
      </c>
    </row>
    <row r="844" spans="2:4">
      <c r="B844" s="2">
        <v>40851</v>
      </c>
      <c r="C844" t="s">
        <v>3</v>
      </c>
      <c r="D844">
        <v>108.751119858</v>
      </c>
    </row>
    <row r="845" spans="2:4">
      <c r="B845" s="2">
        <v>40850</v>
      </c>
      <c r="C845" t="s">
        <v>3</v>
      </c>
      <c r="D845">
        <v>108.55288023</v>
      </c>
    </row>
    <row r="846" spans="2:4">
      <c r="B846" s="2">
        <v>40849</v>
      </c>
      <c r="C846" t="s">
        <v>3</v>
      </c>
      <c r="D846">
        <v>109.12563148300001</v>
      </c>
    </row>
    <row r="847" spans="2:4">
      <c r="B847" s="2">
        <v>40848</v>
      </c>
      <c r="C847" t="s">
        <v>3</v>
      </c>
      <c r="D847">
        <v>110.561764275</v>
      </c>
    </row>
    <row r="848" spans="2:4">
      <c r="B848" s="2">
        <v>40847</v>
      </c>
      <c r="C848" t="s">
        <v>3</v>
      </c>
      <c r="D848">
        <v>107.60314455</v>
      </c>
    </row>
    <row r="849" spans="2:4">
      <c r="B849" s="2">
        <v>40844</v>
      </c>
      <c r="C849" t="s">
        <v>3</v>
      </c>
      <c r="D849">
        <v>106.918167201</v>
      </c>
    </row>
    <row r="850" spans="2:4">
      <c r="B850" s="2">
        <v>40843</v>
      </c>
      <c r="C850" t="s">
        <v>3</v>
      </c>
      <c r="D850">
        <v>107.08842675</v>
      </c>
    </row>
    <row r="851" spans="2:4">
      <c r="B851" s="2">
        <v>40842</v>
      </c>
      <c r="C851" t="s">
        <v>3</v>
      </c>
      <c r="D851">
        <v>107.45030511500001</v>
      </c>
    </row>
    <row r="852" spans="2:4">
      <c r="B852" s="2">
        <v>40841</v>
      </c>
      <c r="C852" t="s">
        <v>3</v>
      </c>
      <c r="D852">
        <v>107.399102735</v>
      </c>
    </row>
    <row r="853" spans="2:4">
      <c r="B853" s="2">
        <v>40840</v>
      </c>
      <c r="C853" t="s">
        <v>3</v>
      </c>
      <c r="D853">
        <v>107.80839272999999</v>
      </c>
    </row>
    <row r="854" spans="2:4">
      <c r="B854" s="2">
        <v>40837</v>
      </c>
      <c r="C854" t="s">
        <v>3</v>
      </c>
      <c r="D854">
        <v>107.28754292000001</v>
      </c>
    </row>
    <row r="855" spans="2:4">
      <c r="B855" s="2">
        <v>40836</v>
      </c>
      <c r="C855" t="s">
        <v>3</v>
      </c>
      <c r="D855">
        <v>107.541219168</v>
      </c>
    </row>
    <row r="856" spans="2:4">
      <c r="B856" s="2">
        <v>40835</v>
      </c>
      <c r="C856" t="s">
        <v>3</v>
      </c>
      <c r="D856">
        <v>107.83327737</v>
      </c>
    </row>
    <row r="857" spans="2:4">
      <c r="B857" s="2">
        <v>40834</v>
      </c>
      <c r="C857" t="s">
        <v>3</v>
      </c>
      <c r="D857">
        <v>107.50690472399999</v>
      </c>
    </row>
    <row r="858" spans="2:4">
      <c r="B858" s="2">
        <v>40833</v>
      </c>
      <c r="C858" t="s">
        <v>3</v>
      </c>
      <c r="D858">
        <v>107.416310364</v>
      </c>
    </row>
    <row r="859" spans="2:4">
      <c r="B859" s="2">
        <v>40830</v>
      </c>
      <c r="C859" t="s">
        <v>3</v>
      </c>
      <c r="D859">
        <v>106.43096282</v>
      </c>
    </row>
    <row r="860" spans="2:4">
      <c r="B860" s="2">
        <v>40829</v>
      </c>
      <c r="C860" t="s">
        <v>3</v>
      </c>
      <c r="D860">
        <v>106.165473216</v>
      </c>
    </row>
    <row r="861" spans="2:4">
      <c r="B861" s="2">
        <v>40828</v>
      </c>
      <c r="C861" t="s">
        <v>3</v>
      </c>
      <c r="D861">
        <v>105.870352</v>
      </c>
    </row>
    <row r="862" spans="2:4">
      <c r="B862" s="2">
        <v>40827</v>
      </c>
      <c r="C862" t="s">
        <v>3</v>
      </c>
      <c r="D862">
        <v>105.416035506</v>
      </c>
    </row>
    <row r="863" spans="2:4">
      <c r="B863" s="2">
        <v>40823</v>
      </c>
      <c r="C863" t="s">
        <v>3</v>
      </c>
      <c r="D863">
        <v>105.012343233</v>
      </c>
    </row>
    <row r="864" spans="2:4">
      <c r="B864" s="2">
        <v>40822</v>
      </c>
      <c r="C864" t="s">
        <v>3</v>
      </c>
      <c r="D864">
        <v>105.33351737</v>
      </c>
    </row>
    <row r="865" spans="2:4">
      <c r="B865" s="2">
        <v>40821</v>
      </c>
      <c r="C865" t="s">
        <v>3</v>
      </c>
      <c r="D865">
        <v>105.81587528999999</v>
      </c>
    </row>
    <row r="866" spans="2:4">
      <c r="B866" s="2">
        <v>40820</v>
      </c>
      <c r="C866" t="s">
        <v>3</v>
      </c>
      <c r="D866">
        <v>106.19527512400001</v>
      </c>
    </row>
    <row r="867" spans="2:4">
      <c r="B867" s="2">
        <v>40819</v>
      </c>
      <c r="C867" t="s">
        <v>3</v>
      </c>
      <c r="D867">
        <v>106.877769152</v>
      </c>
    </row>
    <row r="868" spans="2:4">
      <c r="B868" s="2">
        <v>40816</v>
      </c>
      <c r="C868" t="s">
        <v>3</v>
      </c>
      <c r="D868">
        <v>106.15106187000001</v>
      </c>
    </row>
    <row r="869" spans="2:4">
      <c r="B869" s="2">
        <v>40815</v>
      </c>
      <c r="C869" t="s">
        <v>3</v>
      </c>
      <c r="D869">
        <v>106.261542424</v>
      </c>
    </row>
    <row r="870" spans="2:4">
      <c r="B870" s="2">
        <v>40814</v>
      </c>
      <c r="C870" t="s">
        <v>3</v>
      </c>
      <c r="D870">
        <v>107.129806136</v>
      </c>
    </row>
    <row r="871" spans="2:4">
      <c r="B871" s="2">
        <v>40813</v>
      </c>
      <c r="C871" t="s">
        <v>3</v>
      </c>
      <c r="D871">
        <v>108.08543204999999</v>
      </c>
    </row>
    <row r="872" spans="2:4">
      <c r="B872" s="2">
        <v>40812</v>
      </c>
      <c r="C872" t="s">
        <v>3</v>
      </c>
      <c r="D872">
        <v>107.843963832</v>
      </c>
    </row>
    <row r="873" spans="2:4">
      <c r="B873" s="2">
        <v>40809</v>
      </c>
      <c r="C873" t="s">
        <v>3</v>
      </c>
      <c r="D873">
        <v>107.30519209000001</v>
      </c>
    </row>
    <row r="874" spans="2:4">
      <c r="B874" s="2">
        <v>40808</v>
      </c>
      <c r="C874" t="s">
        <v>3</v>
      </c>
      <c r="D874">
        <v>109.349303679</v>
      </c>
    </row>
    <row r="875" spans="2:4">
      <c r="B875" s="2">
        <v>40807</v>
      </c>
      <c r="C875" t="s">
        <v>3</v>
      </c>
      <c r="D875">
        <v>108.224637546</v>
      </c>
    </row>
    <row r="876" spans="2:4">
      <c r="B876" s="2">
        <v>40806</v>
      </c>
      <c r="C876" t="s">
        <v>3</v>
      </c>
      <c r="D876">
        <v>108.745578534</v>
      </c>
    </row>
    <row r="877" spans="2:4">
      <c r="B877" s="2">
        <v>40805</v>
      </c>
      <c r="C877" t="s">
        <v>3</v>
      </c>
      <c r="D877">
        <v>107.55124068000001</v>
      </c>
    </row>
    <row r="878" spans="2:4">
      <c r="B878" s="2">
        <v>40802</v>
      </c>
      <c r="C878" t="s">
        <v>3</v>
      </c>
      <c r="D878">
        <v>108.482984952</v>
      </c>
    </row>
    <row r="879" spans="2:4">
      <c r="B879" s="2">
        <v>40801</v>
      </c>
      <c r="C879" t="s">
        <v>3</v>
      </c>
      <c r="D879">
        <v>108.124885018</v>
      </c>
    </row>
    <row r="880" spans="2:4">
      <c r="B880" s="2">
        <v>40800</v>
      </c>
      <c r="C880" t="s">
        <v>3</v>
      </c>
      <c r="D880">
        <v>107.979699978</v>
      </c>
    </row>
    <row r="881" spans="2:4">
      <c r="B881" s="2">
        <v>40799</v>
      </c>
      <c r="C881" t="s">
        <v>3</v>
      </c>
      <c r="D881">
        <v>107.66621902999999</v>
      </c>
    </row>
    <row r="882" spans="2:4">
      <c r="B882" s="2">
        <v>40798</v>
      </c>
      <c r="C882" t="s">
        <v>3</v>
      </c>
      <c r="D882">
        <v>106.9351578</v>
      </c>
    </row>
    <row r="883" spans="2:4">
      <c r="B883" s="2">
        <v>40795</v>
      </c>
      <c r="C883" t="s">
        <v>3</v>
      </c>
      <c r="D883">
        <v>107.13540707200001</v>
      </c>
    </row>
    <row r="884" spans="2:4">
      <c r="B884" s="2">
        <v>40794</v>
      </c>
      <c r="C884" t="s">
        <v>3</v>
      </c>
      <c r="D884">
        <v>107.352658182</v>
      </c>
    </row>
    <row r="885" spans="2:4">
      <c r="B885" s="2">
        <v>40793</v>
      </c>
      <c r="C885" t="s">
        <v>3</v>
      </c>
      <c r="D885">
        <v>108.083252255</v>
      </c>
    </row>
    <row r="886" spans="2:4">
      <c r="B886" s="2">
        <v>40792</v>
      </c>
      <c r="C886" t="s">
        <v>3</v>
      </c>
      <c r="D886">
        <v>108.713085447</v>
      </c>
    </row>
    <row r="887" spans="2:4">
      <c r="B887" s="2">
        <v>40788</v>
      </c>
      <c r="C887" t="s">
        <v>3</v>
      </c>
      <c r="D887">
        <v>108.007488595</v>
      </c>
    </row>
    <row r="888" spans="2:4">
      <c r="B888" s="2">
        <v>40787</v>
      </c>
      <c r="C888" t="s">
        <v>3</v>
      </c>
      <c r="D888">
        <v>107.684685964</v>
      </c>
    </row>
    <row r="889" spans="2:4">
      <c r="B889" s="2">
        <v>40786</v>
      </c>
      <c r="C889" t="s">
        <v>3</v>
      </c>
      <c r="D889">
        <v>107.495510366</v>
      </c>
    </row>
    <row r="890" spans="2:4">
      <c r="B890" s="2">
        <v>40785</v>
      </c>
      <c r="C890" t="s">
        <v>3</v>
      </c>
      <c r="D890">
        <v>107.875993671</v>
      </c>
    </row>
    <row r="891" spans="2:4">
      <c r="B891" s="2">
        <v>40784</v>
      </c>
      <c r="C891" t="s">
        <v>3</v>
      </c>
      <c r="D891">
        <v>108.08000691300001</v>
      </c>
    </row>
    <row r="892" spans="2:4">
      <c r="B892" s="2">
        <v>40781</v>
      </c>
      <c r="C892" t="s">
        <v>3</v>
      </c>
      <c r="D892">
        <v>107.987844094</v>
      </c>
    </row>
    <row r="893" spans="2:4">
      <c r="B893" s="2">
        <v>40780</v>
      </c>
      <c r="C893" t="s">
        <v>3</v>
      </c>
      <c r="D893">
        <v>108.515997482</v>
      </c>
    </row>
    <row r="894" spans="2:4">
      <c r="B894" s="2">
        <v>40779</v>
      </c>
      <c r="C894" t="s">
        <v>3</v>
      </c>
      <c r="D894">
        <v>107.440148998</v>
      </c>
    </row>
    <row r="895" spans="2:4">
      <c r="B895" s="2">
        <v>40778</v>
      </c>
      <c r="C895" t="s">
        <v>3</v>
      </c>
      <c r="D895">
        <v>108.91677637399999</v>
      </c>
    </row>
    <row r="896" spans="2:4">
      <c r="B896" s="2">
        <v>40777</v>
      </c>
      <c r="C896" t="s">
        <v>3</v>
      </c>
      <c r="D896">
        <v>108.33916536</v>
      </c>
    </row>
    <row r="897" spans="2:4">
      <c r="B897" s="2">
        <v>40774</v>
      </c>
      <c r="C897" t="s">
        <v>3</v>
      </c>
      <c r="D897">
        <v>108.70100395199999</v>
      </c>
    </row>
    <row r="898" spans="2:4">
      <c r="B898" s="2">
        <v>40773</v>
      </c>
      <c r="C898" t="s">
        <v>3</v>
      </c>
      <c r="D898">
        <v>108.139181748</v>
      </c>
    </row>
    <row r="899" spans="2:4">
      <c r="B899" s="2">
        <v>40772</v>
      </c>
      <c r="C899" t="s">
        <v>3</v>
      </c>
      <c r="D899">
        <v>106.965777933</v>
      </c>
    </row>
    <row r="900" spans="2:4">
      <c r="B900" s="2">
        <v>40771</v>
      </c>
      <c r="C900" t="s">
        <v>3</v>
      </c>
      <c r="D900">
        <v>106.653257</v>
      </c>
    </row>
    <row r="901" spans="2:4">
      <c r="B901" s="2">
        <v>40770</v>
      </c>
      <c r="C901" t="s">
        <v>3</v>
      </c>
      <c r="D901">
        <v>107.95465692000001</v>
      </c>
    </row>
    <row r="902" spans="2:4">
      <c r="B902" s="2">
        <v>40767</v>
      </c>
      <c r="C902" t="s">
        <v>3</v>
      </c>
      <c r="D902">
        <v>108.66059490000001</v>
      </c>
    </row>
    <row r="903" spans="2:4">
      <c r="B903" s="2">
        <v>40766</v>
      </c>
      <c r="C903" t="s">
        <v>3</v>
      </c>
      <c r="D903">
        <v>108.89972996500001</v>
      </c>
    </row>
    <row r="904" spans="2:4">
      <c r="B904" s="2">
        <v>40765</v>
      </c>
      <c r="C904" t="s">
        <v>3</v>
      </c>
      <c r="D904">
        <v>108.827436742</v>
      </c>
    </row>
    <row r="905" spans="2:4">
      <c r="B905" s="2">
        <v>40764</v>
      </c>
      <c r="C905" t="s">
        <v>3</v>
      </c>
      <c r="D905">
        <v>105.95724868400001</v>
      </c>
    </row>
    <row r="906" spans="2:4">
      <c r="B906" s="2">
        <v>40763</v>
      </c>
      <c r="C906" t="s">
        <v>3</v>
      </c>
      <c r="D906">
        <v>112.71852154</v>
      </c>
    </row>
    <row r="907" spans="2:4">
      <c r="B907" s="2">
        <v>40760</v>
      </c>
      <c r="C907" t="s">
        <v>3</v>
      </c>
      <c r="D907">
        <v>110.29058491799999</v>
      </c>
    </row>
    <row r="908" spans="2:4">
      <c r="B908" s="2">
        <v>40759</v>
      </c>
      <c r="C908" t="s">
        <v>3</v>
      </c>
      <c r="D908">
        <v>111.217222398</v>
      </c>
    </row>
    <row r="909" spans="2:4">
      <c r="B909" s="2">
        <v>40758</v>
      </c>
      <c r="C909" t="s">
        <v>3</v>
      </c>
      <c r="D909">
        <v>111.62186090100001</v>
      </c>
    </row>
    <row r="910" spans="2:4">
      <c r="B910" s="2">
        <v>40757</v>
      </c>
      <c r="C910" t="s">
        <v>3</v>
      </c>
      <c r="D910">
        <v>112.72052164500001</v>
      </c>
    </row>
    <row r="911" spans="2:4">
      <c r="B911" s="2">
        <v>40756</v>
      </c>
      <c r="C911" t="s">
        <v>3</v>
      </c>
      <c r="D911">
        <v>111.53643431499999</v>
      </c>
    </row>
    <row r="912" spans="2:4">
      <c r="B912" s="2">
        <v>40753</v>
      </c>
      <c r="C912" t="s">
        <v>3</v>
      </c>
      <c r="D912">
        <v>112.14332570000001</v>
      </c>
    </row>
    <row r="913" spans="2:4">
      <c r="B913" s="2">
        <v>40752</v>
      </c>
      <c r="C913" t="s">
        <v>3</v>
      </c>
      <c r="D913">
        <v>111.49422667</v>
      </c>
    </row>
    <row r="914" spans="2:4">
      <c r="B914" s="2">
        <v>40751</v>
      </c>
      <c r="C914" t="s">
        <v>3</v>
      </c>
      <c r="D914">
        <v>112.17234798</v>
      </c>
    </row>
    <row r="915" spans="2:4">
      <c r="B915" s="2">
        <v>40750</v>
      </c>
      <c r="C915" t="s">
        <v>3</v>
      </c>
      <c r="D915">
        <v>112.43267596</v>
      </c>
    </row>
    <row r="916" spans="2:4">
      <c r="B916" s="2">
        <v>40749</v>
      </c>
      <c r="C916" t="s">
        <v>3</v>
      </c>
      <c r="D916">
        <v>112.439095056</v>
      </c>
    </row>
    <row r="917" spans="2:4">
      <c r="B917" s="2">
        <v>40746</v>
      </c>
      <c r="C917" t="s">
        <v>3</v>
      </c>
      <c r="D917">
        <v>111.66156691800001</v>
      </c>
    </row>
    <row r="918" spans="2:4">
      <c r="B918" s="2">
        <v>40745</v>
      </c>
      <c r="C918" t="s">
        <v>3</v>
      </c>
      <c r="D918">
        <v>112.20530968</v>
      </c>
    </row>
    <row r="919" spans="2:4">
      <c r="B919" s="2">
        <v>40744</v>
      </c>
      <c r="C919" t="s">
        <v>3</v>
      </c>
      <c r="D919">
        <v>112.635962772</v>
      </c>
    </row>
    <row r="920" spans="2:4">
      <c r="B920" s="2">
        <v>40743</v>
      </c>
      <c r="C920" t="s">
        <v>3</v>
      </c>
      <c r="D920">
        <v>114.12226848</v>
      </c>
    </row>
    <row r="921" spans="2:4">
      <c r="B921" s="2">
        <v>40742</v>
      </c>
      <c r="C921" t="s">
        <v>3</v>
      </c>
      <c r="D921">
        <v>115.848652356</v>
      </c>
    </row>
    <row r="922" spans="2:4">
      <c r="B922" s="2">
        <v>40739</v>
      </c>
      <c r="C922" t="s">
        <v>3</v>
      </c>
      <c r="D922">
        <v>113.659475022</v>
      </c>
    </row>
    <row r="923" spans="2:4">
      <c r="B923" s="2">
        <v>40738</v>
      </c>
      <c r="C923" t="s">
        <v>3</v>
      </c>
      <c r="D923">
        <v>112.64325198</v>
      </c>
    </row>
    <row r="924" spans="2:4">
      <c r="B924" s="2">
        <v>40737</v>
      </c>
      <c r="C924" t="s">
        <v>3</v>
      </c>
      <c r="D924">
        <v>111.357309755</v>
      </c>
    </row>
    <row r="925" spans="2:4">
      <c r="B925" s="2">
        <v>40736</v>
      </c>
      <c r="C925" t="s">
        <v>3</v>
      </c>
      <c r="D925">
        <v>111.172477313</v>
      </c>
    </row>
    <row r="926" spans="2:4">
      <c r="B926" s="2">
        <v>40735</v>
      </c>
      <c r="C926" t="s">
        <v>3</v>
      </c>
      <c r="D926">
        <v>110.77327029600001</v>
      </c>
    </row>
    <row r="927" spans="2:4">
      <c r="B927" s="2">
        <v>40732</v>
      </c>
      <c r="C927" t="s">
        <v>3</v>
      </c>
      <c r="D927">
        <v>109.8153687648</v>
      </c>
    </row>
    <row r="928" spans="2:4">
      <c r="B928" s="2">
        <v>40731</v>
      </c>
      <c r="C928" t="s">
        <v>3</v>
      </c>
      <c r="D928">
        <v>110.23441904640001</v>
      </c>
    </row>
    <row r="929" spans="2:4">
      <c r="B929" s="2">
        <v>40730</v>
      </c>
      <c r="C929" t="s">
        <v>3</v>
      </c>
      <c r="D929">
        <v>109.7807730104</v>
      </c>
    </row>
    <row r="930" spans="2:4">
      <c r="B930" s="2">
        <v>40729</v>
      </c>
      <c r="C930" t="s">
        <v>3</v>
      </c>
      <c r="D930">
        <v>108.7556391544</v>
      </c>
    </row>
    <row r="931" spans="2:4">
      <c r="B931" s="2">
        <v>40725</v>
      </c>
      <c r="C931" t="s">
        <v>3</v>
      </c>
      <c r="D931">
        <v>109.1416603182</v>
      </c>
    </row>
    <row r="932" spans="2:4">
      <c r="B932" s="2">
        <v>40724</v>
      </c>
      <c r="C932" t="s">
        <v>3</v>
      </c>
      <c r="D932">
        <v>109.60123657450001</v>
      </c>
    </row>
    <row r="933" spans="2:4">
      <c r="B933" s="2">
        <v>40723</v>
      </c>
      <c r="C933" t="s">
        <v>3</v>
      </c>
      <c r="D933">
        <v>109.48619943760001</v>
      </c>
    </row>
    <row r="934" spans="2:4">
      <c r="B934" s="2">
        <v>40722</v>
      </c>
      <c r="C934" t="s">
        <v>3</v>
      </c>
      <c r="D934">
        <v>109.9613001252</v>
      </c>
    </row>
    <row r="935" spans="2:4">
      <c r="B935" s="2">
        <v>40721</v>
      </c>
      <c r="C935" t="s">
        <v>3</v>
      </c>
      <c r="D935">
        <v>109.27712521639999</v>
      </c>
    </row>
    <row r="936" spans="2:4">
      <c r="B936" s="2">
        <v>40718</v>
      </c>
      <c r="C936" t="s">
        <v>3</v>
      </c>
      <c r="D936">
        <v>109.183957096</v>
      </c>
    </row>
    <row r="937" spans="2:4">
      <c r="B937" s="2">
        <v>40717</v>
      </c>
      <c r="C937" t="s">
        <v>3</v>
      </c>
      <c r="D937">
        <v>108.66468130280001</v>
      </c>
    </row>
    <row r="938" spans="2:4">
      <c r="B938" s="2">
        <v>40716</v>
      </c>
      <c r="C938" t="s">
        <v>3</v>
      </c>
      <c r="D938">
        <v>108.58794401</v>
      </c>
    </row>
    <row r="939" spans="2:4">
      <c r="B939" s="2">
        <v>40715</v>
      </c>
      <c r="C939" t="s">
        <v>3</v>
      </c>
      <c r="D939">
        <v>108.309792664</v>
      </c>
    </row>
    <row r="940" spans="2:4">
      <c r="B940" s="2">
        <v>40714</v>
      </c>
      <c r="C940" t="s">
        <v>3</v>
      </c>
      <c r="D940">
        <v>108.38484843000001</v>
      </c>
    </row>
    <row r="941" spans="2:4">
      <c r="B941" s="2">
        <v>40711</v>
      </c>
      <c r="C941" t="s">
        <v>3</v>
      </c>
      <c r="D941">
        <v>107.67080922780001</v>
      </c>
    </row>
    <row r="942" spans="2:4">
      <c r="B942" s="2">
        <v>40710</v>
      </c>
      <c r="C942" t="s">
        <v>3</v>
      </c>
      <c r="D942">
        <v>107.7345474777</v>
      </c>
    </row>
    <row r="943" spans="2:4">
      <c r="B943" s="2">
        <v>40709</v>
      </c>
      <c r="C943" t="s">
        <v>3</v>
      </c>
      <c r="D943">
        <v>107.34093727360001</v>
      </c>
    </row>
    <row r="944" spans="2:4">
      <c r="B944" s="2">
        <v>40708</v>
      </c>
      <c r="C944" t="s">
        <v>3</v>
      </c>
      <c r="D944">
        <v>107.9123882432</v>
      </c>
    </row>
    <row r="945" spans="2:4">
      <c r="B945" s="2">
        <v>40707</v>
      </c>
      <c r="C945" t="s">
        <v>3</v>
      </c>
      <c r="D945">
        <v>107.6865708017</v>
      </c>
    </row>
    <row r="946" spans="2:4">
      <c r="B946" s="2">
        <v>40704</v>
      </c>
      <c r="C946" t="s">
        <v>3</v>
      </c>
      <c r="D946">
        <v>107.6691649803</v>
      </c>
    </row>
    <row r="947" spans="2:4">
      <c r="B947" s="2">
        <v>40703</v>
      </c>
      <c r="C947" t="s">
        <v>3</v>
      </c>
      <c r="D947">
        <v>107.64151060739999</v>
      </c>
    </row>
    <row r="948" spans="2:4">
      <c r="B948" s="2">
        <v>40702</v>
      </c>
      <c r="C948" t="s">
        <v>3</v>
      </c>
      <c r="D948">
        <v>107.745054115</v>
      </c>
    </row>
    <row r="949" spans="2:4">
      <c r="B949" s="2">
        <v>40701</v>
      </c>
      <c r="C949" t="s">
        <v>3</v>
      </c>
      <c r="D949">
        <v>108.03962536</v>
      </c>
    </row>
    <row r="950" spans="2:4">
      <c r="B950" s="2">
        <v>40700</v>
      </c>
      <c r="C950" t="s">
        <v>3</v>
      </c>
      <c r="D950">
        <v>108.374807355</v>
      </c>
    </row>
    <row r="951" spans="2:4">
      <c r="B951" s="2">
        <v>40697</v>
      </c>
      <c r="C951" t="s">
        <v>3</v>
      </c>
      <c r="D951">
        <v>108.17680151979999</v>
      </c>
    </row>
    <row r="952" spans="2:4">
      <c r="B952" s="2">
        <v>40696</v>
      </c>
      <c r="C952" t="s">
        <v>3</v>
      </c>
      <c r="D952">
        <v>107.9319032568</v>
      </c>
    </row>
    <row r="953" spans="2:4">
      <c r="B953" s="2">
        <v>40695</v>
      </c>
      <c r="C953" t="s">
        <v>3</v>
      </c>
      <c r="D953">
        <v>107.021388824</v>
      </c>
    </row>
    <row r="954" spans="2:4">
      <c r="B954" s="2">
        <v>40694</v>
      </c>
      <c r="C954" t="s">
        <v>3</v>
      </c>
      <c r="D954">
        <v>108.06583625579999</v>
      </c>
    </row>
    <row r="955" spans="2:4">
      <c r="B955" s="2">
        <v>40690</v>
      </c>
      <c r="C955" t="s">
        <v>3</v>
      </c>
      <c r="D955">
        <v>108.2600156588</v>
      </c>
    </row>
    <row r="956" spans="2:4">
      <c r="B956" s="2">
        <v>40689</v>
      </c>
      <c r="C956" t="s">
        <v>3</v>
      </c>
      <c r="D956">
        <v>108.3087211955</v>
      </c>
    </row>
    <row r="957" spans="2:4">
      <c r="B957" s="2">
        <v>40688</v>
      </c>
      <c r="C957" t="s">
        <v>3</v>
      </c>
      <c r="D957">
        <v>108.723275485</v>
      </c>
    </row>
    <row r="958" spans="2:4">
      <c r="B958" s="2">
        <v>40687</v>
      </c>
      <c r="C958" t="s">
        <v>3</v>
      </c>
      <c r="D958">
        <v>108.982354503</v>
      </c>
    </row>
    <row r="959" spans="2:4">
      <c r="B959" s="2">
        <v>40686</v>
      </c>
      <c r="C959" t="s">
        <v>3</v>
      </c>
      <c r="D959">
        <v>109.114176816</v>
      </c>
    </row>
    <row r="960" spans="2:4">
      <c r="B960" s="2">
        <v>40683</v>
      </c>
      <c r="C960" t="s">
        <v>3</v>
      </c>
      <c r="D960">
        <v>109.0980356826</v>
      </c>
    </row>
    <row r="961" spans="2:4">
      <c r="B961" s="2">
        <v>40682</v>
      </c>
      <c r="C961" t="s">
        <v>3</v>
      </c>
      <c r="D961">
        <v>109.1862016855</v>
      </c>
    </row>
    <row r="962" spans="2:4">
      <c r="B962" s="2">
        <v>40681</v>
      </c>
      <c r="C962" t="s">
        <v>3</v>
      </c>
      <c r="D962">
        <v>108.845852452</v>
      </c>
    </row>
    <row r="963" spans="2:4">
      <c r="B963" s="2">
        <v>40680</v>
      </c>
      <c r="C963" t="s">
        <v>3</v>
      </c>
      <c r="D963">
        <v>107.4949034256</v>
      </c>
    </row>
    <row r="964" spans="2:4">
      <c r="B964" s="2">
        <v>40679</v>
      </c>
      <c r="C964" t="s">
        <v>3</v>
      </c>
      <c r="D964">
        <v>107.086455488</v>
      </c>
    </row>
    <row r="965" spans="2:4">
      <c r="B965" s="2">
        <v>40676</v>
      </c>
      <c r="C965" t="s">
        <v>3</v>
      </c>
      <c r="D965">
        <v>106.845780404</v>
      </c>
    </row>
    <row r="966" spans="2:4">
      <c r="B966" s="2">
        <v>40675</v>
      </c>
      <c r="C966" t="s">
        <v>3</v>
      </c>
      <c r="D966">
        <v>107.0606289868</v>
      </c>
    </row>
    <row r="967" spans="2:4">
      <c r="B967" s="2">
        <v>40674</v>
      </c>
      <c r="C967" t="s">
        <v>3</v>
      </c>
      <c r="D967">
        <v>107.0301946875</v>
      </c>
    </row>
    <row r="968" spans="2:4">
      <c r="B968" s="2">
        <v>40673</v>
      </c>
      <c r="C968" t="s">
        <v>3</v>
      </c>
      <c r="D968">
        <v>106.99394061149999</v>
      </c>
    </row>
    <row r="969" spans="2:4">
      <c r="B969" s="2">
        <v>40672</v>
      </c>
      <c r="C969" t="s">
        <v>3</v>
      </c>
      <c r="D969">
        <v>106.7659082131</v>
      </c>
    </row>
    <row r="970" spans="2:4">
      <c r="B970" s="2">
        <v>40669</v>
      </c>
      <c r="C970" t="s">
        <v>3</v>
      </c>
      <c r="D970">
        <v>106.2032310157</v>
      </c>
    </row>
    <row r="971" spans="2:4">
      <c r="B971" s="2">
        <v>40668</v>
      </c>
      <c r="C971" t="s">
        <v>3</v>
      </c>
      <c r="D971">
        <v>106.5011494992</v>
      </c>
    </row>
    <row r="972" spans="2:4">
      <c r="B972" s="2">
        <v>40667</v>
      </c>
      <c r="C972" t="s">
        <v>3</v>
      </c>
      <c r="D972">
        <v>106.612608894</v>
      </c>
    </row>
    <row r="973" spans="2:4">
      <c r="B973" s="2">
        <v>40666</v>
      </c>
      <c r="C973" t="s">
        <v>3</v>
      </c>
      <c r="D973">
        <v>107.1763886844</v>
      </c>
    </row>
    <row r="974" spans="2:4">
      <c r="B974" s="2">
        <v>40665</v>
      </c>
      <c r="C974" t="s">
        <v>3</v>
      </c>
      <c r="D974">
        <v>106.77143497589999</v>
      </c>
    </row>
    <row r="975" spans="2:4">
      <c r="B975" s="2">
        <v>40662</v>
      </c>
      <c r="C975" t="s">
        <v>3</v>
      </c>
      <c r="D975">
        <v>106.3250185635</v>
      </c>
    </row>
    <row r="976" spans="2:4">
      <c r="B976" s="2">
        <v>40661</v>
      </c>
      <c r="C976" t="s">
        <v>3</v>
      </c>
      <c r="D976">
        <v>106.04670036509999</v>
      </c>
    </row>
    <row r="977" spans="2:4">
      <c r="B977" s="2">
        <v>40660</v>
      </c>
      <c r="C977" t="s">
        <v>3</v>
      </c>
      <c r="D977">
        <v>106.8937942296</v>
      </c>
    </row>
    <row r="978" spans="2:4">
      <c r="B978" s="2">
        <v>40659</v>
      </c>
      <c r="C978" t="s">
        <v>3</v>
      </c>
      <c r="D978">
        <v>106.97110404999999</v>
      </c>
    </row>
    <row r="979" spans="2:4">
      <c r="B979" s="2">
        <v>40658</v>
      </c>
      <c r="C979" t="s">
        <v>3</v>
      </c>
      <c r="D979">
        <v>106.1890437</v>
      </c>
    </row>
    <row r="980" spans="2:4">
      <c r="B980" s="2">
        <v>40654</v>
      </c>
      <c r="C980" t="s">
        <v>3</v>
      </c>
      <c r="D980">
        <v>106.36040652369999</v>
      </c>
    </row>
    <row r="981" spans="2:4">
      <c r="B981" s="2">
        <v>40653</v>
      </c>
      <c r="C981" t="s">
        <v>3</v>
      </c>
      <c r="D981">
        <v>106.7820035158</v>
      </c>
    </row>
    <row r="982" spans="2:4">
      <c r="B982" s="2">
        <v>40652</v>
      </c>
      <c r="C982" t="s">
        <v>3</v>
      </c>
      <c r="D982">
        <v>107.2418557787</v>
      </c>
    </row>
    <row r="983" spans="2:4">
      <c r="B983" s="2">
        <v>40651</v>
      </c>
      <c r="C983" t="s">
        <v>3</v>
      </c>
      <c r="D983">
        <v>107.319115032</v>
      </c>
    </row>
    <row r="984" spans="2:4">
      <c r="B984" s="2">
        <v>40648</v>
      </c>
      <c r="C984" t="s">
        <v>3</v>
      </c>
      <c r="D984">
        <v>106.9187505813</v>
      </c>
    </row>
    <row r="985" spans="2:4">
      <c r="B985" s="2">
        <v>40647</v>
      </c>
      <c r="C985" t="s">
        <v>3</v>
      </c>
      <c r="D985">
        <v>107.34076226880001</v>
      </c>
    </row>
    <row r="986" spans="2:4">
      <c r="B986" s="2">
        <v>40646</v>
      </c>
      <c r="C986" t="s">
        <v>3</v>
      </c>
      <c r="D986">
        <v>107.50364856</v>
      </c>
    </row>
    <row r="987" spans="2:4">
      <c r="B987" s="2">
        <v>40645</v>
      </c>
      <c r="C987" t="s">
        <v>3</v>
      </c>
      <c r="D987">
        <v>107.8519928745</v>
      </c>
    </row>
    <row r="988" spans="2:4">
      <c r="B988" s="2">
        <v>40644</v>
      </c>
      <c r="C988" t="s">
        <v>3</v>
      </c>
      <c r="D988">
        <v>108.12079797120001</v>
      </c>
    </row>
    <row r="989" spans="2:4">
      <c r="B989" s="2">
        <v>40641</v>
      </c>
      <c r="C989" t="s">
        <v>3</v>
      </c>
      <c r="D989">
        <v>108.326379223</v>
      </c>
    </row>
    <row r="990" spans="2:4">
      <c r="B990" s="2">
        <v>40640</v>
      </c>
      <c r="C990" t="s">
        <v>3</v>
      </c>
      <c r="D990">
        <v>107.97585164189999</v>
      </c>
    </row>
    <row r="991" spans="2:4">
      <c r="B991" s="2">
        <v>40639</v>
      </c>
      <c r="C991" t="s">
        <v>3</v>
      </c>
      <c r="D991">
        <v>107.7861969384</v>
      </c>
    </row>
    <row r="992" spans="2:4">
      <c r="B992" s="2">
        <v>40638</v>
      </c>
      <c r="C992" t="s">
        <v>3</v>
      </c>
      <c r="D992">
        <v>107.34744628919999</v>
      </c>
    </row>
    <row r="993" spans="2:4">
      <c r="B993" s="2">
        <v>40637</v>
      </c>
      <c r="C993" t="s">
        <v>3</v>
      </c>
      <c r="D993">
        <v>106.982156776</v>
      </c>
    </row>
    <row r="994" spans="2:4">
      <c r="B994" s="2">
        <v>40634</v>
      </c>
      <c r="C994" t="s">
        <v>3</v>
      </c>
      <c r="D994">
        <v>107.2086294404</v>
      </c>
    </row>
    <row r="995" spans="2:4">
      <c r="B995" s="2">
        <v>40633</v>
      </c>
      <c r="C995" t="s">
        <v>3</v>
      </c>
      <c r="D995">
        <v>108.56356757250001</v>
      </c>
    </row>
    <row r="996" spans="2:4">
      <c r="B996" s="2">
        <v>40632</v>
      </c>
      <c r="C996" t="s">
        <v>3</v>
      </c>
      <c r="D996">
        <v>108.091664626</v>
      </c>
    </row>
    <row r="997" spans="2:4">
      <c r="B997" s="2">
        <v>40631</v>
      </c>
      <c r="C997" t="s">
        <v>3</v>
      </c>
      <c r="D997">
        <v>108.408750302</v>
      </c>
    </row>
    <row r="998" spans="2:4">
      <c r="B998" s="2">
        <v>40630</v>
      </c>
      <c r="C998" t="s">
        <v>3</v>
      </c>
      <c r="D998">
        <v>108.38159091199999</v>
      </c>
    </row>
    <row r="999" spans="2:4">
      <c r="B999" s="2">
        <v>40627</v>
      </c>
      <c r="C999" t="s">
        <v>3</v>
      </c>
      <c r="D999">
        <v>108.1426091152</v>
      </c>
    </row>
    <row r="1000" spans="2:4">
      <c r="B1000" s="2">
        <v>40626</v>
      </c>
      <c r="C1000" t="s">
        <v>3</v>
      </c>
      <c r="D1000">
        <v>107.552304853</v>
      </c>
    </row>
    <row r="1001" spans="2:4">
      <c r="B1001" s="2">
        <v>40625</v>
      </c>
      <c r="C1001" t="s">
        <v>3</v>
      </c>
      <c r="D1001">
        <v>107.553519315</v>
      </c>
    </row>
    <row r="1002" spans="2:4">
      <c r="B1002" s="2">
        <v>40624</v>
      </c>
      <c r="C1002" t="s">
        <v>3</v>
      </c>
      <c r="D1002">
        <v>107.4546470608</v>
      </c>
    </row>
    <row r="1003" spans="2:4">
      <c r="B1003" s="2">
        <v>40623</v>
      </c>
      <c r="C1003" t="s">
        <v>3</v>
      </c>
      <c r="D1003">
        <v>108.13467095279999</v>
      </c>
    </row>
    <row r="1004" spans="2:4">
      <c r="B1004" s="2">
        <v>40620</v>
      </c>
      <c r="C1004" t="s">
        <v>3</v>
      </c>
      <c r="D1004">
        <v>108.9664512846</v>
      </c>
    </row>
    <row r="1005" spans="2:4">
      <c r="B1005" s="2">
        <v>40619</v>
      </c>
      <c r="C1005" t="s">
        <v>3</v>
      </c>
      <c r="D1005">
        <v>109.61487744999999</v>
      </c>
    </row>
    <row r="1006" spans="2:4">
      <c r="B1006" s="2">
        <v>40618</v>
      </c>
      <c r="C1006" t="s">
        <v>3</v>
      </c>
      <c r="D1006">
        <v>110.6441823744</v>
      </c>
    </row>
    <row r="1007" spans="2:4">
      <c r="B1007" s="2">
        <v>40617</v>
      </c>
      <c r="C1007" t="s">
        <v>3</v>
      </c>
      <c r="D1007">
        <v>109.7406744084</v>
      </c>
    </row>
    <row r="1008" spans="2:4">
      <c r="B1008" s="2">
        <v>40616</v>
      </c>
      <c r="C1008" t="s">
        <v>3</v>
      </c>
      <c r="D1008">
        <v>108.3204153177</v>
      </c>
    </row>
    <row r="1009" spans="2:4">
      <c r="B1009" s="2">
        <v>40613</v>
      </c>
      <c r="C1009" t="s">
        <v>3</v>
      </c>
      <c r="D1009">
        <v>108.024611663</v>
      </c>
    </row>
    <row r="1010" spans="2:4">
      <c r="B1010" s="2">
        <v>40612</v>
      </c>
      <c r="C1010" t="s">
        <v>3</v>
      </c>
      <c r="D1010">
        <v>107.654662218</v>
      </c>
    </row>
    <row r="1011" spans="2:4">
      <c r="B1011" s="2">
        <v>40611</v>
      </c>
      <c r="C1011" t="s">
        <v>3</v>
      </c>
      <c r="D1011">
        <v>107.51707380960001</v>
      </c>
    </row>
    <row r="1012" spans="2:4">
      <c r="B1012" s="2">
        <v>40610</v>
      </c>
      <c r="C1012" t="s">
        <v>3</v>
      </c>
      <c r="D1012">
        <v>108.25152815680001</v>
      </c>
    </row>
    <row r="1013" spans="2:4">
      <c r="B1013" s="2">
        <v>40609</v>
      </c>
      <c r="C1013" t="s">
        <v>3</v>
      </c>
      <c r="D1013">
        <v>107.170862232</v>
      </c>
    </row>
    <row r="1014" spans="2:4">
      <c r="B1014" s="2">
        <v>40606</v>
      </c>
      <c r="C1014" t="s">
        <v>3</v>
      </c>
      <c r="D1014">
        <v>107.0668339488</v>
      </c>
    </row>
    <row r="1015" spans="2:4">
      <c r="B1015" s="2">
        <v>40605</v>
      </c>
      <c r="C1015" t="s">
        <v>3</v>
      </c>
      <c r="D1015">
        <v>107.0435066702</v>
      </c>
    </row>
    <row r="1016" spans="2:4">
      <c r="B1016" s="2">
        <v>40604</v>
      </c>
      <c r="C1016" t="s">
        <v>3</v>
      </c>
      <c r="D1016">
        <v>107.0516068514</v>
      </c>
    </row>
    <row r="1017" spans="2:4">
      <c r="B1017" s="2">
        <v>40603</v>
      </c>
      <c r="C1017" t="s">
        <v>3</v>
      </c>
      <c r="D1017">
        <v>106.8577439293</v>
      </c>
    </row>
    <row r="1018" spans="2:4">
      <c r="B1018" s="2">
        <v>40602</v>
      </c>
      <c r="C1018" t="s">
        <v>3</v>
      </c>
      <c r="D1018">
        <v>106.68899867650001</v>
      </c>
    </row>
    <row r="1019" spans="2:4">
      <c r="B1019" s="2">
        <v>40599</v>
      </c>
      <c r="C1019" t="s">
        <v>3</v>
      </c>
      <c r="D1019">
        <v>106.747129962</v>
      </c>
    </row>
    <row r="1020" spans="2:4">
      <c r="B1020" s="2">
        <v>40598</v>
      </c>
      <c r="C1020" t="s">
        <v>3</v>
      </c>
      <c r="D1020">
        <v>108.04288709790001</v>
      </c>
    </row>
    <row r="1021" spans="2:4">
      <c r="B1021" s="2">
        <v>40597</v>
      </c>
      <c r="C1021" t="s">
        <v>3</v>
      </c>
      <c r="D1021">
        <v>108.223392585</v>
      </c>
    </row>
    <row r="1022" spans="2:4">
      <c r="B1022" s="2">
        <v>40596</v>
      </c>
      <c r="C1022" t="s">
        <v>3</v>
      </c>
      <c r="D1022">
        <v>107.8485147</v>
      </c>
    </row>
    <row r="1023" spans="2:4">
      <c r="B1023" s="2">
        <v>40592</v>
      </c>
      <c r="C1023" t="s">
        <v>3</v>
      </c>
      <c r="D1023">
        <v>107.5588275714</v>
      </c>
    </row>
    <row r="1024" spans="2:4">
      <c r="B1024" s="2">
        <v>40591</v>
      </c>
      <c r="C1024" t="s">
        <v>3</v>
      </c>
      <c r="D1024">
        <v>106.9821278786</v>
      </c>
    </row>
    <row r="1025" spans="2:4">
      <c r="B1025" s="2">
        <v>40590</v>
      </c>
      <c r="C1025" t="s">
        <v>3</v>
      </c>
      <c r="D1025">
        <v>106.71900737839999</v>
      </c>
    </row>
    <row r="1026" spans="2:4">
      <c r="B1026" s="2">
        <v>40589</v>
      </c>
      <c r="C1026" t="s">
        <v>3</v>
      </c>
      <c r="D1026">
        <v>105.3222135629</v>
      </c>
    </row>
    <row r="1027" spans="2:4">
      <c r="B1027" s="2">
        <v>40588</v>
      </c>
      <c r="C1027" t="s">
        <v>3</v>
      </c>
      <c r="D1027">
        <v>105.7644652044</v>
      </c>
    </row>
    <row r="1028" spans="2:4">
      <c r="B1028" s="2">
        <v>40585</v>
      </c>
      <c r="C1028" t="s">
        <v>3</v>
      </c>
      <c r="D1028">
        <v>106.2797182008</v>
      </c>
    </row>
    <row r="1029" spans="2:4">
      <c r="B1029" s="2">
        <v>40584</v>
      </c>
      <c r="C1029" t="s">
        <v>3</v>
      </c>
      <c r="D1029">
        <v>107.7890992642</v>
      </c>
    </row>
    <row r="1030" spans="2:4">
      <c r="B1030" s="2">
        <v>40583</v>
      </c>
      <c r="C1030" t="s">
        <v>3</v>
      </c>
      <c r="D1030">
        <v>109.0861134272</v>
      </c>
    </row>
    <row r="1031" spans="2:4">
      <c r="B1031" s="2">
        <v>40582</v>
      </c>
      <c r="C1031" t="s">
        <v>3</v>
      </c>
      <c r="D1031">
        <v>110.4986205435</v>
      </c>
    </row>
    <row r="1032" spans="2:4">
      <c r="B1032" s="2">
        <v>40581</v>
      </c>
      <c r="C1032" t="s">
        <v>3</v>
      </c>
      <c r="D1032">
        <v>111.11092090699999</v>
      </c>
    </row>
    <row r="1033" spans="2:4">
      <c r="B1033" s="2">
        <v>40578</v>
      </c>
      <c r="C1033" t="s">
        <v>3</v>
      </c>
      <c r="D1033">
        <v>111.9321741303</v>
      </c>
    </row>
    <row r="1034" spans="2:4">
      <c r="B1034" s="2">
        <v>40577</v>
      </c>
      <c r="C1034" t="s">
        <v>3</v>
      </c>
      <c r="D1034">
        <v>111.8854314667</v>
      </c>
    </row>
    <row r="1035" spans="2:4">
      <c r="B1035" s="2">
        <v>40576</v>
      </c>
      <c r="C1035" t="s">
        <v>3</v>
      </c>
      <c r="D1035">
        <v>112.202203883</v>
      </c>
    </row>
    <row r="1036" spans="2:4">
      <c r="B1036" s="2">
        <v>40575</v>
      </c>
      <c r="C1036" t="s">
        <v>3</v>
      </c>
      <c r="D1036">
        <v>112.2921718962</v>
      </c>
    </row>
    <row r="1037" spans="2:4">
      <c r="B1037" s="2">
        <v>40574</v>
      </c>
      <c r="C1037" t="s">
        <v>3</v>
      </c>
      <c r="D1037">
        <v>111.62808654040001</v>
      </c>
    </row>
    <row r="1038" spans="2:4">
      <c r="B1038" s="2">
        <v>40571</v>
      </c>
      <c r="C1038" t="s">
        <v>3</v>
      </c>
      <c r="D1038">
        <v>110.758999221</v>
      </c>
    </row>
    <row r="1039" spans="2:4">
      <c r="B1039" s="2">
        <v>40570</v>
      </c>
      <c r="C1039" t="s">
        <v>3</v>
      </c>
      <c r="D1039">
        <v>109.610131056</v>
      </c>
    </row>
    <row r="1040" spans="2:4">
      <c r="B1040" s="2">
        <v>40569</v>
      </c>
      <c r="C1040" t="s">
        <v>3</v>
      </c>
      <c r="D1040">
        <v>110.34097521050001</v>
      </c>
    </row>
    <row r="1041" spans="2:4">
      <c r="B1041" s="2">
        <v>40568</v>
      </c>
      <c r="C1041" t="s">
        <v>3</v>
      </c>
      <c r="D1041">
        <v>109.673212236</v>
      </c>
    </row>
    <row r="1042" spans="2:4">
      <c r="B1042" s="2">
        <v>40567</v>
      </c>
      <c r="C1042" t="s">
        <v>3</v>
      </c>
      <c r="D1042">
        <v>109.80879085799999</v>
      </c>
    </row>
    <row r="1043" spans="2:4">
      <c r="B1043" s="2">
        <v>40564</v>
      </c>
      <c r="C1043" t="s">
        <v>3</v>
      </c>
      <c r="D1043">
        <v>110.2512195987</v>
      </c>
    </row>
    <row r="1044" spans="2:4">
      <c r="B1044" s="2">
        <v>40563</v>
      </c>
      <c r="C1044" t="s">
        <v>3</v>
      </c>
      <c r="D1044">
        <v>110.345138869</v>
      </c>
    </row>
    <row r="1045" spans="2:4">
      <c r="B1045" s="2">
        <v>40562</v>
      </c>
      <c r="C1045" t="s">
        <v>3</v>
      </c>
      <c r="D1045">
        <v>111.2734821968</v>
      </c>
    </row>
    <row r="1046" spans="2:4">
      <c r="B1046" s="2">
        <v>40561</v>
      </c>
      <c r="C1046" t="s">
        <v>3</v>
      </c>
      <c r="D1046">
        <v>111.1237556148</v>
      </c>
    </row>
    <row r="1047" spans="2:4">
      <c r="B1047" s="2">
        <v>40557</v>
      </c>
      <c r="C1047" t="s">
        <v>3</v>
      </c>
      <c r="D1047">
        <v>110.2201693495</v>
      </c>
    </row>
    <row r="1048" spans="2:4">
      <c r="B1048" s="2">
        <v>40556</v>
      </c>
      <c r="C1048" t="s">
        <v>3</v>
      </c>
      <c r="D1048">
        <v>108.76741527439999</v>
      </c>
    </row>
    <row r="1049" spans="2:4">
      <c r="B1049" s="2">
        <v>40555</v>
      </c>
      <c r="C1049" t="s">
        <v>3</v>
      </c>
      <c r="D1049">
        <v>107.236204857</v>
      </c>
    </row>
    <row r="1050" spans="2:4">
      <c r="B1050" s="2">
        <v>40554</v>
      </c>
      <c r="C1050" t="s">
        <v>3</v>
      </c>
      <c r="D1050">
        <v>107.0384062176</v>
      </c>
    </row>
    <row r="1051" spans="2:4">
      <c r="B1051" s="2">
        <v>40553</v>
      </c>
      <c r="C1051" t="s">
        <v>3</v>
      </c>
      <c r="D1051">
        <v>106.325185695</v>
      </c>
    </row>
    <row r="1052" spans="2:4">
      <c r="B1052" s="2">
        <v>40550</v>
      </c>
      <c r="C1052" t="s">
        <v>3</v>
      </c>
      <c r="D1052">
        <v>106.3421652928</v>
      </c>
    </row>
    <row r="1053" spans="2:4">
      <c r="B1053" s="2">
        <v>40549</v>
      </c>
      <c r="C1053" t="s">
        <v>3</v>
      </c>
      <c r="D1053">
        <v>108.1114519005</v>
      </c>
    </row>
    <row r="1054" spans="2:4">
      <c r="B1054" s="2">
        <v>40548</v>
      </c>
      <c r="C1054" t="s">
        <v>3</v>
      </c>
      <c r="D1054">
        <v>108.442671135</v>
      </c>
    </row>
    <row r="1055" spans="2:4">
      <c r="B1055" s="2">
        <v>40547</v>
      </c>
      <c r="C1055" t="s">
        <v>3</v>
      </c>
      <c r="D1055">
        <v>106.77676083999999</v>
      </c>
    </row>
    <row r="1056" spans="2:4">
      <c r="B1056" s="2">
        <v>40546</v>
      </c>
      <c r="C1056" t="s">
        <v>3</v>
      </c>
      <c r="D1056">
        <v>108.8848221192</v>
      </c>
    </row>
    <row r="1057" spans="2:4">
      <c r="B1057" s="2">
        <v>40543</v>
      </c>
      <c r="C1057" t="s">
        <v>3</v>
      </c>
      <c r="D1057">
        <v>110.146768389</v>
      </c>
    </row>
    <row r="1058" spans="2:4">
      <c r="B1058" s="2">
        <v>40542</v>
      </c>
      <c r="C1058" t="s">
        <v>3</v>
      </c>
      <c r="D1058">
        <v>110.163527898</v>
      </c>
    </row>
    <row r="1059" spans="2:4">
      <c r="B1059" s="2">
        <v>40541</v>
      </c>
      <c r="C1059" t="s">
        <v>3</v>
      </c>
      <c r="D1059">
        <v>110.3240043924</v>
      </c>
    </row>
    <row r="1060" spans="2:4">
      <c r="B1060" s="2">
        <v>40540</v>
      </c>
      <c r="C1060" t="s">
        <v>3</v>
      </c>
      <c r="D1060">
        <v>110.8798515054</v>
      </c>
    </row>
    <row r="1061" spans="2:4">
      <c r="B1061" s="2">
        <v>40539</v>
      </c>
      <c r="C1061" t="s">
        <v>3</v>
      </c>
      <c r="D1061">
        <v>109.5419346546</v>
      </c>
    </row>
    <row r="1062" spans="2:4">
      <c r="B1062" s="2">
        <v>40535</v>
      </c>
      <c r="C1062" t="s">
        <v>3</v>
      </c>
      <c r="D1062">
        <v>110.0895109314</v>
      </c>
    </row>
    <row r="1063" spans="2:4">
      <c r="B1063" s="2">
        <v>40534</v>
      </c>
      <c r="C1063" t="s">
        <v>3</v>
      </c>
      <c r="D1063">
        <v>109.2651378525</v>
      </c>
    </row>
    <row r="1064" spans="2:4">
      <c r="B1064" s="2">
        <v>40533</v>
      </c>
      <c r="C1064" t="s">
        <v>3</v>
      </c>
      <c r="D1064">
        <v>109.1112342528</v>
      </c>
    </row>
    <row r="1065" spans="2:4">
      <c r="B1065" s="2">
        <v>40532</v>
      </c>
      <c r="C1065" t="s">
        <v>3</v>
      </c>
      <c r="D1065">
        <v>110.1288263112</v>
      </c>
    </row>
    <row r="1066" spans="2:4">
      <c r="B1066" s="2">
        <v>40529</v>
      </c>
      <c r="C1066" t="s">
        <v>3</v>
      </c>
      <c r="D1066">
        <v>110.91185445319999</v>
      </c>
    </row>
    <row r="1067" spans="2:4">
      <c r="B1067" s="2">
        <v>40528</v>
      </c>
      <c r="C1067" t="s">
        <v>3</v>
      </c>
      <c r="D1067">
        <v>112.09080803010001</v>
      </c>
    </row>
    <row r="1068" spans="2:4">
      <c r="B1068" s="2">
        <v>40527</v>
      </c>
      <c r="C1068" t="s">
        <v>3</v>
      </c>
      <c r="D1068">
        <v>112.5766844944</v>
      </c>
    </row>
    <row r="1069" spans="2:4">
      <c r="B1069" s="2">
        <v>40526</v>
      </c>
      <c r="C1069" t="s">
        <v>3</v>
      </c>
      <c r="D1069">
        <v>111.6559227166</v>
      </c>
    </row>
    <row r="1070" spans="2:4">
      <c r="B1070" s="2">
        <v>40525</v>
      </c>
      <c r="C1070" t="s">
        <v>3</v>
      </c>
      <c r="D1070">
        <v>110.9629198695</v>
      </c>
    </row>
    <row r="1071" spans="2:4">
      <c r="B1071" s="2">
        <v>40522</v>
      </c>
      <c r="C1071" t="s">
        <v>3</v>
      </c>
      <c r="D1071">
        <v>111.91435693619999</v>
      </c>
    </row>
    <row r="1072" spans="2:4">
      <c r="B1072" s="2">
        <v>40521</v>
      </c>
      <c r="C1072" t="s">
        <v>3</v>
      </c>
      <c r="D1072">
        <v>110.8337490504</v>
      </c>
    </row>
    <row r="1073" spans="2:4">
      <c r="B1073" s="2">
        <v>40520</v>
      </c>
      <c r="C1073" t="s">
        <v>3</v>
      </c>
      <c r="D1073">
        <v>111.7220346782</v>
      </c>
    </row>
    <row r="1074" spans="2:4">
      <c r="B1074" s="2">
        <v>40519</v>
      </c>
      <c r="C1074" t="s">
        <v>3</v>
      </c>
      <c r="D1074">
        <v>111.96234286559999</v>
      </c>
    </row>
    <row r="1075" spans="2:4">
      <c r="B1075" s="2">
        <v>40518</v>
      </c>
      <c r="C1075" t="s">
        <v>3</v>
      </c>
      <c r="D1075">
        <v>109.4694163528</v>
      </c>
    </row>
    <row r="1076" spans="2:4">
      <c r="B1076" s="2">
        <v>40515</v>
      </c>
      <c r="C1076" t="s">
        <v>3</v>
      </c>
      <c r="D1076">
        <v>108.5729435375</v>
      </c>
    </row>
    <row r="1077" spans="2:4">
      <c r="B1077" s="2">
        <v>40514</v>
      </c>
      <c r="C1077" t="s">
        <v>3</v>
      </c>
      <c r="D1077">
        <v>107.78754884</v>
      </c>
    </row>
    <row r="1078" spans="2:4">
      <c r="B1078" s="2">
        <v>40513</v>
      </c>
      <c r="C1078" t="s">
        <v>3</v>
      </c>
      <c r="D1078">
        <v>107.5701205024</v>
      </c>
    </row>
    <row r="1079" spans="2:4">
      <c r="B1079" s="2">
        <v>40512</v>
      </c>
      <c r="C1079" t="s">
        <v>3</v>
      </c>
      <c r="D1079">
        <v>106.47096367260001</v>
      </c>
    </row>
    <row r="1080" spans="2:4">
      <c r="B1080" s="2">
        <v>40511</v>
      </c>
      <c r="C1080" t="s">
        <v>3</v>
      </c>
      <c r="D1080">
        <v>104.99639937320001</v>
      </c>
    </row>
    <row r="1081" spans="2:4">
      <c r="B1081" s="2">
        <v>40508</v>
      </c>
      <c r="C1081" t="s">
        <v>3</v>
      </c>
      <c r="D1081">
        <v>104.22634485490001</v>
      </c>
    </row>
    <row r="1082" spans="2:4">
      <c r="B1082" s="2">
        <v>40506</v>
      </c>
      <c r="C1082" t="s">
        <v>3</v>
      </c>
      <c r="D1082">
        <v>104.2087725786</v>
      </c>
    </row>
    <row r="1083" spans="2:4">
      <c r="B1083" s="2">
        <v>40505</v>
      </c>
      <c r="C1083" t="s">
        <v>3</v>
      </c>
      <c r="D1083">
        <v>102.7483758576</v>
      </c>
    </row>
    <row r="1084" spans="2:4">
      <c r="B1084" s="2">
        <v>40504</v>
      </c>
      <c r="C1084" t="s">
        <v>3</v>
      </c>
      <c r="D1084">
        <v>102.475518984</v>
      </c>
    </row>
    <row r="1085" spans="2:4">
      <c r="B1085" s="2">
        <v>40501</v>
      </c>
      <c r="C1085" t="s">
        <v>3</v>
      </c>
      <c r="D1085">
        <v>102.76375840199999</v>
      </c>
    </row>
    <row r="1086" spans="2:4">
      <c r="B1086" s="2">
        <v>40500</v>
      </c>
      <c r="C1086" t="s">
        <v>3</v>
      </c>
      <c r="D1086">
        <v>102.8703947756</v>
      </c>
    </row>
    <row r="1087" spans="2:4">
      <c r="B1087" s="2">
        <v>40499</v>
      </c>
      <c r="C1087" t="s">
        <v>3</v>
      </c>
      <c r="D1087">
        <v>101.82350262209999</v>
      </c>
    </row>
    <row r="1088" spans="2:4">
      <c r="B1088" s="2">
        <v>40498</v>
      </c>
      <c r="C1088" t="s">
        <v>3</v>
      </c>
      <c r="D1088">
        <v>100.745993349</v>
      </c>
    </row>
    <row r="1089" spans="2:4">
      <c r="B1089" s="2">
        <v>40497</v>
      </c>
      <c r="C1089" t="s">
        <v>3</v>
      </c>
      <c r="D1089">
        <v>101.31702875000001</v>
      </c>
    </row>
    <row r="1090" spans="2:4">
      <c r="B1090" s="2">
        <v>40494</v>
      </c>
      <c r="C1090" t="s">
        <v>3</v>
      </c>
      <c r="D1090">
        <v>99.615549286800004</v>
      </c>
    </row>
    <row r="1091" spans="2:4">
      <c r="B1091" s="2">
        <v>40492</v>
      </c>
      <c r="C1091" t="s">
        <v>3</v>
      </c>
      <c r="D1091">
        <v>100.01110674</v>
      </c>
    </row>
    <row r="1092" spans="2:4">
      <c r="B1092" s="2">
        <v>40491</v>
      </c>
      <c r="C1092" t="s">
        <v>3</v>
      </c>
      <c r="D1092">
        <v>99.917493705400005</v>
      </c>
    </row>
    <row r="1093" spans="2:4">
      <c r="B1093" s="2">
        <v>40490</v>
      </c>
      <c r="C1093" t="s">
        <v>3</v>
      </c>
      <c r="D1093">
        <v>98.494244133999999</v>
      </c>
    </row>
    <row r="1094" spans="2:4">
      <c r="B1094" s="2">
        <v>40487</v>
      </c>
      <c r="C1094" t="s">
        <v>3</v>
      </c>
      <c r="D1094">
        <v>98.256926013300003</v>
      </c>
    </row>
    <row r="1095" spans="2:4">
      <c r="B1095" s="2">
        <v>40486</v>
      </c>
      <c r="C1095" t="s">
        <v>3</v>
      </c>
      <c r="D1095">
        <v>97.135730921199993</v>
      </c>
    </row>
    <row r="1096" spans="2:4">
      <c r="B1096" s="2">
        <v>40485</v>
      </c>
      <c r="C1096" t="s">
        <v>3</v>
      </c>
      <c r="D1096">
        <v>97.640608219000001</v>
      </c>
    </row>
    <row r="1097" spans="2:4">
      <c r="B1097" s="2">
        <v>40484</v>
      </c>
      <c r="C1097" t="s">
        <v>3</v>
      </c>
      <c r="D1097">
        <v>99.370984652800004</v>
      </c>
    </row>
    <row r="1098" spans="2:4">
      <c r="B1098" s="2">
        <v>40483</v>
      </c>
      <c r="C1098" t="s">
        <v>3</v>
      </c>
      <c r="D1098">
        <v>98.089363746000004</v>
      </c>
    </row>
    <row r="1099" spans="2:4">
      <c r="B1099" s="2">
        <v>40480</v>
      </c>
      <c r="C1099" t="s">
        <v>3</v>
      </c>
      <c r="D1099">
        <v>97.090269167200006</v>
      </c>
    </row>
    <row r="1100" spans="2:4">
      <c r="B1100" s="2">
        <v>40479</v>
      </c>
      <c r="C1100" t="s">
        <v>3</v>
      </c>
      <c r="D1100">
        <v>97.234118630599994</v>
      </c>
    </row>
    <row r="1101" spans="2:4">
      <c r="B1101" s="2">
        <v>40478</v>
      </c>
      <c r="C1101" t="s">
        <v>3</v>
      </c>
      <c r="D1101">
        <v>96.563272093199998</v>
      </c>
    </row>
    <row r="1102" spans="2:4">
      <c r="B1102" s="2">
        <v>40477</v>
      </c>
      <c r="C1102" t="s">
        <v>3</v>
      </c>
      <c r="D1102">
        <v>96.968050108</v>
      </c>
    </row>
    <row r="1103" spans="2:4">
      <c r="B1103" s="2">
        <v>40476</v>
      </c>
      <c r="C1103" t="s">
        <v>3</v>
      </c>
      <c r="D1103">
        <v>97.028760616</v>
      </c>
    </row>
    <row r="1104" spans="2:4">
      <c r="B1104" s="2">
        <v>40473</v>
      </c>
      <c r="C1104" t="s">
        <v>3</v>
      </c>
      <c r="D1104">
        <v>97.300284845500002</v>
      </c>
    </row>
    <row r="1105" spans="2:4">
      <c r="B1105" s="2">
        <v>40472</v>
      </c>
      <c r="C1105" t="s">
        <v>3</v>
      </c>
      <c r="D1105">
        <v>96.113097675299997</v>
      </c>
    </row>
    <row r="1106" spans="2:4">
      <c r="B1106" s="2">
        <v>40471</v>
      </c>
      <c r="C1106" t="s">
        <v>3</v>
      </c>
      <c r="D1106">
        <v>94.828445148</v>
      </c>
    </row>
    <row r="1107" spans="2:4">
      <c r="B1107" s="2">
        <v>40470</v>
      </c>
      <c r="C1107" t="s">
        <v>3</v>
      </c>
      <c r="D1107">
        <v>94.408452654399994</v>
      </c>
    </row>
    <row r="1108" spans="2:4">
      <c r="B1108" s="2">
        <v>40469</v>
      </c>
      <c r="C1108" t="s">
        <v>3</v>
      </c>
      <c r="D1108">
        <v>94.269438138799998</v>
      </c>
    </row>
    <row r="1109" spans="2:4">
      <c r="B1109" s="2">
        <v>40466</v>
      </c>
      <c r="C1109" t="s">
        <v>3</v>
      </c>
      <c r="D1109">
        <v>94.620009370700004</v>
      </c>
    </row>
    <row r="1110" spans="2:4">
      <c r="B1110" s="2">
        <v>40465</v>
      </c>
      <c r="C1110" t="s">
        <v>3</v>
      </c>
      <c r="D1110">
        <v>96.319899721599995</v>
      </c>
    </row>
    <row r="1111" spans="2:4">
      <c r="B1111" s="2">
        <v>40464</v>
      </c>
      <c r="C1111" t="s">
        <v>3</v>
      </c>
      <c r="D1111">
        <v>96.284347459399996</v>
      </c>
    </row>
    <row r="1112" spans="2:4">
      <c r="B1112" s="2">
        <v>40463</v>
      </c>
      <c r="C1112" t="s">
        <v>3</v>
      </c>
      <c r="D1112">
        <v>98.951681876500004</v>
      </c>
    </row>
    <row r="1113" spans="2:4">
      <c r="B1113" s="2">
        <v>40459</v>
      </c>
      <c r="C1113" t="s">
        <v>3</v>
      </c>
      <c r="D1113">
        <v>99.171904823999995</v>
      </c>
    </row>
    <row r="1114" spans="2:4">
      <c r="B1114" s="2">
        <v>40458</v>
      </c>
      <c r="C1114" t="s">
        <v>3</v>
      </c>
      <c r="D1114">
        <v>100.8968137749</v>
      </c>
    </row>
    <row r="1115" spans="2:4">
      <c r="B1115" s="2">
        <v>40457</v>
      </c>
      <c r="C1115" t="s">
        <v>3</v>
      </c>
      <c r="D1115">
        <v>101.0136422658</v>
      </c>
    </row>
    <row r="1116" spans="2:4">
      <c r="B1116" s="2">
        <v>40456</v>
      </c>
      <c r="C1116" t="s">
        <v>3</v>
      </c>
      <c r="D1116">
        <v>102.24148029440001</v>
      </c>
    </row>
    <row r="1117" spans="2:4">
      <c r="B1117" s="2">
        <v>40455</v>
      </c>
      <c r="C1117" t="s">
        <v>3</v>
      </c>
      <c r="D1117">
        <v>102.0717048102</v>
      </c>
    </row>
    <row r="1118" spans="2:4">
      <c r="B1118" s="2">
        <v>40452</v>
      </c>
      <c r="C1118" t="s">
        <v>3</v>
      </c>
      <c r="D1118">
        <v>101.8783249155</v>
      </c>
    </row>
    <row r="1119" spans="2:4">
      <c r="B1119" s="2">
        <v>40451</v>
      </c>
      <c r="C1119" t="s">
        <v>3</v>
      </c>
      <c r="D1119">
        <v>103.546495272</v>
      </c>
    </row>
    <row r="1120" spans="2:4">
      <c r="B1120" s="2">
        <v>40450</v>
      </c>
      <c r="C1120" t="s">
        <v>3</v>
      </c>
      <c r="D1120">
        <v>105.1434220062</v>
      </c>
    </row>
    <row r="1121" spans="2:4">
      <c r="B1121" s="2">
        <v>40449</v>
      </c>
      <c r="C1121" t="s">
        <v>3</v>
      </c>
      <c r="D1121">
        <v>102.9635773367</v>
      </c>
    </row>
    <row r="1122" spans="2:4">
      <c r="B1122" s="2">
        <v>40448</v>
      </c>
      <c r="C1122" t="s">
        <v>3</v>
      </c>
      <c r="D1122">
        <v>102.1142438757</v>
      </c>
    </row>
    <row r="1123" spans="2:4">
      <c r="B1123" s="2">
        <v>40445</v>
      </c>
      <c r="C1123" t="s">
        <v>3</v>
      </c>
      <c r="D1123">
        <v>100.458385408</v>
      </c>
    </row>
    <row r="1124" spans="2:4">
      <c r="B1124" s="2">
        <v>40444</v>
      </c>
      <c r="C1124" t="s">
        <v>3</v>
      </c>
      <c r="D1124">
        <v>98.894526231599997</v>
      </c>
    </row>
    <row r="1125" spans="2:4">
      <c r="B1125" s="2">
        <v>40443</v>
      </c>
      <c r="C1125" t="s">
        <v>3</v>
      </c>
      <c r="D1125">
        <v>97.939146510699999</v>
      </c>
    </row>
    <row r="1126" spans="2:4">
      <c r="B1126" s="2">
        <v>40442</v>
      </c>
      <c r="C1126" t="s">
        <v>3</v>
      </c>
      <c r="D1126">
        <v>98.261278566599998</v>
      </c>
    </row>
    <row r="1127" spans="2:4">
      <c r="B1127" s="2">
        <v>40441</v>
      </c>
      <c r="C1127" t="s">
        <v>3</v>
      </c>
      <c r="D1127">
        <v>99.1069428096</v>
      </c>
    </row>
    <row r="1128" spans="2:4">
      <c r="B1128" s="2">
        <v>40438</v>
      </c>
      <c r="C1128" t="s">
        <v>3</v>
      </c>
      <c r="D1128">
        <v>98.060715043599998</v>
      </c>
    </row>
    <row r="1129" spans="2:4">
      <c r="B1129" s="2">
        <v>40437</v>
      </c>
      <c r="C1129" t="s">
        <v>3</v>
      </c>
      <c r="D1129">
        <v>98.453807040599997</v>
      </c>
    </row>
    <row r="1130" spans="2:4">
      <c r="B1130" s="2">
        <v>40436</v>
      </c>
      <c r="C1130" t="s">
        <v>3</v>
      </c>
      <c r="D1130">
        <v>97.108989785600002</v>
      </c>
    </row>
    <row r="1131" spans="2:4">
      <c r="B1131" s="2">
        <v>40435</v>
      </c>
      <c r="C1131" t="s">
        <v>3</v>
      </c>
      <c r="D1131">
        <v>95.739144126799999</v>
      </c>
    </row>
    <row r="1132" spans="2:4">
      <c r="B1132" s="2">
        <v>40434</v>
      </c>
      <c r="C1132" t="s">
        <v>3</v>
      </c>
      <c r="D1132">
        <v>95.174976404999995</v>
      </c>
    </row>
    <row r="1133" spans="2:4">
      <c r="B1133" s="2">
        <v>40431</v>
      </c>
      <c r="C1133" t="s">
        <v>3</v>
      </c>
      <c r="D1133">
        <v>95.807618079199997</v>
      </c>
    </row>
    <row r="1134" spans="2:4">
      <c r="B1134" s="2">
        <v>40430</v>
      </c>
      <c r="C1134" t="s">
        <v>3</v>
      </c>
      <c r="D1134">
        <v>94.667082175999994</v>
      </c>
    </row>
    <row r="1135" spans="2:4">
      <c r="B1135" s="2">
        <v>40429</v>
      </c>
      <c r="C1135" t="s">
        <v>3</v>
      </c>
      <c r="D1135">
        <v>94.133167180800001</v>
      </c>
    </row>
    <row r="1136" spans="2:4">
      <c r="B1136" s="2">
        <v>40428</v>
      </c>
      <c r="C1136" t="s">
        <v>3</v>
      </c>
      <c r="D1136">
        <v>93.240702660500006</v>
      </c>
    </row>
    <row r="1137" spans="2:4">
      <c r="B1137" s="2">
        <v>40424</v>
      </c>
      <c r="C1137" t="s">
        <v>3</v>
      </c>
      <c r="D1137">
        <v>92.429973459999999</v>
      </c>
    </row>
    <row r="1138" spans="2:4">
      <c r="B1138" s="2">
        <v>40423</v>
      </c>
      <c r="C1138" t="s">
        <v>3</v>
      </c>
      <c r="D1138">
        <v>93.923561163599999</v>
      </c>
    </row>
    <row r="1139" spans="2:4">
      <c r="B1139" s="2">
        <v>40422</v>
      </c>
      <c r="C1139" t="s">
        <v>3</v>
      </c>
      <c r="D1139">
        <v>95.575736336600002</v>
      </c>
    </row>
    <row r="1140" spans="2:4">
      <c r="B1140" s="2">
        <v>40421</v>
      </c>
      <c r="C1140" t="s">
        <v>3</v>
      </c>
      <c r="D1140">
        <v>94.541705609999994</v>
      </c>
    </row>
    <row r="1141" spans="2:4">
      <c r="B1141" s="2">
        <v>40420</v>
      </c>
      <c r="C1141" t="s">
        <v>3</v>
      </c>
      <c r="D1141">
        <v>94.903971074400005</v>
      </c>
    </row>
    <row r="1142" spans="2:4">
      <c r="B1142" s="2">
        <v>40417</v>
      </c>
      <c r="C1142" t="s">
        <v>3</v>
      </c>
      <c r="D1142">
        <v>93.277133274400001</v>
      </c>
    </row>
    <row r="1143" spans="2:4">
      <c r="B1143" s="2">
        <v>40416</v>
      </c>
      <c r="C1143" t="s">
        <v>3</v>
      </c>
      <c r="D1143">
        <v>94.592309996099999</v>
      </c>
    </row>
    <row r="1144" spans="2:4">
      <c r="B1144" s="2">
        <v>40415</v>
      </c>
      <c r="C1144" t="s">
        <v>3</v>
      </c>
      <c r="D1144">
        <v>94.428930591599993</v>
      </c>
    </row>
    <row r="1145" spans="2:4">
      <c r="B1145" s="2">
        <v>40414</v>
      </c>
      <c r="C1145" t="s">
        <v>3</v>
      </c>
      <c r="D1145">
        <v>94.713580273000005</v>
      </c>
    </row>
    <row r="1146" spans="2:4">
      <c r="B1146" s="2">
        <v>40413</v>
      </c>
      <c r="C1146" t="s">
        <v>3</v>
      </c>
      <c r="D1146">
        <v>95.563362644999998</v>
      </c>
    </row>
    <row r="1147" spans="2:4">
      <c r="B1147" s="2">
        <v>40410</v>
      </c>
      <c r="C1147" t="s">
        <v>3</v>
      </c>
      <c r="D1147">
        <v>95.066893294799996</v>
      </c>
    </row>
    <row r="1148" spans="2:4">
      <c r="B1148" s="2">
        <v>40409</v>
      </c>
      <c r="C1148" t="s">
        <v>3</v>
      </c>
      <c r="D1148">
        <v>94.897997048500002</v>
      </c>
    </row>
    <row r="1149" spans="2:4">
      <c r="B1149" s="2">
        <v>40408</v>
      </c>
      <c r="C1149" t="s">
        <v>3</v>
      </c>
      <c r="D1149">
        <v>94.345104078000006</v>
      </c>
    </row>
    <row r="1150" spans="2:4">
      <c r="B1150" s="2">
        <v>40407</v>
      </c>
      <c r="C1150" t="s">
        <v>3</v>
      </c>
      <c r="D1150">
        <v>95.249579140799995</v>
      </c>
    </row>
    <row r="1151" spans="2:4">
      <c r="B1151" s="2">
        <v>40406</v>
      </c>
      <c r="C1151" t="s">
        <v>3</v>
      </c>
      <c r="D1151">
        <v>97.250980813799998</v>
      </c>
    </row>
    <row r="1152" spans="2:4">
      <c r="B1152" s="2">
        <v>40403</v>
      </c>
      <c r="C1152" t="s">
        <v>3</v>
      </c>
      <c r="D1152">
        <v>94.543993415200006</v>
      </c>
    </row>
    <row r="1153" spans="2:4">
      <c r="B1153" s="2">
        <v>40402</v>
      </c>
      <c r="C1153" t="s">
        <v>3</v>
      </c>
      <c r="D1153">
        <v>92.806420058100002</v>
      </c>
    </row>
    <row r="1154" spans="2:4">
      <c r="B1154" s="2">
        <v>40401</v>
      </c>
      <c r="C1154" t="s">
        <v>3</v>
      </c>
      <c r="D1154">
        <v>91.808119700000006</v>
      </c>
    </row>
    <row r="1155" spans="2:4">
      <c r="B1155" s="2">
        <v>40400</v>
      </c>
      <c r="C1155" t="s">
        <v>3</v>
      </c>
      <c r="D1155">
        <v>93.002171419600003</v>
      </c>
    </row>
    <row r="1156" spans="2:4">
      <c r="B1156" s="2">
        <v>40399</v>
      </c>
      <c r="C1156" t="s">
        <v>3</v>
      </c>
      <c r="D1156">
        <v>95.228929636000004</v>
      </c>
    </row>
    <row r="1157" spans="2:4">
      <c r="B1157" s="2">
        <v>40396</v>
      </c>
      <c r="C1157" t="s">
        <v>3</v>
      </c>
      <c r="D1157">
        <v>95.488424687999995</v>
      </c>
    </row>
    <row r="1158" spans="2:4">
      <c r="B1158" s="2">
        <v>40395</v>
      </c>
      <c r="C1158" t="s">
        <v>3</v>
      </c>
      <c r="D1158">
        <v>97.1658849807</v>
      </c>
    </row>
    <row r="1159" spans="2:4">
      <c r="B1159" s="2">
        <v>40394</v>
      </c>
      <c r="C1159" t="s">
        <v>3</v>
      </c>
      <c r="D1159">
        <v>98.797948313999996</v>
      </c>
    </row>
    <row r="1160" spans="2:4">
      <c r="B1160" s="2">
        <v>40393</v>
      </c>
      <c r="C1160" t="s">
        <v>3</v>
      </c>
      <c r="D1160">
        <v>99.076938468799995</v>
      </c>
    </row>
    <row r="1161" spans="2:4">
      <c r="B1161" s="2">
        <v>40392</v>
      </c>
      <c r="C1161" t="s">
        <v>3</v>
      </c>
      <c r="D1161">
        <v>99.198887917600004</v>
      </c>
    </row>
    <row r="1162" spans="2:4">
      <c r="B1162" s="2">
        <v>40389</v>
      </c>
      <c r="C1162" t="s">
        <v>3</v>
      </c>
      <c r="D1162">
        <v>98.496131314699994</v>
      </c>
    </row>
    <row r="1163" spans="2:4">
      <c r="B1163" s="2">
        <v>40388</v>
      </c>
      <c r="C1163" t="s">
        <v>3</v>
      </c>
      <c r="D1163">
        <v>98.456437782600005</v>
      </c>
    </row>
    <row r="1164" spans="2:4">
      <c r="B1164" s="2">
        <v>40387</v>
      </c>
      <c r="C1164" t="s">
        <v>3</v>
      </c>
      <c r="D1164">
        <v>97.846233248000004</v>
      </c>
    </row>
    <row r="1165" spans="2:4">
      <c r="B1165" s="2">
        <v>40386</v>
      </c>
      <c r="C1165" t="s">
        <v>3</v>
      </c>
      <c r="D1165">
        <v>99.423082598600004</v>
      </c>
    </row>
    <row r="1166" spans="2:4">
      <c r="B1166" s="2">
        <v>40385</v>
      </c>
      <c r="C1166" t="s">
        <v>3</v>
      </c>
      <c r="D1166">
        <v>98.017595138900006</v>
      </c>
    </row>
    <row r="1167" spans="2:4">
      <c r="B1167" s="2">
        <v>40382</v>
      </c>
      <c r="C1167" t="s">
        <v>3</v>
      </c>
      <c r="D1167">
        <v>98.4368098116</v>
      </c>
    </row>
    <row r="1168" spans="2:4">
      <c r="B1168" s="2">
        <v>40381</v>
      </c>
      <c r="C1168" t="s">
        <v>3</v>
      </c>
      <c r="D1168">
        <v>99.803544287999998</v>
      </c>
    </row>
    <row r="1169" spans="2:4">
      <c r="B1169" s="2">
        <v>40380</v>
      </c>
      <c r="C1169" t="s">
        <v>3</v>
      </c>
      <c r="D1169">
        <v>100.15925304</v>
      </c>
    </row>
    <row r="1170" spans="2:4">
      <c r="B1170" s="2">
        <v>40379</v>
      </c>
      <c r="C1170" t="s">
        <v>3</v>
      </c>
      <c r="D1170">
        <v>99.543010671000005</v>
      </c>
    </row>
    <row r="1171" spans="2:4">
      <c r="B1171" s="2">
        <v>40378</v>
      </c>
      <c r="C1171" t="s">
        <v>3</v>
      </c>
      <c r="D1171">
        <v>99.629216346000007</v>
      </c>
    </row>
    <row r="1172" spans="2:4">
      <c r="B1172" s="2">
        <v>40375</v>
      </c>
      <c r="C1172" t="s">
        <v>3</v>
      </c>
      <c r="D1172">
        <v>99.136311985000006</v>
      </c>
    </row>
    <row r="1173" spans="2:4">
      <c r="B1173" s="2">
        <v>40374</v>
      </c>
      <c r="C1173" t="s">
        <v>3</v>
      </c>
      <c r="D1173">
        <v>99.921108484000001</v>
      </c>
    </row>
    <row r="1174" spans="2:4">
      <c r="B1174" s="2">
        <v>40373</v>
      </c>
      <c r="C1174" t="s">
        <v>3</v>
      </c>
      <c r="D1174">
        <v>100.45475830469999</v>
      </c>
    </row>
    <row r="1175" spans="2:4">
      <c r="B1175" s="2">
        <v>40372</v>
      </c>
      <c r="C1175" t="s">
        <v>3</v>
      </c>
      <c r="D1175">
        <v>100.922058393</v>
      </c>
    </row>
    <row r="1176" spans="2:4">
      <c r="B1176" s="2">
        <v>40371</v>
      </c>
      <c r="C1176" t="s">
        <v>3</v>
      </c>
      <c r="D1176">
        <v>100.3926705232</v>
      </c>
    </row>
    <row r="1177" spans="2:4">
      <c r="B1177" s="2">
        <v>40368</v>
      </c>
      <c r="C1177" t="s">
        <v>3</v>
      </c>
      <c r="D1177">
        <v>101.009316496</v>
      </c>
    </row>
    <row r="1178" spans="2:4">
      <c r="B1178" s="2">
        <v>40367</v>
      </c>
      <c r="C1178" t="s">
        <v>3</v>
      </c>
      <c r="D1178">
        <v>101.6851922723</v>
      </c>
    </row>
    <row r="1179" spans="2:4">
      <c r="B1179" s="2">
        <v>40366</v>
      </c>
      <c r="C1179" t="s">
        <v>3</v>
      </c>
      <c r="D1179">
        <v>101.04812093460001</v>
      </c>
    </row>
    <row r="1180" spans="2:4">
      <c r="B1180" s="2">
        <v>40365</v>
      </c>
      <c r="C1180" t="s">
        <v>3</v>
      </c>
      <c r="D1180">
        <v>101.2091427232</v>
      </c>
    </row>
    <row r="1181" spans="2:4">
      <c r="B1181" s="2">
        <v>40361</v>
      </c>
      <c r="C1181" t="s">
        <v>3</v>
      </c>
      <c r="D1181">
        <v>101.95229801249999</v>
      </c>
    </row>
    <row r="1182" spans="2:4">
      <c r="B1182" s="2">
        <v>40360</v>
      </c>
      <c r="C1182" t="s">
        <v>3</v>
      </c>
      <c r="D1182">
        <v>103.71077886240001</v>
      </c>
    </row>
    <row r="1183" spans="2:4">
      <c r="B1183" s="2">
        <v>40359</v>
      </c>
      <c r="C1183" t="s">
        <v>3</v>
      </c>
      <c r="D1183">
        <v>104.2798144631</v>
      </c>
    </row>
    <row r="1184" spans="2:4">
      <c r="B1184" s="2">
        <v>40358</v>
      </c>
      <c r="C1184" t="s">
        <v>3</v>
      </c>
      <c r="D1184">
        <v>105.0563239042</v>
      </c>
    </row>
    <row r="1185" spans="2:4">
      <c r="B1185" s="2">
        <v>40357</v>
      </c>
      <c r="C1185" t="s">
        <v>3</v>
      </c>
      <c r="D1185">
        <v>105.09524456059999</v>
      </c>
    </row>
    <row r="1186" spans="2:4">
      <c r="B1186" s="2">
        <v>40354</v>
      </c>
      <c r="C1186" t="s">
        <v>3</v>
      </c>
      <c r="D1186">
        <v>107.0520428028</v>
      </c>
    </row>
    <row r="1187" spans="2:4">
      <c r="B1187" s="2">
        <v>40353</v>
      </c>
      <c r="C1187" t="s">
        <v>3</v>
      </c>
      <c r="D1187">
        <v>108.122498001</v>
      </c>
    </row>
    <row r="1188" spans="2:4">
      <c r="B1188" s="2">
        <v>40352</v>
      </c>
      <c r="C1188" t="s">
        <v>3</v>
      </c>
      <c r="D1188">
        <v>107.645580616</v>
      </c>
    </row>
    <row r="1189" spans="2:4">
      <c r="B1189" s="2">
        <v>40351</v>
      </c>
      <c r="C1189" t="s">
        <v>3</v>
      </c>
      <c r="D1189">
        <v>108.84301670879999</v>
      </c>
    </row>
    <row r="1190" spans="2:4">
      <c r="B1190" s="2">
        <v>40350</v>
      </c>
      <c r="C1190" t="s">
        <v>3</v>
      </c>
      <c r="D1190">
        <v>108.4541655882</v>
      </c>
    </row>
    <row r="1191" spans="2:4">
      <c r="B1191" s="2">
        <v>40347</v>
      </c>
      <c r="C1191" t="s">
        <v>3</v>
      </c>
      <c r="D1191">
        <v>108.90301051909999</v>
      </c>
    </row>
    <row r="1192" spans="2:4">
      <c r="B1192" s="2">
        <v>40346</v>
      </c>
      <c r="C1192" t="s">
        <v>3</v>
      </c>
      <c r="D1192">
        <v>108.6856269597</v>
      </c>
    </row>
    <row r="1193" spans="2:4">
      <c r="B1193" s="2">
        <v>40345</v>
      </c>
      <c r="C1193" t="s">
        <v>3</v>
      </c>
      <c r="D1193">
        <v>108.6891131106</v>
      </c>
    </row>
    <row r="1194" spans="2:4">
      <c r="B1194" s="2">
        <v>40344</v>
      </c>
      <c r="C1194" t="s">
        <v>3</v>
      </c>
      <c r="D1194">
        <v>108.98461029000001</v>
      </c>
    </row>
    <row r="1195" spans="2:4">
      <c r="B1195" s="2">
        <v>40343</v>
      </c>
      <c r="C1195" t="s">
        <v>3</v>
      </c>
      <c r="D1195">
        <v>109.1561557042</v>
      </c>
    </row>
    <row r="1196" spans="2:4">
      <c r="B1196" s="2">
        <v>40340</v>
      </c>
      <c r="C1196" t="s">
        <v>3</v>
      </c>
      <c r="D1196">
        <v>109.7996503688</v>
      </c>
    </row>
    <row r="1197" spans="2:4">
      <c r="B1197" s="2">
        <v>40339</v>
      </c>
      <c r="C1197" t="s">
        <v>3</v>
      </c>
      <c r="D1197">
        <v>110.12301545939999</v>
      </c>
    </row>
    <row r="1198" spans="2:4">
      <c r="B1198" s="2">
        <v>40338</v>
      </c>
      <c r="C1198" t="s">
        <v>3</v>
      </c>
      <c r="D1198">
        <v>110.91523655189999</v>
      </c>
    </row>
    <row r="1199" spans="2:4">
      <c r="B1199" s="2">
        <v>40337</v>
      </c>
      <c r="C1199" t="s">
        <v>3</v>
      </c>
      <c r="D1199">
        <v>112.47228823</v>
      </c>
    </row>
    <row r="1200" spans="2:4">
      <c r="B1200" s="2">
        <v>40336</v>
      </c>
      <c r="C1200" t="s">
        <v>3</v>
      </c>
      <c r="D1200">
        <v>111.0861021204</v>
      </c>
    </row>
    <row r="1201" spans="2:4">
      <c r="B1201" s="2">
        <v>40333</v>
      </c>
      <c r="C1201" t="s">
        <v>3</v>
      </c>
      <c r="D1201">
        <v>110.694963645</v>
      </c>
    </row>
    <row r="1202" spans="2:4">
      <c r="B1202" s="2">
        <v>40332</v>
      </c>
      <c r="C1202" t="s">
        <v>3</v>
      </c>
      <c r="D1202">
        <v>109.56817662</v>
      </c>
    </row>
    <row r="1203" spans="2:4">
      <c r="B1203" s="2">
        <v>40331</v>
      </c>
      <c r="C1203" t="s">
        <v>3</v>
      </c>
      <c r="D1203">
        <v>110.4374186344</v>
      </c>
    </row>
    <row r="1204" spans="2:4">
      <c r="B1204" s="2">
        <v>40330</v>
      </c>
      <c r="C1204" t="s">
        <v>3</v>
      </c>
      <c r="D1204">
        <v>111.3373166187</v>
      </c>
    </row>
    <row r="1205" spans="2:4">
      <c r="B1205" s="2">
        <v>40326</v>
      </c>
      <c r="C1205" t="s">
        <v>3</v>
      </c>
      <c r="D1205">
        <v>110.7326777454</v>
      </c>
    </row>
    <row r="1206" spans="2:4">
      <c r="B1206" s="2">
        <v>40325</v>
      </c>
      <c r="C1206" t="s">
        <v>3</v>
      </c>
      <c r="D1206">
        <v>111.202702956</v>
      </c>
    </row>
    <row r="1207" spans="2:4">
      <c r="B1207" s="2">
        <v>40324</v>
      </c>
      <c r="C1207" t="s">
        <v>3</v>
      </c>
      <c r="D1207">
        <v>112.1147122725</v>
      </c>
    </row>
    <row r="1208" spans="2:4">
      <c r="B1208" s="2">
        <v>40323</v>
      </c>
      <c r="C1208" t="s">
        <v>3</v>
      </c>
      <c r="D1208">
        <v>113.86948336259999</v>
      </c>
    </row>
    <row r="1209" spans="2:4">
      <c r="B1209" s="2">
        <v>40322</v>
      </c>
      <c r="C1209" t="s">
        <v>3</v>
      </c>
      <c r="D1209">
        <v>113.0804145394</v>
      </c>
    </row>
    <row r="1210" spans="2:4">
      <c r="B1210" s="2">
        <v>40319</v>
      </c>
      <c r="C1210" t="s">
        <v>3</v>
      </c>
      <c r="D1210">
        <v>114.8131540068</v>
      </c>
    </row>
    <row r="1211" spans="2:4">
      <c r="B1211" s="2">
        <v>40318</v>
      </c>
      <c r="C1211" t="s">
        <v>3</v>
      </c>
      <c r="D1211">
        <v>118.03025395260001</v>
      </c>
    </row>
    <row r="1212" spans="2:4">
      <c r="B1212" s="2">
        <v>40317</v>
      </c>
      <c r="C1212" t="s">
        <v>3</v>
      </c>
      <c r="D1212">
        <v>116.9675339196</v>
      </c>
    </row>
    <row r="1213" spans="2:4">
      <c r="B1213" s="2">
        <v>40316</v>
      </c>
      <c r="C1213" t="s">
        <v>3</v>
      </c>
      <c r="D1213">
        <v>115.63015179680001</v>
      </c>
    </row>
    <row r="1214" spans="2:4">
      <c r="B1214" s="2">
        <v>40315</v>
      </c>
      <c r="C1214" t="s">
        <v>3</v>
      </c>
      <c r="D1214">
        <v>114.77789032920001</v>
      </c>
    </row>
    <row r="1215" spans="2:4">
      <c r="B1215" s="2">
        <v>40312</v>
      </c>
      <c r="C1215" t="s">
        <v>3</v>
      </c>
      <c r="D1215">
        <v>114.9818921163</v>
      </c>
    </row>
    <row r="1216" spans="2:4">
      <c r="B1216" s="2">
        <v>40311</v>
      </c>
      <c r="C1216" t="s">
        <v>3</v>
      </c>
      <c r="D1216">
        <v>111.3148076264</v>
      </c>
    </row>
    <row r="1217" spans="2:4">
      <c r="B1217" s="2">
        <v>40310</v>
      </c>
      <c r="C1217" t="s">
        <v>3</v>
      </c>
      <c r="D1217">
        <v>112.71135896200001</v>
      </c>
    </row>
    <row r="1218" spans="2:4">
      <c r="B1218" s="2">
        <v>40309</v>
      </c>
      <c r="C1218" t="s">
        <v>3</v>
      </c>
      <c r="D1218">
        <v>113.22160799</v>
      </c>
    </row>
    <row r="1219" spans="2:4">
      <c r="B1219" s="2">
        <v>40308</v>
      </c>
      <c r="C1219" t="s">
        <v>3</v>
      </c>
      <c r="D1219">
        <v>115.0978981392</v>
      </c>
    </row>
    <row r="1220" spans="2:4">
      <c r="B1220" s="2">
        <v>40305</v>
      </c>
      <c r="C1220" t="s">
        <v>3</v>
      </c>
      <c r="D1220">
        <v>116.4927347892</v>
      </c>
    </row>
    <row r="1221" spans="2:4">
      <c r="B1221" s="2">
        <v>40304</v>
      </c>
      <c r="C1221" t="s">
        <v>3</v>
      </c>
      <c r="D1221">
        <v>122.07039418719999</v>
      </c>
    </row>
    <row r="1222" spans="2:4">
      <c r="B1222" s="2">
        <v>40303</v>
      </c>
      <c r="C1222" t="s">
        <v>3</v>
      </c>
      <c r="D1222">
        <v>119.4090864704</v>
      </c>
    </row>
    <row r="1223" spans="2:4">
      <c r="B1223" s="2">
        <v>40302</v>
      </c>
      <c r="C1223" t="s">
        <v>3</v>
      </c>
      <c r="D1223">
        <v>118.0708932384</v>
      </c>
    </row>
    <row r="1224" spans="2:4">
      <c r="B1224" s="2">
        <v>40301</v>
      </c>
      <c r="C1224" t="s">
        <v>3</v>
      </c>
      <c r="D1224">
        <v>113.03008930839999</v>
      </c>
    </row>
    <row r="1225" spans="2:4">
      <c r="B1225" s="2">
        <v>40298</v>
      </c>
      <c r="C1225" t="s">
        <v>3</v>
      </c>
      <c r="D1225">
        <v>112.9182919167</v>
      </c>
    </row>
    <row r="1226" spans="2:4">
      <c r="B1226" s="2">
        <v>40297</v>
      </c>
      <c r="C1226" t="s">
        <v>3</v>
      </c>
      <c r="D1226">
        <v>109.395039471</v>
      </c>
    </row>
    <row r="1227" spans="2:4">
      <c r="B1227" s="2">
        <v>40296</v>
      </c>
      <c r="C1227" t="s">
        <v>3</v>
      </c>
      <c r="D1227">
        <v>110.3311725459</v>
      </c>
    </row>
    <row r="1228" spans="2:4">
      <c r="B1228" s="2">
        <v>40295</v>
      </c>
      <c r="C1228" t="s">
        <v>3</v>
      </c>
      <c r="D1228">
        <v>111.07439684249999</v>
      </c>
    </row>
    <row r="1229" spans="2:4">
      <c r="B1229" s="2">
        <v>40294</v>
      </c>
      <c r="C1229" t="s">
        <v>3</v>
      </c>
      <c r="D1229">
        <v>108.1244989195</v>
      </c>
    </row>
    <row r="1230" spans="2:4">
      <c r="B1230" s="2">
        <v>40291</v>
      </c>
      <c r="C1230" t="s">
        <v>3</v>
      </c>
      <c r="D1230">
        <v>107.897364342</v>
      </c>
    </row>
    <row r="1231" spans="2:4">
      <c r="B1231" s="2">
        <v>40290</v>
      </c>
      <c r="C1231" t="s">
        <v>3</v>
      </c>
      <c r="D1231">
        <v>107.02559049</v>
      </c>
    </row>
    <row r="1232" spans="2:4">
      <c r="B1232" s="2">
        <v>40289</v>
      </c>
      <c r="C1232" t="s">
        <v>3</v>
      </c>
      <c r="D1232">
        <v>106.2753082368</v>
      </c>
    </row>
    <row r="1233" spans="2:4">
      <c r="B1233" s="2">
        <v>40288</v>
      </c>
      <c r="C1233" t="s">
        <v>3</v>
      </c>
      <c r="D1233">
        <v>104.792394042</v>
      </c>
    </row>
    <row r="1234" spans="2:4">
      <c r="B1234" s="2">
        <v>40287</v>
      </c>
      <c r="C1234" t="s">
        <v>3</v>
      </c>
      <c r="D1234">
        <v>104.06844081200001</v>
      </c>
    </row>
    <row r="1235" spans="2:4">
      <c r="B1235" s="2">
        <v>40284</v>
      </c>
      <c r="C1235" t="s">
        <v>3</v>
      </c>
      <c r="D1235">
        <v>103.50707168549999</v>
      </c>
    </row>
    <row r="1236" spans="2:4">
      <c r="B1236" s="2">
        <v>40283</v>
      </c>
      <c r="C1236" t="s">
        <v>3</v>
      </c>
      <c r="D1236">
        <v>104.2511208192</v>
      </c>
    </row>
    <row r="1237" spans="2:4">
      <c r="B1237" s="2">
        <v>40282</v>
      </c>
      <c r="C1237" t="s">
        <v>3</v>
      </c>
      <c r="D1237">
        <v>104.81872316640001</v>
      </c>
    </row>
    <row r="1238" spans="2:4">
      <c r="B1238" s="2">
        <v>40281</v>
      </c>
      <c r="C1238" t="s">
        <v>3</v>
      </c>
      <c r="D1238">
        <v>105.226658699</v>
      </c>
    </row>
    <row r="1239" spans="2:4">
      <c r="B1239" s="2">
        <v>40280</v>
      </c>
      <c r="C1239" t="s">
        <v>3</v>
      </c>
      <c r="D1239">
        <v>105.24734464159999</v>
      </c>
    </row>
    <row r="1240" spans="2:4">
      <c r="B1240" s="2">
        <v>40277</v>
      </c>
      <c r="C1240" t="s">
        <v>3</v>
      </c>
      <c r="D1240">
        <v>104.97582618840001</v>
      </c>
    </row>
    <row r="1241" spans="2:4">
      <c r="B1241" s="2">
        <v>40276</v>
      </c>
      <c r="C1241" t="s">
        <v>3</v>
      </c>
      <c r="D1241">
        <v>105.4388959864</v>
      </c>
    </row>
    <row r="1242" spans="2:4">
      <c r="B1242" s="2">
        <v>40275</v>
      </c>
      <c r="C1242" t="s">
        <v>3</v>
      </c>
      <c r="D1242">
        <v>103.8693260304</v>
      </c>
    </row>
    <row r="1243" spans="2:4">
      <c r="B1243" s="2">
        <v>40274</v>
      </c>
      <c r="C1243" t="s">
        <v>3</v>
      </c>
      <c r="D1243">
        <v>103.1107852538</v>
      </c>
    </row>
    <row r="1244" spans="2:4">
      <c r="B1244" s="2">
        <v>40273</v>
      </c>
      <c r="C1244" t="s">
        <v>3</v>
      </c>
      <c r="D1244">
        <v>103.51742421580001</v>
      </c>
    </row>
    <row r="1245" spans="2:4">
      <c r="B1245" s="2">
        <v>40269</v>
      </c>
      <c r="C1245" t="s">
        <v>3</v>
      </c>
      <c r="D1245">
        <v>105.026969517</v>
      </c>
    </row>
    <row r="1246" spans="2:4">
      <c r="B1246" s="2">
        <v>40268</v>
      </c>
      <c r="C1246" t="s">
        <v>3</v>
      </c>
      <c r="D1246">
        <v>103.85099835779999</v>
      </c>
    </row>
    <row r="1247" spans="2:4">
      <c r="B1247" s="2">
        <v>40267</v>
      </c>
      <c r="C1247" t="s">
        <v>3</v>
      </c>
      <c r="D1247">
        <v>103.9290348264</v>
      </c>
    </row>
    <row r="1248" spans="2:4">
      <c r="B1248" s="2">
        <v>40266</v>
      </c>
      <c r="C1248" t="s">
        <v>3</v>
      </c>
      <c r="D1248">
        <v>105.3333021405</v>
      </c>
    </row>
    <row r="1249" spans="2:4">
      <c r="B1249" s="2">
        <v>40263</v>
      </c>
      <c r="C1249" t="s">
        <v>3</v>
      </c>
      <c r="D1249">
        <v>105.0292299294</v>
      </c>
    </row>
    <row r="1250" spans="2:4">
      <c r="B1250" s="2">
        <v>40262</v>
      </c>
      <c r="C1250" t="s">
        <v>3</v>
      </c>
      <c r="D1250">
        <v>106.2202329048</v>
      </c>
    </row>
    <row r="1251" spans="2:4">
      <c r="B1251" s="2">
        <v>40261</v>
      </c>
      <c r="C1251" t="s">
        <v>3</v>
      </c>
      <c r="D1251">
        <v>107.3316794463</v>
      </c>
    </row>
    <row r="1252" spans="2:4">
      <c r="B1252" s="2">
        <v>40260</v>
      </c>
      <c r="C1252" t="s">
        <v>3</v>
      </c>
      <c r="D1252">
        <v>106.057806036</v>
      </c>
    </row>
    <row r="1253" spans="2:4">
      <c r="B1253" s="2">
        <v>40259</v>
      </c>
      <c r="C1253" t="s">
        <v>3</v>
      </c>
      <c r="D1253">
        <v>105.3353184142</v>
      </c>
    </row>
    <row r="1254" spans="2:4">
      <c r="B1254" s="2">
        <v>40256</v>
      </c>
      <c r="C1254" t="s">
        <v>3</v>
      </c>
      <c r="D1254">
        <v>105.2951315728</v>
      </c>
    </row>
    <row r="1255" spans="2:4">
      <c r="B1255" s="2">
        <v>40255</v>
      </c>
      <c r="C1255" t="s">
        <v>3</v>
      </c>
      <c r="D1255">
        <v>105.25662380270001</v>
      </c>
    </row>
    <row r="1256" spans="2:4">
      <c r="B1256" s="2">
        <v>40254</v>
      </c>
      <c r="C1256" t="s">
        <v>3</v>
      </c>
      <c r="D1256">
        <v>104.6525198481</v>
      </c>
    </row>
    <row r="1257" spans="2:4">
      <c r="B1257" s="2">
        <v>40253</v>
      </c>
      <c r="C1257" t="s">
        <v>3</v>
      </c>
      <c r="D1257">
        <v>105.9086660814</v>
      </c>
    </row>
    <row r="1258" spans="2:4">
      <c r="B1258" s="2">
        <v>40252</v>
      </c>
      <c r="C1258" t="s">
        <v>3</v>
      </c>
      <c r="D1258">
        <v>106.92988917</v>
      </c>
    </row>
    <row r="1259" spans="2:4">
      <c r="B1259" s="2">
        <v>40249</v>
      </c>
      <c r="C1259" t="s">
        <v>3</v>
      </c>
      <c r="D1259">
        <v>107.54010478079999</v>
      </c>
    </row>
    <row r="1260" spans="2:4">
      <c r="B1260" s="2">
        <v>40248</v>
      </c>
      <c r="C1260" t="s">
        <v>3</v>
      </c>
      <c r="D1260">
        <v>108.2399960873</v>
      </c>
    </row>
    <row r="1261" spans="2:4">
      <c r="B1261" s="2">
        <v>40247</v>
      </c>
      <c r="C1261" t="s">
        <v>3</v>
      </c>
      <c r="D1261">
        <v>107.1636745468</v>
      </c>
    </row>
    <row r="1262" spans="2:4">
      <c r="B1262" s="2">
        <v>40246</v>
      </c>
      <c r="C1262" t="s">
        <v>3</v>
      </c>
      <c r="D1262">
        <v>108.4804539174</v>
      </c>
    </row>
    <row r="1263" spans="2:4">
      <c r="B1263" s="2">
        <v>40245</v>
      </c>
      <c r="C1263" t="s">
        <v>3</v>
      </c>
      <c r="D1263">
        <v>109.52996105939999</v>
      </c>
    </row>
    <row r="1264" spans="2:4">
      <c r="B1264" s="2">
        <v>40242</v>
      </c>
      <c r="C1264" t="s">
        <v>3</v>
      </c>
      <c r="D1264">
        <v>110.0577234708</v>
      </c>
    </row>
    <row r="1265" spans="2:4">
      <c r="B1265" s="2">
        <v>40241</v>
      </c>
      <c r="C1265" t="s">
        <v>3</v>
      </c>
      <c r="D1265">
        <v>110.1295134018</v>
      </c>
    </row>
    <row r="1266" spans="2:4">
      <c r="B1266" s="2">
        <v>40240</v>
      </c>
      <c r="C1266" t="s">
        <v>3</v>
      </c>
      <c r="D1266">
        <v>111.28090564199999</v>
      </c>
    </row>
    <row r="1267" spans="2:4">
      <c r="B1267" s="2">
        <v>40239</v>
      </c>
      <c r="C1267" t="s">
        <v>3</v>
      </c>
      <c r="D1267">
        <v>111.0015932463</v>
      </c>
    </row>
    <row r="1268" spans="2:4">
      <c r="B1268" s="2">
        <v>40238</v>
      </c>
      <c r="C1268" t="s">
        <v>3</v>
      </c>
      <c r="D1268">
        <v>111.2071429712</v>
      </c>
    </row>
    <row r="1269" spans="2:4">
      <c r="B1269" s="2">
        <v>40235</v>
      </c>
      <c r="C1269" t="s">
        <v>3</v>
      </c>
      <c r="D1269">
        <v>111.2152829458</v>
      </c>
    </row>
    <row r="1270" spans="2:4">
      <c r="B1270" s="2">
        <v>40234</v>
      </c>
      <c r="C1270" t="s">
        <v>3</v>
      </c>
      <c r="D1270">
        <v>110.68027526900001</v>
      </c>
    </row>
    <row r="1271" spans="2:4">
      <c r="B1271" s="2">
        <v>40233</v>
      </c>
      <c r="C1271" t="s">
        <v>3</v>
      </c>
      <c r="D1271">
        <v>110.79049293600001</v>
      </c>
    </row>
    <row r="1272" spans="2:4">
      <c r="B1272" s="2">
        <v>40232</v>
      </c>
      <c r="C1272" t="s">
        <v>3</v>
      </c>
      <c r="D1272">
        <v>110.84155737899999</v>
      </c>
    </row>
    <row r="1273" spans="2:4">
      <c r="B1273" s="2">
        <v>40231</v>
      </c>
      <c r="C1273" t="s">
        <v>3</v>
      </c>
      <c r="D1273">
        <v>110.8495402602</v>
      </c>
    </row>
    <row r="1274" spans="2:4">
      <c r="B1274" s="2">
        <v>40228</v>
      </c>
      <c r="C1274" t="s">
        <v>3</v>
      </c>
      <c r="D1274">
        <v>112.4259785313</v>
      </c>
    </row>
    <row r="1275" spans="2:4">
      <c r="B1275" s="2">
        <v>40227</v>
      </c>
      <c r="C1275" t="s">
        <v>3</v>
      </c>
      <c r="D1275">
        <v>113.45891103460001</v>
      </c>
    </row>
    <row r="1276" spans="2:4">
      <c r="B1276" s="2">
        <v>40226</v>
      </c>
      <c r="C1276" t="s">
        <v>3</v>
      </c>
      <c r="D1276">
        <v>113.4440159474</v>
      </c>
    </row>
    <row r="1277" spans="2:4">
      <c r="B1277" s="2">
        <v>40225</v>
      </c>
      <c r="C1277" t="s">
        <v>3</v>
      </c>
      <c r="D1277">
        <v>113.659460784</v>
      </c>
    </row>
    <row r="1278" spans="2:4">
      <c r="B1278" s="2">
        <v>40221</v>
      </c>
      <c r="C1278" t="s">
        <v>3</v>
      </c>
      <c r="D1278">
        <v>114.35858908980001</v>
      </c>
    </row>
    <row r="1279" spans="2:4">
      <c r="B1279" s="2">
        <v>40220</v>
      </c>
      <c r="C1279" t="s">
        <v>3</v>
      </c>
      <c r="D1279">
        <v>116.0790270497</v>
      </c>
    </row>
    <row r="1280" spans="2:4">
      <c r="B1280" s="2">
        <v>40219</v>
      </c>
      <c r="C1280" t="s">
        <v>3</v>
      </c>
      <c r="D1280">
        <v>117.2002526484</v>
      </c>
    </row>
    <row r="1281" spans="2:4">
      <c r="B1281" s="2">
        <v>40218</v>
      </c>
      <c r="C1281" t="s">
        <v>3</v>
      </c>
      <c r="D1281">
        <v>116.63624642560001</v>
      </c>
    </row>
    <row r="1282" spans="2:4">
      <c r="B1282" s="2">
        <v>40217</v>
      </c>
      <c r="C1282" t="s">
        <v>3</v>
      </c>
      <c r="D1282">
        <v>114.79054513680001</v>
      </c>
    </row>
    <row r="1283" spans="2:4">
      <c r="B1283" s="2">
        <v>40214</v>
      </c>
      <c r="C1283" t="s">
        <v>3</v>
      </c>
      <c r="D1283">
        <v>114.72826301089999</v>
      </c>
    </row>
    <row r="1284" spans="2:4">
      <c r="B1284" s="2">
        <v>40213</v>
      </c>
      <c r="C1284" t="s">
        <v>3</v>
      </c>
      <c r="D1284">
        <v>114.821677073</v>
      </c>
    </row>
    <row r="1285" spans="2:4">
      <c r="B1285" s="2">
        <v>40212</v>
      </c>
      <c r="C1285" t="s">
        <v>3</v>
      </c>
      <c r="D1285">
        <v>115.85942083800001</v>
      </c>
    </row>
    <row r="1286" spans="2:4">
      <c r="B1286" s="2">
        <v>40211</v>
      </c>
      <c r="C1286" t="s">
        <v>3</v>
      </c>
      <c r="D1286">
        <v>115.3590511502</v>
      </c>
    </row>
    <row r="1287" spans="2:4">
      <c r="B1287" s="2">
        <v>40210</v>
      </c>
      <c r="C1287" t="s">
        <v>3</v>
      </c>
      <c r="D1287">
        <v>116.479058358</v>
      </c>
    </row>
    <row r="1288" spans="2:4">
      <c r="B1288" s="2">
        <v>40207</v>
      </c>
      <c r="C1288" t="s">
        <v>3</v>
      </c>
      <c r="D1288">
        <v>116.9901918991</v>
      </c>
    </row>
    <row r="1289" spans="2:4">
      <c r="B1289" s="2">
        <v>40206</v>
      </c>
      <c r="C1289" t="s">
        <v>3</v>
      </c>
      <c r="D1289">
        <v>118.0614146481</v>
      </c>
    </row>
    <row r="1290" spans="2:4">
      <c r="B1290" s="2">
        <v>40205</v>
      </c>
      <c r="C1290" t="s">
        <v>3</v>
      </c>
      <c r="D1290">
        <v>118.09045270199999</v>
      </c>
    </row>
    <row r="1291" spans="2:4">
      <c r="B1291" s="2">
        <v>40204</v>
      </c>
      <c r="C1291" t="s">
        <v>3</v>
      </c>
      <c r="D1291">
        <v>118.86147246189999</v>
      </c>
    </row>
    <row r="1292" spans="2:4">
      <c r="B1292" s="2">
        <v>40203</v>
      </c>
      <c r="C1292" t="s">
        <v>3</v>
      </c>
      <c r="D1292">
        <v>120.1803777798</v>
      </c>
    </row>
    <row r="1293" spans="2:4">
      <c r="B1293" s="2">
        <v>40200</v>
      </c>
      <c r="C1293" t="s">
        <v>3</v>
      </c>
      <c r="D1293">
        <v>120.063181344</v>
      </c>
    </row>
    <row r="1294" spans="2:4">
      <c r="B1294" s="2">
        <v>40199</v>
      </c>
      <c r="C1294" t="s">
        <v>3</v>
      </c>
      <c r="D1294">
        <v>119.54594681730001</v>
      </c>
    </row>
    <row r="1295" spans="2:4">
      <c r="B1295" s="2">
        <v>40198</v>
      </c>
      <c r="C1295" t="s">
        <v>3</v>
      </c>
      <c r="D1295">
        <v>119.94231592280001</v>
      </c>
    </row>
    <row r="1296" spans="2:4">
      <c r="B1296" s="2">
        <v>40197</v>
      </c>
      <c r="C1296" t="s">
        <v>3</v>
      </c>
      <c r="D1296">
        <v>120.3615230006</v>
      </c>
    </row>
    <row r="1297" spans="2:4">
      <c r="B1297" s="2">
        <v>40193</v>
      </c>
      <c r="C1297" t="s">
        <v>3</v>
      </c>
      <c r="D1297">
        <v>119.6703302179</v>
      </c>
    </row>
    <row r="1298" spans="2:4">
      <c r="B1298" s="2">
        <v>40192</v>
      </c>
      <c r="C1298" t="s">
        <v>3</v>
      </c>
      <c r="D1298">
        <v>118.94624503679999</v>
      </c>
    </row>
    <row r="1299" spans="2:4">
      <c r="B1299" s="2">
        <v>40191</v>
      </c>
      <c r="C1299" t="s">
        <v>3</v>
      </c>
      <c r="D1299">
        <v>118.6322803477</v>
      </c>
    </row>
    <row r="1300" spans="2:4">
      <c r="B1300" s="2">
        <v>40190</v>
      </c>
      <c r="C1300" t="s">
        <v>3</v>
      </c>
      <c r="D1300">
        <v>116.02544563799999</v>
      </c>
    </row>
    <row r="1301" spans="2:4">
      <c r="B1301" s="2">
        <v>40189</v>
      </c>
      <c r="C1301" t="s">
        <v>3</v>
      </c>
      <c r="D1301">
        <v>116.0791537806</v>
      </c>
    </row>
    <row r="1302" spans="2:4">
      <c r="B1302" s="2">
        <v>40186</v>
      </c>
      <c r="C1302" t="s">
        <v>3</v>
      </c>
      <c r="D1302">
        <v>117.0402490403</v>
      </c>
    </row>
    <row r="1303" spans="2:4">
      <c r="B1303" s="2">
        <v>40185</v>
      </c>
      <c r="C1303" t="s">
        <v>3</v>
      </c>
      <c r="D1303">
        <v>118.1775507055</v>
      </c>
    </row>
    <row r="1304" spans="2:4">
      <c r="B1304" s="2">
        <v>40184</v>
      </c>
      <c r="C1304" t="s">
        <v>3</v>
      </c>
      <c r="D1304">
        <v>118.64390400720001</v>
      </c>
    </row>
    <row r="1305" spans="2:4">
      <c r="B1305" s="2">
        <v>40183</v>
      </c>
      <c r="C1305" t="s">
        <v>3</v>
      </c>
      <c r="D1305">
        <v>117.9490669528</v>
      </c>
    </row>
    <row r="1306" spans="2:4">
      <c r="B1306" s="2">
        <v>40182</v>
      </c>
      <c r="C1306" t="s">
        <v>3</v>
      </c>
      <c r="D1306">
        <v>119.247949464</v>
      </c>
    </row>
    <row r="1307" spans="2:4">
      <c r="B1307" s="2">
        <v>40178</v>
      </c>
      <c r="C1307" t="s">
        <v>3</v>
      </c>
      <c r="D1307">
        <v>119.13101428</v>
      </c>
    </row>
    <row r="1308" spans="2:4">
      <c r="B1308" s="2">
        <v>40177</v>
      </c>
      <c r="C1308" t="s">
        <v>3</v>
      </c>
      <c r="D1308">
        <v>118.53860081640001</v>
      </c>
    </row>
    <row r="1309" spans="2:4">
      <c r="B1309" s="2">
        <v>40176</v>
      </c>
      <c r="C1309" t="s">
        <v>3</v>
      </c>
      <c r="D1309">
        <v>120.77275708720001</v>
      </c>
    </row>
    <row r="1310" spans="2:4">
      <c r="B1310" s="2">
        <v>40175</v>
      </c>
      <c r="C1310" t="s">
        <v>3</v>
      </c>
      <c r="D1310">
        <v>123.2911877376</v>
      </c>
    </row>
    <row r="1311" spans="2:4">
      <c r="B1311" s="2">
        <v>40171</v>
      </c>
      <c r="C1311" t="s">
        <v>3</v>
      </c>
      <c r="D1311">
        <v>123.2063722676</v>
      </c>
    </row>
    <row r="1312" spans="2:4">
      <c r="B1312" s="2">
        <v>40170</v>
      </c>
      <c r="C1312" t="s">
        <v>3</v>
      </c>
      <c r="D1312">
        <v>123.1803473212</v>
      </c>
    </row>
    <row r="1313" spans="2:4">
      <c r="B1313" s="2">
        <v>40169</v>
      </c>
      <c r="C1313" t="s">
        <v>3</v>
      </c>
      <c r="D1313">
        <v>125.65390095959999</v>
      </c>
    </row>
    <row r="1314" spans="2:4">
      <c r="B1314" s="2">
        <v>40168</v>
      </c>
      <c r="C1314" t="s">
        <v>3</v>
      </c>
      <c r="D1314">
        <v>125.6226298365</v>
      </c>
    </row>
    <row r="1315" spans="2:4">
      <c r="B1315" s="2">
        <v>40165</v>
      </c>
      <c r="C1315" t="s">
        <v>3</v>
      </c>
      <c r="D1315">
        <v>123.16340332030001</v>
      </c>
    </row>
    <row r="1316" spans="2:4">
      <c r="B1316" s="2">
        <v>40164</v>
      </c>
      <c r="C1316" t="s">
        <v>3</v>
      </c>
      <c r="D1316">
        <v>123.07378243799999</v>
      </c>
    </row>
    <row r="1317" spans="2:4">
      <c r="B1317" s="2">
        <v>40163</v>
      </c>
      <c r="C1317" t="s">
        <v>3</v>
      </c>
      <c r="D1317">
        <v>123.2682352488</v>
      </c>
    </row>
    <row r="1318" spans="2:4">
      <c r="B1318" s="2">
        <v>40162</v>
      </c>
      <c r="C1318" t="s">
        <v>3</v>
      </c>
      <c r="D1318">
        <v>123.614828215</v>
      </c>
    </row>
    <row r="1319" spans="2:4">
      <c r="B1319" s="2">
        <v>40161</v>
      </c>
      <c r="C1319" t="s">
        <v>3</v>
      </c>
      <c r="D1319">
        <v>120.9000738945</v>
      </c>
    </row>
    <row r="1320" spans="2:4">
      <c r="B1320" s="2">
        <v>40158</v>
      </c>
      <c r="C1320" t="s">
        <v>3</v>
      </c>
      <c r="D1320">
        <v>121.505155617</v>
      </c>
    </row>
    <row r="1321" spans="2:4">
      <c r="B1321" s="2">
        <v>40157</v>
      </c>
      <c r="C1321" t="s">
        <v>3</v>
      </c>
      <c r="D1321">
        <v>120.92999074719999</v>
      </c>
    </row>
    <row r="1322" spans="2:4">
      <c r="B1322" s="2">
        <v>40156</v>
      </c>
      <c r="C1322" t="s">
        <v>3</v>
      </c>
      <c r="D1322">
        <v>120.16652512669999</v>
      </c>
    </row>
    <row r="1323" spans="2:4">
      <c r="B1323" s="2">
        <v>40155</v>
      </c>
      <c r="C1323" t="s">
        <v>3</v>
      </c>
      <c r="D1323">
        <v>119.8502570616</v>
      </c>
    </row>
    <row r="1324" spans="2:4">
      <c r="B1324" s="2">
        <v>40154</v>
      </c>
      <c r="C1324" t="s">
        <v>3</v>
      </c>
      <c r="D1324">
        <v>120.95885199</v>
      </c>
    </row>
    <row r="1325" spans="2:4">
      <c r="B1325" s="2">
        <v>40151</v>
      </c>
      <c r="C1325" t="s">
        <v>3</v>
      </c>
      <c r="D1325">
        <v>123.17792804600001</v>
      </c>
    </row>
    <row r="1326" spans="2:4">
      <c r="B1326" s="2">
        <v>40150</v>
      </c>
      <c r="C1326" t="s">
        <v>3</v>
      </c>
      <c r="D1326">
        <v>122.979983375</v>
      </c>
    </row>
    <row r="1327" spans="2:4">
      <c r="B1327" s="2">
        <v>40149</v>
      </c>
      <c r="C1327" t="s">
        <v>3</v>
      </c>
      <c r="D1327">
        <v>121.4839042263</v>
      </c>
    </row>
    <row r="1328" spans="2:4">
      <c r="B1328" s="2">
        <v>40148</v>
      </c>
      <c r="C1328" t="s">
        <v>3</v>
      </c>
      <c r="D1328">
        <v>120.6013454064</v>
      </c>
    </row>
    <row r="1329" spans="2:4">
      <c r="B1329" s="2">
        <v>40147</v>
      </c>
      <c r="C1329" t="s">
        <v>3</v>
      </c>
      <c r="D1329">
        <v>119.0695924052</v>
      </c>
    </row>
    <row r="1330" spans="2:4">
      <c r="B1330" s="2">
        <v>40144</v>
      </c>
      <c r="C1330" t="s">
        <v>3</v>
      </c>
      <c r="D1330">
        <v>119.06604998260001</v>
      </c>
    </row>
    <row r="1331" spans="2:4">
      <c r="B1331" s="2">
        <v>40142</v>
      </c>
      <c r="C1331" t="s">
        <v>3</v>
      </c>
      <c r="D1331">
        <v>118.31278824419999</v>
      </c>
    </row>
    <row r="1332" spans="2:4">
      <c r="B1332" s="2">
        <v>40141</v>
      </c>
      <c r="C1332" t="s">
        <v>3</v>
      </c>
      <c r="D1332">
        <v>117.9223939905</v>
      </c>
    </row>
    <row r="1333" spans="2:4">
      <c r="B1333" s="2">
        <v>40140</v>
      </c>
      <c r="C1333" t="s">
        <v>3</v>
      </c>
      <c r="D1333">
        <v>118.8331571245</v>
      </c>
    </row>
    <row r="1334" spans="2:4">
      <c r="B1334" s="2">
        <v>40137</v>
      </c>
      <c r="C1334" t="s">
        <v>3</v>
      </c>
      <c r="D1334">
        <v>118.011947625</v>
      </c>
    </row>
    <row r="1335" spans="2:4">
      <c r="B1335" s="2">
        <v>40136</v>
      </c>
      <c r="C1335" t="s">
        <v>3</v>
      </c>
      <c r="D1335">
        <v>117.3627083208</v>
      </c>
    </row>
    <row r="1336" spans="2:4">
      <c r="B1336" s="2">
        <v>40135</v>
      </c>
      <c r="C1336" t="s">
        <v>3</v>
      </c>
      <c r="D1336">
        <v>118.5975572672</v>
      </c>
    </row>
    <row r="1337" spans="2:4">
      <c r="B1337" s="2">
        <v>40134</v>
      </c>
      <c r="C1337" t="s">
        <v>3</v>
      </c>
      <c r="D1337">
        <v>118.5421871865</v>
      </c>
    </row>
    <row r="1338" spans="2:4">
      <c r="B1338" s="2">
        <v>40133</v>
      </c>
      <c r="C1338" t="s">
        <v>3</v>
      </c>
      <c r="D1338">
        <v>118.23949809459999</v>
      </c>
    </row>
    <row r="1339" spans="2:4">
      <c r="B1339" s="2">
        <v>40130</v>
      </c>
      <c r="C1339" t="s">
        <v>3</v>
      </c>
      <c r="D1339">
        <v>119.17068738810001</v>
      </c>
    </row>
    <row r="1340" spans="2:4">
      <c r="B1340" s="2">
        <v>40129</v>
      </c>
      <c r="C1340" t="s">
        <v>3</v>
      </c>
      <c r="D1340">
        <v>118.058298372</v>
      </c>
    </row>
    <row r="1341" spans="2:4">
      <c r="B1341" s="2">
        <v>40127</v>
      </c>
      <c r="C1341" t="s">
        <v>3</v>
      </c>
      <c r="D1341">
        <v>118.699174204</v>
      </c>
    </row>
    <row r="1342" spans="2:4">
      <c r="B1342" s="2">
        <v>40126</v>
      </c>
      <c r="C1342" t="s">
        <v>3</v>
      </c>
      <c r="D1342">
        <v>119.46036285930001</v>
      </c>
    </row>
    <row r="1343" spans="2:4">
      <c r="B1343" s="2">
        <v>40123</v>
      </c>
      <c r="C1343" t="s">
        <v>3</v>
      </c>
      <c r="D1343">
        <v>121.00536002520001</v>
      </c>
    </row>
    <row r="1344" spans="2:4">
      <c r="B1344" s="2">
        <v>40122</v>
      </c>
      <c r="C1344" t="s">
        <v>3</v>
      </c>
      <c r="D1344">
        <v>122.49103227099999</v>
      </c>
    </row>
    <row r="1345" spans="2:4">
      <c r="B1345" s="2">
        <v>40121</v>
      </c>
      <c r="C1345" t="s">
        <v>3</v>
      </c>
      <c r="D1345">
        <v>123.0996577798</v>
      </c>
    </row>
    <row r="1346" spans="2:4">
      <c r="B1346" s="2">
        <v>40120</v>
      </c>
      <c r="C1346" t="s">
        <v>3</v>
      </c>
      <c r="D1346">
        <v>122.121323786</v>
      </c>
    </row>
    <row r="1347" spans="2:4">
      <c r="B1347" s="2">
        <v>40119</v>
      </c>
      <c r="C1347" t="s">
        <v>3</v>
      </c>
      <c r="D1347">
        <v>122.3880628702</v>
      </c>
    </row>
    <row r="1348" spans="2:4">
      <c r="B1348" s="2">
        <v>40116</v>
      </c>
      <c r="C1348" t="s">
        <v>3</v>
      </c>
      <c r="D1348">
        <v>122.4337429312</v>
      </c>
    </row>
    <row r="1349" spans="2:4">
      <c r="B1349" s="2">
        <v>40115</v>
      </c>
      <c r="C1349" t="s">
        <v>3</v>
      </c>
      <c r="D1349">
        <v>123.939489737</v>
      </c>
    </row>
    <row r="1350" spans="2:4">
      <c r="B1350" s="2">
        <v>40114</v>
      </c>
      <c r="C1350" t="s">
        <v>3</v>
      </c>
      <c r="D1350">
        <v>123.0725437344</v>
      </c>
    </row>
    <row r="1351" spans="2:4">
      <c r="B1351" s="2">
        <v>40113</v>
      </c>
      <c r="C1351" t="s">
        <v>3</v>
      </c>
      <c r="D1351">
        <v>123.8680564794</v>
      </c>
    </row>
    <row r="1352" spans="2:4">
      <c r="B1352" s="2">
        <v>40112</v>
      </c>
      <c r="C1352" t="s">
        <v>3</v>
      </c>
      <c r="D1352">
        <v>124.6683114069</v>
      </c>
    </row>
    <row r="1353" spans="2:4">
      <c r="B1353" s="2">
        <v>40109</v>
      </c>
      <c r="C1353" t="s">
        <v>3</v>
      </c>
      <c r="D1353">
        <v>123.75462633959999</v>
      </c>
    </row>
    <row r="1354" spans="2:4">
      <c r="B1354" s="2">
        <v>40108</v>
      </c>
      <c r="C1354" t="s">
        <v>3</v>
      </c>
      <c r="D1354">
        <v>122.28096027300001</v>
      </c>
    </row>
    <row r="1355" spans="2:4">
      <c r="B1355" s="2">
        <v>40107</v>
      </c>
      <c r="C1355" t="s">
        <v>3</v>
      </c>
      <c r="D1355">
        <v>122.2249139379</v>
      </c>
    </row>
    <row r="1356" spans="2:4">
      <c r="B1356" s="2">
        <v>40106</v>
      </c>
      <c r="C1356" t="s">
        <v>3</v>
      </c>
      <c r="D1356">
        <v>120.4565843748</v>
      </c>
    </row>
    <row r="1357" spans="2:4">
      <c r="B1357" s="2">
        <v>40105</v>
      </c>
      <c r="C1357" t="s">
        <v>3</v>
      </c>
      <c r="D1357">
        <v>121.0269241328</v>
      </c>
    </row>
    <row r="1358" spans="2:4">
      <c r="B1358" s="2">
        <v>40102</v>
      </c>
      <c r="C1358" t="s">
        <v>3</v>
      </c>
      <c r="D1358">
        <v>121.0772576871</v>
      </c>
    </row>
    <row r="1359" spans="2:4">
      <c r="B1359" s="2">
        <v>40101</v>
      </c>
      <c r="C1359" t="s">
        <v>3</v>
      </c>
      <c r="D1359">
        <v>122.1341560908</v>
      </c>
    </row>
    <row r="1360" spans="2:4">
      <c r="B1360" s="2">
        <v>40100</v>
      </c>
      <c r="C1360" t="s">
        <v>3</v>
      </c>
      <c r="D1360">
        <v>121.0676896974</v>
      </c>
    </row>
    <row r="1361" spans="2:4">
      <c r="B1361" s="2">
        <v>40099</v>
      </c>
      <c r="C1361" t="s">
        <v>3</v>
      </c>
      <c r="D1361">
        <v>119.31841111040001</v>
      </c>
    </row>
    <row r="1362" spans="2:4">
      <c r="B1362" s="2">
        <v>40095</v>
      </c>
      <c r="C1362" t="s">
        <v>3</v>
      </c>
      <c r="D1362">
        <v>120.86855413550001</v>
      </c>
    </row>
    <row r="1363" spans="2:4">
      <c r="B1363" s="2">
        <v>40094</v>
      </c>
      <c r="C1363" t="s">
        <v>3</v>
      </c>
      <c r="D1363">
        <v>117.0814976285</v>
      </c>
    </row>
    <row r="1364" spans="2:4">
      <c r="B1364" s="2">
        <v>40093</v>
      </c>
      <c r="C1364" t="s">
        <v>3</v>
      </c>
      <c r="D1364">
        <v>117.66200862399999</v>
      </c>
    </row>
    <row r="1365" spans="2:4">
      <c r="B1365" s="2">
        <v>40092</v>
      </c>
      <c r="C1365" t="s">
        <v>3</v>
      </c>
      <c r="D1365">
        <v>118.8992250846</v>
      </c>
    </row>
    <row r="1366" spans="2:4">
      <c r="B1366" s="2">
        <v>40091</v>
      </c>
      <c r="C1366" t="s">
        <v>3</v>
      </c>
      <c r="D1366">
        <v>118.6535179334</v>
      </c>
    </row>
    <row r="1367" spans="2:4">
      <c r="B1367" s="2">
        <v>40088</v>
      </c>
      <c r="C1367" t="s">
        <v>3</v>
      </c>
      <c r="D1367">
        <v>117.650162032</v>
      </c>
    </row>
    <row r="1368" spans="2:4">
      <c r="B1368" s="2">
        <v>40087</v>
      </c>
      <c r="C1368" t="s">
        <v>3</v>
      </c>
      <c r="D1368">
        <v>119.0085104966</v>
      </c>
    </row>
    <row r="1369" spans="2:4">
      <c r="B1369" s="2">
        <v>40086</v>
      </c>
      <c r="C1369" t="s">
        <v>3</v>
      </c>
      <c r="D1369">
        <v>119.1960283854</v>
      </c>
    </row>
    <row r="1370" spans="2:4">
      <c r="B1370" s="2">
        <v>40085</v>
      </c>
      <c r="C1370" t="s">
        <v>3</v>
      </c>
      <c r="D1370">
        <v>118.948509384</v>
      </c>
    </row>
    <row r="1371" spans="2:4">
      <c r="B1371" s="2">
        <v>40084</v>
      </c>
      <c r="C1371" t="s">
        <v>3</v>
      </c>
      <c r="D1371">
        <v>117.6171270752</v>
      </c>
    </row>
    <row r="1372" spans="2:4">
      <c r="B1372" s="2">
        <v>40081</v>
      </c>
      <c r="C1372" t="s">
        <v>3</v>
      </c>
      <c r="D1372">
        <v>118.1021391108</v>
      </c>
    </row>
    <row r="1373" spans="2:4">
      <c r="B1373" s="2">
        <v>40080</v>
      </c>
      <c r="C1373" t="s">
        <v>3</v>
      </c>
      <c r="D1373">
        <v>119.30915443719999</v>
      </c>
    </row>
    <row r="1374" spans="2:4">
      <c r="B1374" s="2">
        <v>40079</v>
      </c>
      <c r="C1374" t="s">
        <v>3</v>
      </c>
      <c r="D1374">
        <v>120.071855304</v>
      </c>
    </row>
    <row r="1375" spans="2:4">
      <c r="B1375" s="2">
        <v>40078</v>
      </c>
      <c r="C1375" t="s">
        <v>3</v>
      </c>
      <c r="D1375">
        <v>122.39351821619999</v>
      </c>
    </row>
    <row r="1376" spans="2:4">
      <c r="B1376" s="2">
        <v>40077</v>
      </c>
      <c r="C1376" t="s">
        <v>3</v>
      </c>
      <c r="D1376">
        <v>122.11296408139999</v>
      </c>
    </row>
    <row r="1377" spans="2:4">
      <c r="B1377" s="2">
        <v>40074</v>
      </c>
      <c r="C1377" t="s">
        <v>3</v>
      </c>
      <c r="D1377">
        <v>123.4398959028</v>
      </c>
    </row>
    <row r="1378" spans="2:4">
      <c r="B1378" s="2">
        <v>40073</v>
      </c>
      <c r="C1378" t="s">
        <v>3</v>
      </c>
      <c r="D1378">
        <v>124.5479812506</v>
      </c>
    </row>
    <row r="1379" spans="2:4">
      <c r="B1379" s="2">
        <v>40072</v>
      </c>
      <c r="C1379" t="s">
        <v>3</v>
      </c>
      <c r="D1379">
        <v>126.2076110496</v>
      </c>
    </row>
    <row r="1380" spans="2:4">
      <c r="B1380" s="2">
        <v>40071</v>
      </c>
      <c r="C1380" t="s">
        <v>3</v>
      </c>
      <c r="D1380">
        <v>125.23750402020001</v>
      </c>
    </row>
    <row r="1381" spans="2:4">
      <c r="B1381" s="2">
        <v>40070</v>
      </c>
      <c r="C1381" t="s">
        <v>3</v>
      </c>
      <c r="D1381">
        <v>123.95362478520001</v>
      </c>
    </row>
    <row r="1382" spans="2:4">
      <c r="B1382" s="2">
        <v>40067</v>
      </c>
      <c r="C1382" t="s">
        <v>3</v>
      </c>
      <c r="D1382">
        <v>123.01717188240001</v>
      </c>
    </row>
    <row r="1383" spans="2:4">
      <c r="B1383" s="2">
        <v>40066</v>
      </c>
      <c r="C1383" t="s">
        <v>3</v>
      </c>
      <c r="D1383">
        <v>122.4534215157</v>
      </c>
    </row>
    <row r="1384" spans="2:4">
      <c r="B1384" s="2">
        <v>40065</v>
      </c>
      <c r="C1384" t="s">
        <v>3</v>
      </c>
      <c r="D1384">
        <v>122.0846710406</v>
      </c>
    </row>
    <row r="1385" spans="2:4">
      <c r="B1385" s="2">
        <v>40064</v>
      </c>
      <c r="C1385" t="s">
        <v>3</v>
      </c>
      <c r="D1385">
        <v>122.998907565</v>
      </c>
    </row>
    <row r="1386" spans="2:4">
      <c r="B1386" s="2">
        <v>40060</v>
      </c>
      <c r="C1386" t="s">
        <v>3</v>
      </c>
      <c r="D1386">
        <v>122.5010360127</v>
      </c>
    </row>
    <row r="1387" spans="2:4">
      <c r="B1387" s="2">
        <v>40059</v>
      </c>
      <c r="C1387" t="s">
        <v>3</v>
      </c>
      <c r="D1387">
        <v>122.8855707167</v>
      </c>
    </row>
    <row r="1388" spans="2:4">
      <c r="B1388" s="2">
        <v>40058</v>
      </c>
      <c r="C1388" t="s">
        <v>3</v>
      </c>
      <c r="D1388">
        <v>122.8906149856</v>
      </c>
    </row>
    <row r="1389" spans="2:4">
      <c r="B1389" s="2">
        <v>40057</v>
      </c>
      <c r="C1389" t="s">
        <v>3</v>
      </c>
      <c r="D1389">
        <v>123.16319729280001</v>
      </c>
    </row>
    <row r="1390" spans="2:4">
      <c r="B1390" s="2">
        <v>40056</v>
      </c>
      <c r="C1390" t="s">
        <v>3</v>
      </c>
      <c r="D1390">
        <v>123.5262562552</v>
      </c>
    </row>
    <row r="1391" spans="2:4">
      <c r="B1391" s="2">
        <v>40053</v>
      </c>
      <c r="C1391" t="s">
        <v>3</v>
      </c>
      <c r="D1391">
        <v>123.4585219832</v>
      </c>
    </row>
    <row r="1392" spans="2:4">
      <c r="B1392" s="2">
        <v>40052</v>
      </c>
      <c r="C1392" t="s">
        <v>3</v>
      </c>
      <c r="D1392">
        <v>122.9074843655</v>
      </c>
    </row>
    <row r="1393" spans="2:4">
      <c r="B1393" s="2">
        <v>40051</v>
      </c>
      <c r="C1393" t="s">
        <v>3</v>
      </c>
      <c r="D1393">
        <v>123.8439142272</v>
      </c>
    </row>
    <row r="1394" spans="2:4">
      <c r="B1394" s="2">
        <v>40050</v>
      </c>
      <c r="C1394" t="s">
        <v>3</v>
      </c>
      <c r="D1394">
        <v>122.2275549456</v>
      </c>
    </row>
    <row r="1395" spans="2:4">
      <c r="B1395" s="2">
        <v>40049</v>
      </c>
      <c r="C1395" t="s">
        <v>3</v>
      </c>
      <c r="D1395">
        <v>123.98562403699999</v>
      </c>
    </row>
    <row r="1396" spans="2:4">
      <c r="B1396" s="2">
        <v>40046</v>
      </c>
      <c r="C1396" t="s">
        <v>3</v>
      </c>
      <c r="D1396">
        <v>125.0202114396</v>
      </c>
    </row>
    <row r="1397" spans="2:4">
      <c r="B1397" s="2">
        <v>40045</v>
      </c>
      <c r="C1397" t="s">
        <v>3</v>
      </c>
      <c r="D1397">
        <v>123.8338044426</v>
      </c>
    </row>
    <row r="1398" spans="2:4">
      <c r="B1398" s="2">
        <v>40044</v>
      </c>
      <c r="C1398" t="s">
        <v>3</v>
      </c>
      <c r="D1398">
        <v>123.2621718648</v>
      </c>
    </row>
    <row r="1399" spans="2:4">
      <c r="B1399" s="2">
        <v>40043</v>
      </c>
      <c r="C1399" t="s">
        <v>3</v>
      </c>
      <c r="D1399">
        <v>122.43390943830001</v>
      </c>
    </row>
    <row r="1400" spans="2:4">
      <c r="B1400" s="2">
        <v>40042</v>
      </c>
      <c r="C1400" t="s">
        <v>3</v>
      </c>
      <c r="D1400">
        <v>122.7199530492</v>
      </c>
    </row>
    <row r="1401" spans="2:4">
      <c r="B1401" s="2">
        <v>40039</v>
      </c>
      <c r="C1401" t="s">
        <v>3</v>
      </c>
      <c r="D1401">
        <v>123.3249432624</v>
      </c>
    </row>
    <row r="1402" spans="2:4">
      <c r="B1402" s="2">
        <v>40038</v>
      </c>
      <c r="C1402" t="s">
        <v>3</v>
      </c>
      <c r="D1402">
        <v>124.3444934347</v>
      </c>
    </row>
    <row r="1403" spans="2:4">
      <c r="B1403" s="2">
        <v>40037</v>
      </c>
      <c r="C1403" t="s">
        <v>3</v>
      </c>
      <c r="D1403">
        <v>125.15806873149999</v>
      </c>
    </row>
    <row r="1404" spans="2:4">
      <c r="B1404" s="2">
        <v>40036</v>
      </c>
      <c r="C1404" t="s">
        <v>3</v>
      </c>
      <c r="D1404">
        <v>125.840837192</v>
      </c>
    </row>
    <row r="1405" spans="2:4">
      <c r="B1405" s="2">
        <v>40035</v>
      </c>
      <c r="C1405" t="s">
        <v>3</v>
      </c>
      <c r="D1405">
        <v>127.0249771566</v>
      </c>
    </row>
    <row r="1406" spans="2:4">
      <c r="B1406" s="2">
        <v>40032</v>
      </c>
      <c r="C1406" t="s">
        <v>3</v>
      </c>
      <c r="D1406">
        <v>127.2588447883</v>
      </c>
    </row>
    <row r="1407" spans="2:4">
      <c r="B1407" s="2">
        <v>40031</v>
      </c>
      <c r="C1407" t="s">
        <v>3</v>
      </c>
      <c r="D1407">
        <v>126.1678339882</v>
      </c>
    </row>
    <row r="1408" spans="2:4">
      <c r="B1408" s="2">
        <v>40030</v>
      </c>
      <c r="C1408" t="s">
        <v>3</v>
      </c>
      <c r="D1408">
        <v>126.6941805659</v>
      </c>
    </row>
    <row r="1409" spans="2:4">
      <c r="B1409" s="2">
        <v>40029</v>
      </c>
      <c r="C1409" t="s">
        <v>3</v>
      </c>
      <c r="D1409">
        <v>124.9571863148</v>
      </c>
    </row>
    <row r="1410" spans="2:4">
      <c r="B1410" s="2">
        <v>40028</v>
      </c>
      <c r="C1410" t="s">
        <v>3</v>
      </c>
      <c r="D1410">
        <v>125.73497357630001</v>
      </c>
    </row>
    <row r="1411" spans="2:4">
      <c r="B1411" s="2">
        <v>40025</v>
      </c>
      <c r="C1411" t="s">
        <v>3</v>
      </c>
      <c r="D1411">
        <v>120.9898289601</v>
      </c>
    </row>
    <row r="1412" spans="2:4">
      <c r="B1412" s="2">
        <v>40024</v>
      </c>
      <c r="C1412" t="s">
        <v>3</v>
      </c>
      <c r="D1412">
        <v>120.4556529595</v>
      </c>
    </row>
    <row r="1413" spans="2:4">
      <c r="B1413" s="2">
        <v>40023</v>
      </c>
      <c r="C1413" t="s">
        <v>3</v>
      </c>
      <c r="D1413">
        <v>120.8442597576</v>
      </c>
    </row>
    <row r="1414" spans="2:4">
      <c r="B1414" s="2">
        <v>40022</v>
      </c>
      <c r="C1414" t="s">
        <v>3</v>
      </c>
      <c r="D1414">
        <v>122.86282752</v>
      </c>
    </row>
    <row r="1415" spans="2:4">
      <c r="B1415" s="2">
        <v>40021</v>
      </c>
      <c r="C1415" t="s">
        <v>3</v>
      </c>
      <c r="D1415">
        <v>126.0375758712</v>
      </c>
    </row>
    <row r="1416" spans="2:4">
      <c r="B1416" s="2">
        <v>40018</v>
      </c>
      <c r="C1416" t="s">
        <v>3</v>
      </c>
      <c r="D1416">
        <v>124.5575469075</v>
      </c>
    </row>
    <row r="1417" spans="2:4">
      <c r="B1417" s="2">
        <v>40017</v>
      </c>
      <c r="C1417" t="s">
        <v>3</v>
      </c>
      <c r="D1417">
        <v>124.2987009232</v>
      </c>
    </row>
    <row r="1418" spans="2:4">
      <c r="B1418" s="2">
        <v>40016</v>
      </c>
      <c r="C1418" t="s">
        <v>3</v>
      </c>
      <c r="D1418">
        <v>122.845029723</v>
      </c>
    </row>
    <row r="1419" spans="2:4">
      <c r="B1419" s="2">
        <v>40015</v>
      </c>
      <c r="C1419" t="s">
        <v>3</v>
      </c>
      <c r="D1419">
        <v>123.917630256</v>
      </c>
    </row>
    <row r="1420" spans="2:4">
      <c r="B1420" s="2">
        <v>40014</v>
      </c>
      <c r="C1420" t="s">
        <v>3</v>
      </c>
      <c r="D1420">
        <v>123.92530339859999</v>
      </c>
    </row>
    <row r="1421" spans="2:4">
      <c r="B1421" s="2">
        <v>40011</v>
      </c>
      <c r="C1421" t="s">
        <v>3</v>
      </c>
      <c r="D1421">
        <v>125.2126400325</v>
      </c>
    </row>
    <row r="1422" spans="2:4">
      <c r="B1422" s="2">
        <v>40010</v>
      </c>
      <c r="C1422" t="s">
        <v>3</v>
      </c>
      <c r="D1422">
        <v>123.7589244672</v>
      </c>
    </row>
    <row r="1423" spans="2:4">
      <c r="B1423" s="2">
        <v>40009</v>
      </c>
      <c r="C1423" t="s">
        <v>3</v>
      </c>
      <c r="D1423">
        <v>125.131242984</v>
      </c>
    </row>
    <row r="1424" spans="2:4">
      <c r="B1424" s="2">
        <v>40008</v>
      </c>
      <c r="C1424" t="s">
        <v>3</v>
      </c>
      <c r="D1424">
        <v>122.2427600816</v>
      </c>
    </row>
    <row r="1425" spans="2:4">
      <c r="B1425" s="2">
        <v>40007</v>
      </c>
      <c r="C1425" t="s">
        <v>3</v>
      </c>
      <c r="D1425">
        <v>120.1194075777</v>
      </c>
    </row>
    <row r="1426" spans="2:4">
      <c r="B1426" s="2">
        <v>40004</v>
      </c>
      <c r="C1426" t="s">
        <v>3</v>
      </c>
      <c r="D1426">
        <v>119.4416951</v>
      </c>
    </row>
    <row r="1427" spans="2:4">
      <c r="B1427" s="2">
        <v>40003</v>
      </c>
      <c r="C1427" t="s">
        <v>3</v>
      </c>
      <c r="D1427">
        <v>119.35956861450001</v>
      </c>
    </row>
    <row r="1428" spans="2:4">
      <c r="B1428" s="2">
        <v>40002</v>
      </c>
      <c r="C1428" t="s">
        <v>3</v>
      </c>
      <c r="D1428">
        <v>118.3760479244</v>
      </c>
    </row>
    <row r="1429" spans="2:4">
      <c r="B1429" s="2">
        <v>40001</v>
      </c>
      <c r="C1429" t="s">
        <v>3</v>
      </c>
      <c r="D1429">
        <v>119.0229648633</v>
      </c>
    </row>
    <row r="1430" spans="2:4">
      <c r="B1430" s="2">
        <v>40000</v>
      </c>
      <c r="C1430" t="s">
        <v>3</v>
      </c>
      <c r="D1430">
        <v>118.657783795</v>
      </c>
    </row>
    <row r="1431" spans="2:4">
      <c r="B1431" s="2">
        <v>39996</v>
      </c>
      <c r="C1431" t="s">
        <v>3</v>
      </c>
      <c r="D1431">
        <v>119.5045756943</v>
      </c>
    </row>
    <row r="1432" spans="2:4">
      <c r="B1432" s="2">
        <v>39995</v>
      </c>
      <c r="C1432" t="s">
        <v>3</v>
      </c>
      <c r="D1432">
        <v>121.57211853930001</v>
      </c>
    </row>
    <row r="1433" spans="2:4">
      <c r="B1433" s="2">
        <v>39994</v>
      </c>
      <c r="C1433" t="s">
        <v>3</v>
      </c>
      <c r="D1433">
        <v>120.8361376026</v>
      </c>
    </row>
    <row r="1434" spans="2:4">
      <c r="B1434" s="2">
        <v>39993</v>
      </c>
      <c r="C1434" t="s">
        <v>3</v>
      </c>
      <c r="D1434">
        <v>120.5883388836</v>
      </c>
    </row>
    <row r="1435" spans="2:4">
      <c r="B1435" s="2">
        <v>39990</v>
      </c>
      <c r="C1435" t="s">
        <v>3</v>
      </c>
      <c r="D1435">
        <v>120.3101574372</v>
      </c>
    </row>
    <row r="1436" spans="2:4">
      <c r="B1436" s="2">
        <v>39989</v>
      </c>
      <c r="C1436" t="s">
        <v>3</v>
      </c>
      <c r="D1436">
        <v>119.7890278604</v>
      </c>
    </row>
    <row r="1437" spans="2:4">
      <c r="B1437" s="2">
        <v>39988</v>
      </c>
      <c r="C1437" t="s">
        <v>3</v>
      </c>
      <c r="D1437">
        <v>118.8947015892</v>
      </c>
    </row>
    <row r="1438" spans="2:4">
      <c r="B1438" s="2">
        <v>39987</v>
      </c>
      <c r="C1438" t="s">
        <v>3</v>
      </c>
      <c r="D1438">
        <v>121.7743292016</v>
      </c>
    </row>
    <row r="1439" spans="2:4">
      <c r="B1439" s="2">
        <v>39986</v>
      </c>
      <c r="C1439" t="s">
        <v>3</v>
      </c>
      <c r="D1439">
        <v>122.2040211117</v>
      </c>
    </row>
    <row r="1440" spans="2:4">
      <c r="B1440" s="2">
        <v>39983</v>
      </c>
      <c r="C1440" t="s">
        <v>3</v>
      </c>
      <c r="D1440">
        <v>122.7185534036</v>
      </c>
    </row>
    <row r="1441" spans="2:4">
      <c r="B1441" s="2">
        <v>39982</v>
      </c>
      <c r="C1441" t="s">
        <v>3</v>
      </c>
      <c r="D1441">
        <v>125.5454003915</v>
      </c>
    </row>
    <row r="1442" spans="2:4">
      <c r="B1442" s="2">
        <v>39981</v>
      </c>
      <c r="C1442" t="s">
        <v>3</v>
      </c>
      <c r="D1442">
        <v>120.4763334424</v>
      </c>
    </row>
    <row r="1443" spans="2:4">
      <c r="B1443" s="2">
        <v>39980</v>
      </c>
      <c r="C1443" t="s">
        <v>3</v>
      </c>
      <c r="D1443">
        <v>120.2236913056</v>
      </c>
    </row>
    <row r="1444" spans="2:4">
      <c r="B1444" s="2">
        <v>39979</v>
      </c>
      <c r="C1444" t="s">
        <v>3</v>
      </c>
      <c r="D1444">
        <v>119.83510842</v>
      </c>
    </row>
    <row r="1445" spans="2:4">
      <c r="B1445" s="2">
        <v>39976</v>
      </c>
      <c r="C1445" t="s">
        <v>3</v>
      </c>
      <c r="D1445">
        <v>122.14984580799999</v>
      </c>
    </row>
    <row r="1446" spans="2:4">
      <c r="B1446" s="2">
        <v>39975</v>
      </c>
      <c r="C1446" t="s">
        <v>3</v>
      </c>
      <c r="D1446">
        <v>124.91365331519999</v>
      </c>
    </row>
    <row r="1447" spans="2:4">
      <c r="B1447" s="2">
        <v>39974</v>
      </c>
      <c r="C1447" t="s">
        <v>3</v>
      </c>
      <c r="D1447">
        <v>126.6635188005</v>
      </c>
    </row>
    <row r="1448" spans="2:4">
      <c r="B1448" s="2">
        <v>39973</v>
      </c>
      <c r="C1448" t="s">
        <v>3</v>
      </c>
      <c r="D1448">
        <v>123.3979115222</v>
      </c>
    </row>
    <row r="1449" spans="2:4">
      <c r="B1449" s="2">
        <v>39972</v>
      </c>
      <c r="C1449" t="s">
        <v>3</v>
      </c>
      <c r="D1449">
        <v>124.10406817320001</v>
      </c>
    </row>
    <row r="1450" spans="2:4">
      <c r="B1450" s="2">
        <v>39969</v>
      </c>
      <c r="C1450" t="s">
        <v>3</v>
      </c>
      <c r="D1450">
        <v>124.1295326389</v>
      </c>
    </row>
    <row r="1451" spans="2:4">
      <c r="B1451" s="2">
        <v>39968</v>
      </c>
      <c r="C1451" t="s">
        <v>3</v>
      </c>
      <c r="D1451">
        <v>121.84500424319999</v>
      </c>
    </row>
    <row r="1452" spans="2:4">
      <c r="B1452" s="2">
        <v>39967</v>
      </c>
      <c r="C1452" t="s">
        <v>3</v>
      </c>
      <c r="D1452">
        <v>115.2321570225</v>
      </c>
    </row>
    <row r="1453" spans="2:4">
      <c r="B1453" s="2">
        <v>39966</v>
      </c>
      <c r="C1453" t="s">
        <v>3</v>
      </c>
      <c r="D1453">
        <v>115.95214658019999</v>
      </c>
    </row>
    <row r="1454" spans="2:4">
      <c r="B1454" s="2">
        <v>39965</v>
      </c>
      <c r="C1454" t="s">
        <v>3</v>
      </c>
      <c r="D1454">
        <v>119.4950457732</v>
      </c>
    </row>
    <row r="1455" spans="2:4">
      <c r="B1455" s="2">
        <v>39962</v>
      </c>
      <c r="C1455" t="s">
        <v>3</v>
      </c>
      <c r="D1455">
        <v>113.3254368918</v>
      </c>
    </row>
    <row r="1456" spans="2:4">
      <c r="B1456" s="2">
        <v>39961</v>
      </c>
      <c r="C1456" t="s">
        <v>3</v>
      </c>
      <c r="D1456">
        <v>118.03383714660001</v>
      </c>
    </row>
    <row r="1457" spans="2:4">
      <c r="B1457" s="2">
        <v>39960</v>
      </c>
      <c r="C1457" t="s">
        <v>3</v>
      </c>
      <c r="D1457">
        <v>122.0741980376</v>
      </c>
    </row>
    <row r="1458" spans="2:4">
      <c r="B1458" s="2">
        <v>39959</v>
      </c>
      <c r="C1458" t="s">
        <v>3</v>
      </c>
      <c r="D1458">
        <v>115.24750118350001</v>
      </c>
    </row>
    <row r="1459" spans="2:4">
      <c r="B1459" s="2">
        <v>39955</v>
      </c>
      <c r="C1459" t="s">
        <v>3</v>
      </c>
      <c r="D1459">
        <v>112.77582960700001</v>
      </c>
    </row>
    <row r="1460" spans="2:4">
      <c r="B1460" s="2">
        <v>39954</v>
      </c>
      <c r="C1460" t="s">
        <v>3</v>
      </c>
      <c r="D1460">
        <v>108.9690724396</v>
      </c>
    </row>
    <row r="1461" spans="2:4">
      <c r="B1461" s="2">
        <v>39953</v>
      </c>
      <c r="C1461" t="s">
        <v>3</v>
      </c>
      <c r="D1461">
        <v>105.9881238042</v>
      </c>
    </row>
    <row r="1462" spans="2:4">
      <c r="B1462" s="2">
        <v>39952</v>
      </c>
      <c r="C1462" t="s">
        <v>3</v>
      </c>
      <c r="D1462">
        <v>105.6263534874</v>
      </c>
    </row>
    <row r="1463" spans="2:4">
      <c r="B1463" s="2">
        <v>39951</v>
      </c>
      <c r="C1463" t="s">
        <v>3</v>
      </c>
      <c r="D1463">
        <v>105.10928572100001</v>
      </c>
    </row>
    <row r="1464" spans="2:4">
      <c r="B1464" s="2">
        <v>39948</v>
      </c>
      <c r="C1464" t="s">
        <v>3</v>
      </c>
      <c r="D1464">
        <v>105.72614693289999</v>
      </c>
    </row>
    <row r="1465" spans="2:4">
      <c r="B1465" s="2">
        <v>39947</v>
      </c>
      <c r="C1465" t="s">
        <v>3</v>
      </c>
      <c r="D1465">
        <v>104.4466235908</v>
      </c>
    </row>
    <row r="1466" spans="2:4">
      <c r="B1466" s="2">
        <v>39946</v>
      </c>
      <c r="C1466" t="s">
        <v>3</v>
      </c>
      <c r="D1466">
        <v>101.59059052640001</v>
      </c>
    </row>
    <row r="1467" spans="2:4">
      <c r="B1467" s="2">
        <v>39945</v>
      </c>
      <c r="C1467" t="s">
        <v>3</v>
      </c>
      <c r="D1467">
        <v>100.2433543625</v>
      </c>
    </row>
    <row r="1468" spans="2:4">
      <c r="B1468" s="2">
        <v>39944</v>
      </c>
      <c r="C1468" t="s">
        <v>3</v>
      </c>
      <c r="D1468">
        <v>100.21226415300001</v>
      </c>
    </row>
    <row r="1469" spans="2:4">
      <c r="B1469" s="2">
        <v>39941</v>
      </c>
      <c r="C1469" t="s">
        <v>3</v>
      </c>
      <c r="D1469">
        <v>101.9974491704</v>
      </c>
    </row>
    <row r="1470" spans="2:4">
      <c r="B1470" s="2">
        <v>39940</v>
      </c>
      <c r="C1470" t="s">
        <v>3</v>
      </c>
      <c r="D1470">
        <v>103.0179219412</v>
      </c>
    </row>
    <row r="1471" spans="2:4">
      <c r="B1471" s="2">
        <v>39939</v>
      </c>
      <c r="C1471" t="s">
        <v>3</v>
      </c>
      <c r="D1471">
        <v>102.1055890084</v>
      </c>
    </row>
    <row r="1472" spans="2:4">
      <c r="B1472" s="2">
        <v>39938</v>
      </c>
      <c r="C1472" t="s">
        <v>3</v>
      </c>
      <c r="D1472">
        <v>102.580776407</v>
      </c>
    </row>
    <row r="1473" spans="2:4">
      <c r="B1473" s="2">
        <v>39937</v>
      </c>
      <c r="C1473" t="s">
        <v>3</v>
      </c>
      <c r="D1473">
        <v>102.30874749500001</v>
      </c>
    </row>
    <row r="1474" spans="2:4">
      <c r="B1474" s="2">
        <v>39934</v>
      </c>
      <c r="C1474" t="s">
        <v>3</v>
      </c>
      <c r="D1474">
        <v>102.33957193259999</v>
      </c>
    </row>
    <row r="1475" spans="2:4">
      <c r="B1475" s="2">
        <v>39933</v>
      </c>
      <c r="C1475" t="s">
        <v>3</v>
      </c>
      <c r="D1475">
        <v>100.389093972</v>
      </c>
    </row>
    <row r="1476" spans="2:4">
      <c r="B1476" s="2">
        <v>39932</v>
      </c>
      <c r="C1476" t="s">
        <v>3</v>
      </c>
      <c r="D1476">
        <v>99.640692942200005</v>
      </c>
    </row>
    <row r="1477" spans="2:4">
      <c r="B1477" s="2">
        <v>39931</v>
      </c>
      <c r="C1477" t="s">
        <v>3</v>
      </c>
      <c r="D1477">
        <v>98.614382272</v>
      </c>
    </row>
    <row r="1478" spans="2:4">
      <c r="B1478" s="2">
        <v>39930</v>
      </c>
      <c r="C1478" t="s">
        <v>3</v>
      </c>
      <c r="D1478">
        <v>100.4566408292</v>
      </c>
    </row>
    <row r="1479" spans="2:4">
      <c r="B1479" s="2">
        <v>39927</v>
      </c>
      <c r="C1479" t="s">
        <v>3</v>
      </c>
      <c r="D1479">
        <v>101.221772625</v>
      </c>
    </row>
    <row r="1480" spans="2:4">
      <c r="B1480" s="2">
        <v>39926</v>
      </c>
      <c r="C1480" t="s">
        <v>3</v>
      </c>
      <c r="D1480">
        <v>99.730122546600001</v>
      </c>
    </row>
    <row r="1481" spans="2:4">
      <c r="B1481" s="2">
        <v>39925</v>
      </c>
      <c r="C1481" t="s">
        <v>3</v>
      </c>
      <c r="D1481">
        <v>99.982508821600007</v>
      </c>
    </row>
    <row r="1482" spans="2:4">
      <c r="B1482" s="2">
        <v>39924</v>
      </c>
      <c r="C1482" t="s">
        <v>3</v>
      </c>
      <c r="D1482">
        <v>98.400674770500004</v>
      </c>
    </row>
    <row r="1483" spans="2:4">
      <c r="B1483" s="2">
        <v>39923</v>
      </c>
      <c r="C1483" t="s">
        <v>3</v>
      </c>
      <c r="D1483">
        <v>98.120503284600005</v>
      </c>
    </row>
    <row r="1484" spans="2:4">
      <c r="B1484" s="2">
        <v>39920</v>
      </c>
      <c r="C1484" t="s">
        <v>3</v>
      </c>
      <c r="D1484">
        <v>98.887913637599993</v>
      </c>
    </row>
    <row r="1485" spans="2:4">
      <c r="B1485" s="2">
        <v>39919</v>
      </c>
      <c r="C1485" t="s">
        <v>3</v>
      </c>
      <c r="D1485">
        <v>95.843368456999997</v>
      </c>
    </row>
    <row r="1486" spans="2:4">
      <c r="B1486" s="2">
        <v>39918</v>
      </c>
      <c r="C1486" t="s">
        <v>3</v>
      </c>
      <c r="D1486">
        <v>94.046646714800005</v>
      </c>
    </row>
    <row r="1487" spans="2:4">
      <c r="B1487" s="2">
        <v>39917</v>
      </c>
      <c r="C1487" t="s">
        <v>3</v>
      </c>
      <c r="D1487">
        <v>93.775972650599996</v>
      </c>
    </row>
    <row r="1488" spans="2:4">
      <c r="B1488" s="2">
        <v>39916</v>
      </c>
      <c r="C1488" t="s">
        <v>3</v>
      </c>
      <c r="D1488">
        <v>95.502253230299999</v>
      </c>
    </row>
    <row r="1489" spans="2:4">
      <c r="B1489" s="2">
        <v>39912</v>
      </c>
      <c r="C1489" t="s">
        <v>3</v>
      </c>
      <c r="D1489">
        <v>96.799722984799999</v>
      </c>
    </row>
    <row r="1490" spans="2:4">
      <c r="B1490" s="2">
        <v>39911</v>
      </c>
      <c r="C1490" t="s">
        <v>3</v>
      </c>
      <c r="D1490">
        <v>96.590635370000001</v>
      </c>
    </row>
    <row r="1491" spans="2:4">
      <c r="B1491" s="2">
        <v>39910</v>
      </c>
      <c r="C1491" t="s">
        <v>3</v>
      </c>
      <c r="D1491">
        <v>97.565111476400006</v>
      </c>
    </row>
    <row r="1492" spans="2:4">
      <c r="B1492" s="2">
        <v>39909</v>
      </c>
      <c r="C1492" t="s">
        <v>3</v>
      </c>
      <c r="D1492">
        <v>100.3915224576</v>
      </c>
    </row>
    <row r="1493" spans="2:4">
      <c r="B1493" s="2">
        <v>39906</v>
      </c>
      <c r="C1493" t="s">
        <v>3</v>
      </c>
      <c r="D1493">
        <v>98.400325061000004</v>
      </c>
    </row>
    <row r="1494" spans="2:4">
      <c r="B1494" s="2">
        <v>39905</v>
      </c>
      <c r="C1494" t="s">
        <v>3</v>
      </c>
      <c r="D1494">
        <v>96.684281482599999</v>
      </c>
    </row>
    <row r="1495" spans="2:4">
      <c r="B1495" s="2">
        <v>39904</v>
      </c>
      <c r="C1495" t="s">
        <v>3</v>
      </c>
      <c r="D1495">
        <v>95.815827034799995</v>
      </c>
    </row>
    <row r="1496" spans="2:4">
      <c r="B1496" s="2">
        <v>39903</v>
      </c>
      <c r="C1496" t="s">
        <v>3</v>
      </c>
      <c r="D1496">
        <v>97.225841589400005</v>
      </c>
    </row>
    <row r="1497" spans="2:4">
      <c r="B1497" s="2">
        <v>39902</v>
      </c>
      <c r="C1497" t="s">
        <v>3</v>
      </c>
      <c r="D1497">
        <v>95.637854777599998</v>
      </c>
    </row>
    <row r="1498" spans="2:4">
      <c r="B1498" s="2">
        <v>39899</v>
      </c>
      <c r="C1498" t="s">
        <v>3</v>
      </c>
      <c r="D1498">
        <v>94.458445880400006</v>
      </c>
    </row>
    <row r="1499" spans="2:4">
      <c r="B1499" s="2">
        <v>39898</v>
      </c>
      <c r="C1499" t="s">
        <v>3</v>
      </c>
      <c r="D1499">
        <v>92.629378526500005</v>
      </c>
    </row>
    <row r="1500" spans="2:4">
      <c r="B1500" s="2">
        <v>39897</v>
      </c>
      <c r="C1500" t="s">
        <v>3</v>
      </c>
      <c r="D1500">
        <v>90.496759963499997</v>
      </c>
    </row>
    <row r="1501" spans="2:4">
      <c r="B1501" s="2">
        <v>39896</v>
      </c>
      <c r="C1501" t="s">
        <v>3</v>
      </c>
      <c r="D1501">
        <v>87.702465979600007</v>
      </c>
    </row>
    <row r="1502" spans="2:4">
      <c r="B1502" s="2">
        <v>39895</v>
      </c>
      <c r="C1502" t="s">
        <v>3</v>
      </c>
      <c r="D1502">
        <v>90.248916156299998</v>
      </c>
    </row>
    <row r="1503" spans="2:4">
      <c r="B1503" s="2">
        <v>39892</v>
      </c>
      <c r="C1503" t="s">
        <v>3</v>
      </c>
      <c r="D1503">
        <v>92.079319924299995</v>
      </c>
    </row>
    <row r="1504" spans="2:4">
      <c r="B1504" s="2">
        <v>39891</v>
      </c>
      <c r="C1504" t="s">
        <v>3</v>
      </c>
      <c r="D1504">
        <v>90.598974722500003</v>
      </c>
    </row>
    <row r="1505" spans="2:4">
      <c r="B1505" s="2">
        <v>39890</v>
      </c>
      <c r="C1505" t="s">
        <v>3</v>
      </c>
      <c r="D1505">
        <v>96.1229674784</v>
      </c>
    </row>
    <row r="1506" spans="2:4">
      <c r="B1506" s="2">
        <v>39889</v>
      </c>
      <c r="C1506" t="s">
        <v>3</v>
      </c>
      <c r="D1506">
        <v>103.6735335211</v>
      </c>
    </row>
    <row r="1507" spans="2:4">
      <c r="B1507" s="2">
        <v>39888</v>
      </c>
      <c r="C1507" t="s">
        <v>3</v>
      </c>
      <c r="D1507">
        <v>105.7762698655</v>
      </c>
    </row>
    <row r="1508" spans="2:4">
      <c r="B1508" s="2">
        <v>39885</v>
      </c>
      <c r="C1508" t="s">
        <v>3</v>
      </c>
      <c r="D1508">
        <v>106.645663138</v>
      </c>
    </row>
    <row r="1509" spans="2:4">
      <c r="B1509" s="2">
        <v>39884</v>
      </c>
      <c r="C1509" t="s">
        <v>3</v>
      </c>
      <c r="D1509">
        <v>109.5397624654</v>
      </c>
    </row>
    <row r="1510" spans="2:4">
      <c r="B1510" s="2">
        <v>39883</v>
      </c>
      <c r="C1510" t="s">
        <v>3</v>
      </c>
      <c r="D1510">
        <v>110.2927536465</v>
      </c>
    </row>
    <row r="1511" spans="2:4">
      <c r="B1511" s="2">
        <v>39882</v>
      </c>
      <c r="C1511" t="s">
        <v>3</v>
      </c>
      <c r="D1511">
        <v>112.0078169504</v>
      </c>
    </row>
    <row r="1512" spans="2:4">
      <c r="B1512" s="2">
        <v>39881</v>
      </c>
      <c r="C1512" t="s">
        <v>3</v>
      </c>
      <c r="D1512">
        <v>113.1892856068</v>
      </c>
    </row>
    <row r="1513" spans="2:4">
      <c r="B1513" s="2">
        <v>39878</v>
      </c>
      <c r="C1513" t="s">
        <v>3</v>
      </c>
      <c r="D1513">
        <v>112.4752948332</v>
      </c>
    </row>
    <row r="1514" spans="2:4">
      <c r="B1514" s="2">
        <v>39877</v>
      </c>
      <c r="C1514" t="s">
        <v>3</v>
      </c>
      <c r="D1514">
        <v>112.939042371</v>
      </c>
    </row>
    <row r="1515" spans="2:4">
      <c r="B1515" s="2">
        <v>39876</v>
      </c>
      <c r="C1515" t="s">
        <v>3</v>
      </c>
      <c r="D1515">
        <v>115.0980122214</v>
      </c>
    </row>
    <row r="1516" spans="2:4">
      <c r="B1516" s="2">
        <v>39875</v>
      </c>
      <c r="C1516" t="s">
        <v>3</v>
      </c>
      <c r="D1516">
        <v>115.3778086116</v>
      </c>
    </row>
    <row r="1517" spans="2:4">
      <c r="B1517" s="2">
        <v>39874</v>
      </c>
      <c r="C1517" t="s">
        <v>3</v>
      </c>
      <c r="D1517">
        <v>115.0954067784</v>
      </c>
    </row>
    <row r="1518" spans="2:4">
      <c r="B1518" s="2">
        <v>39871</v>
      </c>
      <c r="C1518" t="s">
        <v>3</v>
      </c>
      <c r="D1518">
        <v>115.9615294096</v>
      </c>
    </row>
    <row r="1519" spans="2:4">
      <c r="B1519" s="2">
        <v>39870</v>
      </c>
      <c r="C1519" t="s">
        <v>3</v>
      </c>
      <c r="D1519">
        <v>113.64462434159999</v>
      </c>
    </row>
    <row r="1520" spans="2:4">
      <c r="B1520" s="2">
        <v>39869</v>
      </c>
      <c r="C1520" t="s">
        <v>3</v>
      </c>
      <c r="D1520">
        <v>115.4075703072</v>
      </c>
    </row>
    <row r="1521" spans="2:4">
      <c r="B1521" s="2">
        <v>39868</v>
      </c>
      <c r="C1521" t="s">
        <v>3</v>
      </c>
      <c r="D1521">
        <v>110.2968969336</v>
      </c>
    </row>
    <row r="1522" spans="2:4">
      <c r="B1522" s="2">
        <v>39867</v>
      </c>
      <c r="C1522" t="s">
        <v>3</v>
      </c>
      <c r="D1522">
        <v>109.6861156848</v>
      </c>
    </row>
    <row r="1523" spans="2:4">
      <c r="B1523" s="2">
        <v>39864</v>
      </c>
      <c r="C1523" t="s">
        <v>3</v>
      </c>
      <c r="D1523">
        <v>110.46516024</v>
      </c>
    </row>
    <row r="1524" spans="2:4">
      <c r="B1524" s="2">
        <v>39863</v>
      </c>
      <c r="C1524" t="s">
        <v>3</v>
      </c>
      <c r="D1524">
        <v>110.0823516562</v>
      </c>
    </row>
    <row r="1525" spans="2:4">
      <c r="B1525" s="2">
        <v>39862</v>
      </c>
      <c r="C1525" t="s">
        <v>3</v>
      </c>
      <c r="D1525">
        <v>108.877293525</v>
      </c>
    </row>
    <row r="1526" spans="2:4">
      <c r="B1526" s="2">
        <v>39861</v>
      </c>
      <c r="C1526" t="s">
        <v>3</v>
      </c>
      <c r="D1526">
        <v>109.4586750807</v>
      </c>
    </row>
    <row r="1527" spans="2:4">
      <c r="B1527" s="2">
        <v>39857</v>
      </c>
      <c r="C1527" t="s">
        <v>3</v>
      </c>
      <c r="D1527">
        <v>109.795692618</v>
      </c>
    </row>
    <row r="1528" spans="2:4">
      <c r="B1528" s="2">
        <v>39856</v>
      </c>
      <c r="C1528" t="s">
        <v>3</v>
      </c>
      <c r="D1528">
        <v>107.5756547996</v>
      </c>
    </row>
    <row r="1529" spans="2:4">
      <c r="B1529" s="2">
        <v>39855</v>
      </c>
      <c r="C1529" t="s">
        <v>3</v>
      </c>
      <c r="D1529">
        <v>108.3505401402</v>
      </c>
    </row>
    <row r="1530" spans="2:4">
      <c r="B1530" s="2">
        <v>39854</v>
      </c>
      <c r="C1530" t="s">
        <v>3</v>
      </c>
      <c r="D1530">
        <v>114.01205657520001</v>
      </c>
    </row>
    <row r="1531" spans="2:4">
      <c r="B1531" s="2">
        <v>39853</v>
      </c>
      <c r="C1531" t="s">
        <v>3</v>
      </c>
      <c r="D1531">
        <v>114.3249279395</v>
      </c>
    </row>
    <row r="1532" spans="2:4">
      <c r="B1532" s="2">
        <v>39850</v>
      </c>
      <c r="C1532" t="s">
        <v>3</v>
      </c>
      <c r="D1532">
        <v>115.95737525129999</v>
      </c>
    </row>
    <row r="1533" spans="2:4">
      <c r="B1533" s="2">
        <v>39849</v>
      </c>
      <c r="C1533" t="s">
        <v>3</v>
      </c>
      <c r="D1533">
        <v>114.47380577280001</v>
      </c>
    </row>
    <row r="1534" spans="2:4">
      <c r="B1534" s="2">
        <v>39848</v>
      </c>
      <c r="C1534" t="s">
        <v>3</v>
      </c>
      <c r="D1534">
        <v>114.21112211240001</v>
      </c>
    </row>
    <row r="1535" spans="2:4">
      <c r="B1535" s="2">
        <v>39847</v>
      </c>
      <c r="C1535" t="s">
        <v>3</v>
      </c>
      <c r="D1535">
        <v>109.81115130009999</v>
      </c>
    </row>
    <row r="1536" spans="2:4">
      <c r="B1536" s="2">
        <v>39846</v>
      </c>
      <c r="C1536" t="s">
        <v>3</v>
      </c>
      <c r="D1536">
        <v>109.2682274145</v>
      </c>
    </row>
    <row r="1537" spans="2:4">
      <c r="B1537" s="2">
        <v>39843</v>
      </c>
      <c r="C1537" t="s">
        <v>3</v>
      </c>
      <c r="D1537">
        <v>106.7826959038</v>
      </c>
    </row>
    <row r="1538" spans="2:4">
      <c r="B1538" s="2">
        <v>39842</v>
      </c>
      <c r="C1538" t="s">
        <v>3</v>
      </c>
      <c r="D1538">
        <v>105.6716226218</v>
      </c>
    </row>
    <row r="1539" spans="2:4">
      <c r="B1539" s="2">
        <v>39841</v>
      </c>
      <c r="C1539" t="s">
        <v>3</v>
      </c>
      <c r="D1539">
        <v>104.8628719644</v>
      </c>
    </row>
    <row r="1540" spans="2:4">
      <c r="B1540" s="2">
        <v>39840</v>
      </c>
      <c r="C1540" t="s">
        <v>3</v>
      </c>
      <c r="D1540">
        <v>104.8845374073</v>
      </c>
    </row>
    <row r="1541" spans="2:4">
      <c r="B1541" s="2">
        <v>39839</v>
      </c>
      <c r="C1541" t="s">
        <v>3</v>
      </c>
      <c r="D1541">
        <v>105.2505382338</v>
      </c>
    </row>
    <row r="1542" spans="2:4">
      <c r="B1542" s="2">
        <v>39836</v>
      </c>
      <c r="C1542" t="s">
        <v>3</v>
      </c>
      <c r="D1542">
        <v>101.9616751504</v>
      </c>
    </row>
    <row r="1543" spans="2:4">
      <c r="B1543" s="2">
        <v>39835</v>
      </c>
      <c r="C1543" t="s">
        <v>3</v>
      </c>
      <c r="D1543">
        <v>99.904706868800005</v>
      </c>
    </row>
    <row r="1544" spans="2:4">
      <c r="B1544" s="2">
        <v>39834</v>
      </c>
      <c r="C1544" t="s">
        <v>3</v>
      </c>
      <c r="D1544">
        <v>98.495974398399994</v>
      </c>
    </row>
    <row r="1545" spans="2:4">
      <c r="B1545" s="2">
        <v>39833</v>
      </c>
      <c r="C1545" t="s">
        <v>3</v>
      </c>
      <c r="D1545">
        <v>97.624515168499997</v>
      </c>
    </row>
    <row r="1546" spans="2:4">
      <c r="B1546" s="2">
        <v>39829</v>
      </c>
      <c r="C1546" t="s">
        <v>3</v>
      </c>
      <c r="D1546">
        <v>96.427005828099993</v>
      </c>
    </row>
    <row r="1547" spans="2:4">
      <c r="B1547" s="2">
        <v>39828</v>
      </c>
      <c r="C1547" t="s">
        <v>3</v>
      </c>
      <c r="D1547">
        <v>96.621667265200003</v>
      </c>
    </row>
    <row r="1548" spans="2:4">
      <c r="B1548" s="2">
        <v>39827</v>
      </c>
      <c r="C1548" t="s">
        <v>3</v>
      </c>
      <c r="D1548">
        <v>93.708962070499993</v>
      </c>
    </row>
    <row r="1549" spans="2:4">
      <c r="B1549" s="2">
        <v>39826</v>
      </c>
      <c r="C1549" t="s">
        <v>3</v>
      </c>
      <c r="D1549">
        <v>92.105500466400002</v>
      </c>
    </row>
    <row r="1550" spans="2:4">
      <c r="B1550" s="2">
        <v>39825</v>
      </c>
      <c r="C1550" t="s">
        <v>3</v>
      </c>
      <c r="D1550">
        <v>93.125919480799993</v>
      </c>
    </row>
    <row r="1551" spans="2:4">
      <c r="B1551" s="2">
        <v>39822</v>
      </c>
      <c r="C1551" t="s">
        <v>3</v>
      </c>
      <c r="D1551">
        <v>93.016886545600002</v>
      </c>
    </row>
    <row r="1552" spans="2:4">
      <c r="B1552" s="2">
        <v>39821</v>
      </c>
      <c r="C1552" t="s">
        <v>3</v>
      </c>
      <c r="D1552">
        <v>93.920087810599995</v>
      </c>
    </row>
    <row r="1553" spans="2:4">
      <c r="B1553" s="2">
        <v>39820</v>
      </c>
      <c r="C1553" t="s">
        <v>3</v>
      </c>
      <c r="D1553">
        <v>95.406903361600001</v>
      </c>
    </row>
    <row r="1554" spans="2:4">
      <c r="B1554" s="2">
        <v>39819</v>
      </c>
      <c r="C1554" t="s">
        <v>3</v>
      </c>
      <c r="D1554">
        <v>97.3844441472</v>
      </c>
    </row>
    <row r="1555" spans="2:4">
      <c r="B1555" s="2">
        <v>39818</v>
      </c>
      <c r="C1555" t="s">
        <v>3</v>
      </c>
      <c r="D1555">
        <v>98.324709438400006</v>
      </c>
    </row>
    <row r="1556" spans="2:4">
      <c r="B1556" s="2">
        <v>39815</v>
      </c>
      <c r="C1556" t="s">
        <v>3</v>
      </c>
      <c r="D1556">
        <v>99.605664008999995</v>
      </c>
    </row>
    <row r="1557" spans="2:4">
      <c r="B1557" s="2">
        <v>39813</v>
      </c>
      <c r="C1557" t="s">
        <v>3</v>
      </c>
      <c r="D1557">
        <v>100.184300685</v>
      </c>
    </row>
    <row r="1558" spans="2:4">
      <c r="B1558" s="2">
        <v>39812</v>
      </c>
      <c r="C1558" t="s">
        <v>3</v>
      </c>
      <c r="D1558">
        <v>100.33394087879999</v>
      </c>
    </row>
    <row r="1559" spans="2:4">
      <c r="B1559" s="2">
        <v>39811</v>
      </c>
      <c r="C1559" t="s">
        <v>3</v>
      </c>
      <c r="D1559">
        <v>99.9556156907</v>
      </c>
    </row>
    <row r="1560" spans="2:4">
      <c r="B1560" s="2">
        <v>39808</v>
      </c>
      <c r="C1560" t="s">
        <v>3</v>
      </c>
      <c r="D1560">
        <v>100.337439285</v>
      </c>
    </row>
    <row r="1561" spans="2:4">
      <c r="B1561" s="2">
        <v>39806</v>
      </c>
      <c r="C1561" t="s">
        <v>3</v>
      </c>
      <c r="D1561">
        <v>99.996611635199997</v>
      </c>
    </row>
    <row r="1562" spans="2:4">
      <c r="B1562" s="2">
        <v>39805</v>
      </c>
      <c r="C1562" t="s">
        <v>3</v>
      </c>
      <c r="D1562">
        <v>100.0168260344</v>
      </c>
    </row>
    <row r="1563" spans="2:4">
      <c r="B1563" s="2">
        <v>39804</v>
      </c>
      <c r="C1563" t="s">
        <v>3</v>
      </c>
      <c r="D1563">
        <v>99.884146026400003</v>
      </c>
    </row>
    <row r="1564" spans="2:4">
      <c r="B1564" s="2">
        <v>39801</v>
      </c>
      <c r="C1564" t="s">
        <v>3</v>
      </c>
      <c r="D1564">
        <v>99.339849395900004</v>
      </c>
    </row>
    <row r="1565" spans="2:4">
      <c r="B1565" s="2">
        <v>39800</v>
      </c>
      <c r="C1565" t="s">
        <v>3</v>
      </c>
      <c r="D1565">
        <v>99.539473049600005</v>
      </c>
    </row>
    <row r="1566" spans="2:4">
      <c r="B1566" s="2">
        <v>39799</v>
      </c>
      <c r="C1566" t="s">
        <v>3</v>
      </c>
      <c r="D1566">
        <v>97.529526876899993</v>
      </c>
    </row>
    <row r="1567" spans="2:4">
      <c r="B1567" s="2">
        <v>39798</v>
      </c>
      <c r="C1567" t="s">
        <v>3</v>
      </c>
      <c r="D1567">
        <v>105.3128230615</v>
      </c>
    </row>
    <row r="1568" spans="2:4">
      <c r="B1568" s="2">
        <v>39797</v>
      </c>
      <c r="C1568" t="s">
        <v>3</v>
      </c>
      <c r="D1568">
        <v>115.5752680698</v>
      </c>
    </row>
    <row r="1569" spans="2:4">
      <c r="B1569" s="2">
        <v>39794</v>
      </c>
      <c r="C1569" t="s">
        <v>3</v>
      </c>
      <c r="D1569">
        <v>118.7350898473</v>
      </c>
    </row>
    <row r="1570" spans="2:4">
      <c r="B1570" s="2">
        <v>39793</v>
      </c>
      <c r="C1570" t="s">
        <v>3</v>
      </c>
      <c r="D1570">
        <v>119.0720093712</v>
      </c>
    </row>
    <row r="1571" spans="2:4">
      <c r="B1571" s="2">
        <v>39792</v>
      </c>
      <c r="C1571" t="s">
        <v>3</v>
      </c>
      <c r="D1571">
        <v>117.6889243656</v>
      </c>
    </row>
    <row r="1572" spans="2:4">
      <c r="B1572" s="2">
        <v>39791</v>
      </c>
      <c r="C1572" t="s">
        <v>3</v>
      </c>
      <c r="D1572">
        <v>116.4206161595</v>
      </c>
    </row>
    <row r="1573" spans="2:4">
      <c r="B1573" s="2">
        <v>39790</v>
      </c>
      <c r="C1573" t="s">
        <v>3</v>
      </c>
      <c r="D1573">
        <v>115.9737163935</v>
      </c>
    </row>
    <row r="1574" spans="2:4">
      <c r="B1574" s="2">
        <v>39787</v>
      </c>
      <c r="C1574" t="s">
        <v>3</v>
      </c>
      <c r="D1574">
        <v>116.8483175205</v>
      </c>
    </row>
    <row r="1575" spans="2:4">
      <c r="B1575" s="2">
        <v>39786</v>
      </c>
      <c r="C1575" t="s">
        <v>3</v>
      </c>
      <c r="D1575">
        <v>114.49727093760001</v>
      </c>
    </row>
    <row r="1576" spans="2:4">
      <c r="B1576" s="2">
        <v>39785</v>
      </c>
      <c r="C1576" t="s">
        <v>3</v>
      </c>
      <c r="D1576">
        <v>112.13886076599999</v>
      </c>
    </row>
    <row r="1577" spans="2:4">
      <c r="B1577" s="2">
        <v>39784</v>
      </c>
      <c r="C1577" t="s">
        <v>3</v>
      </c>
      <c r="D1577">
        <v>114.0849281162</v>
      </c>
    </row>
    <row r="1578" spans="2:4">
      <c r="B1578" s="2">
        <v>39783</v>
      </c>
      <c r="C1578" t="s">
        <v>3</v>
      </c>
      <c r="D1578">
        <v>121.339259629</v>
      </c>
    </row>
    <row r="1579" spans="2:4">
      <c r="B1579" s="2">
        <v>39780</v>
      </c>
      <c r="C1579" t="s">
        <v>3</v>
      </c>
      <c r="D1579">
        <v>124.7666643888</v>
      </c>
    </row>
    <row r="1580" spans="2:4">
      <c r="B1580" s="2">
        <v>39778</v>
      </c>
      <c r="C1580" t="s">
        <v>3</v>
      </c>
      <c r="D1580">
        <v>123.7924027494</v>
      </c>
    </row>
    <row r="1581" spans="2:4">
      <c r="B1581" s="2">
        <v>39777</v>
      </c>
      <c r="C1581" t="s">
        <v>3</v>
      </c>
      <c r="D1581">
        <v>123.3709167936</v>
      </c>
    </row>
    <row r="1582" spans="2:4">
      <c r="B1582" s="2">
        <v>39776</v>
      </c>
      <c r="C1582" t="s">
        <v>3</v>
      </c>
      <c r="D1582">
        <v>123.1480568297</v>
      </c>
    </row>
    <row r="1583" spans="2:4">
      <c r="B1583" s="2">
        <v>39773</v>
      </c>
      <c r="C1583" t="s">
        <v>3</v>
      </c>
      <c r="D1583">
        <v>134.26533294719999</v>
      </c>
    </row>
    <row r="1584" spans="2:4">
      <c r="B1584" s="2">
        <v>39772</v>
      </c>
      <c r="C1584" t="s">
        <v>3</v>
      </c>
      <c r="D1584">
        <v>141.29406416699999</v>
      </c>
    </row>
    <row r="1585" spans="2:4">
      <c r="B1585" s="2">
        <v>39771</v>
      </c>
      <c r="C1585" t="s">
        <v>3</v>
      </c>
      <c r="D1585">
        <v>135.51939577440001</v>
      </c>
    </row>
    <row r="1586" spans="2:4">
      <c r="B1586" s="2">
        <v>39770</v>
      </c>
      <c r="C1586" t="s">
        <v>3</v>
      </c>
      <c r="D1586">
        <v>127.5415376088</v>
      </c>
    </row>
    <row r="1587" spans="2:4">
      <c r="B1587" s="2">
        <v>39769</v>
      </c>
      <c r="C1587" t="s">
        <v>3</v>
      </c>
      <c r="D1587">
        <v>122.3686689</v>
      </c>
    </row>
    <row r="1588" spans="2:4">
      <c r="B1588" s="2">
        <v>39766</v>
      </c>
      <c r="C1588" t="s">
        <v>3</v>
      </c>
      <c r="D1588">
        <v>119.8254536</v>
      </c>
    </row>
    <row r="1589" spans="2:4">
      <c r="B1589" s="2">
        <v>39765</v>
      </c>
      <c r="C1589" t="s">
        <v>3</v>
      </c>
      <c r="D1589">
        <v>115.11292</v>
      </c>
    </row>
    <row r="1590" spans="2:4">
      <c r="B1590" s="2">
        <v>39764</v>
      </c>
      <c r="C1590" t="s">
        <v>3</v>
      </c>
      <c r="D1590">
        <v>113.34618620000001</v>
      </c>
    </row>
    <row r="1591" spans="2:4">
      <c r="B1591" s="2">
        <v>39762</v>
      </c>
      <c r="C1591" t="s">
        <v>3</v>
      </c>
      <c r="D1591">
        <v>113.9592428</v>
      </c>
    </row>
    <row r="1592" spans="2:4">
      <c r="B1592" s="2">
        <v>39759</v>
      </c>
      <c r="C1592" t="s">
        <v>3</v>
      </c>
      <c r="D1592">
        <v>112.9404744</v>
      </c>
    </row>
    <row r="1593" spans="2:4">
      <c r="B1593" s="2">
        <v>39758</v>
      </c>
      <c r="C1593" t="s">
        <v>3</v>
      </c>
      <c r="D1593">
        <v>111.5139525</v>
      </c>
    </row>
    <row r="1594" spans="2:4">
      <c r="B1594" s="2">
        <v>39757</v>
      </c>
      <c r="C1594" t="s">
        <v>3</v>
      </c>
      <c r="D1594">
        <v>110.73039660000001</v>
      </c>
    </row>
    <row r="1595" spans="2:4">
      <c r="B1595" s="2">
        <v>39756</v>
      </c>
      <c r="C1595" t="s">
        <v>3</v>
      </c>
      <c r="D1595">
        <v>108.1442634</v>
      </c>
    </row>
    <row r="1596" spans="2:4">
      <c r="B1596" s="2">
        <v>39755</v>
      </c>
      <c r="C1596" t="s">
        <v>3</v>
      </c>
      <c r="D1596">
        <v>108.6472988</v>
      </c>
    </row>
    <row r="1597" spans="2:4">
      <c r="B1597" s="2">
        <v>39752</v>
      </c>
      <c r="C1597" t="s">
        <v>3</v>
      </c>
      <c r="D1597">
        <v>108.53714340000001</v>
      </c>
    </row>
    <row r="1598" spans="2:4">
      <c r="B1598" s="2">
        <v>39751</v>
      </c>
      <c r="C1598" t="s">
        <v>3</v>
      </c>
      <c r="D1598">
        <v>108.0292796</v>
      </c>
    </row>
    <row r="1599" spans="2:4">
      <c r="B1599" s="2">
        <v>39750</v>
      </c>
      <c r="C1599" t="s">
        <v>3</v>
      </c>
      <c r="D1599">
        <v>110.1389606</v>
      </c>
    </row>
    <row r="1600" spans="2:4">
      <c r="B1600" s="2">
        <v>39749</v>
      </c>
      <c r="C1600" t="s">
        <v>3</v>
      </c>
      <c r="D1600">
        <v>114.142819</v>
      </c>
    </row>
    <row r="1601" spans="2:4">
      <c r="B1601" s="2">
        <v>39748</v>
      </c>
      <c r="C1601" t="s">
        <v>3</v>
      </c>
      <c r="D1601">
        <v>115.6778408</v>
      </c>
    </row>
    <row r="1602" spans="2:4">
      <c r="B1602" s="2">
        <v>39745</v>
      </c>
      <c r="C1602" t="s">
        <v>3</v>
      </c>
      <c r="D1602">
        <v>116.1031522</v>
      </c>
    </row>
    <row r="1603" spans="2:4">
      <c r="B1603" s="2">
        <v>39744</v>
      </c>
      <c r="C1603" t="s">
        <v>3</v>
      </c>
      <c r="D1603">
        <v>116.45148330000001</v>
      </c>
    </row>
    <row r="1604" spans="2:4">
      <c r="B1604" s="2">
        <v>39743</v>
      </c>
      <c r="C1604" t="s">
        <v>3</v>
      </c>
      <c r="D1604">
        <v>110.58038209999999</v>
      </c>
    </row>
    <row r="1605" spans="2:4">
      <c r="B1605" s="2">
        <v>39742</v>
      </c>
      <c r="C1605" t="s">
        <v>3</v>
      </c>
      <c r="D1605">
        <v>109.8014379</v>
      </c>
    </row>
    <row r="1606" spans="2:4">
      <c r="B1606" s="2">
        <v>39741</v>
      </c>
      <c r="C1606" t="s">
        <v>3</v>
      </c>
      <c r="D1606">
        <v>110.3969783</v>
      </c>
    </row>
    <row r="1607" spans="2:4">
      <c r="B1607" s="2">
        <v>39738</v>
      </c>
      <c r="C1607" t="s">
        <v>3</v>
      </c>
      <c r="D1607">
        <v>113.7531486</v>
      </c>
    </row>
    <row r="1608" spans="2:4">
      <c r="B1608" s="2">
        <v>39737</v>
      </c>
      <c r="C1608" t="s">
        <v>3</v>
      </c>
      <c r="D1608">
        <v>116.9884788</v>
      </c>
    </row>
    <row r="1609" spans="2:4">
      <c r="B1609" s="2">
        <v>39736</v>
      </c>
      <c r="C1609" t="s">
        <v>3</v>
      </c>
      <c r="D1609">
        <v>115.825836</v>
      </c>
    </row>
    <row r="1610" spans="2:4">
      <c r="B1610" s="2">
        <v>39735</v>
      </c>
      <c r="C1610" t="s">
        <v>3</v>
      </c>
      <c r="D1610">
        <v>126.2970033</v>
      </c>
    </row>
    <row r="1611" spans="2:4">
      <c r="B1611" s="2">
        <v>39731</v>
      </c>
      <c r="C1611" t="s">
        <v>3</v>
      </c>
      <c r="D1611">
        <v>126.2862916</v>
      </c>
    </row>
    <row r="1612" spans="2:4">
      <c r="B1612" s="2">
        <v>39730</v>
      </c>
      <c r="C1612" t="s">
        <v>3</v>
      </c>
      <c r="D1612">
        <v>117.3535488</v>
      </c>
    </row>
    <row r="1613" spans="2:4">
      <c r="B1613" s="2">
        <v>39729</v>
      </c>
      <c r="C1613" t="s">
        <v>3</v>
      </c>
      <c r="D1613">
        <v>111.3307073</v>
      </c>
    </row>
    <row r="1614" spans="2:4">
      <c r="B1614" s="2">
        <v>39728</v>
      </c>
      <c r="C1614" t="s">
        <v>3</v>
      </c>
      <c r="D1614">
        <v>112.5854124</v>
      </c>
    </row>
    <row r="1615" spans="2:4">
      <c r="B1615" s="2">
        <v>39727</v>
      </c>
      <c r="C1615" t="s">
        <v>3</v>
      </c>
      <c r="D1615">
        <v>106.62153840000001</v>
      </c>
    </row>
    <row r="1616" spans="2:4">
      <c r="B1616" s="2">
        <v>39724</v>
      </c>
      <c r="C1616" t="s">
        <v>3</v>
      </c>
      <c r="D1616">
        <v>106.133144</v>
      </c>
    </row>
    <row r="1617" spans="2:4">
      <c r="B1617" s="2">
        <v>39723</v>
      </c>
      <c r="C1617" t="s">
        <v>3</v>
      </c>
      <c r="D1617">
        <v>106.13417440000001</v>
      </c>
    </row>
    <row r="1618" spans="2:4">
      <c r="B1618" s="2">
        <v>39722</v>
      </c>
      <c r="C1618" t="s">
        <v>3</v>
      </c>
      <c r="D1618">
        <v>105.423027</v>
      </c>
    </row>
    <row r="1619" spans="2:4">
      <c r="B1619" s="2">
        <v>39721</v>
      </c>
      <c r="C1619" t="s">
        <v>3</v>
      </c>
      <c r="D1619">
        <v>105.4217115</v>
      </c>
    </row>
    <row r="1620" spans="2:4">
      <c r="B1620" s="2">
        <v>39720</v>
      </c>
      <c r="C1620" t="s">
        <v>3</v>
      </c>
      <c r="D1620">
        <v>104.9885508</v>
      </c>
    </row>
    <row r="1621" spans="2:4">
      <c r="B1621" s="2">
        <v>39717</v>
      </c>
      <c r="C1621" t="s">
        <v>3</v>
      </c>
      <c r="D1621">
        <v>100.3414751</v>
      </c>
    </row>
    <row r="1622" spans="2:4">
      <c r="B1622" s="2">
        <v>39716</v>
      </c>
      <c r="C1622" t="s">
        <v>3</v>
      </c>
      <c r="D1622">
        <v>100.943808</v>
      </c>
    </row>
    <row r="1623" spans="2:4">
      <c r="B1623" s="2">
        <v>39715</v>
      </c>
      <c r="C1623" t="s">
        <v>3</v>
      </c>
      <c r="D1623">
        <v>100.4897022</v>
      </c>
    </row>
    <row r="1624" spans="2:4">
      <c r="B1624" s="2">
        <v>39714</v>
      </c>
      <c r="C1624" t="s">
        <v>3</v>
      </c>
      <c r="D1624">
        <v>96.668481799999995</v>
      </c>
    </row>
    <row r="1625" spans="2:4">
      <c r="B1625" s="2">
        <v>39713</v>
      </c>
      <c r="C1625" t="s">
        <v>3</v>
      </c>
      <c r="D1625">
        <v>96.675481000000005</v>
      </c>
    </row>
    <row r="1626" spans="2:4">
      <c r="B1626" s="2">
        <v>39710</v>
      </c>
      <c r="C1626" t="s">
        <v>3</v>
      </c>
      <c r="D1626">
        <v>98.914867200000003</v>
      </c>
    </row>
    <row r="1627" spans="2:4">
      <c r="B1627" s="2">
        <v>39709</v>
      </c>
      <c r="C1627" t="s">
        <v>3</v>
      </c>
      <c r="D1627">
        <v>102.802509</v>
      </c>
    </row>
    <row r="1628" spans="2:4">
      <c r="B1628" s="2">
        <v>39708</v>
      </c>
      <c r="C1628" t="s">
        <v>3</v>
      </c>
      <c r="D1628">
        <v>103.1989992</v>
      </c>
    </row>
    <row r="1629" spans="2:4">
      <c r="B1629" s="2">
        <v>39707</v>
      </c>
      <c r="C1629" t="s">
        <v>3</v>
      </c>
      <c r="D1629">
        <v>103.494096</v>
      </c>
    </row>
    <row r="1630" spans="2:4">
      <c r="B1630" s="2">
        <v>39706</v>
      </c>
      <c r="C1630" t="s">
        <v>3</v>
      </c>
      <c r="D1630">
        <v>98.572603200000003</v>
      </c>
    </row>
    <row r="1631" spans="2:4">
      <c r="B1631" s="2">
        <v>39703</v>
      </c>
      <c r="C1631" t="s">
        <v>3</v>
      </c>
      <c r="D1631">
        <v>94.401003000000003</v>
      </c>
    </row>
    <row r="1632" spans="2:4">
      <c r="B1632" s="2">
        <v>39702</v>
      </c>
      <c r="C1632" t="s">
        <v>3</v>
      </c>
      <c r="D1632">
        <v>94.588812000000004</v>
      </c>
    </row>
    <row r="1633" spans="2:4">
      <c r="B1633" s="2">
        <v>39701</v>
      </c>
      <c r="C1633" t="s">
        <v>3</v>
      </c>
      <c r="D1633">
        <v>94.818743600000005</v>
      </c>
    </row>
    <row r="1634" spans="2:4">
      <c r="B1634" s="2">
        <v>39700</v>
      </c>
      <c r="C1634" t="s">
        <v>3</v>
      </c>
      <c r="D1634">
        <v>94.819554199999999</v>
      </c>
    </row>
    <row r="1635" spans="2:4">
      <c r="B1635" s="2">
        <v>39699</v>
      </c>
      <c r="C1635" t="s">
        <v>3</v>
      </c>
      <c r="D1635">
        <v>94.254515999999995</v>
      </c>
    </row>
    <row r="1636" spans="2:4">
      <c r="B1636" s="2">
        <v>39696</v>
      </c>
      <c r="C1636" t="s">
        <v>3</v>
      </c>
      <c r="D1636">
        <v>95.727980700000003</v>
      </c>
    </row>
    <row r="1637" spans="2:4">
      <c r="B1637" s="2">
        <v>39695</v>
      </c>
      <c r="C1637" t="s">
        <v>3</v>
      </c>
      <c r="D1637">
        <v>96.4015749</v>
      </c>
    </row>
    <row r="1638" spans="2:4">
      <c r="B1638" s="2">
        <v>39694</v>
      </c>
      <c r="C1638" t="s">
        <v>3</v>
      </c>
      <c r="D1638">
        <v>95.011660800000001</v>
      </c>
    </row>
    <row r="1639" spans="2:4">
      <c r="B1639" s="2">
        <v>39693</v>
      </c>
      <c r="C1639" t="s">
        <v>3</v>
      </c>
      <c r="D1639">
        <v>94.514638399999995</v>
      </c>
    </row>
    <row r="1640" spans="2:4">
      <c r="B1640" s="2">
        <v>39689</v>
      </c>
      <c r="C1640" t="s">
        <v>3</v>
      </c>
      <c r="D1640">
        <v>94.383142000000007</v>
      </c>
    </row>
    <row r="1641" spans="2:4">
      <c r="B1641" s="2">
        <v>39688</v>
      </c>
      <c r="C1641" t="s">
        <v>3</v>
      </c>
      <c r="D1641">
        <v>94.424495699999994</v>
      </c>
    </row>
    <row r="1642" spans="2:4">
      <c r="B1642" s="2">
        <v>39687</v>
      </c>
      <c r="C1642" t="s">
        <v>3</v>
      </c>
      <c r="D1642">
        <v>94.289629000000005</v>
      </c>
    </row>
    <row r="1643" spans="2:4">
      <c r="B1643" s="2">
        <v>39686</v>
      </c>
      <c r="C1643" t="s">
        <v>3</v>
      </c>
      <c r="D1643">
        <v>94.878877200000005</v>
      </c>
    </row>
    <row r="1644" spans="2:4">
      <c r="B1644" s="2">
        <v>39685</v>
      </c>
      <c r="C1644" t="s">
        <v>3</v>
      </c>
      <c r="D1644">
        <v>95.197708500000005</v>
      </c>
    </row>
    <row r="1645" spans="2:4">
      <c r="B1645" s="2">
        <v>39682</v>
      </c>
      <c r="C1645" t="s">
        <v>3</v>
      </c>
      <c r="D1645">
        <v>94.724109900000002</v>
      </c>
    </row>
    <row r="1646" spans="2:4">
      <c r="B1646" s="2">
        <v>39681</v>
      </c>
      <c r="C1646" t="s">
        <v>3</v>
      </c>
      <c r="D1646">
        <v>95.424266399999993</v>
      </c>
    </row>
    <row r="1647" spans="2:4">
      <c r="B1647" s="2">
        <v>39680</v>
      </c>
      <c r="C1647" t="s">
        <v>3</v>
      </c>
      <c r="D1647">
        <v>94.660137899999995</v>
      </c>
    </row>
    <row r="1648" spans="2:4">
      <c r="B1648" s="2">
        <v>39679</v>
      </c>
      <c r="C1648" t="s">
        <v>3</v>
      </c>
      <c r="D1648">
        <v>92.897948</v>
      </c>
    </row>
    <row r="1649" spans="2:4">
      <c r="B1649" s="2">
        <v>39678</v>
      </c>
      <c r="C1649" t="s">
        <v>3</v>
      </c>
      <c r="D1649">
        <v>92.456912000000003</v>
      </c>
    </row>
    <row r="1650" spans="2:4">
      <c r="B1650" s="2">
        <v>39675</v>
      </c>
      <c r="C1650" t="s">
        <v>3</v>
      </c>
      <c r="D1650">
        <v>91.986773099999994</v>
      </c>
    </row>
    <row r="1651" spans="2:4">
      <c r="B1651" s="2">
        <v>39674</v>
      </c>
      <c r="C1651" t="s">
        <v>3</v>
      </c>
      <c r="D1651">
        <v>91.849041600000007</v>
      </c>
    </row>
    <row r="1652" spans="2:4">
      <c r="B1652" s="2">
        <v>39673</v>
      </c>
      <c r="C1652" t="s">
        <v>3</v>
      </c>
      <c r="D1652">
        <v>92.023227000000006</v>
      </c>
    </row>
    <row r="1653" spans="2:4">
      <c r="B1653" s="2">
        <v>39672</v>
      </c>
      <c r="C1653" t="s">
        <v>3</v>
      </c>
      <c r="D1653">
        <v>91.360953199999997</v>
      </c>
    </row>
    <row r="1654" spans="2:4">
      <c r="B1654" s="2">
        <v>39671</v>
      </c>
      <c r="C1654" t="s">
        <v>3</v>
      </c>
      <c r="D1654">
        <v>90.889422199999998</v>
      </c>
    </row>
    <row r="1655" spans="2:4">
      <c r="B1655" s="2">
        <v>39668</v>
      </c>
      <c r="C1655" t="s">
        <v>3</v>
      </c>
      <c r="D1655">
        <v>91.407899</v>
      </c>
    </row>
    <row r="1656" spans="2:4">
      <c r="B1656" s="2">
        <v>39667</v>
      </c>
      <c r="C1656" t="s">
        <v>3</v>
      </c>
      <c r="D1656">
        <v>91.438799299999999</v>
      </c>
    </row>
    <row r="1657" spans="2:4">
      <c r="B1657" s="2">
        <v>39666</v>
      </c>
      <c r="C1657" t="s">
        <v>3</v>
      </c>
      <c r="D1657">
        <v>91.970553600000002</v>
      </c>
    </row>
    <row r="1658" spans="2:4">
      <c r="B1658" s="2">
        <v>39665</v>
      </c>
      <c r="C1658" t="s">
        <v>3</v>
      </c>
      <c r="D1658">
        <v>91.758842999999999</v>
      </c>
    </row>
    <row r="1659" spans="2:4">
      <c r="B1659" s="2">
        <v>39664</v>
      </c>
      <c r="C1659" t="s">
        <v>3</v>
      </c>
      <c r="D1659">
        <v>91.252958500000005</v>
      </c>
    </row>
    <row r="1660" spans="2:4">
      <c r="B1660" s="2">
        <v>39661</v>
      </c>
      <c r="C1660" t="s">
        <v>3</v>
      </c>
      <c r="D1660">
        <v>91.586591999999996</v>
      </c>
    </row>
    <row r="1661" spans="2:4">
      <c r="B1661" s="2">
        <v>39660</v>
      </c>
      <c r="C1661" t="s">
        <v>3</v>
      </c>
      <c r="D1661">
        <v>92.500249800000006</v>
      </c>
    </row>
    <row r="1662" spans="2:4">
      <c r="B1662" s="2">
        <v>39659</v>
      </c>
      <c r="C1662" t="s">
        <v>3</v>
      </c>
      <c r="D1662">
        <v>92.869220200000001</v>
      </c>
    </row>
    <row r="1663" spans="2:4">
      <c r="B1663" s="2">
        <v>39658</v>
      </c>
      <c r="C1663" t="s">
        <v>3</v>
      </c>
      <c r="D1663">
        <v>94.135685699999996</v>
      </c>
    </row>
    <row r="1664" spans="2:4">
      <c r="B1664" s="2">
        <v>39657</v>
      </c>
      <c r="C1664" t="s">
        <v>3</v>
      </c>
      <c r="D1664">
        <v>94.003311499999995</v>
      </c>
    </row>
    <row r="1665" spans="2:4">
      <c r="B1665" s="2">
        <v>39654</v>
      </c>
      <c r="C1665" t="s">
        <v>3</v>
      </c>
      <c r="D1665">
        <v>94.200181400000005</v>
      </c>
    </row>
    <row r="1666" spans="2:4">
      <c r="B1666" s="2">
        <v>39653</v>
      </c>
      <c r="C1666" t="s">
        <v>3</v>
      </c>
      <c r="D1666">
        <v>94.205567200000004</v>
      </c>
    </row>
    <row r="1667" spans="2:4">
      <c r="B1667" s="2">
        <v>39652</v>
      </c>
      <c r="C1667" t="s">
        <v>3</v>
      </c>
      <c r="D1667">
        <v>94.486586399999993</v>
      </c>
    </row>
    <row r="1668" spans="2:4">
      <c r="B1668" s="2">
        <v>39651</v>
      </c>
      <c r="C1668" t="s">
        <v>3</v>
      </c>
      <c r="D1668">
        <v>94.614668399999999</v>
      </c>
    </row>
    <row r="1669" spans="2:4">
      <c r="B1669" s="2">
        <v>39650</v>
      </c>
      <c r="C1669" t="s">
        <v>3</v>
      </c>
      <c r="D1669">
        <v>95.812388799999994</v>
      </c>
    </row>
    <row r="1670" spans="2:4">
      <c r="B1670" s="2">
        <v>39647</v>
      </c>
      <c r="C1670" t="s">
        <v>3</v>
      </c>
      <c r="D1670">
        <v>96.386623999999998</v>
      </c>
    </row>
    <row r="1671" spans="2:4">
      <c r="B1671" s="2">
        <v>39646</v>
      </c>
      <c r="C1671" t="s">
        <v>3</v>
      </c>
      <c r="D1671">
        <v>96.232928000000001</v>
      </c>
    </row>
    <row r="1672" spans="2:4">
      <c r="B1672" s="2">
        <v>39645</v>
      </c>
      <c r="C1672" t="s">
        <v>3</v>
      </c>
      <c r="D1672">
        <v>96.512730599999998</v>
      </c>
    </row>
    <row r="1673" spans="2:4">
      <c r="B1673" s="2">
        <v>39644</v>
      </c>
      <c r="C1673" t="s">
        <v>3</v>
      </c>
      <c r="D1673">
        <v>97.827066000000002</v>
      </c>
    </row>
    <row r="1674" spans="2:4">
      <c r="B1674" s="2">
        <v>39643</v>
      </c>
      <c r="C1674" t="s">
        <v>3</v>
      </c>
      <c r="D1674">
        <v>98.663695000000004</v>
      </c>
    </row>
    <row r="1675" spans="2:4">
      <c r="B1675" s="2">
        <v>39640</v>
      </c>
      <c r="C1675" t="s">
        <v>3</v>
      </c>
      <c r="D1675">
        <v>98.500959199999997</v>
      </c>
    </row>
    <row r="1676" spans="2:4">
      <c r="B1676" s="2">
        <v>39639</v>
      </c>
      <c r="C1676" t="s">
        <v>3</v>
      </c>
      <c r="D1676">
        <v>97.489164500000001</v>
      </c>
    </row>
    <row r="1677" spans="2:4">
      <c r="B1677" s="2">
        <v>39638</v>
      </c>
      <c r="C1677" t="s">
        <v>3</v>
      </c>
      <c r="D1677">
        <v>97.443781599999994</v>
      </c>
    </row>
    <row r="1678" spans="2:4">
      <c r="B1678" s="2">
        <v>39637</v>
      </c>
      <c r="C1678" t="s">
        <v>3</v>
      </c>
      <c r="D1678">
        <v>97.363883999999999</v>
      </c>
    </row>
    <row r="1679" spans="2:4">
      <c r="B1679" s="2">
        <v>39636</v>
      </c>
      <c r="C1679" t="s">
        <v>3</v>
      </c>
      <c r="D1679">
        <v>97.249646499999997</v>
      </c>
    </row>
    <row r="1680" spans="2:4">
      <c r="B1680" s="2">
        <v>39632</v>
      </c>
      <c r="C1680" t="s">
        <v>3</v>
      </c>
      <c r="D1680">
        <v>97.602451799999997</v>
      </c>
    </row>
    <row r="1681" spans="2:4">
      <c r="B1681" s="2">
        <v>39631</v>
      </c>
      <c r="C1681" t="s">
        <v>3</v>
      </c>
      <c r="D1681">
        <v>98.342236200000002</v>
      </c>
    </row>
    <row r="1682" spans="2:4">
      <c r="B1682" s="2">
        <v>39630</v>
      </c>
      <c r="C1682" t="s">
        <v>3</v>
      </c>
      <c r="D1682">
        <v>98.582005199999998</v>
      </c>
    </row>
    <row r="1683" spans="2:4">
      <c r="B1683" s="2">
        <v>39629</v>
      </c>
      <c r="C1683" t="s">
        <v>3</v>
      </c>
      <c r="D1683">
        <v>98.3480816</v>
      </c>
    </row>
    <row r="1684" spans="2:4">
      <c r="B1684" s="2">
        <v>39626</v>
      </c>
      <c r="C1684" t="s">
        <v>3</v>
      </c>
      <c r="D1684">
        <v>98.138592000000003</v>
      </c>
    </row>
    <row r="1685" spans="2:4">
      <c r="B1685" s="2">
        <v>39625</v>
      </c>
      <c r="C1685" t="s">
        <v>3</v>
      </c>
      <c r="D1685">
        <v>97.752067999999994</v>
      </c>
    </row>
    <row r="1686" spans="2:4">
      <c r="B1686" s="2">
        <v>39624</v>
      </c>
      <c r="C1686" t="s">
        <v>3</v>
      </c>
      <c r="D1686">
        <v>95.745510600000003</v>
      </c>
    </row>
    <row r="1687" spans="2:4">
      <c r="B1687" s="2">
        <v>39623</v>
      </c>
      <c r="C1687" t="s">
        <v>3</v>
      </c>
      <c r="D1687">
        <v>95.736640499999993</v>
      </c>
    </row>
    <row r="1688" spans="2:4">
      <c r="B1688" s="2">
        <v>39622</v>
      </c>
      <c r="C1688" t="s">
        <v>3</v>
      </c>
      <c r="D1688">
        <v>95.099547200000003</v>
      </c>
    </row>
    <row r="1689" spans="2:4">
      <c r="B1689" s="2">
        <v>39619</v>
      </c>
      <c r="C1689" t="s">
        <v>3</v>
      </c>
      <c r="D1689">
        <v>94.2234026</v>
      </c>
    </row>
    <row r="1690" spans="2:4">
      <c r="B1690" s="2">
        <v>39618</v>
      </c>
      <c r="C1690" t="s">
        <v>3</v>
      </c>
      <c r="D1690">
        <v>92.920834799999994</v>
      </c>
    </row>
    <row r="1691" spans="2:4">
      <c r="B1691" s="2">
        <v>39617</v>
      </c>
      <c r="C1691" t="s">
        <v>3</v>
      </c>
      <c r="D1691">
        <v>92.613718599999999</v>
      </c>
    </row>
    <row r="1692" spans="2:4">
      <c r="B1692" s="2">
        <v>39616</v>
      </c>
      <c r="C1692" t="s">
        <v>3</v>
      </c>
      <c r="D1692">
        <v>93.330388400000004</v>
      </c>
    </row>
    <row r="1693" spans="2:4">
      <c r="B1693" s="2">
        <v>39615</v>
      </c>
      <c r="C1693" t="s">
        <v>3</v>
      </c>
      <c r="D1693">
        <v>93.629490000000004</v>
      </c>
    </row>
    <row r="1694" spans="2:4">
      <c r="B1694" s="2">
        <v>39612</v>
      </c>
      <c r="C1694" t="s">
        <v>3</v>
      </c>
      <c r="D1694">
        <v>94.293132</v>
      </c>
    </row>
    <row r="1695" spans="2:4">
      <c r="B1695" s="2">
        <v>39611</v>
      </c>
      <c r="C1695" t="s">
        <v>3</v>
      </c>
      <c r="D1695">
        <v>93.428484400000002</v>
      </c>
    </row>
    <row r="1696" spans="2:4">
      <c r="B1696" s="2">
        <v>39610</v>
      </c>
      <c r="C1696" t="s">
        <v>3</v>
      </c>
      <c r="D1696">
        <v>93.489491200000003</v>
      </c>
    </row>
    <row r="1697" spans="2:4">
      <c r="B1697" s="2">
        <v>39609</v>
      </c>
      <c r="C1697" t="s">
        <v>3</v>
      </c>
      <c r="D1697">
        <v>95.831649900000002</v>
      </c>
    </row>
    <row r="1698" spans="2:4">
      <c r="B1698" s="2">
        <v>39608</v>
      </c>
      <c r="C1698" t="s">
        <v>3</v>
      </c>
      <c r="D1698">
        <v>98.405028000000001</v>
      </c>
    </row>
    <row r="1699" spans="2:4">
      <c r="B1699" s="2">
        <v>39605</v>
      </c>
      <c r="C1699" t="s">
        <v>3</v>
      </c>
      <c r="D1699">
        <v>96.214380399999996</v>
      </c>
    </row>
    <row r="1700" spans="2:4">
      <c r="B1700" s="2">
        <v>39604</v>
      </c>
      <c r="C1700" t="s">
        <v>3</v>
      </c>
      <c r="D1700">
        <v>91.943306399999997</v>
      </c>
    </row>
    <row r="1701" spans="2:4">
      <c r="B1701" s="2">
        <v>39603</v>
      </c>
      <c r="C1701" t="s">
        <v>3</v>
      </c>
      <c r="D1701">
        <v>91.779182399999996</v>
      </c>
    </row>
    <row r="1702" spans="2:4">
      <c r="B1702" s="2">
        <v>39602</v>
      </c>
      <c r="C1702" t="s">
        <v>3</v>
      </c>
      <c r="D1702">
        <v>91.485282600000005</v>
      </c>
    </row>
    <row r="1703" spans="2:4">
      <c r="B1703" s="2">
        <v>39601</v>
      </c>
      <c r="C1703" t="s">
        <v>3</v>
      </c>
      <c r="D1703">
        <v>91.346266</v>
      </c>
    </row>
    <row r="1704" spans="2:4">
      <c r="B1704" s="2">
        <v>39598</v>
      </c>
      <c r="C1704" t="s">
        <v>3</v>
      </c>
      <c r="D1704">
        <v>90.684297599999994</v>
      </c>
    </row>
    <row r="1705" spans="2:4">
      <c r="B1705" s="2">
        <v>39597</v>
      </c>
      <c r="C1705" t="s">
        <v>3</v>
      </c>
      <c r="D1705">
        <v>91.141272000000001</v>
      </c>
    </row>
    <row r="1706" spans="2:4">
      <c r="B1706" s="2">
        <v>39596</v>
      </c>
      <c r="C1706" t="s">
        <v>3</v>
      </c>
      <c r="D1706">
        <v>90.866292400000006</v>
      </c>
    </row>
    <row r="1707" spans="2:4">
      <c r="B1707" s="2">
        <v>39595</v>
      </c>
      <c r="C1707" t="s">
        <v>3</v>
      </c>
      <c r="D1707">
        <v>91.691267999999994</v>
      </c>
    </row>
    <row r="1708" spans="2:4">
      <c r="B1708" s="2">
        <v>39591</v>
      </c>
      <c r="C1708" t="s">
        <v>3</v>
      </c>
      <c r="D1708">
        <v>91.304374999999993</v>
      </c>
    </row>
    <row r="1709" spans="2:4">
      <c r="B1709" s="2">
        <v>39590</v>
      </c>
      <c r="C1709" t="s">
        <v>3</v>
      </c>
      <c r="D1709">
        <v>91.652788999999999</v>
      </c>
    </row>
    <row r="1710" spans="2:4">
      <c r="B1710" s="2">
        <v>39589</v>
      </c>
      <c r="C1710" t="s">
        <v>3</v>
      </c>
      <c r="D1710">
        <v>91.027832700000005</v>
      </c>
    </row>
    <row r="1711" spans="2:4">
      <c r="B1711" s="2">
        <v>39588</v>
      </c>
      <c r="C1711" t="s">
        <v>3</v>
      </c>
      <c r="D1711">
        <v>90.957952800000001</v>
      </c>
    </row>
    <row r="1712" spans="2:4">
      <c r="B1712" s="2">
        <v>39587</v>
      </c>
      <c r="C1712" t="s">
        <v>3</v>
      </c>
      <c r="D1712">
        <v>90.511305500000006</v>
      </c>
    </row>
    <row r="1713" spans="2:4">
      <c r="B1713" s="2">
        <v>39584</v>
      </c>
      <c r="C1713" t="s">
        <v>3</v>
      </c>
      <c r="D1713">
        <v>92.078032100000001</v>
      </c>
    </row>
    <row r="1714" spans="2:4">
      <c r="B1714" s="2">
        <v>39583</v>
      </c>
      <c r="C1714" t="s">
        <v>3</v>
      </c>
      <c r="D1714">
        <v>92.946994000000004</v>
      </c>
    </row>
    <row r="1715" spans="2:4">
      <c r="B1715" s="2">
        <v>39582</v>
      </c>
      <c r="C1715" t="s">
        <v>3</v>
      </c>
      <c r="D1715">
        <v>94.922062400000002</v>
      </c>
    </row>
    <row r="1716" spans="2:4">
      <c r="B1716" s="2">
        <v>39581</v>
      </c>
      <c r="C1716" t="s">
        <v>3</v>
      </c>
      <c r="D1716">
        <v>96.051365200000006</v>
      </c>
    </row>
    <row r="1717" spans="2:4">
      <c r="B1717" s="2">
        <v>39580</v>
      </c>
      <c r="C1717" t="s">
        <v>3</v>
      </c>
      <c r="D1717">
        <v>95.971373299999996</v>
      </c>
    </row>
    <row r="1718" spans="2:4">
      <c r="B1718" s="2">
        <v>39577</v>
      </c>
      <c r="C1718" t="s">
        <v>3</v>
      </c>
      <c r="D1718">
        <v>95.829976799999997</v>
      </c>
    </row>
    <row r="1719" spans="2:4">
      <c r="B1719" s="2">
        <v>39576</v>
      </c>
      <c r="C1719" t="s">
        <v>3</v>
      </c>
      <c r="D1719">
        <v>94.078499199999996</v>
      </c>
    </row>
    <row r="1720" spans="2:4">
      <c r="B1720" s="2">
        <v>39575</v>
      </c>
      <c r="C1720" t="s">
        <v>3</v>
      </c>
      <c r="D1720">
        <v>92.515131499999995</v>
      </c>
    </row>
    <row r="1721" spans="2:4">
      <c r="B1721" s="2">
        <v>39574</v>
      </c>
      <c r="C1721" t="s">
        <v>3</v>
      </c>
      <c r="D1721">
        <v>92.041110000000003</v>
      </c>
    </row>
    <row r="1722" spans="2:4">
      <c r="B1722" s="2">
        <v>39573</v>
      </c>
      <c r="C1722" t="s">
        <v>3</v>
      </c>
      <c r="D1722">
        <v>91.038033600000006</v>
      </c>
    </row>
    <row r="1723" spans="2:4">
      <c r="B1723" s="2">
        <v>39570</v>
      </c>
      <c r="C1723" t="s">
        <v>3</v>
      </c>
      <c r="D1723">
        <v>91.127626800000002</v>
      </c>
    </row>
    <row r="1724" spans="2:4">
      <c r="B1724" s="2">
        <v>39569</v>
      </c>
      <c r="C1724" t="s">
        <v>3</v>
      </c>
      <c r="D1724">
        <v>93.138841799999994</v>
      </c>
    </row>
    <row r="1725" spans="2:4">
      <c r="B1725" s="2">
        <v>39568</v>
      </c>
      <c r="C1725" t="s">
        <v>3</v>
      </c>
      <c r="D1725">
        <v>95.250993600000001</v>
      </c>
    </row>
    <row r="1726" spans="2:4">
      <c r="B1726" s="2">
        <v>39567</v>
      </c>
      <c r="C1726" t="s">
        <v>3</v>
      </c>
      <c r="D1726">
        <v>96.557074</v>
      </c>
    </row>
    <row r="1727" spans="2:4">
      <c r="B1727" s="2">
        <v>39566</v>
      </c>
      <c r="C1727" t="s">
        <v>3</v>
      </c>
      <c r="D1727">
        <v>96.682393599999997</v>
      </c>
    </row>
    <row r="1728" spans="2:4">
      <c r="B1728" s="2">
        <v>39563</v>
      </c>
      <c r="C1728" t="s">
        <v>3</v>
      </c>
      <c r="D1728">
        <v>96.982745600000001</v>
      </c>
    </row>
    <row r="1729" spans="2:4">
      <c r="B1729" s="2">
        <v>39562</v>
      </c>
      <c r="C1729" t="s">
        <v>3</v>
      </c>
      <c r="D1729">
        <v>97.349858100000006</v>
      </c>
    </row>
    <row r="1730" spans="2:4">
      <c r="B1730" s="2">
        <v>39561</v>
      </c>
      <c r="C1730" t="s">
        <v>3</v>
      </c>
      <c r="D1730">
        <v>96.620529000000005</v>
      </c>
    </row>
    <row r="1731" spans="2:4">
      <c r="B1731" s="2">
        <v>39560</v>
      </c>
      <c r="C1731" t="s">
        <v>3</v>
      </c>
      <c r="D1731">
        <v>96.640558799999994</v>
      </c>
    </row>
    <row r="1732" spans="2:4">
      <c r="B1732" s="2">
        <v>39559</v>
      </c>
      <c r="C1732" t="s">
        <v>3</v>
      </c>
      <c r="D1732">
        <v>96.629975599999995</v>
      </c>
    </row>
    <row r="1733" spans="2:4">
      <c r="B1733" s="2">
        <v>39556</v>
      </c>
      <c r="C1733" t="s">
        <v>3</v>
      </c>
      <c r="D1733">
        <v>98.098732600000005</v>
      </c>
    </row>
    <row r="1734" spans="2:4">
      <c r="B1734" s="2">
        <v>39555</v>
      </c>
      <c r="C1734" t="s">
        <v>3</v>
      </c>
      <c r="D1734">
        <v>99.655288799999994</v>
      </c>
    </row>
    <row r="1735" spans="2:4">
      <c r="B1735" s="2">
        <v>39554</v>
      </c>
      <c r="C1735" t="s">
        <v>3</v>
      </c>
      <c r="D1735">
        <v>99.452538899999993</v>
      </c>
    </row>
    <row r="1736" spans="2:4">
      <c r="B1736" s="2">
        <v>39553</v>
      </c>
      <c r="C1736" t="s">
        <v>3</v>
      </c>
      <c r="D1736">
        <v>98.092971899999995</v>
      </c>
    </row>
    <row r="1737" spans="2:4">
      <c r="B1737" s="2">
        <v>39552</v>
      </c>
      <c r="C1737" t="s">
        <v>3</v>
      </c>
      <c r="D1737">
        <v>98.052677099999997</v>
      </c>
    </row>
    <row r="1738" spans="2:4">
      <c r="B1738" s="2">
        <v>39549</v>
      </c>
      <c r="C1738" t="s">
        <v>3</v>
      </c>
      <c r="D1738">
        <v>98.084943300000006</v>
      </c>
    </row>
    <row r="1739" spans="2:4">
      <c r="B1739" s="2">
        <v>39548</v>
      </c>
      <c r="C1739" t="s">
        <v>3</v>
      </c>
      <c r="D1739">
        <v>96.571331999999998</v>
      </c>
    </row>
    <row r="1740" spans="2:4">
      <c r="B1740" s="2">
        <v>39547</v>
      </c>
      <c r="C1740" t="s">
        <v>3</v>
      </c>
      <c r="D1740">
        <v>94.707674999999995</v>
      </c>
    </row>
    <row r="1741" spans="2:4">
      <c r="B1741" s="2">
        <v>39546</v>
      </c>
      <c r="C1741" t="s">
        <v>3</v>
      </c>
      <c r="D1741">
        <v>95.109480000000005</v>
      </c>
    </row>
    <row r="1742" spans="2:4">
      <c r="B1742" s="2">
        <v>39545</v>
      </c>
      <c r="C1742" t="s">
        <v>3</v>
      </c>
      <c r="D1742">
        <v>96.051069100000007</v>
      </c>
    </row>
    <row r="1743" spans="2:4">
      <c r="B1743" s="2">
        <v>39542</v>
      </c>
      <c r="C1743" t="s">
        <v>3</v>
      </c>
      <c r="D1743">
        <v>95.329213199999998</v>
      </c>
    </row>
    <row r="1744" spans="2:4">
      <c r="B1744" s="2">
        <v>39541</v>
      </c>
      <c r="C1744" t="s">
        <v>3</v>
      </c>
      <c r="D1744">
        <v>94.845607799999996</v>
      </c>
    </row>
    <row r="1745" spans="2:4">
      <c r="B1745" s="2">
        <v>39540</v>
      </c>
      <c r="C1745" t="s">
        <v>3</v>
      </c>
      <c r="D1745">
        <v>95.2638757</v>
      </c>
    </row>
    <row r="1746" spans="2:4">
      <c r="B1746" s="2">
        <v>39539</v>
      </c>
      <c r="C1746" t="s">
        <v>3</v>
      </c>
      <c r="D1746">
        <v>96.177271500000003</v>
      </c>
    </row>
    <row r="1747" spans="2:4">
      <c r="B1747" s="2">
        <v>39538</v>
      </c>
      <c r="C1747" t="s">
        <v>3</v>
      </c>
      <c r="D1747">
        <v>97.618906699999997</v>
      </c>
    </row>
    <row r="1748" spans="2:4">
      <c r="B1748" s="2">
        <v>39535</v>
      </c>
      <c r="C1748" t="s">
        <v>3</v>
      </c>
      <c r="D1748">
        <v>97.752758</v>
      </c>
    </row>
    <row r="1749" spans="2:4">
      <c r="B1749" s="2">
        <v>39534</v>
      </c>
      <c r="C1749" t="s">
        <v>3</v>
      </c>
      <c r="D1749">
        <v>99.943523600000006</v>
      </c>
    </row>
    <row r="1750" spans="2:4">
      <c r="B1750" s="2">
        <v>39533</v>
      </c>
      <c r="C1750" t="s">
        <v>3</v>
      </c>
      <c r="D1750">
        <v>99.827326900000003</v>
      </c>
    </row>
    <row r="1751" spans="2:4">
      <c r="B1751" s="2">
        <v>39532</v>
      </c>
      <c r="C1751" t="s">
        <v>3</v>
      </c>
      <c r="D1751">
        <v>100.40839920000001</v>
      </c>
    </row>
    <row r="1752" spans="2:4">
      <c r="B1752" s="2">
        <v>39531</v>
      </c>
      <c r="C1752" t="s">
        <v>3</v>
      </c>
      <c r="D1752">
        <v>100.02373919999999</v>
      </c>
    </row>
    <row r="1753" spans="2:4">
      <c r="B1753" s="2">
        <v>39527</v>
      </c>
      <c r="C1753" t="s">
        <v>3</v>
      </c>
      <c r="D1753">
        <v>99.419624200000001</v>
      </c>
    </row>
    <row r="1754" spans="2:4">
      <c r="B1754" s="2">
        <v>39526</v>
      </c>
      <c r="C1754" t="s">
        <v>3</v>
      </c>
      <c r="D1754">
        <v>98.694506500000003</v>
      </c>
    </row>
    <row r="1755" spans="2:4">
      <c r="B1755" s="2">
        <v>39525</v>
      </c>
      <c r="C1755" t="s">
        <v>3</v>
      </c>
      <c r="D1755">
        <v>101.3320054</v>
      </c>
    </row>
    <row r="1756" spans="2:4">
      <c r="B1756" s="2">
        <v>39524</v>
      </c>
      <c r="C1756" t="s">
        <v>3</v>
      </c>
      <c r="D1756">
        <v>104.6038425</v>
      </c>
    </row>
    <row r="1757" spans="2:4">
      <c r="B1757" s="2">
        <v>39521</v>
      </c>
      <c r="C1757" t="s">
        <v>3</v>
      </c>
      <c r="D1757">
        <v>104.55154159999999</v>
      </c>
    </row>
    <row r="1758" spans="2:4">
      <c r="B1758" s="2">
        <v>39520</v>
      </c>
      <c r="C1758" t="s">
        <v>3</v>
      </c>
      <c r="D1758">
        <v>103.077455</v>
      </c>
    </row>
    <row r="1759" spans="2:4">
      <c r="B1759" s="2">
        <v>39519</v>
      </c>
      <c r="C1759" t="s">
        <v>3</v>
      </c>
      <c r="D1759">
        <v>102.520512</v>
      </c>
    </row>
    <row r="1760" spans="2:4">
      <c r="B1760" s="2">
        <v>39518</v>
      </c>
      <c r="C1760" t="s">
        <v>3</v>
      </c>
      <c r="D1760">
        <v>103.860342</v>
      </c>
    </row>
    <row r="1761" spans="2:4">
      <c r="B1761" s="2">
        <v>39517</v>
      </c>
      <c r="C1761" t="s">
        <v>3</v>
      </c>
      <c r="D1761">
        <v>106.4079648</v>
      </c>
    </row>
    <row r="1762" spans="2:4">
      <c r="B1762" s="2">
        <v>39514</v>
      </c>
      <c r="C1762" t="s">
        <v>3</v>
      </c>
      <c r="D1762">
        <v>106.3176</v>
      </c>
    </row>
    <row r="1763" spans="2:4">
      <c r="B1763" s="2">
        <v>39513</v>
      </c>
      <c r="C1763" t="s">
        <v>3</v>
      </c>
      <c r="D1763">
        <v>106.010046</v>
      </c>
    </row>
    <row r="1764" spans="2:4">
      <c r="B1764" s="2">
        <v>39512</v>
      </c>
      <c r="C1764" t="s">
        <v>3</v>
      </c>
      <c r="D1764">
        <v>103.66498799999999</v>
      </c>
    </row>
    <row r="1765" spans="2:4">
      <c r="B1765" s="2">
        <v>39511</v>
      </c>
      <c r="C1765" t="s">
        <v>3</v>
      </c>
      <c r="D1765">
        <v>105.4558901</v>
      </c>
    </row>
    <row r="1766" spans="2:4">
      <c r="B1766" s="2">
        <v>39510</v>
      </c>
      <c r="C1766" t="s">
        <v>3</v>
      </c>
      <c r="D1766">
        <v>102.2634546</v>
      </c>
    </row>
    <row r="1767" spans="2:4">
      <c r="B1767" s="2">
        <v>39507</v>
      </c>
      <c r="C1767" t="s">
        <v>3</v>
      </c>
      <c r="D1767">
        <v>101.98282500000001</v>
      </c>
    </row>
    <row r="1768" spans="2:4">
      <c r="B1768" s="2">
        <v>39506</v>
      </c>
      <c r="C1768" t="s">
        <v>3</v>
      </c>
      <c r="D1768">
        <v>100.0734825</v>
      </c>
    </row>
    <row r="1769" spans="2:4">
      <c r="B1769" s="2">
        <v>39505</v>
      </c>
      <c r="C1769" t="s">
        <v>3</v>
      </c>
      <c r="D1769">
        <v>100.467648</v>
      </c>
    </row>
    <row r="1770" spans="2:4">
      <c r="B1770" s="2">
        <v>39504</v>
      </c>
      <c r="C1770" t="s">
        <v>3</v>
      </c>
      <c r="D1770">
        <v>101.9538652</v>
      </c>
    </row>
    <row r="1771" spans="2:4">
      <c r="B1771" s="2">
        <v>39503</v>
      </c>
      <c r="C1771" t="s">
        <v>3</v>
      </c>
      <c r="D1771">
        <v>103.2031781</v>
      </c>
    </row>
    <row r="1772" spans="2:4">
      <c r="B1772" s="2">
        <v>39500</v>
      </c>
      <c r="C1772" t="s">
        <v>3</v>
      </c>
      <c r="D1772">
        <v>102.3359325</v>
      </c>
    </row>
    <row r="1773" spans="2:4">
      <c r="B1773" s="2">
        <v>39499</v>
      </c>
      <c r="C1773" t="s">
        <v>3</v>
      </c>
      <c r="D1773">
        <v>102.1808736</v>
      </c>
    </row>
    <row r="1774" spans="2:4">
      <c r="B1774" s="2">
        <v>39498</v>
      </c>
      <c r="C1774" t="s">
        <v>3</v>
      </c>
      <c r="D1774">
        <v>100.70376539999999</v>
      </c>
    </row>
    <row r="1775" spans="2:4">
      <c r="B1775" s="2">
        <v>39497</v>
      </c>
      <c r="C1775" t="s">
        <v>3</v>
      </c>
      <c r="D1775">
        <v>100.80439149999999</v>
      </c>
    </row>
    <row r="1776" spans="2:4">
      <c r="B1776" s="2">
        <v>39493</v>
      </c>
      <c r="C1776" t="s">
        <v>3</v>
      </c>
      <c r="D1776">
        <v>100.7409234</v>
      </c>
    </row>
    <row r="1777" spans="2:4">
      <c r="B1777" s="2">
        <v>39492</v>
      </c>
      <c r="C1777" t="s">
        <v>3</v>
      </c>
      <c r="D1777">
        <v>99.680480900000006</v>
      </c>
    </row>
    <row r="1778" spans="2:4">
      <c r="B1778" s="2">
        <v>39491</v>
      </c>
      <c r="C1778" t="s">
        <v>3</v>
      </c>
      <c r="D1778">
        <v>97.085911999999993</v>
      </c>
    </row>
    <row r="1779" spans="2:4">
      <c r="B1779" s="2">
        <v>39490</v>
      </c>
      <c r="C1779" t="s">
        <v>3</v>
      </c>
      <c r="D1779">
        <v>95.951645200000002</v>
      </c>
    </row>
    <row r="1780" spans="2:4">
      <c r="B1780" s="2">
        <v>39489</v>
      </c>
      <c r="C1780" t="s">
        <v>3</v>
      </c>
      <c r="D1780">
        <v>96.614962500000004</v>
      </c>
    </row>
    <row r="1781" spans="2:4">
      <c r="B1781" s="2">
        <v>39486</v>
      </c>
      <c r="C1781" t="s">
        <v>3</v>
      </c>
      <c r="D1781">
        <v>95.691157200000006</v>
      </c>
    </row>
    <row r="1782" spans="2:4">
      <c r="B1782" s="2">
        <v>39485</v>
      </c>
      <c r="C1782" t="s">
        <v>3</v>
      </c>
      <c r="D1782">
        <v>95.573047500000001</v>
      </c>
    </row>
    <row r="1783" spans="2:4">
      <c r="B1783" s="2">
        <v>39484</v>
      </c>
      <c r="C1783" t="s">
        <v>3</v>
      </c>
      <c r="D1783">
        <v>95.205772800000005</v>
      </c>
    </row>
    <row r="1784" spans="2:4">
      <c r="B1784" s="2">
        <v>39483</v>
      </c>
      <c r="C1784" t="s">
        <v>3</v>
      </c>
      <c r="D1784">
        <v>94.7879796</v>
      </c>
    </row>
    <row r="1785" spans="2:4">
      <c r="B1785" s="2">
        <v>39482</v>
      </c>
      <c r="C1785" t="s">
        <v>3</v>
      </c>
      <c r="D1785">
        <v>94.132754399999996</v>
      </c>
    </row>
    <row r="1786" spans="2:4">
      <c r="B1786" s="2">
        <v>39479</v>
      </c>
      <c r="C1786" t="s">
        <v>3</v>
      </c>
      <c r="D1786">
        <v>94.405043300000003</v>
      </c>
    </row>
    <row r="1787" spans="2:4">
      <c r="B1787" s="2">
        <v>39478</v>
      </c>
      <c r="C1787" t="s">
        <v>3</v>
      </c>
      <c r="D1787">
        <v>95.283540700000003</v>
      </c>
    </row>
    <row r="1788" spans="2:4">
      <c r="B1788" s="2">
        <v>39477</v>
      </c>
      <c r="C1788" t="s">
        <v>3</v>
      </c>
      <c r="D1788">
        <v>94.108756499999998</v>
      </c>
    </row>
    <row r="1789" spans="2:4">
      <c r="B1789" s="2">
        <v>39476</v>
      </c>
      <c r="C1789" t="s">
        <v>3</v>
      </c>
      <c r="D1789">
        <v>95.828230500000004</v>
      </c>
    </row>
    <row r="1790" spans="2:4">
      <c r="B1790" s="2">
        <v>39475</v>
      </c>
      <c r="C1790" t="s">
        <v>3</v>
      </c>
      <c r="D1790">
        <v>96.368408000000002</v>
      </c>
    </row>
    <row r="1791" spans="2:4">
      <c r="B1791" s="2">
        <v>39472</v>
      </c>
      <c r="C1791" t="s">
        <v>3</v>
      </c>
      <c r="D1791">
        <v>97.633297999999996</v>
      </c>
    </row>
    <row r="1792" spans="2:4">
      <c r="B1792" s="2">
        <v>39471</v>
      </c>
      <c r="C1792" t="s">
        <v>3</v>
      </c>
      <c r="D1792">
        <v>96.780820000000006</v>
      </c>
    </row>
    <row r="1793" spans="2:4">
      <c r="B1793" s="2">
        <v>39470</v>
      </c>
      <c r="C1793" t="s">
        <v>3</v>
      </c>
      <c r="D1793">
        <v>95.980857299999997</v>
      </c>
    </row>
    <row r="1794" spans="2:4">
      <c r="B1794" s="2">
        <v>39469</v>
      </c>
      <c r="C1794" t="s">
        <v>3</v>
      </c>
      <c r="D1794">
        <v>93.769041799999997</v>
      </c>
    </row>
    <row r="1795" spans="2:4">
      <c r="B1795" s="2">
        <v>39465</v>
      </c>
      <c r="C1795" t="s">
        <v>3</v>
      </c>
      <c r="D1795">
        <v>92.994242799999995</v>
      </c>
    </row>
    <row r="1796" spans="2:4">
      <c r="B1796" s="2">
        <v>39464</v>
      </c>
      <c r="C1796" t="s">
        <v>3</v>
      </c>
      <c r="D1796">
        <v>92.341071999999997</v>
      </c>
    </row>
    <row r="1797" spans="2:4">
      <c r="B1797" s="2">
        <v>39463</v>
      </c>
      <c r="C1797" t="s">
        <v>3</v>
      </c>
      <c r="D1797">
        <v>92.083100999999999</v>
      </c>
    </row>
    <row r="1798" spans="2:4">
      <c r="B1798" s="2">
        <v>39462</v>
      </c>
      <c r="C1798" t="s">
        <v>3</v>
      </c>
      <c r="D1798">
        <v>92.363896800000006</v>
      </c>
    </row>
    <row r="1799" spans="2:4">
      <c r="B1799" s="2">
        <v>39461</v>
      </c>
      <c r="C1799" t="s">
        <v>3</v>
      </c>
      <c r="D1799">
        <v>92.012180400000005</v>
      </c>
    </row>
    <row r="1800" spans="2:4">
      <c r="B1800" s="2">
        <v>39458</v>
      </c>
      <c r="C1800" t="s">
        <v>3</v>
      </c>
      <c r="D1800">
        <v>91.310699999999997</v>
      </c>
    </row>
    <row r="1801" spans="2:4">
      <c r="B1801" s="2">
        <v>39457</v>
      </c>
      <c r="C1801" t="s">
        <v>3</v>
      </c>
      <c r="D1801">
        <v>91.325558200000003</v>
      </c>
    </row>
    <row r="1802" spans="2:4">
      <c r="B1802" s="2">
        <v>39456</v>
      </c>
      <c r="C1802" t="s">
        <v>3</v>
      </c>
      <c r="D1802">
        <v>92.277119200000001</v>
      </c>
    </row>
    <row r="1803" spans="2:4">
      <c r="B1803" s="2">
        <v>39455</v>
      </c>
      <c r="C1803" t="s">
        <v>3</v>
      </c>
      <c r="D1803">
        <v>90.866872799999996</v>
      </c>
    </row>
    <row r="1804" spans="2:4">
      <c r="B1804" s="2">
        <v>39454</v>
      </c>
      <c r="C1804" t="s">
        <v>3</v>
      </c>
      <c r="D1804">
        <v>92.507508700000002</v>
      </c>
    </row>
    <row r="1805" spans="2:4">
      <c r="B1805" s="2">
        <v>39451</v>
      </c>
      <c r="C1805" t="s">
        <v>3</v>
      </c>
      <c r="D1805">
        <v>93.782722800000002</v>
      </c>
    </row>
    <row r="1806" spans="2:4">
      <c r="B1806" s="2">
        <v>39450</v>
      </c>
      <c r="C1806" t="s">
        <v>3</v>
      </c>
      <c r="D1806">
        <v>93.882884000000004</v>
      </c>
    </row>
    <row r="1807" spans="2:4">
      <c r="B1807" s="2">
        <v>39449</v>
      </c>
      <c r="C1807" t="s">
        <v>3</v>
      </c>
      <c r="D1807">
        <v>94.417574999999999</v>
      </c>
    </row>
    <row r="1808" spans="2:4">
      <c r="B1808" s="2">
        <v>39447</v>
      </c>
      <c r="C1808" t="s">
        <v>3</v>
      </c>
      <c r="D1808">
        <v>93.945116200000001</v>
      </c>
    </row>
    <row r="1809" spans="2:4">
      <c r="B1809" s="2">
        <v>39444</v>
      </c>
      <c r="C1809" t="s">
        <v>3</v>
      </c>
      <c r="D1809">
        <v>93.265385600000002</v>
      </c>
    </row>
    <row r="1810" spans="2:4">
      <c r="B1810" s="2">
        <v>39443</v>
      </c>
      <c r="C1810" t="s">
        <v>3</v>
      </c>
      <c r="D1810">
        <v>92.210265300000003</v>
      </c>
    </row>
    <row r="1811" spans="2:4">
      <c r="B1811" s="2">
        <v>39442</v>
      </c>
      <c r="C1811" t="s">
        <v>3</v>
      </c>
      <c r="D1811">
        <v>91.900664000000006</v>
      </c>
    </row>
    <row r="1812" spans="2:4">
      <c r="B1812" s="2">
        <v>39440</v>
      </c>
      <c r="C1812" t="s">
        <v>3</v>
      </c>
      <c r="D1812">
        <v>92.004165499999999</v>
      </c>
    </row>
    <row r="1813" spans="2:4">
      <c r="B1813" s="2">
        <v>39437</v>
      </c>
      <c r="C1813" t="s">
        <v>3</v>
      </c>
      <c r="D1813">
        <v>91.928713799999997</v>
      </c>
    </row>
    <row r="1814" spans="2:4">
      <c r="B1814" s="2">
        <v>39436</v>
      </c>
      <c r="C1814" t="s">
        <v>3</v>
      </c>
      <c r="D1814">
        <v>92.112501600000002</v>
      </c>
    </row>
    <row r="1815" spans="2:4">
      <c r="B1815" s="2">
        <v>39435</v>
      </c>
      <c r="C1815" t="s">
        <v>3</v>
      </c>
      <c r="D1815">
        <v>90.918620000000004</v>
      </c>
    </row>
    <row r="1816" spans="2:4">
      <c r="B1816" s="2">
        <v>39434</v>
      </c>
      <c r="C1816" t="s">
        <v>3</v>
      </c>
      <c r="D1816">
        <v>90.603576000000004</v>
      </c>
    </row>
    <row r="1817" spans="2:4">
      <c r="B1817" s="2">
        <v>39433</v>
      </c>
      <c r="C1817" t="s">
        <v>3</v>
      </c>
      <c r="D1817">
        <v>90.397407200000004</v>
      </c>
    </row>
    <row r="1818" spans="2:4">
      <c r="B1818" s="2">
        <v>39430</v>
      </c>
      <c r="C1818" t="s">
        <v>3</v>
      </c>
      <c r="D1818">
        <v>89.984659800000003</v>
      </c>
    </row>
    <row r="1819" spans="2:4">
      <c r="B1819" s="2">
        <v>39429</v>
      </c>
      <c r="C1819" t="s">
        <v>3</v>
      </c>
      <c r="D1819">
        <v>90.453452799999994</v>
      </c>
    </row>
    <row r="1820" spans="2:4">
      <c r="B1820" s="2">
        <v>39428</v>
      </c>
      <c r="C1820" t="s">
        <v>3</v>
      </c>
      <c r="D1820">
        <v>90.767408900000007</v>
      </c>
    </row>
    <row r="1821" spans="2:4">
      <c r="B1821" s="2">
        <v>39427</v>
      </c>
      <c r="C1821" t="s">
        <v>3</v>
      </c>
      <c r="D1821">
        <v>91.8931027</v>
      </c>
    </row>
    <row r="1822" spans="2:4">
      <c r="B1822" s="2">
        <v>39426</v>
      </c>
      <c r="C1822" t="s">
        <v>3</v>
      </c>
      <c r="D1822">
        <v>91.278167999999994</v>
      </c>
    </row>
    <row r="1823" spans="2:4">
      <c r="B1823" s="2">
        <v>39423</v>
      </c>
      <c r="C1823" t="s">
        <v>3</v>
      </c>
      <c r="D1823">
        <v>92.314395000000005</v>
      </c>
    </row>
    <row r="1824" spans="2:4">
      <c r="B1824" s="2">
        <v>39422</v>
      </c>
      <c r="C1824" t="s">
        <v>3</v>
      </c>
      <c r="D1824">
        <v>92.036061000000004</v>
      </c>
    </row>
    <row r="1825" spans="2:4">
      <c r="B1825" s="2">
        <v>39421</v>
      </c>
      <c r="C1825" t="s">
        <v>3</v>
      </c>
      <c r="D1825">
        <v>93.253866799999997</v>
      </c>
    </row>
    <row r="1826" spans="2:4">
      <c r="B1826" s="2">
        <v>39420</v>
      </c>
      <c r="C1826" t="s">
        <v>3</v>
      </c>
      <c r="D1826">
        <v>94.083699600000003</v>
      </c>
    </row>
    <row r="1827" spans="2:4">
      <c r="B1827" s="2">
        <v>39419</v>
      </c>
      <c r="C1827" t="s">
        <v>3</v>
      </c>
      <c r="D1827">
        <v>94.579772399999996</v>
      </c>
    </row>
    <row r="1828" spans="2:4">
      <c r="B1828" s="2">
        <v>39416</v>
      </c>
      <c r="C1828" t="s">
        <v>3</v>
      </c>
      <c r="D1828">
        <v>94.597673999999998</v>
      </c>
    </row>
    <row r="1829" spans="2:4">
      <c r="B1829" s="2">
        <v>39415</v>
      </c>
      <c r="C1829" t="s">
        <v>3</v>
      </c>
      <c r="D1829">
        <v>97.074249800000004</v>
      </c>
    </row>
    <row r="1830" spans="2:4">
      <c r="B1830" s="2">
        <v>39414</v>
      </c>
      <c r="C1830" t="s">
        <v>3</v>
      </c>
      <c r="D1830">
        <v>97.000979999999998</v>
      </c>
    </row>
    <row r="1831" spans="2:4">
      <c r="B1831" s="2">
        <v>39413</v>
      </c>
      <c r="C1831" t="s">
        <v>3</v>
      </c>
      <c r="D1831">
        <v>98.746516200000002</v>
      </c>
    </row>
    <row r="1832" spans="2:4">
      <c r="B1832" s="2">
        <v>39412</v>
      </c>
      <c r="C1832" t="s">
        <v>3</v>
      </c>
      <c r="D1832">
        <v>96.611348199999995</v>
      </c>
    </row>
    <row r="1833" spans="2:4">
      <c r="B1833" s="2">
        <v>39409</v>
      </c>
      <c r="C1833" t="s">
        <v>3</v>
      </c>
      <c r="D1833">
        <v>94.300876799999998</v>
      </c>
    </row>
    <row r="1834" spans="2:4">
      <c r="B1834" s="2">
        <v>39407</v>
      </c>
      <c r="C1834" t="s">
        <v>3</v>
      </c>
      <c r="D1834">
        <v>94.415790400000006</v>
      </c>
    </row>
    <row r="1835" spans="2:4">
      <c r="B1835" s="2">
        <v>39406</v>
      </c>
      <c r="C1835" t="s">
        <v>3</v>
      </c>
      <c r="D1835">
        <v>92.894233600000007</v>
      </c>
    </row>
    <row r="1836" spans="2:4">
      <c r="B1836" s="2">
        <v>39405</v>
      </c>
      <c r="C1836" t="s">
        <v>3</v>
      </c>
      <c r="D1836">
        <v>92.019998700000002</v>
      </c>
    </row>
    <row r="1837" spans="2:4">
      <c r="B1837" s="2">
        <v>39402</v>
      </c>
      <c r="C1837" t="s">
        <v>3</v>
      </c>
      <c r="D1837">
        <v>90.648933700000001</v>
      </c>
    </row>
    <row r="1838" spans="2:4">
      <c r="B1838" s="2">
        <v>39401</v>
      </c>
      <c r="C1838" t="s">
        <v>3</v>
      </c>
      <c r="D1838">
        <v>91.293797999999995</v>
      </c>
    </row>
    <row r="1839" spans="2:4">
      <c r="B1839" s="2">
        <v>39400</v>
      </c>
      <c r="C1839" t="s">
        <v>3</v>
      </c>
      <c r="D1839">
        <v>89.482799700000001</v>
      </c>
    </row>
    <row r="1840" spans="2:4">
      <c r="B1840" s="2">
        <v>39399</v>
      </c>
      <c r="C1840" t="s">
        <v>3</v>
      </c>
      <c r="D1840">
        <v>90.151071400000006</v>
      </c>
    </row>
    <row r="1841" spans="2:4">
      <c r="B1841" s="2">
        <v>39395</v>
      </c>
      <c r="C1841" t="s">
        <v>3</v>
      </c>
      <c r="D1841">
        <v>91.645545600000005</v>
      </c>
    </row>
    <row r="1842" spans="2:4">
      <c r="B1842" s="2">
        <v>39394</v>
      </c>
      <c r="C1842" t="s">
        <v>3</v>
      </c>
      <c r="D1842">
        <v>91.670669599999997</v>
      </c>
    </row>
    <row r="1843" spans="2:4">
      <c r="B1843" s="2">
        <v>39393</v>
      </c>
      <c r="C1843" t="s">
        <v>3</v>
      </c>
      <c r="D1843">
        <v>88.989058999999997</v>
      </c>
    </row>
    <row r="1844" spans="2:4">
      <c r="B1844" s="2">
        <v>39392</v>
      </c>
      <c r="C1844" t="s">
        <v>3</v>
      </c>
      <c r="D1844">
        <v>86.677756299999999</v>
      </c>
    </row>
    <row r="1845" spans="2:4">
      <c r="B1845" s="2">
        <v>39391</v>
      </c>
      <c r="C1845" t="s">
        <v>3</v>
      </c>
      <c r="D1845">
        <v>86.625852600000002</v>
      </c>
    </row>
    <row r="1846" spans="2:4">
      <c r="B1846" s="2">
        <v>39388</v>
      </c>
      <c r="C1846" t="s">
        <v>3</v>
      </c>
      <c r="D1846">
        <v>86.617782000000005</v>
      </c>
    </row>
    <row r="1847" spans="2:4">
      <c r="B1847" s="2">
        <v>39387</v>
      </c>
      <c r="C1847" t="s">
        <v>3</v>
      </c>
      <c r="D1847">
        <v>85.9311376</v>
      </c>
    </row>
    <row r="1848" spans="2:4">
      <c r="B1848" s="2">
        <v>39386</v>
      </c>
      <c r="C1848" t="s">
        <v>3</v>
      </c>
      <c r="D1848">
        <v>84.284756799999997</v>
      </c>
    </row>
    <row r="1849" spans="2:4">
      <c r="B1849" s="2">
        <v>39385</v>
      </c>
      <c r="C1849" t="s">
        <v>3</v>
      </c>
      <c r="D1849">
        <v>85.612260800000001</v>
      </c>
    </row>
    <row r="1850" spans="2:4">
      <c r="B1850" s="2">
        <v>39384</v>
      </c>
      <c r="C1850" t="s">
        <v>3</v>
      </c>
      <c r="D1850">
        <v>87.002335000000002</v>
      </c>
    </row>
    <row r="1851" spans="2:4">
      <c r="B1851" s="2">
        <v>39381</v>
      </c>
      <c r="C1851" t="s">
        <v>3</v>
      </c>
      <c r="D1851">
        <v>87.078249600000007</v>
      </c>
    </row>
    <row r="1852" spans="2:4">
      <c r="B1852" s="2">
        <v>39380</v>
      </c>
      <c r="C1852" t="s">
        <v>3</v>
      </c>
      <c r="D1852">
        <v>87.837710200000004</v>
      </c>
    </row>
    <row r="1853" spans="2:4">
      <c r="B1853" s="2">
        <v>39379</v>
      </c>
      <c r="C1853" t="s">
        <v>3</v>
      </c>
      <c r="D1853">
        <v>87.189526200000003</v>
      </c>
    </row>
    <row r="1854" spans="2:4">
      <c r="B1854" s="2">
        <v>39378</v>
      </c>
      <c r="C1854" t="s">
        <v>3</v>
      </c>
      <c r="D1854">
        <v>86.313339200000001</v>
      </c>
    </row>
    <row r="1855" spans="2:4">
      <c r="B1855" s="2">
        <v>39377</v>
      </c>
      <c r="C1855" t="s">
        <v>3</v>
      </c>
      <c r="D1855">
        <v>86.742077100000003</v>
      </c>
    </row>
    <row r="1856" spans="2:4">
      <c r="B1856" s="2">
        <v>39374</v>
      </c>
      <c r="C1856" t="s">
        <v>3</v>
      </c>
      <c r="D1856">
        <v>86.007829599999994</v>
      </c>
    </row>
    <row r="1857" spans="2:4">
      <c r="B1857" s="2">
        <v>39373</v>
      </c>
      <c r="C1857" t="s">
        <v>3</v>
      </c>
      <c r="D1857">
        <v>85.359892799999997</v>
      </c>
    </row>
    <row r="1858" spans="2:4">
      <c r="B1858" s="2">
        <v>39372</v>
      </c>
      <c r="C1858" t="s">
        <v>3</v>
      </c>
      <c r="D1858">
        <v>85.107384600000003</v>
      </c>
    </row>
    <row r="1859" spans="2:4">
      <c r="B1859" s="2">
        <v>39371</v>
      </c>
      <c r="C1859" t="s">
        <v>3</v>
      </c>
      <c r="D1859">
        <v>83.503598999999994</v>
      </c>
    </row>
    <row r="1860" spans="2:4">
      <c r="B1860" s="2">
        <v>39370</v>
      </c>
      <c r="C1860" t="s">
        <v>3</v>
      </c>
      <c r="D1860">
        <v>82.080806999999993</v>
      </c>
    </row>
    <row r="1861" spans="2:4">
      <c r="B1861" s="2">
        <v>39367</v>
      </c>
      <c r="C1861" t="s">
        <v>3</v>
      </c>
      <c r="D1861">
        <v>82.375097999999994</v>
      </c>
    </row>
    <row r="1862" spans="2:4">
      <c r="B1862" s="2">
        <v>39366</v>
      </c>
      <c r="C1862" t="s">
        <v>3</v>
      </c>
      <c r="D1862">
        <v>83.240281800000005</v>
      </c>
    </row>
    <row r="1863" spans="2:4">
      <c r="B1863" s="2">
        <v>39365</v>
      </c>
      <c r="C1863" t="s">
        <v>3</v>
      </c>
      <c r="D1863">
        <v>83.894906800000001</v>
      </c>
    </row>
    <row r="1864" spans="2:4">
      <c r="B1864" s="2">
        <v>39364</v>
      </c>
      <c r="C1864" t="s">
        <v>3</v>
      </c>
      <c r="D1864">
        <v>85.041605500000003</v>
      </c>
    </row>
    <row r="1865" spans="2:4">
      <c r="B1865" s="2">
        <v>39360</v>
      </c>
      <c r="C1865" t="s">
        <v>3</v>
      </c>
      <c r="D1865">
        <v>86.470377499999998</v>
      </c>
    </row>
    <row r="1866" spans="2:4">
      <c r="B1866" s="2">
        <v>39359</v>
      </c>
      <c r="C1866" t="s">
        <v>3</v>
      </c>
      <c r="D1866">
        <v>86.5385919</v>
      </c>
    </row>
    <row r="1867" spans="2:4">
      <c r="B1867" s="2">
        <v>39358</v>
      </c>
      <c r="C1867" t="s">
        <v>3</v>
      </c>
      <c r="D1867">
        <v>85.777749900000003</v>
      </c>
    </row>
    <row r="1868" spans="2:4">
      <c r="B1868" s="2">
        <v>39357</v>
      </c>
      <c r="C1868" t="s">
        <v>3</v>
      </c>
      <c r="D1868">
        <v>86.503921199999994</v>
      </c>
    </row>
    <row r="1869" spans="2:4">
      <c r="B1869" s="2">
        <v>39356</v>
      </c>
      <c r="C1869" t="s">
        <v>3</v>
      </c>
      <c r="D1869">
        <v>87.449241599999993</v>
      </c>
    </row>
    <row r="1870" spans="2:4">
      <c r="B1870" s="2">
        <v>39353</v>
      </c>
      <c r="C1870" t="s">
        <v>3</v>
      </c>
      <c r="D1870">
        <v>87.773240799999996</v>
      </c>
    </row>
    <row r="1871" spans="2:4">
      <c r="B1871" s="2">
        <v>39352</v>
      </c>
      <c r="C1871" t="s">
        <v>3</v>
      </c>
      <c r="D1871">
        <v>88.046567999999994</v>
      </c>
    </row>
    <row r="1872" spans="2:4">
      <c r="B1872" s="2">
        <v>39351</v>
      </c>
      <c r="C1872" t="s">
        <v>3</v>
      </c>
      <c r="D1872">
        <v>87.749600400000006</v>
      </c>
    </row>
    <row r="1873" spans="2:4">
      <c r="B1873" s="2">
        <v>39350</v>
      </c>
      <c r="C1873" t="s">
        <v>3</v>
      </c>
      <c r="D1873">
        <v>88.187724000000003</v>
      </c>
    </row>
    <row r="1874" spans="2:4">
      <c r="B1874" s="2">
        <v>39349</v>
      </c>
      <c r="C1874" t="s">
        <v>3</v>
      </c>
      <c r="D1874">
        <v>87.3804224</v>
      </c>
    </row>
    <row r="1875" spans="2:4">
      <c r="B1875" s="2">
        <v>39346</v>
      </c>
      <c r="C1875" t="s">
        <v>3</v>
      </c>
      <c r="D1875">
        <v>87.618090600000002</v>
      </c>
    </row>
    <row r="1876" spans="2:4">
      <c r="B1876" s="2">
        <v>39345</v>
      </c>
      <c r="C1876" t="s">
        <v>3</v>
      </c>
      <c r="D1876">
        <v>87.117092</v>
      </c>
    </row>
    <row r="1877" spans="2:4">
      <c r="B1877" s="2">
        <v>39344</v>
      </c>
      <c r="C1877" t="s">
        <v>3</v>
      </c>
      <c r="D1877">
        <v>86.071663599999994</v>
      </c>
    </row>
    <row r="1878" spans="2:4">
      <c r="B1878" s="2">
        <v>39343</v>
      </c>
      <c r="C1878" t="s">
        <v>3</v>
      </c>
      <c r="D1878">
        <v>86.881109600000002</v>
      </c>
    </row>
    <row r="1879" spans="2:4">
      <c r="B1879" s="2">
        <v>39342</v>
      </c>
      <c r="C1879" t="s">
        <v>3</v>
      </c>
      <c r="D1879">
        <v>87.406561499999995</v>
      </c>
    </row>
    <row r="1880" spans="2:4">
      <c r="B1880" s="2">
        <v>39339</v>
      </c>
      <c r="C1880" t="s">
        <v>3</v>
      </c>
      <c r="D1880">
        <v>87.828049500000006</v>
      </c>
    </row>
    <row r="1881" spans="2:4">
      <c r="B1881" s="2">
        <v>39338</v>
      </c>
      <c r="C1881" t="s">
        <v>3</v>
      </c>
      <c r="D1881">
        <v>88.340438599999999</v>
      </c>
    </row>
    <row r="1882" spans="2:4">
      <c r="B1882" s="2">
        <v>39337</v>
      </c>
      <c r="C1882" t="s">
        <v>3</v>
      </c>
      <c r="D1882">
        <v>89.224413900000002</v>
      </c>
    </row>
    <row r="1883" spans="2:4">
      <c r="B1883" s="2">
        <v>39336</v>
      </c>
      <c r="C1883" t="s">
        <v>3</v>
      </c>
      <c r="D1883">
        <v>88.342372299999994</v>
      </c>
    </row>
    <row r="1884" spans="2:4">
      <c r="B1884" s="2">
        <v>39335</v>
      </c>
      <c r="C1884" t="s">
        <v>3</v>
      </c>
      <c r="D1884">
        <v>87.141466800000003</v>
      </c>
    </row>
    <row r="1885" spans="2:4">
      <c r="B1885" s="2">
        <v>39332</v>
      </c>
      <c r="C1885" t="s">
        <v>3</v>
      </c>
      <c r="D1885">
        <v>85.682637</v>
      </c>
    </row>
    <row r="1886" spans="2:4">
      <c r="B1886" s="2">
        <v>39331</v>
      </c>
      <c r="C1886" t="s">
        <v>3</v>
      </c>
      <c r="D1886">
        <v>84.203565499999996</v>
      </c>
    </row>
    <row r="1887" spans="2:4">
      <c r="B1887" s="2">
        <v>39330</v>
      </c>
      <c r="C1887" t="s">
        <v>3</v>
      </c>
      <c r="D1887">
        <v>85.0108046</v>
      </c>
    </row>
    <row r="1888" spans="2:4">
      <c r="B1888" s="2">
        <v>39329</v>
      </c>
      <c r="C1888" t="s">
        <v>3</v>
      </c>
      <c r="D1888">
        <v>84.531639400000003</v>
      </c>
    </row>
    <row r="1889" spans="2:4">
      <c r="B1889" s="2">
        <v>39325</v>
      </c>
      <c r="C1889" t="s">
        <v>3</v>
      </c>
      <c r="D1889">
        <v>84.776931500000003</v>
      </c>
    </row>
    <row r="1890" spans="2:4">
      <c r="B1890" s="2">
        <v>39324</v>
      </c>
      <c r="C1890" t="s">
        <v>3</v>
      </c>
      <c r="D1890">
        <v>84.922640000000001</v>
      </c>
    </row>
    <row r="1891" spans="2:4">
      <c r="B1891" s="2">
        <v>39323</v>
      </c>
      <c r="C1891" t="s">
        <v>3</v>
      </c>
      <c r="D1891">
        <v>84.880975199999995</v>
      </c>
    </row>
    <row r="1892" spans="2:4">
      <c r="B1892" s="2">
        <v>39322</v>
      </c>
      <c r="C1892" t="s">
        <v>3</v>
      </c>
      <c r="D1892">
        <v>84.527185599999996</v>
      </c>
    </row>
    <row r="1893" spans="2:4">
      <c r="B1893" s="2">
        <v>39321</v>
      </c>
      <c r="C1893" t="s">
        <v>3</v>
      </c>
      <c r="D1893">
        <v>83.380104000000003</v>
      </c>
    </row>
    <row r="1894" spans="2:4">
      <c r="B1894" s="2">
        <v>39318</v>
      </c>
      <c r="C1894" t="s">
        <v>3</v>
      </c>
      <c r="D1894">
        <v>83.659278599999993</v>
      </c>
    </row>
    <row r="1895" spans="2:4">
      <c r="B1895" s="2">
        <v>39317</v>
      </c>
      <c r="C1895" t="s">
        <v>3</v>
      </c>
      <c r="D1895">
        <v>85.327402800000002</v>
      </c>
    </row>
    <row r="1896" spans="2:4">
      <c r="B1896" s="2">
        <v>39316</v>
      </c>
      <c r="C1896" t="s">
        <v>3</v>
      </c>
      <c r="D1896">
        <v>87.125787000000003</v>
      </c>
    </row>
    <row r="1897" spans="2:4">
      <c r="B1897" s="2">
        <v>39315</v>
      </c>
      <c r="C1897" t="s">
        <v>3</v>
      </c>
      <c r="D1897">
        <v>87.918068000000005</v>
      </c>
    </row>
    <row r="1898" spans="2:4">
      <c r="B1898" s="2">
        <v>39314</v>
      </c>
      <c r="C1898" t="s">
        <v>3</v>
      </c>
      <c r="D1898">
        <v>87.897292399999998</v>
      </c>
    </row>
    <row r="1899" spans="2:4">
      <c r="B1899" s="2">
        <v>39311</v>
      </c>
      <c r="C1899" t="s">
        <v>3</v>
      </c>
      <c r="D1899">
        <v>88.043149600000007</v>
      </c>
    </row>
    <row r="1900" spans="2:4">
      <c r="B1900" s="2">
        <v>39310</v>
      </c>
      <c r="C1900" t="s">
        <v>3</v>
      </c>
      <c r="D1900">
        <v>90.167347199999995</v>
      </c>
    </row>
    <row r="1901" spans="2:4">
      <c r="B1901" s="2">
        <v>39309</v>
      </c>
      <c r="C1901" t="s">
        <v>3</v>
      </c>
      <c r="D1901">
        <v>87.743060999999997</v>
      </c>
    </row>
    <row r="1902" spans="2:4">
      <c r="B1902" s="2">
        <v>39308</v>
      </c>
      <c r="C1902" t="s">
        <v>3</v>
      </c>
      <c r="D1902">
        <v>87.156233</v>
      </c>
    </row>
    <row r="1903" spans="2:4">
      <c r="B1903" s="2">
        <v>39307</v>
      </c>
      <c r="C1903" t="s">
        <v>3</v>
      </c>
      <c r="D1903">
        <v>87.080518799999993</v>
      </c>
    </row>
    <row r="1904" spans="2:4">
      <c r="B1904" s="2">
        <v>39304</v>
      </c>
      <c r="C1904" t="s">
        <v>3</v>
      </c>
      <c r="D1904">
        <v>87.645381599999993</v>
      </c>
    </row>
    <row r="1905" spans="2:4">
      <c r="B1905" s="2">
        <v>39303</v>
      </c>
      <c r="C1905" t="s">
        <v>3</v>
      </c>
      <c r="D1905">
        <v>87.425178000000002</v>
      </c>
    </row>
    <row r="1906" spans="2:4">
      <c r="B1906" s="2">
        <v>39302</v>
      </c>
      <c r="C1906" t="s">
        <v>3</v>
      </c>
      <c r="D1906">
        <v>84.826761500000003</v>
      </c>
    </row>
    <row r="1907" spans="2:4">
      <c r="B1907" s="2">
        <v>39301</v>
      </c>
      <c r="C1907" t="s">
        <v>3</v>
      </c>
      <c r="D1907">
        <v>85.337491200000002</v>
      </c>
    </row>
    <row r="1908" spans="2:4">
      <c r="B1908" s="2">
        <v>39300</v>
      </c>
      <c r="C1908" t="s">
        <v>3</v>
      </c>
      <c r="D1908">
        <v>87.562515399999995</v>
      </c>
    </row>
    <row r="1909" spans="2:4">
      <c r="B1909" s="2">
        <v>39297</v>
      </c>
      <c r="C1909" t="s">
        <v>3</v>
      </c>
      <c r="D1909">
        <v>87.270516000000001</v>
      </c>
    </row>
    <row r="1910" spans="2:4">
      <c r="B1910" s="2">
        <v>39296</v>
      </c>
      <c r="C1910" t="s">
        <v>3</v>
      </c>
      <c r="D1910">
        <v>86.551851400000004</v>
      </c>
    </row>
    <row r="1911" spans="2:4">
      <c r="B1911" s="2">
        <v>39295</v>
      </c>
      <c r="C1911" t="s">
        <v>3</v>
      </c>
      <c r="D1911">
        <v>87.873211800000007</v>
      </c>
    </row>
    <row r="1912" spans="2:4">
      <c r="B1912" s="2">
        <v>39294</v>
      </c>
      <c r="C1912" t="s">
        <v>3</v>
      </c>
      <c r="D1912">
        <v>89.200893600000001</v>
      </c>
    </row>
    <row r="1913" spans="2:4">
      <c r="B1913" s="2">
        <v>39293</v>
      </c>
      <c r="C1913" t="s">
        <v>3</v>
      </c>
      <c r="D1913">
        <v>89.631780000000006</v>
      </c>
    </row>
    <row r="1914" spans="2:4">
      <c r="B1914" s="2">
        <v>39290</v>
      </c>
      <c r="C1914" t="s">
        <v>3</v>
      </c>
      <c r="D1914">
        <v>90.629277200000004</v>
      </c>
    </row>
    <row r="1915" spans="2:4">
      <c r="B1915" s="2">
        <v>39289</v>
      </c>
      <c r="C1915" t="s">
        <v>3</v>
      </c>
      <c r="D1915">
        <v>89.480878200000006</v>
      </c>
    </row>
    <row r="1916" spans="2:4">
      <c r="B1916" s="2">
        <v>39288</v>
      </c>
      <c r="C1916" t="s">
        <v>3</v>
      </c>
      <c r="D1916">
        <v>85.870399399999997</v>
      </c>
    </row>
    <row r="1917" spans="2:4">
      <c r="B1917" s="2">
        <v>39287</v>
      </c>
      <c r="C1917" t="s">
        <v>3</v>
      </c>
      <c r="D1917">
        <v>84.234272000000004</v>
      </c>
    </row>
    <row r="1918" spans="2:4">
      <c r="B1918" s="2">
        <v>39286</v>
      </c>
      <c r="C1918" t="s">
        <v>3</v>
      </c>
      <c r="D1918">
        <v>82.324608799999993</v>
      </c>
    </row>
    <row r="1919" spans="2:4">
      <c r="B1919" s="2">
        <v>39283</v>
      </c>
      <c r="C1919" t="s">
        <v>3</v>
      </c>
      <c r="D1919">
        <v>82.456794000000002</v>
      </c>
    </row>
    <row r="1920" spans="2:4">
      <c r="B1920" s="2">
        <v>39282</v>
      </c>
      <c r="C1920" t="s">
        <v>3</v>
      </c>
      <c r="D1920">
        <v>81.071555000000004</v>
      </c>
    </row>
    <row r="1921" spans="2:4">
      <c r="B1921" s="2">
        <v>39281</v>
      </c>
      <c r="C1921" t="s">
        <v>3</v>
      </c>
      <c r="D1921">
        <v>81.085851000000005</v>
      </c>
    </row>
    <row r="1922" spans="2:4">
      <c r="B1922" s="2">
        <v>39280</v>
      </c>
      <c r="C1922" t="s">
        <v>3</v>
      </c>
      <c r="D1922">
        <v>80.9440752</v>
      </c>
    </row>
    <row r="1923" spans="2:4">
      <c r="B1923" s="2">
        <v>39279</v>
      </c>
      <c r="C1923" t="s">
        <v>3</v>
      </c>
      <c r="D1923">
        <v>80.882215500000001</v>
      </c>
    </row>
    <row r="1924" spans="2:4">
      <c r="B1924" s="2">
        <v>39276</v>
      </c>
      <c r="C1924" t="s">
        <v>3</v>
      </c>
      <c r="D1924">
        <v>81.061022699999995</v>
      </c>
    </row>
    <row r="1925" spans="2:4">
      <c r="B1925" s="2">
        <v>39275</v>
      </c>
      <c r="C1925" t="s">
        <v>3</v>
      </c>
      <c r="D1925">
        <v>81.025682399999994</v>
      </c>
    </row>
    <row r="1926" spans="2:4">
      <c r="B1926" s="2">
        <v>39274</v>
      </c>
      <c r="C1926" t="s">
        <v>3</v>
      </c>
      <c r="D1926">
        <v>81.217734399999998</v>
      </c>
    </row>
    <row r="1927" spans="2:4">
      <c r="B1927" s="2">
        <v>39273</v>
      </c>
      <c r="C1927" t="s">
        <v>3</v>
      </c>
      <c r="D1927">
        <v>81.127891500000004</v>
      </c>
    </row>
    <row r="1928" spans="2:4">
      <c r="B1928" s="2">
        <v>39272</v>
      </c>
      <c r="C1928" t="s">
        <v>3</v>
      </c>
      <c r="D1928">
        <v>79.642467199999999</v>
      </c>
    </row>
    <row r="1929" spans="2:4">
      <c r="B1929" s="2">
        <v>39269</v>
      </c>
      <c r="C1929" t="s">
        <v>3</v>
      </c>
      <c r="D1929">
        <v>80.495400000000004</v>
      </c>
    </row>
    <row r="1930" spans="2:4">
      <c r="B1930" s="2">
        <v>39268</v>
      </c>
      <c r="C1930" t="s">
        <v>3</v>
      </c>
      <c r="D1930">
        <v>80.145106499999997</v>
      </c>
    </row>
    <row r="1931" spans="2:4">
      <c r="B1931" s="2">
        <v>39266</v>
      </c>
      <c r="C1931" t="s">
        <v>3</v>
      </c>
      <c r="D1931">
        <v>80.071028100000007</v>
      </c>
    </row>
    <row r="1932" spans="2:4">
      <c r="B1932" s="2">
        <v>39265</v>
      </c>
      <c r="C1932" t="s">
        <v>3</v>
      </c>
      <c r="D1932">
        <v>80.128893000000005</v>
      </c>
    </row>
    <row r="1933" spans="2:4">
      <c r="B1933" s="2">
        <v>39262</v>
      </c>
      <c r="C1933" t="s">
        <v>3</v>
      </c>
      <c r="D1933">
        <v>79.482388</v>
      </c>
    </row>
    <row r="1934" spans="2:4">
      <c r="B1934" s="2">
        <v>39261</v>
      </c>
      <c r="C1934" t="s">
        <v>3</v>
      </c>
      <c r="D1934">
        <v>78.864073200000007</v>
      </c>
    </row>
    <row r="1935" spans="2:4">
      <c r="B1935" s="2">
        <v>39260</v>
      </c>
      <c r="C1935" t="s">
        <v>3</v>
      </c>
      <c r="D1935">
        <v>79.145520300000001</v>
      </c>
    </row>
    <row r="1936" spans="2:4">
      <c r="B1936" s="2">
        <v>39259</v>
      </c>
      <c r="C1936" t="s">
        <v>3</v>
      </c>
      <c r="D1936">
        <v>78.645366800000005</v>
      </c>
    </row>
    <row r="1937" spans="2:4">
      <c r="B1937" s="2">
        <v>39258</v>
      </c>
      <c r="C1937" t="s">
        <v>3</v>
      </c>
      <c r="D1937">
        <v>78.530341500000006</v>
      </c>
    </row>
    <row r="1938" spans="2:4">
      <c r="B1938" s="2">
        <v>39255</v>
      </c>
      <c r="C1938" t="s">
        <v>3</v>
      </c>
      <c r="D1938">
        <v>78.634407499999995</v>
      </c>
    </row>
    <row r="1939" spans="2:4">
      <c r="B1939" s="2">
        <v>39254</v>
      </c>
      <c r="C1939" t="s">
        <v>3</v>
      </c>
      <c r="D1939">
        <v>78.306902500000007</v>
      </c>
    </row>
    <row r="1940" spans="2:4">
      <c r="B1940" s="2">
        <v>39253</v>
      </c>
      <c r="C1940" t="s">
        <v>3</v>
      </c>
      <c r="D1940">
        <v>77.835165799999999</v>
      </c>
    </row>
    <row r="1941" spans="2:4">
      <c r="B1941" s="2">
        <v>39252</v>
      </c>
      <c r="C1941" t="s">
        <v>3</v>
      </c>
      <c r="D1941">
        <v>77.095235000000002</v>
      </c>
    </row>
    <row r="1942" spans="2:4">
      <c r="B1942" s="2">
        <v>39251</v>
      </c>
      <c r="C1942" t="s">
        <v>3</v>
      </c>
      <c r="D1942">
        <v>76.310914499999996</v>
      </c>
    </row>
    <row r="1943" spans="2:4">
      <c r="B1943" s="2">
        <v>39248</v>
      </c>
      <c r="C1943" t="s">
        <v>3</v>
      </c>
      <c r="D1943">
        <v>77.438688999999997</v>
      </c>
    </row>
    <row r="1944" spans="2:4">
      <c r="B1944" s="2">
        <v>39247</v>
      </c>
      <c r="C1944" t="s">
        <v>3</v>
      </c>
      <c r="D1944">
        <v>78.608016199999994</v>
      </c>
    </row>
    <row r="1945" spans="2:4">
      <c r="B1945" s="2">
        <v>39246</v>
      </c>
      <c r="C1945" t="s">
        <v>3</v>
      </c>
      <c r="D1945">
        <v>78.803458199999994</v>
      </c>
    </row>
    <row r="1946" spans="2:4">
      <c r="B1946" s="2">
        <v>39245</v>
      </c>
      <c r="C1946" t="s">
        <v>3</v>
      </c>
      <c r="D1946">
        <v>79.272335100000006</v>
      </c>
    </row>
    <row r="1947" spans="2:4">
      <c r="B1947" s="2">
        <v>39244</v>
      </c>
      <c r="C1947" t="s">
        <v>3</v>
      </c>
      <c r="D1947">
        <v>76.098905999999999</v>
      </c>
    </row>
    <row r="1948" spans="2:4">
      <c r="B1948" s="2">
        <v>39241</v>
      </c>
      <c r="C1948" t="s">
        <v>3</v>
      </c>
      <c r="D1948">
        <v>76.133413200000007</v>
      </c>
    </row>
    <row r="1949" spans="2:4">
      <c r="B1949" s="2">
        <v>39240</v>
      </c>
      <c r="C1949" t="s">
        <v>3</v>
      </c>
      <c r="D1949">
        <v>75.178741000000002</v>
      </c>
    </row>
    <row r="1950" spans="2:4">
      <c r="B1950" s="2">
        <v>39239</v>
      </c>
      <c r="C1950" t="s">
        <v>3</v>
      </c>
      <c r="D1950">
        <v>73.093033700000007</v>
      </c>
    </row>
    <row r="1951" spans="2:4">
      <c r="B1951" s="2">
        <v>39238</v>
      </c>
      <c r="C1951" t="s">
        <v>3</v>
      </c>
      <c r="D1951">
        <v>72.577353599999995</v>
      </c>
    </row>
    <row r="1952" spans="2:4">
      <c r="B1952" s="2">
        <v>39237</v>
      </c>
      <c r="C1952" t="s">
        <v>3</v>
      </c>
      <c r="D1952">
        <v>72.911565300000007</v>
      </c>
    </row>
    <row r="1953" spans="2:4">
      <c r="B1953" s="2">
        <v>39234</v>
      </c>
      <c r="C1953" t="s">
        <v>3</v>
      </c>
      <c r="D1953">
        <v>72.961807699999994</v>
      </c>
    </row>
    <row r="1954" spans="2:4">
      <c r="B1954" s="2">
        <v>39233</v>
      </c>
      <c r="C1954" t="s">
        <v>3</v>
      </c>
      <c r="D1954">
        <v>73.250559999999993</v>
      </c>
    </row>
    <row r="1955" spans="2:4">
      <c r="B1955" s="2">
        <v>39232</v>
      </c>
      <c r="C1955" t="s">
        <v>3</v>
      </c>
      <c r="D1955">
        <v>73.378245199999995</v>
      </c>
    </row>
    <row r="1956" spans="2:4">
      <c r="B1956" s="2">
        <v>39231</v>
      </c>
      <c r="C1956" t="s">
        <v>3</v>
      </c>
      <c r="D1956">
        <v>73.018372799999995</v>
      </c>
    </row>
    <row r="1957" spans="2:4">
      <c r="B1957" s="2">
        <v>39227</v>
      </c>
      <c r="C1957" t="s">
        <v>3</v>
      </c>
      <c r="D1957">
        <v>72.758714400000002</v>
      </c>
    </row>
    <row r="1958" spans="2:4">
      <c r="B1958" s="2">
        <v>39226</v>
      </c>
      <c r="C1958" t="s">
        <v>3</v>
      </c>
      <c r="D1958">
        <v>73.057531499999996</v>
      </c>
    </row>
    <row r="1959" spans="2:4">
      <c r="B1959" s="2">
        <v>39225</v>
      </c>
      <c r="C1959" t="s">
        <v>3</v>
      </c>
      <c r="D1959">
        <v>72.779364999999999</v>
      </c>
    </row>
    <row r="1960" spans="2:4">
      <c r="B1960" s="2">
        <v>39224</v>
      </c>
      <c r="C1960" t="s">
        <v>3</v>
      </c>
      <c r="D1960">
        <v>72.448185600000002</v>
      </c>
    </row>
    <row r="1961" spans="2:4">
      <c r="B1961" s="2">
        <v>39223</v>
      </c>
      <c r="C1961" t="s">
        <v>3</v>
      </c>
      <c r="D1961">
        <v>72.906371199999995</v>
      </c>
    </row>
    <row r="1962" spans="2:4">
      <c r="B1962" s="2">
        <v>39220</v>
      </c>
      <c r="C1962" t="s">
        <v>3</v>
      </c>
      <c r="D1962">
        <v>73.391797999999994</v>
      </c>
    </row>
    <row r="1963" spans="2:4">
      <c r="B1963" s="2">
        <v>39219</v>
      </c>
      <c r="C1963" t="s">
        <v>3</v>
      </c>
      <c r="D1963">
        <v>73.152693999999997</v>
      </c>
    </row>
    <row r="1964" spans="2:4">
      <c r="B1964" s="2">
        <v>39218</v>
      </c>
      <c r="C1964" t="s">
        <v>3</v>
      </c>
      <c r="D1964">
        <v>73.824426000000003</v>
      </c>
    </row>
    <row r="1965" spans="2:4">
      <c r="B1965" s="2">
        <v>39217</v>
      </c>
      <c r="C1965" t="s">
        <v>3</v>
      </c>
      <c r="D1965">
        <v>73.4867524</v>
      </c>
    </row>
    <row r="1966" spans="2:4">
      <c r="B1966" s="2">
        <v>39216</v>
      </c>
      <c r="C1966" t="s">
        <v>3</v>
      </c>
      <c r="D1966">
        <v>73.704811599999999</v>
      </c>
    </row>
    <row r="1967" spans="2:4">
      <c r="B1967" s="2">
        <v>39213</v>
      </c>
      <c r="C1967" t="s">
        <v>3</v>
      </c>
      <c r="D1967">
        <v>74.357567200000005</v>
      </c>
    </row>
    <row r="1968" spans="2:4">
      <c r="B1968" s="2">
        <v>39212</v>
      </c>
      <c r="C1968" t="s">
        <v>3</v>
      </c>
      <c r="D1968">
        <v>74.418484000000007</v>
      </c>
    </row>
    <row r="1969" spans="2:4">
      <c r="B1969" s="2">
        <v>39211</v>
      </c>
      <c r="C1969" t="s">
        <v>3</v>
      </c>
      <c r="D1969">
        <v>74.291659199999998</v>
      </c>
    </row>
    <row r="1970" spans="2:4">
      <c r="B1970" s="2">
        <v>39210</v>
      </c>
      <c r="C1970" t="s">
        <v>3</v>
      </c>
      <c r="D1970">
        <v>74.3889262</v>
      </c>
    </row>
    <row r="1971" spans="2:4">
      <c r="B1971" s="2">
        <v>39209</v>
      </c>
      <c r="C1971" t="s">
        <v>3</v>
      </c>
      <c r="D1971">
        <v>74.081924400000005</v>
      </c>
    </row>
    <row r="1972" spans="2:4">
      <c r="B1972" s="2">
        <v>39206</v>
      </c>
      <c r="C1972" t="s">
        <v>3</v>
      </c>
      <c r="D1972">
        <v>73.640235599999997</v>
      </c>
    </row>
    <row r="1973" spans="2:4">
      <c r="B1973" s="2">
        <v>39205</v>
      </c>
      <c r="C1973" t="s">
        <v>3</v>
      </c>
      <c r="D1973">
        <v>73.724461199999993</v>
      </c>
    </row>
    <row r="1974" spans="2:4">
      <c r="B1974" s="2">
        <v>39204</v>
      </c>
      <c r="C1974" t="s">
        <v>3</v>
      </c>
      <c r="D1974">
        <v>73.657687999999993</v>
      </c>
    </row>
    <row r="1975" spans="2:4">
      <c r="B1975" s="2">
        <v>39203</v>
      </c>
      <c r="C1975" t="s">
        <v>3</v>
      </c>
      <c r="D1975">
        <v>73.771150000000006</v>
      </c>
    </row>
    <row r="1976" spans="2:4">
      <c r="B1976" s="2">
        <v>39202</v>
      </c>
      <c r="C1976" t="s">
        <v>3</v>
      </c>
      <c r="D1976">
        <v>73.842207999999999</v>
      </c>
    </row>
    <row r="1977" spans="2:4">
      <c r="B1977" s="2">
        <v>39199</v>
      </c>
      <c r="C1977" t="s">
        <v>3</v>
      </c>
      <c r="D1977">
        <v>73.253184599999997</v>
      </c>
    </row>
    <row r="1978" spans="2:4">
      <c r="B1978" s="2">
        <v>39198</v>
      </c>
      <c r="C1978" t="s">
        <v>3</v>
      </c>
      <c r="D1978">
        <v>73.452612999999999</v>
      </c>
    </row>
    <row r="1979" spans="2:4">
      <c r="B1979" s="2">
        <v>39197</v>
      </c>
      <c r="C1979" t="s">
        <v>3</v>
      </c>
      <c r="D1979">
        <v>73.923847199999997</v>
      </c>
    </row>
    <row r="1980" spans="2:4">
      <c r="B1980" s="2">
        <v>39196</v>
      </c>
      <c r="C1980" t="s">
        <v>3</v>
      </c>
      <c r="D1980">
        <v>74.022712200000001</v>
      </c>
    </row>
    <row r="1981" spans="2:4">
      <c r="B1981" s="2">
        <v>39195</v>
      </c>
      <c r="C1981" t="s">
        <v>3</v>
      </c>
      <c r="D1981">
        <v>74.013238000000001</v>
      </c>
    </row>
    <row r="1982" spans="2:4">
      <c r="B1982" s="2">
        <v>39192</v>
      </c>
      <c r="C1982" t="s">
        <v>3</v>
      </c>
      <c r="D1982">
        <v>73.9568826</v>
      </c>
    </row>
    <row r="1983" spans="2:4">
      <c r="B1983" s="2">
        <v>39191</v>
      </c>
      <c r="C1983" t="s">
        <v>3</v>
      </c>
      <c r="D1983">
        <v>73.464687999999995</v>
      </c>
    </row>
    <row r="1984" spans="2:4">
      <c r="B1984" s="2">
        <v>39190</v>
      </c>
      <c r="C1984" t="s">
        <v>3</v>
      </c>
      <c r="D1984">
        <v>73.316559600000005</v>
      </c>
    </row>
    <row r="1985" spans="2:4">
      <c r="B1985" s="2">
        <v>39189</v>
      </c>
      <c r="C1985" t="s">
        <v>3</v>
      </c>
      <c r="D1985">
        <v>72.894949199999999</v>
      </c>
    </row>
    <row r="1986" spans="2:4">
      <c r="B1986" s="2">
        <v>39188</v>
      </c>
      <c r="C1986" t="s">
        <v>3</v>
      </c>
      <c r="D1986">
        <v>72.044204800000003</v>
      </c>
    </row>
    <row r="1987" spans="2:4">
      <c r="B1987" s="2">
        <v>39185</v>
      </c>
      <c r="C1987" t="s">
        <v>3</v>
      </c>
      <c r="D1987">
        <v>71.890694400000001</v>
      </c>
    </row>
    <row r="1988" spans="2:4">
      <c r="B1988" s="2">
        <v>39184</v>
      </c>
      <c r="C1988" t="s">
        <v>3</v>
      </c>
      <c r="D1988">
        <v>72.585375900000003</v>
      </c>
    </row>
    <row r="1989" spans="2:4">
      <c r="B1989" s="2">
        <v>39183</v>
      </c>
      <c r="C1989" t="s">
        <v>3</v>
      </c>
      <c r="D1989">
        <v>73.055570000000003</v>
      </c>
    </row>
    <row r="1990" spans="2:4">
      <c r="B1990" s="2">
        <v>39182</v>
      </c>
      <c r="C1990" t="s">
        <v>3</v>
      </c>
      <c r="D1990">
        <v>73.297474800000003</v>
      </c>
    </row>
    <row r="1991" spans="2:4">
      <c r="B1991" s="2">
        <v>39181</v>
      </c>
      <c r="C1991" t="s">
        <v>3</v>
      </c>
      <c r="D1991">
        <v>73.152693999999997</v>
      </c>
    </row>
    <row r="1992" spans="2:4">
      <c r="B1992" s="2">
        <v>39177</v>
      </c>
      <c r="C1992" t="s">
        <v>3</v>
      </c>
      <c r="D1992">
        <v>74.30583</v>
      </c>
    </row>
    <row r="1993" spans="2:4">
      <c r="B1993" s="2">
        <v>39176</v>
      </c>
      <c r="C1993" t="s">
        <v>3</v>
      </c>
      <c r="D1993">
        <v>74.757323200000002</v>
      </c>
    </row>
    <row r="1994" spans="2:4">
      <c r="B1994" s="2">
        <v>39175</v>
      </c>
      <c r="C1994" t="s">
        <v>3</v>
      </c>
      <c r="D1994">
        <v>74.370553400000006</v>
      </c>
    </row>
    <row r="1995" spans="2:4">
      <c r="B1995" s="2">
        <v>39174</v>
      </c>
      <c r="C1995" t="s">
        <v>3</v>
      </c>
      <c r="D1995">
        <v>74.793289999999999</v>
      </c>
    </row>
    <row r="1996" spans="2:4">
      <c r="B1996" s="2">
        <v>39171</v>
      </c>
      <c r="C1996" t="s">
        <v>3</v>
      </c>
      <c r="D1996">
        <v>75.054718199999996</v>
      </c>
    </row>
    <row r="1997" spans="2:4">
      <c r="B1997" s="2">
        <v>39170</v>
      </c>
      <c r="C1997" t="s">
        <v>3</v>
      </c>
      <c r="D1997">
        <v>74.857785399999997</v>
      </c>
    </row>
    <row r="1998" spans="2:4">
      <c r="B1998" s="2">
        <v>39169</v>
      </c>
      <c r="C1998" t="s">
        <v>3</v>
      </c>
      <c r="D1998">
        <v>75.506339999999994</v>
      </c>
    </row>
    <row r="1999" spans="2:4">
      <c r="B1999" s="2">
        <v>39168</v>
      </c>
      <c r="C1999" t="s">
        <v>3</v>
      </c>
      <c r="D1999">
        <v>75.362588000000002</v>
      </c>
    </row>
    <row r="2000" spans="2:4">
      <c r="B2000" s="2">
        <v>39167</v>
      </c>
      <c r="C2000" t="s">
        <v>3</v>
      </c>
      <c r="D2000">
        <v>74.9019969</v>
      </c>
    </row>
    <row r="2001" spans="2:4">
      <c r="B2001" s="2">
        <v>39164</v>
      </c>
      <c r="C2001" t="s">
        <v>3</v>
      </c>
      <c r="D2001">
        <v>74.739347199999997</v>
      </c>
    </row>
    <row r="2002" spans="2:4">
      <c r="B2002" s="2">
        <v>39163</v>
      </c>
      <c r="C2002" t="s">
        <v>3</v>
      </c>
      <c r="D2002">
        <v>74.857860000000002</v>
      </c>
    </row>
    <row r="2003" spans="2:4">
      <c r="B2003" s="2">
        <v>39162</v>
      </c>
      <c r="C2003" t="s">
        <v>3</v>
      </c>
      <c r="D2003">
        <v>74.371577000000002</v>
      </c>
    </row>
    <row r="2004" spans="2:4">
      <c r="B2004" s="2">
        <v>39161</v>
      </c>
      <c r="C2004" t="s">
        <v>3</v>
      </c>
      <c r="D2004">
        <v>74.525023200000007</v>
      </c>
    </row>
    <row r="2005" spans="2:4">
      <c r="B2005" s="2">
        <v>39160</v>
      </c>
      <c r="C2005" t="s">
        <v>3</v>
      </c>
      <c r="D2005">
        <v>74.794510000000002</v>
      </c>
    </row>
    <row r="2006" spans="2:4">
      <c r="B2006" s="2">
        <v>39157</v>
      </c>
      <c r="C2006" t="s">
        <v>3</v>
      </c>
      <c r="D2006">
        <v>75.026956799999994</v>
      </c>
    </row>
    <row r="2007" spans="2:4">
      <c r="B2007" s="2">
        <v>39156</v>
      </c>
      <c r="C2007" t="s">
        <v>3</v>
      </c>
      <c r="D2007">
        <v>76.133622500000001</v>
      </c>
    </row>
    <row r="2008" spans="2:4">
      <c r="B2008" s="2">
        <v>39155</v>
      </c>
      <c r="C2008" t="s">
        <v>3</v>
      </c>
      <c r="D2008">
        <v>76.058867699999993</v>
      </c>
    </row>
    <row r="2009" spans="2:4">
      <c r="B2009" s="2">
        <v>39154</v>
      </c>
      <c r="C2009" t="s">
        <v>3</v>
      </c>
      <c r="D2009">
        <v>75.872830800000003</v>
      </c>
    </row>
    <row r="2010" spans="2:4">
      <c r="B2010" s="2">
        <v>39153</v>
      </c>
      <c r="C2010" t="s">
        <v>3</v>
      </c>
      <c r="D2010">
        <v>75.0597104</v>
      </c>
    </row>
    <row r="2011" spans="2:4">
      <c r="B2011" s="2">
        <v>39150</v>
      </c>
      <c r="C2011" t="s">
        <v>3</v>
      </c>
      <c r="D2011">
        <v>75.291042599999997</v>
      </c>
    </row>
    <row r="2012" spans="2:4">
      <c r="B2012" s="2">
        <v>39149</v>
      </c>
      <c r="C2012" t="s">
        <v>3</v>
      </c>
      <c r="D2012">
        <v>75.918423899999993</v>
      </c>
    </row>
    <row r="2013" spans="2:4">
      <c r="B2013" s="2">
        <v>39148</v>
      </c>
      <c r="C2013" t="s">
        <v>3</v>
      </c>
      <c r="D2013">
        <v>76.712325199999995</v>
      </c>
    </row>
    <row r="2014" spans="2:4">
      <c r="B2014" s="2">
        <v>39147</v>
      </c>
      <c r="C2014" t="s">
        <v>3</v>
      </c>
      <c r="D2014">
        <v>76.349769600000002</v>
      </c>
    </row>
    <row r="2015" spans="2:4">
      <c r="B2015" s="2">
        <v>39146</v>
      </c>
      <c r="C2015" t="s">
        <v>3</v>
      </c>
      <c r="D2015">
        <v>77.931050400000004</v>
      </c>
    </row>
    <row r="2016" spans="2:4">
      <c r="B2016" s="2">
        <v>39143</v>
      </c>
      <c r="C2016" t="s">
        <v>3</v>
      </c>
      <c r="D2016">
        <v>78.0034706</v>
      </c>
    </row>
    <row r="2017" spans="2:4">
      <c r="B2017" s="2">
        <v>39142</v>
      </c>
      <c r="C2017" t="s">
        <v>3</v>
      </c>
      <c r="D2017">
        <v>76.796506300000004</v>
      </c>
    </row>
    <row r="2018" spans="2:4">
      <c r="B2018" s="2">
        <v>39141</v>
      </c>
      <c r="C2018" t="s">
        <v>3</v>
      </c>
      <c r="D2018">
        <v>75.902111599999998</v>
      </c>
    </row>
    <row r="2019" spans="2:4">
      <c r="B2019" s="2">
        <v>39140</v>
      </c>
      <c r="C2019" t="s">
        <v>3</v>
      </c>
      <c r="D2019">
        <v>77.003363199999995</v>
      </c>
    </row>
    <row r="2020" spans="2:4">
      <c r="B2020" s="2">
        <v>39139</v>
      </c>
      <c r="C2020" t="s">
        <v>3</v>
      </c>
      <c r="D2020">
        <v>74.593836800000005</v>
      </c>
    </row>
    <row r="2021" spans="2:4">
      <c r="B2021" s="2">
        <v>39136</v>
      </c>
      <c r="C2021" t="s">
        <v>3</v>
      </c>
      <c r="D2021">
        <v>73.7527446</v>
      </c>
    </row>
    <row r="2022" spans="2:4">
      <c r="B2022" s="2">
        <v>39135</v>
      </c>
      <c r="C2022" t="s">
        <v>3</v>
      </c>
      <c r="D2022">
        <v>72.973971599999999</v>
      </c>
    </row>
    <row r="2023" spans="2:4">
      <c r="B2023" s="2">
        <v>39134</v>
      </c>
      <c r="C2023" t="s">
        <v>3</v>
      </c>
      <c r="D2023">
        <v>73.398842999999999</v>
      </c>
    </row>
    <row r="2024" spans="2:4">
      <c r="B2024" s="2">
        <v>39133</v>
      </c>
      <c r="C2024" t="s">
        <v>3</v>
      </c>
      <c r="D2024">
        <v>74.599869100000006</v>
      </c>
    </row>
    <row r="2025" spans="2:4">
      <c r="B2025" s="2">
        <v>39129</v>
      </c>
      <c r="C2025" t="s">
        <v>3</v>
      </c>
      <c r="D2025">
        <v>73.615163699999997</v>
      </c>
    </row>
    <row r="2026" spans="2:4">
      <c r="B2026" s="2">
        <v>39128</v>
      </c>
      <c r="C2026" t="s">
        <v>3</v>
      </c>
      <c r="D2026">
        <v>72.831135000000003</v>
      </c>
    </row>
    <row r="2027" spans="2:4">
      <c r="B2027" s="2">
        <v>39127</v>
      </c>
      <c r="C2027" t="s">
        <v>3</v>
      </c>
      <c r="D2027">
        <v>72.011461100000005</v>
      </c>
    </row>
    <row r="2028" spans="2:4">
      <c r="B2028" s="2">
        <v>39126</v>
      </c>
      <c r="C2028" t="s">
        <v>3</v>
      </c>
      <c r="D2028">
        <v>71.368290000000002</v>
      </c>
    </row>
    <row r="2029" spans="2:4">
      <c r="B2029" s="2">
        <v>39125</v>
      </c>
      <c r="C2029" t="s">
        <v>3</v>
      </c>
      <c r="D2029">
        <v>71.276544000000001</v>
      </c>
    </row>
    <row r="2030" spans="2:4">
      <c r="B2030" s="2">
        <v>39122</v>
      </c>
      <c r="C2030" t="s">
        <v>3</v>
      </c>
      <c r="D2030">
        <v>71.738540999999998</v>
      </c>
    </row>
    <row r="2031" spans="2:4">
      <c r="B2031" s="2">
        <v>39121</v>
      </c>
      <c r="C2031" t="s">
        <v>3</v>
      </c>
      <c r="D2031">
        <v>71.861699200000004</v>
      </c>
    </row>
    <row r="2032" spans="2:4">
      <c r="B2032" s="2">
        <v>39120</v>
      </c>
      <c r="C2032" t="s">
        <v>3</v>
      </c>
      <c r="D2032">
        <v>72.186823799999999</v>
      </c>
    </row>
    <row r="2033" spans="2:4">
      <c r="B2033" s="2">
        <v>39119</v>
      </c>
      <c r="C2033" t="s">
        <v>3</v>
      </c>
      <c r="D2033">
        <v>71.364587999999998</v>
      </c>
    </row>
    <row r="2034" spans="2:4">
      <c r="B2034" s="2">
        <v>39118</v>
      </c>
      <c r="C2034" t="s">
        <v>3</v>
      </c>
      <c r="D2034">
        <v>71.014407599999998</v>
      </c>
    </row>
    <row r="2035" spans="2:4">
      <c r="B2035" s="2">
        <v>39115</v>
      </c>
      <c r="C2035" t="s">
        <v>3</v>
      </c>
      <c r="D2035">
        <v>71.426124000000002</v>
      </c>
    </row>
    <row r="2036" spans="2:4">
      <c r="B2036" s="2">
        <v>39114</v>
      </c>
      <c r="C2036" t="s">
        <v>3</v>
      </c>
      <c r="D2036">
        <v>72.400268999999994</v>
      </c>
    </row>
    <row r="2037" spans="2:4">
      <c r="B2037" s="2">
        <v>39113</v>
      </c>
      <c r="C2037" t="s">
        <v>3</v>
      </c>
      <c r="D2037">
        <v>72.470268000000004</v>
      </c>
    </row>
    <row r="2038" spans="2:4">
      <c r="B2038" s="2">
        <v>39112</v>
      </c>
      <c r="C2038" t="s">
        <v>3</v>
      </c>
      <c r="D2038">
        <v>73.663189599999995</v>
      </c>
    </row>
    <row r="2039" spans="2:4">
      <c r="B2039" s="2">
        <v>39111</v>
      </c>
      <c r="C2039" t="s">
        <v>3</v>
      </c>
      <c r="D2039">
        <v>74.116991400000003</v>
      </c>
    </row>
    <row r="2040" spans="2:4">
      <c r="B2040" s="2">
        <v>39108</v>
      </c>
      <c r="C2040" t="s">
        <v>3</v>
      </c>
      <c r="D2040">
        <v>74.592773199999996</v>
      </c>
    </row>
    <row r="2041" spans="2:4">
      <c r="B2041" s="2">
        <v>39107</v>
      </c>
      <c r="C2041" t="s">
        <v>3</v>
      </c>
      <c r="D2041">
        <v>74.774364800000001</v>
      </c>
    </row>
    <row r="2042" spans="2:4">
      <c r="B2042" s="2">
        <v>39106</v>
      </c>
      <c r="C2042" t="s">
        <v>3</v>
      </c>
      <c r="D2042">
        <v>74.632768999999996</v>
      </c>
    </row>
    <row r="2043" spans="2:4">
      <c r="B2043" s="2">
        <v>39105</v>
      </c>
      <c r="C2043" t="s">
        <v>3</v>
      </c>
      <c r="D2043">
        <v>74.581509199999999</v>
      </c>
    </row>
    <row r="2044" spans="2:4">
      <c r="B2044" s="2">
        <v>39104</v>
      </c>
      <c r="C2044" t="s">
        <v>3</v>
      </c>
      <c r="D2044">
        <v>75.076333500000004</v>
      </c>
    </row>
    <row r="2045" spans="2:4">
      <c r="B2045" s="2">
        <v>39101</v>
      </c>
      <c r="C2045" t="s">
        <v>3</v>
      </c>
      <c r="D2045">
        <v>74.685708000000005</v>
      </c>
    </row>
    <row r="2046" spans="2:4">
      <c r="B2046" s="2">
        <v>39100</v>
      </c>
      <c r="C2046" t="s">
        <v>3</v>
      </c>
      <c r="D2046">
        <v>74.178476399999994</v>
      </c>
    </row>
    <row r="2047" spans="2:4">
      <c r="B2047" s="2">
        <v>39099</v>
      </c>
      <c r="C2047" t="s">
        <v>3</v>
      </c>
      <c r="D2047">
        <v>73.973851199999999</v>
      </c>
    </row>
    <row r="2048" spans="2:4">
      <c r="B2048" s="2">
        <v>39098</v>
      </c>
      <c r="C2048" t="s">
        <v>3</v>
      </c>
      <c r="D2048">
        <v>74.270130499999993</v>
      </c>
    </row>
    <row r="2049" spans="2:4">
      <c r="B2049" s="2">
        <v>39094</v>
      </c>
      <c r="C2049" t="s">
        <v>3</v>
      </c>
      <c r="D2049">
        <v>75.3190776</v>
      </c>
    </row>
    <row r="2050" spans="2:4">
      <c r="B2050" s="2">
        <v>39093</v>
      </c>
      <c r="C2050" t="s">
        <v>3</v>
      </c>
      <c r="D2050">
        <v>76.160144700000004</v>
      </c>
    </row>
    <row r="2051" spans="2:4">
      <c r="B2051" s="2">
        <v>39092</v>
      </c>
      <c r="C2051" t="s">
        <v>3</v>
      </c>
      <c r="D2051">
        <v>76.016967199999996</v>
      </c>
    </row>
    <row r="2052" spans="2:4">
      <c r="B2052" s="2">
        <v>39091</v>
      </c>
      <c r="C2052" t="s">
        <v>3</v>
      </c>
      <c r="D2052">
        <v>76.049400800000001</v>
      </c>
    </row>
    <row r="2053" spans="2:4">
      <c r="B2053" s="2">
        <v>39090</v>
      </c>
      <c r="C2053" t="s">
        <v>3</v>
      </c>
      <c r="D2053">
        <v>76.789212000000006</v>
      </c>
    </row>
    <row r="2054" spans="2:4">
      <c r="B2054" s="2">
        <v>39087</v>
      </c>
      <c r="C2054" t="s">
        <v>3</v>
      </c>
      <c r="D2054">
        <v>76.983174000000005</v>
      </c>
    </row>
    <row r="2055" spans="2:4">
      <c r="B2055" s="2">
        <v>39086</v>
      </c>
      <c r="C2055" t="s">
        <v>3</v>
      </c>
      <c r="D2055">
        <v>78.541355999999993</v>
      </c>
    </row>
    <row r="2056" spans="2:4">
      <c r="B2056" s="2">
        <v>39085</v>
      </c>
      <c r="C2056" t="s">
        <v>3</v>
      </c>
      <c r="D2056">
        <v>78.592253200000002</v>
      </c>
    </row>
    <row r="2057" spans="2:4">
      <c r="B2057" s="2">
        <v>39084</v>
      </c>
      <c r="C2057" t="s">
        <v>3</v>
      </c>
      <c r="D2057">
        <v>79.331879900000004</v>
      </c>
    </row>
    <row r="2058" spans="2:4">
      <c r="B2058" s="2">
        <v>39080</v>
      </c>
      <c r="C2058" t="s">
        <v>3</v>
      </c>
      <c r="D2058">
        <v>79.842191</v>
      </c>
    </row>
    <row r="2059" spans="2:4">
      <c r="B2059" s="2">
        <v>39079</v>
      </c>
      <c r="C2059" t="s">
        <v>3</v>
      </c>
      <c r="D2059">
        <v>80.000341199999994</v>
      </c>
    </row>
    <row r="2060" spans="2:4">
      <c r="B2060" s="2">
        <v>39078</v>
      </c>
      <c r="C2060" t="s">
        <v>3</v>
      </c>
      <c r="D2060">
        <v>80.477480999999997</v>
      </c>
    </row>
    <row r="2061" spans="2:4">
      <c r="B2061" s="2">
        <v>39077</v>
      </c>
      <c r="C2061" t="s">
        <v>3</v>
      </c>
      <c r="D2061">
        <v>80.639919899999995</v>
      </c>
    </row>
    <row r="2062" spans="2:4">
      <c r="B2062" s="2">
        <v>39073</v>
      </c>
      <c r="C2062" t="s">
        <v>3</v>
      </c>
      <c r="D2062">
        <v>80.771317199999999</v>
      </c>
    </row>
    <row r="2063" spans="2:4">
      <c r="B2063" s="2">
        <v>39072</v>
      </c>
      <c r="C2063" t="s">
        <v>3</v>
      </c>
      <c r="D2063">
        <v>80.452360999999996</v>
      </c>
    </row>
    <row r="2064" spans="2:4">
      <c r="B2064" s="2">
        <v>39071</v>
      </c>
      <c r="C2064" t="s">
        <v>3</v>
      </c>
      <c r="D2064">
        <v>80.164901099999994</v>
      </c>
    </row>
    <row r="2065" spans="2:4">
      <c r="B2065" s="2">
        <v>39070</v>
      </c>
      <c r="C2065" t="s">
        <v>3</v>
      </c>
      <c r="D2065">
        <v>80.642080000000007</v>
      </c>
    </row>
    <row r="2066" spans="2:4">
      <c r="B2066" s="2">
        <v>39069</v>
      </c>
      <c r="C2066" t="s">
        <v>3</v>
      </c>
      <c r="D2066">
        <v>80.638208000000006</v>
      </c>
    </row>
    <row r="2067" spans="2:4">
      <c r="B2067" s="2">
        <v>39066</v>
      </c>
      <c r="C2067" t="s">
        <v>3</v>
      </c>
      <c r="D2067">
        <v>80.797644000000005</v>
      </c>
    </row>
    <row r="2068" spans="2:4">
      <c r="B2068" s="2">
        <v>39065</v>
      </c>
      <c r="C2068" t="s">
        <v>3</v>
      </c>
      <c r="D2068">
        <v>81.114508200000003</v>
      </c>
    </row>
    <row r="2069" spans="2:4">
      <c r="B2069" s="2">
        <v>39064</v>
      </c>
      <c r="C2069" t="s">
        <v>3</v>
      </c>
      <c r="D2069">
        <v>81.435626999999997</v>
      </c>
    </row>
    <row r="2070" spans="2:4">
      <c r="B2070" s="2">
        <v>39063</v>
      </c>
      <c r="C2070" t="s">
        <v>3</v>
      </c>
      <c r="D2070">
        <v>82.066779999999994</v>
      </c>
    </row>
    <row r="2071" spans="2:4">
      <c r="B2071" s="2">
        <v>39062</v>
      </c>
      <c r="C2071" t="s">
        <v>3</v>
      </c>
      <c r="D2071">
        <v>82.385916300000005</v>
      </c>
    </row>
    <row r="2072" spans="2:4">
      <c r="B2072" s="2">
        <v>39059</v>
      </c>
      <c r="C2072" t="s">
        <v>3</v>
      </c>
      <c r="D2072">
        <v>82.542003600000001</v>
      </c>
    </row>
    <row r="2073" spans="2:4">
      <c r="B2073" s="2">
        <v>39058</v>
      </c>
      <c r="C2073" t="s">
        <v>3</v>
      </c>
      <c r="D2073">
        <v>83.180400899999995</v>
      </c>
    </row>
    <row r="2074" spans="2:4">
      <c r="B2074" s="2">
        <v>39057</v>
      </c>
      <c r="C2074" t="s">
        <v>3</v>
      </c>
      <c r="D2074">
        <v>82.702877200000003</v>
      </c>
    </row>
    <row r="2075" spans="2:4">
      <c r="B2075" s="2">
        <v>39056</v>
      </c>
      <c r="C2075" t="s">
        <v>3</v>
      </c>
      <c r="D2075">
        <v>83.179416799999998</v>
      </c>
    </row>
    <row r="2076" spans="2:4">
      <c r="B2076" s="2">
        <v>39055</v>
      </c>
      <c r="C2076" t="s">
        <v>3</v>
      </c>
      <c r="D2076">
        <v>83.974892999999994</v>
      </c>
    </row>
    <row r="2077" spans="2:4">
      <c r="B2077" s="2">
        <v>39052</v>
      </c>
      <c r="C2077" t="s">
        <v>3</v>
      </c>
      <c r="D2077">
        <v>84.130576199999993</v>
      </c>
    </row>
    <row r="2078" spans="2:4">
      <c r="B2078" s="2">
        <v>39051</v>
      </c>
      <c r="C2078" t="s">
        <v>3</v>
      </c>
      <c r="D2078">
        <v>83.815815000000001</v>
      </c>
    </row>
    <row r="2079" spans="2:4">
      <c r="B2079" s="2">
        <v>39050</v>
      </c>
      <c r="C2079" t="s">
        <v>3</v>
      </c>
      <c r="D2079">
        <v>83.656897999999998</v>
      </c>
    </row>
    <row r="2080" spans="2:4">
      <c r="B2080" s="2">
        <v>39049</v>
      </c>
      <c r="C2080" t="s">
        <v>3</v>
      </c>
      <c r="D2080">
        <v>83.982509399999998</v>
      </c>
    </row>
    <row r="2081" spans="2:4">
      <c r="B2081" s="2">
        <v>39048</v>
      </c>
      <c r="C2081" t="s">
        <v>3</v>
      </c>
      <c r="D2081">
        <v>83.342459199999993</v>
      </c>
    </row>
    <row r="2082" spans="2:4">
      <c r="B2082" s="2">
        <v>39045</v>
      </c>
      <c r="C2082" t="s">
        <v>3</v>
      </c>
      <c r="D2082">
        <v>83.183299199999993</v>
      </c>
    </row>
    <row r="2083" spans="2:4">
      <c r="B2083" s="2">
        <v>39043</v>
      </c>
      <c r="C2083" t="s">
        <v>3</v>
      </c>
      <c r="D2083">
        <v>82.546857599999996</v>
      </c>
    </row>
    <row r="2084" spans="2:4">
      <c r="B2084" s="2">
        <v>39042</v>
      </c>
      <c r="C2084" t="s">
        <v>3</v>
      </c>
      <c r="D2084">
        <v>82.541538399999993</v>
      </c>
    </row>
    <row r="2085" spans="2:4">
      <c r="B2085" s="2">
        <v>39041</v>
      </c>
      <c r="C2085" t="s">
        <v>3</v>
      </c>
      <c r="D2085">
        <v>82.703868</v>
      </c>
    </row>
    <row r="2086" spans="2:4">
      <c r="B2086" s="2">
        <v>39038</v>
      </c>
      <c r="C2086" t="s">
        <v>3</v>
      </c>
      <c r="D2086">
        <v>82.862372699999995</v>
      </c>
    </row>
    <row r="2087" spans="2:4">
      <c r="B2087" s="2">
        <v>39037</v>
      </c>
      <c r="C2087" t="s">
        <v>3</v>
      </c>
      <c r="D2087">
        <v>83.095747799999998</v>
      </c>
    </row>
    <row r="2088" spans="2:4">
      <c r="B2088" s="2">
        <v>39036</v>
      </c>
      <c r="C2088" t="s">
        <v>3</v>
      </c>
      <c r="D2088">
        <v>83.738147999999995</v>
      </c>
    </row>
    <row r="2089" spans="2:4">
      <c r="B2089" s="2">
        <v>39035</v>
      </c>
      <c r="C2089" t="s">
        <v>3</v>
      </c>
      <c r="D2089">
        <v>84.608677499999999</v>
      </c>
    </row>
    <row r="2090" spans="2:4">
      <c r="B2090" s="2">
        <v>39034</v>
      </c>
      <c r="C2090" t="s">
        <v>3</v>
      </c>
      <c r="D2090">
        <v>84.213450199999997</v>
      </c>
    </row>
    <row r="2091" spans="2:4">
      <c r="B2091" s="2">
        <v>39031</v>
      </c>
      <c r="C2091" t="s">
        <v>3</v>
      </c>
      <c r="D2091">
        <v>84.446857199999997</v>
      </c>
    </row>
    <row r="2092" spans="2:4">
      <c r="B2092" s="2">
        <v>39030</v>
      </c>
      <c r="C2092" t="s">
        <v>3</v>
      </c>
      <c r="D2092">
        <v>83.818269999999998</v>
      </c>
    </row>
    <row r="2093" spans="2:4">
      <c r="B2093" s="2">
        <v>39029</v>
      </c>
      <c r="C2093" t="s">
        <v>3</v>
      </c>
      <c r="D2093">
        <v>84.564760000000007</v>
      </c>
    </row>
    <row r="2094" spans="2:4">
      <c r="B2094" s="2">
        <v>39028</v>
      </c>
      <c r="C2094" t="s">
        <v>3</v>
      </c>
      <c r="D2094">
        <v>84.767386299999998</v>
      </c>
    </row>
    <row r="2095" spans="2:4">
      <c r="B2095" s="2">
        <v>39027</v>
      </c>
      <c r="C2095" t="s">
        <v>3</v>
      </c>
      <c r="D2095">
        <v>84.607928999999999</v>
      </c>
    </row>
    <row r="2096" spans="2:4">
      <c r="B2096" s="2">
        <v>39024</v>
      </c>
      <c r="C2096" t="s">
        <v>3</v>
      </c>
      <c r="D2096">
        <v>85.243530399999997</v>
      </c>
    </row>
    <row r="2097" spans="2:4">
      <c r="B2097" s="2">
        <v>39023</v>
      </c>
      <c r="C2097" t="s">
        <v>3</v>
      </c>
      <c r="D2097">
        <v>85.879302600000003</v>
      </c>
    </row>
    <row r="2098" spans="2:4">
      <c r="B2098" s="2">
        <v>39022</v>
      </c>
      <c r="C2098" t="s">
        <v>3</v>
      </c>
      <c r="D2098">
        <v>86.510640600000002</v>
      </c>
    </row>
    <row r="2099" spans="2:4">
      <c r="B2099" s="2">
        <v>39021</v>
      </c>
      <c r="C2099" t="s">
        <v>3</v>
      </c>
      <c r="D2099">
        <v>85.557446999999996</v>
      </c>
    </row>
    <row r="2100" spans="2:4">
      <c r="B2100" s="2">
        <v>39020</v>
      </c>
      <c r="C2100" t="s">
        <v>3</v>
      </c>
      <c r="D2100">
        <v>85.083253200000001</v>
      </c>
    </row>
    <row r="2101" spans="2:4">
      <c r="B2101" s="2">
        <v>39017</v>
      </c>
      <c r="C2101" t="s">
        <v>3</v>
      </c>
      <c r="D2101">
        <v>85.269313800000006</v>
      </c>
    </row>
    <row r="2102" spans="2:4">
      <c r="B2102" s="2">
        <v>39016</v>
      </c>
      <c r="C2102" t="s">
        <v>3</v>
      </c>
      <c r="D2102">
        <v>84.631269700000004</v>
      </c>
    </row>
    <row r="2103" spans="2:4">
      <c r="B2103" s="2">
        <v>39015</v>
      </c>
      <c r="C2103" t="s">
        <v>3</v>
      </c>
      <c r="D2103">
        <v>84.441734800000006</v>
      </c>
    </row>
    <row r="2104" spans="2:4">
      <c r="B2104" s="2">
        <v>39014</v>
      </c>
      <c r="C2104" t="s">
        <v>3</v>
      </c>
      <c r="D2104">
        <v>84.606666399999995</v>
      </c>
    </row>
    <row r="2105" spans="2:4">
      <c r="B2105" s="2">
        <v>39013</v>
      </c>
      <c r="C2105" t="s">
        <v>3</v>
      </c>
      <c r="D2105">
        <v>85.246027999999995</v>
      </c>
    </row>
    <row r="2106" spans="2:4">
      <c r="B2106" s="2">
        <v>39010</v>
      </c>
      <c r="C2106" t="s">
        <v>3</v>
      </c>
      <c r="D2106">
        <v>85.404357000000005</v>
      </c>
    </row>
    <row r="2107" spans="2:4">
      <c r="B2107" s="2">
        <v>39009</v>
      </c>
      <c r="C2107" t="s">
        <v>3</v>
      </c>
      <c r="D2107">
        <v>85.558880000000002</v>
      </c>
    </row>
    <row r="2108" spans="2:4">
      <c r="B2108" s="2">
        <v>39008</v>
      </c>
      <c r="C2108" t="s">
        <v>3</v>
      </c>
      <c r="D2108">
        <v>85.563239999999993</v>
      </c>
    </row>
    <row r="2109" spans="2:4">
      <c r="B2109" s="2">
        <v>39007</v>
      </c>
      <c r="C2109" t="s">
        <v>3</v>
      </c>
      <c r="D2109">
        <v>86.036602299999998</v>
      </c>
    </row>
    <row r="2110" spans="2:4">
      <c r="B2110" s="2">
        <v>39006</v>
      </c>
      <c r="C2110" t="s">
        <v>3</v>
      </c>
      <c r="D2110">
        <v>85.876429400000006</v>
      </c>
    </row>
    <row r="2111" spans="2:4">
      <c r="B2111" s="2">
        <v>39003</v>
      </c>
      <c r="C2111" t="s">
        <v>3</v>
      </c>
      <c r="D2111">
        <v>85.879289600000007</v>
      </c>
    </row>
    <row r="2112" spans="2:4">
      <c r="B2112" s="2">
        <v>39002</v>
      </c>
      <c r="C2112" t="s">
        <v>3</v>
      </c>
      <c r="D2112">
        <v>86.354397000000006</v>
      </c>
    </row>
    <row r="2113" spans="2:4">
      <c r="B2113" s="2">
        <v>39001</v>
      </c>
      <c r="C2113" t="s">
        <v>3</v>
      </c>
      <c r="D2113">
        <v>86.512559499999995</v>
      </c>
    </row>
    <row r="2114" spans="2:4">
      <c r="B2114" s="2">
        <v>39000</v>
      </c>
      <c r="C2114" t="s">
        <v>3</v>
      </c>
      <c r="D2114">
        <v>87.145993799999999</v>
      </c>
    </row>
    <row r="2115" spans="2:4">
      <c r="B2115" s="2">
        <v>38996</v>
      </c>
      <c r="C2115" t="s">
        <v>3</v>
      </c>
      <c r="D2115">
        <v>88.097633500000001</v>
      </c>
    </row>
    <row r="2116" spans="2:4">
      <c r="B2116" s="2">
        <v>38995</v>
      </c>
      <c r="C2116" t="s">
        <v>3</v>
      </c>
      <c r="D2116">
        <v>88.730500000000006</v>
      </c>
    </row>
    <row r="2117" spans="2:4">
      <c r="B2117" s="2">
        <v>38994</v>
      </c>
      <c r="C2117" t="s">
        <v>3</v>
      </c>
      <c r="D2117">
        <v>88.892106100000007</v>
      </c>
    </row>
    <row r="2118" spans="2:4">
      <c r="B2118" s="2">
        <v>38993</v>
      </c>
      <c r="C2118" t="s">
        <v>3</v>
      </c>
      <c r="D2118">
        <v>88.262083799999999</v>
      </c>
    </row>
    <row r="2119" spans="2:4">
      <c r="B2119" s="2">
        <v>38992</v>
      </c>
      <c r="C2119" t="s">
        <v>3</v>
      </c>
      <c r="D2119">
        <v>88.579490000000007</v>
      </c>
    </row>
    <row r="2120" spans="2:4">
      <c r="B2120" s="2">
        <v>38989</v>
      </c>
      <c r="C2120" t="s">
        <v>3</v>
      </c>
      <c r="D2120">
        <v>88.103264100000004</v>
      </c>
    </row>
    <row r="2121" spans="2:4">
      <c r="B2121" s="2">
        <v>38988</v>
      </c>
      <c r="C2121" t="s">
        <v>3</v>
      </c>
      <c r="D2121">
        <v>87.786420000000007</v>
      </c>
    </row>
    <row r="2122" spans="2:4">
      <c r="B2122" s="2">
        <v>38987</v>
      </c>
      <c r="C2122" t="s">
        <v>3</v>
      </c>
      <c r="D2122">
        <v>88.115406699999994</v>
      </c>
    </row>
    <row r="2123" spans="2:4">
      <c r="B2123" s="2">
        <v>38986</v>
      </c>
      <c r="C2123" t="s">
        <v>3</v>
      </c>
      <c r="D2123">
        <v>88.104385600000001</v>
      </c>
    </row>
    <row r="2124" spans="2:4">
      <c r="B2124" s="2">
        <v>38985</v>
      </c>
      <c r="C2124" t="s">
        <v>3</v>
      </c>
      <c r="D2124">
        <v>89.053815999999998</v>
      </c>
    </row>
    <row r="2125" spans="2:4">
      <c r="B2125" s="2">
        <v>38982</v>
      </c>
      <c r="C2125" t="s">
        <v>3</v>
      </c>
      <c r="D2125">
        <v>88.422490999999994</v>
      </c>
    </row>
    <row r="2126" spans="2:4">
      <c r="B2126" s="2">
        <v>38981</v>
      </c>
      <c r="C2126" t="s">
        <v>3</v>
      </c>
      <c r="D2126">
        <v>86.200305299999997</v>
      </c>
    </row>
    <row r="2127" spans="2:4">
      <c r="B2127" s="2">
        <v>38980</v>
      </c>
      <c r="C2127" t="s">
        <v>3</v>
      </c>
      <c r="D2127">
        <v>85.722358200000002</v>
      </c>
    </row>
    <row r="2128" spans="2:4">
      <c r="B2128" s="2">
        <v>38979</v>
      </c>
      <c r="C2128" t="s">
        <v>3</v>
      </c>
      <c r="D2128">
        <v>86.037558300000001</v>
      </c>
    </row>
    <row r="2129" spans="2:4">
      <c r="B2129" s="2">
        <v>38978</v>
      </c>
      <c r="C2129" t="s">
        <v>3</v>
      </c>
      <c r="D2129">
        <v>85.723208999999997</v>
      </c>
    </row>
    <row r="2130" spans="2:4">
      <c r="B2130" s="2">
        <v>38975</v>
      </c>
      <c r="C2130" t="s">
        <v>3</v>
      </c>
      <c r="D2130">
        <v>85.878352500000005</v>
      </c>
    </row>
    <row r="2131" spans="2:4">
      <c r="B2131" s="2">
        <v>38974</v>
      </c>
      <c r="C2131" t="s">
        <v>3</v>
      </c>
      <c r="D2131">
        <v>86.356035700000007</v>
      </c>
    </row>
    <row r="2132" spans="2:4">
      <c r="B2132" s="2">
        <v>38973</v>
      </c>
      <c r="C2132" t="s">
        <v>3</v>
      </c>
      <c r="D2132">
        <v>86.358654000000001</v>
      </c>
    </row>
    <row r="2133" spans="2:4">
      <c r="B2133" s="2">
        <v>38972</v>
      </c>
      <c r="C2133" t="s">
        <v>3</v>
      </c>
      <c r="D2133">
        <v>86.118306599999997</v>
      </c>
    </row>
    <row r="2134" spans="2:4">
      <c r="B2134" s="2">
        <v>38971</v>
      </c>
      <c r="C2134" t="s">
        <v>3</v>
      </c>
      <c r="D2134">
        <v>85.711786000000004</v>
      </c>
    </row>
    <row r="2135" spans="2:4">
      <c r="B2135" s="2">
        <v>38968</v>
      </c>
      <c r="C2135" t="s">
        <v>3</v>
      </c>
      <c r="D2135">
        <v>85.7145692</v>
      </c>
    </row>
    <row r="2136" spans="2:4">
      <c r="B2136" s="2">
        <v>38967</v>
      </c>
      <c r="C2136" t="s">
        <v>3</v>
      </c>
      <c r="D2136">
        <v>85.633367000000007</v>
      </c>
    </row>
    <row r="2137" spans="2:4">
      <c r="B2137" s="2">
        <v>38966</v>
      </c>
      <c r="C2137" t="s">
        <v>3</v>
      </c>
      <c r="D2137">
        <v>85.636259999999993</v>
      </c>
    </row>
    <row r="2138" spans="2:4">
      <c r="B2138" s="2">
        <v>38965</v>
      </c>
      <c r="C2138" t="s">
        <v>3</v>
      </c>
      <c r="D2138">
        <v>85.791392000000002</v>
      </c>
    </row>
    <row r="2139" spans="2:4">
      <c r="B2139" s="2">
        <v>38961</v>
      </c>
      <c r="C2139" t="s">
        <v>3</v>
      </c>
      <c r="D2139">
        <v>86.105932199999998</v>
      </c>
    </row>
    <row r="2140" spans="2:4">
      <c r="B2140" s="2">
        <v>38960</v>
      </c>
      <c r="C2140" t="s">
        <v>3</v>
      </c>
      <c r="D2140">
        <v>86.736935399999993</v>
      </c>
    </row>
    <row r="2141" spans="2:4">
      <c r="B2141" s="2">
        <v>38959</v>
      </c>
      <c r="C2141" t="s">
        <v>3</v>
      </c>
      <c r="D2141">
        <v>86.896616399999999</v>
      </c>
    </row>
    <row r="2142" spans="2:4">
      <c r="B2142" s="2">
        <v>38958</v>
      </c>
      <c r="C2142" t="s">
        <v>3</v>
      </c>
      <c r="D2142">
        <v>86.1745071</v>
      </c>
    </row>
    <row r="2143" spans="2:4">
      <c r="B2143" s="2">
        <v>38957</v>
      </c>
      <c r="C2143" t="s">
        <v>3</v>
      </c>
      <c r="D2143">
        <v>85.776878499999995</v>
      </c>
    </row>
    <row r="2144" spans="2:4">
      <c r="B2144" s="2">
        <v>38954</v>
      </c>
      <c r="C2144" t="s">
        <v>3</v>
      </c>
      <c r="D2144">
        <v>85.786005200000005</v>
      </c>
    </row>
    <row r="2145" spans="2:4">
      <c r="B2145" s="2">
        <v>38953</v>
      </c>
      <c r="C2145" t="s">
        <v>3</v>
      </c>
      <c r="D2145">
        <v>85.783075400000001</v>
      </c>
    </row>
    <row r="2146" spans="2:4">
      <c r="B2146" s="2">
        <v>38952</v>
      </c>
      <c r="C2146" t="s">
        <v>3</v>
      </c>
      <c r="D2146">
        <v>85.474250400000003</v>
      </c>
    </row>
    <row r="2147" spans="2:4">
      <c r="B2147" s="2">
        <v>38951</v>
      </c>
      <c r="C2147" t="s">
        <v>3</v>
      </c>
      <c r="D2147">
        <v>85.001312999999996</v>
      </c>
    </row>
    <row r="2148" spans="2:4">
      <c r="B2148" s="2">
        <v>38950</v>
      </c>
      <c r="C2148" t="s">
        <v>3</v>
      </c>
      <c r="D2148">
        <v>84.364382699999993</v>
      </c>
    </row>
    <row r="2149" spans="2:4">
      <c r="B2149" s="2">
        <v>38947</v>
      </c>
      <c r="C2149" t="s">
        <v>3</v>
      </c>
      <c r="D2149">
        <v>84.210979800000004</v>
      </c>
    </row>
    <row r="2150" spans="2:4">
      <c r="B2150" s="2">
        <v>38946</v>
      </c>
      <c r="C2150" t="s">
        <v>3</v>
      </c>
      <c r="D2150">
        <v>84.210492799999997</v>
      </c>
    </row>
    <row r="2151" spans="2:4">
      <c r="B2151" s="2">
        <v>38945</v>
      </c>
      <c r="C2151" t="s">
        <v>3</v>
      </c>
      <c r="D2151">
        <v>84.363686999999999</v>
      </c>
    </row>
    <row r="2152" spans="2:4">
      <c r="B2152" s="2">
        <v>38944</v>
      </c>
      <c r="C2152" t="s">
        <v>3</v>
      </c>
      <c r="D2152">
        <v>84.211901100000006</v>
      </c>
    </row>
    <row r="2153" spans="2:4">
      <c r="B2153" s="2">
        <v>38943</v>
      </c>
      <c r="C2153" t="s">
        <v>3</v>
      </c>
      <c r="D2153">
        <v>84.681435300000004</v>
      </c>
    </row>
    <row r="2154" spans="2:4">
      <c r="B2154" s="2">
        <v>38940</v>
      </c>
      <c r="C2154" t="s">
        <v>3</v>
      </c>
      <c r="D2154">
        <v>84.838953599999996</v>
      </c>
    </row>
    <row r="2155" spans="2:4">
      <c r="B2155" s="2">
        <v>38939</v>
      </c>
      <c r="C2155" t="s">
        <v>3</v>
      </c>
      <c r="D2155">
        <v>84.682630500000002</v>
      </c>
    </row>
    <row r="2156" spans="2:4">
      <c r="B2156" s="2">
        <v>38938</v>
      </c>
      <c r="C2156" t="s">
        <v>3</v>
      </c>
      <c r="D2156">
        <v>84.526674200000002</v>
      </c>
    </row>
    <row r="2157" spans="2:4">
      <c r="B2157" s="2">
        <v>38937</v>
      </c>
      <c r="C2157" t="s">
        <v>3</v>
      </c>
      <c r="D2157">
        <v>85.158256499999993</v>
      </c>
    </row>
    <row r="2158" spans="2:4">
      <c r="B2158" s="2">
        <v>38936</v>
      </c>
      <c r="C2158" t="s">
        <v>3</v>
      </c>
      <c r="D2158">
        <v>85.947789099999994</v>
      </c>
    </row>
    <row r="2159" spans="2:4">
      <c r="B2159" s="2">
        <v>38933</v>
      </c>
      <c r="C2159" t="s">
        <v>3</v>
      </c>
      <c r="D2159">
        <v>86.265795999999995</v>
      </c>
    </row>
    <row r="2160" spans="2:4">
      <c r="B2160" s="2">
        <v>38932</v>
      </c>
      <c r="C2160" t="s">
        <v>3</v>
      </c>
      <c r="D2160">
        <v>86.739571600000005</v>
      </c>
    </row>
    <row r="2161" spans="2:4">
      <c r="B2161" s="2">
        <v>38931</v>
      </c>
      <c r="C2161" t="s">
        <v>3</v>
      </c>
      <c r="D2161">
        <v>86.739525</v>
      </c>
    </row>
    <row r="2162" spans="2:4">
      <c r="B2162" s="2">
        <v>38930</v>
      </c>
      <c r="C2162" t="s">
        <v>3</v>
      </c>
      <c r="D2162">
        <v>87.213774999999998</v>
      </c>
    </row>
    <row r="2163" spans="2:4">
      <c r="B2163" s="2">
        <v>38929</v>
      </c>
      <c r="C2163" t="s">
        <v>3</v>
      </c>
      <c r="D2163">
        <v>87.210942000000003</v>
      </c>
    </row>
    <row r="2164" spans="2:4">
      <c r="B2164" s="2">
        <v>38926</v>
      </c>
      <c r="C2164" t="s">
        <v>3</v>
      </c>
      <c r="D2164">
        <v>87.213045600000001</v>
      </c>
    </row>
    <row r="2165" spans="2:4">
      <c r="B2165" s="2">
        <v>38925</v>
      </c>
      <c r="C2165" t="s">
        <v>3</v>
      </c>
      <c r="D2165">
        <v>86.934144000000003</v>
      </c>
    </row>
    <row r="2166" spans="2:4">
      <c r="B2166" s="2">
        <v>38924</v>
      </c>
      <c r="C2166" t="s">
        <v>3</v>
      </c>
      <c r="D2166">
        <v>86.900376600000001</v>
      </c>
    </row>
    <row r="2167" spans="2:4">
      <c r="B2167" s="2">
        <v>38923</v>
      </c>
      <c r="C2167" t="s">
        <v>3</v>
      </c>
      <c r="D2167">
        <v>86.899865000000005</v>
      </c>
    </row>
    <row r="2168" spans="2:4">
      <c r="B2168" s="2">
        <v>38922</v>
      </c>
      <c r="C2168" t="s">
        <v>3</v>
      </c>
      <c r="D2168">
        <v>87.211351500000006</v>
      </c>
    </row>
    <row r="2169" spans="2:4">
      <c r="B2169" s="2">
        <v>38919</v>
      </c>
      <c r="C2169" t="s">
        <v>3</v>
      </c>
      <c r="D2169">
        <v>87.844047500000002</v>
      </c>
    </row>
    <row r="2170" spans="2:4">
      <c r="B2170" s="2">
        <v>38918</v>
      </c>
      <c r="C2170" t="s">
        <v>3</v>
      </c>
      <c r="D2170">
        <v>87.842390899999998</v>
      </c>
    </row>
    <row r="2171" spans="2:4">
      <c r="B2171" s="2">
        <v>38917</v>
      </c>
      <c r="C2171" t="s">
        <v>3</v>
      </c>
      <c r="D2171">
        <v>87.846862000000002</v>
      </c>
    </row>
    <row r="2172" spans="2:4">
      <c r="B2172" s="2">
        <v>38916</v>
      </c>
      <c r="C2172" t="s">
        <v>3</v>
      </c>
      <c r="D2172">
        <v>88.638266099999996</v>
      </c>
    </row>
    <row r="2173" spans="2:4">
      <c r="B2173" s="2">
        <v>38915</v>
      </c>
      <c r="C2173" t="s">
        <v>3</v>
      </c>
      <c r="D2173">
        <v>88.475156999999996</v>
      </c>
    </row>
    <row r="2174" spans="2:4">
      <c r="B2174" s="2">
        <v>38912</v>
      </c>
      <c r="C2174" t="s">
        <v>3</v>
      </c>
      <c r="D2174">
        <v>88.474562399999996</v>
      </c>
    </row>
    <row r="2175" spans="2:4">
      <c r="B2175" s="2">
        <v>38911</v>
      </c>
      <c r="C2175" t="s">
        <v>3</v>
      </c>
      <c r="D2175">
        <v>88.004064499999998</v>
      </c>
    </row>
    <row r="2176" spans="2:4">
      <c r="B2176" s="2">
        <v>38910</v>
      </c>
      <c r="C2176" t="s">
        <v>3</v>
      </c>
      <c r="D2176">
        <v>87.530502600000005</v>
      </c>
    </row>
    <row r="2177" spans="2:4">
      <c r="B2177" s="2">
        <v>38909</v>
      </c>
      <c r="C2177" t="s">
        <v>3</v>
      </c>
      <c r="D2177">
        <v>87.69</v>
      </c>
    </row>
    <row r="2178" spans="2:4">
      <c r="B2178" s="2">
        <v>38908</v>
      </c>
      <c r="C2178" t="s">
        <v>3</v>
      </c>
      <c r="D2178">
        <v>87.213992500000003</v>
      </c>
    </row>
    <row r="2179" spans="2:4">
      <c r="B2179" s="2">
        <v>38905</v>
      </c>
      <c r="C2179" t="s">
        <v>3</v>
      </c>
      <c r="D2179">
        <v>87.212902400000004</v>
      </c>
    </row>
    <row r="2180" spans="2:4">
      <c r="B2180" s="2">
        <v>38904</v>
      </c>
      <c r="C2180" t="s">
        <v>3</v>
      </c>
      <c r="D2180">
        <v>87.371045600000002</v>
      </c>
    </row>
    <row r="2181" spans="2:4">
      <c r="B2181" s="2">
        <v>38903</v>
      </c>
      <c r="C2181" t="s">
        <v>3</v>
      </c>
      <c r="D2181">
        <v>87.687322399999999</v>
      </c>
    </row>
    <row r="2182" spans="2:4">
      <c r="B2182" s="2">
        <v>38901</v>
      </c>
      <c r="C2182" t="s">
        <v>3</v>
      </c>
      <c r="D2182">
        <v>87.373395200000004</v>
      </c>
    </row>
    <row r="2183" spans="2:4">
      <c r="B2183" s="2">
        <v>38898</v>
      </c>
      <c r="C2183" t="s">
        <v>3</v>
      </c>
      <c r="D2183">
        <v>87.372468999999995</v>
      </c>
    </row>
    <row r="2184" spans="2:4">
      <c r="B2184" s="2">
        <v>38897</v>
      </c>
      <c r="C2184" t="s">
        <v>3</v>
      </c>
      <c r="D2184">
        <v>87.372061500000001</v>
      </c>
    </row>
    <row r="2185" spans="2:4">
      <c r="B2185" s="2">
        <v>38896</v>
      </c>
      <c r="C2185" t="s">
        <v>3</v>
      </c>
      <c r="D2185">
        <v>87.605293599999996</v>
      </c>
    </row>
    <row r="2186" spans="2:4">
      <c r="B2186" s="2">
        <v>38895</v>
      </c>
      <c r="C2186" t="s">
        <v>3</v>
      </c>
      <c r="D2186">
        <v>87.537018799999998</v>
      </c>
    </row>
    <row r="2187" spans="2:4">
      <c r="B2187" s="2">
        <v>38894</v>
      </c>
      <c r="C2187" t="s">
        <v>3</v>
      </c>
      <c r="D2187">
        <v>88.164482199999995</v>
      </c>
    </row>
    <row r="2188" spans="2:4">
      <c r="B2188" s="2">
        <v>38891</v>
      </c>
      <c r="C2188" t="s">
        <v>3</v>
      </c>
      <c r="D2188">
        <v>88.495818900000003</v>
      </c>
    </row>
    <row r="2189" spans="2:4">
      <c r="B2189" s="2">
        <v>38890</v>
      </c>
      <c r="C2189" t="s">
        <v>3</v>
      </c>
      <c r="D2189">
        <v>87.709086299999996</v>
      </c>
    </row>
    <row r="2190" spans="2:4">
      <c r="B2190" s="2">
        <v>38889</v>
      </c>
      <c r="C2190" t="s">
        <v>3</v>
      </c>
      <c r="D2190">
        <v>87.947580000000002</v>
      </c>
    </row>
    <row r="2191" spans="2:4">
      <c r="B2191" s="2">
        <v>38888</v>
      </c>
      <c r="C2191" t="s">
        <v>3</v>
      </c>
      <c r="D2191">
        <v>87.164161199999995</v>
      </c>
    </row>
    <row r="2192" spans="2:4">
      <c r="B2192" s="2">
        <v>38887</v>
      </c>
      <c r="C2192" t="s">
        <v>3</v>
      </c>
      <c r="D2192">
        <v>87.010510800000006</v>
      </c>
    </row>
    <row r="2193" spans="2:4">
      <c r="B2193" s="2">
        <v>38884</v>
      </c>
      <c r="C2193" t="s">
        <v>3</v>
      </c>
      <c r="D2193">
        <v>87.166362399999997</v>
      </c>
    </row>
    <row r="2194" spans="2:4">
      <c r="B2194" s="2">
        <v>38883</v>
      </c>
      <c r="C2194" t="s">
        <v>3</v>
      </c>
      <c r="D2194">
        <v>86.848199100000002</v>
      </c>
    </row>
    <row r="2195" spans="2:4">
      <c r="B2195" s="2">
        <v>38882</v>
      </c>
      <c r="C2195" t="s">
        <v>3</v>
      </c>
      <c r="D2195">
        <v>86.849550800000003</v>
      </c>
    </row>
    <row r="2196" spans="2:4">
      <c r="B2196" s="2">
        <v>38881</v>
      </c>
      <c r="C2196" t="s">
        <v>3</v>
      </c>
      <c r="D2196">
        <v>86.740050800000006</v>
      </c>
    </row>
    <row r="2197" spans="2:4">
      <c r="B2197" s="2">
        <v>38880</v>
      </c>
      <c r="C2197" t="s">
        <v>3</v>
      </c>
      <c r="D2197">
        <v>87.149480600000004</v>
      </c>
    </row>
    <row r="2198" spans="2:4">
      <c r="B2198" s="2">
        <v>38877</v>
      </c>
      <c r="C2198" t="s">
        <v>3</v>
      </c>
      <c r="D2198">
        <v>87.627263999999997</v>
      </c>
    </row>
    <row r="2199" spans="2:4">
      <c r="B2199" s="2">
        <v>38876</v>
      </c>
      <c r="C2199" t="s">
        <v>3</v>
      </c>
      <c r="D2199">
        <v>88.106572</v>
      </c>
    </row>
    <row r="2200" spans="2:4">
      <c r="B2200" s="2">
        <v>38875</v>
      </c>
      <c r="C2200" t="s">
        <v>3</v>
      </c>
      <c r="D2200">
        <v>87.944916599999999</v>
      </c>
    </row>
    <row r="2201" spans="2:4">
      <c r="B2201" s="2">
        <v>38874</v>
      </c>
      <c r="C2201" t="s">
        <v>3</v>
      </c>
      <c r="D2201">
        <v>88.260991799999999</v>
      </c>
    </row>
    <row r="2202" spans="2:4">
      <c r="B2202" s="2">
        <v>38873</v>
      </c>
      <c r="C2202" t="s">
        <v>3</v>
      </c>
      <c r="D2202">
        <v>88.102523399999995</v>
      </c>
    </row>
    <row r="2203" spans="2:4">
      <c r="B2203" s="2">
        <v>38870</v>
      </c>
      <c r="C2203" t="s">
        <v>3</v>
      </c>
      <c r="D2203">
        <v>88.104274000000004</v>
      </c>
    </row>
    <row r="2204" spans="2:4">
      <c r="B2204" s="2">
        <v>38869</v>
      </c>
      <c r="C2204" t="s">
        <v>3</v>
      </c>
      <c r="D2204">
        <v>88.262323800000004</v>
      </c>
    </row>
    <row r="2205" spans="2:4">
      <c r="B2205" s="2">
        <v>38868</v>
      </c>
      <c r="C2205" t="s">
        <v>3</v>
      </c>
      <c r="D2205">
        <v>89.537558000000004</v>
      </c>
    </row>
    <row r="2206" spans="2:4">
      <c r="B2206" s="2">
        <v>38867</v>
      </c>
      <c r="C2206" t="s">
        <v>3</v>
      </c>
      <c r="D2206">
        <v>89.213303999999994</v>
      </c>
    </row>
    <row r="2207" spans="2:4">
      <c r="B2207" s="2">
        <v>38863</v>
      </c>
      <c r="C2207" t="s">
        <v>3</v>
      </c>
      <c r="D2207">
        <v>89.555546399999997</v>
      </c>
    </row>
    <row r="2208" spans="2:4">
      <c r="B2208" s="2">
        <v>38862</v>
      </c>
      <c r="C2208" t="s">
        <v>3</v>
      </c>
      <c r="D2208">
        <v>89.553871999999998</v>
      </c>
    </row>
    <row r="2209" spans="2:4">
      <c r="B2209" s="2">
        <v>38861</v>
      </c>
      <c r="C2209" t="s">
        <v>3</v>
      </c>
      <c r="D2209">
        <v>89.673731399999994</v>
      </c>
    </row>
    <row r="2210" spans="2:4">
      <c r="B2210" s="2">
        <v>38860</v>
      </c>
      <c r="C2210" t="s">
        <v>3</v>
      </c>
      <c r="D2210">
        <v>89.369202000000001</v>
      </c>
    </row>
    <row r="2211" spans="2:4">
      <c r="B2211" s="2">
        <v>38859</v>
      </c>
      <c r="C2211" t="s">
        <v>3</v>
      </c>
      <c r="D2211">
        <v>90.002850600000002</v>
      </c>
    </row>
    <row r="2212" spans="2:4">
      <c r="B2212" s="2">
        <v>38856</v>
      </c>
      <c r="C2212" t="s">
        <v>3</v>
      </c>
      <c r="D2212">
        <v>89.686886400000006</v>
      </c>
    </row>
    <row r="2213" spans="2:4">
      <c r="B2213" s="2">
        <v>38855</v>
      </c>
      <c r="C2213" t="s">
        <v>3</v>
      </c>
      <c r="D2213">
        <v>88.891856899999993</v>
      </c>
    </row>
    <row r="2214" spans="2:4">
      <c r="B2214" s="2">
        <v>38854</v>
      </c>
      <c r="C2214" t="s">
        <v>3</v>
      </c>
      <c r="D2214">
        <v>88.104527000000004</v>
      </c>
    </row>
    <row r="2215" spans="2:4">
      <c r="B2215" s="2">
        <v>38853</v>
      </c>
      <c r="C2215" t="s">
        <v>3</v>
      </c>
      <c r="D2215">
        <v>87.629993099999993</v>
      </c>
    </row>
    <row r="2216" spans="2:4">
      <c r="B2216" s="2">
        <v>38852</v>
      </c>
      <c r="C2216" t="s">
        <v>3</v>
      </c>
      <c r="D2216">
        <v>88.103257200000002</v>
      </c>
    </row>
    <row r="2217" spans="2:4">
      <c r="B2217" s="2">
        <v>38849</v>
      </c>
      <c r="C2217" t="s">
        <v>3</v>
      </c>
      <c r="D2217">
        <v>88.263765000000006</v>
      </c>
    </row>
    <row r="2218" spans="2:4">
      <c r="B2218" s="2">
        <v>38848</v>
      </c>
      <c r="C2218" t="s">
        <v>3</v>
      </c>
      <c r="D2218">
        <v>87.470784800000004</v>
      </c>
    </row>
    <row r="2219" spans="2:4">
      <c r="B2219" s="2">
        <v>38847</v>
      </c>
      <c r="C2219" t="s">
        <v>3</v>
      </c>
      <c r="D2219">
        <v>86.992858799999993</v>
      </c>
    </row>
    <row r="2220" spans="2:4">
      <c r="B2220" s="2">
        <v>38846</v>
      </c>
      <c r="C2220" t="s">
        <v>3</v>
      </c>
      <c r="D2220">
        <v>86.667735399999998</v>
      </c>
    </row>
    <row r="2221" spans="2:4">
      <c r="B2221" s="2">
        <v>38845</v>
      </c>
      <c r="C2221" t="s">
        <v>3</v>
      </c>
      <c r="D2221">
        <v>86.193566099999998</v>
      </c>
    </row>
    <row r="2222" spans="2:4">
      <c r="B2222" s="2">
        <v>38842</v>
      </c>
      <c r="C2222" t="s">
        <v>3</v>
      </c>
      <c r="D2222">
        <v>86.035622399999994</v>
      </c>
    </row>
    <row r="2223" spans="2:4">
      <c r="B2223" s="2">
        <v>38841</v>
      </c>
      <c r="C2223" t="s">
        <v>3</v>
      </c>
      <c r="D2223">
        <v>86.036659200000003</v>
      </c>
    </row>
    <row r="2224" spans="2:4">
      <c r="B2224" s="2">
        <v>38840</v>
      </c>
      <c r="C2224" t="s">
        <v>3</v>
      </c>
      <c r="D2224">
        <v>86.199253600000006</v>
      </c>
    </row>
    <row r="2225" spans="2:4">
      <c r="B2225" s="2">
        <v>38839</v>
      </c>
      <c r="C2225" t="s">
        <v>3</v>
      </c>
      <c r="D2225">
        <v>85.245137999999997</v>
      </c>
    </row>
    <row r="2226" spans="2:4">
      <c r="B2226" s="2">
        <v>38838</v>
      </c>
      <c r="C2226" t="s">
        <v>3</v>
      </c>
      <c r="D2226">
        <v>84.765230200000005</v>
      </c>
    </row>
    <row r="2227" spans="2:4">
      <c r="B2227" s="2">
        <v>38835</v>
      </c>
      <c r="C2227" t="s">
        <v>3</v>
      </c>
      <c r="D2227">
        <v>84.9274676</v>
      </c>
    </row>
    <row r="2228" spans="2:4">
      <c r="B2228" s="2">
        <v>38834</v>
      </c>
      <c r="C2228" t="s">
        <v>3</v>
      </c>
      <c r="D2228">
        <v>85.084549999999993</v>
      </c>
    </row>
    <row r="2229" spans="2:4">
      <c r="B2229" s="2">
        <v>38833</v>
      </c>
      <c r="C2229" t="s">
        <v>3</v>
      </c>
      <c r="D2229">
        <v>85.890023999999997</v>
      </c>
    </row>
    <row r="2230" spans="2:4">
      <c r="B2230" s="2">
        <v>38832</v>
      </c>
      <c r="C2230" t="s">
        <v>3</v>
      </c>
      <c r="D2230">
        <v>85.562004000000002</v>
      </c>
    </row>
    <row r="2231" spans="2:4">
      <c r="B2231" s="2">
        <v>38831</v>
      </c>
      <c r="C2231" t="s">
        <v>3</v>
      </c>
      <c r="D2231">
        <v>85.565793799999994</v>
      </c>
    </row>
    <row r="2232" spans="2:4">
      <c r="B2232" s="2">
        <v>38828</v>
      </c>
      <c r="C2232" t="s">
        <v>3</v>
      </c>
      <c r="D2232">
        <v>85.249450600000003</v>
      </c>
    </row>
    <row r="2233" spans="2:4">
      <c r="B2233" s="2">
        <v>38827</v>
      </c>
      <c r="C2233" t="s">
        <v>3</v>
      </c>
      <c r="D2233">
        <v>85.881140000000002</v>
      </c>
    </row>
    <row r="2234" spans="2:4">
      <c r="B2234" s="2">
        <v>38826</v>
      </c>
      <c r="C2234" t="s">
        <v>3</v>
      </c>
      <c r="D2234">
        <v>86.044805999999994</v>
      </c>
    </row>
    <row r="2235" spans="2:4">
      <c r="B2235" s="2">
        <v>38825</v>
      </c>
      <c r="C2235" t="s">
        <v>3</v>
      </c>
      <c r="D2235">
        <v>86.994076800000002</v>
      </c>
    </row>
    <row r="2236" spans="2:4">
      <c r="B2236" s="2">
        <v>38824</v>
      </c>
      <c r="C2236" t="s">
        <v>3</v>
      </c>
      <c r="D2236">
        <v>87.311243000000005</v>
      </c>
    </row>
    <row r="2237" spans="2:4">
      <c r="B2237" s="2">
        <v>38820</v>
      </c>
      <c r="C2237" t="s">
        <v>3</v>
      </c>
      <c r="D2237">
        <v>88.740964199999993</v>
      </c>
    </row>
    <row r="2238" spans="2:4">
      <c r="B2238" s="2">
        <v>38819</v>
      </c>
      <c r="C2238" t="s">
        <v>3</v>
      </c>
      <c r="D2238">
        <v>88.4233014</v>
      </c>
    </row>
    <row r="2239" spans="2:4">
      <c r="B2239" s="2">
        <v>38818</v>
      </c>
      <c r="C2239" t="s">
        <v>3</v>
      </c>
      <c r="D2239">
        <v>87.945942400000007</v>
      </c>
    </row>
    <row r="2240" spans="2:4">
      <c r="B2240" s="2">
        <v>38817</v>
      </c>
      <c r="C2240" t="s">
        <v>3</v>
      </c>
      <c r="D2240">
        <v>88.099631200000005</v>
      </c>
    </row>
    <row r="2241" spans="2:4">
      <c r="B2241" s="2">
        <v>38814</v>
      </c>
      <c r="C2241" t="s">
        <v>3</v>
      </c>
      <c r="D2241">
        <v>88.418261400000006</v>
      </c>
    </row>
    <row r="2242" spans="2:4">
      <c r="B2242" s="2">
        <v>38813</v>
      </c>
      <c r="C2242" t="s">
        <v>3</v>
      </c>
      <c r="D2242">
        <v>89.690386500000002</v>
      </c>
    </row>
    <row r="2243" spans="2:4">
      <c r="B2243" s="2">
        <v>38812</v>
      </c>
      <c r="C2243" t="s">
        <v>3</v>
      </c>
      <c r="D2243">
        <v>89.853882499999997</v>
      </c>
    </row>
    <row r="2244" spans="2:4">
      <c r="B2244" s="2">
        <v>38811</v>
      </c>
      <c r="C2244" t="s">
        <v>3</v>
      </c>
      <c r="D2244">
        <v>90.163993500000004</v>
      </c>
    </row>
    <row r="2245" spans="2:4">
      <c r="B2245" s="2">
        <v>38810</v>
      </c>
      <c r="C2245" t="s">
        <v>3</v>
      </c>
      <c r="D2245">
        <v>90.328485000000001</v>
      </c>
    </row>
    <row r="2246" spans="2:4">
      <c r="B2246" s="2">
        <v>38807</v>
      </c>
      <c r="C2246" t="s">
        <v>3</v>
      </c>
      <c r="D2246">
        <v>90.488016799999997</v>
      </c>
    </row>
    <row r="2247" spans="2:4">
      <c r="B2247" s="2">
        <v>38806</v>
      </c>
      <c r="C2247" t="s">
        <v>3</v>
      </c>
      <c r="D2247">
        <v>90.958987199999996</v>
      </c>
    </row>
    <row r="2248" spans="2:4">
      <c r="B2248" s="2">
        <v>38805</v>
      </c>
      <c r="C2248" t="s">
        <v>3</v>
      </c>
      <c r="D2248">
        <v>90.654843900000003</v>
      </c>
    </row>
    <row r="2249" spans="2:4">
      <c r="B2249" s="2">
        <v>38804</v>
      </c>
      <c r="C2249" t="s">
        <v>3</v>
      </c>
      <c r="D2249">
        <v>90.167532199999997</v>
      </c>
    </row>
    <row r="2250" spans="2:4">
      <c r="B2250" s="2">
        <v>38803</v>
      </c>
      <c r="C2250" t="s">
        <v>3</v>
      </c>
      <c r="D2250">
        <v>89.859626800000001</v>
      </c>
    </row>
    <row r="2251" spans="2:4">
      <c r="B2251" s="2">
        <v>38800</v>
      </c>
      <c r="C2251" t="s">
        <v>3</v>
      </c>
      <c r="D2251">
        <v>89.377392</v>
      </c>
    </row>
    <row r="2252" spans="2:4">
      <c r="B2252" s="2">
        <v>38799</v>
      </c>
      <c r="C2252" t="s">
        <v>3</v>
      </c>
      <c r="D2252">
        <v>89.534335200000001</v>
      </c>
    </row>
    <row r="2253" spans="2:4">
      <c r="B2253" s="2">
        <v>38798</v>
      </c>
      <c r="C2253" t="s">
        <v>3</v>
      </c>
      <c r="D2253">
        <v>89.537049999999994</v>
      </c>
    </row>
    <row r="2254" spans="2:4">
      <c r="B2254" s="2">
        <v>38797</v>
      </c>
      <c r="C2254" t="s">
        <v>3</v>
      </c>
      <c r="D2254">
        <v>89.694613599999997</v>
      </c>
    </row>
    <row r="2255" spans="2:4">
      <c r="B2255" s="2">
        <v>38796</v>
      </c>
      <c r="C2255" t="s">
        <v>3</v>
      </c>
      <c r="D2255">
        <v>89.688788700000003</v>
      </c>
    </row>
    <row r="2256" spans="2:4">
      <c r="B2256" s="2">
        <v>38793</v>
      </c>
      <c r="C2256" t="s">
        <v>3</v>
      </c>
      <c r="D2256">
        <v>90.007903999999996</v>
      </c>
    </row>
    <row r="2257" spans="2:4">
      <c r="B2257" s="2">
        <v>38792</v>
      </c>
      <c r="C2257" t="s">
        <v>3</v>
      </c>
      <c r="D2257">
        <v>89.847984199999999</v>
      </c>
    </row>
    <row r="2258" spans="2:4">
      <c r="B2258" s="2">
        <v>38791</v>
      </c>
      <c r="C2258" t="s">
        <v>3</v>
      </c>
      <c r="D2258">
        <v>90.328060199999996</v>
      </c>
    </row>
    <row r="2259" spans="2:4">
      <c r="B2259" s="2">
        <v>38790</v>
      </c>
      <c r="C2259" t="s">
        <v>3</v>
      </c>
      <c r="D2259">
        <v>89.8510548</v>
      </c>
    </row>
    <row r="2260" spans="2:4">
      <c r="B2260" s="2">
        <v>38789</v>
      </c>
      <c r="C2260" t="s">
        <v>3</v>
      </c>
      <c r="D2260">
        <v>90.804045599999995</v>
      </c>
    </row>
    <row r="2261" spans="2:4">
      <c r="B2261" s="2">
        <v>38786</v>
      </c>
      <c r="C2261" t="s">
        <v>3</v>
      </c>
      <c r="D2261">
        <v>90.166771800000006</v>
      </c>
    </row>
    <row r="2262" spans="2:4">
      <c r="B2262" s="2">
        <v>38785</v>
      </c>
      <c r="C2262" t="s">
        <v>3</v>
      </c>
      <c r="D2262">
        <v>90.170520999999994</v>
      </c>
    </row>
    <row r="2263" spans="2:4">
      <c r="B2263" s="2">
        <v>38784</v>
      </c>
      <c r="C2263" t="s">
        <v>3</v>
      </c>
      <c r="D2263">
        <v>90.964149000000006</v>
      </c>
    </row>
    <row r="2264" spans="2:4">
      <c r="B2264" s="2">
        <v>38783</v>
      </c>
      <c r="C2264" t="s">
        <v>3</v>
      </c>
      <c r="D2264">
        <v>90.487474800000001</v>
      </c>
    </row>
    <row r="2265" spans="2:4">
      <c r="B2265" s="2">
        <v>38782</v>
      </c>
      <c r="C2265" t="s">
        <v>3</v>
      </c>
      <c r="D2265">
        <v>90.644956800000003</v>
      </c>
    </row>
    <row r="2266" spans="2:4">
      <c r="B2266" s="2">
        <v>38779</v>
      </c>
      <c r="C2266" t="s">
        <v>3</v>
      </c>
      <c r="D2266">
        <v>89.535513300000005</v>
      </c>
    </row>
    <row r="2267" spans="2:4">
      <c r="B2267" s="2">
        <v>38778</v>
      </c>
      <c r="C2267" t="s">
        <v>3</v>
      </c>
      <c r="D2267">
        <v>90.170145000000005</v>
      </c>
    </row>
    <row r="2268" spans="2:4">
      <c r="B2268" s="2">
        <v>38777</v>
      </c>
      <c r="C2268" t="s">
        <v>3</v>
      </c>
      <c r="D2268">
        <v>88.577725599999994</v>
      </c>
    </row>
    <row r="2269" spans="2:4">
      <c r="B2269" s="2">
        <v>38776</v>
      </c>
      <c r="C2269" t="s">
        <v>3</v>
      </c>
      <c r="D2269">
        <v>88.104652999999999</v>
      </c>
    </row>
    <row r="2270" spans="2:4">
      <c r="B2270" s="2">
        <v>38775</v>
      </c>
      <c r="C2270" t="s">
        <v>3</v>
      </c>
      <c r="D2270">
        <v>87.148113300000006</v>
      </c>
    </row>
    <row r="2271" spans="2:4">
      <c r="B2271" s="2">
        <v>38772</v>
      </c>
      <c r="C2271" t="s">
        <v>3</v>
      </c>
      <c r="D2271">
        <v>87.335711099999997</v>
      </c>
    </row>
    <row r="2272" spans="2:4">
      <c r="B2272" s="2">
        <v>38771</v>
      </c>
      <c r="C2272" t="s">
        <v>3</v>
      </c>
      <c r="D2272">
        <v>88.858417799999998</v>
      </c>
    </row>
    <row r="2273" spans="2:4">
      <c r="B2273" s="2">
        <v>38770</v>
      </c>
      <c r="C2273" t="s">
        <v>3</v>
      </c>
      <c r="D2273">
        <v>88.700606399999998</v>
      </c>
    </row>
    <row r="2274" spans="2:4">
      <c r="B2274" s="2">
        <v>38769</v>
      </c>
      <c r="C2274" t="s">
        <v>3</v>
      </c>
      <c r="D2274">
        <v>89.689604900000006</v>
      </c>
    </row>
    <row r="2275" spans="2:4">
      <c r="B2275" s="2">
        <v>38765</v>
      </c>
      <c r="C2275" t="s">
        <v>3</v>
      </c>
      <c r="D2275">
        <v>89.849065800000005</v>
      </c>
    </row>
    <row r="2276" spans="2:4">
      <c r="B2276" s="2">
        <v>38764</v>
      </c>
      <c r="C2276" t="s">
        <v>3</v>
      </c>
      <c r="D2276">
        <v>89.845811999999995</v>
      </c>
    </row>
    <row r="2277" spans="2:4">
      <c r="B2277" s="2">
        <v>38763</v>
      </c>
      <c r="C2277" t="s">
        <v>3</v>
      </c>
      <c r="D2277">
        <v>91.27816</v>
      </c>
    </row>
    <row r="2278" spans="2:4">
      <c r="B2278" s="2">
        <v>38762</v>
      </c>
      <c r="C2278" t="s">
        <v>3</v>
      </c>
      <c r="D2278">
        <v>91.911001499999998</v>
      </c>
    </row>
    <row r="2279" spans="2:4">
      <c r="B2279" s="2">
        <v>38761</v>
      </c>
      <c r="C2279" t="s">
        <v>3</v>
      </c>
      <c r="D2279">
        <v>92.226637999999994</v>
      </c>
    </row>
    <row r="2280" spans="2:4">
      <c r="B2280" s="2">
        <v>38758</v>
      </c>
      <c r="C2280" t="s">
        <v>3</v>
      </c>
      <c r="D2280">
        <v>92.548730000000006</v>
      </c>
    </row>
    <row r="2281" spans="2:4">
      <c r="B2281" s="2">
        <v>38757</v>
      </c>
      <c r="C2281" t="s">
        <v>3</v>
      </c>
      <c r="D2281">
        <v>92.8659064</v>
      </c>
    </row>
    <row r="2282" spans="2:4">
      <c r="B2282" s="2">
        <v>38756</v>
      </c>
      <c r="C2282" t="s">
        <v>3</v>
      </c>
      <c r="D2282">
        <v>93.181535999999994</v>
      </c>
    </row>
    <row r="2283" spans="2:4">
      <c r="B2283" s="2">
        <v>38755</v>
      </c>
      <c r="C2283" t="s">
        <v>3</v>
      </c>
      <c r="D2283">
        <v>93.339731999999998</v>
      </c>
    </row>
    <row r="2284" spans="2:4">
      <c r="B2284" s="2">
        <v>38754</v>
      </c>
      <c r="C2284" t="s">
        <v>3</v>
      </c>
      <c r="D2284">
        <v>92.831027899999995</v>
      </c>
    </row>
    <row r="2285" spans="2:4">
      <c r="B2285" s="2">
        <v>38751</v>
      </c>
      <c r="C2285" t="s">
        <v>3</v>
      </c>
      <c r="D2285">
        <v>92.549843100000004</v>
      </c>
    </row>
    <row r="2286" spans="2:4">
      <c r="B2286" s="2">
        <v>38750</v>
      </c>
      <c r="C2286" t="s">
        <v>3</v>
      </c>
      <c r="D2286">
        <v>93.340902600000007</v>
      </c>
    </row>
    <row r="2287" spans="2:4">
      <c r="B2287" s="2">
        <v>38749</v>
      </c>
      <c r="C2287" t="s">
        <v>3</v>
      </c>
      <c r="D2287">
        <v>93.023918399999999</v>
      </c>
    </row>
    <row r="2288" spans="2:4">
      <c r="B2288" s="2">
        <v>38748</v>
      </c>
      <c r="C2288" t="s">
        <v>3</v>
      </c>
      <c r="D2288">
        <v>92.386109200000007</v>
      </c>
    </row>
    <row r="2289" spans="2:4">
      <c r="B2289" s="2">
        <v>38747</v>
      </c>
      <c r="C2289" t="s">
        <v>3</v>
      </c>
      <c r="D2289">
        <v>92.387518999999998</v>
      </c>
    </row>
    <row r="2290" spans="2:4">
      <c r="B2290" s="2">
        <v>38744</v>
      </c>
      <c r="C2290" t="s">
        <v>3</v>
      </c>
      <c r="D2290">
        <v>91.947844399999994</v>
      </c>
    </row>
    <row r="2291" spans="2:4">
      <c r="B2291" s="2">
        <v>38743</v>
      </c>
      <c r="C2291" t="s">
        <v>3</v>
      </c>
      <c r="D2291">
        <v>92.183249599999996</v>
      </c>
    </row>
    <row r="2292" spans="2:4">
      <c r="B2292" s="2">
        <v>38742</v>
      </c>
      <c r="C2292" t="s">
        <v>3</v>
      </c>
      <c r="D2292">
        <v>92.065209600000003</v>
      </c>
    </row>
    <row r="2293" spans="2:4">
      <c r="B2293" s="2">
        <v>38741</v>
      </c>
      <c r="C2293" t="s">
        <v>3</v>
      </c>
      <c r="D2293">
        <v>91.278172999999995</v>
      </c>
    </row>
    <row r="2294" spans="2:4">
      <c r="B2294" s="2">
        <v>38740</v>
      </c>
      <c r="C2294" t="s">
        <v>3</v>
      </c>
      <c r="D2294">
        <v>91.120629600000001</v>
      </c>
    </row>
    <row r="2295" spans="2:4">
      <c r="B2295" s="2">
        <v>38737</v>
      </c>
      <c r="C2295" t="s">
        <v>3</v>
      </c>
      <c r="D2295">
        <v>90.641850000000005</v>
      </c>
    </row>
    <row r="2296" spans="2:4">
      <c r="B2296" s="2">
        <v>38736</v>
      </c>
      <c r="C2296" t="s">
        <v>3</v>
      </c>
      <c r="D2296">
        <v>90.326462399999997</v>
      </c>
    </row>
    <row r="2297" spans="2:4">
      <c r="B2297" s="2">
        <v>38735</v>
      </c>
      <c r="C2297" t="s">
        <v>3</v>
      </c>
      <c r="D2297">
        <v>90.486693000000002</v>
      </c>
    </row>
    <row r="2298" spans="2:4">
      <c r="B2298" s="2">
        <v>38734</v>
      </c>
      <c r="C2298" t="s">
        <v>3</v>
      </c>
      <c r="D2298">
        <v>90.800297499999999</v>
      </c>
    </row>
    <row r="2299" spans="2:4">
      <c r="B2299" s="2">
        <v>38730</v>
      </c>
      <c r="C2299" t="s">
        <v>3</v>
      </c>
      <c r="D2299">
        <v>90.484745000000004</v>
      </c>
    </row>
    <row r="2300" spans="2:4">
      <c r="B2300" s="2">
        <v>38729</v>
      </c>
      <c r="C2300" t="s">
        <v>3</v>
      </c>
      <c r="D2300">
        <v>90.639969300000004</v>
      </c>
    </row>
    <row r="2301" spans="2:4">
      <c r="B2301" s="2">
        <v>38728</v>
      </c>
      <c r="C2301" t="s">
        <v>3</v>
      </c>
      <c r="D2301">
        <v>90.009972000000005</v>
      </c>
    </row>
    <row r="2302" spans="2:4">
      <c r="B2302" s="2">
        <v>38727</v>
      </c>
      <c r="C2302" t="s">
        <v>3</v>
      </c>
      <c r="D2302">
        <v>89.693275</v>
      </c>
    </row>
    <row r="2303" spans="2:4">
      <c r="B2303" s="2">
        <v>38726</v>
      </c>
      <c r="C2303" t="s">
        <v>3</v>
      </c>
      <c r="D2303">
        <v>88.900092000000001</v>
      </c>
    </row>
    <row r="2304" spans="2:4">
      <c r="B2304" s="2">
        <v>38723</v>
      </c>
      <c r="C2304" t="s">
        <v>3</v>
      </c>
      <c r="D2304">
        <v>90.329861600000001</v>
      </c>
    </row>
    <row r="2305" spans="2:4">
      <c r="B2305" s="2">
        <v>38722</v>
      </c>
      <c r="C2305" t="s">
        <v>3</v>
      </c>
      <c r="D2305">
        <v>90.962619000000004</v>
      </c>
    </row>
    <row r="2306" spans="2:4">
      <c r="B2306" s="2">
        <v>38721</v>
      </c>
      <c r="C2306" t="s">
        <v>3</v>
      </c>
      <c r="D2306">
        <v>91.759327200000001</v>
      </c>
    </row>
    <row r="2307" spans="2:4">
      <c r="B2307" s="2">
        <v>38720</v>
      </c>
      <c r="C2307" t="s">
        <v>3</v>
      </c>
      <c r="D2307">
        <v>92.073799399999999</v>
      </c>
    </row>
    <row r="2308" spans="2:4">
      <c r="B2308" s="2">
        <v>38716</v>
      </c>
      <c r="C2308" t="s">
        <v>3</v>
      </c>
      <c r="D2308">
        <v>92.382001599999995</v>
      </c>
    </row>
    <row r="2309" spans="2:4">
      <c r="B2309" s="2">
        <v>38715</v>
      </c>
      <c r="C2309" t="s">
        <v>3</v>
      </c>
      <c r="D2309">
        <v>92.222864999999999</v>
      </c>
    </row>
    <row r="2310" spans="2:4">
      <c r="B2310" s="2">
        <v>38714</v>
      </c>
      <c r="C2310" t="s">
        <v>3</v>
      </c>
      <c r="D2310">
        <v>92.227507200000005</v>
      </c>
    </row>
    <row r="2311" spans="2:4">
      <c r="B2311" s="2">
        <v>38713</v>
      </c>
      <c r="C2311" t="s">
        <v>3</v>
      </c>
      <c r="D2311">
        <v>92.233580399999994</v>
      </c>
    </row>
    <row r="2312" spans="2:4">
      <c r="B2312" s="2">
        <v>38709</v>
      </c>
      <c r="C2312" t="s">
        <v>3</v>
      </c>
      <c r="D2312">
        <v>92.201677399999994</v>
      </c>
    </row>
    <row r="2313" spans="2:4">
      <c r="B2313" s="2">
        <v>38708</v>
      </c>
      <c r="C2313" t="s">
        <v>3</v>
      </c>
      <c r="D2313">
        <v>92.200730300000004</v>
      </c>
    </row>
    <row r="2314" spans="2:4">
      <c r="B2314" s="2">
        <v>38707</v>
      </c>
      <c r="C2314" t="s">
        <v>3</v>
      </c>
      <c r="D2314">
        <v>92.387740199999996</v>
      </c>
    </row>
    <row r="2315" spans="2:4">
      <c r="B2315" s="2">
        <v>38706</v>
      </c>
      <c r="C2315" t="s">
        <v>3</v>
      </c>
      <c r="D2315">
        <v>92.387280000000004</v>
      </c>
    </row>
    <row r="2316" spans="2:4">
      <c r="B2316" s="2">
        <v>38705</v>
      </c>
      <c r="C2316" t="s">
        <v>3</v>
      </c>
      <c r="D2316">
        <v>91.911977500000006</v>
      </c>
    </row>
    <row r="2317" spans="2:4">
      <c r="B2317" s="2">
        <v>38702</v>
      </c>
      <c r="C2317" t="s">
        <v>3</v>
      </c>
      <c r="D2317">
        <v>92.705074800000006</v>
      </c>
    </row>
    <row r="2318" spans="2:4">
      <c r="B2318" s="2">
        <v>38701</v>
      </c>
      <c r="C2318" t="s">
        <v>3</v>
      </c>
      <c r="D2318">
        <v>93.025252800000004</v>
      </c>
    </row>
    <row r="2319" spans="2:4">
      <c r="B2319" s="2">
        <v>38700</v>
      </c>
      <c r="C2319" t="s">
        <v>3</v>
      </c>
      <c r="D2319">
        <v>93.664304999999999</v>
      </c>
    </row>
    <row r="2320" spans="2:4">
      <c r="B2320" s="2">
        <v>38699</v>
      </c>
      <c r="C2320" t="s">
        <v>3</v>
      </c>
      <c r="D2320">
        <v>93.815280000000001</v>
      </c>
    </row>
    <row r="2321" spans="2:4">
      <c r="B2321" s="2">
        <v>38698</v>
      </c>
      <c r="C2321" t="s">
        <v>3</v>
      </c>
      <c r="D2321">
        <v>94.453156000000007</v>
      </c>
    </row>
    <row r="2322" spans="2:4">
      <c r="B2322" s="2">
        <v>38695</v>
      </c>
      <c r="C2322" t="s">
        <v>3</v>
      </c>
      <c r="D2322">
        <v>94.295240000000007</v>
      </c>
    </row>
    <row r="2323" spans="2:4">
      <c r="B2323" s="2">
        <v>38694</v>
      </c>
      <c r="C2323" t="s">
        <v>3</v>
      </c>
      <c r="D2323">
        <v>94.291602299999994</v>
      </c>
    </row>
    <row r="2324" spans="2:4">
      <c r="B2324" s="2">
        <v>38693</v>
      </c>
      <c r="C2324" t="s">
        <v>3</v>
      </c>
      <c r="D2324">
        <v>95.247732799999994</v>
      </c>
    </row>
    <row r="2325" spans="2:4">
      <c r="B2325" s="2">
        <v>38692</v>
      </c>
      <c r="C2325" t="s">
        <v>3</v>
      </c>
      <c r="D2325">
        <v>94.930793100000002</v>
      </c>
    </row>
    <row r="2326" spans="2:4">
      <c r="B2326" s="2">
        <v>38691</v>
      </c>
      <c r="C2326" t="s">
        <v>3</v>
      </c>
      <c r="D2326">
        <v>94.932121600000002</v>
      </c>
    </row>
    <row r="2327" spans="2:4">
      <c r="B2327" s="2">
        <v>38688</v>
      </c>
      <c r="C2327" t="s">
        <v>3</v>
      </c>
      <c r="D2327">
        <v>94.930904900000002</v>
      </c>
    </row>
    <row r="2328" spans="2:4">
      <c r="B2328" s="2">
        <v>38687</v>
      </c>
      <c r="C2328" t="s">
        <v>3</v>
      </c>
      <c r="D2328">
        <v>95.719936799999999</v>
      </c>
    </row>
    <row r="2329" spans="2:4">
      <c r="B2329" s="2">
        <v>38686</v>
      </c>
      <c r="C2329" t="s">
        <v>3</v>
      </c>
      <c r="D2329">
        <v>94.776359999999997</v>
      </c>
    </row>
    <row r="2330" spans="2:4">
      <c r="B2330" s="2">
        <v>38685</v>
      </c>
      <c r="C2330" t="s">
        <v>3</v>
      </c>
      <c r="D2330">
        <v>94.135830200000001</v>
      </c>
    </row>
    <row r="2331" spans="2:4">
      <c r="B2331" s="2">
        <v>38684</v>
      </c>
      <c r="C2331" t="s">
        <v>3</v>
      </c>
      <c r="D2331">
        <v>93.195990600000002</v>
      </c>
    </row>
    <row r="2332" spans="2:4">
      <c r="B2332" s="2">
        <v>38681</v>
      </c>
      <c r="C2332" t="s">
        <v>3</v>
      </c>
      <c r="D2332">
        <v>93.188386499999993</v>
      </c>
    </row>
    <row r="2333" spans="2:4">
      <c r="B2333" s="2">
        <v>38679</v>
      </c>
      <c r="C2333" t="s">
        <v>3</v>
      </c>
      <c r="D2333">
        <v>93.187374800000001</v>
      </c>
    </row>
    <row r="2334" spans="2:4">
      <c r="B2334" s="2">
        <v>38678</v>
      </c>
      <c r="C2334" t="s">
        <v>3</v>
      </c>
      <c r="D2334">
        <v>93.183843999999993</v>
      </c>
    </row>
    <row r="2335" spans="2:4">
      <c r="B2335" s="2">
        <v>38677</v>
      </c>
      <c r="C2335" t="s">
        <v>3</v>
      </c>
      <c r="D2335">
        <v>93.655360799999997</v>
      </c>
    </row>
    <row r="2336" spans="2:4">
      <c r="B2336" s="2">
        <v>38674</v>
      </c>
      <c r="C2336" t="s">
        <v>3</v>
      </c>
      <c r="D2336">
        <v>94.293045000000006</v>
      </c>
    </row>
    <row r="2337" spans="2:4">
      <c r="B2337" s="2">
        <v>38673</v>
      </c>
      <c r="C2337" t="s">
        <v>3</v>
      </c>
      <c r="D2337">
        <v>94.767083999999997</v>
      </c>
    </row>
    <row r="2338" spans="2:4">
      <c r="B2338" s="2">
        <v>38672</v>
      </c>
      <c r="C2338" t="s">
        <v>3</v>
      </c>
      <c r="D2338">
        <v>94.776312300000001</v>
      </c>
    </row>
    <row r="2339" spans="2:4">
      <c r="B2339" s="2">
        <v>38671</v>
      </c>
      <c r="C2339" t="s">
        <v>3</v>
      </c>
      <c r="D2339">
        <v>94.772000399999996</v>
      </c>
    </row>
    <row r="2340" spans="2:4">
      <c r="B2340" s="2">
        <v>38670</v>
      </c>
      <c r="C2340" t="s">
        <v>3</v>
      </c>
      <c r="D2340">
        <v>94.771241399999994</v>
      </c>
    </row>
    <row r="2341" spans="2:4">
      <c r="B2341" s="2">
        <v>38666</v>
      </c>
      <c r="C2341" t="s">
        <v>3</v>
      </c>
      <c r="D2341">
        <v>94.4543496</v>
      </c>
    </row>
    <row r="2342" spans="2:4">
      <c r="B2342" s="2">
        <v>38665</v>
      </c>
      <c r="C2342" t="s">
        <v>3</v>
      </c>
      <c r="D2342">
        <v>94.609785599999995</v>
      </c>
    </row>
    <row r="2343" spans="2:4">
      <c r="B2343" s="2">
        <v>38664</v>
      </c>
      <c r="C2343" t="s">
        <v>3</v>
      </c>
      <c r="D2343">
        <v>91.278523500000006</v>
      </c>
    </row>
    <row r="2344" spans="2:4">
      <c r="B2344" s="2">
        <v>38663</v>
      </c>
      <c r="C2344" t="s">
        <v>3</v>
      </c>
      <c r="D2344">
        <v>92.861917800000001</v>
      </c>
    </row>
    <row r="2345" spans="2:4">
      <c r="B2345" s="2">
        <v>38660</v>
      </c>
      <c r="C2345" t="s">
        <v>3</v>
      </c>
      <c r="D2345">
        <v>92.706007200000002</v>
      </c>
    </row>
    <row r="2346" spans="2:4">
      <c r="B2346" s="2">
        <v>38659</v>
      </c>
      <c r="C2346" t="s">
        <v>3</v>
      </c>
      <c r="D2346">
        <v>92.225497000000004</v>
      </c>
    </row>
    <row r="2347" spans="2:4">
      <c r="B2347" s="2">
        <v>38658</v>
      </c>
      <c r="C2347" t="s">
        <v>3</v>
      </c>
      <c r="D2347">
        <v>90.804217699999995</v>
      </c>
    </row>
    <row r="2348" spans="2:4">
      <c r="B2348" s="2">
        <v>38657</v>
      </c>
      <c r="C2348" t="s">
        <v>3</v>
      </c>
      <c r="D2348">
        <v>90.323141100000001</v>
      </c>
    </row>
    <row r="2349" spans="2:4">
      <c r="B2349" s="2">
        <v>38656</v>
      </c>
      <c r="C2349" t="s">
        <v>3</v>
      </c>
      <c r="D2349">
        <v>90.323478199999997</v>
      </c>
    </row>
    <row r="2350" spans="2:4">
      <c r="B2350" s="2">
        <v>38653</v>
      </c>
      <c r="C2350" t="s">
        <v>3</v>
      </c>
      <c r="D2350">
        <v>89.688446999999996</v>
      </c>
    </row>
    <row r="2351" spans="2:4">
      <c r="B2351" s="2">
        <v>38652</v>
      </c>
      <c r="C2351" t="s">
        <v>3</v>
      </c>
      <c r="D2351">
        <v>89.720490600000005</v>
      </c>
    </row>
    <row r="2352" spans="2:4">
      <c r="B2352" s="2">
        <v>38651</v>
      </c>
      <c r="C2352" t="s">
        <v>3</v>
      </c>
      <c r="D2352">
        <v>89.687346000000005</v>
      </c>
    </row>
    <row r="2353" spans="2:4">
      <c r="B2353" s="2">
        <v>38650</v>
      </c>
      <c r="C2353" t="s">
        <v>3</v>
      </c>
      <c r="D2353">
        <v>89.369531800000004</v>
      </c>
    </row>
    <row r="2354" spans="2:4">
      <c r="B2354" s="2">
        <v>38649</v>
      </c>
      <c r="C2354" t="s">
        <v>3</v>
      </c>
      <c r="D2354">
        <v>89.054639100000003</v>
      </c>
    </row>
    <row r="2355" spans="2:4">
      <c r="B2355" s="2">
        <v>38646</v>
      </c>
      <c r="C2355" t="s">
        <v>3</v>
      </c>
      <c r="D2355">
        <v>89.0542181</v>
      </c>
    </row>
    <row r="2356" spans="2:4">
      <c r="B2356" s="2">
        <v>38645</v>
      </c>
      <c r="C2356" t="s">
        <v>3</v>
      </c>
      <c r="D2356">
        <v>89.532677699999994</v>
      </c>
    </row>
    <row r="2357" spans="2:4">
      <c r="B2357" s="2">
        <v>38644</v>
      </c>
      <c r="C2357" t="s">
        <v>3</v>
      </c>
      <c r="D2357">
        <v>89.534561999999994</v>
      </c>
    </row>
    <row r="2358" spans="2:4">
      <c r="B2358" s="2">
        <v>38643</v>
      </c>
      <c r="C2358" t="s">
        <v>3</v>
      </c>
      <c r="D2358">
        <v>89.532030000000006</v>
      </c>
    </row>
    <row r="2359" spans="2:4">
      <c r="B2359" s="2">
        <v>38642</v>
      </c>
      <c r="C2359" t="s">
        <v>3</v>
      </c>
      <c r="D2359">
        <v>89.850454799999994</v>
      </c>
    </row>
    <row r="2360" spans="2:4">
      <c r="B2360" s="2">
        <v>38639</v>
      </c>
      <c r="C2360" t="s">
        <v>3</v>
      </c>
      <c r="D2360">
        <v>89.371467899999999</v>
      </c>
    </row>
    <row r="2361" spans="2:4">
      <c r="B2361" s="2">
        <v>38638</v>
      </c>
      <c r="C2361" t="s">
        <v>3</v>
      </c>
      <c r="D2361">
        <v>89.055283200000005</v>
      </c>
    </row>
    <row r="2362" spans="2:4">
      <c r="B2362" s="2">
        <v>38637</v>
      </c>
      <c r="C2362" t="s">
        <v>3</v>
      </c>
      <c r="D2362">
        <v>88.901550999999998</v>
      </c>
    </row>
    <row r="2363" spans="2:4">
      <c r="B2363" s="2">
        <v>38636</v>
      </c>
      <c r="C2363" t="s">
        <v>3</v>
      </c>
      <c r="D2363">
        <v>88.419848400000006</v>
      </c>
    </row>
    <row r="2364" spans="2:4">
      <c r="B2364" s="2">
        <v>38632</v>
      </c>
      <c r="C2364" t="s">
        <v>3</v>
      </c>
      <c r="D2364">
        <v>88.416659999999993</v>
      </c>
    </row>
    <row r="2365" spans="2:4">
      <c r="B2365" s="2">
        <v>38631</v>
      </c>
      <c r="C2365" t="s">
        <v>3</v>
      </c>
      <c r="D2365">
        <v>88.892139799999995</v>
      </c>
    </row>
    <row r="2366" spans="2:4">
      <c r="B2366" s="2">
        <v>38630</v>
      </c>
      <c r="C2366" t="s">
        <v>3</v>
      </c>
      <c r="D2366">
        <v>88.581201800000002</v>
      </c>
    </row>
    <row r="2367" spans="2:4">
      <c r="B2367" s="2">
        <v>38629</v>
      </c>
      <c r="C2367" t="s">
        <v>3</v>
      </c>
      <c r="D2367">
        <v>89.052724799999993</v>
      </c>
    </row>
    <row r="2368" spans="2:4">
      <c r="B2368" s="2">
        <v>38628</v>
      </c>
      <c r="C2368" t="s">
        <v>3</v>
      </c>
      <c r="D2368">
        <v>89.371372500000007</v>
      </c>
    </row>
    <row r="2369" spans="2:4">
      <c r="B2369" s="2">
        <v>38625</v>
      </c>
      <c r="C2369" t="s">
        <v>3</v>
      </c>
      <c r="D2369">
        <v>89.374147500000007</v>
      </c>
    </row>
    <row r="2370" spans="2:4">
      <c r="B2370" s="2">
        <v>38624</v>
      </c>
      <c r="C2370" t="s">
        <v>3</v>
      </c>
      <c r="D2370">
        <v>89.530312499999994</v>
      </c>
    </row>
    <row r="2371" spans="2:4">
      <c r="B2371" s="2">
        <v>38623</v>
      </c>
      <c r="C2371" t="s">
        <v>3</v>
      </c>
      <c r="D2371">
        <v>89.54468</v>
      </c>
    </row>
    <row r="2372" spans="2:4">
      <c r="B2372" s="2">
        <v>38622</v>
      </c>
      <c r="C2372" t="s">
        <v>3</v>
      </c>
      <c r="D2372">
        <v>89.381546</v>
      </c>
    </row>
    <row r="2373" spans="2:4">
      <c r="B2373" s="2">
        <v>38621</v>
      </c>
      <c r="C2373" t="s">
        <v>3</v>
      </c>
      <c r="D2373">
        <v>89.058631199999994</v>
      </c>
    </row>
    <row r="2374" spans="2:4">
      <c r="B2374" s="2">
        <v>38618</v>
      </c>
      <c r="C2374" t="s">
        <v>3</v>
      </c>
      <c r="D2374">
        <v>89.054771900000006</v>
      </c>
    </row>
    <row r="2375" spans="2:4">
      <c r="B2375" s="2">
        <v>38617</v>
      </c>
      <c r="C2375" t="s">
        <v>3</v>
      </c>
      <c r="D2375">
        <v>88.575609799999995</v>
      </c>
    </row>
    <row r="2376" spans="2:4">
      <c r="B2376" s="2">
        <v>38616</v>
      </c>
      <c r="C2376" t="s">
        <v>3</v>
      </c>
      <c r="D2376">
        <v>89.059782600000005</v>
      </c>
    </row>
    <row r="2377" spans="2:4">
      <c r="B2377" s="2">
        <v>38615</v>
      </c>
      <c r="C2377" t="s">
        <v>3</v>
      </c>
      <c r="D2377">
        <v>89.054371099999997</v>
      </c>
    </row>
    <row r="2378" spans="2:4">
      <c r="B2378" s="2">
        <v>38614</v>
      </c>
      <c r="C2378" t="s">
        <v>3</v>
      </c>
      <c r="D2378">
        <v>89.8492696</v>
      </c>
    </row>
    <row r="2379" spans="2:4">
      <c r="B2379" s="2">
        <v>38611</v>
      </c>
      <c r="C2379" t="s">
        <v>3</v>
      </c>
      <c r="D2379">
        <v>89.848189199999993</v>
      </c>
    </row>
    <row r="2380" spans="2:4">
      <c r="B2380" s="2">
        <v>38610</v>
      </c>
      <c r="C2380" t="s">
        <v>3</v>
      </c>
      <c r="D2380">
        <v>90.166330799999997</v>
      </c>
    </row>
    <row r="2381" spans="2:4">
      <c r="B2381" s="2">
        <v>38609</v>
      </c>
      <c r="C2381" t="s">
        <v>3</v>
      </c>
      <c r="D2381">
        <v>90.487699500000005</v>
      </c>
    </row>
    <row r="2382" spans="2:4">
      <c r="B2382" s="2">
        <v>38608</v>
      </c>
      <c r="C2382" t="s">
        <v>3</v>
      </c>
      <c r="D2382">
        <v>90.642228599999996</v>
      </c>
    </row>
    <row r="2383" spans="2:4">
      <c r="B2383" s="2">
        <v>38607</v>
      </c>
      <c r="C2383" t="s">
        <v>3</v>
      </c>
      <c r="D2383">
        <v>90.1665232</v>
      </c>
    </row>
    <row r="2384" spans="2:4">
      <c r="B2384" s="2">
        <v>38604</v>
      </c>
      <c r="C2384" t="s">
        <v>3</v>
      </c>
      <c r="D2384">
        <v>90.484012500000006</v>
      </c>
    </row>
    <row r="2385" spans="2:4">
      <c r="B2385" s="2">
        <v>38603</v>
      </c>
      <c r="C2385" t="s">
        <v>3</v>
      </c>
      <c r="D2385">
        <v>90.800182199999995</v>
      </c>
    </row>
    <row r="2386" spans="2:4">
      <c r="B2386" s="2">
        <v>38602</v>
      </c>
      <c r="C2386" t="s">
        <v>3</v>
      </c>
      <c r="D2386">
        <v>90.013577499999997</v>
      </c>
    </row>
    <row r="2387" spans="2:4">
      <c r="B2387" s="2">
        <v>38601</v>
      </c>
      <c r="C2387" t="s">
        <v>3</v>
      </c>
      <c r="D2387">
        <v>89.370375600000003</v>
      </c>
    </row>
    <row r="2388" spans="2:4">
      <c r="B2388" s="2">
        <v>38597</v>
      </c>
      <c r="C2388" t="s">
        <v>3</v>
      </c>
      <c r="D2388">
        <v>89.373957200000007</v>
      </c>
    </row>
    <row r="2389" spans="2:4">
      <c r="B2389" s="2">
        <v>38596</v>
      </c>
      <c r="C2389" t="s">
        <v>3</v>
      </c>
      <c r="D2389">
        <v>94.536199999999994</v>
      </c>
    </row>
    <row r="2390" spans="2:4">
      <c r="B2390" s="2">
        <v>38595</v>
      </c>
      <c r="C2390" t="s">
        <v>3</v>
      </c>
      <c r="D2390">
        <v>89.534149900000003</v>
      </c>
    </row>
    <row r="2391" spans="2:4">
      <c r="B2391" s="2">
        <v>38594</v>
      </c>
      <c r="C2391" t="s">
        <v>3</v>
      </c>
      <c r="D2391">
        <v>88.576917600000002</v>
      </c>
    </row>
    <row r="2392" spans="2:4">
      <c r="B2392" s="2">
        <v>38593</v>
      </c>
      <c r="C2392" t="s">
        <v>3</v>
      </c>
      <c r="D2392">
        <v>88.3382115</v>
      </c>
    </row>
    <row r="2393" spans="2:4">
      <c r="B2393" s="2">
        <v>38590</v>
      </c>
      <c r="C2393" t="s">
        <v>3</v>
      </c>
      <c r="D2393">
        <v>88.151472999999996</v>
      </c>
    </row>
    <row r="2394" spans="2:4">
      <c r="B2394" s="2">
        <v>38589</v>
      </c>
      <c r="C2394" t="s">
        <v>3</v>
      </c>
      <c r="D2394">
        <v>87.696883999999997</v>
      </c>
    </row>
    <row r="2395" spans="2:4">
      <c r="B2395" s="2">
        <v>38588</v>
      </c>
      <c r="C2395" t="s">
        <v>3</v>
      </c>
      <c r="D2395">
        <v>87.483760200000006</v>
      </c>
    </row>
    <row r="2396" spans="2:4">
      <c r="B2396" s="2">
        <v>38587</v>
      </c>
      <c r="C2396" t="s">
        <v>3</v>
      </c>
      <c r="D2396">
        <v>87.940051199999999</v>
      </c>
    </row>
    <row r="2397" spans="2:4">
      <c r="B2397" s="2">
        <v>38586</v>
      </c>
      <c r="C2397" t="s">
        <v>3</v>
      </c>
      <c r="D2397">
        <v>88.418742600000002</v>
      </c>
    </row>
    <row r="2398" spans="2:4">
      <c r="B2398" s="2">
        <v>38583</v>
      </c>
      <c r="C2398" t="s">
        <v>3</v>
      </c>
      <c r="D2398">
        <v>88.260866899999996</v>
      </c>
    </row>
    <row r="2399" spans="2:4">
      <c r="B2399" s="2">
        <v>38582</v>
      </c>
      <c r="C2399" t="s">
        <v>3</v>
      </c>
      <c r="D2399">
        <v>88.2565922</v>
      </c>
    </row>
    <row r="2400" spans="2:4">
      <c r="B2400" s="2">
        <v>38581</v>
      </c>
      <c r="C2400" t="s">
        <v>3</v>
      </c>
      <c r="D2400">
        <v>87.628387500000002</v>
      </c>
    </row>
    <row r="2401" spans="2:4">
      <c r="B2401" s="2">
        <v>38580</v>
      </c>
      <c r="C2401" t="s">
        <v>3</v>
      </c>
      <c r="D2401">
        <v>87.308465600000005</v>
      </c>
    </row>
    <row r="2402" spans="2:4">
      <c r="B2402" s="2">
        <v>38579</v>
      </c>
      <c r="C2402" t="s">
        <v>3</v>
      </c>
      <c r="D2402">
        <v>87.147034000000005</v>
      </c>
    </row>
    <row r="2403" spans="2:4">
      <c r="B2403" s="2">
        <v>38576</v>
      </c>
      <c r="C2403" t="s">
        <v>3</v>
      </c>
      <c r="D2403">
        <v>86.991641999999999</v>
      </c>
    </row>
    <row r="2404" spans="2:4">
      <c r="B2404" s="2">
        <v>38575</v>
      </c>
      <c r="C2404" t="s">
        <v>3</v>
      </c>
      <c r="D2404">
        <v>86.036318800000004</v>
      </c>
    </row>
    <row r="2405" spans="2:4">
      <c r="B2405" s="2">
        <v>38574</v>
      </c>
      <c r="C2405" t="s">
        <v>3</v>
      </c>
      <c r="D2405">
        <v>86.360095799999996</v>
      </c>
    </row>
    <row r="2406" spans="2:4">
      <c r="B2406" s="2">
        <v>38573</v>
      </c>
      <c r="C2406" t="s">
        <v>3</v>
      </c>
      <c r="D2406">
        <v>86.200646000000006</v>
      </c>
    </row>
    <row r="2407" spans="2:4">
      <c r="B2407" s="2">
        <v>38572</v>
      </c>
      <c r="C2407" t="s">
        <v>3</v>
      </c>
      <c r="D2407">
        <v>86.357370000000003</v>
      </c>
    </row>
    <row r="2408" spans="2:4">
      <c r="B2408" s="2">
        <v>38569</v>
      </c>
      <c r="C2408" t="s">
        <v>3</v>
      </c>
      <c r="D2408">
        <v>86.038963199999998</v>
      </c>
    </row>
    <row r="2409" spans="2:4">
      <c r="B2409" s="2">
        <v>38568</v>
      </c>
      <c r="C2409" t="s">
        <v>3</v>
      </c>
      <c r="D2409">
        <v>86.036668800000001</v>
      </c>
    </row>
    <row r="2410" spans="2:4">
      <c r="B2410" s="2">
        <v>38567</v>
      </c>
      <c r="C2410" t="s">
        <v>3</v>
      </c>
      <c r="D2410">
        <v>86.836692600000006</v>
      </c>
    </row>
    <row r="2411" spans="2:4">
      <c r="B2411" s="2">
        <v>38566</v>
      </c>
      <c r="C2411" t="s">
        <v>3</v>
      </c>
      <c r="D2411">
        <v>87.467980600000004</v>
      </c>
    </row>
    <row r="2412" spans="2:4">
      <c r="B2412" s="2">
        <v>38565</v>
      </c>
      <c r="C2412" t="s">
        <v>3</v>
      </c>
      <c r="D2412">
        <v>87.466027600000004</v>
      </c>
    </row>
    <row r="2413" spans="2:4">
      <c r="B2413" s="2">
        <v>38562</v>
      </c>
      <c r="C2413" t="s">
        <v>3</v>
      </c>
      <c r="D2413">
        <v>87.310531800000007</v>
      </c>
    </row>
    <row r="2414" spans="2:4">
      <c r="B2414" s="2">
        <v>38561</v>
      </c>
      <c r="C2414" t="s">
        <v>3</v>
      </c>
      <c r="D2414">
        <v>86.830429199999998</v>
      </c>
    </row>
    <row r="2415" spans="2:4">
      <c r="B2415" s="2">
        <v>38560</v>
      </c>
      <c r="C2415" t="s">
        <v>3</v>
      </c>
      <c r="D2415">
        <v>87.311639999999997</v>
      </c>
    </row>
    <row r="2416" spans="2:4">
      <c r="B2416" s="2">
        <v>38559</v>
      </c>
      <c r="C2416" t="s">
        <v>3</v>
      </c>
      <c r="D2416">
        <v>87.784212600000004</v>
      </c>
    </row>
    <row r="2417" spans="2:4">
      <c r="B2417" s="2">
        <v>38558</v>
      </c>
      <c r="C2417" t="s">
        <v>3</v>
      </c>
      <c r="D2417">
        <v>87.626104299999994</v>
      </c>
    </row>
    <row r="2418" spans="2:4">
      <c r="B2418" s="2">
        <v>38555</v>
      </c>
      <c r="C2418" t="s">
        <v>3</v>
      </c>
      <c r="D2418">
        <v>87.625097299999993</v>
      </c>
    </row>
    <row r="2419" spans="2:4">
      <c r="B2419" s="2">
        <v>38554</v>
      </c>
      <c r="C2419" t="s">
        <v>3</v>
      </c>
      <c r="D2419">
        <v>87.939864</v>
      </c>
    </row>
    <row r="2420" spans="2:4">
      <c r="B2420" s="2">
        <v>38553</v>
      </c>
      <c r="C2420" t="s">
        <v>3</v>
      </c>
      <c r="D2420">
        <v>87.157406399999999</v>
      </c>
    </row>
    <row r="2421" spans="2:4">
      <c r="B2421" s="2">
        <v>38552</v>
      </c>
      <c r="C2421" t="s">
        <v>3</v>
      </c>
      <c r="D2421">
        <v>87.1508872</v>
      </c>
    </row>
    <row r="2422" spans="2:4">
      <c r="B2422" s="2">
        <v>38551</v>
      </c>
      <c r="C2422" t="s">
        <v>3</v>
      </c>
      <c r="D2422">
        <v>87.309829199999996</v>
      </c>
    </row>
    <row r="2423" spans="2:4">
      <c r="B2423" s="2">
        <v>38548</v>
      </c>
      <c r="C2423" t="s">
        <v>3</v>
      </c>
      <c r="D2423">
        <v>87.309578400000007</v>
      </c>
    </row>
    <row r="2424" spans="2:4">
      <c r="B2424" s="2">
        <v>38547</v>
      </c>
      <c r="C2424" t="s">
        <v>3</v>
      </c>
      <c r="D2424">
        <v>87.465753300000003</v>
      </c>
    </row>
    <row r="2425" spans="2:4">
      <c r="B2425" s="2">
        <v>38546</v>
      </c>
      <c r="C2425" t="s">
        <v>3</v>
      </c>
      <c r="D2425">
        <v>87.947265000000002</v>
      </c>
    </row>
    <row r="2426" spans="2:4">
      <c r="B2426" s="2">
        <v>38545</v>
      </c>
      <c r="C2426" t="s">
        <v>3</v>
      </c>
      <c r="D2426">
        <v>87.641527999999994</v>
      </c>
    </row>
    <row r="2427" spans="2:4">
      <c r="B2427" s="2">
        <v>38544</v>
      </c>
      <c r="C2427" t="s">
        <v>3</v>
      </c>
      <c r="D2427">
        <v>89.055898799999994</v>
      </c>
    </row>
    <row r="2428" spans="2:4">
      <c r="B2428" s="2">
        <v>38541</v>
      </c>
      <c r="C2428" t="s">
        <v>3</v>
      </c>
      <c r="D2428">
        <v>89.054010399999996</v>
      </c>
    </row>
    <row r="2429" spans="2:4">
      <c r="B2429" s="2">
        <v>38540</v>
      </c>
      <c r="C2429" t="s">
        <v>3</v>
      </c>
      <c r="D2429">
        <v>89.848237499999996</v>
      </c>
    </row>
    <row r="2430" spans="2:4">
      <c r="B2430" s="2">
        <v>38539</v>
      </c>
      <c r="C2430" t="s">
        <v>3</v>
      </c>
      <c r="D2430">
        <v>89.692796700000002</v>
      </c>
    </row>
    <row r="2431" spans="2:4">
      <c r="B2431" s="2">
        <v>38538</v>
      </c>
      <c r="C2431" t="s">
        <v>3</v>
      </c>
      <c r="D2431">
        <v>89.369744699999998</v>
      </c>
    </row>
    <row r="2432" spans="2:4">
      <c r="B2432" s="2">
        <v>38534</v>
      </c>
      <c r="C2432" t="s">
        <v>3</v>
      </c>
      <c r="D2432">
        <v>89.214909000000006</v>
      </c>
    </row>
    <row r="2433" spans="2:4">
      <c r="B2433" s="2">
        <v>38533</v>
      </c>
      <c r="C2433" t="s">
        <v>3</v>
      </c>
      <c r="D2433">
        <v>89.526956200000001</v>
      </c>
    </row>
    <row r="2434" spans="2:4">
      <c r="B2434" s="2">
        <v>38532</v>
      </c>
      <c r="C2434" t="s">
        <v>3</v>
      </c>
      <c r="D2434">
        <v>89.530096799999995</v>
      </c>
    </row>
    <row r="2435" spans="2:4">
      <c r="B2435" s="2">
        <v>38531</v>
      </c>
      <c r="C2435" t="s">
        <v>3</v>
      </c>
      <c r="D2435">
        <v>89.700534000000005</v>
      </c>
    </row>
    <row r="2436" spans="2:4">
      <c r="B2436" s="2">
        <v>38530</v>
      </c>
      <c r="C2436" t="s">
        <v>3</v>
      </c>
      <c r="D2436">
        <v>89.850416999999993</v>
      </c>
    </row>
    <row r="2437" spans="2:4">
      <c r="B2437" s="2">
        <v>38527</v>
      </c>
      <c r="C2437" t="s">
        <v>3</v>
      </c>
      <c r="D2437">
        <v>90.012512700000002</v>
      </c>
    </row>
    <row r="2438" spans="2:4">
      <c r="B2438" s="2">
        <v>38526</v>
      </c>
      <c r="C2438" t="s">
        <v>3</v>
      </c>
      <c r="D2438">
        <v>89.211963400000002</v>
      </c>
    </row>
    <row r="2439" spans="2:4">
      <c r="B2439" s="2">
        <v>38525</v>
      </c>
      <c r="C2439" t="s">
        <v>3</v>
      </c>
      <c r="D2439">
        <v>89.217423400000001</v>
      </c>
    </row>
    <row r="2440" spans="2:4">
      <c r="B2440" s="2">
        <v>38524</v>
      </c>
      <c r="C2440" t="s">
        <v>3</v>
      </c>
      <c r="D2440">
        <v>88.101776999999998</v>
      </c>
    </row>
    <row r="2441" spans="2:4">
      <c r="B2441" s="2">
        <v>38523</v>
      </c>
      <c r="C2441" t="s">
        <v>3</v>
      </c>
      <c r="D2441">
        <v>87.784190699999996</v>
      </c>
    </row>
    <row r="2442" spans="2:4">
      <c r="B2442" s="2">
        <v>38520</v>
      </c>
      <c r="C2442" t="s">
        <v>3</v>
      </c>
      <c r="D2442">
        <v>88.260846099999995</v>
      </c>
    </row>
    <row r="2443" spans="2:4">
      <c r="B2443" s="2">
        <v>38519</v>
      </c>
      <c r="C2443" t="s">
        <v>3</v>
      </c>
      <c r="D2443">
        <v>88.732701000000006</v>
      </c>
    </row>
    <row r="2444" spans="2:4">
      <c r="B2444" s="2">
        <v>38518</v>
      </c>
      <c r="C2444" t="s">
        <v>3</v>
      </c>
      <c r="D2444">
        <v>88.741060399999995</v>
      </c>
    </row>
    <row r="2445" spans="2:4">
      <c r="B2445" s="2">
        <v>38517</v>
      </c>
      <c r="C2445" t="s">
        <v>3</v>
      </c>
      <c r="D2445">
        <v>89.682569999999998</v>
      </c>
    </row>
    <row r="2446" spans="2:4">
      <c r="B2446" s="2">
        <v>38516</v>
      </c>
      <c r="C2446" t="s">
        <v>3</v>
      </c>
      <c r="D2446">
        <v>90.959051000000002</v>
      </c>
    </row>
    <row r="2447" spans="2:4">
      <c r="B2447" s="2">
        <v>38513</v>
      </c>
      <c r="C2447" t="s">
        <v>3</v>
      </c>
      <c r="D2447">
        <v>91.254429999999999</v>
      </c>
    </row>
    <row r="2448" spans="2:4">
      <c r="B2448" s="2">
        <v>38512</v>
      </c>
      <c r="C2448" t="s">
        <v>3</v>
      </c>
      <c r="D2448">
        <v>89.688255999999996</v>
      </c>
    </row>
    <row r="2449" spans="2:4">
      <c r="B2449" s="2">
        <v>38511</v>
      </c>
      <c r="C2449" t="s">
        <v>3</v>
      </c>
      <c r="D2449">
        <v>89.221887499999994</v>
      </c>
    </row>
    <row r="2450" spans="2:4">
      <c r="B2450" s="2">
        <v>38510</v>
      </c>
      <c r="C2450" t="s">
        <v>3</v>
      </c>
      <c r="D2450">
        <v>89.053483799999995</v>
      </c>
    </row>
    <row r="2451" spans="2:4">
      <c r="B2451" s="2">
        <v>38509</v>
      </c>
      <c r="C2451" t="s">
        <v>3</v>
      </c>
      <c r="D2451">
        <v>88.574857499999993</v>
      </c>
    </row>
    <row r="2452" spans="2:4">
      <c r="B2452" s="2">
        <v>38506</v>
      </c>
      <c r="C2452" t="s">
        <v>3</v>
      </c>
      <c r="D2452">
        <v>88.260102000000003</v>
      </c>
    </row>
    <row r="2453" spans="2:4">
      <c r="B2453" s="2">
        <v>38505</v>
      </c>
      <c r="C2453" t="s">
        <v>3</v>
      </c>
      <c r="D2453">
        <v>88.098786000000004</v>
      </c>
    </row>
    <row r="2454" spans="2:4">
      <c r="B2454" s="2">
        <v>38504</v>
      </c>
      <c r="C2454" t="s">
        <v>3</v>
      </c>
      <c r="D2454">
        <v>87.949762000000007</v>
      </c>
    </row>
    <row r="2455" spans="2:4">
      <c r="B2455" s="2">
        <v>38503</v>
      </c>
      <c r="C2455" t="s">
        <v>3</v>
      </c>
      <c r="D2455">
        <v>87.447149999999993</v>
      </c>
    </row>
    <row r="2456" spans="2:4">
      <c r="B2456" s="2">
        <v>38499</v>
      </c>
      <c r="C2456" t="s">
        <v>3</v>
      </c>
      <c r="D2456">
        <v>86.832361000000006</v>
      </c>
    </row>
    <row r="2457" spans="2:4">
      <c r="B2457" s="2">
        <v>38498</v>
      </c>
      <c r="C2457" t="s">
        <v>3</v>
      </c>
      <c r="D2457">
        <v>87.022368299999997</v>
      </c>
    </row>
    <row r="2458" spans="2:4">
      <c r="B2458" s="2">
        <v>38497</v>
      </c>
      <c r="C2458" t="s">
        <v>3</v>
      </c>
      <c r="D2458">
        <v>87.621717599999997</v>
      </c>
    </row>
    <row r="2459" spans="2:4">
      <c r="B2459" s="2">
        <v>38496</v>
      </c>
      <c r="C2459" t="s">
        <v>3</v>
      </c>
      <c r="D2459">
        <v>88.098878999999997</v>
      </c>
    </row>
    <row r="2460" spans="2:4">
      <c r="B2460" s="2">
        <v>38495</v>
      </c>
      <c r="C2460" t="s">
        <v>3</v>
      </c>
      <c r="D2460">
        <v>88.097313999999997</v>
      </c>
    </row>
    <row r="2461" spans="2:4">
      <c r="B2461" s="2">
        <v>38492</v>
      </c>
      <c r="C2461" t="s">
        <v>3</v>
      </c>
      <c r="D2461">
        <v>87.918758999999994</v>
      </c>
    </row>
    <row r="2462" spans="2:4">
      <c r="B2462" s="2">
        <v>38491</v>
      </c>
      <c r="C2462" t="s">
        <v>3</v>
      </c>
      <c r="D2462">
        <v>88.570607999999993</v>
      </c>
    </row>
    <row r="2463" spans="2:4">
      <c r="B2463" s="2">
        <v>38490</v>
      </c>
      <c r="C2463" t="s">
        <v>3</v>
      </c>
      <c r="D2463">
        <v>90.170451999999997</v>
      </c>
    </row>
    <row r="2464" spans="2:4">
      <c r="B2464" s="2">
        <v>38489</v>
      </c>
      <c r="C2464" t="s">
        <v>3</v>
      </c>
      <c r="D2464">
        <v>90.007841999999997</v>
      </c>
    </row>
    <row r="2465" spans="2:4">
      <c r="B2465" s="2">
        <v>38488</v>
      </c>
      <c r="C2465" t="s">
        <v>3</v>
      </c>
      <c r="D2465">
        <v>88.883387999999997</v>
      </c>
    </row>
    <row r="2466" spans="2:4">
      <c r="B2466" s="2">
        <v>38485</v>
      </c>
      <c r="C2466" t="s">
        <v>3</v>
      </c>
      <c r="D2466">
        <v>88.580434800000006</v>
      </c>
    </row>
    <row r="2467" spans="2:4">
      <c r="B2467" s="2">
        <v>38484</v>
      </c>
      <c r="C2467" t="s">
        <v>3</v>
      </c>
      <c r="D2467">
        <v>88.260001599999995</v>
      </c>
    </row>
    <row r="2468" spans="2:4">
      <c r="B2468" s="2">
        <v>38483</v>
      </c>
      <c r="C2468" t="s">
        <v>3</v>
      </c>
      <c r="D2468">
        <v>88.422933599999993</v>
      </c>
    </row>
    <row r="2469" spans="2:4">
      <c r="B2469" s="2">
        <v>38482</v>
      </c>
      <c r="C2469" t="s">
        <v>3</v>
      </c>
      <c r="D2469">
        <v>87.466674800000007</v>
      </c>
    </row>
    <row r="2470" spans="2:4">
      <c r="B2470" s="2">
        <v>38481</v>
      </c>
      <c r="C2470" t="s">
        <v>3</v>
      </c>
      <c r="D2470">
        <v>86.822899000000007</v>
      </c>
    </row>
    <row r="2471" spans="2:4">
      <c r="B2471" s="2">
        <v>38478</v>
      </c>
      <c r="C2471" t="s">
        <v>3</v>
      </c>
      <c r="D2471">
        <v>87.140628000000007</v>
      </c>
    </row>
    <row r="2472" spans="2:4">
      <c r="B2472" s="2">
        <v>38477</v>
      </c>
      <c r="C2472" t="s">
        <v>3</v>
      </c>
      <c r="D2472">
        <v>87.746576000000005</v>
      </c>
    </row>
    <row r="2473" spans="2:4">
      <c r="B2473" s="2">
        <v>38476</v>
      </c>
      <c r="C2473" t="s">
        <v>3</v>
      </c>
      <c r="D2473">
        <v>88.108924000000002</v>
      </c>
    </row>
    <row r="2474" spans="2:4">
      <c r="B2474" s="2">
        <v>38475</v>
      </c>
      <c r="C2474" t="s">
        <v>3</v>
      </c>
      <c r="D2474">
        <v>88.432204999999996</v>
      </c>
    </row>
    <row r="2475" spans="2:4">
      <c r="B2475" s="2">
        <v>38474</v>
      </c>
      <c r="C2475" t="s">
        <v>3</v>
      </c>
      <c r="D2475">
        <v>88.578587999999996</v>
      </c>
    </row>
    <row r="2476" spans="2:4">
      <c r="B2476" s="2">
        <v>38471</v>
      </c>
      <c r="C2476" t="s">
        <v>3</v>
      </c>
      <c r="D2476">
        <v>87.961494000000002</v>
      </c>
    </row>
    <row r="2477" spans="2:4">
      <c r="B2477" s="2">
        <v>38470</v>
      </c>
      <c r="C2477" t="s">
        <v>3</v>
      </c>
      <c r="D2477">
        <v>87.636452000000006</v>
      </c>
    </row>
    <row r="2478" spans="2:4">
      <c r="B2478" s="2">
        <v>38469</v>
      </c>
      <c r="C2478" t="s">
        <v>3</v>
      </c>
      <c r="D2478">
        <v>87.162021499999994</v>
      </c>
    </row>
    <row r="2479" spans="2:4">
      <c r="B2479" s="2">
        <v>38468</v>
      </c>
      <c r="C2479" t="s">
        <v>3</v>
      </c>
      <c r="D2479">
        <v>86.8340022</v>
      </c>
    </row>
    <row r="2480" spans="2:4">
      <c r="B2480" s="2">
        <v>38467</v>
      </c>
      <c r="C2480" t="s">
        <v>3</v>
      </c>
      <c r="D2480">
        <v>87.309596799999994</v>
      </c>
    </row>
    <row r="2481" spans="2:4">
      <c r="B2481" s="2">
        <v>38464</v>
      </c>
      <c r="C2481" t="s">
        <v>3</v>
      </c>
      <c r="D2481">
        <v>87.3092848</v>
      </c>
    </row>
    <row r="2482" spans="2:4">
      <c r="B2482" s="2">
        <v>38463</v>
      </c>
      <c r="C2482" t="s">
        <v>3</v>
      </c>
      <c r="D2482">
        <v>87.305995800000005</v>
      </c>
    </row>
    <row r="2483" spans="2:4">
      <c r="B2483" s="2">
        <v>38462</v>
      </c>
      <c r="C2483" t="s">
        <v>3</v>
      </c>
      <c r="D2483">
        <v>88.107965300000004</v>
      </c>
    </row>
    <row r="2484" spans="2:4">
      <c r="B2484" s="2">
        <v>38461</v>
      </c>
      <c r="C2484" t="s">
        <v>3</v>
      </c>
      <c r="D2484">
        <v>87.945221700000005</v>
      </c>
    </row>
    <row r="2485" spans="2:4">
      <c r="B2485" s="2">
        <v>38460</v>
      </c>
      <c r="C2485" t="s">
        <v>3</v>
      </c>
      <c r="D2485">
        <v>88.580895999999996</v>
      </c>
    </row>
    <row r="2486" spans="2:4">
      <c r="B2486" s="2">
        <v>38457</v>
      </c>
      <c r="C2486" t="s">
        <v>3</v>
      </c>
      <c r="D2486">
        <v>87.625724399999996</v>
      </c>
    </row>
    <row r="2487" spans="2:4">
      <c r="B2487" s="2">
        <v>38456</v>
      </c>
      <c r="C2487" t="s">
        <v>3</v>
      </c>
      <c r="D2487">
        <v>86.991935999999995</v>
      </c>
    </row>
    <row r="2488" spans="2:4">
      <c r="B2488" s="2">
        <v>38455</v>
      </c>
      <c r="C2488" t="s">
        <v>3</v>
      </c>
      <c r="D2488">
        <v>85.570756500000002</v>
      </c>
    </row>
    <row r="2489" spans="2:4">
      <c r="B2489" s="2">
        <v>38454</v>
      </c>
      <c r="C2489" t="s">
        <v>3</v>
      </c>
      <c r="D2489">
        <v>85.405091400000003</v>
      </c>
    </row>
    <row r="2490" spans="2:4">
      <c r="B2490" s="2">
        <v>38453</v>
      </c>
      <c r="C2490" t="s">
        <v>3</v>
      </c>
      <c r="D2490">
        <v>86.515603200000001</v>
      </c>
    </row>
    <row r="2491" spans="2:4">
      <c r="B2491" s="2">
        <v>38450</v>
      </c>
      <c r="C2491" t="s">
        <v>3</v>
      </c>
      <c r="D2491">
        <v>86.513097599999995</v>
      </c>
    </row>
    <row r="2492" spans="2:4">
      <c r="B2492" s="2">
        <v>38449</v>
      </c>
      <c r="C2492" t="s">
        <v>3</v>
      </c>
      <c r="D2492">
        <v>86.035560399999994</v>
      </c>
    </row>
    <row r="2493" spans="2:4">
      <c r="B2493" s="2">
        <v>38448</v>
      </c>
      <c r="C2493" t="s">
        <v>3</v>
      </c>
      <c r="D2493">
        <v>84.768868999999995</v>
      </c>
    </row>
    <row r="2494" spans="2:4">
      <c r="B2494" s="2">
        <v>38447</v>
      </c>
      <c r="C2494" t="s">
        <v>3</v>
      </c>
      <c r="D2494">
        <v>84.767329899999993</v>
      </c>
    </row>
    <row r="2495" spans="2:4">
      <c r="B2495" s="2">
        <v>38446</v>
      </c>
      <c r="C2495" t="s">
        <v>3</v>
      </c>
      <c r="D2495">
        <v>84.753904000000006</v>
      </c>
    </row>
    <row r="2496" spans="2:4">
      <c r="B2496" s="2">
        <v>38443</v>
      </c>
      <c r="C2496" t="s">
        <v>3</v>
      </c>
      <c r="D2496">
        <v>83.735799999999998</v>
      </c>
    </row>
    <row r="2497" spans="2:4">
      <c r="B2497" s="2">
        <v>38442</v>
      </c>
      <c r="C2497" t="s">
        <v>3</v>
      </c>
      <c r="D2497">
        <v>84.837985200000006</v>
      </c>
    </row>
    <row r="2498" spans="2:4">
      <c r="B2498" s="2">
        <v>38441</v>
      </c>
      <c r="C2498" t="s">
        <v>3</v>
      </c>
      <c r="D2498">
        <v>86.019490000000005</v>
      </c>
    </row>
    <row r="2499" spans="2:4">
      <c r="B2499" s="2">
        <v>38440</v>
      </c>
      <c r="C2499" t="s">
        <v>3</v>
      </c>
      <c r="D2499">
        <v>86.714574999999996</v>
      </c>
    </row>
    <row r="2500" spans="2:4">
      <c r="B2500" s="2">
        <v>38439</v>
      </c>
      <c r="C2500" t="s">
        <v>3</v>
      </c>
      <c r="D2500">
        <v>86.741422</v>
      </c>
    </row>
    <row r="2501" spans="2:4">
      <c r="B2501" s="2">
        <v>38435</v>
      </c>
      <c r="C2501" t="s">
        <v>3</v>
      </c>
      <c r="D2501">
        <v>86.461596</v>
      </c>
    </row>
    <row r="2502" spans="2:4">
      <c r="B2502" s="2">
        <v>38434</v>
      </c>
      <c r="C2502" t="s">
        <v>3</v>
      </c>
      <c r="D2502">
        <v>87.486311499999999</v>
      </c>
    </row>
    <row r="2503" spans="2:4">
      <c r="B2503" s="2">
        <v>38433</v>
      </c>
      <c r="C2503" t="s">
        <v>3</v>
      </c>
      <c r="D2503">
        <v>87.905704999999998</v>
      </c>
    </row>
    <row r="2504" spans="2:4">
      <c r="B2504" s="2">
        <v>38432</v>
      </c>
      <c r="C2504" t="s">
        <v>3</v>
      </c>
      <c r="D2504">
        <v>87.354900000000001</v>
      </c>
    </row>
    <row r="2505" spans="2:4">
      <c r="B2505" s="2">
        <v>38429</v>
      </c>
      <c r="C2505" t="s">
        <v>3</v>
      </c>
      <c r="D2505">
        <v>86.748078000000007</v>
      </c>
    </row>
    <row r="2506" spans="2:4">
      <c r="B2506" s="2">
        <v>38428</v>
      </c>
      <c r="C2506" t="s">
        <v>3</v>
      </c>
      <c r="D2506">
        <v>86.667593600000004</v>
      </c>
    </row>
    <row r="2507" spans="2:4">
      <c r="B2507" s="2">
        <v>38427</v>
      </c>
      <c r="C2507" t="s">
        <v>3</v>
      </c>
      <c r="D2507">
        <v>86.740288800000002</v>
      </c>
    </row>
    <row r="2508" spans="2:4">
      <c r="B2508" s="2">
        <v>38426</v>
      </c>
      <c r="C2508" t="s">
        <v>3</v>
      </c>
      <c r="D2508">
        <v>86.079505600000005</v>
      </c>
    </row>
    <row r="2509" spans="2:4">
      <c r="B2509" s="2">
        <v>38425</v>
      </c>
      <c r="C2509" t="s">
        <v>3</v>
      </c>
      <c r="D2509">
        <v>85.819624000000005</v>
      </c>
    </row>
    <row r="2510" spans="2:4">
      <c r="B2510" s="2">
        <v>38422</v>
      </c>
      <c r="C2510" t="s">
        <v>3</v>
      </c>
      <c r="D2510">
        <v>85.823499999999996</v>
      </c>
    </row>
    <row r="2511" spans="2:4">
      <c r="B2511" s="2">
        <v>38421</v>
      </c>
      <c r="C2511" t="s">
        <v>3</v>
      </c>
      <c r="D2511">
        <v>85.712697000000006</v>
      </c>
    </row>
    <row r="2512" spans="2:4">
      <c r="B2512" s="2">
        <v>38420</v>
      </c>
      <c r="C2512" t="s">
        <v>3</v>
      </c>
      <c r="D2512">
        <v>86.494337999999999</v>
      </c>
    </row>
    <row r="2513" spans="2:4">
      <c r="B2513" s="2">
        <v>38419</v>
      </c>
      <c r="C2513" t="s">
        <v>3</v>
      </c>
      <c r="D2513">
        <v>84.617863200000002</v>
      </c>
    </row>
    <row r="2514" spans="2:4">
      <c r="B2514" s="2">
        <v>38418</v>
      </c>
      <c r="C2514" t="s">
        <v>3</v>
      </c>
      <c r="D2514">
        <v>83.763007999999999</v>
      </c>
    </row>
    <row r="2515" spans="2:4">
      <c r="B2515" s="2">
        <v>38415</v>
      </c>
      <c r="C2515" t="s">
        <v>3</v>
      </c>
      <c r="D2515">
        <v>84.257429999999999</v>
      </c>
    </row>
    <row r="2516" spans="2:4">
      <c r="B2516" s="2">
        <v>38414</v>
      </c>
      <c r="C2516" t="s">
        <v>3</v>
      </c>
      <c r="D2516">
        <v>85.154048000000003</v>
      </c>
    </row>
    <row r="2517" spans="2:4">
      <c r="B2517" s="2">
        <v>38413</v>
      </c>
      <c r="C2517" t="s">
        <v>3</v>
      </c>
      <c r="D2517">
        <v>86.152488000000005</v>
      </c>
    </row>
    <row r="2518" spans="2:4">
      <c r="B2518" s="2">
        <v>38412</v>
      </c>
      <c r="C2518" t="s">
        <v>3</v>
      </c>
      <c r="D2518">
        <v>86.744261499999993</v>
      </c>
    </row>
    <row r="2519" spans="2:4">
      <c r="B2519" s="2">
        <v>38411</v>
      </c>
      <c r="C2519" t="s">
        <v>3</v>
      </c>
      <c r="D2519">
        <v>87.239507500000002</v>
      </c>
    </row>
    <row r="2520" spans="2:4">
      <c r="B2520" s="2">
        <v>38408</v>
      </c>
      <c r="C2520" t="s">
        <v>3</v>
      </c>
      <c r="D2520">
        <v>86.046300000000002</v>
      </c>
    </row>
    <row r="2521" spans="2:4">
      <c r="B2521" s="2">
        <v>38407</v>
      </c>
      <c r="C2521" t="s">
        <v>3</v>
      </c>
      <c r="D2521">
        <v>86.759100000000004</v>
      </c>
    </row>
    <row r="2522" spans="2:4">
      <c r="B2522" s="2">
        <v>38406</v>
      </c>
      <c r="C2522" t="s">
        <v>3</v>
      </c>
      <c r="D2522">
        <v>87.079697999999993</v>
      </c>
    </row>
    <row r="2523" spans="2:4">
      <c r="B2523" s="2">
        <v>38405</v>
      </c>
      <c r="C2523" t="s">
        <v>3</v>
      </c>
      <c r="D2523">
        <v>87.294092000000006</v>
      </c>
    </row>
    <row r="2524" spans="2:4">
      <c r="B2524" s="2">
        <v>38401</v>
      </c>
      <c r="C2524" t="s">
        <v>3</v>
      </c>
      <c r="D2524">
        <v>87.002894999999995</v>
      </c>
    </row>
    <row r="2525" spans="2:4">
      <c r="B2525" s="2">
        <v>38400</v>
      </c>
      <c r="C2525" t="s">
        <v>3</v>
      </c>
      <c r="D2525">
        <v>86.883332899999999</v>
      </c>
    </row>
    <row r="2526" spans="2:4">
      <c r="B2526" s="2">
        <v>38399</v>
      </c>
      <c r="C2526" t="s">
        <v>3</v>
      </c>
      <c r="D2526">
        <v>86.848623500000002</v>
      </c>
    </row>
    <row r="2527" spans="2:4">
      <c r="B2527" s="2">
        <v>38398</v>
      </c>
      <c r="C2527" t="s">
        <v>3</v>
      </c>
      <c r="D2527">
        <v>88.125055000000003</v>
      </c>
    </row>
    <row r="2528" spans="2:4">
      <c r="B2528" s="2">
        <v>38397</v>
      </c>
      <c r="C2528" t="s">
        <v>3</v>
      </c>
      <c r="D2528">
        <v>87.905506500000001</v>
      </c>
    </row>
    <row r="2529" spans="2:4">
      <c r="B2529" s="2">
        <v>38394</v>
      </c>
      <c r="C2529" t="s">
        <v>3</v>
      </c>
      <c r="D2529">
        <v>88.054624799999999</v>
      </c>
    </row>
    <row r="2530" spans="2:4">
      <c r="B2530" s="2">
        <v>38393</v>
      </c>
      <c r="C2530" t="s">
        <v>3</v>
      </c>
      <c r="D2530">
        <v>88.538792099999995</v>
      </c>
    </row>
    <row r="2531" spans="2:4">
      <c r="B2531" s="2">
        <v>38392</v>
      </c>
      <c r="C2531" t="s">
        <v>3</v>
      </c>
      <c r="D2531">
        <v>87.276157600000005</v>
      </c>
    </row>
    <row r="2532" spans="2:4">
      <c r="B2532" s="2">
        <v>38391</v>
      </c>
      <c r="C2532" t="s">
        <v>3</v>
      </c>
      <c r="D2532">
        <v>86.106719999999996</v>
      </c>
    </row>
    <row r="2533" spans="2:4">
      <c r="B2533" s="2">
        <v>38390</v>
      </c>
      <c r="C2533" t="s">
        <v>3</v>
      </c>
      <c r="D2533">
        <v>85.565724000000003</v>
      </c>
    </row>
    <row r="2534" spans="2:4">
      <c r="B2534" s="2">
        <v>38387</v>
      </c>
      <c r="C2534" t="s">
        <v>3</v>
      </c>
      <c r="D2534">
        <v>85.936352099999993</v>
      </c>
    </row>
    <row r="2535" spans="2:4">
      <c r="B2535" s="2">
        <v>38386</v>
      </c>
      <c r="C2535" t="s">
        <v>3</v>
      </c>
      <c r="D2535">
        <v>85.878355200000001</v>
      </c>
    </row>
    <row r="2536" spans="2:4">
      <c r="B2536" s="2">
        <v>38385</v>
      </c>
      <c r="C2536" t="s">
        <v>3</v>
      </c>
      <c r="D2536">
        <v>86.762451999999996</v>
      </c>
    </row>
    <row r="2537" spans="2:4">
      <c r="B2537" s="2">
        <v>38384</v>
      </c>
      <c r="C2537" t="s">
        <v>3</v>
      </c>
      <c r="D2537">
        <v>87.535877999999997</v>
      </c>
    </row>
    <row r="2538" spans="2:4">
      <c r="B2538" s="2">
        <v>38383</v>
      </c>
      <c r="C2538" t="s">
        <v>3</v>
      </c>
      <c r="D2538">
        <v>87.363617000000005</v>
      </c>
    </row>
    <row r="2539" spans="2:4">
      <c r="B2539" s="2">
        <v>38380</v>
      </c>
      <c r="C2539" t="s">
        <v>3</v>
      </c>
      <c r="D2539">
        <v>87.857700600000001</v>
      </c>
    </row>
    <row r="2540" spans="2:4">
      <c r="B2540" s="2">
        <v>38379</v>
      </c>
      <c r="C2540" t="s">
        <v>3</v>
      </c>
      <c r="D2540">
        <v>88.178544000000002</v>
      </c>
    </row>
    <row r="2541" spans="2:4">
      <c r="B2541" s="2">
        <v>38378</v>
      </c>
      <c r="C2541" t="s">
        <v>3</v>
      </c>
      <c r="D2541">
        <v>89.446968600000005</v>
      </c>
    </row>
    <row r="2542" spans="2:4">
      <c r="B2542" s="2">
        <v>38377</v>
      </c>
      <c r="C2542" t="s">
        <v>3</v>
      </c>
      <c r="D2542">
        <v>89.366601900000006</v>
      </c>
    </row>
    <row r="2543" spans="2:4">
      <c r="B2543" s="2">
        <v>38376</v>
      </c>
      <c r="C2543" t="s">
        <v>3</v>
      </c>
      <c r="D2543">
        <v>87.913600000000002</v>
      </c>
    </row>
    <row r="2544" spans="2:4">
      <c r="B2544" s="2">
        <v>38373</v>
      </c>
      <c r="C2544" t="s">
        <v>3</v>
      </c>
      <c r="D2544">
        <v>86.9914682</v>
      </c>
    </row>
    <row r="2545" spans="2:4">
      <c r="B2545" s="2">
        <v>38372</v>
      </c>
      <c r="C2545" t="s">
        <v>3</v>
      </c>
      <c r="D2545">
        <v>86.011949999999999</v>
      </c>
    </row>
    <row r="2546" spans="2:4">
      <c r="B2546" s="2">
        <v>38371</v>
      </c>
      <c r="C2546" t="s">
        <v>3</v>
      </c>
      <c r="D2546">
        <v>87.165941399999994</v>
      </c>
    </row>
    <row r="2547" spans="2:4">
      <c r="B2547" s="2">
        <v>38370</v>
      </c>
      <c r="C2547" t="s">
        <v>3</v>
      </c>
      <c r="D2547">
        <v>88.061651299999994</v>
      </c>
    </row>
    <row r="2548" spans="2:4">
      <c r="B2548" s="2">
        <v>38366</v>
      </c>
      <c r="C2548" t="s">
        <v>3</v>
      </c>
      <c r="D2548">
        <v>88.567407500000002</v>
      </c>
    </row>
    <row r="2549" spans="2:4">
      <c r="B2549" s="2">
        <v>38365</v>
      </c>
      <c r="C2549" t="s">
        <v>3</v>
      </c>
      <c r="D2549">
        <v>88.273799999999994</v>
      </c>
    </row>
    <row r="2550" spans="2:4">
      <c r="B2550" s="2">
        <v>38364</v>
      </c>
      <c r="C2550" t="s">
        <v>3</v>
      </c>
      <c r="D2550">
        <v>89.025144499999996</v>
      </c>
    </row>
    <row r="2551" spans="2:4">
      <c r="B2551" s="2">
        <v>38363</v>
      </c>
      <c r="C2551" t="s">
        <v>3</v>
      </c>
      <c r="D2551">
        <v>89.730739999999997</v>
      </c>
    </row>
    <row r="2552" spans="2:4">
      <c r="B2552" s="2">
        <v>38362</v>
      </c>
      <c r="C2552" t="s">
        <v>3</v>
      </c>
      <c r="D2552">
        <v>89.847369999999998</v>
      </c>
    </row>
    <row r="2553" spans="2:4">
      <c r="B2553" s="2">
        <v>38359</v>
      </c>
      <c r="C2553" t="s">
        <v>3</v>
      </c>
      <c r="D2553">
        <v>90.843059999999994</v>
      </c>
    </row>
    <row r="2554" spans="2:4">
      <c r="B2554" s="2">
        <v>38358</v>
      </c>
      <c r="C2554" t="s">
        <v>3</v>
      </c>
      <c r="D2554">
        <v>92.514039999999994</v>
      </c>
    </row>
    <row r="2555" spans="2:4">
      <c r="B2555" s="2">
        <v>38357</v>
      </c>
      <c r="C2555" t="s">
        <v>3</v>
      </c>
      <c r="D2555">
        <v>93.587479999999999</v>
      </c>
    </row>
    <row r="2556" spans="2:4">
      <c r="B2556" s="2">
        <v>38356</v>
      </c>
      <c r="C2556" t="s">
        <v>3</v>
      </c>
      <c r="D2556">
        <v>93.452427</v>
      </c>
    </row>
    <row r="2557" spans="2:4">
      <c r="B2557" s="2">
        <v>38355</v>
      </c>
      <c r="C2557" t="s">
        <v>3</v>
      </c>
      <c r="D2557">
        <v>94.877295000000004</v>
      </c>
    </row>
    <row r="2558" spans="2:4">
      <c r="B2558" s="2">
        <v>38352</v>
      </c>
      <c r="C2558" t="s">
        <v>3</v>
      </c>
      <c r="D2558">
        <v>94.863500000000002</v>
      </c>
    </row>
    <row r="2559" spans="2:4">
      <c r="B2559" s="2">
        <v>38351</v>
      </c>
      <c r="C2559" t="s">
        <v>3</v>
      </c>
      <c r="D2559">
        <v>95.210076000000001</v>
      </c>
    </row>
    <row r="2560" spans="2:4">
      <c r="B2560" s="2">
        <v>38350</v>
      </c>
      <c r="C2560" t="s">
        <v>3</v>
      </c>
      <c r="D2560">
        <v>95.498304000000005</v>
      </c>
    </row>
    <row r="2561" spans="2:4">
      <c r="B2561" s="2">
        <v>38349</v>
      </c>
      <c r="C2561" t="s">
        <v>3</v>
      </c>
      <c r="D2561">
        <v>95.888239999999996</v>
      </c>
    </row>
    <row r="2562" spans="2:4">
      <c r="B2562" s="2">
        <v>38348</v>
      </c>
      <c r="C2562" t="s">
        <v>3</v>
      </c>
      <c r="D2562">
        <v>96.140051999999997</v>
      </c>
    </row>
    <row r="2563" spans="2:4">
      <c r="B2563" s="2">
        <v>38344</v>
      </c>
      <c r="C2563" t="s">
        <v>3</v>
      </c>
      <c r="D2563">
        <v>95.761306000000005</v>
      </c>
    </row>
    <row r="2564" spans="2:4">
      <c r="B2564" s="2">
        <v>38343</v>
      </c>
      <c r="C2564" t="s">
        <v>3</v>
      </c>
      <c r="D2564">
        <v>95.436715000000007</v>
      </c>
    </row>
    <row r="2565" spans="2:4">
      <c r="B2565" s="2">
        <v>38342</v>
      </c>
      <c r="C2565" t="s">
        <v>3</v>
      </c>
      <c r="D2565">
        <v>95.843451999999999</v>
      </c>
    </row>
    <row r="2566" spans="2:4">
      <c r="B2566" s="2">
        <v>38341</v>
      </c>
      <c r="C2566" t="s">
        <v>3</v>
      </c>
      <c r="D2566">
        <v>97.449169999999995</v>
      </c>
    </row>
    <row r="2567" spans="2:4">
      <c r="B2567" s="2">
        <v>38338</v>
      </c>
      <c r="C2567" t="s">
        <v>3</v>
      </c>
      <c r="D2567">
        <v>97.421865999999994</v>
      </c>
    </row>
    <row r="2568" spans="2:4">
      <c r="B2568" s="2">
        <v>38337</v>
      </c>
      <c r="C2568" t="s">
        <v>3</v>
      </c>
      <c r="D2568">
        <v>97.052539999999993</v>
      </c>
    </row>
    <row r="2569" spans="2:4">
      <c r="B2569" s="2">
        <v>38336</v>
      </c>
      <c r="C2569" t="s">
        <v>3</v>
      </c>
      <c r="D2569">
        <v>96.679451999999998</v>
      </c>
    </row>
    <row r="2570" spans="2:4">
      <c r="B2570" s="2">
        <v>38335</v>
      </c>
      <c r="C2570" t="s">
        <v>3</v>
      </c>
      <c r="D2570">
        <v>94.809783199999998</v>
      </c>
    </row>
    <row r="2571" spans="2:4">
      <c r="B2571" s="2">
        <v>38334</v>
      </c>
      <c r="C2571" t="s">
        <v>3</v>
      </c>
      <c r="D2571">
        <v>94.010192000000004</v>
      </c>
    </row>
    <row r="2572" spans="2:4">
      <c r="B2572" s="2">
        <v>38331</v>
      </c>
      <c r="C2572" t="s">
        <v>3</v>
      </c>
      <c r="D2572">
        <v>94.387924999999996</v>
      </c>
    </row>
    <row r="2573" spans="2:4">
      <c r="B2573" s="2">
        <v>38330</v>
      </c>
      <c r="C2573" t="s">
        <v>3</v>
      </c>
      <c r="D2573">
        <v>92.809985999999995</v>
      </c>
    </row>
    <row r="2574" spans="2:4">
      <c r="B2574" s="2">
        <v>38329</v>
      </c>
      <c r="C2574" t="s">
        <v>3</v>
      </c>
      <c r="D2574">
        <v>92.996302499999999</v>
      </c>
    </row>
    <row r="2575" spans="2:4">
      <c r="B2575" s="2">
        <v>38328</v>
      </c>
      <c r="C2575" t="s">
        <v>3</v>
      </c>
      <c r="D2575">
        <v>91.642034300000006</v>
      </c>
    </row>
    <row r="2576" spans="2:4">
      <c r="B2576" s="2">
        <v>38327</v>
      </c>
      <c r="C2576" t="s">
        <v>3</v>
      </c>
      <c r="D2576">
        <v>91.757015999999993</v>
      </c>
    </row>
    <row r="2577" spans="2:4">
      <c r="B2577" s="2">
        <v>38324</v>
      </c>
      <c r="C2577" t="s">
        <v>3</v>
      </c>
      <c r="D2577">
        <v>92.771889999999999</v>
      </c>
    </row>
    <row r="2578" spans="2:4">
      <c r="B2578" s="2">
        <v>38323</v>
      </c>
      <c r="C2578" t="s">
        <v>3</v>
      </c>
      <c r="D2578">
        <v>93.120305000000002</v>
      </c>
    </row>
    <row r="2579" spans="2:4">
      <c r="B2579" s="2">
        <v>38322</v>
      </c>
      <c r="C2579" t="s">
        <v>3</v>
      </c>
      <c r="D2579">
        <v>93.624752000000001</v>
      </c>
    </row>
    <row r="2580" spans="2:4">
      <c r="B2580" s="2">
        <v>38321</v>
      </c>
      <c r="C2580" t="s">
        <v>3</v>
      </c>
      <c r="D2580">
        <v>91.993830000000003</v>
      </c>
    </row>
    <row r="2581" spans="2:4">
      <c r="B2581" s="2">
        <v>38320</v>
      </c>
      <c r="C2581" t="s">
        <v>3</v>
      </c>
      <c r="D2581">
        <v>91.666079999999994</v>
      </c>
    </row>
    <row r="2582" spans="2:4">
      <c r="B2582" s="2">
        <v>38317</v>
      </c>
      <c r="C2582" t="s">
        <v>3</v>
      </c>
      <c r="D2582">
        <v>91.673429999999996</v>
      </c>
    </row>
    <row r="2583" spans="2:4">
      <c r="B2583" s="2">
        <v>38315</v>
      </c>
      <c r="C2583" t="s">
        <v>3</v>
      </c>
      <c r="D2583">
        <v>91.714160000000007</v>
      </c>
    </row>
    <row r="2584" spans="2:4">
      <c r="B2584" s="2">
        <v>38314</v>
      </c>
      <c r="C2584" t="s">
        <v>3</v>
      </c>
      <c r="D2584">
        <v>91.508200000000002</v>
      </c>
    </row>
    <row r="2585" spans="2:4">
      <c r="B2585" s="2">
        <v>38313</v>
      </c>
      <c r="C2585" t="s">
        <v>3</v>
      </c>
      <c r="D2585">
        <v>92.170529999999999</v>
      </c>
    </row>
    <row r="2586" spans="2:4">
      <c r="B2586" s="2">
        <v>38310</v>
      </c>
      <c r="C2586" t="s">
        <v>3</v>
      </c>
      <c r="D2586">
        <v>92.921954999999997</v>
      </c>
    </row>
    <row r="2587" spans="2:4">
      <c r="B2587" s="2">
        <v>38309</v>
      </c>
      <c r="C2587" t="s">
        <v>3</v>
      </c>
      <c r="D2587">
        <v>93.726179999999999</v>
      </c>
    </row>
    <row r="2588" spans="2:4">
      <c r="B2588" s="2">
        <v>38308</v>
      </c>
      <c r="C2588" t="s">
        <v>3</v>
      </c>
      <c r="D2588">
        <v>93.812708999999998</v>
      </c>
    </row>
    <row r="2589" spans="2:4">
      <c r="B2589" s="2">
        <v>38307</v>
      </c>
      <c r="C2589" t="s">
        <v>3</v>
      </c>
      <c r="D2589">
        <v>94.021624000000003</v>
      </c>
    </row>
    <row r="2590" spans="2:4">
      <c r="B2590" s="2">
        <v>38306</v>
      </c>
      <c r="C2590" t="s">
        <v>3</v>
      </c>
      <c r="D2590">
        <v>94.483170000000001</v>
      </c>
    </row>
    <row r="2591" spans="2:4">
      <c r="B2591" s="2">
        <v>38303</v>
      </c>
      <c r="C2591" t="s">
        <v>3</v>
      </c>
      <c r="D2591">
        <v>94.630943000000002</v>
      </c>
    </row>
    <row r="2592" spans="2:4">
      <c r="B2592" s="2">
        <v>38301</v>
      </c>
      <c r="C2592" t="s">
        <v>3</v>
      </c>
      <c r="D2592">
        <v>94.405569999999997</v>
      </c>
    </row>
    <row r="2593" spans="2:4">
      <c r="B2593" s="2">
        <v>38300</v>
      </c>
      <c r="C2593" t="s">
        <v>3</v>
      </c>
      <c r="D2593">
        <v>94.055512500000006</v>
      </c>
    </row>
    <row r="2594" spans="2:4">
      <c r="B2594" s="2">
        <v>38299</v>
      </c>
      <c r="C2594" t="s">
        <v>3</v>
      </c>
      <c r="D2594">
        <v>95.035520000000005</v>
      </c>
    </row>
    <row r="2595" spans="2:4">
      <c r="B2595" s="2">
        <v>38296</v>
      </c>
      <c r="C2595" t="s">
        <v>3</v>
      </c>
      <c r="D2595">
        <v>94.495031999999995</v>
      </c>
    </row>
    <row r="2596" spans="2:4">
      <c r="B2596" s="2">
        <v>38295</v>
      </c>
      <c r="C2596" t="s">
        <v>3</v>
      </c>
      <c r="D2596">
        <v>96.514376999999996</v>
      </c>
    </row>
    <row r="2597" spans="2:4">
      <c r="B2597" s="2">
        <v>38294</v>
      </c>
      <c r="C2597" t="s">
        <v>3</v>
      </c>
      <c r="D2597">
        <v>96.418415499999995</v>
      </c>
    </row>
    <row r="2598" spans="2:4">
      <c r="B2598" s="2">
        <v>38293</v>
      </c>
      <c r="C2598" t="s">
        <v>3</v>
      </c>
      <c r="D2598">
        <v>97.286494500000003</v>
      </c>
    </row>
    <row r="2599" spans="2:4">
      <c r="B2599" s="2">
        <v>38292</v>
      </c>
      <c r="C2599" t="s">
        <v>3</v>
      </c>
      <c r="D2599">
        <v>97.909800000000004</v>
      </c>
    </row>
    <row r="2600" spans="2:4">
      <c r="B2600" s="2">
        <v>38289</v>
      </c>
      <c r="C2600" t="s">
        <v>3</v>
      </c>
      <c r="D2600">
        <v>99.469247999999993</v>
      </c>
    </row>
    <row r="2601" spans="2:4">
      <c r="B2601" s="2">
        <v>38288</v>
      </c>
      <c r="C2601" t="s">
        <v>3</v>
      </c>
      <c r="D2601">
        <v>101.1339462</v>
      </c>
    </row>
    <row r="2602" spans="2:4">
      <c r="B2602" s="2">
        <v>38287</v>
      </c>
      <c r="C2602" t="s">
        <v>3</v>
      </c>
      <c r="D2602">
        <v>101.08911999999999</v>
      </c>
    </row>
    <row r="2603" spans="2:4">
      <c r="B2603" s="2">
        <v>38286</v>
      </c>
      <c r="C2603" t="s">
        <v>3</v>
      </c>
      <c r="D2603">
        <v>101.84482</v>
      </c>
    </row>
    <row r="2604" spans="2:4">
      <c r="B2604" s="2">
        <v>38285</v>
      </c>
      <c r="C2604" t="s">
        <v>3</v>
      </c>
      <c r="D2604">
        <v>101.78238</v>
      </c>
    </row>
    <row r="2605" spans="2:4">
      <c r="B2605" s="2">
        <v>38282</v>
      </c>
      <c r="C2605" t="s">
        <v>3</v>
      </c>
      <c r="D2605">
        <v>101.5798875</v>
      </c>
    </row>
    <row r="2606" spans="2:4">
      <c r="B2606" s="2">
        <v>38281</v>
      </c>
      <c r="C2606" t="s">
        <v>3</v>
      </c>
      <c r="D2606">
        <v>101.49418300000001</v>
      </c>
    </row>
    <row r="2607" spans="2:4">
      <c r="B2607" s="2">
        <v>38280</v>
      </c>
      <c r="C2607" t="s">
        <v>3</v>
      </c>
      <c r="D2607">
        <v>101.33906</v>
      </c>
    </row>
    <row r="2608" spans="2:4">
      <c r="B2608" s="2">
        <v>38279</v>
      </c>
      <c r="C2608" t="s">
        <v>3</v>
      </c>
      <c r="D2608">
        <v>100.1160825</v>
      </c>
    </row>
    <row r="2609" spans="2:4">
      <c r="B2609" s="2">
        <v>38278</v>
      </c>
      <c r="C2609" t="s">
        <v>3</v>
      </c>
      <c r="D2609">
        <v>100.089904</v>
      </c>
    </row>
    <row r="2610" spans="2:4">
      <c r="B2610" s="2">
        <v>38275</v>
      </c>
      <c r="C2610" t="s">
        <v>3</v>
      </c>
      <c r="D2610">
        <v>100.63375000000001</v>
      </c>
    </row>
    <row r="2611" spans="2:4">
      <c r="B2611" s="2">
        <v>38274</v>
      </c>
      <c r="C2611" t="s">
        <v>3</v>
      </c>
      <c r="D2611">
        <v>99.971311999999998</v>
      </c>
    </row>
    <row r="2612" spans="2:4">
      <c r="B2612" s="2">
        <v>38273</v>
      </c>
      <c r="C2612" t="s">
        <v>3</v>
      </c>
      <c r="D2612">
        <v>99.830520000000007</v>
      </c>
    </row>
    <row r="2613" spans="2:4">
      <c r="B2613" s="2">
        <v>38272</v>
      </c>
      <c r="C2613" t="s">
        <v>3</v>
      </c>
      <c r="D2613">
        <v>97.762559999999993</v>
      </c>
    </row>
    <row r="2614" spans="2:4">
      <c r="B2614" s="2">
        <v>38268</v>
      </c>
      <c r="C2614" t="s">
        <v>3</v>
      </c>
      <c r="D2614">
        <v>97.683211600000007</v>
      </c>
    </row>
    <row r="2615" spans="2:4">
      <c r="B2615" s="2">
        <v>38267</v>
      </c>
      <c r="C2615" t="s">
        <v>3</v>
      </c>
      <c r="D2615">
        <v>97.912310000000005</v>
      </c>
    </row>
    <row r="2616" spans="2:4">
      <c r="B2616" s="2">
        <v>38266</v>
      </c>
      <c r="C2616" t="s">
        <v>3</v>
      </c>
      <c r="D2616">
        <v>96.720684000000006</v>
      </c>
    </row>
    <row r="2617" spans="2:4">
      <c r="B2617" s="2">
        <v>38265</v>
      </c>
      <c r="C2617" t="s">
        <v>3</v>
      </c>
      <c r="D2617">
        <v>96.095799999999997</v>
      </c>
    </row>
    <row r="2618" spans="2:4">
      <c r="B2618" s="2">
        <v>38264</v>
      </c>
      <c r="C2618" t="s">
        <v>3</v>
      </c>
      <c r="D2618">
        <v>96.484184999999997</v>
      </c>
    </row>
    <row r="2619" spans="2:4">
      <c r="B2619" s="2">
        <v>38261</v>
      </c>
      <c r="C2619" t="s">
        <v>3</v>
      </c>
      <c r="D2619">
        <v>97.443089999999998</v>
      </c>
    </row>
    <row r="2620" spans="2:4">
      <c r="B2620" s="2">
        <v>38260</v>
      </c>
      <c r="C2620" t="s">
        <v>3</v>
      </c>
      <c r="D2620">
        <v>98.899851600000005</v>
      </c>
    </row>
    <row r="2621" spans="2:4">
      <c r="B2621" s="2">
        <v>38259</v>
      </c>
      <c r="C2621" t="s">
        <v>3</v>
      </c>
      <c r="D2621">
        <v>99.781896599999996</v>
      </c>
    </row>
    <row r="2622" spans="2:4">
      <c r="B2622" s="2">
        <v>38258</v>
      </c>
      <c r="C2622" t="s">
        <v>3</v>
      </c>
      <c r="D2622">
        <v>99.935398300000003</v>
      </c>
    </row>
    <row r="2623" spans="2:4">
      <c r="B2623" s="2">
        <v>38257</v>
      </c>
      <c r="C2623" t="s">
        <v>3</v>
      </c>
      <c r="D2623">
        <v>98.315271600000003</v>
      </c>
    </row>
    <row r="2624" spans="2:4">
      <c r="B2624" s="2">
        <v>38254</v>
      </c>
      <c r="C2624" t="s">
        <v>3</v>
      </c>
      <c r="D2624">
        <v>97.932797600000001</v>
      </c>
    </row>
    <row r="2625" spans="2:4">
      <c r="B2625" s="2">
        <v>38253</v>
      </c>
      <c r="C2625" t="s">
        <v>3</v>
      </c>
      <c r="D2625">
        <v>97.706451999999999</v>
      </c>
    </row>
    <row r="2626" spans="2:4">
      <c r="B2626" s="2">
        <v>38252</v>
      </c>
      <c r="C2626" t="s">
        <v>3</v>
      </c>
      <c r="D2626">
        <v>96.062474199999997</v>
      </c>
    </row>
    <row r="2627" spans="2:4">
      <c r="B2627" s="2">
        <v>38251</v>
      </c>
      <c r="C2627" t="s">
        <v>3</v>
      </c>
      <c r="D2627">
        <v>93.580846399999999</v>
      </c>
    </row>
    <row r="2628" spans="2:4">
      <c r="B2628" s="2">
        <v>38250</v>
      </c>
      <c r="C2628" t="s">
        <v>3</v>
      </c>
      <c r="D2628">
        <v>94.2693297</v>
      </c>
    </row>
    <row r="2629" spans="2:4">
      <c r="B2629" s="2">
        <v>38247</v>
      </c>
      <c r="C2629" t="s">
        <v>3</v>
      </c>
      <c r="D2629">
        <v>94.252901600000001</v>
      </c>
    </row>
    <row r="2630" spans="2:4">
      <c r="B2630" s="2">
        <v>38246</v>
      </c>
      <c r="C2630" t="s">
        <v>3</v>
      </c>
      <c r="D2630">
        <v>93.673320000000004</v>
      </c>
    </row>
    <row r="2631" spans="2:4">
      <c r="B2631" s="2">
        <v>38245</v>
      </c>
      <c r="C2631" t="s">
        <v>3</v>
      </c>
      <c r="D2631">
        <v>93.169575399999999</v>
      </c>
    </row>
    <row r="2632" spans="2:4">
      <c r="B2632" s="2">
        <v>38244</v>
      </c>
      <c r="C2632" t="s">
        <v>3</v>
      </c>
      <c r="D2632">
        <v>92.509200000000007</v>
      </c>
    </row>
    <row r="2633" spans="2:4">
      <c r="B2633" s="2">
        <v>38243</v>
      </c>
      <c r="C2633" t="s">
        <v>3</v>
      </c>
      <c r="D2633">
        <v>92.542491999999996</v>
      </c>
    </row>
    <row r="2634" spans="2:4">
      <c r="B2634" s="2">
        <v>38240</v>
      </c>
      <c r="C2634" t="s">
        <v>3</v>
      </c>
      <c r="D2634">
        <v>92.582534800000005</v>
      </c>
    </row>
    <row r="2635" spans="2:4">
      <c r="B2635" s="2">
        <v>38239</v>
      </c>
      <c r="C2635" t="s">
        <v>3</v>
      </c>
      <c r="D2635">
        <v>92.713247999999993</v>
      </c>
    </row>
    <row r="2636" spans="2:4">
      <c r="B2636" s="2">
        <v>38238</v>
      </c>
      <c r="C2636" t="s">
        <v>3</v>
      </c>
      <c r="D2636">
        <v>92.988581400000001</v>
      </c>
    </row>
    <row r="2637" spans="2:4">
      <c r="B2637" s="2">
        <v>38237</v>
      </c>
      <c r="C2637" t="s">
        <v>3</v>
      </c>
      <c r="D2637">
        <v>92.365621599999997</v>
      </c>
    </row>
    <row r="2638" spans="2:4">
      <c r="B2638" s="2">
        <v>38233</v>
      </c>
      <c r="C2638" t="s">
        <v>3</v>
      </c>
      <c r="D2638">
        <v>93.183613300000005</v>
      </c>
    </row>
    <row r="2639" spans="2:4">
      <c r="B2639" s="2">
        <v>38232</v>
      </c>
      <c r="C2639" t="s">
        <v>3</v>
      </c>
      <c r="D2639">
        <v>95.079872499999993</v>
      </c>
    </row>
    <row r="2640" spans="2:4">
      <c r="B2640" s="2">
        <v>38231</v>
      </c>
      <c r="C2640" t="s">
        <v>3</v>
      </c>
      <c r="D2640">
        <v>94.853823899999995</v>
      </c>
    </row>
    <row r="2641" spans="2:4">
      <c r="B2641" s="2">
        <v>38230</v>
      </c>
      <c r="C2641" t="s">
        <v>3</v>
      </c>
      <c r="D2641">
        <v>94.321920000000006</v>
      </c>
    </row>
    <row r="2642" spans="2:4">
      <c r="B2642" s="2">
        <v>38229</v>
      </c>
      <c r="C2642" t="s">
        <v>3</v>
      </c>
      <c r="D2642">
        <v>93.3135051</v>
      </c>
    </row>
    <row r="2643" spans="2:4">
      <c r="B2643" s="2">
        <v>38226</v>
      </c>
      <c r="C2643" t="s">
        <v>3</v>
      </c>
      <c r="D2643">
        <v>93.254017500000003</v>
      </c>
    </row>
    <row r="2644" spans="2:4">
      <c r="B2644" s="2">
        <v>38225</v>
      </c>
      <c r="C2644" t="s">
        <v>3</v>
      </c>
      <c r="D2644">
        <v>94.155486499999995</v>
      </c>
    </row>
    <row r="2645" spans="2:4">
      <c r="B2645" s="2">
        <v>38224</v>
      </c>
      <c r="C2645" t="s">
        <v>3</v>
      </c>
      <c r="D2645">
        <v>94.018487500000006</v>
      </c>
    </row>
    <row r="2646" spans="2:4">
      <c r="B2646" s="2">
        <v>38223</v>
      </c>
      <c r="C2646" t="s">
        <v>3</v>
      </c>
      <c r="D2646">
        <v>94.639930000000007</v>
      </c>
    </row>
    <row r="2647" spans="2:4">
      <c r="B2647" s="2">
        <v>38222</v>
      </c>
      <c r="C2647" t="s">
        <v>3</v>
      </c>
      <c r="D2647">
        <v>95.560801799999993</v>
      </c>
    </row>
    <row r="2648" spans="2:4">
      <c r="B2648" s="2">
        <v>38219</v>
      </c>
      <c r="C2648" t="s">
        <v>3</v>
      </c>
      <c r="D2648">
        <v>95.931853599999997</v>
      </c>
    </row>
    <row r="2649" spans="2:4">
      <c r="B2649" s="2">
        <v>38218</v>
      </c>
      <c r="C2649" t="s">
        <v>3</v>
      </c>
      <c r="D2649">
        <v>96.705669900000004</v>
      </c>
    </row>
    <row r="2650" spans="2:4">
      <c r="B2650" s="2">
        <v>38217</v>
      </c>
      <c r="C2650" t="s">
        <v>3</v>
      </c>
      <c r="D2650">
        <v>96.657915000000003</v>
      </c>
    </row>
    <row r="2651" spans="2:4">
      <c r="B2651" s="2">
        <v>38216</v>
      </c>
      <c r="C2651" t="s">
        <v>3</v>
      </c>
      <c r="D2651">
        <v>96.212574399999994</v>
      </c>
    </row>
    <row r="2652" spans="2:4">
      <c r="B2652" s="2">
        <v>38215</v>
      </c>
      <c r="C2652" t="s">
        <v>3</v>
      </c>
      <c r="D2652">
        <v>94.927154400000006</v>
      </c>
    </row>
    <row r="2653" spans="2:4">
      <c r="B2653" s="2">
        <v>38212</v>
      </c>
      <c r="C2653" t="s">
        <v>3</v>
      </c>
      <c r="D2653">
        <v>94.7387035</v>
      </c>
    </row>
    <row r="2654" spans="2:4">
      <c r="B2654" s="2">
        <v>38211</v>
      </c>
      <c r="C2654" t="s">
        <v>3</v>
      </c>
      <c r="D2654">
        <v>92.893822</v>
      </c>
    </row>
    <row r="2655" spans="2:4">
      <c r="B2655" s="2">
        <v>38210</v>
      </c>
      <c r="C2655" t="s">
        <v>3</v>
      </c>
      <c r="D2655">
        <v>93.731247600000003</v>
      </c>
    </row>
    <row r="2656" spans="2:4">
      <c r="B2656" s="2">
        <v>38209</v>
      </c>
      <c r="C2656" t="s">
        <v>3</v>
      </c>
      <c r="D2656">
        <v>95.800166000000004</v>
      </c>
    </row>
    <row r="2657" spans="2:4">
      <c r="B2657" s="2">
        <v>38208</v>
      </c>
      <c r="C2657" t="s">
        <v>3</v>
      </c>
      <c r="D2657">
        <v>95.881405000000001</v>
      </c>
    </row>
    <row r="2658" spans="2:4">
      <c r="B2658" s="2">
        <v>38205</v>
      </c>
      <c r="C2658" t="s">
        <v>3</v>
      </c>
      <c r="D2658">
        <v>95.562371799999994</v>
      </c>
    </row>
    <row r="2659" spans="2:4">
      <c r="B2659" s="2">
        <v>38204</v>
      </c>
      <c r="C2659" t="s">
        <v>3</v>
      </c>
      <c r="D2659">
        <v>92.653096500000004</v>
      </c>
    </row>
    <row r="2660" spans="2:4">
      <c r="B2660" s="2">
        <v>38203</v>
      </c>
      <c r="C2660" t="s">
        <v>3</v>
      </c>
      <c r="D2660">
        <v>92.889972999999998</v>
      </c>
    </row>
    <row r="2661" spans="2:4">
      <c r="B2661" s="2">
        <v>38202</v>
      </c>
      <c r="C2661" t="s">
        <v>3</v>
      </c>
      <c r="D2661">
        <v>92.660246799999996</v>
      </c>
    </row>
    <row r="2662" spans="2:4">
      <c r="B2662" s="2">
        <v>38201</v>
      </c>
      <c r="C2662" t="s">
        <v>3</v>
      </c>
      <c r="D2662">
        <v>92.126824999999997</v>
      </c>
    </row>
    <row r="2663" spans="2:4">
      <c r="B2663" s="2">
        <v>38198</v>
      </c>
      <c r="C2663" t="s">
        <v>3</v>
      </c>
      <c r="D2663">
        <v>91.913019000000006</v>
      </c>
    </row>
    <row r="2664" spans="2:4">
      <c r="B2664" s="2">
        <v>38197</v>
      </c>
      <c r="C2664" t="s">
        <v>3</v>
      </c>
      <c r="D2664">
        <v>92.138499199999998</v>
      </c>
    </row>
    <row r="2665" spans="2:4">
      <c r="B2665" s="2">
        <v>38196</v>
      </c>
      <c r="C2665" t="s">
        <v>3</v>
      </c>
      <c r="D2665">
        <v>92.349379999999996</v>
      </c>
    </row>
    <row r="2666" spans="2:4">
      <c r="B2666" s="2">
        <v>38195</v>
      </c>
      <c r="C2666" t="s">
        <v>3</v>
      </c>
      <c r="D2666">
        <v>92.6263364</v>
      </c>
    </row>
    <row r="2667" spans="2:4">
      <c r="B2667" s="2">
        <v>38194</v>
      </c>
      <c r="C2667" t="s">
        <v>3</v>
      </c>
      <c r="D2667">
        <v>92.131874999999994</v>
      </c>
    </row>
    <row r="2668" spans="2:4">
      <c r="B2668" s="2">
        <v>38191</v>
      </c>
      <c r="C2668" t="s">
        <v>3</v>
      </c>
      <c r="D2668">
        <v>91.845325000000003</v>
      </c>
    </row>
    <row r="2669" spans="2:4">
      <c r="B2669" s="2">
        <v>38190</v>
      </c>
      <c r="C2669" t="s">
        <v>3</v>
      </c>
      <c r="D2669">
        <v>93.594707</v>
      </c>
    </row>
    <row r="2670" spans="2:4">
      <c r="B2670" s="2">
        <v>38189</v>
      </c>
      <c r="C2670" t="s">
        <v>3</v>
      </c>
      <c r="D2670">
        <v>94.280542800000006</v>
      </c>
    </row>
    <row r="2671" spans="2:4">
      <c r="B2671" s="2">
        <v>38188</v>
      </c>
      <c r="C2671" t="s">
        <v>3</v>
      </c>
      <c r="D2671">
        <v>95.570610000000002</v>
      </c>
    </row>
    <row r="2672" spans="2:4">
      <c r="B2672" s="2">
        <v>38187</v>
      </c>
      <c r="C2672" t="s">
        <v>3</v>
      </c>
      <c r="D2672">
        <v>95.008432400000004</v>
      </c>
    </row>
    <row r="2673" spans="2:4">
      <c r="B2673" s="2">
        <v>38184</v>
      </c>
      <c r="C2673" t="s">
        <v>3</v>
      </c>
      <c r="D2673">
        <v>94.381948300000005</v>
      </c>
    </row>
    <row r="2674" spans="2:4">
      <c r="B2674" s="2">
        <v>38183</v>
      </c>
      <c r="C2674" t="s">
        <v>3</v>
      </c>
      <c r="D2674">
        <v>93.855761999999999</v>
      </c>
    </row>
    <row r="2675" spans="2:4">
      <c r="B2675" s="2">
        <v>38182</v>
      </c>
      <c r="C2675" t="s">
        <v>3</v>
      </c>
      <c r="D2675">
        <v>94.877678599999996</v>
      </c>
    </row>
    <row r="2676" spans="2:4">
      <c r="B2676" s="2">
        <v>38181</v>
      </c>
      <c r="C2676" t="s">
        <v>3</v>
      </c>
      <c r="D2676">
        <v>96.423186599999994</v>
      </c>
    </row>
    <row r="2677" spans="2:4">
      <c r="B2677" s="2">
        <v>38180</v>
      </c>
      <c r="C2677" t="s">
        <v>3</v>
      </c>
      <c r="D2677">
        <v>94.988775000000004</v>
      </c>
    </row>
    <row r="2678" spans="2:4">
      <c r="B2678" s="2">
        <v>38177</v>
      </c>
      <c r="C2678" t="s">
        <v>3</v>
      </c>
      <c r="D2678">
        <v>95.119934999999998</v>
      </c>
    </row>
    <row r="2679" spans="2:4">
      <c r="B2679" s="2">
        <v>38176</v>
      </c>
      <c r="C2679" t="s">
        <v>3</v>
      </c>
      <c r="D2679">
        <v>94.709703599999997</v>
      </c>
    </row>
    <row r="2680" spans="2:4">
      <c r="B2680" s="2">
        <v>38175</v>
      </c>
      <c r="C2680" t="s">
        <v>3</v>
      </c>
      <c r="D2680">
        <v>94.500291599999997</v>
      </c>
    </row>
    <row r="2681" spans="2:4">
      <c r="B2681" s="2">
        <v>38174</v>
      </c>
      <c r="C2681" t="s">
        <v>3</v>
      </c>
      <c r="D2681">
        <v>93.066054600000001</v>
      </c>
    </row>
    <row r="2682" spans="2:4">
      <c r="B2682" s="2">
        <v>38170</v>
      </c>
      <c r="C2682" t="s">
        <v>3</v>
      </c>
      <c r="D2682">
        <v>92.441772799999995</v>
      </c>
    </row>
    <row r="2683" spans="2:4">
      <c r="B2683" s="2">
        <v>38169</v>
      </c>
      <c r="C2683" t="s">
        <v>3</v>
      </c>
      <c r="D2683">
        <v>91.088555999999997</v>
      </c>
    </row>
    <row r="2684" spans="2:4">
      <c r="B2684" s="2">
        <v>38168</v>
      </c>
      <c r="C2684" t="s">
        <v>3</v>
      </c>
      <c r="D2684">
        <v>91.826859999999996</v>
      </c>
    </row>
    <row r="2685" spans="2:4">
      <c r="B2685" s="2">
        <v>38167</v>
      </c>
      <c r="C2685" t="s">
        <v>3</v>
      </c>
      <c r="D2685">
        <v>92.019545800000003</v>
      </c>
    </row>
    <row r="2686" spans="2:4">
      <c r="B2686" s="2">
        <v>38166</v>
      </c>
      <c r="C2686" t="s">
        <v>3</v>
      </c>
      <c r="D2686">
        <v>92.999065599999994</v>
      </c>
    </row>
    <row r="2687" spans="2:4">
      <c r="B2687" s="2">
        <v>38163</v>
      </c>
      <c r="C2687" t="s">
        <v>3</v>
      </c>
      <c r="D2687">
        <v>92.616077700000005</v>
      </c>
    </row>
    <row r="2688" spans="2:4">
      <c r="B2688" s="2">
        <v>38162</v>
      </c>
      <c r="C2688" t="s">
        <v>3</v>
      </c>
      <c r="D2688">
        <v>94.456050000000005</v>
      </c>
    </row>
    <row r="2689" spans="2:4">
      <c r="B2689" s="2">
        <v>38161</v>
      </c>
      <c r="C2689" t="s">
        <v>3</v>
      </c>
      <c r="D2689">
        <v>93.817928800000004</v>
      </c>
    </row>
    <row r="2690" spans="2:4">
      <c r="B2690" s="2">
        <v>38160</v>
      </c>
      <c r="C2690" t="s">
        <v>3</v>
      </c>
      <c r="D2690">
        <v>91.450052299999996</v>
      </c>
    </row>
    <row r="2691" spans="2:4">
      <c r="B2691" s="2">
        <v>38159</v>
      </c>
      <c r="C2691" t="s">
        <v>3</v>
      </c>
      <c r="D2691">
        <v>92.838522999999995</v>
      </c>
    </row>
    <row r="2692" spans="2:4">
      <c r="B2692" s="2">
        <v>38156</v>
      </c>
      <c r="C2692" t="s">
        <v>3</v>
      </c>
      <c r="D2692">
        <v>93.759767400000001</v>
      </c>
    </row>
    <row r="2693" spans="2:4">
      <c r="B2693" s="2">
        <v>38155</v>
      </c>
      <c r="C2693" t="s">
        <v>3</v>
      </c>
      <c r="D2693">
        <v>94.080374500000005</v>
      </c>
    </row>
    <row r="2694" spans="2:4">
      <c r="B2694" s="2">
        <v>38154</v>
      </c>
      <c r="C2694" t="s">
        <v>3</v>
      </c>
      <c r="D2694">
        <v>96.542288099999993</v>
      </c>
    </row>
    <row r="2695" spans="2:4">
      <c r="B2695" s="2">
        <v>38153</v>
      </c>
      <c r="C2695" t="s">
        <v>3</v>
      </c>
      <c r="D2695">
        <v>96.635249799999997</v>
      </c>
    </row>
    <row r="2696" spans="2:4">
      <c r="B2696" s="2">
        <v>38152</v>
      </c>
      <c r="C2696" t="s">
        <v>3</v>
      </c>
      <c r="D2696">
        <v>97.995239999999995</v>
      </c>
    </row>
    <row r="2697" spans="2:4">
      <c r="B2697" s="2">
        <v>38148</v>
      </c>
      <c r="C2697" t="s">
        <v>3</v>
      </c>
      <c r="D2697">
        <v>97.723984999999999</v>
      </c>
    </row>
    <row r="2698" spans="2:4">
      <c r="B2698" s="2">
        <v>38147</v>
      </c>
      <c r="C2698" t="s">
        <v>3</v>
      </c>
      <c r="D2698">
        <v>97.8787971</v>
      </c>
    </row>
    <row r="2699" spans="2:4">
      <c r="B2699" s="2">
        <v>38146</v>
      </c>
      <c r="C2699" t="s">
        <v>3</v>
      </c>
      <c r="D2699">
        <v>97.310564999999997</v>
      </c>
    </row>
    <row r="2700" spans="2:4">
      <c r="B2700" s="2">
        <v>38145</v>
      </c>
      <c r="C2700" t="s">
        <v>3</v>
      </c>
      <c r="D2700">
        <v>96.229935900000001</v>
      </c>
    </row>
    <row r="2701" spans="2:4">
      <c r="B2701" s="2">
        <v>38142</v>
      </c>
      <c r="C2701" t="s">
        <v>3</v>
      </c>
      <c r="D2701">
        <v>96.611261600000006</v>
      </c>
    </row>
    <row r="2702" spans="2:4">
      <c r="B2702" s="2">
        <v>38141</v>
      </c>
      <c r="C2702" t="s">
        <v>3</v>
      </c>
      <c r="D2702">
        <v>98.269098</v>
      </c>
    </row>
    <row r="2703" spans="2:4">
      <c r="B2703" s="2">
        <v>38140</v>
      </c>
      <c r="C2703" t="s">
        <v>3</v>
      </c>
      <c r="D2703">
        <v>99.527646399999995</v>
      </c>
    </row>
    <row r="2704" spans="2:4">
      <c r="B2704" s="2">
        <v>38139</v>
      </c>
      <c r="C2704" t="s">
        <v>3</v>
      </c>
      <c r="D2704">
        <v>99.589737600000007</v>
      </c>
    </row>
    <row r="2705" spans="2:4">
      <c r="B2705" s="2">
        <v>38135</v>
      </c>
      <c r="C2705" t="s">
        <v>3</v>
      </c>
      <c r="D2705">
        <v>100.0282704</v>
      </c>
    </row>
    <row r="2706" spans="2:4">
      <c r="B2706" s="2">
        <v>38134</v>
      </c>
      <c r="C2706" t="s">
        <v>3</v>
      </c>
      <c r="D2706">
        <v>101.3664079</v>
      </c>
    </row>
    <row r="2707" spans="2:4">
      <c r="B2707" s="2">
        <v>38133</v>
      </c>
      <c r="C2707" t="s">
        <v>3</v>
      </c>
      <c r="D2707">
        <v>102.570243</v>
      </c>
    </row>
    <row r="2708" spans="2:4">
      <c r="B2708" s="2">
        <v>38132</v>
      </c>
      <c r="C2708" t="s">
        <v>3</v>
      </c>
      <c r="D2708">
        <v>101.98722239999999</v>
      </c>
    </row>
    <row r="2709" spans="2:4">
      <c r="B2709" s="2">
        <v>38131</v>
      </c>
      <c r="C2709" t="s">
        <v>3</v>
      </c>
      <c r="D2709">
        <v>101.44301299999999</v>
      </c>
    </row>
    <row r="2710" spans="2:4">
      <c r="B2710" s="2">
        <v>38128</v>
      </c>
      <c r="C2710" t="s">
        <v>3</v>
      </c>
      <c r="D2710">
        <v>101.8599456</v>
      </c>
    </row>
    <row r="2711" spans="2:4">
      <c r="B2711" s="2">
        <v>38127</v>
      </c>
      <c r="C2711" t="s">
        <v>3</v>
      </c>
      <c r="D2711">
        <v>101.244528</v>
      </c>
    </row>
    <row r="2712" spans="2:4">
      <c r="B2712" s="2">
        <v>38126</v>
      </c>
      <c r="C2712" t="s">
        <v>3</v>
      </c>
      <c r="D2712">
        <v>101.4398959</v>
      </c>
    </row>
    <row r="2713" spans="2:4">
      <c r="B2713" s="2">
        <v>38125</v>
      </c>
      <c r="C2713" t="s">
        <v>3</v>
      </c>
      <c r="D2713">
        <v>100.2816028</v>
      </c>
    </row>
    <row r="2714" spans="2:4">
      <c r="B2714" s="2">
        <v>38124</v>
      </c>
      <c r="C2714" t="s">
        <v>3</v>
      </c>
      <c r="D2714">
        <v>101.05336560000001</v>
      </c>
    </row>
    <row r="2715" spans="2:4">
      <c r="B2715" s="2">
        <v>38121</v>
      </c>
      <c r="C2715" t="s">
        <v>3</v>
      </c>
      <c r="D2715">
        <v>99.556041199999996</v>
      </c>
    </row>
    <row r="2716" spans="2:4">
      <c r="B2716" s="2">
        <v>38120</v>
      </c>
      <c r="C2716" t="s">
        <v>3</v>
      </c>
      <c r="D2716">
        <v>99.268039999999999</v>
      </c>
    </row>
    <row r="2717" spans="2:4">
      <c r="B2717" s="2">
        <v>38119</v>
      </c>
      <c r="C2717" t="s">
        <v>3</v>
      </c>
      <c r="D2717">
        <v>98.344548399999994</v>
      </c>
    </row>
    <row r="2718" spans="2:4">
      <c r="B2718" s="2">
        <v>38118</v>
      </c>
      <c r="C2718" t="s">
        <v>3</v>
      </c>
      <c r="D2718">
        <v>98.507591599999998</v>
      </c>
    </row>
    <row r="2719" spans="2:4">
      <c r="B2719" s="2">
        <v>38117</v>
      </c>
      <c r="C2719" t="s">
        <v>3</v>
      </c>
      <c r="D2719">
        <v>98.573588799999996</v>
      </c>
    </row>
    <row r="2720" spans="2:4">
      <c r="B2720" s="2">
        <v>38114</v>
      </c>
      <c r="C2720" t="s">
        <v>3</v>
      </c>
      <c r="D2720">
        <v>101.6405888</v>
      </c>
    </row>
    <row r="2721" spans="2:4">
      <c r="B2721" s="2">
        <v>38113</v>
      </c>
      <c r="C2721" t="s">
        <v>3</v>
      </c>
      <c r="D2721">
        <v>103.2953053</v>
      </c>
    </row>
    <row r="2722" spans="2:4">
      <c r="B2722" s="2">
        <v>38112</v>
      </c>
      <c r="C2722" t="s">
        <v>3</v>
      </c>
      <c r="D2722">
        <v>102.3802737</v>
      </c>
    </row>
    <row r="2723" spans="2:4">
      <c r="B2723" s="2">
        <v>38111</v>
      </c>
      <c r="C2723" t="s">
        <v>3</v>
      </c>
      <c r="D2723">
        <v>103.3952</v>
      </c>
    </row>
    <row r="2724" spans="2:4">
      <c r="B2724" s="2">
        <v>38110</v>
      </c>
      <c r="C2724" t="s">
        <v>3</v>
      </c>
      <c r="D2724">
        <v>100.61560799999999</v>
      </c>
    </row>
    <row r="2725" spans="2:4">
      <c r="B2725" s="2">
        <v>38107</v>
      </c>
      <c r="C2725" t="s">
        <v>3</v>
      </c>
      <c r="D2725">
        <v>99.641278200000002</v>
      </c>
    </row>
    <row r="2726" spans="2:4">
      <c r="B2726" s="2">
        <v>38106</v>
      </c>
      <c r="C2726" t="s">
        <v>3</v>
      </c>
      <c r="D2726">
        <v>99.779103000000006</v>
      </c>
    </row>
    <row r="2727" spans="2:4">
      <c r="B2727" s="2">
        <v>38105</v>
      </c>
      <c r="C2727" t="s">
        <v>3</v>
      </c>
      <c r="D2727">
        <v>99.560237099999995</v>
      </c>
    </row>
    <row r="2728" spans="2:4">
      <c r="B2728" s="2">
        <v>38104</v>
      </c>
      <c r="C2728" t="s">
        <v>3</v>
      </c>
      <c r="D2728">
        <v>99.737848600000007</v>
      </c>
    </row>
    <row r="2729" spans="2:4">
      <c r="B2729" s="2">
        <v>38103</v>
      </c>
      <c r="C2729" t="s">
        <v>3</v>
      </c>
      <c r="D2729">
        <v>100.96489200000001</v>
      </c>
    </row>
    <row r="2730" spans="2:4">
      <c r="B2730" s="2">
        <v>38100</v>
      </c>
      <c r="C2730" t="s">
        <v>3</v>
      </c>
      <c r="D2730">
        <v>101.441455</v>
      </c>
    </row>
    <row r="2731" spans="2:4">
      <c r="B2731" s="2">
        <v>38099</v>
      </c>
      <c r="C2731" t="s">
        <v>3</v>
      </c>
      <c r="D2731">
        <v>100.7108908</v>
      </c>
    </row>
    <row r="2732" spans="2:4">
      <c r="B2732" s="2">
        <v>38098</v>
      </c>
      <c r="C2732" t="s">
        <v>3</v>
      </c>
      <c r="D2732">
        <v>101.1032568</v>
      </c>
    </row>
    <row r="2733" spans="2:4">
      <c r="B2733" s="2">
        <v>38097</v>
      </c>
      <c r="C2733" t="s">
        <v>3</v>
      </c>
      <c r="D2733">
        <v>101.6493806</v>
      </c>
    </row>
    <row r="2734" spans="2:4">
      <c r="B2734" s="2">
        <v>38096</v>
      </c>
      <c r="C2734" t="s">
        <v>3</v>
      </c>
      <c r="D2734">
        <v>101.7211588</v>
      </c>
    </row>
    <row r="2735" spans="2:4">
      <c r="B2735" s="2">
        <v>38093</v>
      </c>
      <c r="C2735" t="s">
        <v>3</v>
      </c>
      <c r="D2735">
        <v>101.91321840000001</v>
      </c>
    </row>
    <row r="2736" spans="2:4">
      <c r="B2736" s="2">
        <v>38092</v>
      </c>
      <c r="C2736" t="s">
        <v>3</v>
      </c>
      <c r="D2736">
        <v>101.3703769</v>
      </c>
    </row>
    <row r="2737" spans="2:4">
      <c r="B2737" s="2">
        <v>38091</v>
      </c>
      <c r="C2737" t="s">
        <v>3</v>
      </c>
      <c r="D2737">
        <v>102.21335000000001</v>
      </c>
    </row>
    <row r="2738" spans="2:4">
      <c r="B2738" s="2">
        <v>38090</v>
      </c>
      <c r="C2738" t="s">
        <v>3</v>
      </c>
      <c r="D2738">
        <v>102.88163249999999</v>
      </c>
    </row>
    <row r="2739" spans="2:4">
      <c r="B2739" s="2">
        <v>38089</v>
      </c>
      <c r="C2739" t="s">
        <v>3</v>
      </c>
      <c r="D2739">
        <v>104.22888</v>
      </c>
    </row>
    <row r="2740" spans="2:4">
      <c r="B2740" s="2">
        <v>38085</v>
      </c>
      <c r="C2740" t="s">
        <v>3</v>
      </c>
      <c r="D2740">
        <v>104.8765891</v>
      </c>
    </row>
    <row r="2741" spans="2:4">
      <c r="B2741" s="2">
        <v>38084</v>
      </c>
      <c r="C2741" t="s">
        <v>3</v>
      </c>
      <c r="D2741">
        <v>105.091331</v>
      </c>
    </row>
    <row r="2742" spans="2:4">
      <c r="B2742" s="2">
        <v>38083</v>
      </c>
      <c r="C2742" t="s">
        <v>3</v>
      </c>
      <c r="D2742">
        <v>105.51052199999999</v>
      </c>
    </row>
    <row r="2743" spans="2:4">
      <c r="B2743" s="2">
        <v>38082</v>
      </c>
      <c r="C2743" t="s">
        <v>3</v>
      </c>
      <c r="D2743">
        <v>106.5893573</v>
      </c>
    </row>
    <row r="2744" spans="2:4">
      <c r="B2744" s="2">
        <v>38079</v>
      </c>
      <c r="C2744" t="s">
        <v>3</v>
      </c>
      <c r="D2744">
        <v>106.3364918</v>
      </c>
    </row>
    <row r="2745" spans="2:4">
      <c r="B2745" s="2">
        <v>38078</v>
      </c>
      <c r="C2745" t="s">
        <v>3</v>
      </c>
      <c r="D2745">
        <v>106.317342</v>
      </c>
    </row>
    <row r="2746" spans="2:4">
      <c r="B2746" s="2">
        <v>38077</v>
      </c>
      <c r="C2746" t="s">
        <v>3</v>
      </c>
      <c r="D2746">
        <v>106.4189392</v>
      </c>
    </row>
    <row r="2747" spans="2:4">
      <c r="B2747" s="2">
        <v>38076</v>
      </c>
      <c r="C2747" t="s">
        <v>3</v>
      </c>
      <c r="D2747">
        <v>107.4457634</v>
      </c>
    </row>
    <row r="2748" spans="2:4">
      <c r="B2748" s="2">
        <v>38075</v>
      </c>
      <c r="C2748" t="s">
        <v>3</v>
      </c>
      <c r="D2748">
        <v>108.283248</v>
      </c>
    </row>
    <row r="2749" spans="2:4">
      <c r="B2749" s="2">
        <v>38072</v>
      </c>
      <c r="C2749" t="s">
        <v>3</v>
      </c>
      <c r="D2749">
        <v>109.126745</v>
      </c>
    </row>
    <row r="2750" spans="2:4">
      <c r="B2750" s="2">
        <v>38071</v>
      </c>
      <c r="C2750" t="s">
        <v>3</v>
      </c>
      <c r="D2750">
        <v>108.763311</v>
      </c>
    </row>
    <row r="2751" spans="2:4">
      <c r="B2751" s="2">
        <v>38070</v>
      </c>
      <c r="C2751" t="s">
        <v>3</v>
      </c>
      <c r="D2751">
        <v>108.1315044</v>
      </c>
    </row>
    <row r="2752" spans="2:4">
      <c r="B2752" s="2">
        <v>38069</v>
      </c>
      <c r="C2752" t="s">
        <v>3</v>
      </c>
      <c r="D2752">
        <v>107.659809</v>
      </c>
    </row>
    <row r="2753" spans="2:4">
      <c r="B2753" s="2">
        <v>38068</v>
      </c>
      <c r="C2753" t="s">
        <v>3</v>
      </c>
      <c r="D2753">
        <v>106.89441600000001</v>
      </c>
    </row>
    <row r="2754" spans="2:4">
      <c r="B2754" s="2">
        <v>38065</v>
      </c>
      <c r="C2754" t="s">
        <v>3</v>
      </c>
      <c r="D2754">
        <v>106.7947375</v>
      </c>
    </row>
    <row r="2755" spans="2:4">
      <c r="B2755" s="2">
        <v>38064</v>
      </c>
      <c r="C2755" t="s">
        <v>3</v>
      </c>
      <c r="D2755">
        <v>107.0284116</v>
      </c>
    </row>
    <row r="2756" spans="2:4">
      <c r="B2756" s="2">
        <v>38063</v>
      </c>
      <c r="C2756" t="s">
        <v>3</v>
      </c>
      <c r="D2756">
        <v>107.1875256</v>
      </c>
    </row>
    <row r="2757" spans="2:4">
      <c r="B2757" s="2">
        <v>38062</v>
      </c>
      <c r="C2757" t="s">
        <v>3</v>
      </c>
      <c r="D2757">
        <v>106.49418919999999</v>
      </c>
    </row>
    <row r="2758" spans="2:4">
      <c r="B2758" s="2">
        <v>38061</v>
      </c>
      <c r="C2758" t="s">
        <v>3</v>
      </c>
      <c r="D2758">
        <v>106.9302155</v>
      </c>
    </row>
    <row r="2759" spans="2:4">
      <c r="B2759" s="2">
        <v>38058</v>
      </c>
      <c r="C2759" t="s">
        <v>3</v>
      </c>
      <c r="D2759">
        <v>106.007789</v>
      </c>
    </row>
    <row r="2760" spans="2:4">
      <c r="B2760" s="2">
        <v>38057</v>
      </c>
      <c r="C2760" t="s">
        <v>3</v>
      </c>
      <c r="D2760">
        <v>106.24042249999999</v>
      </c>
    </row>
    <row r="2761" spans="2:4">
      <c r="B2761" s="2">
        <v>38056</v>
      </c>
      <c r="C2761" t="s">
        <v>3</v>
      </c>
      <c r="D2761">
        <v>105.8763414</v>
      </c>
    </row>
    <row r="2762" spans="2:4">
      <c r="B2762" s="2">
        <v>38055</v>
      </c>
      <c r="C2762" t="s">
        <v>3</v>
      </c>
      <c r="D2762">
        <v>104.55310249999999</v>
      </c>
    </row>
    <row r="2763" spans="2:4">
      <c r="B2763" s="2">
        <v>38054</v>
      </c>
      <c r="C2763" t="s">
        <v>3</v>
      </c>
      <c r="D2763">
        <v>104.19619849999999</v>
      </c>
    </row>
    <row r="2764" spans="2:4">
      <c r="B2764" s="2">
        <v>38051</v>
      </c>
      <c r="C2764" t="s">
        <v>3</v>
      </c>
      <c r="D2764">
        <v>103.9011028</v>
      </c>
    </row>
    <row r="2765" spans="2:4">
      <c r="B2765" s="2">
        <v>38050</v>
      </c>
      <c r="C2765" t="s">
        <v>3</v>
      </c>
      <c r="D2765">
        <v>105.689965</v>
      </c>
    </row>
    <row r="2766" spans="2:4">
      <c r="B2766" s="2">
        <v>38049</v>
      </c>
      <c r="C2766" t="s">
        <v>3</v>
      </c>
      <c r="D2766">
        <v>106.63542</v>
      </c>
    </row>
    <row r="2767" spans="2:4">
      <c r="B2767" s="2">
        <v>38048</v>
      </c>
      <c r="C2767" t="s">
        <v>3</v>
      </c>
      <c r="D2767">
        <v>107.10378</v>
      </c>
    </row>
    <row r="2768" spans="2:4">
      <c r="B2768" s="2">
        <v>38047</v>
      </c>
      <c r="C2768" t="s">
        <v>3</v>
      </c>
      <c r="D2768">
        <v>106.06479659999999</v>
      </c>
    </row>
    <row r="2769" spans="2:4">
      <c r="B2769" s="2">
        <v>38044</v>
      </c>
      <c r="C2769" t="s">
        <v>3</v>
      </c>
      <c r="D2769">
        <v>105.7462203</v>
      </c>
    </row>
    <row r="2770" spans="2:4">
      <c r="B2770" s="2">
        <v>38043</v>
      </c>
      <c r="C2770" t="s">
        <v>3</v>
      </c>
      <c r="D2770">
        <v>106.2676888</v>
      </c>
    </row>
    <row r="2771" spans="2:4">
      <c r="B2771" s="2">
        <v>38042</v>
      </c>
      <c r="C2771" t="s">
        <v>3</v>
      </c>
      <c r="D2771">
        <v>105.6702932</v>
      </c>
    </row>
    <row r="2772" spans="2:4">
      <c r="B2772" s="2">
        <v>38041</v>
      </c>
      <c r="C2772" t="s">
        <v>3</v>
      </c>
      <c r="D2772">
        <v>105.7179714</v>
      </c>
    </row>
    <row r="2773" spans="2:4">
      <c r="B2773" s="2">
        <v>38040</v>
      </c>
      <c r="C2773" t="s">
        <v>3</v>
      </c>
      <c r="D2773">
        <v>105.53737049999999</v>
      </c>
    </row>
    <row r="2774" spans="2:4">
      <c r="B2774" s="2">
        <v>38037</v>
      </c>
      <c r="C2774" t="s">
        <v>3</v>
      </c>
      <c r="D2774">
        <v>105.70005</v>
      </c>
    </row>
    <row r="2775" spans="2:4">
      <c r="B2775" s="2">
        <v>38036</v>
      </c>
      <c r="C2775" t="s">
        <v>3</v>
      </c>
      <c r="D2775">
        <v>105.5443932</v>
      </c>
    </row>
    <row r="2776" spans="2:4">
      <c r="B2776" s="2">
        <v>38035</v>
      </c>
      <c r="C2776" t="s">
        <v>3</v>
      </c>
      <c r="D2776">
        <v>105.3917934</v>
      </c>
    </row>
    <row r="2777" spans="2:4">
      <c r="B2777" s="2">
        <v>38034</v>
      </c>
      <c r="C2777" t="s">
        <v>3</v>
      </c>
      <c r="D2777">
        <v>105.6914196</v>
      </c>
    </row>
    <row r="2778" spans="2:4">
      <c r="B2778" s="2">
        <v>38030</v>
      </c>
      <c r="C2778" t="s">
        <v>3</v>
      </c>
      <c r="D2778">
        <v>105.6405515</v>
      </c>
    </row>
    <row r="2779" spans="2:4">
      <c r="B2779" s="2">
        <v>38029</v>
      </c>
      <c r="C2779" t="s">
        <v>3</v>
      </c>
      <c r="D2779">
        <v>105.72275</v>
      </c>
    </row>
    <row r="2780" spans="2:4">
      <c r="B2780" s="2">
        <v>38028</v>
      </c>
      <c r="C2780" t="s">
        <v>3</v>
      </c>
      <c r="D2780">
        <v>105.77296800000001</v>
      </c>
    </row>
    <row r="2781" spans="2:4">
      <c r="B2781" s="2">
        <v>38027</v>
      </c>
      <c r="C2781" t="s">
        <v>3</v>
      </c>
      <c r="D2781">
        <v>108.1589476</v>
      </c>
    </row>
    <row r="2782" spans="2:4">
      <c r="B2782" s="2">
        <v>38026</v>
      </c>
      <c r="C2782" t="s">
        <v>3</v>
      </c>
      <c r="D2782">
        <v>109.0348721</v>
      </c>
    </row>
    <row r="2783" spans="2:4">
      <c r="B2783" s="2">
        <v>38023</v>
      </c>
      <c r="C2783" t="s">
        <v>3</v>
      </c>
      <c r="D2783">
        <v>109.577568</v>
      </c>
    </row>
    <row r="2784" spans="2:4">
      <c r="B2784" s="2">
        <v>38022</v>
      </c>
      <c r="C2784" t="s">
        <v>3</v>
      </c>
      <c r="D2784">
        <v>110.1556119</v>
      </c>
    </row>
    <row r="2785" spans="2:4">
      <c r="B2785" s="2">
        <v>38021</v>
      </c>
      <c r="C2785" t="s">
        <v>3</v>
      </c>
      <c r="D2785">
        <v>109.6253536</v>
      </c>
    </row>
    <row r="2786" spans="2:4">
      <c r="B2786" s="2">
        <v>38020</v>
      </c>
      <c r="C2786" t="s">
        <v>3</v>
      </c>
      <c r="D2786">
        <v>109.270836</v>
      </c>
    </row>
    <row r="2787" spans="2:4">
      <c r="B2787" s="2">
        <v>38019</v>
      </c>
      <c r="C2787" t="s">
        <v>3</v>
      </c>
      <c r="D2787">
        <v>108.676243</v>
      </c>
    </row>
    <row r="2788" spans="2:4">
      <c r="B2788" s="2">
        <v>38016</v>
      </c>
      <c r="C2788" t="s">
        <v>3</v>
      </c>
      <c r="D2788">
        <v>108.1878882</v>
      </c>
    </row>
    <row r="2789" spans="2:4">
      <c r="B2789" s="2">
        <v>38015</v>
      </c>
      <c r="C2789" t="s">
        <v>3</v>
      </c>
      <c r="D2789">
        <v>109.57397640000001</v>
      </c>
    </row>
    <row r="2790" spans="2:4">
      <c r="B2790" s="2">
        <v>38014</v>
      </c>
      <c r="C2790" t="s">
        <v>3</v>
      </c>
      <c r="D2790">
        <v>110.02253899999999</v>
      </c>
    </row>
    <row r="2791" spans="2:4">
      <c r="B2791" s="2">
        <v>38013</v>
      </c>
      <c r="C2791" t="s">
        <v>3</v>
      </c>
      <c r="D2791">
        <v>109.6037754</v>
      </c>
    </row>
    <row r="2792" spans="2:4">
      <c r="B2792" s="2">
        <v>38012</v>
      </c>
      <c r="C2792" t="s">
        <v>3</v>
      </c>
      <c r="D2792">
        <v>110.22549119999999</v>
      </c>
    </row>
    <row r="2793" spans="2:4">
      <c r="B2793" s="2">
        <v>38009</v>
      </c>
      <c r="C2793" t="s">
        <v>3</v>
      </c>
      <c r="D2793">
        <v>110.09267730000001</v>
      </c>
    </row>
    <row r="2794" spans="2:4">
      <c r="B2794" s="2">
        <v>38008</v>
      </c>
      <c r="C2794" t="s">
        <v>3</v>
      </c>
      <c r="D2794">
        <v>109.5635274</v>
      </c>
    </row>
    <row r="2795" spans="2:4">
      <c r="B2795" s="2">
        <v>38007</v>
      </c>
      <c r="C2795" t="s">
        <v>3</v>
      </c>
      <c r="D2795">
        <v>109.17452</v>
      </c>
    </row>
    <row r="2796" spans="2:4">
      <c r="B2796" s="2">
        <v>38006</v>
      </c>
      <c r="C2796" t="s">
        <v>3</v>
      </c>
      <c r="D2796">
        <v>110.00496</v>
      </c>
    </row>
    <row r="2797" spans="2:4">
      <c r="B2797" s="2">
        <v>38002</v>
      </c>
      <c r="C2797" t="s">
        <v>3</v>
      </c>
      <c r="D2797">
        <v>108.899158</v>
      </c>
    </row>
    <row r="2798" spans="2:4">
      <c r="B2798" s="2">
        <v>38001</v>
      </c>
      <c r="C2798" t="s">
        <v>3</v>
      </c>
      <c r="D2798">
        <v>109.0893969</v>
      </c>
    </row>
    <row r="2799" spans="2:4">
      <c r="B2799" s="2">
        <v>38000</v>
      </c>
      <c r="C2799" t="s">
        <v>3</v>
      </c>
      <c r="D2799">
        <v>107.2423275</v>
      </c>
    </row>
    <row r="2800" spans="2:4">
      <c r="B2800" s="2">
        <v>37999</v>
      </c>
      <c r="C2800" t="s">
        <v>3</v>
      </c>
      <c r="D2800">
        <v>107.154612</v>
      </c>
    </row>
    <row r="2801" spans="2:4">
      <c r="B2801" s="2">
        <v>37998</v>
      </c>
      <c r="C2801" t="s">
        <v>3</v>
      </c>
      <c r="D2801">
        <v>106.4280369</v>
      </c>
    </row>
    <row r="2802" spans="2:4">
      <c r="B2802" s="2">
        <v>37995</v>
      </c>
      <c r="C2802" t="s">
        <v>3</v>
      </c>
      <c r="D2802">
        <v>105.6101492</v>
      </c>
    </row>
    <row r="2803" spans="2:4">
      <c r="B2803" s="2">
        <v>37994</v>
      </c>
      <c r="C2803" t="s">
        <v>3</v>
      </c>
      <c r="D2803">
        <v>106.98753000000001</v>
      </c>
    </row>
    <row r="2804" spans="2:4">
      <c r="B2804" s="2">
        <v>37993</v>
      </c>
      <c r="C2804" t="s">
        <v>3</v>
      </c>
      <c r="D2804">
        <v>107.61182650000001</v>
      </c>
    </row>
    <row r="2805" spans="2:4">
      <c r="B2805" s="2">
        <v>37992</v>
      </c>
      <c r="C2805" t="s">
        <v>3</v>
      </c>
      <c r="D2805">
        <v>108.13925999999999</v>
      </c>
    </row>
    <row r="2806" spans="2:4">
      <c r="B2806" s="2">
        <v>37991</v>
      </c>
      <c r="C2806" t="s">
        <v>3</v>
      </c>
      <c r="D2806">
        <v>109.8549</v>
      </c>
    </row>
    <row r="2807" spans="2:4">
      <c r="B2807" s="2">
        <v>37988</v>
      </c>
      <c r="C2807" t="s">
        <v>3</v>
      </c>
      <c r="D2807">
        <v>110.93206410000001</v>
      </c>
    </row>
    <row r="2808" spans="2:4">
      <c r="B2808" s="2">
        <v>37986</v>
      </c>
      <c r="C2808" t="s">
        <v>3</v>
      </c>
      <c r="D2808">
        <v>110.1335466</v>
      </c>
    </row>
    <row r="2809" spans="2:4">
      <c r="B2809" s="2">
        <v>37985</v>
      </c>
      <c r="C2809" t="s">
        <v>3</v>
      </c>
      <c r="D2809">
        <v>110.3383125</v>
      </c>
    </row>
    <row r="2810" spans="2:4">
      <c r="B2810" s="2">
        <v>37984</v>
      </c>
      <c r="C2810" t="s">
        <v>3</v>
      </c>
      <c r="D2810">
        <v>110.475264</v>
      </c>
    </row>
    <row r="2811" spans="2:4">
      <c r="B2811" s="2">
        <v>37981</v>
      </c>
      <c r="C2811" t="s">
        <v>3</v>
      </c>
      <c r="D2811">
        <v>109.2383463</v>
      </c>
    </row>
    <row r="2812" spans="2:4">
      <c r="B2812" s="2">
        <v>37979</v>
      </c>
      <c r="C2812" t="s">
        <v>3</v>
      </c>
      <c r="D2812">
        <v>109.2122493</v>
      </c>
    </row>
    <row r="2813" spans="2:4">
      <c r="B2813" s="2">
        <v>37978</v>
      </c>
      <c r="C2813" t="s">
        <v>3</v>
      </c>
      <c r="D2813">
        <v>110.013966</v>
      </c>
    </row>
    <row r="2814" spans="2:4">
      <c r="B2814" s="2">
        <v>37977</v>
      </c>
      <c r="C2814" t="s">
        <v>3</v>
      </c>
      <c r="D2814">
        <v>109.1035924</v>
      </c>
    </row>
    <row r="2815" spans="2:4">
      <c r="B2815" s="2">
        <v>37974</v>
      </c>
      <c r="C2815" t="s">
        <v>3</v>
      </c>
      <c r="D2815">
        <v>109.044096</v>
      </c>
    </row>
    <row r="2816" spans="2:4">
      <c r="B2816" s="2">
        <v>37973</v>
      </c>
      <c r="C2816" t="s">
        <v>3</v>
      </c>
      <c r="D2816">
        <v>109.0820918</v>
      </c>
    </row>
    <row r="2817" spans="2:4">
      <c r="B2817" s="2">
        <v>37972</v>
      </c>
      <c r="C2817" t="s">
        <v>3</v>
      </c>
      <c r="D2817">
        <v>109.867896</v>
      </c>
    </row>
    <row r="2818" spans="2:4">
      <c r="B2818" s="2">
        <v>37971</v>
      </c>
      <c r="C2818" t="s">
        <v>3</v>
      </c>
      <c r="D2818">
        <v>109.7488656</v>
      </c>
    </row>
    <row r="2819" spans="2:4">
      <c r="B2819" s="2">
        <v>37970</v>
      </c>
      <c r="C2819" t="s">
        <v>3</v>
      </c>
      <c r="D2819">
        <v>110.25907479999999</v>
      </c>
    </row>
    <row r="2820" spans="2:4">
      <c r="B2820" s="2">
        <v>37967</v>
      </c>
      <c r="C2820" t="s">
        <v>3</v>
      </c>
      <c r="D2820">
        <v>110.090112</v>
      </c>
    </row>
    <row r="2821" spans="2:4">
      <c r="B2821" s="2">
        <v>37966</v>
      </c>
      <c r="C2821" t="s">
        <v>3</v>
      </c>
      <c r="D2821">
        <v>109.9989315</v>
      </c>
    </row>
    <row r="2822" spans="2:4">
      <c r="B2822" s="2">
        <v>37965</v>
      </c>
      <c r="C2822" t="s">
        <v>3</v>
      </c>
      <c r="D2822">
        <v>111.038307</v>
      </c>
    </row>
    <row r="2823" spans="2:4">
      <c r="B2823" s="2">
        <v>37964</v>
      </c>
      <c r="C2823" t="s">
        <v>3</v>
      </c>
      <c r="D2823">
        <v>113.0616</v>
      </c>
    </row>
    <row r="2824" spans="2:4">
      <c r="B2824" s="2">
        <v>37963</v>
      </c>
      <c r="C2824" t="s">
        <v>3</v>
      </c>
      <c r="D2824">
        <v>111.87043799999999</v>
      </c>
    </row>
    <row r="2825" spans="2:4">
      <c r="B2825" s="2">
        <v>37960</v>
      </c>
      <c r="C2825" t="s">
        <v>3</v>
      </c>
      <c r="D2825">
        <v>111.75346</v>
      </c>
    </row>
    <row r="2826" spans="2:4">
      <c r="B2826" s="2">
        <v>37959</v>
      </c>
      <c r="C2826" t="s">
        <v>3</v>
      </c>
      <c r="D2826">
        <v>112.518</v>
      </c>
    </row>
    <row r="2827" spans="2:4">
      <c r="B2827" s="2">
        <v>37958</v>
      </c>
      <c r="C2827" t="s">
        <v>3</v>
      </c>
      <c r="D2827">
        <v>113.2755568</v>
      </c>
    </row>
    <row r="2828" spans="2:4">
      <c r="B2828" s="2">
        <v>37957</v>
      </c>
      <c r="C2828" t="s">
        <v>3</v>
      </c>
      <c r="D2828">
        <v>113.23768680000001</v>
      </c>
    </row>
    <row r="2829" spans="2:4">
      <c r="B2829" s="2">
        <v>37956</v>
      </c>
      <c r="C2829" t="s">
        <v>3</v>
      </c>
      <c r="D2829">
        <v>113.31109619999999</v>
      </c>
    </row>
    <row r="2830" spans="2:4">
      <c r="B2830" s="2">
        <v>37953</v>
      </c>
      <c r="C2830" t="s">
        <v>3</v>
      </c>
      <c r="D2830">
        <v>111.72720750000001</v>
      </c>
    </row>
    <row r="2831" spans="2:4">
      <c r="B2831" s="2">
        <v>37951</v>
      </c>
      <c r="C2831" t="s">
        <v>3</v>
      </c>
      <c r="D2831">
        <v>111.29862</v>
      </c>
    </row>
    <row r="2832" spans="2:4">
      <c r="B2832" s="2">
        <v>37950</v>
      </c>
      <c r="C2832" t="s">
        <v>3</v>
      </c>
      <c r="D2832">
        <v>110.76540749999999</v>
      </c>
    </row>
    <row r="2833" spans="2:4">
      <c r="B2833" s="2">
        <v>37949</v>
      </c>
      <c r="C2833" t="s">
        <v>3</v>
      </c>
      <c r="D2833">
        <v>110.38930000000001</v>
      </c>
    </row>
    <row r="2834" spans="2:4">
      <c r="B2834" s="2">
        <v>37946</v>
      </c>
      <c r="C2834" t="s">
        <v>3</v>
      </c>
      <c r="D2834">
        <v>109.64879999999999</v>
      </c>
    </row>
    <row r="2835" spans="2:4">
      <c r="B2835" s="2">
        <v>37945</v>
      </c>
      <c r="C2835" t="s">
        <v>3</v>
      </c>
      <c r="D2835">
        <v>109.12062</v>
      </c>
    </row>
    <row r="2836" spans="2:4">
      <c r="B2836" s="2">
        <v>37944</v>
      </c>
      <c r="C2836" t="s">
        <v>3</v>
      </c>
      <c r="D2836">
        <v>108.827915</v>
      </c>
    </row>
    <row r="2837" spans="2:4">
      <c r="B2837" s="2">
        <v>37943</v>
      </c>
      <c r="C2837" t="s">
        <v>3</v>
      </c>
      <c r="D2837">
        <v>107.6052809</v>
      </c>
    </row>
    <row r="2838" spans="2:4">
      <c r="B2838" s="2">
        <v>37942</v>
      </c>
      <c r="C2838" t="s">
        <v>3</v>
      </c>
      <c r="D2838">
        <v>106.81035749999999</v>
      </c>
    </row>
    <row r="2839" spans="2:4">
      <c r="B2839" s="2">
        <v>37939</v>
      </c>
      <c r="C2839" t="s">
        <v>3</v>
      </c>
      <c r="D2839">
        <v>106.34817820000001</v>
      </c>
    </row>
    <row r="2840" spans="2:4">
      <c r="B2840" s="2">
        <v>37938</v>
      </c>
      <c r="C2840" t="s">
        <v>3</v>
      </c>
      <c r="D2840">
        <v>106.7300235</v>
      </c>
    </row>
    <row r="2841" spans="2:4">
      <c r="B2841" s="2">
        <v>37937</v>
      </c>
      <c r="C2841" t="s">
        <v>3</v>
      </c>
      <c r="D2841">
        <v>107.717174</v>
      </c>
    </row>
    <row r="2842" spans="2:4">
      <c r="B2842" s="2">
        <v>37935</v>
      </c>
      <c r="C2842" t="s">
        <v>3</v>
      </c>
      <c r="D2842">
        <v>109.40009999999999</v>
      </c>
    </row>
    <row r="2843" spans="2:4">
      <c r="B2843" s="2">
        <v>37932</v>
      </c>
      <c r="C2843" t="s">
        <v>3</v>
      </c>
      <c r="D2843">
        <v>110.20247000000001</v>
      </c>
    </row>
    <row r="2844" spans="2:4">
      <c r="B2844" s="2">
        <v>37931</v>
      </c>
      <c r="C2844" t="s">
        <v>3</v>
      </c>
      <c r="D2844">
        <v>110.71716480000001</v>
      </c>
    </row>
    <row r="2845" spans="2:4">
      <c r="B2845" s="2">
        <v>37930</v>
      </c>
      <c r="C2845" t="s">
        <v>3</v>
      </c>
      <c r="D2845">
        <v>109.91277359999999</v>
      </c>
    </row>
    <row r="2846" spans="2:4">
      <c r="B2846" s="2">
        <v>37929</v>
      </c>
      <c r="C2846" t="s">
        <v>3</v>
      </c>
      <c r="D2846">
        <v>110.482208</v>
      </c>
    </row>
    <row r="2847" spans="2:4">
      <c r="B2847" s="2">
        <v>37928</v>
      </c>
      <c r="C2847" t="s">
        <v>3</v>
      </c>
      <c r="D2847">
        <v>111.03225</v>
      </c>
    </row>
    <row r="2848" spans="2:4">
      <c r="B2848" s="2">
        <v>37925</v>
      </c>
      <c r="C2848" t="s">
        <v>3</v>
      </c>
      <c r="D2848">
        <v>110.79475050000001</v>
      </c>
    </row>
    <row r="2849" spans="2:4">
      <c r="B2849" s="2">
        <v>37924</v>
      </c>
      <c r="C2849" t="s">
        <v>3</v>
      </c>
      <c r="D2849">
        <v>111.59043749999999</v>
      </c>
    </row>
    <row r="2850" spans="2:4">
      <c r="B2850" s="2">
        <v>37923</v>
      </c>
      <c r="C2850" t="s">
        <v>3</v>
      </c>
      <c r="D2850">
        <v>110.2845196</v>
      </c>
    </row>
    <row r="2851" spans="2:4">
      <c r="B2851" s="2">
        <v>37922</v>
      </c>
      <c r="C2851" t="s">
        <v>3</v>
      </c>
      <c r="D2851">
        <v>111.182368</v>
      </c>
    </row>
    <row r="2852" spans="2:4">
      <c r="B2852" s="2">
        <v>37921</v>
      </c>
      <c r="C2852" t="s">
        <v>3</v>
      </c>
      <c r="D2852">
        <v>112.08962820000001</v>
      </c>
    </row>
    <row r="2853" spans="2:4">
      <c r="B2853" s="2">
        <v>37918</v>
      </c>
      <c r="C2853" t="s">
        <v>3</v>
      </c>
      <c r="D2853">
        <v>110.9936975</v>
      </c>
    </row>
    <row r="2854" spans="2:4">
      <c r="B2854" s="2">
        <v>37917</v>
      </c>
      <c r="C2854" t="s">
        <v>3</v>
      </c>
      <c r="D2854">
        <v>111.9814875</v>
      </c>
    </row>
    <row r="2855" spans="2:4">
      <c r="B2855" s="2">
        <v>37916</v>
      </c>
      <c r="C2855" t="s">
        <v>3</v>
      </c>
      <c r="D2855">
        <v>111.2487</v>
      </c>
    </row>
    <row r="2856" spans="2:4">
      <c r="B2856" s="2">
        <v>37915</v>
      </c>
      <c r="C2856" t="s">
        <v>3</v>
      </c>
      <c r="D2856">
        <v>112.2366825</v>
      </c>
    </row>
    <row r="2857" spans="2:4">
      <c r="B2857" s="2">
        <v>37914</v>
      </c>
      <c r="C2857" t="s">
        <v>3</v>
      </c>
      <c r="D2857">
        <v>112.659863</v>
      </c>
    </row>
    <row r="2858" spans="2:4">
      <c r="B2858" s="2">
        <v>37911</v>
      </c>
      <c r="C2858" t="s">
        <v>3</v>
      </c>
      <c r="D2858">
        <v>112.4847108</v>
      </c>
    </row>
    <row r="2859" spans="2:4">
      <c r="B2859" s="2">
        <v>37910</v>
      </c>
      <c r="C2859" t="s">
        <v>3</v>
      </c>
      <c r="D2859">
        <v>112.98336</v>
      </c>
    </row>
    <row r="2860" spans="2:4">
      <c r="B2860" s="2">
        <v>37909</v>
      </c>
      <c r="C2860" t="s">
        <v>3</v>
      </c>
      <c r="D2860">
        <v>112.49899120000001</v>
      </c>
    </row>
    <row r="2861" spans="2:4">
      <c r="B2861" s="2">
        <v>37908</v>
      </c>
      <c r="C2861" t="s">
        <v>3</v>
      </c>
      <c r="D2861">
        <v>111.5361422</v>
      </c>
    </row>
    <row r="2862" spans="2:4">
      <c r="B2862" s="2">
        <v>37904</v>
      </c>
      <c r="C2862" t="s">
        <v>3</v>
      </c>
      <c r="D2862">
        <v>111.7322558</v>
      </c>
    </row>
    <row r="2863" spans="2:4">
      <c r="B2863" s="2">
        <v>37903</v>
      </c>
      <c r="C2863" t="s">
        <v>3</v>
      </c>
      <c r="D2863">
        <v>112.404113</v>
      </c>
    </row>
    <row r="2864" spans="2:4">
      <c r="B2864" s="2">
        <v>37902</v>
      </c>
      <c r="C2864" t="s">
        <v>3</v>
      </c>
      <c r="D2864">
        <v>112.963368</v>
      </c>
    </row>
    <row r="2865" spans="2:4">
      <c r="B2865" s="2">
        <v>37901</v>
      </c>
      <c r="C2865" t="s">
        <v>3</v>
      </c>
      <c r="D2865">
        <v>113.7033352</v>
      </c>
    </row>
    <row r="2866" spans="2:4">
      <c r="B2866" s="2">
        <v>37900</v>
      </c>
      <c r="C2866" t="s">
        <v>3</v>
      </c>
      <c r="D2866">
        <v>111.8243025</v>
      </c>
    </row>
    <row r="2867" spans="2:4">
      <c r="B2867" s="2">
        <v>37897</v>
      </c>
      <c r="C2867" t="s">
        <v>3</v>
      </c>
      <c r="D2867">
        <v>112.8344166</v>
      </c>
    </row>
    <row r="2868" spans="2:4">
      <c r="B2868" s="2">
        <v>37896</v>
      </c>
      <c r="C2868" t="s">
        <v>3</v>
      </c>
      <c r="D2868">
        <v>110.8656318</v>
      </c>
    </row>
    <row r="2869" spans="2:4">
      <c r="B2869" s="2">
        <v>37895</v>
      </c>
      <c r="C2869" t="s">
        <v>3</v>
      </c>
      <c r="D2869">
        <v>109.9273599</v>
      </c>
    </row>
    <row r="2870" spans="2:4">
      <c r="B2870" s="2">
        <v>37894</v>
      </c>
      <c r="C2870" t="s">
        <v>3</v>
      </c>
      <c r="D2870">
        <v>109.87242999999999</v>
      </c>
    </row>
    <row r="2871" spans="2:4">
      <c r="B2871" s="2">
        <v>37893</v>
      </c>
      <c r="C2871" t="s">
        <v>3</v>
      </c>
      <c r="D2871">
        <v>108.55728000000001</v>
      </c>
    </row>
    <row r="2872" spans="2:4">
      <c r="B2872" s="2">
        <v>37890</v>
      </c>
      <c r="C2872" t="s">
        <v>3</v>
      </c>
      <c r="D2872">
        <v>107.8084947</v>
      </c>
    </row>
    <row r="2873" spans="2:4">
      <c r="B2873" s="2">
        <v>37889</v>
      </c>
      <c r="C2873" t="s">
        <v>3</v>
      </c>
      <c r="D2873">
        <v>108.24091</v>
      </c>
    </row>
    <row r="2874" spans="2:4">
      <c r="B2874" s="2">
        <v>37888</v>
      </c>
      <c r="C2874" t="s">
        <v>3</v>
      </c>
      <c r="D2874">
        <v>107.8318251</v>
      </c>
    </row>
    <row r="2875" spans="2:4">
      <c r="B2875" s="2">
        <v>37887</v>
      </c>
      <c r="C2875" t="s">
        <v>3</v>
      </c>
      <c r="D2875">
        <v>107.74265219999999</v>
      </c>
    </row>
    <row r="2876" spans="2:4">
      <c r="B2876" s="2">
        <v>37886</v>
      </c>
      <c r="C2876" t="s">
        <v>3</v>
      </c>
      <c r="D2876">
        <v>107.5464192</v>
      </c>
    </row>
    <row r="2877" spans="2:4">
      <c r="B2877" s="2">
        <v>37883</v>
      </c>
      <c r="C2877" t="s">
        <v>3</v>
      </c>
      <c r="D2877">
        <v>106.0833456</v>
      </c>
    </row>
    <row r="2878" spans="2:4">
      <c r="B2878" s="2">
        <v>37882</v>
      </c>
      <c r="C2878" t="s">
        <v>3</v>
      </c>
      <c r="D2878">
        <v>106.0361975</v>
      </c>
    </row>
    <row r="2879" spans="2:4">
      <c r="B2879" s="2">
        <v>37881</v>
      </c>
      <c r="C2879" t="s">
        <v>3</v>
      </c>
      <c r="D2879">
        <v>105.7252653</v>
      </c>
    </row>
    <row r="2880" spans="2:4">
      <c r="B2880" s="2">
        <v>37880</v>
      </c>
      <c r="C2880" t="s">
        <v>3</v>
      </c>
      <c r="D2880">
        <v>107.028339</v>
      </c>
    </row>
    <row r="2881" spans="2:4">
      <c r="B2881" s="2">
        <v>37879</v>
      </c>
      <c r="C2881" t="s">
        <v>3</v>
      </c>
      <c r="D2881">
        <v>106.3847979</v>
      </c>
    </row>
    <row r="2882" spans="2:4">
      <c r="B2882" s="2">
        <v>37876</v>
      </c>
      <c r="C2882" t="s">
        <v>3</v>
      </c>
      <c r="D2882">
        <v>106.7622192</v>
      </c>
    </row>
    <row r="2883" spans="2:4">
      <c r="B2883" s="2">
        <v>37875</v>
      </c>
      <c r="C2883" t="s">
        <v>3</v>
      </c>
      <c r="D2883">
        <v>106.05294000000001</v>
      </c>
    </row>
    <row r="2884" spans="2:4">
      <c r="B2884" s="2">
        <v>37874</v>
      </c>
      <c r="C2884" t="s">
        <v>3</v>
      </c>
      <c r="D2884">
        <v>104.704303</v>
      </c>
    </row>
    <row r="2885" spans="2:4">
      <c r="B2885" s="2">
        <v>37873</v>
      </c>
      <c r="C2885" t="s">
        <v>3</v>
      </c>
      <c r="D2885">
        <v>106.960932</v>
      </c>
    </row>
    <row r="2886" spans="2:4">
      <c r="B2886" s="2">
        <v>37872</v>
      </c>
      <c r="C2886" t="s">
        <v>3</v>
      </c>
      <c r="D2886">
        <v>106.71972</v>
      </c>
    </row>
    <row r="2887" spans="2:4">
      <c r="B2887" s="2">
        <v>37869</v>
      </c>
      <c r="C2887" t="s">
        <v>3</v>
      </c>
      <c r="D2887">
        <v>107.67714479999999</v>
      </c>
    </row>
    <row r="2888" spans="2:4">
      <c r="B2888" s="2">
        <v>37868</v>
      </c>
      <c r="C2888" t="s">
        <v>3</v>
      </c>
      <c r="D2888">
        <v>109.82973749999999</v>
      </c>
    </row>
    <row r="2889" spans="2:4">
      <c r="B2889" s="2">
        <v>37867</v>
      </c>
      <c r="C2889" t="s">
        <v>3</v>
      </c>
      <c r="D2889">
        <v>112.588611</v>
      </c>
    </row>
    <row r="2890" spans="2:4">
      <c r="B2890" s="2">
        <v>37866</v>
      </c>
      <c r="C2890" t="s">
        <v>3</v>
      </c>
      <c r="D2890">
        <v>113.1442732</v>
      </c>
    </row>
    <row r="2891" spans="2:4">
      <c r="B2891" s="2">
        <v>37862</v>
      </c>
      <c r="C2891" t="s">
        <v>3</v>
      </c>
      <c r="D2891">
        <v>110.7892755</v>
      </c>
    </row>
    <row r="2892" spans="2:4">
      <c r="B2892" s="2">
        <v>37861</v>
      </c>
      <c r="C2892" t="s">
        <v>3</v>
      </c>
      <c r="D2892">
        <v>111.0916575</v>
      </c>
    </row>
    <row r="2893" spans="2:4">
      <c r="B2893" s="2">
        <v>37860</v>
      </c>
      <c r="C2893" t="s">
        <v>3</v>
      </c>
      <c r="D2893">
        <v>111.4899552</v>
      </c>
    </row>
    <row r="2894" spans="2:4">
      <c r="B2894" s="2">
        <v>37859</v>
      </c>
      <c r="C2894" t="s">
        <v>3</v>
      </c>
      <c r="D2894">
        <v>111.86241750000001</v>
      </c>
    </row>
    <row r="2895" spans="2:4">
      <c r="B2895" s="2">
        <v>37858</v>
      </c>
      <c r="C2895" t="s">
        <v>3</v>
      </c>
      <c r="D2895">
        <v>113.2977475</v>
      </c>
    </row>
    <row r="2896" spans="2:4">
      <c r="B2896" s="2">
        <v>37855</v>
      </c>
      <c r="C2896" t="s">
        <v>3</v>
      </c>
      <c r="D2896">
        <v>111.7914048</v>
      </c>
    </row>
    <row r="2897" spans="2:4">
      <c r="B2897" s="2">
        <v>37854</v>
      </c>
      <c r="C2897" t="s">
        <v>3</v>
      </c>
      <c r="D2897">
        <v>113.3000072</v>
      </c>
    </row>
    <row r="2898" spans="2:4">
      <c r="B2898" s="2">
        <v>37853</v>
      </c>
      <c r="C2898" t="s">
        <v>3</v>
      </c>
      <c r="D2898">
        <v>112.6987944</v>
      </c>
    </row>
    <row r="2899" spans="2:4">
      <c r="B2899" s="2">
        <v>37852</v>
      </c>
      <c r="C2899" t="s">
        <v>3</v>
      </c>
      <c r="D2899">
        <v>111.52184800000001</v>
      </c>
    </row>
    <row r="2900" spans="2:4">
      <c r="B2900" s="2">
        <v>37851</v>
      </c>
      <c r="C2900" t="s">
        <v>3</v>
      </c>
      <c r="D2900">
        <v>114.42138679999999</v>
      </c>
    </row>
    <row r="2901" spans="2:4">
      <c r="B2901" s="2">
        <v>37848</v>
      </c>
      <c r="C2901" t="s">
        <v>3</v>
      </c>
      <c r="D2901">
        <v>117.44105</v>
      </c>
    </row>
    <row r="2902" spans="2:4">
      <c r="B2902" s="2">
        <v>37847</v>
      </c>
      <c r="C2902" t="s">
        <v>3</v>
      </c>
      <c r="D2902">
        <v>117.2052075</v>
      </c>
    </row>
    <row r="2903" spans="2:4">
      <c r="B2903" s="2">
        <v>37846</v>
      </c>
      <c r="C2903" t="s">
        <v>3</v>
      </c>
      <c r="D2903">
        <v>117.6308325</v>
      </c>
    </row>
    <row r="2904" spans="2:4">
      <c r="B2904" s="2">
        <v>37845</v>
      </c>
      <c r="C2904" t="s">
        <v>3</v>
      </c>
      <c r="D2904">
        <v>113.17978650000001</v>
      </c>
    </row>
    <row r="2905" spans="2:4">
      <c r="B2905" s="2">
        <v>37844</v>
      </c>
      <c r="C2905" t="s">
        <v>3</v>
      </c>
      <c r="D2905">
        <v>114.26376</v>
      </c>
    </row>
    <row r="2906" spans="2:4">
      <c r="B2906" s="2">
        <v>37841</v>
      </c>
      <c r="C2906" t="s">
        <v>3</v>
      </c>
      <c r="D2906">
        <v>112.2711975</v>
      </c>
    </row>
    <row r="2907" spans="2:4">
      <c r="B2907" s="2">
        <v>37840</v>
      </c>
      <c r="C2907" t="s">
        <v>3</v>
      </c>
      <c r="D2907">
        <v>109.6971825</v>
      </c>
    </row>
    <row r="2908" spans="2:4">
      <c r="B2908" s="2">
        <v>37839</v>
      </c>
      <c r="C2908" t="s">
        <v>3</v>
      </c>
      <c r="D2908">
        <v>111.74679</v>
      </c>
    </row>
    <row r="2909" spans="2:4">
      <c r="B2909" s="2">
        <v>37838</v>
      </c>
      <c r="C2909" t="s">
        <v>3</v>
      </c>
      <c r="D2909">
        <v>116.10899999999999</v>
      </c>
    </row>
    <row r="2910" spans="2:4">
      <c r="B2910" s="2">
        <v>37837</v>
      </c>
      <c r="C2910" t="s">
        <v>3</v>
      </c>
      <c r="D2910">
        <v>117.31649</v>
      </c>
    </row>
    <row r="2911" spans="2:4">
      <c r="B2911" s="2">
        <v>37834</v>
      </c>
      <c r="C2911" t="s">
        <v>3</v>
      </c>
      <c r="D2911">
        <v>120.0984232</v>
      </c>
    </row>
    <row r="2912" spans="2:4">
      <c r="B2912" s="2">
        <v>37833</v>
      </c>
      <c r="C2912" t="s">
        <v>3</v>
      </c>
      <c r="D2912">
        <v>122.19217500000001</v>
      </c>
    </row>
    <row r="2913" spans="2:4">
      <c r="B2913" s="2">
        <v>37832</v>
      </c>
      <c r="C2913" t="s">
        <v>3</v>
      </c>
      <c r="D2913">
        <v>117.22635339999999</v>
      </c>
    </row>
    <row r="2914" spans="2:4">
      <c r="B2914" s="2">
        <v>37831</v>
      </c>
      <c r="C2914" t="s">
        <v>3</v>
      </c>
      <c r="D2914">
        <v>115.9235</v>
      </c>
    </row>
    <row r="2915" spans="2:4">
      <c r="B2915" s="2">
        <v>37830</v>
      </c>
      <c r="C2915" t="s">
        <v>3</v>
      </c>
      <c r="D2915">
        <v>113.48925</v>
      </c>
    </row>
    <row r="2916" spans="2:4">
      <c r="B2916" s="2">
        <v>37827</v>
      </c>
      <c r="C2916" t="s">
        <v>3</v>
      </c>
      <c r="D2916">
        <v>112.6886992</v>
      </c>
    </row>
    <row r="2917" spans="2:4">
      <c r="B2917" s="2">
        <v>37826</v>
      </c>
      <c r="C2917" t="s">
        <v>3</v>
      </c>
      <c r="D2917">
        <v>112.52952000000001</v>
      </c>
    </row>
    <row r="2918" spans="2:4">
      <c r="B2918" s="2">
        <v>37825</v>
      </c>
      <c r="C2918" t="s">
        <v>3</v>
      </c>
      <c r="D2918">
        <v>111.4723575</v>
      </c>
    </row>
    <row r="2919" spans="2:4">
      <c r="B2919" s="2">
        <v>37824</v>
      </c>
      <c r="C2919" t="s">
        <v>3</v>
      </c>
      <c r="D2919">
        <v>111.447945</v>
      </c>
    </row>
    <row r="2920" spans="2:4">
      <c r="B2920" s="2">
        <v>37823</v>
      </c>
      <c r="C2920" t="s">
        <v>3</v>
      </c>
      <c r="D2920">
        <v>112.65976000000001</v>
      </c>
    </row>
    <row r="2921" spans="2:4">
      <c r="B2921" s="2">
        <v>37820</v>
      </c>
      <c r="C2921" t="s">
        <v>3</v>
      </c>
      <c r="D2921">
        <v>109.52294000000001</v>
      </c>
    </row>
    <row r="2922" spans="2:4">
      <c r="B2922" s="2">
        <v>37819</v>
      </c>
      <c r="C2922" t="s">
        <v>3</v>
      </c>
      <c r="D2922">
        <v>111.30117079999999</v>
      </c>
    </row>
    <row r="2923" spans="2:4">
      <c r="B2923" s="2">
        <v>37818</v>
      </c>
      <c r="C2923" t="s">
        <v>3</v>
      </c>
      <c r="D2923">
        <v>113.6231208</v>
      </c>
    </row>
    <row r="2924" spans="2:4">
      <c r="B2924" s="2">
        <v>37817</v>
      </c>
      <c r="C2924" t="s">
        <v>3</v>
      </c>
      <c r="D2924">
        <v>112.27264</v>
      </c>
    </row>
    <row r="2925" spans="2:4">
      <c r="B2925" s="2">
        <v>37816</v>
      </c>
      <c r="C2925" t="s">
        <v>3</v>
      </c>
      <c r="D2925">
        <v>109.8147589</v>
      </c>
    </row>
    <row r="2926" spans="2:4">
      <c r="B2926" s="2">
        <v>37813</v>
      </c>
      <c r="C2926" t="s">
        <v>3</v>
      </c>
      <c r="D2926">
        <v>109.4496457</v>
      </c>
    </row>
    <row r="2927" spans="2:4">
      <c r="B2927" s="2">
        <v>37812</v>
      </c>
      <c r="C2927" t="s">
        <v>3</v>
      </c>
      <c r="D2927">
        <v>111.0094</v>
      </c>
    </row>
    <row r="2928" spans="2:4">
      <c r="B2928" s="2">
        <v>37811</v>
      </c>
      <c r="C2928" t="s">
        <v>3</v>
      </c>
      <c r="D2928">
        <v>111.7966675</v>
      </c>
    </row>
    <row r="2929" spans="2:4">
      <c r="B2929" s="2">
        <v>37810</v>
      </c>
      <c r="C2929" t="s">
        <v>3</v>
      </c>
      <c r="D2929">
        <v>113.14075</v>
      </c>
    </row>
    <row r="2930" spans="2:4">
      <c r="B2930" s="2">
        <v>37809</v>
      </c>
      <c r="C2930" t="s">
        <v>3</v>
      </c>
      <c r="D2930">
        <v>113.54169419999999</v>
      </c>
    </row>
    <row r="2931" spans="2:4">
      <c r="B2931" s="2">
        <v>37805</v>
      </c>
      <c r="C2931" t="s">
        <v>3</v>
      </c>
      <c r="D2931">
        <v>113.17019999999999</v>
      </c>
    </row>
    <row r="2932" spans="2:4">
      <c r="B2932" s="2">
        <v>37804</v>
      </c>
      <c r="C2932" t="s">
        <v>3</v>
      </c>
      <c r="D2932">
        <v>111.44758</v>
      </c>
    </row>
    <row r="2933" spans="2:4">
      <c r="B2933" s="2">
        <v>37803</v>
      </c>
      <c r="C2933" t="s">
        <v>3</v>
      </c>
      <c r="D2933">
        <v>111.675746</v>
      </c>
    </row>
    <row r="2934" spans="2:4">
      <c r="B2934" s="2">
        <v>37802</v>
      </c>
      <c r="C2934" t="s">
        <v>3</v>
      </c>
      <c r="D2934">
        <v>111.6716625</v>
      </c>
    </row>
    <row r="2935" spans="2:4">
      <c r="B2935" s="2">
        <v>37799</v>
      </c>
      <c r="C2935" t="s">
        <v>3</v>
      </c>
      <c r="D2935">
        <v>112.16441</v>
      </c>
    </row>
    <row r="2936" spans="2:4">
      <c r="B2936" s="2">
        <v>37798</v>
      </c>
      <c r="C2936" t="s">
        <v>3</v>
      </c>
      <c r="D2936">
        <v>111.650295</v>
      </c>
    </row>
    <row r="2937" spans="2:4">
      <c r="B2937" s="2">
        <v>37797</v>
      </c>
      <c r="C2937" t="s">
        <v>3</v>
      </c>
      <c r="D2937">
        <v>108.39428909999999</v>
      </c>
    </row>
    <row r="2938" spans="2:4">
      <c r="B2938" s="2">
        <v>37796</v>
      </c>
      <c r="C2938" t="s">
        <v>3</v>
      </c>
      <c r="D2938">
        <v>108.68106</v>
      </c>
    </row>
    <row r="2939" spans="2:4">
      <c r="B2939" s="2">
        <v>37795</v>
      </c>
      <c r="C2939" t="s">
        <v>3</v>
      </c>
      <c r="D2939">
        <v>108.06695000000001</v>
      </c>
    </row>
    <row r="2940" spans="2:4">
      <c r="B2940" s="2">
        <v>37792</v>
      </c>
      <c r="C2940" t="s">
        <v>3</v>
      </c>
      <c r="D2940">
        <v>108.3416859</v>
      </c>
    </row>
    <row r="2941" spans="2:4">
      <c r="B2941" s="2">
        <v>37791</v>
      </c>
      <c r="C2941" t="s">
        <v>3</v>
      </c>
      <c r="D2941">
        <v>107.839164</v>
      </c>
    </row>
    <row r="2942" spans="2:4">
      <c r="B2942" s="2">
        <v>37790</v>
      </c>
      <c r="C2942" t="s">
        <v>3</v>
      </c>
      <c r="D2942">
        <v>107.17534999999999</v>
      </c>
    </row>
    <row r="2943" spans="2:4">
      <c r="B2943" s="2">
        <v>37789</v>
      </c>
      <c r="C2943" t="s">
        <v>3</v>
      </c>
      <c r="D2943">
        <v>105.812805</v>
      </c>
    </row>
    <row r="2944" spans="2:4">
      <c r="B2944" s="2">
        <v>37788</v>
      </c>
      <c r="C2944" t="s">
        <v>3</v>
      </c>
      <c r="D2944">
        <v>104.31057</v>
      </c>
    </row>
    <row r="2945" spans="2:4">
      <c r="B2945" s="2">
        <v>37785</v>
      </c>
      <c r="C2945" t="s">
        <v>3</v>
      </c>
      <c r="D2945">
        <v>103.71683899999999</v>
      </c>
    </row>
    <row r="2946" spans="2:4">
      <c r="B2946" s="2">
        <v>37784</v>
      </c>
      <c r="C2946" t="s">
        <v>3</v>
      </c>
      <c r="D2946">
        <v>103.187203</v>
      </c>
    </row>
    <row r="2947" spans="2:4">
      <c r="B2947" s="2">
        <v>37783</v>
      </c>
      <c r="C2947" t="s">
        <v>3</v>
      </c>
      <c r="D2947">
        <v>101.7956394</v>
      </c>
    </row>
    <row r="2948" spans="2:4">
      <c r="B2948" s="2">
        <v>37782</v>
      </c>
      <c r="C2948" t="s">
        <v>3</v>
      </c>
      <c r="D2948">
        <v>102.1376846</v>
      </c>
    </row>
    <row r="2949" spans="2:4">
      <c r="B2949" s="2">
        <v>37781</v>
      </c>
      <c r="C2949" t="s">
        <v>3</v>
      </c>
      <c r="D2949">
        <v>101.78421299999999</v>
      </c>
    </row>
    <row r="2950" spans="2:4">
      <c r="B2950" s="2">
        <v>37778</v>
      </c>
      <c r="C2950" t="s">
        <v>3</v>
      </c>
      <c r="D2950">
        <v>102.2593798</v>
      </c>
    </row>
    <row r="2951" spans="2:4">
      <c r="B2951" s="2">
        <v>37777</v>
      </c>
      <c r="C2951" t="s">
        <v>3</v>
      </c>
      <c r="D2951">
        <v>103.18969749999999</v>
      </c>
    </row>
    <row r="2952" spans="2:4">
      <c r="B2952" s="2">
        <v>37776</v>
      </c>
      <c r="C2952" t="s">
        <v>3</v>
      </c>
      <c r="D2952">
        <v>103.063317</v>
      </c>
    </row>
    <row r="2953" spans="2:4">
      <c r="B2953" s="2">
        <v>37775</v>
      </c>
      <c r="C2953" t="s">
        <v>3</v>
      </c>
      <c r="D2953">
        <v>102.3119925</v>
      </c>
    </row>
    <row r="2954" spans="2:4">
      <c r="B2954" s="2">
        <v>37774</v>
      </c>
      <c r="C2954" t="s">
        <v>3</v>
      </c>
      <c r="D2954">
        <v>103.11625530000001</v>
      </c>
    </row>
    <row r="2955" spans="2:4">
      <c r="B2955" s="2">
        <v>37771</v>
      </c>
      <c r="C2955" t="s">
        <v>3</v>
      </c>
      <c r="D2955">
        <v>102.31382499999999</v>
      </c>
    </row>
    <row r="2956" spans="2:4">
      <c r="B2956" s="2">
        <v>37770</v>
      </c>
      <c r="C2956" t="s">
        <v>3</v>
      </c>
      <c r="D2956">
        <v>102.54873600000001</v>
      </c>
    </row>
    <row r="2957" spans="2:4">
      <c r="B2957" s="2">
        <v>37769</v>
      </c>
      <c r="C2957" t="s">
        <v>3</v>
      </c>
      <c r="D2957">
        <v>103.43572</v>
      </c>
    </row>
    <row r="2958" spans="2:4">
      <c r="B2958" s="2">
        <v>37768</v>
      </c>
      <c r="C2958" t="s">
        <v>3</v>
      </c>
      <c r="D2958">
        <v>103.2739947</v>
      </c>
    </row>
    <row r="2959" spans="2:4">
      <c r="B2959" s="2">
        <v>37764</v>
      </c>
      <c r="C2959" t="s">
        <v>3</v>
      </c>
      <c r="D2959">
        <v>102.05629500000001</v>
      </c>
    </row>
    <row r="2960" spans="2:4">
      <c r="B2960" s="2">
        <v>37763</v>
      </c>
      <c r="C2960" t="s">
        <v>3</v>
      </c>
      <c r="D2960">
        <v>102.3873318</v>
      </c>
    </row>
    <row r="2961" spans="2:4">
      <c r="B2961" s="2">
        <v>37762</v>
      </c>
      <c r="C2961" t="s">
        <v>3</v>
      </c>
      <c r="D2961">
        <v>103.80307500000001</v>
      </c>
    </row>
    <row r="2962" spans="2:4">
      <c r="B2962" s="2">
        <v>37761</v>
      </c>
      <c r="C2962" t="s">
        <v>3</v>
      </c>
      <c r="D2962">
        <v>102.4896688</v>
      </c>
    </row>
    <row r="2963" spans="2:4">
      <c r="B2963" s="2">
        <v>37760</v>
      </c>
      <c r="C2963" t="s">
        <v>3</v>
      </c>
      <c r="D2963">
        <v>101.74899000000001</v>
      </c>
    </row>
    <row r="2964" spans="2:4">
      <c r="B2964" s="2">
        <v>37757</v>
      </c>
      <c r="C2964" t="s">
        <v>3</v>
      </c>
      <c r="D2964">
        <v>101.0389527</v>
      </c>
    </row>
    <row r="2965" spans="2:4">
      <c r="B2965" s="2">
        <v>37756</v>
      </c>
      <c r="C2965" t="s">
        <v>3</v>
      </c>
      <c r="D2965">
        <v>99.182184500000005</v>
      </c>
    </row>
    <row r="2966" spans="2:4">
      <c r="B2966" s="2">
        <v>37755</v>
      </c>
      <c r="C2966" t="s">
        <v>3</v>
      </c>
      <c r="D2966">
        <v>98.091825</v>
      </c>
    </row>
    <row r="2967" spans="2:4">
      <c r="B2967" s="2">
        <v>37754</v>
      </c>
      <c r="C2967" t="s">
        <v>3</v>
      </c>
      <c r="D2967">
        <v>98.325659999999999</v>
      </c>
    </row>
    <row r="2968" spans="2:4">
      <c r="B2968" s="2">
        <v>37753</v>
      </c>
      <c r="C2968" t="s">
        <v>3</v>
      </c>
      <c r="D2968">
        <v>98.239065600000004</v>
      </c>
    </row>
    <row r="2969" spans="2:4">
      <c r="B2969" s="2">
        <v>37750</v>
      </c>
      <c r="C2969" t="s">
        <v>3</v>
      </c>
      <c r="D2969">
        <v>98.948160000000001</v>
      </c>
    </row>
    <row r="2970" spans="2:4">
      <c r="B2970" s="2">
        <v>37749</v>
      </c>
      <c r="C2970" t="s">
        <v>3</v>
      </c>
      <c r="D2970">
        <v>100.64223</v>
      </c>
    </row>
    <row r="2971" spans="2:4">
      <c r="B2971" s="2">
        <v>37748</v>
      </c>
      <c r="C2971" t="s">
        <v>3</v>
      </c>
      <c r="D2971">
        <v>101.1114638</v>
      </c>
    </row>
    <row r="2972" spans="2:4">
      <c r="B2972" s="2">
        <v>37747</v>
      </c>
      <c r="C2972" t="s">
        <v>3</v>
      </c>
      <c r="D2972">
        <v>101.2401375</v>
      </c>
    </row>
    <row r="2973" spans="2:4">
      <c r="B2973" s="2">
        <v>37746</v>
      </c>
      <c r="C2973" t="s">
        <v>3</v>
      </c>
      <c r="D2973">
        <v>102.2282688</v>
      </c>
    </row>
    <row r="2974" spans="2:4">
      <c r="B2974" s="2">
        <v>37743</v>
      </c>
      <c r="C2974" t="s">
        <v>3</v>
      </c>
      <c r="D2974">
        <v>102.10651350000001</v>
      </c>
    </row>
    <row r="2975" spans="2:4">
      <c r="B2975" s="2">
        <v>37742</v>
      </c>
      <c r="C2975" t="s">
        <v>3</v>
      </c>
      <c r="D2975">
        <v>102.03102800000001</v>
      </c>
    </row>
    <row r="2976" spans="2:4">
      <c r="B2976" s="2">
        <v>37741</v>
      </c>
      <c r="C2976" t="s">
        <v>3</v>
      </c>
      <c r="D2976">
        <v>102.021148</v>
      </c>
    </row>
    <row r="2977" spans="2:4">
      <c r="B2977" s="2">
        <v>37740</v>
      </c>
      <c r="C2977" t="s">
        <v>3</v>
      </c>
      <c r="D2977">
        <v>103.016375</v>
      </c>
    </row>
    <row r="2978" spans="2:4">
      <c r="B2978" s="2">
        <v>37739</v>
      </c>
      <c r="C2978" t="s">
        <v>3</v>
      </c>
      <c r="D2978">
        <v>102.7802325</v>
      </c>
    </row>
    <row r="2979" spans="2:4">
      <c r="B2979" s="2">
        <v>37736</v>
      </c>
      <c r="C2979" t="s">
        <v>3</v>
      </c>
      <c r="D2979">
        <v>102.09076</v>
      </c>
    </row>
    <row r="2980" spans="2:4">
      <c r="B2980" s="2">
        <v>37735</v>
      </c>
      <c r="C2980" t="s">
        <v>3</v>
      </c>
      <c r="D2980">
        <v>101.3297211</v>
      </c>
    </row>
    <row r="2981" spans="2:4">
      <c r="B2981" s="2">
        <v>37734</v>
      </c>
      <c r="C2981" t="s">
        <v>3</v>
      </c>
      <c r="D2981">
        <v>103.53104999999999</v>
      </c>
    </row>
    <row r="2982" spans="2:4">
      <c r="B2982" s="2">
        <v>37733</v>
      </c>
      <c r="C2982" t="s">
        <v>3</v>
      </c>
      <c r="D2982">
        <v>104.011027</v>
      </c>
    </row>
    <row r="2983" spans="2:4">
      <c r="B2983" s="2">
        <v>37732</v>
      </c>
      <c r="C2983" t="s">
        <v>3</v>
      </c>
      <c r="D2983">
        <v>103.5254006</v>
      </c>
    </row>
    <row r="2984" spans="2:4">
      <c r="B2984" s="2">
        <v>37728</v>
      </c>
      <c r="C2984" t="s">
        <v>3</v>
      </c>
      <c r="D2984">
        <v>102.58444</v>
      </c>
    </row>
    <row r="2985" spans="2:4">
      <c r="B2985" s="2">
        <v>37727</v>
      </c>
      <c r="C2985" t="s">
        <v>3</v>
      </c>
      <c r="D2985">
        <v>102.088038</v>
      </c>
    </row>
    <row r="2986" spans="2:4">
      <c r="B2986" s="2">
        <v>37726</v>
      </c>
      <c r="C2986" t="s">
        <v>3</v>
      </c>
      <c r="D2986">
        <v>103.501965</v>
      </c>
    </row>
    <row r="2987" spans="2:4">
      <c r="B2987" s="2">
        <v>37725</v>
      </c>
      <c r="C2987" t="s">
        <v>3</v>
      </c>
      <c r="D2987">
        <v>104.1439946</v>
      </c>
    </row>
    <row r="2988" spans="2:4">
      <c r="B2988" s="2">
        <v>37722</v>
      </c>
      <c r="C2988" t="s">
        <v>3</v>
      </c>
      <c r="D2988">
        <v>104.62969440000001</v>
      </c>
    </row>
    <row r="2989" spans="2:4">
      <c r="B2989" s="2">
        <v>37721</v>
      </c>
      <c r="C2989" t="s">
        <v>3</v>
      </c>
      <c r="D2989">
        <v>104.504122</v>
      </c>
    </row>
    <row r="2990" spans="2:4">
      <c r="B2990" s="2">
        <v>37720</v>
      </c>
      <c r="C2990" t="s">
        <v>3</v>
      </c>
      <c r="D2990">
        <v>104.4061286</v>
      </c>
    </row>
    <row r="2991" spans="2:4">
      <c r="B2991" s="2">
        <v>37719</v>
      </c>
      <c r="C2991" t="s">
        <v>3</v>
      </c>
      <c r="D2991">
        <v>104.38993000000001</v>
      </c>
    </row>
    <row r="2992" spans="2:4">
      <c r="B2992" s="2">
        <v>37718</v>
      </c>
      <c r="C2992" t="s">
        <v>3</v>
      </c>
      <c r="D2992">
        <v>105.7621017</v>
      </c>
    </row>
    <row r="2993" spans="2:4">
      <c r="B2993" s="2">
        <v>37715</v>
      </c>
      <c r="C2993" t="s">
        <v>3</v>
      </c>
      <c r="D2993">
        <v>105.902665</v>
      </c>
    </row>
    <row r="2994" spans="2:4">
      <c r="B2994" s="2">
        <v>37714</v>
      </c>
      <c r="C2994" t="s">
        <v>3</v>
      </c>
      <c r="D2994">
        <v>105.7495698</v>
      </c>
    </row>
    <row r="2995" spans="2:4">
      <c r="B2995" s="2">
        <v>37713</v>
      </c>
      <c r="C2995" t="s">
        <v>3</v>
      </c>
      <c r="D2995">
        <v>105.862544</v>
      </c>
    </row>
    <row r="2996" spans="2:4">
      <c r="B2996" s="2">
        <v>37712</v>
      </c>
      <c r="C2996" t="s">
        <v>3</v>
      </c>
      <c r="D2996">
        <v>106.0172</v>
      </c>
    </row>
    <row r="2997" spans="2:4">
      <c r="B2997" s="2">
        <v>37711</v>
      </c>
      <c r="C2997" t="s">
        <v>3</v>
      </c>
      <c r="D2997">
        <v>106.44738599999999</v>
      </c>
    </row>
    <row r="2998" spans="2:4">
      <c r="B2998" s="2">
        <v>37708</v>
      </c>
      <c r="C2998" t="s">
        <v>3</v>
      </c>
      <c r="D2998">
        <v>106.507227</v>
      </c>
    </row>
    <row r="2999" spans="2:4">
      <c r="B2999" s="2">
        <v>37707</v>
      </c>
      <c r="C2999" t="s">
        <v>3</v>
      </c>
      <c r="D2999">
        <v>107.011736</v>
      </c>
    </row>
    <row r="3000" spans="2:4">
      <c r="B3000" s="2">
        <v>37706</v>
      </c>
      <c r="C3000" t="s">
        <v>3</v>
      </c>
      <c r="D3000">
        <v>107.17807019999999</v>
      </c>
    </row>
    <row r="3001" spans="2:4">
      <c r="B3001" s="2">
        <v>37705</v>
      </c>
      <c r="C3001" t="s">
        <v>3</v>
      </c>
      <c r="D3001">
        <v>108.1648275</v>
      </c>
    </row>
    <row r="3002" spans="2:4">
      <c r="B3002" s="2">
        <v>37704</v>
      </c>
      <c r="C3002" t="s">
        <v>3</v>
      </c>
      <c r="D3002">
        <v>109.46400749999999</v>
      </c>
    </row>
    <row r="3003" spans="2:4">
      <c r="B3003" s="2">
        <v>37701</v>
      </c>
      <c r="C3003" t="s">
        <v>3</v>
      </c>
      <c r="D3003">
        <v>110.02358</v>
      </c>
    </row>
    <row r="3004" spans="2:4">
      <c r="B3004" s="2">
        <v>37700</v>
      </c>
      <c r="C3004" t="s">
        <v>3</v>
      </c>
      <c r="D3004">
        <v>111.437703</v>
      </c>
    </row>
    <row r="3005" spans="2:4">
      <c r="B3005" s="2">
        <v>37699</v>
      </c>
      <c r="C3005" t="s">
        <v>3</v>
      </c>
      <c r="D3005">
        <v>110.06690020000001</v>
      </c>
    </row>
    <row r="3006" spans="2:4">
      <c r="B3006" s="2">
        <v>37698</v>
      </c>
      <c r="C3006" t="s">
        <v>3</v>
      </c>
      <c r="D3006">
        <v>108.91154160000001</v>
      </c>
    </row>
    <row r="3007" spans="2:4">
      <c r="B3007" s="2">
        <v>37697</v>
      </c>
      <c r="C3007" t="s">
        <v>3</v>
      </c>
      <c r="D3007">
        <v>108.8417292</v>
      </c>
    </row>
    <row r="3008" spans="2:4">
      <c r="B3008" s="2">
        <v>37694</v>
      </c>
      <c r="C3008" t="s">
        <v>3</v>
      </c>
      <c r="D3008">
        <v>108.11218</v>
      </c>
    </row>
    <row r="3009" spans="2:4">
      <c r="B3009" s="2">
        <v>37693</v>
      </c>
      <c r="C3009" t="s">
        <v>3</v>
      </c>
      <c r="D3009">
        <v>109.44627680000001</v>
      </c>
    </row>
    <row r="3010" spans="2:4">
      <c r="B3010" s="2">
        <v>37692</v>
      </c>
      <c r="C3010" t="s">
        <v>3</v>
      </c>
      <c r="D3010">
        <v>109.211872</v>
      </c>
    </row>
    <row r="3011" spans="2:4">
      <c r="B3011" s="2">
        <v>37691</v>
      </c>
      <c r="C3011" t="s">
        <v>3</v>
      </c>
      <c r="D3011">
        <v>109.37092</v>
      </c>
    </row>
    <row r="3012" spans="2:4">
      <c r="B3012" s="2">
        <v>37690</v>
      </c>
      <c r="C3012" t="s">
        <v>3</v>
      </c>
      <c r="D3012">
        <v>110.09517750000001</v>
      </c>
    </row>
    <row r="3013" spans="2:4">
      <c r="B3013" s="2">
        <v>37687</v>
      </c>
      <c r="C3013" t="s">
        <v>3</v>
      </c>
      <c r="D3013">
        <v>109.3672016</v>
      </c>
    </row>
    <row r="3014" spans="2:4">
      <c r="B3014" s="2">
        <v>37686</v>
      </c>
      <c r="C3014" t="s">
        <v>3</v>
      </c>
      <c r="D3014">
        <v>109.0724424</v>
      </c>
    </row>
    <row r="3015" spans="2:4">
      <c r="B3015" s="2">
        <v>37685</v>
      </c>
      <c r="C3015" t="s">
        <v>3</v>
      </c>
      <c r="D3015">
        <v>108.02710500000001</v>
      </c>
    </row>
    <row r="3016" spans="2:4">
      <c r="B3016" s="2">
        <v>37684</v>
      </c>
      <c r="C3016" t="s">
        <v>3</v>
      </c>
      <c r="D3016">
        <v>108.0520025</v>
      </c>
    </row>
    <row r="3017" spans="2:4">
      <c r="B3017" s="2">
        <v>37683</v>
      </c>
      <c r="C3017" t="s">
        <v>3</v>
      </c>
      <c r="D3017">
        <v>107.77695869999999</v>
      </c>
    </row>
    <row r="3018" spans="2:4">
      <c r="B3018" s="2">
        <v>37680</v>
      </c>
      <c r="C3018" t="s">
        <v>3</v>
      </c>
      <c r="D3018">
        <v>106.416663</v>
      </c>
    </row>
    <row r="3019" spans="2:4">
      <c r="B3019" s="2">
        <v>37679</v>
      </c>
      <c r="C3019" t="s">
        <v>3</v>
      </c>
      <c r="D3019">
        <v>106.4778</v>
      </c>
    </row>
    <row r="3020" spans="2:4">
      <c r="B3020" s="2">
        <v>37678</v>
      </c>
      <c r="C3020" t="s">
        <v>3</v>
      </c>
      <c r="D3020">
        <v>106.807877</v>
      </c>
    </row>
    <row r="3021" spans="2:4">
      <c r="B3021" s="2">
        <v>37677</v>
      </c>
      <c r="C3021" t="s">
        <v>3</v>
      </c>
      <c r="D3021">
        <v>105.616225</v>
      </c>
    </row>
    <row r="3022" spans="2:4">
      <c r="B3022" s="2">
        <v>37676</v>
      </c>
      <c r="C3022" t="s">
        <v>3</v>
      </c>
      <c r="D3022">
        <v>104.82688</v>
      </c>
    </row>
    <row r="3023" spans="2:4">
      <c r="B3023" s="2">
        <v>37673</v>
      </c>
      <c r="C3023" t="s">
        <v>3</v>
      </c>
      <c r="D3023">
        <v>105.41210239999999</v>
      </c>
    </row>
    <row r="3024" spans="2:4">
      <c r="B3024" s="2">
        <v>37672</v>
      </c>
      <c r="C3024" t="s">
        <v>3</v>
      </c>
      <c r="D3024">
        <v>104.570582</v>
      </c>
    </row>
    <row r="3025" spans="2:4">
      <c r="B3025" s="2">
        <v>37671</v>
      </c>
      <c r="C3025" t="s">
        <v>3</v>
      </c>
      <c r="D3025">
        <v>104.71648</v>
      </c>
    </row>
    <row r="3026" spans="2:4">
      <c r="B3026" s="2">
        <v>37670</v>
      </c>
      <c r="C3026" t="s">
        <v>3</v>
      </c>
      <c r="D3026">
        <v>105.42525000000001</v>
      </c>
    </row>
    <row r="3027" spans="2:4">
      <c r="B3027" s="2">
        <v>37666</v>
      </c>
      <c r="C3027" t="s">
        <v>3</v>
      </c>
      <c r="D3027">
        <v>106.57328</v>
      </c>
    </row>
    <row r="3028" spans="2:4">
      <c r="B3028" s="2">
        <v>37665</v>
      </c>
      <c r="C3028" t="s">
        <v>3</v>
      </c>
      <c r="D3028">
        <v>105.22512</v>
      </c>
    </row>
    <row r="3029" spans="2:4">
      <c r="B3029" s="2">
        <v>37664</v>
      </c>
      <c r="C3029" t="s">
        <v>3</v>
      </c>
      <c r="D3029">
        <v>105.22575000000001</v>
      </c>
    </row>
    <row r="3030" spans="2:4">
      <c r="B3030" s="2">
        <v>37663</v>
      </c>
      <c r="C3030" t="s">
        <v>3</v>
      </c>
      <c r="D3030">
        <v>105.26775000000001</v>
      </c>
    </row>
    <row r="3031" spans="2:4">
      <c r="B3031" s="2">
        <v>37662</v>
      </c>
      <c r="C3031" t="s">
        <v>3</v>
      </c>
      <c r="D3031">
        <v>104.97593999999999</v>
      </c>
    </row>
    <row r="3032" spans="2:4">
      <c r="B3032" s="2">
        <v>37659</v>
      </c>
      <c r="C3032" t="s">
        <v>3</v>
      </c>
      <c r="D3032">
        <v>104.83725</v>
      </c>
    </row>
    <row r="3033" spans="2:4">
      <c r="B3033" s="2">
        <v>37658</v>
      </c>
      <c r="C3033" t="s">
        <v>3</v>
      </c>
      <c r="D3033">
        <v>105.27088000000001</v>
      </c>
    </row>
    <row r="3034" spans="2:4">
      <c r="B3034" s="2">
        <v>37657</v>
      </c>
      <c r="C3034" t="s">
        <v>3</v>
      </c>
      <c r="D3034">
        <v>105.85925</v>
      </c>
    </row>
    <row r="3035" spans="2:4">
      <c r="B3035" s="2">
        <v>37656</v>
      </c>
      <c r="C3035" t="s">
        <v>3</v>
      </c>
      <c r="D3035">
        <v>105.81413999999999</v>
      </c>
    </row>
    <row r="3036" spans="2:4">
      <c r="B3036" s="2">
        <v>37655</v>
      </c>
      <c r="C3036" t="s">
        <v>3</v>
      </c>
      <c r="D3036">
        <v>105.58275</v>
      </c>
    </row>
    <row r="3037" spans="2:4">
      <c r="B3037" s="2">
        <v>37652</v>
      </c>
      <c r="C3037" t="s">
        <v>3</v>
      </c>
      <c r="D3037">
        <v>106.4448</v>
      </c>
    </row>
    <row r="3038" spans="2:4">
      <c r="B3038" s="2">
        <v>37651</v>
      </c>
      <c r="C3038" t="s">
        <v>3</v>
      </c>
      <c r="D3038">
        <v>106.76864</v>
      </c>
    </row>
    <row r="3039" spans="2:4">
      <c r="B3039" s="2">
        <v>37650</v>
      </c>
      <c r="C3039" t="s">
        <v>3</v>
      </c>
      <c r="D3039">
        <v>108.04816</v>
      </c>
    </row>
    <row r="3040" spans="2:4">
      <c r="B3040" s="2">
        <v>37649</v>
      </c>
      <c r="C3040" t="s">
        <v>3</v>
      </c>
      <c r="D3040">
        <v>108.09213</v>
      </c>
    </row>
    <row r="3041" spans="2:4">
      <c r="B3041" s="2">
        <v>37648</v>
      </c>
      <c r="C3041" t="s">
        <v>3</v>
      </c>
      <c r="D3041">
        <v>107.33535999999999</v>
      </c>
    </row>
    <row r="3042" spans="2:4">
      <c r="B3042" s="2">
        <v>37645</v>
      </c>
      <c r="C3042" t="s">
        <v>3</v>
      </c>
      <c r="D3042">
        <v>106.09984</v>
      </c>
    </row>
    <row r="3043" spans="2:4">
      <c r="B3043" s="2">
        <v>37644</v>
      </c>
      <c r="C3043" t="s">
        <v>3</v>
      </c>
      <c r="D3043">
        <v>106.8672</v>
      </c>
    </row>
    <row r="3044" spans="2:4">
      <c r="B3044" s="2">
        <v>37643</v>
      </c>
      <c r="C3044" t="s">
        <v>3</v>
      </c>
      <c r="D3044">
        <v>106.37088</v>
      </c>
    </row>
    <row r="3045" spans="2:4">
      <c r="B3045" s="2">
        <v>37642</v>
      </c>
      <c r="C3045" t="s">
        <v>3</v>
      </c>
      <c r="D3045">
        <v>106.5925</v>
      </c>
    </row>
    <row r="3046" spans="2:4">
      <c r="B3046" s="2">
        <v>37638</v>
      </c>
      <c r="C3046" t="s">
        <v>3</v>
      </c>
      <c r="D3046">
        <v>107.35899999999999</v>
      </c>
    </row>
    <row r="3047" spans="2:4">
      <c r="B3047" s="2">
        <v>37637</v>
      </c>
      <c r="C3047" t="s">
        <v>3</v>
      </c>
      <c r="D3047">
        <v>107.41194</v>
      </c>
    </row>
    <row r="3048" spans="2:4">
      <c r="B3048" s="2">
        <v>37636</v>
      </c>
      <c r="C3048" t="s">
        <v>3</v>
      </c>
      <c r="D3048">
        <v>107.6538</v>
      </c>
    </row>
    <row r="3049" spans="2:4">
      <c r="B3049" s="2">
        <v>37635</v>
      </c>
      <c r="C3049" t="s">
        <v>3</v>
      </c>
      <c r="D3049">
        <v>108.58575</v>
      </c>
    </row>
    <row r="3050" spans="2:4">
      <c r="B3050" s="2">
        <v>37634</v>
      </c>
      <c r="C3050" t="s">
        <v>3</v>
      </c>
      <c r="D3050">
        <v>109.319</v>
      </c>
    </row>
    <row r="3051" spans="2:4">
      <c r="B3051" s="2">
        <v>37631</v>
      </c>
      <c r="C3051" t="s">
        <v>3</v>
      </c>
      <c r="D3051">
        <v>109.711</v>
      </c>
    </row>
    <row r="3052" spans="2:4">
      <c r="B3052" s="2">
        <v>37630</v>
      </c>
      <c r="C3052" t="s">
        <v>3</v>
      </c>
      <c r="D3052">
        <v>109.44674999999999</v>
      </c>
    </row>
    <row r="3053" spans="2:4">
      <c r="B3053" s="2">
        <v>37629</v>
      </c>
      <c r="C3053" t="s">
        <v>3</v>
      </c>
      <c r="D3053">
        <v>108.50702</v>
      </c>
    </row>
    <row r="3054" spans="2:4">
      <c r="B3054" s="2">
        <v>37628</v>
      </c>
      <c r="C3054" t="s">
        <v>3</v>
      </c>
      <c r="D3054">
        <v>109.29022000000001</v>
      </c>
    </row>
    <row r="3055" spans="2:4">
      <c r="B3055" s="2">
        <v>37627</v>
      </c>
      <c r="C3055" t="s">
        <v>3</v>
      </c>
      <c r="D3055">
        <v>109.6269774</v>
      </c>
    </row>
    <row r="3056" spans="2:4">
      <c r="B3056" s="2">
        <v>37624</v>
      </c>
      <c r="C3056" t="s">
        <v>3</v>
      </c>
      <c r="D3056">
        <v>108.37376</v>
      </c>
    </row>
    <row r="3057" spans="2:4">
      <c r="B3057" s="2">
        <v>37623</v>
      </c>
      <c r="C3057" t="s">
        <v>3</v>
      </c>
      <c r="D3057">
        <v>108.42128</v>
      </c>
    </row>
    <row r="3058" spans="2:4">
      <c r="B3058" s="2">
        <v>37621</v>
      </c>
      <c r="C3058" t="s">
        <v>3</v>
      </c>
      <c r="D3058">
        <v>108.05519</v>
      </c>
    </row>
    <row r="3059" spans="2:4">
      <c r="B3059" s="2">
        <v>37620</v>
      </c>
      <c r="C3059" t="s">
        <v>3</v>
      </c>
      <c r="D3059">
        <v>107.12666</v>
      </c>
    </row>
    <row r="3060" spans="2:4">
      <c r="B3060" s="2">
        <v>37617</v>
      </c>
      <c r="C3060" t="s">
        <v>3</v>
      </c>
      <c r="D3060">
        <v>106.9902</v>
      </c>
    </row>
    <row r="3061" spans="2:4">
      <c r="B3061" s="2">
        <v>37616</v>
      </c>
      <c r="C3061" t="s">
        <v>3</v>
      </c>
      <c r="D3061">
        <v>108.05692999999999</v>
      </c>
    </row>
    <row r="3062" spans="2:4">
      <c r="B3062" s="2">
        <v>37614</v>
      </c>
      <c r="C3062" t="s">
        <v>3</v>
      </c>
      <c r="D3062">
        <v>107.60278</v>
      </c>
    </row>
    <row r="3063" spans="2:4">
      <c r="B3063" s="2">
        <v>37613</v>
      </c>
      <c r="C3063" t="s">
        <v>3</v>
      </c>
      <c r="D3063">
        <v>108.35216</v>
      </c>
    </row>
    <row r="3064" spans="2:4">
      <c r="B3064" s="2">
        <v>37610</v>
      </c>
      <c r="C3064" t="s">
        <v>3</v>
      </c>
      <c r="D3064">
        <v>108.1083</v>
      </c>
    </row>
    <row r="3065" spans="2:4">
      <c r="B3065" s="2">
        <v>37609</v>
      </c>
      <c r="C3065" t="s">
        <v>3</v>
      </c>
      <c r="D3065">
        <v>108.90897</v>
      </c>
    </row>
    <row r="3066" spans="2:4">
      <c r="B3066" s="2">
        <v>37608</v>
      </c>
      <c r="C3066" t="s">
        <v>3</v>
      </c>
      <c r="D3066">
        <v>109.41786</v>
      </c>
    </row>
    <row r="3067" spans="2:4">
      <c r="B3067" s="2">
        <v>37607</v>
      </c>
      <c r="C3067" t="s">
        <v>3</v>
      </c>
      <c r="D3067">
        <v>108.93049999999999</v>
      </c>
    </row>
    <row r="3068" spans="2:4">
      <c r="B3068" s="2">
        <v>37606</v>
      </c>
      <c r="C3068" t="s">
        <v>3</v>
      </c>
      <c r="D3068">
        <v>106.52616</v>
      </c>
    </row>
    <row r="3069" spans="2:4">
      <c r="B3069" s="2">
        <v>37603</v>
      </c>
      <c r="C3069" t="s">
        <v>3</v>
      </c>
      <c r="D3069">
        <v>105.94168000000001</v>
      </c>
    </row>
    <row r="3070" spans="2:4">
      <c r="B3070" s="2">
        <v>37602</v>
      </c>
      <c r="C3070" t="s">
        <v>3</v>
      </c>
      <c r="D3070">
        <v>106.86896</v>
      </c>
    </row>
    <row r="3071" spans="2:4">
      <c r="B3071" s="2">
        <v>37601</v>
      </c>
      <c r="C3071" t="s">
        <v>3</v>
      </c>
      <c r="D3071">
        <v>108.8712</v>
      </c>
    </row>
    <row r="3072" spans="2:4">
      <c r="B3072" s="2">
        <v>37600</v>
      </c>
      <c r="C3072" t="s">
        <v>3</v>
      </c>
      <c r="D3072">
        <v>110.47516</v>
      </c>
    </row>
    <row r="3073" spans="2:4">
      <c r="B3073" s="2">
        <v>37599</v>
      </c>
      <c r="C3073" t="s">
        <v>3</v>
      </c>
      <c r="D3073">
        <v>111.3112</v>
      </c>
    </row>
    <row r="3074" spans="2:4">
      <c r="B3074" s="2">
        <v>37596</v>
      </c>
      <c r="C3074" t="s">
        <v>3</v>
      </c>
      <c r="D3074">
        <v>112.2212</v>
      </c>
    </row>
    <row r="3075" spans="2:4">
      <c r="B3075" s="2">
        <v>37595</v>
      </c>
      <c r="C3075" t="s">
        <v>3</v>
      </c>
      <c r="D3075">
        <v>111.65518</v>
      </c>
    </row>
    <row r="3076" spans="2:4">
      <c r="B3076" s="2">
        <v>37594</v>
      </c>
      <c r="C3076" t="s">
        <v>3</v>
      </c>
      <c r="D3076">
        <v>111.6</v>
      </c>
    </row>
    <row r="3077" spans="2:4">
      <c r="B3077" s="2">
        <v>37593</v>
      </c>
      <c r="C3077" t="s">
        <v>3</v>
      </c>
      <c r="D3077">
        <v>112.392</v>
      </c>
    </row>
    <row r="3078" spans="2:4">
      <c r="B3078" s="2">
        <v>37592</v>
      </c>
      <c r="C3078" t="s">
        <v>3</v>
      </c>
      <c r="D3078">
        <v>110.69998</v>
      </c>
    </row>
    <row r="3079" spans="2:4">
      <c r="B3079" s="2">
        <v>37589</v>
      </c>
      <c r="C3079" t="s">
        <v>3</v>
      </c>
      <c r="D3079">
        <v>109.11018</v>
      </c>
    </row>
    <row r="3080" spans="2:4">
      <c r="B3080" s="2">
        <v>37587</v>
      </c>
      <c r="C3080" t="s">
        <v>3</v>
      </c>
      <c r="D3080">
        <v>109.46165999999999</v>
      </c>
    </row>
    <row r="3081" spans="2:4">
      <c r="B3081" s="2">
        <v>37586</v>
      </c>
      <c r="C3081" t="s">
        <v>3</v>
      </c>
      <c r="D3081">
        <v>106.63068</v>
      </c>
    </row>
    <row r="3082" spans="2:4">
      <c r="B3082" s="2">
        <v>37585</v>
      </c>
      <c r="C3082" t="s">
        <v>3</v>
      </c>
      <c r="D3082">
        <v>110.41614</v>
      </c>
    </row>
    <row r="3083" spans="2:4">
      <c r="B3083" s="2">
        <v>37582</v>
      </c>
      <c r="C3083" t="s">
        <v>3</v>
      </c>
      <c r="D3083">
        <v>110.8317</v>
      </c>
    </row>
    <row r="3084" spans="2:4">
      <c r="B3084" s="2">
        <v>37581</v>
      </c>
      <c r="C3084" t="s">
        <v>3</v>
      </c>
      <c r="D3084">
        <v>111.2796</v>
      </c>
    </row>
    <row r="3085" spans="2:4">
      <c r="B3085" s="2">
        <v>37580</v>
      </c>
      <c r="C3085" t="s">
        <v>3</v>
      </c>
      <c r="D3085">
        <v>110.65978</v>
      </c>
    </row>
    <row r="3086" spans="2:4">
      <c r="B3086" s="2">
        <v>37579</v>
      </c>
      <c r="C3086" t="s">
        <v>3</v>
      </c>
      <c r="D3086">
        <v>109.62264999999999</v>
      </c>
    </row>
    <row r="3087" spans="2:4">
      <c r="B3087" s="2">
        <v>37578</v>
      </c>
      <c r="C3087" t="s">
        <v>3</v>
      </c>
      <c r="D3087">
        <v>108.7135</v>
      </c>
    </row>
    <row r="3088" spans="2:4">
      <c r="B3088" s="2">
        <v>37575</v>
      </c>
      <c r="C3088" t="s">
        <v>3</v>
      </c>
      <c r="D3088">
        <v>106.73754</v>
      </c>
    </row>
    <row r="3089" spans="2:4">
      <c r="B3089" s="2">
        <v>37574</v>
      </c>
      <c r="C3089" t="s">
        <v>3</v>
      </c>
      <c r="D3089">
        <v>106.37168</v>
      </c>
    </row>
    <row r="3090" spans="2:4">
      <c r="B3090" s="2">
        <v>37573</v>
      </c>
      <c r="C3090" t="s">
        <v>3</v>
      </c>
      <c r="D3090">
        <v>104.99825</v>
      </c>
    </row>
    <row r="3091" spans="2:4">
      <c r="B3091" s="2">
        <v>37572</v>
      </c>
      <c r="C3091" t="s">
        <v>3</v>
      </c>
      <c r="D3091">
        <v>104.39478</v>
      </c>
    </row>
    <row r="3092" spans="2:4">
      <c r="B3092" s="2">
        <v>37568</v>
      </c>
      <c r="C3092" t="s">
        <v>3</v>
      </c>
      <c r="D3092">
        <v>106.17564</v>
      </c>
    </row>
    <row r="3093" spans="2:4">
      <c r="B3093" s="2">
        <v>37567</v>
      </c>
      <c r="C3093" t="s">
        <v>3</v>
      </c>
      <c r="D3093">
        <v>107.29128</v>
      </c>
    </row>
    <row r="3094" spans="2:4">
      <c r="B3094" s="2">
        <v>37566</v>
      </c>
      <c r="C3094" t="s">
        <v>3</v>
      </c>
      <c r="D3094">
        <v>107.74596</v>
      </c>
    </row>
    <row r="3095" spans="2:4">
      <c r="B3095" s="2">
        <v>37565</v>
      </c>
      <c r="C3095" t="s">
        <v>3</v>
      </c>
      <c r="D3095">
        <v>110.98068000000001</v>
      </c>
    </row>
    <row r="3096" spans="2:4">
      <c r="B3096" s="2">
        <v>37564</v>
      </c>
      <c r="C3096" t="s">
        <v>3</v>
      </c>
      <c r="D3096">
        <v>111.56464</v>
      </c>
    </row>
    <row r="3097" spans="2:4">
      <c r="B3097" s="2">
        <v>37561</v>
      </c>
      <c r="C3097" t="s">
        <v>3</v>
      </c>
      <c r="D3097">
        <v>113.6754</v>
      </c>
    </row>
    <row r="3098" spans="2:4">
      <c r="B3098" s="2">
        <v>37560</v>
      </c>
      <c r="C3098" t="s">
        <v>3</v>
      </c>
      <c r="D3098">
        <v>115.50968</v>
      </c>
    </row>
    <row r="3099" spans="2:4">
      <c r="B3099" s="2">
        <v>37559</v>
      </c>
      <c r="C3099" t="s">
        <v>3</v>
      </c>
      <c r="D3099">
        <v>116.61105000000001</v>
      </c>
    </row>
    <row r="3100" spans="2:4">
      <c r="B3100" s="2">
        <v>37558</v>
      </c>
      <c r="C3100" t="s">
        <v>3</v>
      </c>
      <c r="D3100">
        <v>115.05888</v>
      </c>
    </row>
    <row r="3101" spans="2:4">
      <c r="B3101" s="2">
        <v>37557</v>
      </c>
      <c r="C3101" t="s">
        <v>3</v>
      </c>
      <c r="D3101">
        <v>116.60028</v>
      </c>
    </row>
    <row r="3102" spans="2:4">
      <c r="B3102" s="2">
        <v>37554</v>
      </c>
      <c r="C3102" t="s">
        <v>3</v>
      </c>
      <c r="D3102">
        <v>116.15742</v>
      </c>
    </row>
    <row r="3103" spans="2:4">
      <c r="B3103" s="2">
        <v>37553</v>
      </c>
      <c r="C3103" t="s">
        <v>3</v>
      </c>
      <c r="D3103">
        <v>116.41911</v>
      </c>
    </row>
    <row r="3104" spans="2:4">
      <c r="B3104" s="2">
        <v>37552</v>
      </c>
      <c r="C3104" t="s">
        <v>3</v>
      </c>
      <c r="D3104">
        <v>117.55198</v>
      </c>
    </row>
    <row r="3105" spans="2:4">
      <c r="B3105" s="2">
        <v>37551</v>
      </c>
      <c r="C3105" t="s">
        <v>3</v>
      </c>
      <c r="D3105">
        <v>118.50165</v>
      </c>
    </row>
    <row r="3106" spans="2:4">
      <c r="B3106" s="2">
        <v>37550</v>
      </c>
      <c r="C3106" t="s">
        <v>3</v>
      </c>
      <c r="D3106">
        <v>114.99854999999999</v>
      </c>
    </row>
    <row r="3107" spans="2:4">
      <c r="B3107" s="2">
        <v>37547</v>
      </c>
      <c r="C3107" t="s">
        <v>3</v>
      </c>
      <c r="D3107">
        <v>115.87560000000001</v>
      </c>
    </row>
    <row r="3108" spans="2:4">
      <c r="B3108" s="2">
        <v>37546</v>
      </c>
      <c r="C3108" t="s">
        <v>3</v>
      </c>
      <c r="D3108">
        <v>114.57299999999999</v>
      </c>
    </row>
    <row r="3109" spans="2:4">
      <c r="B3109" s="2">
        <v>37545</v>
      </c>
      <c r="C3109" t="s">
        <v>3</v>
      </c>
      <c r="D3109">
        <v>114.36336</v>
      </c>
    </row>
    <row r="3110" spans="2:4">
      <c r="B3110" s="2">
        <v>37544</v>
      </c>
      <c r="C3110" t="s">
        <v>3</v>
      </c>
      <c r="D3110">
        <v>113.84264</v>
      </c>
    </row>
    <row r="3111" spans="2:4">
      <c r="B3111" s="2">
        <v>37540</v>
      </c>
      <c r="C3111" t="s">
        <v>3</v>
      </c>
      <c r="D3111">
        <v>115.14243999999999</v>
      </c>
    </row>
    <row r="3112" spans="2:4">
      <c r="B3112" s="2">
        <v>37539</v>
      </c>
      <c r="C3112" t="s">
        <v>3</v>
      </c>
      <c r="D3112">
        <v>114.62076999999999</v>
      </c>
    </row>
    <row r="3113" spans="2:4">
      <c r="B3113" s="2">
        <v>37538</v>
      </c>
      <c r="C3113" t="s">
        <v>3</v>
      </c>
      <c r="D3113">
        <v>118.49312999999999</v>
      </c>
    </row>
    <row r="3114" spans="2:4">
      <c r="B3114" s="2">
        <v>37537</v>
      </c>
      <c r="C3114" t="s">
        <v>3</v>
      </c>
      <c r="D3114">
        <v>119.63784</v>
      </c>
    </row>
    <row r="3115" spans="2:4">
      <c r="B3115" s="2">
        <v>37536</v>
      </c>
      <c r="C3115" t="s">
        <v>3</v>
      </c>
      <c r="D3115">
        <v>121.08886</v>
      </c>
    </row>
    <row r="3116" spans="2:4">
      <c r="B3116" s="2">
        <v>37533</v>
      </c>
      <c r="C3116" t="s">
        <v>3</v>
      </c>
      <c r="D3116">
        <v>122.96751999999999</v>
      </c>
    </row>
    <row r="3117" spans="2:4">
      <c r="B3117" s="2">
        <v>37532</v>
      </c>
      <c r="C3117" t="s">
        <v>3</v>
      </c>
      <c r="D3117">
        <v>122.92176000000001</v>
      </c>
    </row>
    <row r="3118" spans="2:4">
      <c r="B3118" s="2">
        <v>37531</v>
      </c>
      <c r="C3118" t="s">
        <v>3</v>
      </c>
      <c r="D3118">
        <v>123.7131</v>
      </c>
    </row>
    <row r="3119" spans="2:4">
      <c r="B3119" s="2">
        <v>37530</v>
      </c>
      <c r="C3119" t="s">
        <v>3</v>
      </c>
      <c r="D3119">
        <v>124.80861</v>
      </c>
    </row>
    <row r="3120" spans="2:4">
      <c r="B3120" s="2">
        <v>37529</v>
      </c>
      <c r="C3120" t="s">
        <v>3</v>
      </c>
      <c r="D3120">
        <v>125.9255</v>
      </c>
    </row>
    <row r="3121" spans="2:4">
      <c r="B3121" s="2">
        <v>37526</v>
      </c>
      <c r="C3121" t="s">
        <v>3</v>
      </c>
      <c r="D3121">
        <v>124.60074</v>
      </c>
    </row>
    <row r="3122" spans="2:4">
      <c r="B3122" s="2">
        <v>37525</v>
      </c>
      <c r="C3122" t="s">
        <v>3</v>
      </c>
      <c r="D3122">
        <v>124.68834</v>
      </c>
    </row>
    <row r="3123" spans="2:4">
      <c r="B3123" s="2">
        <v>37524</v>
      </c>
      <c r="C3123" t="s">
        <v>3</v>
      </c>
      <c r="D3123">
        <v>124.51532</v>
      </c>
    </row>
    <row r="3124" spans="2:4">
      <c r="B3124" s="2">
        <v>37523</v>
      </c>
      <c r="C3124" t="s">
        <v>3</v>
      </c>
      <c r="D3124">
        <v>125.48520000000001</v>
      </c>
    </row>
    <row r="3125" spans="2:4">
      <c r="B3125" s="2">
        <v>37522</v>
      </c>
      <c r="C3125" t="s">
        <v>3</v>
      </c>
      <c r="D3125">
        <v>126.5817</v>
      </c>
    </row>
    <row r="3126" spans="2:4">
      <c r="B3126" s="2">
        <v>37519</v>
      </c>
      <c r="C3126" t="s">
        <v>3</v>
      </c>
      <c r="D3126">
        <v>123.3981</v>
      </c>
    </row>
    <row r="3127" spans="2:4">
      <c r="B3127" s="2">
        <v>37518</v>
      </c>
      <c r="C3127" t="s">
        <v>3</v>
      </c>
      <c r="D3127">
        <v>122.40479999999999</v>
      </c>
    </row>
    <row r="3128" spans="2:4">
      <c r="B3128" s="2">
        <v>37517</v>
      </c>
      <c r="C3128" t="s">
        <v>3</v>
      </c>
      <c r="D3128">
        <v>119.66231999999999</v>
      </c>
    </row>
    <row r="3129" spans="2:4">
      <c r="B3129" s="2">
        <v>37516</v>
      </c>
      <c r="C3129" t="s">
        <v>3</v>
      </c>
      <c r="D3129">
        <v>118.19626</v>
      </c>
    </row>
    <row r="3130" spans="2:4">
      <c r="B3130" s="2">
        <v>37515</v>
      </c>
      <c r="C3130" t="s">
        <v>3</v>
      </c>
      <c r="D3130">
        <v>116.94633</v>
      </c>
    </row>
    <row r="3131" spans="2:4">
      <c r="B3131" s="2">
        <v>37512</v>
      </c>
      <c r="C3131" t="s">
        <v>3</v>
      </c>
      <c r="D3131">
        <v>117.446848</v>
      </c>
    </row>
    <row r="3132" spans="2:4">
      <c r="B3132" s="2">
        <v>37511</v>
      </c>
      <c r="C3132" t="s">
        <v>3</v>
      </c>
      <c r="D3132">
        <v>117.50261999999999</v>
      </c>
    </row>
    <row r="3133" spans="2:4">
      <c r="B3133" s="2">
        <v>37510</v>
      </c>
      <c r="C3133" t="s">
        <v>3</v>
      </c>
      <c r="D3133">
        <v>117.97722</v>
      </c>
    </row>
    <row r="3134" spans="2:4">
      <c r="B3134" s="2">
        <v>37509</v>
      </c>
      <c r="C3134" t="s">
        <v>3</v>
      </c>
      <c r="D3134">
        <v>117.87555</v>
      </c>
    </row>
    <row r="3135" spans="2:4">
      <c r="B3135" s="2">
        <v>37508</v>
      </c>
      <c r="C3135" t="s">
        <v>3</v>
      </c>
      <c r="D3135">
        <v>117.63929</v>
      </c>
    </row>
    <row r="3136" spans="2:4">
      <c r="B3136" s="2">
        <v>37505</v>
      </c>
      <c r="C3136" t="s">
        <v>3</v>
      </c>
      <c r="D3136">
        <v>117.48480000000001</v>
      </c>
    </row>
    <row r="3137" spans="2:4">
      <c r="B3137" s="2">
        <v>37504</v>
      </c>
      <c r="C3137" t="s">
        <v>3</v>
      </c>
      <c r="D3137">
        <v>116.57295000000001</v>
      </c>
    </row>
    <row r="3138" spans="2:4">
      <c r="B3138" s="2">
        <v>37503</v>
      </c>
      <c r="C3138" t="s">
        <v>3</v>
      </c>
      <c r="D3138">
        <v>116.571</v>
      </c>
    </row>
    <row r="3139" spans="2:4">
      <c r="B3139" s="2">
        <v>37502</v>
      </c>
      <c r="C3139" t="s">
        <v>3</v>
      </c>
      <c r="D3139">
        <v>117.68232</v>
      </c>
    </row>
    <row r="3140" spans="2:4">
      <c r="B3140" s="2">
        <v>37498</v>
      </c>
      <c r="C3140" t="s">
        <v>3</v>
      </c>
      <c r="D3140">
        <v>117.10401</v>
      </c>
    </row>
    <row r="3141" spans="2:4">
      <c r="B3141" s="2">
        <v>37497</v>
      </c>
      <c r="C3141" t="s">
        <v>3</v>
      </c>
      <c r="D3141">
        <v>117.73813</v>
      </c>
    </row>
    <row r="3142" spans="2:4">
      <c r="B3142" s="2">
        <v>37496</v>
      </c>
      <c r="C3142" t="s">
        <v>3</v>
      </c>
      <c r="D3142">
        <v>117.32742</v>
      </c>
    </row>
    <row r="3143" spans="2:4">
      <c r="B3143" s="2">
        <v>37495</v>
      </c>
      <c r="C3143" t="s">
        <v>3</v>
      </c>
      <c r="D3143">
        <v>118.26327999999999</v>
      </c>
    </row>
    <row r="3144" spans="2:4">
      <c r="B3144" s="2">
        <v>37494</v>
      </c>
      <c r="C3144" t="s">
        <v>3</v>
      </c>
      <c r="D3144">
        <v>117.2034</v>
      </c>
    </row>
    <row r="3145" spans="2:4">
      <c r="B3145" s="2">
        <v>37491</v>
      </c>
      <c r="C3145" t="s">
        <v>3</v>
      </c>
      <c r="D3145">
        <v>116.69347999999999</v>
      </c>
    </row>
    <row r="3146" spans="2:4">
      <c r="B3146" s="2">
        <v>37490</v>
      </c>
      <c r="C3146" t="s">
        <v>3</v>
      </c>
      <c r="D3146">
        <v>117.8661</v>
      </c>
    </row>
    <row r="3147" spans="2:4">
      <c r="B3147" s="2">
        <v>37489</v>
      </c>
      <c r="C3147" t="s">
        <v>3</v>
      </c>
      <c r="D3147">
        <v>118.7328</v>
      </c>
    </row>
    <row r="3148" spans="2:4">
      <c r="B3148" s="2">
        <v>37488</v>
      </c>
      <c r="C3148" t="s">
        <v>3</v>
      </c>
      <c r="D3148">
        <v>116.9868</v>
      </c>
    </row>
    <row r="3149" spans="2:4">
      <c r="B3149" s="2">
        <v>37487</v>
      </c>
      <c r="C3149" t="s">
        <v>3</v>
      </c>
      <c r="D3149">
        <v>117.55014</v>
      </c>
    </row>
    <row r="3150" spans="2:4">
      <c r="B3150" s="2">
        <v>37484</v>
      </c>
      <c r="C3150" t="s">
        <v>3</v>
      </c>
      <c r="D3150">
        <v>120.02067</v>
      </c>
    </row>
    <row r="3151" spans="2:4">
      <c r="B3151" s="2">
        <v>37483</v>
      </c>
      <c r="C3151" t="s">
        <v>3</v>
      </c>
      <c r="D3151">
        <v>121.12939</v>
      </c>
    </row>
    <row r="3152" spans="2:4">
      <c r="B3152" s="2">
        <v>37482</v>
      </c>
      <c r="C3152" t="s">
        <v>3</v>
      </c>
      <c r="D3152">
        <v>118.51125999999999</v>
      </c>
    </row>
    <row r="3153" spans="2:4">
      <c r="B3153" s="2">
        <v>37481</v>
      </c>
      <c r="C3153" t="s">
        <v>3</v>
      </c>
      <c r="D3153">
        <v>115.87455</v>
      </c>
    </row>
    <row r="3154" spans="2:4">
      <c r="B3154" s="2">
        <v>37480</v>
      </c>
      <c r="C3154" t="s">
        <v>3</v>
      </c>
      <c r="D3154">
        <v>116.3724</v>
      </c>
    </row>
    <row r="3155" spans="2:4">
      <c r="B3155" s="2">
        <v>37477</v>
      </c>
      <c r="C3155" t="s">
        <v>3</v>
      </c>
      <c r="D3155">
        <v>115.16306</v>
      </c>
    </row>
    <row r="3156" spans="2:4">
      <c r="B3156" s="2">
        <v>37476</v>
      </c>
      <c r="C3156" t="s">
        <v>3</v>
      </c>
      <c r="D3156">
        <v>116.89953</v>
      </c>
    </row>
    <row r="3157" spans="2:4">
      <c r="B3157" s="2">
        <v>37475</v>
      </c>
      <c r="C3157" t="s">
        <v>3</v>
      </c>
      <c r="D3157">
        <v>119.84472</v>
      </c>
    </row>
    <row r="3158" spans="2:4">
      <c r="B3158" s="2">
        <v>37474</v>
      </c>
      <c r="C3158" t="s">
        <v>3</v>
      </c>
      <c r="D3158">
        <v>117.19309</v>
      </c>
    </row>
    <row r="3159" spans="2:4">
      <c r="B3159" s="2">
        <v>37473</v>
      </c>
      <c r="C3159" t="s">
        <v>3</v>
      </c>
      <c r="D3159">
        <v>117.53014</v>
      </c>
    </row>
    <row r="3160" spans="2:4">
      <c r="B3160" s="2">
        <v>37470</v>
      </c>
      <c r="C3160" t="s">
        <v>3</v>
      </c>
      <c r="D3160">
        <v>115.634</v>
      </c>
    </row>
    <row r="3161" spans="2:4">
      <c r="B3161" s="2">
        <v>37469</v>
      </c>
      <c r="C3161" t="s">
        <v>3</v>
      </c>
      <c r="D3161">
        <v>114.8875</v>
      </c>
    </row>
    <row r="3162" spans="2:4">
      <c r="B3162" s="2">
        <v>37468</v>
      </c>
      <c r="C3162" t="s">
        <v>3</v>
      </c>
      <c r="D3162">
        <v>114.6921</v>
      </c>
    </row>
    <row r="3163" spans="2:4">
      <c r="B3163" s="2">
        <v>37467</v>
      </c>
      <c r="C3163" t="s">
        <v>3</v>
      </c>
      <c r="D3163">
        <v>114.99404</v>
      </c>
    </row>
    <row r="3164" spans="2:4">
      <c r="B3164" s="2">
        <v>37466</v>
      </c>
      <c r="C3164" t="s">
        <v>3</v>
      </c>
      <c r="D3164">
        <v>115.70413000000001</v>
      </c>
    </row>
    <row r="3165" spans="2:4">
      <c r="B3165" s="2">
        <v>37463</v>
      </c>
      <c r="C3165" t="s">
        <v>3</v>
      </c>
      <c r="D3165">
        <v>116.41821</v>
      </c>
    </row>
    <row r="3166" spans="2:4">
      <c r="B3166" s="2">
        <v>37462</v>
      </c>
      <c r="C3166" t="s">
        <v>3</v>
      </c>
      <c r="D3166">
        <v>115.13496000000001</v>
      </c>
    </row>
    <row r="3167" spans="2:4">
      <c r="B3167" s="2">
        <v>37461</v>
      </c>
      <c r="C3167" t="s">
        <v>3</v>
      </c>
      <c r="D3167">
        <v>114.9346</v>
      </c>
    </row>
    <row r="3168" spans="2:4">
      <c r="B3168" s="2">
        <v>37460</v>
      </c>
      <c r="C3168" t="s">
        <v>3</v>
      </c>
      <c r="D3168">
        <v>113.67294</v>
      </c>
    </row>
    <row r="3169" spans="2:4">
      <c r="B3169" s="2">
        <v>37459</v>
      </c>
      <c r="C3169" t="s">
        <v>3</v>
      </c>
      <c r="D3169">
        <v>111.3687</v>
      </c>
    </row>
    <row r="3170" spans="2:4">
      <c r="B3170" s="2">
        <v>37456</v>
      </c>
      <c r="C3170" t="s">
        <v>3</v>
      </c>
      <c r="D3170">
        <v>111.36484</v>
      </c>
    </row>
    <row r="3171" spans="2:4">
      <c r="B3171" s="2">
        <v>37455</v>
      </c>
      <c r="C3171" t="s">
        <v>3</v>
      </c>
      <c r="D3171">
        <v>111.68181</v>
      </c>
    </row>
    <row r="3172" spans="2:4">
      <c r="B3172" s="2">
        <v>37454</v>
      </c>
      <c r="C3172" t="s">
        <v>3</v>
      </c>
      <c r="D3172">
        <v>113.02119999999999</v>
      </c>
    </row>
    <row r="3173" spans="2:4">
      <c r="B3173" s="2">
        <v>37453</v>
      </c>
      <c r="C3173" t="s">
        <v>3</v>
      </c>
      <c r="D3173">
        <v>114.04679</v>
      </c>
    </row>
    <row r="3174" spans="2:4">
      <c r="B3174" s="2">
        <v>37452</v>
      </c>
      <c r="C3174" t="s">
        <v>3</v>
      </c>
      <c r="D3174">
        <v>117.75498</v>
      </c>
    </row>
    <row r="3175" spans="2:4">
      <c r="B3175" s="2">
        <v>37449</v>
      </c>
      <c r="C3175" t="s">
        <v>3</v>
      </c>
      <c r="D3175">
        <v>115.71992</v>
      </c>
    </row>
    <row r="3176" spans="2:4">
      <c r="B3176" s="2">
        <v>37448</v>
      </c>
      <c r="C3176" t="s">
        <v>3</v>
      </c>
      <c r="D3176">
        <v>116.2296</v>
      </c>
    </row>
    <row r="3177" spans="2:4">
      <c r="B3177" s="2">
        <v>37447</v>
      </c>
      <c r="C3177" t="s">
        <v>3</v>
      </c>
      <c r="D3177">
        <v>115.53498</v>
      </c>
    </row>
    <row r="3178" spans="2:4">
      <c r="B3178" s="2">
        <v>37446</v>
      </c>
      <c r="C3178" t="s">
        <v>3</v>
      </c>
      <c r="D3178">
        <v>114.82529</v>
      </c>
    </row>
    <row r="3179" spans="2:4">
      <c r="B3179" s="2">
        <v>37445</v>
      </c>
      <c r="C3179" t="s">
        <v>3</v>
      </c>
      <c r="D3179">
        <v>113.8167</v>
      </c>
    </row>
    <row r="3180" spans="2:4">
      <c r="B3180" s="2">
        <v>37442</v>
      </c>
      <c r="C3180" t="s">
        <v>3</v>
      </c>
      <c r="D3180">
        <v>113.69813000000001</v>
      </c>
    </row>
    <row r="3181" spans="2:4">
      <c r="B3181" s="2">
        <v>37440</v>
      </c>
      <c r="C3181" t="s">
        <v>3</v>
      </c>
      <c r="D3181">
        <v>113.75564</v>
      </c>
    </row>
    <row r="3182" spans="2:4">
      <c r="B3182" s="2">
        <v>37439</v>
      </c>
      <c r="C3182" t="s">
        <v>3</v>
      </c>
      <c r="D3182">
        <v>113.42883999999999</v>
      </c>
    </row>
    <row r="3183" spans="2:4">
      <c r="B3183" s="2">
        <v>37438</v>
      </c>
      <c r="C3183" t="s">
        <v>3</v>
      </c>
      <c r="D3183">
        <v>111.29715</v>
      </c>
    </row>
    <row r="3184" spans="2:4">
      <c r="B3184" s="2">
        <v>37435</v>
      </c>
      <c r="C3184" t="s">
        <v>3</v>
      </c>
      <c r="D3184">
        <v>111.9216</v>
      </c>
    </row>
    <row r="3185" spans="2:4">
      <c r="B3185" s="2">
        <v>37434</v>
      </c>
      <c r="C3185" t="s">
        <v>3</v>
      </c>
      <c r="D3185">
        <v>112.7542</v>
      </c>
    </row>
    <row r="3186" spans="2:4">
      <c r="B3186" s="2">
        <v>37433</v>
      </c>
      <c r="C3186" t="s">
        <v>3</v>
      </c>
      <c r="D3186">
        <v>114.55136</v>
      </c>
    </row>
    <row r="3187" spans="2:4">
      <c r="B3187" s="2">
        <v>37432</v>
      </c>
      <c r="C3187" t="s">
        <v>3</v>
      </c>
      <c r="D3187">
        <v>112.89530000000001</v>
      </c>
    </row>
    <row r="3188" spans="2:4">
      <c r="B3188" s="2">
        <v>37431</v>
      </c>
      <c r="C3188" t="s">
        <v>3</v>
      </c>
      <c r="D3188">
        <v>113.08914</v>
      </c>
    </row>
    <row r="3189" spans="2:4">
      <c r="B3189" s="2">
        <v>37428</v>
      </c>
      <c r="C3189" t="s">
        <v>3</v>
      </c>
      <c r="D3189">
        <v>112.24032</v>
      </c>
    </row>
    <row r="3190" spans="2:4">
      <c r="B3190" s="2">
        <v>37427</v>
      </c>
      <c r="C3190" t="s">
        <v>3</v>
      </c>
      <c r="D3190">
        <v>112.35129999999999</v>
      </c>
    </row>
    <row r="3191" spans="2:4">
      <c r="B3191" s="2">
        <v>37426</v>
      </c>
      <c r="C3191" t="s">
        <v>3</v>
      </c>
      <c r="D3191">
        <v>111.27141</v>
      </c>
    </row>
    <row r="3192" spans="2:4">
      <c r="B3192" s="2">
        <v>37425</v>
      </c>
      <c r="C3192" t="s">
        <v>3</v>
      </c>
      <c r="D3192">
        <v>110.47466</v>
      </c>
    </row>
    <row r="3193" spans="2:4">
      <c r="B3193" s="2">
        <v>37424</v>
      </c>
      <c r="C3193" t="s">
        <v>3</v>
      </c>
      <c r="D3193">
        <v>110.46304000000001</v>
      </c>
    </row>
    <row r="3194" spans="2:4">
      <c r="B3194" s="2">
        <v>37421</v>
      </c>
      <c r="C3194" t="s">
        <v>3</v>
      </c>
      <c r="D3194">
        <v>109.14167999999999</v>
      </c>
    </row>
    <row r="3195" spans="2:4">
      <c r="B3195" s="2">
        <v>37420</v>
      </c>
      <c r="C3195" t="s">
        <v>3</v>
      </c>
      <c r="D3195">
        <v>108.32616</v>
      </c>
    </row>
    <row r="3196" spans="2:4">
      <c r="B3196" s="2">
        <v>37419</v>
      </c>
      <c r="C3196" t="s">
        <v>3</v>
      </c>
      <c r="D3196">
        <v>107.75328</v>
      </c>
    </row>
    <row r="3197" spans="2:4">
      <c r="B3197" s="2">
        <v>37418</v>
      </c>
      <c r="C3197" t="s">
        <v>3</v>
      </c>
      <c r="D3197">
        <v>107.14533</v>
      </c>
    </row>
    <row r="3198" spans="2:4">
      <c r="B3198" s="2">
        <v>37417</v>
      </c>
      <c r="C3198" t="s">
        <v>3</v>
      </c>
      <c r="D3198">
        <v>107.28281</v>
      </c>
    </row>
    <row r="3199" spans="2:4">
      <c r="B3199" s="2">
        <v>37414</v>
      </c>
      <c r="C3199" t="s">
        <v>3</v>
      </c>
      <c r="D3199">
        <v>108.02070999999999</v>
      </c>
    </row>
    <row r="3200" spans="2:4">
      <c r="B3200" s="2">
        <v>37413</v>
      </c>
      <c r="C3200" t="s">
        <v>3</v>
      </c>
      <c r="D3200">
        <v>107.97530999999999</v>
      </c>
    </row>
    <row r="3201" spans="2:4">
      <c r="B3201" s="2">
        <v>37412</v>
      </c>
      <c r="C3201" t="s">
        <v>3</v>
      </c>
      <c r="D3201">
        <v>108.28695</v>
      </c>
    </row>
    <row r="3202" spans="2:4">
      <c r="B3202" s="2">
        <v>37411</v>
      </c>
      <c r="C3202" t="s">
        <v>3</v>
      </c>
      <c r="D3202">
        <v>109.67076</v>
      </c>
    </row>
    <row r="3203" spans="2:4">
      <c r="B3203" s="2">
        <v>37410</v>
      </c>
      <c r="C3203" t="s">
        <v>3</v>
      </c>
      <c r="D3203">
        <v>108.44159999999999</v>
      </c>
    </row>
    <row r="3204" spans="2:4">
      <c r="B3204" s="2">
        <v>37407</v>
      </c>
      <c r="C3204" t="s">
        <v>3</v>
      </c>
      <c r="D3204">
        <v>108.4064</v>
      </c>
    </row>
    <row r="3205" spans="2:4">
      <c r="B3205" s="2">
        <v>37406</v>
      </c>
      <c r="C3205" t="s">
        <v>3</v>
      </c>
      <c r="D3205">
        <v>108.88591</v>
      </c>
    </row>
    <row r="3206" spans="2:4">
      <c r="B3206" s="2">
        <v>37405</v>
      </c>
      <c r="C3206" t="s">
        <v>3</v>
      </c>
      <c r="D3206">
        <v>107.13822</v>
      </c>
    </row>
    <row r="3207" spans="2:4">
      <c r="B3207" s="2">
        <v>37404</v>
      </c>
      <c r="C3207" t="s">
        <v>3</v>
      </c>
      <c r="D3207">
        <v>106.71648</v>
      </c>
    </row>
    <row r="3208" spans="2:4">
      <c r="B3208" s="2">
        <v>37400</v>
      </c>
      <c r="C3208" t="s">
        <v>3</v>
      </c>
      <c r="D3208">
        <v>107.72555</v>
      </c>
    </row>
    <row r="3209" spans="2:4">
      <c r="B3209" s="2">
        <v>37399</v>
      </c>
      <c r="C3209" t="s">
        <v>3</v>
      </c>
      <c r="D3209">
        <v>108.80828</v>
      </c>
    </row>
    <row r="3210" spans="2:4">
      <c r="B3210" s="2">
        <v>37398</v>
      </c>
      <c r="C3210" t="s">
        <v>3</v>
      </c>
      <c r="D3210">
        <v>108.53976</v>
      </c>
    </row>
    <row r="3211" spans="2:4">
      <c r="B3211" s="2">
        <v>37397</v>
      </c>
      <c r="C3211" t="s">
        <v>3</v>
      </c>
      <c r="D3211">
        <v>108.85299000000001</v>
      </c>
    </row>
    <row r="3212" spans="2:4">
      <c r="B3212" s="2">
        <v>37396</v>
      </c>
      <c r="C3212" t="s">
        <v>3</v>
      </c>
      <c r="D3212">
        <v>108.73402</v>
      </c>
    </row>
    <row r="3213" spans="2:4">
      <c r="B3213" s="2">
        <v>37393</v>
      </c>
      <c r="C3213" t="s">
        <v>3</v>
      </c>
      <c r="D3213">
        <v>107.7343</v>
      </c>
    </row>
    <row r="3214" spans="2:4">
      <c r="B3214" s="2">
        <v>37392</v>
      </c>
      <c r="C3214" t="s">
        <v>3</v>
      </c>
      <c r="D3214">
        <v>107.77415999999999</v>
      </c>
    </row>
    <row r="3215" spans="2:4">
      <c r="B3215" s="2">
        <v>37391</v>
      </c>
      <c r="C3215" t="s">
        <v>3</v>
      </c>
      <c r="D3215">
        <v>110.59404000000001</v>
      </c>
    </row>
    <row r="3216" spans="2:4">
      <c r="B3216" s="2">
        <v>37390</v>
      </c>
      <c r="C3216" t="s">
        <v>3</v>
      </c>
      <c r="D3216">
        <v>113.16024</v>
      </c>
    </row>
    <row r="3217" spans="2:4">
      <c r="B3217" s="2">
        <v>37389</v>
      </c>
      <c r="C3217" t="s">
        <v>3</v>
      </c>
      <c r="D3217">
        <v>113.80288</v>
      </c>
    </row>
    <row r="3218" spans="2:4">
      <c r="B3218" s="2">
        <v>37386</v>
      </c>
      <c r="C3218" t="s">
        <v>3</v>
      </c>
      <c r="D3218">
        <v>112.23175999999999</v>
      </c>
    </row>
    <row r="3219" spans="2:4">
      <c r="B3219" s="2">
        <v>37385</v>
      </c>
      <c r="C3219" t="s">
        <v>3</v>
      </c>
      <c r="D3219">
        <v>112.4876</v>
      </c>
    </row>
    <row r="3220" spans="2:4">
      <c r="B3220" s="2">
        <v>37384</v>
      </c>
      <c r="C3220" t="s">
        <v>3</v>
      </c>
      <c r="D3220">
        <v>112.26461999999999</v>
      </c>
    </row>
    <row r="3221" spans="2:4">
      <c r="B3221" s="2">
        <v>37383</v>
      </c>
      <c r="C3221" t="s">
        <v>3</v>
      </c>
      <c r="D3221">
        <v>110.51139999999999</v>
      </c>
    </row>
    <row r="3222" spans="2:4">
      <c r="B3222" s="2">
        <v>37382</v>
      </c>
      <c r="C3222" t="s">
        <v>3</v>
      </c>
      <c r="D3222">
        <v>109.05678</v>
      </c>
    </row>
    <row r="3223" spans="2:4">
      <c r="B3223" s="2">
        <v>37379</v>
      </c>
      <c r="C3223" t="s">
        <v>3</v>
      </c>
      <c r="D3223">
        <v>108.73764</v>
      </c>
    </row>
    <row r="3224" spans="2:4">
      <c r="B3224" s="2">
        <v>37378</v>
      </c>
      <c r="C3224" t="s">
        <v>3</v>
      </c>
      <c r="D3224">
        <v>108.78931</v>
      </c>
    </row>
    <row r="3225" spans="2:4">
      <c r="B3225" s="2">
        <v>37377</v>
      </c>
      <c r="C3225" t="s">
        <v>3</v>
      </c>
      <c r="D3225">
        <v>108.83925000000001</v>
      </c>
    </row>
    <row r="3226" spans="2:4">
      <c r="B3226" s="2">
        <v>37376</v>
      </c>
      <c r="C3226" t="s">
        <v>3</v>
      </c>
      <c r="D3226">
        <v>107.21847</v>
      </c>
    </row>
    <row r="3227" spans="2:4">
      <c r="B3227" s="2">
        <v>37375</v>
      </c>
      <c r="C3227" t="s">
        <v>3</v>
      </c>
      <c r="D3227">
        <v>108.21858</v>
      </c>
    </row>
    <row r="3228" spans="2:4">
      <c r="B3228" s="2">
        <v>37372</v>
      </c>
      <c r="C3228" t="s">
        <v>3</v>
      </c>
      <c r="D3228">
        <v>106.83011999999999</v>
      </c>
    </row>
    <row r="3229" spans="2:4">
      <c r="B3229" s="2">
        <v>37371</v>
      </c>
      <c r="C3229" t="s">
        <v>3</v>
      </c>
      <c r="D3229">
        <v>106.60928</v>
      </c>
    </row>
    <row r="3230" spans="2:4">
      <c r="B3230" s="2">
        <v>37370</v>
      </c>
      <c r="C3230" t="s">
        <v>3</v>
      </c>
      <c r="D3230">
        <v>105.47315999999999</v>
      </c>
    </row>
    <row r="3231" spans="2:4">
      <c r="B3231" s="2">
        <v>37369</v>
      </c>
      <c r="C3231" t="s">
        <v>3</v>
      </c>
      <c r="D3231">
        <v>105.20356</v>
      </c>
    </row>
    <row r="3232" spans="2:4">
      <c r="B3232" s="2">
        <v>37368</v>
      </c>
      <c r="C3232" t="s">
        <v>3</v>
      </c>
      <c r="D3232">
        <v>105.42686</v>
      </c>
    </row>
    <row r="3233" spans="2:4">
      <c r="B3233" s="2">
        <v>37365</v>
      </c>
      <c r="C3233" t="s">
        <v>3</v>
      </c>
      <c r="D3233">
        <v>106.30312000000001</v>
      </c>
    </row>
    <row r="3234" spans="2:4">
      <c r="B3234" s="2">
        <v>37364</v>
      </c>
      <c r="C3234" t="s">
        <v>3</v>
      </c>
      <c r="D3234">
        <v>106.23555</v>
      </c>
    </row>
    <row r="3235" spans="2:4">
      <c r="B3235" s="2">
        <v>37363</v>
      </c>
      <c r="C3235" t="s">
        <v>3</v>
      </c>
      <c r="D3235">
        <v>106.15904999999999</v>
      </c>
    </row>
    <row r="3236" spans="2:4">
      <c r="B3236" s="2">
        <v>37362</v>
      </c>
      <c r="C3236" t="s">
        <v>3</v>
      </c>
      <c r="D3236">
        <v>103.80042</v>
      </c>
    </row>
    <row r="3237" spans="2:4">
      <c r="B3237" s="2">
        <v>37361</v>
      </c>
      <c r="C3237" t="s">
        <v>3</v>
      </c>
      <c r="D3237">
        <v>105.03144</v>
      </c>
    </row>
    <row r="3238" spans="2:4">
      <c r="B3238" s="2">
        <v>37358</v>
      </c>
      <c r="C3238" t="s">
        <v>3</v>
      </c>
      <c r="D3238">
        <v>106.06596</v>
      </c>
    </row>
    <row r="3239" spans="2:4">
      <c r="B3239" s="2">
        <v>37357</v>
      </c>
      <c r="C3239" t="s">
        <v>3</v>
      </c>
      <c r="D3239">
        <v>107.04455</v>
      </c>
    </row>
    <row r="3240" spans="2:4">
      <c r="B3240" s="2">
        <v>37356</v>
      </c>
      <c r="C3240" t="s">
        <v>3</v>
      </c>
      <c r="D3240">
        <v>107.76948</v>
      </c>
    </row>
    <row r="3241" spans="2:4">
      <c r="B3241" s="2">
        <v>37355</v>
      </c>
      <c r="C3241" t="s">
        <v>3</v>
      </c>
      <c r="D3241">
        <v>106.6741</v>
      </c>
    </row>
    <row r="3242" spans="2:4">
      <c r="B3242" s="2">
        <v>37354</v>
      </c>
      <c r="C3242" t="s">
        <v>3</v>
      </c>
      <c r="D3242">
        <v>107.1515</v>
      </c>
    </row>
    <row r="3243" spans="2:4">
      <c r="B3243" s="2">
        <v>37351</v>
      </c>
      <c r="C3243" t="s">
        <v>3</v>
      </c>
      <c r="D3243">
        <v>106.38424999999999</v>
      </c>
    </row>
    <row r="3244" spans="2:4">
      <c r="B3244" s="2">
        <v>37350</v>
      </c>
      <c r="C3244" t="s">
        <v>3</v>
      </c>
      <c r="D3244">
        <v>107.18715</v>
      </c>
    </row>
    <row r="3245" spans="2:4">
      <c r="B3245" s="2">
        <v>37349</v>
      </c>
      <c r="C3245" t="s">
        <v>3</v>
      </c>
      <c r="D3245">
        <v>106.36713</v>
      </c>
    </row>
    <row r="3246" spans="2:4">
      <c r="B3246" s="2">
        <v>37348</v>
      </c>
      <c r="C3246" t="s">
        <v>3</v>
      </c>
      <c r="D3246">
        <v>107.1459</v>
      </c>
    </row>
    <row r="3247" spans="2:4">
      <c r="B3247" s="2">
        <v>37347</v>
      </c>
      <c r="C3247" t="s">
        <v>3</v>
      </c>
      <c r="D3247">
        <v>109.08128000000001</v>
      </c>
    </row>
    <row r="3248" spans="2:4">
      <c r="B3248" s="2">
        <v>37343</v>
      </c>
      <c r="C3248" t="s">
        <v>3</v>
      </c>
      <c r="D3248">
        <v>108.22608</v>
      </c>
    </row>
    <row r="3249" spans="2:4">
      <c r="B3249" s="2">
        <v>37342</v>
      </c>
      <c r="C3249" t="s">
        <v>3</v>
      </c>
      <c r="D3249">
        <v>107.5844</v>
      </c>
    </row>
    <row r="3250" spans="2:4">
      <c r="B3250" s="2">
        <v>37341</v>
      </c>
      <c r="C3250" t="s">
        <v>3</v>
      </c>
      <c r="D3250">
        <v>106.64252999999999</v>
      </c>
    </row>
    <row r="3251" spans="2:4">
      <c r="B3251" s="2">
        <v>37340</v>
      </c>
      <c r="C3251" t="s">
        <v>3</v>
      </c>
      <c r="D3251">
        <v>106.79976000000001</v>
      </c>
    </row>
    <row r="3252" spans="2:4">
      <c r="B3252" s="2">
        <v>37337</v>
      </c>
      <c r="C3252" t="s">
        <v>3</v>
      </c>
      <c r="D3252">
        <v>106.99128</v>
      </c>
    </row>
    <row r="3253" spans="2:4">
      <c r="B3253" s="2">
        <v>37336</v>
      </c>
      <c r="C3253" t="s">
        <v>3</v>
      </c>
      <c r="D3253">
        <v>107.07487999999999</v>
      </c>
    </row>
    <row r="3254" spans="2:4">
      <c r="B3254" s="2">
        <v>37335</v>
      </c>
      <c r="C3254" t="s">
        <v>3</v>
      </c>
      <c r="D3254">
        <v>107.90631999999999</v>
      </c>
    </row>
    <row r="3255" spans="2:4">
      <c r="B3255" s="2">
        <v>37334</v>
      </c>
      <c r="C3255" t="s">
        <v>3</v>
      </c>
      <c r="D3255">
        <v>106.21944000000001</v>
      </c>
    </row>
    <row r="3256" spans="2:4">
      <c r="B3256" s="2">
        <v>37333</v>
      </c>
      <c r="C3256" t="s">
        <v>3</v>
      </c>
      <c r="D3256">
        <v>104.33874</v>
      </c>
    </row>
    <row r="3257" spans="2:4">
      <c r="B3257" s="2">
        <v>37330</v>
      </c>
      <c r="C3257" t="s">
        <v>3</v>
      </c>
      <c r="D3257">
        <v>104.12009999999999</v>
      </c>
    </row>
    <row r="3258" spans="2:4">
      <c r="B3258" s="2">
        <v>37329</v>
      </c>
      <c r="C3258" t="s">
        <v>3</v>
      </c>
      <c r="D3258">
        <v>106.2122</v>
      </c>
    </row>
    <row r="3259" spans="2:4">
      <c r="B3259" s="2">
        <v>37328</v>
      </c>
      <c r="C3259" t="s">
        <v>3</v>
      </c>
      <c r="D3259">
        <v>105.867</v>
      </c>
    </row>
    <row r="3260" spans="2:4">
      <c r="B3260" s="2">
        <v>37327</v>
      </c>
      <c r="C3260" t="s">
        <v>3</v>
      </c>
      <c r="D3260">
        <v>104.50132000000001</v>
      </c>
    </row>
    <row r="3261" spans="2:4">
      <c r="B3261" s="2">
        <v>37326</v>
      </c>
      <c r="C3261" t="s">
        <v>3</v>
      </c>
      <c r="D3261">
        <v>104.07599999999999</v>
      </c>
    </row>
    <row r="3262" spans="2:4">
      <c r="B3262" s="2">
        <v>37323</v>
      </c>
      <c r="C3262" t="s">
        <v>3</v>
      </c>
      <c r="D3262">
        <v>105.54564000000001</v>
      </c>
    </row>
    <row r="3263" spans="2:4">
      <c r="B3263" s="2">
        <v>37322</v>
      </c>
      <c r="C3263" t="s">
        <v>3</v>
      </c>
      <c r="D3263">
        <v>107.92628000000001</v>
      </c>
    </row>
    <row r="3264" spans="2:4">
      <c r="B3264" s="2">
        <v>37321</v>
      </c>
      <c r="C3264" t="s">
        <v>3</v>
      </c>
      <c r="D3264">
        <v>106.94580000000001</v>
      </c>
    </row>
    <row r="3265" spans="2:4">
      <c r="B3265" s="2">
        <v>37320</v>
      </c>
      <c r="C3265" t="s">
        <v>3</v>
      </c>
      <c r="D3265">
        <v>108.7792</v>
      </c>
    </row>
    <row r="3266" spans="2:4">
      <c r="B3266" s="2">
        <v>37319</v>
      </c>
      <c r="C3266" t="s">
        <v>3</v>
      </c>
      <c r="D3266">
        <v>109.46550999999999</v>
      </c>
    </row>
    <row r="3267" spans="2:4">
      <c r="B3267" s="2">
        <v>37316</v>
      </c>
      <c r="C3267" t="s">
        <v>3</v>
      </c>
      <c r="D3267">
        <v>109.88946</v>
      </c>
    </row>
    <row r="3268" spans="2:4">
      <c r="B3268" s="2">
        <v>37315</v>
      </c>
      <c r="C3268" t="s">
        <v>3</v>
      </c>
      <c r="D3268">
        <v>107.25337</v>
      </c>
    </row>
    <row r="3269" spans="2:4">
      <c r="B3269" s="2">
        <v>37314</v>
      </c>
      <c r="C3269" t="s">
        <v>3</v>
      </c>
      <c r="D3269">
        <v>106.93600000000001</v>
      </c>
    </row>
    <row r="3270" spans="2:4">
      <c r="B3270" s="2">
        <v>37313</v>
      </c>
      <c r="C3270" t="s">
        <v>3</v>
      </c>
      <c r="D3270">
        <v>110.13084000000001</v>
      </c>
    </row>
    <row r="3271" spans="2:4">
      <c r="B3271" s="2">
        <v>37312</v>
      </c>
      <c r="C3271" t="s">
        <v>3</v>
      </c>
      <c r="D3271">
        <v>110.8899</v>
      </c>
    </row>
    <row r="3272" spans="2:4">
      <c r="B3272" s="2">
        <v>37309</v>
      </c>
      <c r="C3272" t="s">
        <v>3</v>
      </c>
      <c r="D3272">
        <v>111.18514</v>
      </c>
    </row>
    <row r="3273" spans="2:4">
      <c r="B3273" s="2">
        <v>37308</v>
      </c>
      <c r="C3273" t="s">
        <v>3</v>
      </c>
      <c r="D3273">
        <v>110.33428000000001</v>
      </c>
    </row>
    <row r="3274" spans="2:4">
      <c r="B3274" s="2">
        <v>37307</v>
      </c>
      <c r="C3274" t="s">
        <v>3</v>
      </c>
      <c r="D3274">
        <v>108.54137</v>
      </c>
    </row>
    <row r="3275" spans="2:4">
      <c r="B3275" s="2">
        <v>37306</v>
      </c>
      <c r="C3275" t="s">
        <v>3</v>
      </c>
      <c r="D3275">
        <v>110.15866</v>
      </c>
    </row>
    <row r="3276" spans="2:4">
      <c r="B3276" s="2">
        <v>37302</v>
      </c>
      <c r="C3276" t="s">
        <v>3</v>
      </c>
      <c r="D3276">
        <v>109.48384</v>
      </c>
    </row>
    <row r="3277" spans="2:4">
      <c r="B3277" s="2">
        <v>37301</v>
      </c>
      <c r="C3277" t="s">
        <v>3</v>
      </c>
      <c r="D3277">
        <v>109.67803000000001</v>
      </c>
    </row>
    <row r="3278" spans="2:4">
      <c r="B3278" s="2">
        <v>37300</v>
      </c>
      <c r="C3278" t="s">
        <v>3</v>
      </c>
      <c r="D3278">
        <v>113.46885</v>
      </c>
    </row>
    <row r="3279" spans="2:4">
      <c r="B3279" s="2">
        <v>37299</v>
      </c>
      <c r="C3279" t="s">
        <v>3</v>
      </c>
      <c r="D3279">
        <v>115.06801</v>
      </c>
    </row>
    <row r="3280" spans="2:4">
      <c r="B3280" s="2">
        <v>37298</v>
      </c>
      <c r="C3280" t="s">
        <v>3</v>
      </c>
      <c r="D3280">
        <v>114.65664</v>
      </c>
    </row>
    <row r="3281" spans="2:4">
      <c r="B3281" s="2">
        <v>37295</v>
      </c>
      <c r="C3281" t="s">
        <v>3</v>
      </c>
      <c r="D3281">
        <v>115.39658</v>
      </c>
    </row>
    <row r="3282" spans="2:4">
      <c r="B3282" s="2">
        <v>37294</v>
      </c>
      <c r="C3282" t="s">
        <v>3</v>
      </c>
      <c r="D3282">
        <v>114.37997</v>
      </c>
    </row>
    <row r="3283" spans="2:4">
      <c r="B3283" s="2">
        <v>37293</v>
      </c>
      <c r="C3283" t="s">
        <v>3</v>
      </c>
      <c r="D3283">
        <v>114.51215999999999</v>
      </c>
    </row>
    <row r="3284" spans="2:4">
      <c r="B3284" s="2">
        <v>37292</v>
      </c>
      <c r="C3284" t="s">
        <v>3</v>
      </c>
      <c r="D3284">
        <v>114.39440999999999</v>
      </c>
    </row>
    <row r="3285" spans="2:4">
      <c r="B3285" s="2">
        <v>37291</v>
      </c>
      <c r="C3285" t="s">
        <v>3</v>
      </c>
      <c r="D3285">
        <v>114.325</v>
      </c>
    </row>
    <row r="3286" spans="2:4">
      <c r="B3286" s="2">
        <v>37288</v>
      </c>
      <c r="C3286" t="s">
        <v>3</v>
      </c>
      <c r="D3286">
        <v>112.068</v>
      </c>
    </row>
    <row r="3287" spans="2:4">
      <c r="B3287" s="2">
        <v>37287</v>
      </c>
      <c r="C3287" t="s">
        <v>3</v>
      </c>
      <c r="D3287">
        <v>113.84056</v>
      </c>
    </row>
    <row r="3288" spans="2:4">
      <c r="B3288" s="2">
        <v>37286</v>
      </c>
      <c r="C3288" t="s">
        <v>3</v>
      </c>
      <c r="D3288">
        <v>114.62304</v>
      </c>
    </row>
    <row r="3289" spans="2:4">
      <c r="B3289" s="2">
        <v>37285</v>
      </c>
      <c r="C3289" t="s">
        <v>3</v>
      </c>
      <c r="D3289">
        <v>116.61857999999999</v>
      </c>
    </row>
    <row r="3290" spans="2:4">
      <c r="B3290" s="2">
        <v>37284</v>
      </c>
      <c r="C3290" t="s">
        <v>3</v>
      </c>
      <c r="D3290">
        <v>114.30200000000001</v>
      </c>
    </row>
    <row r="3291" spans="2:4">
      <c r="B3291" s="2">
        <v>37281</v>
      </c>
      <c r="C3291" t="s">
        <v>3</v>
      </c>
      <c r="D3291">
        <v>113.69007999999999</v>
      </c>
    </row>
    <row r="3292" spans="2:4">
      <c r="B3292" s="2">
        <v>37280</v>
      </c>
      <c r="C3292" t="s">
        <v>3</v>
      </c>
      <c r="D3292">
        <v>120.14991999999999</v>
      </c>
    </row>
    <row r="3293" spans="2:4">
      <c r="B3293" s="2">
        <v>37279</v>
      </c>
      <c r="C3293" t="s">
        <v>3</v>
      </c>
      <c r="D3293">
        <v>123.3108</v>
      </c>
    </row>
    <row r="3294" spans="2:4">
      <c r="B3294" s="2">
        <v>37278</v>
      </c>
      <c r="C3294" t="s">
        <v>3</v>
      </c>
      <c r="D3294">
        <v>124.64190000000001</v>
      </c>
    </row>
    <row r="3295" spans="2:4">
      <c r="B3295" s="2">
        <v>37274</v>
      </c>
      <c r="C3295" t="s">
        <v>3</v>
      </c>
      <c r="D3295">
        <v>124.6086</v>
      </c>
    </row>
    <row r="3296" spans="2:4">
      <c r="B3296" s="2">
        <v>37273</v>
      </c>
      <c r="C3296" t="s">
        <v>3</v>
      </c>
      <c r="D3296">
        <v>126.13032</v>
      </c>
    </row>
    <row r="3297" spans="2:4">
      <c r="B3297" s="2">
        <v>37272</v>
      </c>
      <c r="C3297" t="s">
        <v>3</v>
      </c>
      <c r="D3297">
        <v>125.78892</v>
      </c>
    </row>
    <row r="3298" spans="2:4">
      <c r="B3298" s="2">
        <v>37271</v>
      </c>
      <c r="C3298" t="s">
        <v>3</v>
      </c>
      <c r="D3298">
        <v>124.6729</v>
      </c>
    </row>
    <row r="3299" spans="2:4">
      <c r="B3299" s="2">
        <v>37270</v>
      </c>
      <c r="C3299" t="s">
        <v>3</v>
      </c>
      <c r="D3299">
        <v>124.1683</v>
      </c>
    </row>
    <row r="3300" spans="2:4">
      <c r="B3300" s="2">
        <v>37267</v>
      </c>
      <c r="C3300" t="s">
        <v>3</v>
      </c>
      <c r="D3300">
        <v>122.72529</v>
      </c>
    </row>
    <row r="3301" spans="2:4">
      <c r="B3301" s="2">
        <v>37266</v>
      </c>
      <c r="C3301" t="s">
        <v>3</v>
      </c>
      <c r="D3301">
        <v>120.58788</v>
      </c>
    </row>
    <row r="3302" spans="2:4">
      <c r="B3302" s="2">
        <v>37265</v>
      </c>
      <c r="C3302" t="s">
        <v>3</v>
      </c>
      <c r="D3302">
        <v>121.60785</v>
      </c>
    </row>
    <row r="3303" spans="2:4">
      <c r="B3303" s="2">
        <v>37264</v>
      </c>
      <c r="C3303" t="s">
        <v>3</v>
      </c>
      <c r="D3303">
        <v>121.738375</v>
      </c>
    </row>
    <row r="3304" spans="2:4">
      <c r="B3304" s="2">
        <v>37263</v>
      </c>
      <c r="C3304" t="s">
        <v>3</v>
      </c>
      <c r="D3304">
        <v>120.5864</v>
      </c>
    </row>
    <row r="3305" spans="2:4">
      <c r="B3305" s="2">
        <v>37260</v>
      </c>
      <c r="C3305" t="s">
        <v>3</v>
      </c>
      <c r="D3305">
        <v>120.93696</v>
      </c>
    </row>
    <row r="3306" spans="2:4">
      <c r="B3306" s="2">
        <v>37259</v>
      </c>
      <c r="C3306" t="s">
        <v>3</v>
      </c>
      <c r="D3306">
        <v>121.61072</v>
      </c>
    </row>
    <row r="3307" spans="2:4">
      <c r="B3307" s="2">
        <v>37258</v>
      </c>
      <c r="C3307" t="s">
        <v>3</v>
      </c>
      <c r="D3307">
        <v>123.70707</v>
      </c>
    </row>
    <row r="3308" spans="2:4">
      <c r="B3308" s="2">
        <v>37256</v>
      </c>
      <c r="C3308" t="s">
        <v>3</v>
      </c>
      <c r="D3308">
        <v>120.505</v>
      </c>
    </row>
    <row r="3309" spans="2:4">
      <c r="B3309" s="2">
        <v>37253</v>
      </c>
      <c r="C3309" t="s">
        <v>3</v>
      </c>
      <c r="D3309">
        <v>121.877</v>
      </c>
    </row>
    <row r="3310" spans="2:4">
      <c r="B3310" s="2">
        <v>37252</v>
      </c>
      <c r="C3310" t="s">
        <v>3</v>
      </c>
      <c r="D3310">
        <v>120.7038</v>
      </c>
    </row>
    <row r="3311" spans="2:4">
      <c r="B3311" s="2">
        <v>37251</v>
      </c>
      <c r="C3311" t="s">
        <v>3</v>
      </c>
      <c r="D3311">
        <v>121.28165</v>
      </c>
    </row>
    <row r="3312" spans="2:4">
      <c r="B3312" s="2">
        <v>37249</v>
      </c>
      <c r="C3312" t="s">
        <v>3</v>
      </c>
      <c r="D3312">
        <v>120.81974</v>
      </c>
    </row>
    <row r="3313" spans="2:4">
      <c r="B3313" s="2">
        <v>37246</v>
      </c>
      <c r="C3313" t="s">
        <v>3</v>
      </c>
      <c r="D3313">
        <v>119.84748</v>
      </c>
    </row>
    <row r="3314" spans="2:4">
      <c r="B3314" s="2">
        <v>37245</v>
      </c>
      <c r="C3314" t="s">
        <v>3</v>
      </c>
      <c r="D3314">
        <v>118.18980000000001</v>
      </c>
    </row>
    <row r="3315" spans="2:4">
      <c r="B3315" s="2">
        <v>37244</v>
      </c>
      <c r="C3315" t="s">
        <v>3</v>
      </c>
      <c r="D3315">
        <v>117.58302</v>
      </c>
    </row>
    <row r="3316" spans="2:4">
      <c r="B3316" s="2">
        <v>37243</v>
      </c>
      <c r="C3316" t="s">
        <v>3</v>
      </c>
      <c r="D3316">
        <v>117.05531000000001</v>
      </c>
    </row>
    <row r="3317" spans="2:4">
      <c r="B3317" s="2">
        <v>37242</v>
      </c>
      <c r="C3317" t="s">
        <v>3</v>
      </c>
      <c r="D3317">
        <v>118.41885000000001</v>
      </c>
    </row>
    <row r="3318" spans="2:4">
      <c r="B3318" s="2">
        <v>37239</v>
      </c>
      <c r="C3318" t="s">
        <v>3</v>
      </c>
      <c r="D3318">
        <v>116.69625000000001</v>
      </c>
    </row>
    <row r="3319" spans="2:4">
      <c r="B3319" s="2">
        <v>37238</v>
      </c>
      <c r="C3319" t="s">
        <v>3</v>
      </c>
      <c r="D3319">
        <v>113.00633999999999</v>
      </c>
    </row>
    <row r="3320" spans="2:4">
      <c r="B3320" s="2">
        <v>37237</v>
      </c>
      <c r="C3320" t="s">
        <v>3</v>
      </c>
      <c r="D3320">
        <v>110.18518</v>
      </c>
    </row>
    <row r="3321" spans="2:4">
      <c r="B3321" s="2">
        <v>37236</v>
      </c>
      <c r="C3321" t="s">
        <v>3</v>
      </c>
      <c r="D3321">
        <v>112.0224</v>
      </c>
    </row>
    <row r="3322" spans="2:4">
      <c r="B3322" s="2">
        <v>37235</v>
      </c>
      <c r="C3322" t="s">
        <v>3</v>
      </c>
      <c r="D3322">
        <v>113.97024</v>
      </c>
    </row>
    <row r="3323" spans="2:4">
      <c r="B3323" s="2">
        <v>37232</v>
      </c>
      <c r="C3323" t="s">
        <v>3</v>
      </c>
      <c r="D3323">
        <v>116.60107000000001</v>
      </c>
    </row>
    <row r="3324" spans="2:4">
      <c r="B3324" s="2">
        <v>37231</v>
      </c>
      <c r="C3324" t="s">
        <v>3</v>
      </c>
      <c r="D3324">
        <v>116.85336</v>
      </c>
    </row>
    <row r="3325" spans="2:4">
      <c r="B3325" s="2">
        <v>37230</v>
      </c>
      <c r="C3325" t="s">
        <v>3</v>
      </c>
      <c r="D3325">
        <v>117.18</v>
      </c>
    </row>
    <row r="3326" spans="2:4">
      <c r="B3326" s="2">
        <v>37229</v>
      </c>
      <c r="C3326" t="s">
        <v>3</v>
      </c>
      <c r="D3326">
        <v>115.12862</v>
      </c>
    </row>
    <row r="3327" spans="2:4">
      <c r="B3327" s="2">
        <v>37228</v>
      </c>
      <c r="C3327" t="s">
        <v>3</v>
      </c>
      <c r="D3327">
        <v>116.99762</v>
      </c>
    </row>
    <row r="3328" spans="2:4">
      <c r="B3328" s="2">
        <v>37225</v>
      </c>
      <c r="C3328" t="s">
        <v>3</v>
      </c>
      <c r="D3328">
        <v>118.5624</v>
      </c>
    </row>
    <row r="3329" spans="2:4">
      <c r="B3329" s="2">
        <v>37224</v>
      </c>
      <c r="C3329" t="s">
        <v>3</v>
      </c>
      <c r="D3329">
        <v>120.72606</v>
      </c>
    </row>
    <row r="3330" spans="2:4">
      <c r="B3330" s="2">
        <v>37223</v>
      </c>
      <c r="C3330" t="s">
        <v>3</v>
      </c>
      <c r="D3330">
        <v>122.3222</v>
      </c>
    </row>
    <row r="3331" spans="2:4">
      <c r="B3331" s="2">
        <v>37222</v>
      </c>
      <c r="C3331" t="s">
        <v>3</v>
      </c>
      <c r="D3331">
        <v>120.91524</v>
      </c>
    </row>
    <row r="3332" spans="2:4">
      <c r="B3332" s="2">
        <v>37221</v>
      </c>
      <c r="C3332" t="s">
        <v>3</v>
      </c>
      <c r="D3332">
        <v>121.00936</v>
      </c>
    </row>
    <row r="3333" spans="2:4">
      <c r="B3333" s="2">
        <v>37218</v>
      </c>
      <c r="C3333" t="s">
        <v>3</v>
      </c>
      <c r="D3333">
        <v>119.64539000000001</v>
      </c>
    </row>
    <row r="3334" spans="2:4">
      <c r="B3334" s="2">
        <v>37216</v>
      </c>
      <c r="C3334" t="s">
        <v>3</v>
      </c>
      <c r="D3334">
        <v>119.50398</v>
      </c>
    </row>
    <row r="3335" spans="2:4">
      <c r="B3335" s="2">
        <v>37215</v>
      </c>
      <c r="C3335" t="s">
        <v>3</v>
      </c>
      <c r="D3335">
        <v>119.94710000000001</v>
      </c>
    </row>
    <row r="3336" spans="2:4">
      <c r="B3336" s="2">
        <v>37214</v>
      </c>
      <c r="C3336" t="s">
        <v>3</v>
      </c>
      <c r="D3336">
        <v>119.23157999999999</v>
      </c>
    </row>
    <row r="3337" spans="2:4">
      <c r="B3337" s="2">
        <v>37211</v>
      </c>
      <c r="C3337" t="s">
        <v>3</v>
      </c>
      <c r="D3337">
        <v>116.349475</v>
      </c>
    </row>
    <row r="3338" spans="2:4">
      <c r="B3338" s="2">
        <v>37210</v>
      </c>
      <c r="C3338" t="s">
        <v>3</v>
      </c>
      <c r="D3338">
        <v>111.05389</v>
      </c>
    </row>
    <row r="3339" spans="2:4">
      <c r="B3339" s="2">
        <v>37209</v>
      </c>
      <c r="C3339" t="s">
        <v>3</v>
      </c>
      <c r="D3339">
        <v>108.98976</v>
      </c>
    </row>
    <row r="3340" spans="2:4">
      <c r="B3340" s="2">
        <v>37208</v>
      </c>
      <c r="C3340" t="s">
        <v>3</v>
      </c>
      <c r="D3340">
        <v>110.80706000000001</v>
      </c>
    </row>
    <row r="3341" spans="2:4">
      <c r="B3341" s="2">
        <v>37204</v>
      </c>
      <c r="C3341" t="s">
        <v>3</v>
      </c>
      <c r="D3341">
        <v>111.82695</v>
      </c>
    </row>
    <row r="3342" spans="2:4">
      <c r="B3342" s="2">
        <v>37203</v>
      </c>
      <c r="C3342" t="s">
        <v>3</v>
      </c>
      <c r="D3342">
        <v>113.58006</v>
      </c>
    </row>
    <row r="3343" spans="2:4">
      <c r="B3343" s="2">
        <v>37202</v>
      </c>
      <c r="C3343" t="s">
        <v>3</v>
      </c>
      <c r="D3343">
        <v>112.59696</v>
      </c>
    </row>
    <row r="3344" spans="2:4">
      <c r="B3344" s="2">
        <v>37201</v>
      </c>
      <c r="C3344" t="s">
        <v>3</v>
      </c>
      <c r="D3344">
        <v>112.12665</v>
      </c>
    </row>
    <row r="3345" spans="2:4">
      <c r="B3345" s="2">
        <v>37200</v>
      </c>
      <c r="C3345" t="s">
        <v>3</v>
      </c>
      <c r="D3345">
        <v>111.94376</v>
      </c>
    </row>
    <row r="3346" spans="2:4">
      <c r="B3346" s="2">
        <v>37197</v>
      </c>
      <c r="C3346" t="s">
        <v>3</v>
      </c>
      <c r="D3346">
        <v>113.71935999999999</v>
      </c>
    </row>
    <row r="3347" spans="2:4">
      <c r="B3347" s="2">
        <v>37196</v>
      </c>
      <c r="C3347" t="s">
        <v>3</v>
      </c>
      <c r="D3347">
        <v>116.47935</v>
      </c>
    </row>
    <row r="3348" spans="2:4">
      <c r="B3348" s="2">
        <v>37195</v>
      </c>
      <c r="C3348" t="s">
        <v>3</v>
      </c>
      <c r="D3348">
        <v>114.86612</v>
      </c>
    </row>
    <row r="3349" spans="2:4">
      <c r="B3349" s="2">
        <v>37194</v>
      </c>
      <c r="C3349" t="s">
        <v>3</v>
      </c>
      <c r="D3349">
        <v>111.19328</v>
      </c>
    </row>
    <row r="3350" spans="2:4">
      <c r="B3350" s="2">
        <v>37193</v>
      </c>
      <c r="C3350" t="s">
        <v>3</v>
      </c>
      <c r="D3350">
        <v>110.65008</v>
      </c>
    </row>
    <row r="3351" spans="2:4">
      <c r="B3351" s="2">
        <v>37190</v>
      </c>
      <c r="C3351" t="s">
        <v>3</v>
      </c>
      <c r="D3351">
        <v>109.94412</v>
      </c>
    </row>
    <row r="3352" spans="2:4">
      <c r="B3352" s="2">
        <v>37189</v>
      </c>
      <c r="C3352" t="s">
        <v>3</v>
      </c>
      <c r="D3352">
        <v>109.98712</v>
      </c>
    </row>
    <row r="3353" spans="2:4">
      <c r="B3353" s="2">
        <v>37188</v>
      </c>
      <c r="C3353" t="s">
        <v>3</v>
      </c>
      <c r="D3353">
        <v>109.6279</v>
      </c>
    </row>
    <row r="3354" spans="2:4">
      <c r="B3354" s="2">
        <v>37187</v>
      </c>
      <c r="C3354" t="s">
        <v>3</v>
      </c>
      <c r="D3354">
        <v>108.80718</v>
      </c>
    </row>
    <row r="3355" spans="2:4">
      <c r="B3355" s="2">
        <v>37186</v>
      </c>
      <c r="C3355" t="s">
        <v>3</v>
      </c>
      <c r="D3355">
        <v>111.16876000000001</v>
      </c>
    </row>
    <row r="3356" spans="2:4">
      <c r="B3356" s="2">
        <v>37183</v>
      </c>
      <c r="C3356" t="s">
        <v>3</v>
      </c>
      <c r="D3356">
        <v>111.26799</v>
      </c>
    </row>
    <row r="3357" spans="2:4">
      <c r="B3357" s="2">
        <v>37182</v>
      </c>
      <c r="C3357" t="s">
        <v>3</v>
      </c>
      <c r="D3357">
        <v>110.06586</v>
      </c>
    </row>
    <row r="3358" spans="2:4">
      <c r="B3358" s="2">
        <v>37181</v>
      </c>
      <c r="C3358" t="s">
        <v>3</v>
      </c>
      <c r="D3358">
        <v>107.9148</v>
      </c>
    </row>
    <row r="3359" spans="2:4">
      <c r="B3359" s="2">
        <v>37180</v>
      </c>
      <c r="C3359" t="s">
        <v>3</v>
      </c>
      <c r="D3359">
        <v>108.5532</v>
      </c>
    </row>
    <row r="3360" spans="2:4">
      <c r="B3360" s="2">
        <v>37179</v>
      </c>
      <c r="C3360" t="s">
        <v>3</v>
      </c>
      <c r="D3360">
        <v>107.81994</v>
      </c>
    </row>
    <row r="3361" spans="2:4">
      <c r="B3361" s="2">
        <v>37176</v>
      </c>
      <c r="C3361" t="s">
        <v>3</v>
      </c>
      <c r="D3361">
        <v>107.721975</v>
      </c>
    </row>
    <row r="3362" spans="2:4">
      <c r="B3362" s="2">
        <v>37175</v>
      </c>
      <c r="C3362" t="s">
        <v>3</v>
      </c>
      <c r="D3362">
        <v>107.75304</v>
      </c>
    </row>
    <row r="3363" spans="2:4">
      <c r="B3363" s="2">
        <v>37174</v>
      </c>
      <c r="C3363" t="s">
        <v>3</v>
      </c>
      <c r="D3363">
        <v>107.15595</v>
      </c>
    </row>
    <row r="3364" spans="2:4">
      <c r="B3364" s="2">
        <v>37173</v>
      </c>
      <c r="C3364" t="s">
        <v>3</v>
      </c>
      <c r="D3364">
        <v>108.38306</v>
      </c>
    </row>
    <row r="3365" spans="2:4">
      <c r="B3365" s="2">
        <v>37169</v>
      </c>
      <c r="C3365" t="s">
        <v>3</v>
      </c>
      <c r="D3365">
        <v>108.01635</v>
      </c>
    </row>
    <row r="3366" spans="2:4">
      <c r="B3366" s="2">
        <v>37168</v>
      </c>
      <c r="C3366" t="s">
        <v>3</v>
      </c>
      <c r="D3366">
        <v>107.20684</v>
      </c>
    </row>
    <row r="3367" spans="2:4">
      <c r="B3367" s="2">
        <v>37167</v>
      </c>
      <c r="C3367" t="s">
        <v>3</v>
      </c>
      <c r="D3367">
        <v>106.977</v>
      </c>
    </row>
    <row r="3368" spans="2:4">
      <c r="B3368" s="2">
        <v>37166</v>
      </c>
      <c r="C3368" t="s">
        <v>3</v>
      </c>
      <c r="D3368">
        <v>107.63760000000001</v>
      </c>
    </row>
    <row r="3369" spans="2:4">
      <c r="B3369" s="2">
        <v>37165</v>
      </c>
      <c r="C3369" t="s">
        <v>3</v>
      </c>
      <c r="D3369">
        <v>107.35428</v>
      </c>
    </row>
    <row r="3370" spans="2:4">
      <c r="B3370" s="2">
        <v>37162</v>
      </c>
      <c r="C3370" t="s">
        <v>3</v>
      </c>
      <c r="D3370">
        <v>107.19118</v>
      </c>
    </row>
    <row r="3371" spans="2:4">
      <c r="B3371" s="2">
        <v>37161</v>
      </c>
      <c r="C3371" t="s">
        <v>3</v>
      </c>
      <c r="D3371">
        <v>107.7153</v>
      </c>
    </row>
    <row r="3372" spans="2:4">
      <c r="B3372" s="2">
        <v>37160</v>
      </c>
      <c r="C3372" t="s">
        <v>3</v>
      </c>
      <c r="D3372">
        <v>106.3648</v>
      </c>
    </row>
    <row r="3373" spans="2:4">
      <c r="B3373" s="2">
        <v>37159</v>
      </c>
      <c r="C3373" t="s">
        <v>3</v>
      </c>
      <c r="D3373">
        <v>107.08418500000001</v>
      </c>
    </row>
    <row r="3374" spans="2:4">
      <c r="B3374" s="2">
        <v>37158</v>
      </c>
      <c r="C3374" t="s">
        <v>3</v>
      </c>
      <c r="D3374">
        <v>106.62519399999999</v>
      </c>
    </row>
    <row r="3375" spans="2:4">
      <c r="B3375" s="2">
        <v>37155</v>
      </c>
      <c r="C3375" t="s">
        <v>3</v>
      </c>
      <c r="D3375">
        <v>107.896322</v>
      </c>
    </row>
    <row r="3376" spans="2:4">
      <c r="B3376" s="2">
        <v>37154</v>
      </c>
      <c r="C3376" t="s">
        <v>3</v>
      </c>
      <c r="D3376">
        <v>108.128018</v>
      </c>
    </row>
    <row r="3377" spans="2:4">
      <c r="B3377" s="2">
        <v>37153</v>
      </c>
      <c r="C3377" t="s">
        <v>3</v>
      </c>
      <c r="D3377">
        <v>107.21893300000001</v>
      </c>
    </row>
    <row r="3378" spans="2:4">
      <c r="B3378" s="2">
        <v>37152</v>
      </c>
      <c r="C3378" t="s">
        <v>3</v>
      </c>
      <c r="D3378">
        <v>107.051895</v>
      </c>
    </row>
    <row r="3379" spans="2:4">
      <c r="B3379" s="2">
        <v>37151</v>
      </c>
      <c r="C3379" t="s">
        <v>3</v>
      </c>
      <c r="D3379">
        <v>111.300695</v>
      </c>
    </row>
    <row r="3380" spans="2:4">
      <c r="B3380" s="2">
        <v>37148</v>
      </c>
      <c r="C3380" t="s">
        <v>3</v>
      </c>
      <c r="D3380">
        <v>112.27007999999999</v>
      </c>
    </row>
    <row r="3381" spans="2:4">
      <c r="B3381" s="2">
        <v>37147</v>
      </c>
      <c r="C3381" t="s">
        <v>3</v>
      </c>
      <c r="D3381">
        <v>113.87551999999999</v>
      </c>
    </row>
    <row r="3382" spans="2:4">
      <c r="B3382" s="2">
        <v>37146</v>
      </c>
      <c r="C3382" t="s">
        <v>3</v>
      </c>
      <c r="D3382">
        <v>107.6855</v>
      </c>
    </row>
    <row r="3383" spans="2:4">
      <c r="B3383" s="2">
        <v>37145</v>
      </c>
      <c r="C3383" t="s">
        <v>3</v>
      </c>
      <c r="D3383">
        <v>106.574</v>
      </c>
    </row>
    <row r="3384" spans="2:4">
      <c r="B3384" s="2">
        <v>37144</v>
      </c>
      <c r="C3384" t="s">
        <v>3</v>
      </c>
      <c r="D3384">
        <v>106.574</v>
      </c>
    </row>
    <row r="3385" spans="2:4">
      <c r="B3385" s="2">
        <v>37141</v>
      </c>
      <c r="C3385" t="s">
        <v>3</v>
      </c>
      <c r="D3385">
        <v>105.60465000000001</v>
      </c>
    </row>
    <row r="3386" spans="2:4">
      <c r="B3386" s="2">
        <v>37140</v>
      </c>
      <c r="C3386" t="s">
        <v>3</v>
      </c>
      <c r="D3386">
        <v>103.8272</v>
      </c>
    </row>
    <row r="3387" spans="2:4">
      <c r="B3387" s="2">
        <v>37139</v>
      </c>
      <c r="C3387" t="s">
        <v>3</v>
      </c>
      <c r="D3387">
        <v>103.49814499999999</v>
      </c>
    </row>
    <row r="3388" spans="2:4">
      <c r="B3388" s="2">
        <v>37138</v>
      </c>
      <c r="C3388" t="s">
        <v>3</v>
      </c>
      <c r="D3388">
        <v>101.34235</v>
      </c>
    </row>
    <row r="3389" spans="2:4">
      <c r="B3389" s="2">
        <v>37134</v>
      </c>
      <c r="C3389" t="s">
        <v>3</v>
      </c>
      <c r="D3389">
        <v>103.5936</v>
      </c>
    </row>
    <row r="3390" spans="2:4">
      <c r="B3390" s="2">
        <v>37133</v>
      </c>
      <c r="C3390" t="s">
        <v>3</v>
      </c>
      <c r="D3390">
        <v>104.97689</v>
      </c>
    </row>
    <row r="3391" spans="2:4">
      <c r="B3391" s="2">
        <v>37132</v>
      </c>
      <c r="C3391" t="s">
        <v>3</v>
      </c>
      <c r="D3391">
        <v>105.501</v>
      </c>
    </row>
    <row r="3392" spans="2:4">
      <c r="B3392" s="2">
        <v>37131</v>
      </c>
      <c r="C3392" t="s">
        <v>3</v>
      </c>
      <c r="D3392">
        <v>104.647605</v>
      </c>
    </row>
    <row r="3393" spans="2:4">
      <c r="B3393" s="2">
        <v>37130</v>
      </c>
      <c r="C3393" t="s">
        <v>3</v>
      </c>
      <c r="D3393">
        <v>104.244525</v>
      </c>
    </row>
    <row r="3394" spans="2:4">
      <c r="B3394" s="2">
        <v>37127</v>
      </c>
      <c r="C3394" t="s">
        <v>3</v>
      </c>
      <c r="D3394">
        <v>104.71144</v>
      </c>
    </row>
    <row r="3395" spans="2:4">
      <c r="B3395" s="2">
        <v>37126</v>
      </c>
      <c r="C3395" t="s">
        <v>3</v>
      </c>
      <c r="D3395">
        <v>105.53067</v>
      </c>
    </row>
    <row r="3396" spans="2:4">
      <c r="B3396" s="2">
        <v>37125</v>
      </c>
      <c r="C3396" t="s">
        <v>3</v>
      </c>
      <c r="D3396">
        <v>106.14569</v>
      </c>
    </row>
    <row r="3397" spans="2:4">
      <c r="B3397" s="2">
        <v>37124</v>
      </c>
      <c r="C3397" t="s">
        <v>3</v>
      </c>
      <c r="D3397">
        <v>107.47242</v>
      </c>
    </row>
    <row r="3398" spans="2:4">
      <c r="B3398" s="2">
        <v>37123</v>
      </c>
      <c r="C3398" t="s">
        <v>3</v>
      </c>
      <c r="D3398">
        <v>108.55683999999999</v>
      </c>
    </row>
    <row r="3399" spans="2:4">
      <c r="B3399" s="2">
        <v>37120</v>
      </c>
      <c r="C3399" t="s">
        <v>3</v>
      </c>
      <c r="D3399">
        <v>107.499105</v>
      </c>
    </row>
    <row r="3400" spans="2:4">
      <c r="B3400" s="2">
        <v>37119</v>
      </c>
      <c r="C3400" t="s">
        <v>3</v>
      </c>
      <c r="D3400">
        <v>106.808025</v>
      </c>
    </row>
    <row r="3401" spans="2:4">
      <c r="B3401" s="2">
        <v>37118</v>
      </c>
      <c r="C3401" t="s">
        <v>3</v>
      </c>
      <c r="D3401">
        <v>105.72705000000001</v>
      </c>
    </row>
    <row r="3402" spans="2:4">
      <c r="B3402" s="2">
        <v>37117</v>
      </c>
      <c r="C3402" t="s">
        <v>3</v>
      </c>
      <c r="D3402">
        <v>105.63006</v>
      </c>
    </row>
    <row r="3403" spans="2:4">
      <c r="B3403" s="2">
        <v>37116</v>
      </c>
      <c r="C3403" t="s">
        <v>3</v>
      </c>
      <c r="D3403">
        <v>105.947875</v>
      </c>
    </row>
    <row r="3404" spans="2:4">
      <c r="B3404" s="2">
        <v>37113</v>
      </c>
      <c r="C3404" t="s">
        <v>3</v>
      </c>
      <c r="D3404">
        <v>104.78023</v>
      </c>
    </row>
    <row r="3405" spans="2:4">
      <c r="B3405" s="2">
        <v>37112</v>
      </c>
      <c r="C3405" t="s">
        <v>3</v>
      </c>
      <c r="D3405">
        <v>106.80825</v>
      </c>
    </row>
    <row r="3406" spans="2:4">
      <c r="B3406" s="2">
        <v>37111</v>
      </c>
      <c r="C3406" t="s">
        <v>3</v>
      </c>
      <c r="D3406">
        <v>104.12376</v>
      </c>
    </row>
    <row r="3407" spans="2:4">
      <c r="B3407" s="2">
        <v>37110</v>
      </c>
      <c r="C3407" t="s">
        <v>3</v>
      </c>
      <c r="D3407">
        <v>106.0098</v>
      </c>
    </row>
    <row r="3408" spans="2:4">
      <c r="B3408" s="2">
        <v>37109</v>
      </c>
      <c r="C3408" t="s">
        <v>3</v>
      </c>
      <c r="D3408">
        <v>107.75270999999999</v>
      </c>
    </row>
    <row r="3409" spans="2:4">
      <c r="B3409" s="2">
        <v>37106</v>
      </c>
      <c r="C3409" t="s">
        <v>3</v>
      </c>
      <c r="D3409">
        <v>107.77974</v>
      </c>
    </row>
    <row r="3410" spans="2:4">
      <c r="B3410" s="2">
        <v>37105</v>
      </c>
      <c r="C3410" t="s">
        <v>3</v>
      </c>
      <c r="D3410">
        <v>108.428985</v>
      </c>
    </row>
    <row r="3411" spans="2:4">
      <c r="B3411" s="2">
        <v>37104</v>
      </c>
      <c r="C3411" t="s">
        <v>3</v>
      </c>
      <c r="D3411">
        <v>109.20674</v>
      </c>
    </row>
    <row r="3412" spans="2:4">
      <c r="B3412" s="2">
        <v>37103</v>
      </c>
      <c r="C3412" t="s">
        <v>3</v>
      </c>
      <c r="D3412">
        <v>108.43787500000001</v>
      </c>
    </row>
    <row r="3413" spans="2:4">
      <c r="B3413" s="2">
        <v>37102</v>
      </c>
      <c r="C3413" t="s">
        <v>3</v>
      </c>
      <c r="D3413">
        <v>107.36902000000001</v>
      </c>
    </row>
    <row r="3414" spans="2:4">
      <c r="B3414" s="2">
        <v>37099</v>
      </c>
      <c r="C3414" t="s">
        <v>3</v>
      </c>
      <c r="D3414">
        <v>107.24460999999999</v>
      </c>
    </row>
    <row r="3415" spans="2:4">
      <c r="B3415" s="2">
        <v>37098</v>
      </c>
      <c r="C3415" t="s">
        <v>3</v>
      </c>
      <c r="D3415">
        <v>106.77397499999999</v>
      </c>
    </row>
    <row r="3416" spans="2:4">
      <c r="B3416" s="2">
        <v>37097</v>
      </c>
      <c r="C3416" t="s">
        <v>3</v>
      </c>
      <c r="D3416">
        <v>107.0134</v>
      </c>
    </row>
    <row r="3417" spans="2:4">
      <c r="B3417" s="2">
        <v>37096</v>
      </c>
      <c r="C3417" t="s">
        <v>3</v>
      </c>
      <c r="D3417">
        <v>107.848085</v>
      </c>
    </row>
    <row r="3418" spans="2:4">
      <c r="B3418" s="2">
        <v>37095</v>
      </c>
      <c r="C3418" t="s">
        <v>3</v>
      </c>
      <c r="D3418">
        <v>105.832035</v>
      </c>
    </row>
    <row r="3419" spans="2:4">
      <c r="B3419" s="2">
        <v>37092</v>
      </c>
      <c r="C3419" t="s">
        <v>3</v>
      </c>
      <c r="D3419">
        <v>107.732415</v>
      </c>
    </row>
    <row r="3420" spans="2:4">
      <c r="B3420" s="2">
        <v>37091</v>
      </c>
      <c r="C3420" t="s">
        <v>3</v>
      </c>
      <c r="D3420">
        <v>105.24809</v>
      </c>
    </row>
    <row r="3421" spans="2:4">
      <c r="B3421" s="2">
        <v>37090</v>
      </c>
      <c r="C3421" t="s">
        <v>3</v>
      </c>
      <c r="D3421">
        <v>107.66019</v>
      </c>
    </row>
    <row r="3422" spans="2:4">
      <c r="B3422" s="2">
        <v>37089</v>
      </c>
      <c r="C3422" t="s">
        <v>3</v>
      </c>
      <c r="D3422">
        <v>107.328275</v>
      </c>
    </row>
    <row r="3423" spans="2:4">
      <c r="B3423" s="2">
        <v>37088</v>
      </c>
      <c r="C3423" t="s">
        <v>3</v>
      </c>
      <c r="D3423">
        <v>107.12835</v>
      </c>
    </row>
    <row r="3424" spans="2:4">
      <c r="B3424" s="2">
        <v>37085</v>
      </c>
      <c r="C3424" t="s">
        <v>3</v>
      </c>
      <c r="D3424">
        <v>106.02099</v>
      </c>
    </row>
    <row r="3425" spans="2:4">
      <c r="B3425" s="2">
        <v>37084</v>
      </c>
      <c r="C3425" t="s">
        <v>3</v>
      </c>
      <c r="D3425">
        <v>106.17222</v>
      </c>
    </row>
    <row r="3426" spans="2:4">
      <c r="B3426" s="2">
        <v>37083</v>
      </c>
      <c r="C3426" t="s">
        <v>3</v>
      </c>
      <c r="D3426">
        <v>106.20648</v>
      </c>
    </row>
    <row r="3427" spans="2:4">
      <c r="B3427" s="2">
        <v>37082</v>
      </c>
      <c r="C3427" t="s">
        <v>3</v>
      </c>
      <c r="D3427">
        <v>105.13536000000001</v>
      </c>
    </row>
    <row r="3428" spans="2:4">
      <c r="B3428" s="2">
        <v>37081</v>
      </c>
      <c r="C3428" t="s">
        <v>3</v>
      </c>
      <c r="D3428">
        <v>106.04584</v>
      </c>
    </row>
    <row r="3429" spans="2:4">
      <c r="B3429" s="2">
        <v>37078</v>
      </c>
      <c r="C3429" t="s">
        <v>3</v>
      </c>
      <c r="D3429">
        <v>104.522925</v>
      </c>
    </row>
    <row r="3430" spans="2:4">
      <c r="B3430" s="2">
        <v>37077</v>
      </c>
      <c r="C3430" t="s">
        <v>3</v>
      </c>
      <c r="D3430">
        <v>105.23604</v>
      </c>
    </row>
    <row r="3431" spans="2:4">
      <c r="B3431" s="2">
        <v>37075</v>
      </c>
      <c r="C3431" t="s">
        <v>3</v>
      </c>
      <c r="D3431">
        <v>104.99983</v>
      </c>
    </row>
    <row r="3432" spans="2:4">
      <c r="B3432" s="2">
        <v>37074</v>
      </c>
      <c r="C3432" t="s">
        <v>3</v>
      </c>
      <c r="D3432">
        <v>104.603655</v>
      </c>
    </row>
    <row r="3433" spans="2:4">
      <c r="B3433" s="2">
        <v>37071</v>
      </c>
      <c r="C3433" t="s">
        <v>3</v>
      </c>
      <c r="D3433">
        <v>103.2675</v>
      </c>
    </row>
    <row r="3434" spans="2:4">
      <c r="B3434" s="2">
        <v>37070</v>
      </c>
      <c r="C3434" t="s">
        <v>3</v>
      </c>
      <c r="D3434">
        <v>102.56265</v>
      </c>
    </row>
    <row r="3435" spans="2:4">
      <c r="B3435" s="2">
        <v>37069</v>
      </c>
      <c r="C3435" t="s">
        <v>3</v>
      </c>
      <c r="D3435">
        <v>105.419195</v>
      </c>
    </row>
    <row r="3436" spans="2:4">
      <c r="B3436" s="2">
        <v>37068</v>
      </c>
      <c r="C3436" t="s">
        <v>3</v>
      </c>
      <c r="D3436">
        <v>104.89368</v>
      </c>
    </row>
    <row r="3437" spans="2:4">
      <c r="B3437" s="2">
        <v>37067</v>
      </c>
      <c r="C3437" t="s">
        <v>3</v>
      </c>
      <c r="D3437">
        <v>105.31028999999999</v>
      </c>
    </row>
    <row r="3438" spans="2:4">
      <c r="B3438" s="2">
        <v>37064</v>
      </c>
      <c r="C3438" t="s">
        <v>3</v>
      </c>
      <c r="D3438">
        <v>104.59183</v>
      </c>
    </row>
    <row r="3439" spans="2:4">
      <c r="B3439" s="2">
        <v>37063</v>
      </c>
      <c r="C3439" t="s">
        <v>3</v>
      </c>
      <c r="D3439">
        <v>103.87359499999999</v>
      </c>
    </row>
    <row r="3440" spans="2:4">
      <c r="B3440" s="2">
        <v>37062</v>
      </c>
      <c r="C3440" t="s">
        <v>3</v>
      </c>
      <c r="D3440">
        <v>105.02283</v>
      </c>
    </row>
    <row r="3441" spans="2:4">
      <c r="B3441" s="2">
        <v>37061</v>
      </c>
      <c r="C3441" t="s">
        <v>3</v>
      </c>
      <c r="D3441">
        <v>105.806085</v>
      </c>
    </row>
    <row r="3442" spans="2:4">
      <c r="B3442" s="2">
        <v>37060</v>
      </c>
      <c r="C3442" t="s">
        <v>3</v>
      </c>
      <c r="D3442">
        <v>108.71160500000001</v>
      </c>
    </row>
    <row r="3443" spans="2:4">
      <c r="B3443" s="2">
        <v>37057</v>
      </c>
      <c r="C3443" t="s">
        <v>3</v>
      </c>
      <c r="D3443">
        <v>109.42942499999999</v>
      </c>
    </row>
    <row r="3444" spans="2:4">
      <c r="B3444" s="2">
        <v>37056</v>
      </c>
      <c r="C3444" t="s">
        <v>3</v>
      </c>
      <c r="D3444">
        <v>105.61474</v>
      </c>
    </row>
    <row r="3445" spans="2:4">
      <c r="B3445" s="2">
        <v>37055</v>
      </c>
      <c r="C3445" t="s">
        <v>3</v>
      </c>
      <c r="D3445">
        <v>103.319755</v>
      </c>
    </row>
    <row r="3446" spans="2:4">
      <c r="B3446" s="2">
        <v>37054</v>
      </c>
      <c r="C3446" t="s">
        <v>3</v>
      </c>
      <c r="D3446">
        <v>101.94431</v>
      </c>
    </row>
    <row r="3447" spans="2:4">
      <c r="B3447" s="2">
        <v>37053</v>
      </c>
      <c r="C3447" t="s">
        <v>3</v>
      </c>
      <c r="D3447">
        <v>101.14776000000001</v>
      </c>
    </row>
    <row r="3448" spans="2:4">
      <c r="B3448" s="2">
        <v>37050</v>
      </c>
      <c r="C3448" t="s">
        <v>3</v>
      </c>
      <c r="D3448">
        <v>101.82984</v>
      </c>
    </row>
    <row r="3449" spans="2:4">
      <c r="B3449" s="2">
        <v>37049</v>
      </c>
      <c r="C3449" t="s">
        <v>3</v>
      </c>
      <c r="D3449">
        <v>101.86839999999999</v>
      </c>
    </row>
    <row r="3450" spans="2:4">
      <c r="B3450" s="2">
        <v>37048</v>
      </c>
      <c r="C3450" t="s">
        <v>3</v>
      </c>
      <c r="D3450">
        <v>102.65604999999999</v>
      </c>
    </row>
    <row r="3451" spans="2:4">
      <c r="B3451" s="2">
        <v>37047</v>
      </c>
      <c r="C3451" t="s">
        <v>3</v>
      </c>
      <c r="D3451">
        <v>100.99668</v>
      </c>
    </row>
    <row r="3452" spans="2:4">
      <c r="B3452" s="2">
        <v>37046</v>
      </c>
      <c r="C3452" t="s">
        <v>3</v>
      </c>
      <c r="D3452">
        <v>99.641419999999997</v>
      </c>
    </row>
    <row r="3453" spans="2:4">
      <c r="B3453" s="2">
        <v>37043</v>
      </c>
      <c r="C3453" t="s">
        <v>3</v>
      </c>
      <c r="D3453">
        <v>99.471329999999995</v>
      </c>
    </row>
    <row r="3454" spans="2:4">
      <c r="B3454" s="2">
        <v>37042</v>
      </c>
      <c r="C3454" t="s">
        <v>3</v>
      </c>
      <c r="D3454">
        <v>99.157539999999997</v>
      </c>
    </row>
    <row r="3455" spans="2:4">
      <c r="B3455" s="2">
        <v>37041</v>
      </c>
      <c r="C3455" t="s">
        <v>3</v>
      </c>
      <c r="D3455">
        <v>102.52943999999999</v>
      </c>
    </row>
    <row r="3456" spans="2:4">
      <c r="B3456" s="2">
        <v>37040</v>
      </c>
      <c r="C3456" t="s">
        <v>3</v>
      </c>
      <c r="D3456">
        <v>103.94616000000001</v>
      </c>
    </row>
    <row r="3457" spans="2:4">
      <c r="B3457" s="2">
        <v>37036</v>
      </c>
      <c r="C3457" t="s">
        <v>3</v>
      </c>
      <c r="D3457">
        <v>104.882825</v>
      </c>
    </row>
    <row r="3458" spans="2:4">
      <c r="B3458" s="2">
        <v>37035</v>
      </c>
      <c r="C3458" t="s">
        <v>3</v>
      </c>
      <c r="D3458">
        <v>104.93052</v>
      </c>
    </row>
    <row r="3459" spans="2:4">
      <c r="B3459" s="2">
        <v>37034</v>
      </c>
      <c r="C3459" t="s">
        <v>3</v>
      </c>
      <c r="D3459">
        <v>104.451165</v>
      </c>
    </row>
    <row r="3460" spans="2:4">
      <c r="B3460" s="2">
        <v>37033</v>
      </c>
      <c r="C3460" t="s">
        <v>3</v>
      </c>
      <c r="D3460">
        <v>103.772435</v>
      </c>
    </row>
    <row r="3461" spans="2:4">
      <c r="B3461" s="2">
        <v>37032</v>
      </c>
      <c r="C3461" t="s">
        <v>3</v>
      </c>
      <c r="D3461">
        <v>103.28084</v>
      </c>
    </row>
    <row r="3462" spans="2:4">
      <c r="B3462" s="2">
        <v>37029</v>
      </c>
      <c r="C3462" t="s">
        <v>3</v>
      </c>
      <c r="D3462">
        <v>103.07373</v>
      </c>
    </row>
    <row r="3463" spans="2:4">
      <c r="B3463" s="2">
        <v>37028</v>
      </c>
      <c r="C3463" t="s">
        <v>3</v>
      </c>
      <c r="D3463">
        <v>99.989400000000003</v>
      </c>
    </row>
    <row r="3464" spans="2:4">
      <c r="B3464" s="2">
        <v>37027</v>
      </c>
      <c r="C3464" t="s">
        <v>3</v>
      </c>
      <c r="D3464">
        <v>98.865454999999997</v>
      </c>
    </row>
    <row r="3465" spans="2:4">
      <c r="B3465" s="2">
        <v>37026</v>
      </c>
      <c r="C3465" t="s">
        <v>3</v>
      </c>
      <c r="D3465">
        <v>98.888625000000005</v>
      </c>
    </row>
    <row r="3466" spans="2:4">
      <c r="B3466" s="2">
        <v>37025</v>
      </c>
      <c r="C3466" t="s">
        <v>3</v>
      </c>
      <c r="D3466">
        <v>98.887379999999993</v>
      </c>
    </row>
    <row r="3467" spans="2:4">
      <c r="B3467" s="2">
        <v>37022</v>
      </c>
      <c r="C3467" t="s">
        <v>3</v>
      </c>
      <c r="D3467">
        <v>95.654929999999993</v>
      </c>
    </row>
    <row r="3468" spans="2:4">
      <c r="B3468" s="2">
        <v>37021</v>
      </c>
      <c r="C3468" t="s">
        <v>3</v>
      </c>
      <c r="D3468">
        <v>97.616399999999999</v>
      </c>
    </row>
    <row r="3469" spans="2:4">
      <c r="B3469" s="2">
        <v>37020</v>
      </c>
      <c r="C3469" t="s">
        <v>3</v>
      </c>
      <c r="D3469">
        <v>94.714609999999993</v>
      </c>
    </row>
    <row r="3470" spans="2:4">
      <c r="B3470" s="2">
        <v>37019</v>
      </c>
      <c r="C3470" t="s">
        <v>3</v>
      </c>
      <c r="D3470">
        <v>94.367909999999995</v>
      </c>
    </row>
    <row r="3471" spans="2:4">
      <c r="B3471" s="2">
        <v>37018</v>
      </c>
      <c r="C3471" t="s">
        <v>3</v>
      </c>
      <c r="D3471">
        <v>93.615795000000006</v>
      </c>
    </row>
    <row r="3472" spans="2:4">
      <c r="B3472" s="2">
        <v>37015</v>
      </c>
      <c r="C3472" t="s">
        <v>3</v>
      </c>
      <c r="D3472">
        <v>94.062179999999998</v>
      </c>
    </row>
    <row r="3473" spans="2:4">
      <c r="B3473" s="2">
        <v>37014</v>
      </c>
      <c r="C3473" t="s">
        <v>3</v>
      </c>
      <c r="D3473">
        <v>94.330965000000006</v>
      </c>
    </row>
    <row r="3474" spans="2:4">
      <c r="B3474" s="2">
        <v>37013</v>
      </c>
      <c r="C3474" t="s">
        <v>3</v>
      </c>
      <c r="D3474">
        <v>95.400184999999993</v>
      </c>
    </row>
    <row r="3475" spans="2:4">
      <c r="B3475" s="2">
        <v>37012</v>
      </c>
      <c r="C3475" t="s">
        <v>3</v>
      </c>
      <c r="D3475">
        <v>96.607780000000005</v>
      </c>
    </row>
    <row r="3476" spans="2:4">
      <c r="B3476" s="2">
        <v>37011</v>
      </c>
      <c r="C3476" t="s">
        <v>3</v>
      </c>
      <c r="D3476">
        <v>95.86712</v>
      </c>
    </row>
    <row r="3477" spans="2:4">
      <c r="B3477" s="2">
        <v>37008</v>
      </c>
      <c r="C3477" t="s">
        <v>3</v>
      </c>
      <c r="D3477">
        <v>98.249200000000002</v>
      </c>
    </row>
    <row r="3478" spans="2:4">
      <c r="B3478" s="2">
        <v>37007</v>
      </c>
      <c r="C3478" t="s">
        <v>3</v>
      </c>
      <c r="D3478">
        <v>97.744020000000006</v>
      </c>
    </row>
    <row r="3479" spans="2:4">
      <c r="B3479" s="2">
        <v>37006</v>
      </c>
      <c r="C3479" t="s">
        <v>3</v>
      </c>
      <c r="D3479">
        <v>99.478099999999998</v>
      </c>
    </row>
    <row r="3480" spans="2:4">
      <c r="B3480" s="2">
        <v>37005</v>
      </c>
      <c r="C3480" t="s">
        <v>3</v>
      </c>
      <c r="D3480">
        <v>100.82632</v>
      </c>
    </row>
    <row r="3481" spans="2:4">
      <c r="B3481" s="2">
        <v>37004</v>
      </c>
      <c r="C3481" t="s">
        <v>3</v>
      </c>
      <c r="D3481">
        <v>101.14432499999999</v>
      </c>
    </row>
    <row r="3482" spans="2:4">
      <c r="B3482" s="2">
        <v>37001</v>
      </c>
      <c r="C3482" t="s">
        <v>3</v>
      </c>
      <c r="D3482">
        <v>101.557545</v>
      </c>
    </row>
    <row r="3483" spans="2:4">
      <c r="B3483" s="2">
        <v>37000</v>
      </c>
      <c r="C3483" t="s">
        <v>3</v>
      </c>
      <c r="D3483">
        <v>101.20274999999999</v>
      </c>
    </row>
    <row r="3484" spans="2:4">
      <c r="B3484" s="2">
        <v>36999</v>
      </c>
      <c r="C3484" t="s">
        <v>3</v>
      </c>
      <c r="D3484">
        <v>101.35576</v>
      </c>
    </row>
    <row r="3485" spans="2:4">
      <c r="B3485" s="2">
        <v>36998</v>
      </c>
      <c r="C3485" t="s">
        <v>3</v>
      </c>
      <c r="D3485">
        <v>101.70856000000001</v>
      </c>
    </row>
    <row r="3486" spans="2:4">
      <c r="B3486" s="2">
        <v>36997</v>
      </c>
      <c r="C3486" t="s">
        <v>3</v>
      </c>
      <c r="D3486">
        <v>102.87479999999999</v>
      </c>
    </row>
    <row r="3487" spans="2:4">
      <c r="B3487" s="2">
        <v>36993</v>
      </c>
      <c r="C3487" t="s">
        <v>3</v>
      </c>
      <c r="D3487">
        <v>103.330575</v>
      </c>
    </row>
    <row r="3488" spans="2:4">
      <c r="B3488" s="2">
        <v>36992</v>
      </c>
      <c r="C3488" t="s">
        <v>3</v>
      </c>
      <c r="D3488">
        <v>103.26846</v>
      </c>
    </row>
    <row r="3489" spans="2:4">
      <c r="B3489" s="2">
        <v>36991</v>
      </c>
      <c r="C3489" t="s">
        <v>3</v>
      </c>
      <c r="D3489">
        <v>105.02954</v>
      </c>
    </row>
    <row r="3490" spans="2:4">
      <c r="B3490" s="2">
        <v>36990</v>
      </c>
      <c r="C3490" t="s">
        <v>3</v>
      </c>
      <c r="D3490">
        <v>104.04433</v>
      </c>
    </row>
    <row r="3491" spans="2:4">
      <c r="B3491" s="2">
        <v>36987</v>
      </c>
      <c r="C3491" t="s">
        <v>3</v>
      </c>
      <c r="D3491">
        <v>102.38120000000001</v>
      </c>
    </row>
    <row r="3492" spans="2:4">
      <c r="B3492" s="2">
        <v>36986</v>
      </c>
      <c r="C3492" t="s">
        <v>3</v>
      </c>
      <c r="D3492">
        <v>101.70016</v>
      </c>
    </row>
    <row r="3493" spans="2:4">
      <c r="B3493" s="2">
        <v>36985</v>
      </c>
      <c r="C3493" t="s">
        <v>3</v>
      </c>
      <c r="D3493">
        <v>102.29295999999999</v>
      </c>
    </row>
    <row r="3494" spans="2:4">
      <c r="B3494" s="2">
        <v>36984</v>
      </c>
      <c r="C3494" t="s">
        <v>3</v>
      </c>
      <c r="D3494">
        <v>100.71975999999999</v>
      </c>
    </row>
    <row r="3495" spans="2:4">
      <c r="B3495" s="2">
        <v>36983</v>
      </c>
      <c r="C3495" t="s">
        <v>3</v>
      </c>
      <c r="D3495">
        <v>98.776570000000007</v>
      </c>
    </row>
    <row r="3496" spans="2:4">
      <c r="B3496" s="2">
        <v>36980</v>
      </c>
      <c r="C3496" t="s">
        <v>3</v>
      </c>
      <c r="D3496">
        <v>98.162689999999998</v>
      </c>
    </row>
    <row r="3497" spans="2:4">
      <c r="B3497" s="2">
        <v>36979</v>
      </c>
      <c r="C3497" t="s">
        <v>3</v>
      </c>
      <c r="D3497">
        <v>97.256955000000005</v>
      </c>
    </row>
    <row r="3498" spans="2:4">
      <c r="B3498" s="2">
        <v>36978</v>
      </c>
      <c r="C3498" t="s">
        <v>3</v>
      </c>
      <c r="D3498">
        <v>99.131955000000005</v>
      </c>
    </row>
    <row r="3499" spans="2:4">
      <c r="B3499" s="2">
        <v>36977</v>
      </c>
      <c r="C3499" t="s">
        <v>3</v>
      </c>
      <c r="D3499">
        <v>98.289339999999996</v>
      </c>
    </row>
    <row r="3500" spans="2:4">
      <c r="B3500" s="2">
        <v>36976</v>
      </c>
      <c r="C3500" t="s">
        <v>3</v>
      </c>
      <c r="D3500">
        <v>100.06645</v>
      </c>
    </row>
    <row r="3501" spans="2:4">
      <c r="B3501" s="2">
        <v>36973</v>
      </c>
      <c r="C3501" t="s">
        <v>3</v>
      </c>
      <c r="D3501">
        <v>98.907049999999998</v>
      </c>
    </row>
    <row r="3502" spans="2:4">
      <c r="B3502" s="2">
        <v>36972</v>
      </c>
      <c r="C3502" t="s">
        <v>3</v>
      </c>
      <c r="D3502">
        <v>102.05352000000001</v>
      </c>
    </row>
    <row r="3503" spans="2:4">
      <c r="B3503" s="2">
        <v>36971</v>
      </c>
      <c r="C3503" t="s">
        <v>3</v>
      </c>
      <c r="D3503">
        <v>102.03053</v>
      </c>
    </row>
    <row r="3504" spans="2:4">
      <c r="B3504" s="2">
        <v>36970</v>
      </c>
      <c r="C3504" t="s">
        <v>3</v>
      </c>
      <c r="D3504">
        <v>101.98009500000001</v>
      </c>
    </row>
    <row r="3505" spans="2:4">
      <c r="B3505" s="2">
        <v>36969</v>
      </c>
      <c r="C3505" t="s">
        <v>3</v>
      </c>
      <c r="D3505">
        <v>101.74824</v>
      </c>
    </row>
    <row r="3506" spans="2:4">
      <c r="B3506" s="2">
        <v>36966</v>
      </c>
      <c r="C3506" t="s">
        <v>3</v>
      </c>
      <c r="D3506">
        <v>101.646255</v>
      </c>
    </row>
    <row r="3507" spans="2:4">
      <c r="B3507" s="2">
        <v>36965</v>
      </c>
      <c r="C3507" t="s">
        <v>3</v>
      </c>
      <c r="D3507">
        <v>103.38907</v>
      </c>
    </row>
    <row r="3508" spans="2:4">
      <c r="B3508" s="2">
        <v>36964</v>
      </c>
      <c r="C3508" t="s">
        <v>3</v>
      </c>
      <c r="D3508">
        <v>102.03189</v>
      </c>
    </row>
    <row r="3509" spans="2:4">
      <c r="B3509" s="2">
        <v>36963</v>
      </c>
      <c r="C3509" t="s">
        <v>3</v>
      </c>
      <c r="D3509">
        <v>100.4555</v>
      </c>
    </row>
    <row r="3510" spans="2:4">
      <c r="B3510" s="2">
        <v>36962</v>
      </c>
      <c r="C3510" t="s">
        <v>3</v>
      </c>
      <c r="D3510">
        <v>99.014300000000006</v>
      </c>
    </row>
    <row r="3511" spans="2:4">
      <c r="B3511" s="2">
        <v>36959</v>
      </c>
      <c r="C3511" t="s">
        <v>3</v>
      </c>
      <c r="D3511">
        <v>96.831770000000006</v>
      </c>
    </row>
    <row r="3512" spans="2:4">
      <c r="B3512" s="2">
        <v>36958</v>
      </c>
      <c r="C3512" t="s">
        <v>3</v>
      </c>
      <c r="D3512">
        <v>97.096860000000007</v>
      </c>
    </row>
    <row r="3513" spans="2:4">
      <c r="B3513" s="2">
        <v>36957</v>
      </c>
      <c r="C3513" t="s">
        <v>3</v>
      </c>
      <c r="D3513">
        <v>97.041359999999997</v>
      </c>
    </row>
    <row r="3514" spans="2:4">
      <c r="B3514" s="2">
        <v>36956</v>
      </c>
      <c r="C3514" t="s">
        <v>3</v>
      </c>
      <c r="D3514">
        <v>96.037949999999995</v>
      </c>
    </row>
    <row r="3515" spans="2:4">
      <c r="B3515" s="2">
        <v>36955</v>
      </c>
      <c r="C3515" t="s">
        <v>3</v>
      </c>
      <c r="D3515">
        <v>97.416799999999995</v>
      </c>
    </row>
    <row r="3516" spans="2:4">
      <c r="B3516" s="2">
        <v>36952</v>
      </c>
      <c r="C3516" t="s">
        <v>3</v>
      </c>
      <c r="D3516">
        <v>99.521555000000006</v>
      </c>
    </row>
    <row r="3517" spans="2:4">
      <c r="B3517" s="2">
        <v>36951</v>
      </c>
      <c r="C3517" t="s">
        <v>3</v>
      </c>
      <c r="D3517">
        <v>98.762420000000006</v>
      </c>
    </row>
    <row r="3518" spans="2:4">
      <c r="B3518" s="2">
        <v>36950</v>
      </c>
      <c r="C3518" t="s">
        <v>3</v>
      </c>
      <c r="D3518">
        <v>98.623530000000002</v>
      </c>
    </row>
    <row r="3519" spans="2:4">
      <c r="B3519" s="2">
        <v>36949</v>
      </c>
      <c r="C3519" t="s">
        <v>3</v>
      </c>
      <c r="D3519">
        <v>97.657740000000004</v>
      </c>
    </row>
    <row r="3520" spans="2:4">
      <c r="B3520" s="2">
        <v>36948</v>
      </c>
      <c r="C3520" t="s">
        <v>3</v>
      </c>
      <c r="D3520">
        <v>98.18468</v>
      </c>
    </row>
    <row r="3521" spans="2:4">
      <c r="B3521" s="2">
        <v>36945</v>
      </c>
      <c r="C3521" t="s">
        <v>3</v>
      </c>
      <c r="D3521">
        <v>100.14</v>
      </c>
    </row>
    <row r="3522" spans="2:4">
      <c r="B3522" s="2">
        <v>36944</v>
      </c>
      <c r="C3522" t="s">
        <v>3</v>
      </c>
      <c r="D3522">
        <v>99.11412</v>
      </c>
    </row>
    <row r="3523" spans="2:4">
      <c r="B3523" s="2">
        <v>36943</v>
      </c>
      <c r="C3523" t="s">
        <v>3</v>
      </c>
      <c r="D3523">
        <v>97.678925000000007</v>
      </c>
    </row>
    <row r="3524" spans="2:4">
      <c r="B3524" s="2">
        <v>36942</v>
      </c>
      <c r="C3524" t="s">
        <v>3</v>
      </c>
      <c r="D3524">
        <v>97.009275000000002</v>
      </c>
    </row>
    <row r="3525" spans="2:4">
      <c r="B3525" s="2">
        <v>36938</v>
      </c>
      <c r="C3525" t="s">
        <v>3</v>
      </c>
      <c r="D3525">
        <v>97.301325000000006</v>
      </c>
    </row>
    <row r="3526" spans="2:4">
      <c r="B3526" s="2">
        <v>36937</v>
      </c>
      <c r="C3526" t="s">
        <v>3</v>
      </c>
      <c r="D3526">
        <v>95.228475000000003</v>
      </c>
    </row>
    <row r="3527" spans="2:4">
      <c r="B3527" s="2">
        <v>36936</v>
      </c>
      <c r="C3527" t="s">
        <v>3</v>
      </c>
      <c r="D3527">
        <v>95.21105</v>
      </c>
    </row>
    <row r="3528" spans="2:4">
      <c r="B3528" s="2">
        <v>36935</v>
      </c>
      <c r="C3528" t="s">
        <v>3</v>
      </c>
      <c r="D3528">
        <v>96.9178</v>
      </c>
    </row>
    <row r="3529" spans="2:4">
      <c r="B3529" s="2">
        <v>36934</v>
      </c>
      <c r="C3529" t="s">
        <v>3</v>
      </c>
      <c r="D3529">
        <v>99.298559999999995</v>
      </c>
    </row>
    <row r="3530" spans="2:4">
      <c r="B3530" s="2">
        <v>36931</v>
      </c>
      <c r="C3530" t="s">
        <v>3</v>
      </c>
      <c r="D3530">
        <v>94.296400000000006</v>
      </c>
    </row>
    <row r="3531" spans="2:4">
      <c r="B3531" s="2">
        <v>36930</v>
      </c>
      <c r="C3531" t="s">
        <v>3</v>
      </c>
      <c r="D3531">
        <v>92.996629999999996</v>
      </c>
    </row>
    <row r="3532" spans="2:4">
      <c r="B3532" s="2">
        <v>36929</v>
      </c>
      <c r="C3532" t="s">
        <v>3</v>
      </c>
      <c r="D3532">
        <v>91.835800000000006</v>
      </c>
    </row>
    <row r="3533" spans="2:4">
      <c r="B3533" s="2">
        <v>36928</v>
      </c>
      <c r="C3533" t="s">
        <v>3</v>
      </c>
      <c r="D3533">
        <v>92.753884999999997</v>
      </c>
    </row>
    <row r="3534" spans="2:4">
      <c r="B3534" s="2">
        <v>36927</v>
      </c>
      <c r="C3534" t="s">
        <v>3</v>
      </c>
      <c r="D3534">
        <v>92.051384999999996</v>
      </c>
    </row>
    <row r="3535" spans="2:4">
      <c r="B3535" s="2">
        <v>36924</v>
      </c>
      <c r="C3535" t="s">
        <v>3</v>
      </c>
      <c r="D3535">
        <v>93.639259999999993</v>
      </c>
    </row>
    <row r="3536" spans="2:4">
      <c r="B3536" s="2">
        <v>36923</v>
      </c>
      <c r="C3536" t="s">
        <v>3</v>
      </c>
      <c r="D3536">
        <v>97.170010000000005</v>
      </c>
    </row>
    <row r="3537" spans="2:4">
      <c r="B3537" s="2">
        <v>36922</v>
      </c>
      <c r="C3537" t="s">
        <v>3</v>
      </c>
      <c r="D3537">
        <v>95.453339999999997</v>
      </c>
    </row>
    <row r="3538" spans="2:4">
      <c r="B3538" s="2">
        <v>36921</v>
      </c>
      <c r="C3538" t="s">
        <v>3</v>
      </c>
      <c r="D3538">
        <v>96.338099999999997</v>
      </c>
    </row>
    <row r="3539" spans="2:4">
      <c r="B3539" s="2">
        <v>36920</v>
      </c>
      <c r="C3539" t="s">
        <v>3</v>
      </c>
      <c r="D3539">
        <v>96.731999999999999</v>
      </c>
    </row>
    <row r="3540" spans="2:4">
      <c r="B3540" s="2">
        <v>36917</v>
      </c>
      <c r="C3540" t="s">
        <v>3</v>
      </c>
      <c r="D3540">
        <v>97.530919999999995</v>
      </c>
    </row>
    <row r="3541" spans="2:4">
      <c r="B3541" s="2">
        <v>36916</v>
      </c>
      <c r="C3541" t="s">
        <v>3</v>
      </c>
      <c r="D3541">
        <v>97.516319999999993</v>
      </c>
    </row>
    <row r="3542" spans="2:4">
      <c r="B3542" s="2">
        <v>36915</v>
      </c>
      <c r="C3542" t="s">
        <v>3</v>
      </c>
      <c r="D3542">
        <v>99.479309999999998</v>
      </c>
    </row>
    <row r="3543" spans="2:4">
      <c r="B3543" s="2">
        <v>36914</v>
      </c>
      <c r="C3543" t="s">
        <v>3</v>
      </c>
      <c r="D3543">
        <v>98.671180000000007</v>
      </c>
    </row>
    <row r="3544" spans="2:4">
      <c r="B3544" s="2">
        <v>36913</v>
      </c>
      <c r="C3544" t="s">
        <v>3</v>
      </c>
      <c r="D3544">
        <v>99.004949999999994</v>
      </c>
    </row>
    <row r="3545" spans="2:4">
      <c r="B3545" s="2">
        <v>36910</v>
      </c>
      <c r="C3545" t="s">
        <v>3</v>
      </c>
      <c r="D3545">
        <v>101.96675</v>
      </c>
    </row>
    <row r="3546" spans="2:4">
      <c r="B3546" s="2">
        <v>36909</v>
      </c>
      <c r="C3546" t="s">
        <v>3</v>
      </c>
      <c r="D3546">
        <v>100.4958</v>
      </c>
    </row>
    <row r="3547" spans="2:4">
      <c r="B3547" s="2">
        <v>36908</v>
      </c>
      <c r="C3547" t="s">
        <v>3</v>
      </c>
      <c r="D3547">
        <v>98.757019999999997</v>
      </c>
    </row>
    <row r="3548" spans="2:4">
      <c r="B3548" s="2">
        <v>36907</v>
      </c>
      <c r="C3548" t="s">
        <v>3</v>
      </c>
      <c r="D3548">
        <v>98.556479999999993</v>
      </c>
    </row>
    <row r="3549" spans="2:4">
      <c r="B3549" s="2">
        <v>36903</v>
      </c>
      <c r="C3549" t="s">
        <v>3</v>
      </c>
      <c r="D3549">
        <v>98.341155000000001</v>
      </c>
    </row>
    <row r="3550" spans="2:4">
      <c r="B3550" s="2">
        <v>36902</v>
      </c>
      <c r="C3550" t="s">
        <v>3</v>
      </c>
      <c r="D3550">
        <v>102.90454</v>
      </c>
    </row>
    <row r="3551" spans="2:4">
      <c r="B3551" s="2">
        <v>36901</v>
      </c>
      <c r="C3551" t="s">
        <v>3</v>
      </c>
      <c r="D3551">
        <v>104.85254999999999</v>
      </c>
    </row>
    <row r="3552" spans="2:4">
      <c r="B3552" s="2">
        <v>36900</v>
      </c>
      <c r="C3552" t="s">
        <v>3</v>
      </c>
      <c r="D3552">
        <v>109.69452</v>
      </c>
    </row>
    <row r="3553" spans="2:4">
      <c r="B3553" s="2">
        <v>36899</v>
      </c>
      <c r="C3553" t="s">
        <v>3</v>
      </c>
      <c r="D3553">
        <v>109.62591500000001</v>
      </c>
    </row>
    <row r="3554" spans="2:4">
      <c r="B3554" s="2">
        <v>36896</v>
      </c>
      <c r="C3554" t="s">
        <v>3</v>
      </c>
      <c r="D3554">
        <v>106.671285</v>
      </c>
    </row>
    <row r="3555" spans="2:4">
      <c r="B3555" s="2">
        <v>36895</v>
      </c>
      <c r="C3555" t="s">
        <v>3</v>
      </c>
      <c r="D3555">
        <v>103.34623999999999</v>
      </c>
    </row>
    <row r="3556" spans="2:4">
      <c r="B3556" s="2">
        <v>36894</v>
      </c>
      <c r="C3556" t="s">
        <v>3</v>
      </c>
      <c r="D3556">
        <v>101.94920999999999</v>
      </c>
    </row>
    <row r="3557" spans="2:4">
      <c r="B3557" s="2">
        <v>36893</v>
      </c>
      <c r="C3557" t="s">
        <v>3</v>
      </c>
      <c r="D3557">
        <v>103.37484000000001</v>
      </c>
    </row>
    <row r="3558" spans="2:4">
      <c r="B3558" s="2">
        <v>36798</v>
      </c>
      <c r="C3558" t="s">
        <v>3</v>
      </c>
      <c r="D3558">
        <v>96.115520000000004</v>
      </c>
    </row>
    <row r="3559" spans="2:4">
      <c r="B3559" s="2">
        <v>36797</v>
      </c>
      <c r="C3559" t="s">
        <v>3</v>
      </c>
      <c r="D3559">
        <v>95.581779999999995</v>
      </c>
    </row>
    <row r="3560" spans="2:4">
      <c r="B3560" s="2">
        <v>36796</v>
      </c>
      <c r="C3560" t="s">
        <v>3</v>
      </c>
      <c r="D3560">
        <v>95.670959999999994</v>
      </c>
    </row>
    <row r="3561" spans="2:4">
      <c r="B3561" s="2">
        <v>36795</v>
      </c>
      <c r="C3561" t="s">
        <v>3</v>
      </c>
      <c r="D3561">
        <v>94.344890000000007</v>
      </c>
    </row>
    <row r="3562" spans="2:4">
      <c r="B3562" s="2">
        <v>36794</v>
      </c>
      <c r="C3562" t="s">
        <v>3</v>
      </c>
      <c r="D3562">
        <v>94.850549999999998</v>
      </c>
    </row>
    <row r="3563" spans="2:4">
      <c r="B3563" s="2">
        <v>36791</v>
      </c>
      <c r="C3563" t="s">
        <v>3</v>
      </c>
      <c r="D3563">
        <v>95.828040000000001</v>
      </c>
    </row>
    <row r="3564" spans="2:4">
      <c r="B3564" s="2">
        <v>36790</v>
      </c>
      <c r="C3564" t="s">
        <v>3</v>
      </c>
      <c r="D3564">
        <v>95.163899999999998</v>
      </c>
    </row>
    <row r="3565" spans="2:4">
      <c r="B3565" s="2">
        <v>36789</v>
      </c>
      <c r="C3565" t="s">
        <v>3</v>
      </c>
      <c r="D3565">
        <v>95.881500000000003</v>
      </c>
    </row>
    <row r="3566" spans="2:4">
      <c r="B3566" s="2">
        <v>36788</v>
      </c>
      <c r="C3566" t="s">
        <v>3</v>
      </c>
      <c r="D3566">
        <v>96.467084999999997</v>
      </c>
    </row>
    <row r="3567" spans="2:4">
      <c r="B3567" s="2">
        <v>36787</v>
      </c>
      <c r="C3567" t="s">
        <v>3</v>
      </c>
      <c r="D3567">
        <v>98.498040000000003</v>
      </c>
    </row>
    <row r="3568" spans="2:4">
      <c r="B3568" s="2">
        <v>36784</v>
      </c>
      <c r="C3568" t="s">
        <v>3</v>
      </c>
      <c r="D3568">
        <v>98.486549999999994</v>
      </c>
    </row>
    <row r="3569" spans="2:4">
      <c r="B3569" s="2">
        <v>36783</v>
      </c>
      <c r="C3569" t="s">
        <v>3</v>
      </c>
      <c r="D3569">
        <v>99.256500000000003</v>
      </c>
    </row>
    <row r="3570" spans="2:4">
      <c r="B3570" s="2">
        <v>36782</v>
      </c>
      <c r="C3570" t="s">
        <v>3</v>
      </c>
      <c r="D3570">
        <v>96.615449999999996</v>
      </c>
    </row>
    <row r="3571" spans="2:4">
      <c r="B3571" s="2">
        <v>36781</v>
      </c>
      <c r="C3571" t="s">
        <v>3</v>
      </c>
      <c r="D3571">
        <v>97.013504999999995</v>
      </c>
    </row>
    <row r="3572" spans="2:4">
      <c r="B3572" s="2">
        <v>36780</v>
      </c>
      <c r="C3572" t="s">
        <v>3</v>
      </c>
      <c r="D3572">
        <v>97.044749999999993</v>
      </c>
    </row>
    <row r="3573" spans="2:4">
      <c r="B3573" s="2">
        <v>36777</v>
      </c>
      <c r="C3573" t="s">
        <v>3</v>
      </c>
      <c r="D3573">
        <v>97.009649999999993</v>
      </c>
    </row>
    <row r="3574" spans="2:4">
      <c r="B3574" s="2">
        <v>36776</v>
      </c>
      <c r="C3574" t="s">
        <v>3</v>
      </c>
      <c r="D3574">
        <v>96.531994999999995</v>
      </c>
    </row>
    <row r="3575" spans="2:4">
      <c r="B3575" s="2">
        <v>36775</v>
      </c>
      <c r="C3575" t="s">
        <v>3</v>
      </c>
      <c r="D3575">
        <v>94.806389999999993</v>
      </c>
    </row>
    <row r="3576" spans="2:4">
      <c r="B3576" s="2">
        <v>36774</v>
      </c>
      <c r="C3576" t="s">
        <v>3</v>
      </c>
      <c r="D3576">
        <v>93.419039999999995</v>
      </c>
    </row>
    <row r="3577" spans="2:4">
      <c r="B3577" s="2">
        <v>36770</v>
      </c>
      <c r="C3577" t="s">
        <v>3</v>
      </c>
      <c r="D3577">
        <v>92.437529999999995</v>
      </c>
    </row>
    <row r="3578" spans="2:4">
      <c r="B3578" s="2">
        <v>36769</v>
      </c>
      <c r="C3578" t="s">
        <v>3</v>
      </c>
      <c r="D3578">
        <v>93.245800000000003</v>
      </c>
    </row>
    <row r="3579" spans="2:4">
      <c r="B3579" s="2">
        <v>36768</v>
      </c>
      <c r="C3579" t="s">
        <v>3</v>
      </c>
      <c r="D3579">
        <v>93.173955000000007</v>
      </c>
    </row>
    <row r="3580" spans="2:4">
      <c r="B3580" s="2">
        <v>36767</v>
      </c>
      <c r="C3580" t="s">
        <v>3</v>
      </c>
      <c r="D3580">
        <v>93.997739999999993</v>
      </c>
    </row>
    <row r="3581" spans="2:4">
      <c r="B3581" s="2">
        <v>36766</v>
      </c>
      <c r="C3581" t="s">
        <v>3</v>
      </c>
      <c r="D3581">
        <v>94.067160000000001</v>
      </c>
    </row>
    <row r="3582" spans="2:4">
      <c r="B3582" s="2">
        <v>36763</v>
      </c>
      <c r="C3582" t="s">
        <v>3</v>
      </c>
      <c r="D3582">
        <v>93.428280000000001</v>
      </c>
    </row>
    <row r="3583" spans="2:4">
      <c r="B3583" s="2">
        <v>36762</v>
      </c>
      <c r="C3583" t="s">
        <v>3</v>
      </c>
      <c r="D3583">
        <v>91.852800000000002</v>
      </c>
    </row>
    <row r="3584" spans="2:4">
      <c r="B3584" s="2">
        <v>36761</v>
      </c>
      <c r="C3584" t="s">
        <v>3</v>
      </c>
      <c r="D3584">
        <v>90.429374999999993</v>
      </c>
    </row>
    <row r="3585" spans="2:4">
      <c r="B3585" s="2">
        <v>36760</v>
      </c>
      <c r="C3585" t="s">
        <v>3</v>
      </c>
      <c r="D3585">
        <v>89.276250000000005</v>
      </c>
    </row>
    <row r="3586" spans="2:4">
      <c r="B3586" s="2">
        <v>36759</v>
      </c>
      <c r="C3586" t="s">
        <v>3</v>
      </c>
      <c r="D3586">
        <v>88.767880000000005</v>
      </c>
    </row>
    <row r="3587" spans="2:4">
      <c r="B3587" s="2">
        <v>36756</v>
      </c>
      <c r="C3587" t="s">
        <v>3</v>
      </c>
      <c r="D3587">
        <v>88.330905000000001</v>
      </c>
    </row>
    <row r="3588" spans="2:4">
      <c r="B3588" s="2">
        <v>36755</v>
      </c>
      <c r="C3588" t="s">
        <v>3</v>
      </c>
      <c r="D3588">
        <v>87.656099999999995</v>
      </c>
    </row>
    <row r="3589" spans="2:4">
      <c r="B3589" s="2">
        <v>36754</v>
      </c>
      <c r="C3589" t="s">
        <v>3</v>
      </c>
      <c r="D3589">
        <v>87.804325000000006</v>
      </c>
    </row>
    <row r="3590" spans="2:4">
      <c r="B3590" s="2">
        <v>36753</v>
      </c>
      <c r="C3590" t="s">
        <v>3</v>
      </c>
      <c r="D3590">
        <v>87.360874999999993</v>
      </c>
    </row>
    <row r="3591" spans="2:4">
      <c r="B3591" s="2">
        <v>36752</v>
      </c>
      <c r="C3591" t="s">
        <v>3</v>
      </c>
      <c r="D3591">
        <v>87.150175000000004</v>
      </c>
    </row>
    <row r="3592" spans="2:4">
      <c r="B3592" s="2">
        <v>36749</v>
      </c>
      <c r="C3592" t="s">
        <v>3</v>
      </c>
      <c r="D3592">
        <v>87.585049999999995</v>
      </c>
    </row>
    <row r="3593" spans="2:4">
      <c r="B3593" s="2">
        <v>36748</v>
      </c>
      <c r="C3593" t="s">
        <v>3</v>
      </c>
      <c r="D3593">
        <v>86.539590000000004</v>
      </c>
    </row>
    <row r="3594" spans="2:4">
      <c r="B3594" s="2">
        <v>36747</v>
      </c>
      <c r="C3594" t="s">
        <v>3</v>
      </c>
      <c r="D3594">
        <v>86.917929999999998</v>
      </c>
    </row>
    <row r="3595" spans="2:4">
      <c r="B3595" s="2">
        <v>36746</v>
      </c>
      <c r="C3595" t="s">
        <v>3</v>
      </c>
      <c r="D3595">
        <v>87.57526</v>
      </c>
    </row>
    <row r="3596" spans="2:4">
      <c r="B3596" s="2">
        <v>36745</v>
      </c>
      <c r="C3596" t="s">
        <v>3</v>
      </c>
      <c r="D3596">
        <v>88.415599999999998</v>
      </c>
    </row>
    <row r="3597" spans="2:4">
      <c r="B3597" s="2">
        <v>36742</v>
      </c>
      <c r="C3597" t="s">
        <v>3</v>
      </c>
      <c r="D3597">
        <v>88.564920000000001</v>
      </c>
    </row>
    <row r="3598" spans="2:4">
      <c r="B3598" s="2">
        <v>36741</v>
      </c>
      <c r="C3598" t="s">
        <v>3</v>
      </c>
      <c r="D3598">
        <v>89.425920000000005</v>
      </c>
    </row>
    <row r="3599" spans="2:4">
      <c r="B3599" s="2">
        <v>36740</v>
      </c>
      <c r="C3599" t="s">
        <v>3</v>
      </c>
      <c r="D3599">
        <v>89.758200000000002</v>
      </c>
    </row>
    <row r="3600" spans="2:4">
      <c r="B3600" s="2">
        <v>36739</v>
      </c>
      <c r="C3600" t="s">
        <v>3</v>
      </c>
      <c r="D3600">
        <v>91.71</v>
      </c>
    </row>
    <row r="3601" spans="2:4">
      <c r="B3601" s="2">
        <v>36738</v>
      </c>
      <c r="C3601" t="s">
        <v>3</v>
      </c>
      <c r="D3601">
        <v>92.241249999999994</v>
      </c>
    </row>
    <row r="3602" spans="2:4">
      <c r="B3602" s="2">
        <v>36735</v>
      </c>
      <c r="C3602" t="s">
        <v>3</v>
      </c>
      <c r="D3602">
        <v>91.717905000000002</v>
      </c>
    </row>
    <row r="3603" spans="2:4">
      <c r="B3603" s="2">
        <v>36734</v>
      </c>
      <c r="C3603" t="s">
        <v>3</v>
      </c>
      <c r="D3603">
        <v>91.03689</v>
      </c>
    </row>
    <row r="3604" spans="2:4">
      <c r="B3604" s="2">
        <v>36733</v>
      </c>
      <c r="C3604" t="s">
        <v>3</v>
      </c>
      <c r="D3604">
        <v>91.807500000000005</v>
      </c>
    </row>
    <row r="3605" spans="2:4">
      <c r="B3605" s="2">
        <v>36732</v>
      </c>
      <c r="C3605" t="s">
        <v>3</v>
      </c>
      <c r="D3605">
        <v>91.876249999999999</v>
      </c>
    </row>
    <row r="3606" spans="2:4">
      <c r="B3606" s="2">
        <v>36731</v>
      </c>
      <c r="C3606" t="s">
        <v>3</v>
      </c>
      <c r="D3606">
        <v>91.396694999999994</v>
      </c>
    </row>
    <row r="3607" spans="2:4">
      <c r="B3607" s="2">
        <v>36728</v>
      </c>
      <c r="C3607" t="s">
        <v>3</v>
      </c>
      <c r="D3607">
        <v>90.963435000000004</v>
      </c>
    </row>
    <row r="3608" spans="2:4">
      <c r="B3608" s="2">
        <v>36727</v>
      </c>
      <c r="C3608" t="s">
        <v>3</v>
      </c>
      <c r="D3608">
        <v>91.207499999999996</v>
      </c>
    </row>
    <row r="3609" spans="2:4">
      <c r="B3609" s="2">
        <v>36726</v>
      </c>
      <c r="C3609" t="s">
        <v>3</v>
      </c>
      <c r="D3609">
        <v>92.18235</v>
      </c>
    </row>
    <row r="3610" spans="2:4">
      <c r="B3610" s="2">
        <v>36725</v>
      </c>
      <c r="C3610" t="s">
        <v>3</v>
      </c>
      <c r="D3610">
        <v>91.839179999999999</v>
      </c>
    </row>
    <row r="3611" spans="2:4">
      <c r="B3611" s="2">
        <v>36724</v>
      </c>
      <c r="C3611" t="s">
        <v>3</v>
      </c>
      <c r="D3611">
        <v>92.603099999999998</v>
      </c>
    </row>
    <row r="3612" spans="2:4">
      <c r="B3612" s="2">
        <v>36721</v>
      </c>
      <c r="C3612" t="s">
        <v>3</v>
      </c>
      <c r="D3612">
        <v>93.322845000000001</v>
      </c>
    </row>
    <row r="3613" spans="2:4">
      <c r="B3613" s="2">
        <v>36720</v>
      </c>
      <c r="C3613" t="s">
        <v>3</v>
      </c>
      <c r="D3613">
        <v>91.765630000000002</v>
      </c>
    </row>
    <row r="3614" spans="2:4">
      <c r="B3614" s="2">
        <v>36719</v>
      </c>
      <c r="C3614" t="s">
        <v>3</v>
      </c>
      <c r="D3614">
        <v>90.85154</v>
      </c>
    </row>
    <row r="3615" spans="2:4">
      <c r="B3615" s="2">
        <v>36718</v>
      </c>
      <c r="C3615" t="s">
        <v>3</v>
      </c>
      <c r="D3615">
        <v>89.975025000000002</v>
      </c>
    </row>
    <row r="3616" spans="2:4">
      <c r="B3616" s="2">
        <v>36717</v>
      </c>
      <c r="C3616" t="s">
        <v>3</v>
      </c>
      <c r="D3616">
        <v>88.438900000000004</v>
      </c>
    </row>
    <row r="3617" spans="2:4">
      <c r="B3617" s="2">
        <v>36714</v>
      </c>
      <c r="C3617" t="s">
        <v>3</v>
      </c>
      <c r="D3617">
        <v>87.941590000000005</v>
      </c>
    </row>
    <row r="3618" spans="2:4">
      <c r="B3618" s="2">
        <v>36713</v>
      </c>
      <c r="C3618" t="s">
        <v>3</v>
      </c>
      <c r="D3618">
        <v>88.165030000000002</v>
      </c>
    </row>
    <row r="3619" spans="2:4">
      <c r="B3619" s="2">
        <v>36712</v>
      </c>
      <c r="C3619" t="s">
        <v>3</v>
      </c>
      <c r="D3619">
        <v>87.609525000000005</v>
      </c>
    </row>
    <row r="3620" spans="2:4">
      <c r="B3620" s="2">
        <v>36710</v>
      </c>
      <c r="C3620" t="s">
        <v>3</v>
      </c>
      <c r="D3620">
        <v>88.33614</v>
      </c>
    </row>
    <row r="3621" spans="2:4">
      <c r="B3621" s="2">
        <v>36707</v>
      </c>
      <c r="C3621" t="s">
        <v>3</v>
      </c>
      <c r="D3621">
        <v>88.792834999999997</v>
      </c>
    </row>
    <row r="3622" spans="2:4">
      <c r="B3622" s="2">
        <v>36706</v>
      </c>
      <c r="C3622" t="s">
        <v>3</v>
      </c>
      <c r="D3622">
        <v>88.874775</v>
      </c>
    </row>
    <row r="3623" spans="2:4">
      <c r="B3623" s="2">
        <v>36705</v>
      </c>
      <c r="C3623" t="s">
        <v>3</v>
      </c>
      <c r="D3623">
        <v>88.844210000000004</v>
      </c>
    </row>
    <row r="3624" spans="2:4">
      <c r="B3624" s="2">
        <v>36704</v>
      </c>
      <c r="C3624" t="s">
        <v>3</v>
      </c>
      <c r="D3624">
        <v>89.440780000000004</v>
      </c>
    </row>
    <row r="3625" spans="2:4">
      <c r="B3625" s="2">
        <v>36703</v>
      </c>
      <c r="C3625" t="s">
        <v>3</v>
      </c>
      <c r="D3625">
        <v>89.248324999999994</v>
      </c>
    </row>
    <row r="3626" spans="2:4">
      <c r="B3626" s="2">
        <v>36700</v>
      </c>
      <c r="C3626" t="s">
        <v>3</v>
      </c>
      <c r="D3626">
        <v>90.923310000000001</v>
      </c>
    </row>
    <row r="3627" spans="2:4">
      <c r="B3627" s="2">
        <v>36699</v>
      </c>
      <c r="C3627" t="s">
        <v>3</v>
      </c>
      <c r="D3627">
        <v>90.500489999999999</v>
      </c>
    </row>
    <row r="3628" spans="2:4">
      <c r="B3628" s="2">
        <v>36698</v>
      </c>
      <c r="C3628" t="s">
        <v>3</v>
      </c>
      <c r="D3628">
        <v>90.082530000000006</v>
      </c>
    </row>
    <row r="3629" spans="2:4">
      <c r="B3629" s="2">
        <v>36697</v>
      </c>
      <c r="C3629" t="s">
        <v>3</v>
      </c>
      <c r="D3629">
        <v>87.520605000000003</v>
      </c>
    </row>
    <row r="3630" spans="2:4">
      <c r="B3630" s="2">
        <v>36696</v>
      </c>
      <c r="C3630" t="s">
        <v>3</v>
      </c>
      <c r="D3630">
        <v>86.776120000000006</v>
      </c>
    </row>
    <row r="3631" spans="2:4">
      <c r="B3631" s="2">
        <v>36693</v>
      </c>
      <c r="C3631" t="s">
        <v>3</v>
      </c>
      <c r="D3631">
        <v>85.282139999999998</v>
      </c>
    </row>
    <row r="3632" spans="2:4">
      <c r="B3632" s="2">
        <v>36692</v>
      </c>
      <c r="C3632" t="s">
        <v>3</v>
      </c>
      <c r="D3632">
        <v>86.029974999999993</v>
      </c>
    </row>
    <row r="3633" spans="2:4">
      <c r="B3633" s="2">
        <v>36691</v>
      </c>
      <c r="C3633" t="s">
        <v>3</v>
      </c>
      <c r="D3633">
        <v>86.812600000000003</v>
      </c>
    </row>
    <row r="3634" spans="2:4">
      <c r="B3634" s="2">
        <v>36690</v>
      </c>
      <c r="C3634" t="s">
        <v>3</v>
      </c>
      <c r="D3634">
        <v>87.235039999999998</v>
      </c>
    </row>
    <row r="3635" spans="2:4">
      <c r="B3635" s="2">
        <v>36689</v>
      </c>
      <c r="C3635" t="s">
        <v>3</v>
      </c>
      <c r="D3635">
        <v>86.598675</v>
      </c>
    </row>
    <row r="3636" spans="2:4">
      <c r="B3636" s="2">
        <v>36686</v>
      </c>
      <c r="C3636" t="s">
        <v>3</v>
      </c>
      <c r="D3636">
        <v>87.360074999999995</v>
      </c>
    </row>
    <row r="3637" spans="2:4">
      <c r="B3637" s="2">
        <v>36685</v>
      </c>
      <c r="C3637" t="s">
        <v>3</v>
      </c>
      <c r="D3637">
        <v>87.631500000000003</v>
      </c>
    </row>
    <row r="3638" spans="2:4">
      <c r="B3638" s="2">
        <v>36684</v>
      </c>
      <c r="C3638" t="s">
        <v>3</v>
      </c>
      <c r="D3638">
        <v>86.317179999999993</v>
      </c>
    </row>
    <row r="3639" spans="2:4">
      <c r="B3639" s="2">
        <v>36683</v>
      </c>
      <c r="C3639" t="s">
        <v>3</v>
      </c>
      <c r="D3639">
        <v>86.316014999999993</v>
      </c>
    </row>
    <row r="3640" spans="2:4">
      <c r="B3640" s="2">
        <v>36682</v>
      </c>
      <c r="C3640" t="s">
        <v>3</v>
      </c>
      <c r="D3640">
        <v>86.410349999999994</v>
      </c>
    </row>
    <row r="3641" spans="2:4">
      <c r="B3641" s="2">
        <v>36679</v>
      </c>
      <c r="C3641" t="s">
        <v>3</v>
      </c>
      <c r="D3641">
        <v>87.482069999999993</v>
      </c>
    </row>
    <row r="3642" spans="2:4">
      <c r="B3642" s="2">
        <v>36678</v>
      </c>
      <c r="C3642" t="s">
        <v>3</v>
      </c>
      <c r="D3642">
        <v>85.757959999999997</v>
      </c>
    </row>
    <row r="3643" spans="2:4">
      <c r="B3643" s="2">
        <v>36677</v>
      </c>
      <c r="C3643" t="s">
        <v>3</v>
      </c>
      <c r="D3643">
        <v>85.637609999999995</v>
      </c>
    </row>
    <row r="3644" spans="2:4">
      <c r="B3644" s="2">
        <v>36676</v>
      </c>
      <c r="C3644" t="s">
        <v>3</v>
      </c>
      <c r="D3644">
        <v>84.912090000000006</v>
      </c>
    </row>
    <row r="3645" spans="2:4">
      <c r="B3645" s="2">
        <v>36672</v>
      </c>
      <c r="C3645" t="s">
        <v>3</v>
      </c>
      <c r="D3645">
        <v>84.39761</v>
      </c>
    </row>
    <row r="3646" spans="2:4">
      <c r="B3646" s="2">
        <v>36671</v>
      </c>
      <c r="C3646" t="s">
        <v>3</v>
      </c>
      <c r="D3646">
        <v>84.740960000000001</v>
      </c>
    </row>
    <row r="3647" spans="2:4">
      <c r="B3647" s="2">
        <v>36670</v>
      </c>
      <c r="C3647" t="s">
        <v>3</v>
      </c>
      <c r="D3647">
        <v>85.739400000000003</v>
      </c>
    </row>
    <row r="3648" spans="2:4">
      <c r="B3648" s="2">
        <v>36669</v>
      </c>
      <c r="C3648" t="s">
        <v>3</v>
      </c>
      <c r="D3648">
        <v>86.029769999999999</v>
      </c>
    </row>
    <row r="3649" spans="2:4">
      <c r="B3649" s="2">
        <v>36668</v>
      </c>
      <c r="C3649" t="s">
        <v>3</v>
      </c>
      <c r="D3649">
        <v>87.380309999999994</v>
      </c>
    </row>
    <row r="3650" spans="2:4">
      <c r="B3650" s="2">
        <v>36665</v>
      </c>
      <c r="C3650" t="s">
        <v>3</v>
      </c>
      <c r="D3650">
        <v>88.232789999999994</v>
      </c>
    </row>
    <row r="3651" spans="2:4">
      <c r="B3651" s="2">
        <v>36664</v>
      </c>
      <c r="C3651" t="s">
        <v>3</v>
      </c>
      <c r="D3651">
        <v>89.42192</v>
      </c>
    </row>
    <row r="3652" spans="2:4">
      <c r="B3652" s="2">
        <v>36663</v>
      </c>
      <c r="C3652" t="s">
        <v>3</v>
      </c>
      <c r="D3652">
        <v>88.353440000000006</v>
      </c>
    </row>
    <row r="3653" spans="2:4">
      <c r="B3653" s="2">
        <v>36662</v>
      </c>
      <c r="C3653" t="s">
        <v>3</v>
      </c>
      <c r="D3653">
        <v>86.565569999999994</v>
      </c>
    </row>
    <row r="3654" spans="2:4">
      <c r="B3654" s="2">
        <v>36661</v>
      </c>
      <c r="C3654" t="s">
        <v>3</v>
      </c>
      <c r="D3654">
        <v>89.999825000000001</v>
      </c>
    </row>
    <row r="3655" spans="2:4">
      <c r="B3655" s="2">
        <v>36658</v>
      </c>
      <c r="C3655" t="s">
        <v>3</v>
      </c>
      <c r="D3655">
        <v>90.617459999999994</v>
      </c>
    </row>
    <row r="3656" spans="2:4">
      <c r="B3656" s="2">
        <v>36657</v>
      </c>
      <c r="C3656" t="s">
        <v>3</v>
      </c>
      <c r="D3656">
        <v>90.498099999999994</v>
      </c>
    </row>
    <row r="3657" spans="2:4">
      <c r="B3657" s="2">
        <v>36656</v>
      </c>
      <c r="C3657" t="s">
        <v>3</v>
      </c>
      <c r="D3657">
        <v>91.820639999999997</v>
      </c>
    </row>
    <row r="3658" spans="2:4">
      <c r="B3658" s="2">
        <v>36655</v>
      </c>
      <c r="C3658" t="s">
        <v>3</v>
      </c>
      <c r="D3658">
        <v>91.852279999999993</v>
      </c>
    </row>
    <row r="3659" spans="2:4">
      <c r="B3659" s="2">
        <v>36654</v>
      </c>
      <c r="C3659" t="s">
        <v>3</v>
      </c>
      <c r="D3659">
        <v>92.383560000000003</v>
      </c>
    </row>
    <row r="3660" spans="2:4">
      <c r="B3660" s="2">
        <v>36651</v>
      </c>
      <c r="C3660" t="s">
        <v>3</v>
      </c>
      <c r="D3660">
        <v>92.577420000000004</v>
      </c>
    </row>
    <row r="3661" spans="2:4">
      <c r="B3661" s="2">
        <v>36650</v>
      </c>
      <c r="C3661" t="s">
        <v>3</v>
      </c>
      <c r="D3661">
        <v>92.066130000000001</v>
      </c>
    </row>
    <row r="3662" spans="2:4">
      <c r="B3662" s="2">
        <v>36649</v>
      </c>
      <c r="C3662" t="s">
        <v>3</v>
      </c>
      <c r="D3662">
        <v>91.527879999999996</v>
      </c>
    </row>
    <row r="3663" spans="2:4">
      <c r="B3663" s="2">
        <v>36648</v>
      </c>
      <c r="C3663" t="s">
        <v>3</v>
      </c>
      <c r="D3663">
        <v>89.515979999999999</v>
      </c>
    </row>
    <row r="3664" spans="2:4">
      <c r="B3664" s="2">
        <v>36647</v>
      </c>
      <c r="C3664" t="s">
        <v>3</v>
      </c>
      <c r="D3664">
        <v>88.53304</v>
      </c>
    </row>
    <row r="3665" spans="2:4">
      <c r="B3665" s="2">
        <v>36644</v>
      </c>
      <c r="C3665" t="s">
        <v>3</v>
      </c>
      <c r="D3665">
        <v>88.210215000000005</v>
      </c>
    </row>
    <row r="3666" spans="2:4">
      <c r="B3666" s="2">
        <v>36643</v>
      </c>
      <c r="C3666" t="s">
        <v>3</v>
      </c>
      <c r="D3666">
        <v>89.132144999999994</v>
      </c>
    </row>
    <row r="3667" spans="2:4">
      <c r="B3667" s="2">
        <v>36642</v>
      </c>
      <c r="C3667" t="s">
        <v>3</v>
      </c>
      <c r="D3667">
        <v>88.147409999999994</v>
      </c>
    </row>
    <row r="3668" spans="2:4">
      <c r="B3668" s="2">
        <v>36641</v>
      </c>
      <c r="C3668" t="s">
        <v>3</v>
      </c>
      <c r="D3668">
        <v>88.628370000000004</v>
      </c>
    </row>
    <row r="3669" spans="2:4">
      <c r="B3669" s="2">
        <v>36640</v>
      </c>
      <c r="C3669" t="s">
        <v>3</v>
      </c>
      <c r="D3669">
        <v>87.851619999999997</v>
      </c>
    </row>
    <row r="3670" spans="2:4">
      <c r="B3670" s="2">
        <v>36636</v>
      </c>
      <c r="C3670" t="s">
        <v>3</v>
      </c>
      <c r="D3670">
        <v>87.454880000000003</v>
      </c>
    </row>
    <row r="3671" spans="2:4">
      <c r="B3671" s="2">
        <v>36635</v>
      </c>
      <c r="C3671" t="s">
        <v>3</v>
      </c>
      <c r="D3671">
        <v>87.249340000000004</v>
      </c>
    </row>
    <row r="3672" spans="2:4">
      <c r="B3672" s="2">
        <v>36634</v>
      </c>
      <c r="C3672" t="s">
        <v>3</v>
      </c>
      <c r="D3672">
        <v>89.248390000000001</v>
      </c>
    </row>
    <row r="3673" spans="2:4">
      <c r="B3673" s="2">
        <v>36633</v>
      </c>
      <c r="C3673" t="s">
        <v>3</v>
      </c>
      <c r="D3673">
        <v>89.998180000000005</v>
      </c>
    </row>
    <row r="3674" spans="2:4">
      <c r="B3674" s="2">
        <v>36630</v>
      </c>
      <c r="C3674" t="s">
        <v>3</v>
      </c>
      <c r="D3674">
        <v>88.754535000000004</v>
      </c>
    </row>
    <row r="3675" spans="2:4">
      <c r="B3675" s="2">
        <v>36629</v>
      </c>
      <c r="C3675" t="s">
        <v>3</v>
      </c>
      <c r="D3675">
        <v>88.238534999999999</v>
      </c>
    </row>
    <row r="3676" spans="2:4">
      <c r="B3676" s="2">
        <v>36628</v>
      </c>
      <c r="C3676" t="s">
        <v>3</v>
      </c>
      <c r="D3676">
        <v>90.161659999999998</v>
      </c>
    </row>
    <row r="3677" spans="2:4">
      <c r="B3677" s="2">
        <v>36627</v>
      </c>
      <c r="C3677" t="s">
        <v>3</v>
      </c>
      <c r="D3677">
        <v>89.301559999999995</v>
      </c>
    </row>
    <row r="3678" spans="2:4">
      <c r="B3678" s="2">
        <v>36626</v>
      </c>
      <c r="C3678" t="s">
        <v>3</v>
      </c>
      <c r="D3678">
        <v>90.777500000000003</v>
      </c>
    </row>
    <row r="3679" spans="2:4">
      <c r="B3679" s="2">
        <v>36623</v>
      </c>
      <c r="C3679" t="s">
        <v>3</v>
      </c>
      <c r="D3679">
        <v>90.428749999999994</v>
      </c>
    </row>
    <row r="3680" spans="2:4">
      <c r="B3680" s="2">
        <v>36622</v>
      </c>
      <c r="C3680" t="s">
        <v>3</v>
      </c>
      <c r="D3680">
        <v>92.453460000000007</v>
      </c>
    </row>
    <row r="3681" spans="2:4">
      <c r="B3681" s="2">
        <v>36621</v>
      </c>
      <c r="C3681" t="s">
        <v>3</v>
      </c>
      <c r="D3681">
        <v>94.037130000000005</v>
      </c>
    </row>
    <row r="3682" spans="2:4">
      <c r="B3682" s="2">
        <v>36620</v>
      </c>
      <c r="C3682" t="s">
        <v>3</v>
      </c>
      <c r="D3682">
        <v>92.036900000000003</v>
      </c>
    </row>
    <row r="3683" spans="2:4">
      <c r="B3683" s="2">
        <v>36619</v>
      </c>
      <c r="C3683" t="s">
        <v>3</v>
      </c>
      <c r="D3683">
        <v>92.561409999999995</v>
      </c>
    </row>
    <row r="3684" spans="2:4">
      <c r="B3684" s="2">
        <v>36616</v>
      </c>
      <c r="C3684" t="s">
        <v>3</v>
      </c>
      <c r="D3684">
        <v>92.693489999999997</v>
      </c>
    </row>
    <row r="3685" spans="2:4">
      <c r="B3685" s="2">
        <v>36615</v>
      </c>
      <c r="C3685" t="s">
        <v>3</v>
      </c>
      <c r="D3685">
        <v>93.658690000000007</v>
      </c>
    </row>
    <row r="3686" spans="2:4">
      <c r="B3686" s="2">
        <v>36614</v>
      </c>
      <c r="C3686" t="s">
        <v>3</v>
      </c>
      <c r="D3686">
        <v>94.681039999999996</v>
      </c>
    </row>
    <row r="3687" spans="2:4">
      <c r="B3687" s="2">
        <v>36613</v>
      </c>
      <c r="C3687" t="s">
        <v>3</v>
      </c>
      <c r="D3687">
        <v>94.652175</v>
      </c>
    </row>
    <row r="3688" spans="2:4">
      <c r="B3688" s="2">
        <v>36612</v>
      </c>
      <c r="C3688" t="s">
        <v>3</v>
      </c>
      <c r="D3688">
        <v>94.083524999999995</v>
      </c>
    </row>
    <row r="3689" spans="2:4">
      <c r="B3689" s="2">
        <v>36609</v>
      </c>
      <c r="C3689" t="s">
        <v>3</v>
      </c>
      <c r="D3689">
        <v>93.285309999999996</v>
      </c>
    </row>
    <row r="3690" spans="2:4">
      <c r="B3690" s="2">
        <v>36608</v>
      </c>
      <c r="C3690" t="s">
        <v>3</v>
      </c>
      <c r="D3690">
        <v>90.492720000000006</v>
      </c>
    </row>
    <row r="3691" spans="2:4">
      <c r="B3691" s="2">
        <v>36607</v>
      </c>
      <c r="C3691" t="s">
        <v>3</v>
      </c>
      <c r="D3691">
        <v>91.338399999999993</v>
      </c>
    </row>
    <row r="3692" spans="2:4">
      <c r="B3692" s="2">
        <v>36606</v>
      </c>
      <c r="C3692" t="s">
        <v>3</v>
      </c>
      <c r="D3692">
        <v>90.762990000000002</v>
      </c>
    </row>
    <row r="3693" spans="2:4">
      <c r="B3693" s="2">
        <v>36605</v>
      </c>
      <c r="C3693" t="s">
        <v>3</v>
      </c>
      <c r="D3693">
        <v>91.681250000000006</v>
      </c>
    </row>
    <row r="3694" spans="2:4">
      <c r="B3694" s="2">
        <v>36602</v>
      </c>
      <c r="C3694" t="s">
        <v>3</v>
      </c>
      <c r="D3694">
        <v>91.328749999999999</v>
      </c>
    </row>
    <row r="3695" spans="2:4">
      <c r="B3695" s="2">
        <v>36601</v>
      </c>
      <c r="C3695" t="s">
        <v>3</v>
      </c>
      <c r="D3695">
        <v>92.761250000000004</v>
      </c>
    </row>
    <row r="3696" spans="2:4">
      <c r="B3696" s="2">
        <v>36600</v>
      </c>
      <c r="C3696" t="s">
        <v>3</v>
      </c>
      <c r="D3696">
        <v>93.965615</v>
      </c>
    </row>
    <row r="3697" spans="2:4">
      <c r="B3697" s="2">
        <v>36599</v>
      </c>
      <c r="C3697" t="s">
        <v>3</v>
      </c>
      <c r="D3697">
        <v>94.330820000000003</v>
      </c>
    </row>
    <row r="3698" spans="2:4">
      <c r="B3698" s="2">
        <v>36598</v>
      </c>
      <c r="C3698" t="s">
        <v>3</v>
      </c>
      <c r="D3698">
        <v>94.605665000000002</v>
      </c>
    </row>
    <row r="3699" spans="2:4">
      <c r="B3699" s="2">
        <v>36595</v>
      </c>
      <c r="C3699" t="s">
        <v>3</v>
      </c>
      <c r="D3699">
        <v>94.601900000000001</v>
      </c>
    </row>
    <row r="3700" spans="2:4">
      <c r="B3700" s="2">
        <v>36594</v>
      </c>
      <c r="C3700" t="s">
        <v>3</v>
      </c>
      <c r="D3700">
        <v>92.111009999999993</v>
      </c>
    </row>
    <row r="3701" spans="2:4">
      <c r="B3701" s="2">
        <v>36593</v>
      </c>
      <c r="C3701" t="s">
        <v>3</v>
      </c>
      <c r="D3701">
        <v>92.306579999999997</v>
      </c>
    </row>
    <row r="3702" spans="2:4">
      <c r="B3702" s="2">
        <v>36592</v>
      </c>
      <c r="C3702" t="s">
        <v>3</v>
      </c>
      <c r="D3702">
        <v>92.300430000000006</v>
      </c>
    </row>
    <row r="3703" spans="2:4">
      <c r="B3703" s="2">
        <v>36591</v>
      </c>
      <c r="C3703" t="s">
        <v>3</v>
      </c>
      <c r="D3703">
        <v>92.144220000000004</v>
      </c>
    </row>
    <row r="3704" spans="2:4">
      <c r="B3704" s="2">
        <v>36588</v>
      </c>
      <c r="C3704" t="s">
        <v>3</v>
      </c>
      <c r="D3704">
        <v>90.230909999999994</v>
      </c>
    </row>
    <row r="3705" spans="2:4">
      <c r="B3705" s="2">
        <v>36587</v>
      </c>
      <c r="C3705" t="s">
        <v>3</v>
      </c>
      <c r="D3705">
        <v>90.988370000000003</v>
      </c>
    </row>
    <row r="3706" spans="2:4">
      <c r="B3706" s="2">
        <v>36586</v>
      </c>
      <c r="C3706" t="s">
        <v>3</v>
      </c>
      <c r="D3706">
        <v>89.905824999999993</v>
      </c>
    </row>
    <row r="3707" spans="2:4">
      <c r="B3707" s="2">
        <v>36585</v>
      </c>
      <c r="C3707" t="s">
        <v>3</v>
      </c>
      <c r="D3707">
        <v>91.120895000000004</v>
      </c>
    </row>
    <row r="3708" spans="2:4">
      <c r="B3708" s="2">
        <v>36584</v>
      </c>
      <c r="C3708" t="s">
        <v>3</v>
      </c>
      <c r="D3708">
        <v>92.54898</v>
      </c>
    </row>
    <row r="3709" spans="2:4">
      <c r="B3709" s="2">
        <v>36581</v>
      </c>
      <c r="C3709" t="s">
        <v>3</v>
      </c>
      <c r="D3709">
        <v>93.147900000000007</v>
      </c>
    </row>
    <row r="3710" spans="2:4">
      <c r="B3710" s="2">
        <v>36580</v>
      </c>
      <c r="C3710" t="s">
        <v>3</v>
      </c>
      <c r="D3710">
        <v>92.468940000000003</v>
      </c>
    </row>
    <row r="3711" spans="2:4">
      <c r="B3711" s="2">
        <v>36579</v>
      </c>
      <c r="C3711" t="s">
        <v>3</v>
      </c>
      <c r="D3711">
        <v>93.239320000000006</v>
      </c>
    </row>
    <row r="3712" spans="2:4">
      <c r="B3712" s="2">
        <v>36578</v>
      </c>
      <c r="C3712" t="s">
        <v>3</v>
      </c>
      <c r="D3712">
        <v>92.663960000000003</v>
      </c>
    </row>
    <row r="3713" spans="2:4">
      <c r="B3713" s="2">
        <v>36574</v>
      </c>
      <c r="C3713" t="s">
        <v>3</v>
      </c>
      <c r="D3713">
        <v>93.401814999999999</v>
      </c>
    </row>
    <row r="3714" spans="2:4">
      <c r="B3714" s="2">
        <v>36573</v>
      </c>
      <c r="C3714" t="s">
        <v>3</v>
      </c>
      <c r="D3714">
        <v>94.810400000000001</v>
      </c>
    </row>
    <row r="3715" spans="2:4">
      <c r="B3715" s="2">
        <v>36572</v>
      </c>
      <c r="C3715" t="s">
        <v>3</v>
      </c>
      <c r="D3715">
        <v>95.570520000000002</v>
      </c>
    </row>
    <row r="3716" spans="2:4">
      <c r="B3716" s="2">
        <v>36571</v>
      </c>
      <c r="C3716" t="s">
        <v>3</v>
      </c>
      <c r="D3716">
        <v>95.1875</v>
      </c>
    </row>
    <row r="3717" spans="2:4">
      <c r="B3717" s="2">
        <v>36570</v>
      </c>
      <c r="C3717" t="s">
        <v>3</v>
      </c>
      <c r="D3717">
        <v>95.611320000000006</v>
      </c>
    </row>
    <row r="3718" spans="2:4">
      <c r="B3718" s="2">
        <v>36567</v>
      </c>
      <c r="C3718" t="s">
        <v>3</v>
      </c>
      <c r="D3718">
        <v>96.31062</v>
      </c>
    </row>
    <row r="3719" spans="2:4">
      <c r="B3719" s="2">
        <v>36566</v>
      </c>
      <c r="C3719" t="s">
        <v>3</v>
      </c>
      <c r="D3719">
        <v>98.301439999999999</v>
      </c>
    </row>
    <row r="3720" spans="2:4">
      <c r="B3720" s="2">
        <v>36565</v>
      </c>
      <c r="C3720" t="s">
        <v>3</v>
      </c>
      <c r="D3720">
        <v>96.364800000000002</v>
      </c>
    </row>
    <row r="3721" spans="2:4">
      <c r="B3721" s="2">
        <v>36564</v>
      </c>
      <c r="C3721" t="s">
        <v>3</v>
      </c>
      <c r="D3721">
        <v>94.287525000000002</v>
      </c>
    </row>
    <row r="3722" spans="2:4">
      <c r="B3722" s="2">
        <v>36563</v>
      </c>
      <c r="C3722" t="s">
        <v>3</v>
      </c>
      <c r="D3722">
        <v>96.327680000000001</v>
      </c>
    </row>
    <row r="3723" spans="2:4">
      <c r="B3723" s="2">
        <v>36560</v>
      </c>
      <c r="C3723" t="s">
        <v>3</v>
      </c>
      <c r="D3723">
        <v>95.917950000000005</v>
      </c>
    </row>
    <row r="3724" spans="2:4">
      <c r="B3724" s="2">
        <v>36559</v>
      </c>
      <c r="C3724" t="s">
        <v>3</v>
      </c>
      <c r="D3724">
        <v>95.458560000000006</v>
      </c>
    </row>
    <row r="3725" spans="2:4">
      <c r="B3725" s="2">
        <v>36558</v>
      </c>
      <c r="C3725" t="s">
        <v>3</v>
      </c>
      <c r="D3725">
        <v>96.864000000000004</v>
      </c>
    </row>
    <row r="3726" spans="2:4">
      <c r="B3726" s="2">
        <v>36557</v>
      </c>
      <c r="C3726" t="s">
        <v>3</v>
      </c>
      <c r="D3726">
        <v>98.003879999999995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392"/>
  <sheetViews>
    <sheetView workbookViewId="0">
      <selection activeCell="J35" sqref="J35"/>
    </sheetView>
  </sheetViews>
  <sheetFormatPr defaultRowHeight="15"/>
  <cols>
    <col min="2" max="2" width="10.7109375" bestFit="1" customWidth="1"/>
    <col min="3" max="3" width="27" bestFit="1" customWidth="1"/>
  </cols>
  <sheetData>
    <row r="1" spans="2:3">
      <c r="B1" t="s">
        <v>0</v>
      </c>
      <c r="C1" t="s">
        <v>1</v>
      </c>
    </row>
    <row r="2" spans="2:3">
      <c r="B2" s="2">
        <v>40053</v>
      </c>
      <c r="C2">
        <v>147.88647221756884</v>
      </c>
    </row>
    <row r="3" spans="2:3">
      <c r="B3" s="2">
        <v>40056</v>
      </c>
      <c r="C3">
        <v>142.82016995898235</v>
      </c>
    </row>
    <row r="4" spans="2:3">
      <c r="B4" s="2">
        <v>40057</v>
      </c>
      <c r="C4">
        <v>140.79497060576486</v>
      </c>
    </row>
    <row r="5" spans="2:3">
      <c r="B5" s="2">
        <v>40058</v>
      </c>
      <c r="C5">
        <v>141.40473415050675</v>
      </c>
    </row>
    <row r="6" spans="2:3">
      <c r="B6" s="2">
        <v>40059</v>
      </c>
      <c r="C6">
        <v>140.38009560888321</v>
      </c>
    </row>
    <row r="7" spans="2:3">
      <c r="B7" s="2">
        <v>40060</v>
      </c>
      <c r="C7">
        <v>140.33250549198038</v>
      </c>
    </row>
    <row r="8" spans="2:3">
      <c r="B8" s="2">
        <v>40064</v>
      </c>
      <c r="C8">
        <v>138.06317899244425</v>
      </c>
    </row>
    <row r="9" spans="2:3">
      <c r="B9" s="2">
        <v>40065</v>
      </c>
      <c r="C9">
        <v>135.80654839461545</v>
      </c>
    </row>
    <row r="10" spans="2:3">
      <c r="B10" s="2">
        <v>40066</v>
      </c>
      <c r="C10">
        <v>137.12250199388038</v>
      </c>
    </row>
    <row r="11" spans="2:3">
      <c r="B11" s="2">
        <v>40067</v>
      </c>
      <c r="C11">
        <v>135.79976126621159</v>
      </c>
    </row>
    <row r="12" spans="2:3">
      <c r="B12" s="2">
        <v>40070</v>
      </c>
      <c r="C12">
        <v>119.42267797008228</v>
      </c>
    </row>
    <row r="13" spans="2:3">
      <c r="B13" s="2">
        <v>40071</v>
      </c>
      <c r="C13">
        <v>119.07089203641834</v>
      </c>
    </row>
    <row r="14" spans="2:3">
      <c r="B14" s="2">
        <v>40072</v>
      </c>
      <c r="C14">
        <v>117.72323660446244</v>
      </c>
    </row>
    <row r="15" spans="2:3">
      <c r="B15" s="2">
        <v>40073</v>
      </c>
      <c r="C15">
        <v>118.57545762320956</v>
      </c>
    </row>
    <row r="16" spans="2:3">
      <c r="B16" s="2">
        <v>40074</v>
      </c>
      <c r="C16">
        <v>119.73503876778754</v>
      </c>
    </row>
    <row r="17" spans="2:3">
      <c r="B17" s="2">
        <v>40077</v>
      </c>
      <c r="C17">
        <v>114.79486276132012</v>
      </c>
    </row>
    <row r="18" spans="2:3">
      <c r="B18" s="2">
        <v>40078</v>
      </c>
      <c r="C18">
        <v>114.7939961656573</v>
      </c>
    </row>
    <row r="19" spans="2:3">
      <c r="B19" s="2">
        <v>40079</v>
      </c>
      <c r="C19">
        <v>114.78476684099685</v>
      </c>
    </row>
    <row r="20" spans="2:3">
      <c r="B20" s="2">
        <v>40080</v>
      </c>
      <c r="C20">
        <v>115.0780260711735</v>
      </c>
    </row>
    <row r="21" spans="2:3">
      <c r="B21" s="2">
        <v>40081</v>
      </c>
      <c r="C21">
        <v>115.1526501285244</v>
      </c>
    </row>
    <row r="22" spans="2:3">
      <c r="B22" s="2">
        <v>40084</v>
      </c>
      <c r="C22">
        <v>115.36777669291736</v>
      </c>
    </row>
    <row r="23" spans="2:3">
      <c r="B23" s="2">
        <v>40085</v>
      </c>
      <c r="C23">
        <v>115.36236226000858</v>
      </c>
    </row>
    <row r="24" spans="2:3">
      <c r="B24" s="2">
        <v>40086</v>
      </c>
      <c r="C24">
        <v>115.25193391492019</v>
      </c>
    </row>
    <row r="25" spans="2:3">
      <c r="B25" s="2">
        <v>40087</v>
      </c>
      <c r="C25">
        <v>113.98543138653874</v>
      </c>
    </row>
    <row r="26" spans="2:3">
      <c r="B26" s="2">
        <v>40088</v>
      </c>
      <c r="C26">
        <v>111.76963124416643</v>
      </c>
    </row>
    <row r="27" spans="2:3">
      <c r="B27" s="2">
        <v>40091</v>
      </c>
      <c r="C27">
        <v>110.22780390928332</v>
      </c>
    </row>
    <row r="28" spans="2:3">
      <c r="B28" s="2">
        <v>40092</v>
      </c>
      <c r="C28">
        <v>109.20675653961732</v>
      </c>
    </row>
    <row r="29" spans="2:3">
      <c r="B29" s="2">
        <v>40093</v>
      </c>
      <c r="C29">
        <v>108.45484086706978</v>
      </c>
    </row>
    <row r="30" spans="2:3">
      <c r="B30" s="2">
        <v>40094</v>
      </c>
      <c r="C30">
        <v>102.37652881120928</v>
      </c>
    </row>
    <row r="31" spans="2:3">
      <c r="B31" s="2">
        <v>40095</v>
      </c>
      <c r="C31">
        <v>105.31393590061677</v>
      </c>
    </row>
    <row r="32" spans="2:3">
      <c r="B32" s="2">
        <v>40099</v>
      </c>
      <c r="C32">
        <v>104.6179523024811</v>
      </c>
    </row>
    <row r="33" spans="2:3">
      <c r="B33" s="2">
        <v>40100</v>
      </c>
      <c r="C33">
        <v>106.38286338414666</v>
      </c>
    </row>
    <row r="34" spans="2:3">
      <c r="B34" s="2">
        <v>40101</v>
      </c>
      <c r="C34">
        <v>104.72664674577597</v>
      </c>
    </row>
    <row r="35" spans="2:3">
      <c r="B35" s="2">
        <v>40102</v>
      </c>
      <c r="C35">
        <v>104.5083281641252</v>
      </c>
    </row>
    <row r="36" spans="2:3">
      <c r="B36" s="2">
        <v>40105</v>
      </c>
      <c r="C36">
        <v>97.796080439397954</v>
      </c>
    </row>
    <row r="37" spans="2:3">
      <c r="B37" s="2">
        <v>40106</v>
      </c>
      <c r="C37">
        <v>97.324833130562624</v>
      </c>
    </row>
    <row r="38" spans="2:3">
      <c r="B38" s="2">
        <v>40107</v>
      </c>
      <c r="C38">
        <v>97.65598169175162</v>
      </c>
    </row>
    <row r="39" spans="2:3">
      <c r="B39" s="2">
        <v>40108</v>
      </c>
      <c r="C39">
        <v>97.192289968299775</v>
      </c>
    </row>
    <row r="40" spans="2:3">
      <c r="B40" s="2">
        <v>40109</v>
      </c>
      <c r="C40">
        <v>97.255998221795835</v>
      </c>
    </row>
    <row r="41" spans="2:3">
      <c r="B41" s="2">
        <v>40112</v>
      </c>
      <c r="C41">
        <v>98.399177122112661</v>
      </c>
    </row>
    <row r="42" spans="2:3">
      <c r="B42" s="2">
        <v>40113</v>
      </c>
      <c r="C42">
        <v>95.15921618503522</v>
      </c>
    </row>
    <row r="43" spans="2:3">
      <c r="B43" s="2">
        <v>40114</v>
      </c>
      <c r="C43">
        <v>93.30368938014665</v>
      </c>
    </row>
    <row r="44" spans="2:3">
      <c r="B44" s="2">
        <v>40115</v>
      </c>
      <c r="C44">
        <v>93.425298139564774</v>
      </c>
    </row>
    <row r="45" spans="2:3">
      <c r="B45" s="2">
        <v>40116</v>
      </c>
      <c r="C45">
        <v>91.030994043529304</v>
      </c>
    </row>
    <row r="46" spans="2:3">
      <c r="B46" s="2">
        <v>40119</v>
      </c>
      <c r="C46">
        <v>91.669918738154792</v>
      </c>
    </row>
    <row r="47" spans="2:3">
      <c r="B47" s="2">
        <v>40120</v>
      </c>
      <c r="C47">
        <v>89.685598217107739</v>
      </c>
    </row>
    <row r="48" spans="2:3">
      <c r="B48" s="2">
        <v>40121</v>
      </c>
      <c r="C48">
        <v>87.402795286496186</v>
      </c>
    </row>
    <row r="49" spans="2:3">
      <c r="B49" s="2">
        <v>40122</v>
      </c>
      <c r="C49">
        <v>87.131918087618772</v>
      </c>
    </row>
    <row r="50" spans="2:3">
      <c r="B50" s="2">
        <v>40123</v>
      </c>
      <c r="C50">
        <v>87.508308857976786</v>
      </c>
    </row>
    <row r="51" spans="2:3">
      <c r="B51" s="2">
        <v>40126</v>
      </c>
      <c r="C51">
        <v>84.865437352323639</v>
      </c>
    </row>
    <row r="52" spans="2:3">
      <c r="B52" s="2">
        <v>40127</v>
      </c>
      <c r="C52">
        <v>84.73579046321241</v>
      </c>
    </row>
    <row r="53" spans="2:3">
      <c r="B53" s="2">
        <v>40129</v>
      </c>
      <c r="C53">
        <v>85.040756088279196</v>
      </c>
    </row>
    <row r="54" spans="2:3">
      <c r="B54" s="2">
        <v>40130</v>
      </c>
      <c r="C54">
        <v>85.835699219878052</v>
      </c>
    </row>
    <row r="55" spans="2:3">
      <c r="B55" s="2">
        <v>40133</v>
      </c>
      <c r="C55">
        <v>87.729145197109958</v>
      </c>
    </row>
    <row r="56" spans="2:3">
      <c r="B56" s="2">
        <v>40134</v>
      </c>
      <c r="C56">
        <v>88.541727045240876</v>
      </c>
    </row>
    <row r="57" spans="2:3">
      <c r="B57" s="2">
        <v>40135</v>
      </c>
      <c r="C57">
        <v>87.675712673483901</v>
      </c>
    </row>
    <row r="58" spans="2:3">
      <c r="B58" s="2">
        <v>40136</v>
      </c>
      <c r="C58">
        <v>87.574167316942791</v>
      </c>
    </row>
    <row r="59" spans="2:3">
      <c r="B59" s="2">
        <v>40137</v>
      </c>
      <c r="C59">
        <v>87.622045479099143</v>
      </c>
    </row>
    <row r="60" spans="2:3">
      <c r="B60" s="2">
        <v>40140</v>
      </c>
      <c r="C60">
        <v>87.707453678530584</v>
      </c>
    </row>
    <row r="61" spans="2:3">
      <c r="B61" s="2">
        <v>40141</v>
      </c>
      <c r="C61">
        <v>88.76152761619106</v>
      </c>
    </row>
    <row r="62" spans="2:3">
      <c r="B62" s="2">
        <v>40142</v>
      </c>
      <c r="C62">
        <v>88.760695798436657</v>
      </c>
    </row>
    <row r="63" spans="2:3">
      <c r="B63" s="2">
        <v>40144</v>
      </c>
      <c r="C63">
        <v>88.359727583020231</v>
      </c>
    </row>
    <row r="64" spans="2:3">
      <c r="B64" s="2">
        <v>40147</v>
      </c>
      <c r="C64">
        <v>88.324828697479475</v>
      </c>
    </row>
    <row r="65" spans="2:3">
      <c r="B65" s="2">
        <v>40148</v>
      </c>
      <c r="C65">
        <v>89.17554210794863</v>
      </c>
    </row>
    <row r="66" spans="2:3">
      <c r="B66" s="2">
        <v>40149</v>
      </c>
      <c r="C66">
        <v>89.614709874552162</v>
      </c>
    </row>
    <row r="67" spans="2:3">
      <c r="B67" s="2">
        <v>40150</v>
      </c>
      <c r="C67">
        <v>89.652549223956086</v>
      </c>
    </row>
    <row r="68" spans="2:3">
      <c r="B68" s="2">
        <v>40151</v>
      </c>
      <c r="C68">
        <v>91.087203306913821</v>
      </c>
    </row>
    <row r="69" spans="2:3">
      <c r="B69" s="2">
        <v>40154</v>
      </c>
      <c r="C69">
        <v>91.55862860462058</v>
      </c>
    </row>
    <row r="70" spans="2:3">
      <c r="B70" s="2">
        <v>40155</v>
      </c>
      <c r="C70">
        <v>89.01297343498868</v>
      </c>
    </row>
    <row r="71" spans="2:3">
      <c r="B71" s="2">
        <v>40156</v>
      </c>
      <c r="C71">
        <v>89.446161811875839</v>
      </c>
    </row>
    <row r="72" spans="2:3">
      <c r="B72" s="2">
        <v>40157</v>
      </c>
      <c r="C72">
        <v>88.603486647725305</v>
      </c>
    </row>
    <row r="73" spans="2:3">
      <c r="B73" s="2">
        <v>40158</v>
      </c>
      <c r="C73">
        <v>88.399557679692549</v>
      </c>
    </row>
    <row r="74" spans="2:3">
      <c r="B74" s="2">
        <v>40161</v>
      </c>
      <c r="C74">
        <v>88.745965248808005</v>
      </c>
    </row>
    <row r="75" spans="2:3">
      <c r="B75" s="2">
        <v>40162</v>
      </c>
      <c r="C75">
        <v>88.570424593152481</v>
      </c>
    </row>
    <row r="76" spans="2:3">
      <c r="B76" s="2">
        <v>40163</v>
      </c>
      <c r="C76">
        <v>87.352684958803607</v>
      </c>
    </row>
    <row r="77" spans="2:3">
      <c r="B77" s="2">
        <v>40164</v>
      </c>
      <c r="C77">
        <v>90.837344808223406</v>
      </c>
    </row>
    <row r="78" spans="2:3">
      <c r="B78" s="2">
        <v>40165</v>
      </c>
      <c r="C78">
        <v>91.751915265005053</v>
      </c>
    </row>
    <row r="79" spans="2:3">
      <c r="B79" s="2">
        <v>40168</v>
      </c>
      <c r="C79">
        <v>96.64465279696276</v>
      </c>
    </row>
    <row r="80" spans="2:3">
      <c r="B80" s="2">
        <v>40169</v>
      </c>
      <c r="C80">
        <v>96.796369665690094</v>
      </c>
    </row>
    <row r="81" spans="2:3">
      <c r="B81" s="2">
        <v>40170</v>
      </c>
      <c r="C81">
        <v>96.425568899030594</v>
      </c>
    </row>
    <row r="82" spans="2:3">
      <c r="B82" s="2">
        <v>40171</v>
      </c>
      <c r="C82">
        <v>96.146149125347407</v>
      </c>
    </row>
    <row r="83" spans="2:3">
      <c r="B83" s="2">
        <v>40175</v>
      </c>
      <c r="C83">
        <v>96.536053347376367</v>
      </c>
    </row>
    <row r="84" spans="2:3">
      <c r="B84" s="2">
        <v>40176</v>
      </c>
      <c r="C84">
        <v>96.988230322408668</v>
      </c>
    </row>
    <row r="85" spans="2:3">
      <c r="B85" s="2">
        <v>40177</v>
      </c>
      <c r="C85">
        <v>93.740757229860748</v>
      </c>
    </row>
    <row r="86" spans="2:3">
      <c r="B86" s="2">
        <v>40178</v>
      </c>
      <c r="C86">
        <v>93.928582144372825</v>
      </c>
    </row>
    <row r="87" spans="2:3">
      <c r="B87" s="2">
        <v>40182</v>
      </c>
      <c r="C87">
        <v>94.108752663194068</v>
      </c>
    </row>
    <row r="88" spans="2:3">
      <c r="B88" s="2">
        <v>40183</v>
      </c>
      <c r="C88">
        <v>96.405403685687901</v>
      </c>
    </row>
    <row r="89" spans="2:3">
      <c r="B89" s="2">
        <v>40184</v>
      </c>
      <c r="C89">
        <v>95.981718377841958</v>
      </c>
    </row>
    <row r="90" spans="2:3">
      <c r="B90" s="2">
        <v>40185</v>
      </c>
      <c r="C90">
        <v>95.975436133304612</v>
      </c>
    </row>
    <row r="91" spans="2:3">
      <c r="B91" s="2">
        <v>40186</v>
      </c>
      <c r="C91">
        <v>92.502510817369696</v>
      </c>
    </row>
    <row r="92" spans="2:3">
      <c r="B92" s="2">
        <v>40189</v>
      </c>
      <c r="C92">
        <v>92.240746403071199</v>
      </c>
    </row>
    <row r="93" spans="2:3">
      <c r="B93" s="2">
        <v>40190</v>
      </c>
      <c r="C93">
        <v>91.476598818411645</v>
      </c>
    </row>
    <row r="94" spans="2:3">
      <c r="B94" s="2">
        <v>40191</v>
      </c>
      <c r="C94">
        <v>90.578183638459748</v>
      </c>
    </row>
    <row r="95" spans="2:3">
      <c r="B95" s="2">
        <v>40192</v>
      </c>
      <c r="C95">
        <v>90.331075020449319</v>
      </c>
    </row>
    <row r="96" spans="2:3">
      <c r="B96" s="2">
        <v>40193</v>
      </c>
      <c r="C96">
        <v>91.044824818347919</v>
      </c>
    </row>
    <row r="97" spans="2:3">
      <c r="B97" s="2">
        <v>40197</v>
      </c>
      <c r="C97">
        <v>90.931717648910634</v>
      </c>
    </row>
    <row r="98" spans="2:3">
      <c r="B98" s="2">
        <v>40198</v>
      </c>
      <c r="C98">
        <v>90.728717134155616</v>
      </c>
    </row>
    <row r="99" spans="2:3">
      <c r="B99" s="2">
        <v>40199</v>
      </c>
      <c r="C99">
        <v>90.974868135073606</v>
      </c>
    </row>
    <row r="100" spans="2:3">
      <c r="B100" s="2">
        <v>40200</v>
      </c>
      <c r="C100">
        <v>90.630579812977004</v>
      </c>
    </row>
    <row r="101" spans="2:3">
      <c r="B101" s="2">
        <v>40203</v>
      </c>
      <c r="C101">
        <v>89.735604814628715</v>
      </c>
    </row>
    <row r="102" spans="2:3">
      <c r="B102" s="2">
        <v>40204</v>
      </c>
      <c r="C102">
        <v>88.362640429704484</v>
      </c>
    </row>
    <row r="103" spans="2:3">
      <c r="B103" s="2">
        <v>40205</v>
      </c>
      <c r="C103">
        <v>86.494561561700493</v>
      </c>
    </row>
    <row r="104" spans="2:3">
      <c r="B104" s="2">
        <v>40206</v>
      </c>
      <c r="C104">
        <v>85.630785882754353</v>
      </c>
    </row>
    <row r="105" spans="2:3">
      <c r="B105" s="2">
        <v>40207</v>
      </c>
      <c r="C105">
        <v>84.970907884607499</v>
      </c>
    </row>
    <row r="106" spans="2:3">
      <c r="B106" s="2">
        <v>40210</v>
      </c>
      <c r="C106">
        <v>84.442436089619719</v>
      </c>
    </row>
    <row r="107" spans="2:3">
      <c r="B107" s="2">
        <v>40211</v>
      </c>
      <c r="C107">
        <v>84.294974867591648</v>
      </c>
    </row>
    <row r="108" spans="2:3">
      <c r="B108" s="2">
        <v>40212</v>
      </c>
      <c r="C108">
        <v>84.424155733253656</v>
      </c>
    </row>
    <row r="109" spans="2:3">
      <c r="B109" s="2">
        <v>40213</v>
      </c>
      <c r="C109">
        <v>84.870442132744813</v>
      </c>
    </row>
    <row r="110" spans="2:3">
      <c r="B110" s="2">
        <v>40214</v>
      </c>
      <c r="C110">
        <v>84.874098568304376</v>
      </c>
    </row>
    <row r="111" spans="2:3">
      <c r="B111" s="2">
        <v>40217</v>
      </c>
      <c r="C111">
        <v>85.56322805325172</v>
      </c>
    </row>
    <row r="112" spans="2:3">
      <c r="B112" s="2">
        <v>40218</v>
      </c>
      <c r="C112">
        <v>85.612848757206535</v>
      </c>
    </row>
    <row r="113" spans="2:3">
      <c r="B113" s="2">
        <v>40219</v>
      </c>
      <c r="C113">
        <v>85.426202555619724</v>
      </c>
    </row>
    <row r="114" spans="2:3">
      <c r="B114" s="2">
        <v>40220</v>
      </c>
      <c r="C114">
        <v>83.714844792224611</v>
      </c>
    </row>
    <row r="115" spans="2:3">
      <c r="B115" s="2">
        <v>40221</v>
      </c>
      <c r="C115">
        <v>81.836044965425941</v>
      </c>
    </row>
    <row r="116" spans="2:3">
      <c r="B116" s="2">
        <v>40225</v>
      </c>
      <c r="C116">
        <v>81.3469468720523</v>
      </c>
    </row>
    <row r="117" spans="2:3">
      <c r="B117" s="2">
        <v>40226</v>
      </c>
      <c r="C117">
        <v>81.897350832666703</v>
      </c>
    </row>
    <row r="118" spans="2:3">
      <c r="B118" s="2">
        <v>40227</v>
      </c>
      <c r="C118">
        <v>83.217097868457273</v>
      </c>
    </row>
    <row r="119" spans="2:3">
      <c r="B119" s="2">
        <v>40228</v>
      </c>
      <c r="C119">
        <v>82.964858595288561</v>
      </c>
    </row>
    <row r="120" spans="2:3">
      <c r="B120" s="2">
        <v>40231</v>
      </c>
      <c r="C120">
        <v>82.947989632502257</v>
      </c>
    </row>
    <row r="121" spans="2:3">
      <c r="B121" s="2">
        <v>40232</v>
      </c>
      <c r="C121">
        <v>82.501410838148203</v>
      </c>
    </row>
    <row r="122" spans="2:3">
      <c r="B122" s="2">
        <v>40233</v>
      </c>
      <c r="C122">
        <v>82.431465004414306</v>
      </c>
    </row>
    <row r="123" spans="2:3">
      <c r="B123" s="2">
        <v>40234</v>
      </c>
      <c r="C123">
        <v>82.384833663316016</v>
      </c>
    </row>
    <row r="124" spans="2:3">
      <c r="B124" s="2">
        <v>40235</v>
      </c>
      <c r="C124">
        <v>83.590537759774733</v>
      </c>
    </row>
    <row r="125" spans="2:3">
      <c r="B125" s="2">
        <v>40238</v>
      </c>
      <c r="C125">
        <v>81.810515945146363</v>
      </c>
    </row>
    <row r="126" spans="2:3">
      <c r="B126" s="2">
        <v>40239</v>
      </c>
      <c r="C126">
        <v>80.917470235069558</v>
      </c>
    </row>
    <row r="127" spans="2:3">
      <c r="B127" s="2">
        <v>40240</v>
      </c>
      <c r="C127">
        <v>80.209057204944656</v>
      </c>
    </row>
    <row r="128" spans="2:3">
      <c r="B128" s="2">
        <v>40241</v>
      </c>
      <c r="C128">
        <v>78.947913080966543</v>
      </c>
    </row>
    <row r="129" spans="2:3">
      <c r="B129" s="2">
        <v>40242</v>
      </c>
      <c r="C129">
        <v>78.707493107168332</v>
      </c>
    </row>
    <row r="130" spans="2:3">
      <c r="B130" s="2">
        <v>40245</v>
      </c>
      <c r="C130">
        <v>78.162876722018453</v>
      </c>
    </row>
    <row r="131" spans="2:3">
      <c r="B131" s="2">
        <v>40246</v>
      </c>
      <c r="C131">
        <v>78.119356358786604</v>
      </c>
    </row>
    <row r="132" spans="2:3">
      <c r="B132" s="2">
        <v>40247</v>
      </c>
      <c r="C132">
        <v>77.858622689978404</v>
      </c>
    </row>
    <row r="133" spans="2:3">
      <c r="B133" s="2">
        <v>40248</v>
      </c>
      <c r="C133">
        <v>77.757971142523203</v>
      </c>
    </row>
    <row r="134" spans="2:3">
      <c r="B134" s="2">
        <v>40249</v>
      </c>
      <c r="C134">
        <v>77.498824861843417</v>
      </c>
    </row>
    <row r="135" spans="2:3">
      <c r="B135" s="2">
        <v>40252</v>
      </c>
      <c r="C135">
        <v>76.133432261214438</v>
      </c>
    </row>
    <row r="136" spans="2:3">
      <c r="B136" s="2">
        <v>40253</v>
      </c>
      <c r="C136">
        <v>76.03591149828604</v>
      </c>
    </row>
    <row r="137" spans="2:3">
      <c r="B137" s="2">
        <v>40254</v>
      </c>
      <c r="C137">
        <v>71.50276006794131</v>
      </c>
    </row>
    <row r="138" spans="2:3">
      <c r="B138" s="2">
        <v>40255</v>
      </c>
      <c r="C138">
        <v>70.674677335044862</v>
      </c>
    </row>
    <row r="139" spans="2:3">
      <c r="B139" s="2">
        <v>40256</v>
      </c>
      <c r="C139">
        <v>64.049699086615263</v>
      </c>
    </row>
    <row r="140" spans="2:3">
      <c r="B140" s="2">
        <v>40259</v>
      </c>
      <c r="C140">
        <v>62.311521191669662</v>
      </c>
    </row>
    <row r="141" spans="2:3">
      <c r="B141" s="2">
        <v>40260</v>
      </c>
      <c r="C141">
        <v>62.260698364520273</v>
      </c>
    </row>
    <row r="142" spans="2:3">
      <c r="B142" s="2">
        <v>40261</v>
      </c>
      <c r="C142">
        <v>66.197472731520733</v>
      </c>
    </row>
    <row r="143" spans="2:3">
      <c r="B143" s="2">
        <v>40262</v>
      </c>
      <c r="C143">
        <v>66.664574286863882</v>
      </c>
    </row>
    <row r="144" spans="2:3">
      <c r="B144" s="2">
        <v>40263</v>
      </c>
      <c r="C144">
        <v>67.055193516524241</v>
      </c>
    </row>
    <row r="145" spans="2:3">
      <c r="B145" s="2">
        <v>40266</v>
      </c>
      <c r="C145">
        <v>66.733364446341852</v>
      </c>
    </row>
    <row r="146" spans="2:3">
      <c r="B146" s="2">
        <v>40267</v>
      </c>
      <c r="C146">
        <v>66.604133777139779</v>
      </c>
    </row>
    <row r="147" spans="2:3">
      <c r="B147" s="2">
        <v>40268</v>
      </c>
      <c r="C147">
        <v>66.455185365912712</v>
      </c>
    </row>
    <row r="148" spans="2:3">
      <c r="B148" s="2">
        <v>40269</v>
      </c>
      <c r="C148">
        <v>64.271131005933071</v>
      </c>
    </row>
    <row r="149" spans="2:3">
      <c r="B149" s="2">
        <v>40273</v>
      </c>
      <c r="C149">
        <v>68.244035901981391</v>
      </c>
    </row>
    <row r="150" spans="2:3">
      <c r="B150" s="2">
        <v>40274</v>
      </c>
      <c r="C150">
        <v>68.474848039366094</v>
      </c>
    </row>
    <row r="151" spans="2:3">
      <c r="B151" s="2">
        <v>40275</v>
      </c>
      <c r="C151">
        <v>71.925794086178044</v>
      </c>
    </row>
    <row r="152" spans="2:3">
      <c r="B152" s="2">
        <v>40276</v>
      </c>
      <c r="C152">
        <v>72.004137763230659</v>
      </c>
    </row>
    <row r="153" spans="2:3">
      <c r="B153" s="2">
        <v>40277</v>
      </c>
      <c r="C153">
        <v>70.076160458714469</v>
      </c>
    </row>
    <row r="154" spans="2:3">
      <c r="B154" s="2">
        <v>40280</v>
      </c>
      <c r="C154">
        <v>71.502332501284627</v>
      </c>
    </row>
    <row r="155" spans="2:3">
      <c r="B155" s="2">
        <v>40281</v>
      </c>
      <c r="C155">
        <v>71.450424522922219</v>
      </c>
    </row>
    <row r="156" spans="2:3">
      <c r="B156" s="2">
        <v>40282</v>
      </c>
      <c r="C156">
        <v>71.161218757500961</v>
      </c>
    </row>
    <row r="157" spans="2:3">
      <c r="B157" s="2">
        <v>40283</v>
      </c>
      <c r="C157">
        <v>70.9049111936434</v>
      </c>
    </row>
    <row r="158" spans="2:3">
      <c r="B158" s="2">
        <v>40284</v>
      </c>
      <c r="C158">
        <v>71.566256926141008</v>
      </c>
    </row>
    <row r="159" spans="2:3">
      <c r="B159" s="2">
        <v>40287</v>
      </c>
      <c r="C159">
        <v>71.745626756071076</v>
      </c>
    </row>
    <row r="160" spans="2:3">
      <c r="B160" s="2">
        <v>40288</v>
      </c>
      <c r="C160">
        <v>71.733419221783151</v>
      </c>
    </row>
    <row r="161" spans="2:3">
      <c r="B161" s="2">
        <v>40289</v>
      </c>
      <c r="C161">
        <v>71.97363844722274</v>
      </c>
    </row>
    <row r="162" spans="2:3">
      <c r="B162" s="2">
        <v>40290</v>
      </c>
      <c r="C162">
        <v>72.497165308585167</v>
      </c>
    </row>
    <row r="163" spans="2:3">
      <c r="B163" s="2">
        <v>40291</v>
      </c>
      <c r="C163">
        <v>72.56577314949179</v>
      </c>
    </row>
    <row r="164" spans="2:3">
      <c r="B164" s="2">
        <v>40294</v>
      </c>
      <c r="C164">
        <v>72.538470872141772</v>
      </c>
    </row>
    <row r="165" spans="2:3">
      <c r="B165" s="2">
        <v>40295</v>
      </c>
      <c r="C165">
        <v>73.785506747039847</v>
      </c>
    </row>
    <row r="166" spans="2:3">
      <c r="B166" s="2">
        <v>40296</v>
      </c>
      <c r="C166">
        <v>74.517036766391726</v>
      </c>
    </row>
    <row r="167" spans="2:3">
      <c r="B167" s="2">
        <v>40297</v>
      </c>
      <c r="C167">
        <v>74.907840308269201</v>
      </c>
    </row>
    <row r="168" spans="2:3">
      <c r="B168" s="2">
        <v>40298</v>
      </c>
      <c r="C168">
        <v>74.918325455463972</v>
      </c>
    </row>
    <row r="169" spans="2:3">
      <c r="B169" s="2">
        <v>40301</v>
      </c>
      <c r="C169">
        <v>73.939667801096661</v>
      </c>
    </row>
    <row r="170" spans="2:3">
      <c r="B170" s="2">
        <v>40302</v>
      </c>
      <c r="C170">
        <v>74.097503722734004</v>
      </c>
    </row>
    <row r="171" spans="2:3">
      <c r="B171" s="2">
        <v>40303</v>
      </c>
      <c r="C171">
        <v>73.855862151406853</v>
      </c>
    </row>
    <row r="172" spans="2:3">
      <c r="B172" s="2">
        <v>40304</v>
      </c>
      <c r="C172">
        <v>77.010123348019562</v>
      </c>
    </row>
    <row r="173" spans="2:3">
      <c r="B173" s="2">
        <v>40305</v>
      </c>
      <c r="C173">
        <v>76.892649053411475</v>
      </c>
    </row>
    <row r="174" spans="2:3">
      <c r="B174" s="2">
        <v>40308</v>
      </c>
      <c r="C174">
        <v>77.719996665531411</v>
      </c>
    </row>
    <row r="175" spans="2:3">
      <c r="B175" s="2">
        <v>40309</v>
      </c>
      <c r="C175">
        <v>77.152470432893466</v>
      </c>
    </row>
    <row r="176" spans="2:3">
      <c r="B176" s="2">
        <v>40310</v>
      </c>
      <c r="C176">
        <v>77.032629086973969</v>
      </c>
    </row>
    <row r="177" spans="2:3">
      <c r="B177" s="2">
        <v>40311</v>
      </c>
      <c r="C177">
        <v>75.723600809241674</v>
      </c>
    </row>
    <row r="178" spans="2:3">
      <c r="B178" s="2">
        <v>40312</v>
      </c>
      <c r="C178">
        <v>76.072246236935143</v>
      </c>
    </row>
    <row r="179" spans="2:3">
      <c r="B179" s="2">
        <v>40315</v>
      </c>
      <c r="C179">
        <v>75.928479794441643</v>
      </c>
    </row>
    <row r="180" spans="2:3">
      <c r="B180" s="2">
        <v>40316</v>
      </c>
      <c r="C180">
        <v>76.482238512272971</v>
      </c>
    </row>
    <row r="181" spans="2:3">
      <c r="B181" s="2">
        <v>40317</v>
      </c>
      <c r="C181">
        <v>75.266447674991383</v>
      </c>
    </row>
    <row r="182" spans="2:3">
      <c r="B182" s="2">
        <v>40318</v>
      </c>
      <c r="C182">
        <v>76.332795631847077</v>
      </c>
    </row>
    <row r="183" spans="2:3">
      <c r="B183" s="2">
        <v>40319</v>
      </c>
      <c r="C183">
        <v>76.003347998011449</v>
      </c>
    </row>
    <row r="184" spans="2:3">
      <c r="B184" s="2">
        <v>40322</v>
      </c>
      <c r="C184">
        <v>76.552444316449652</v>
      </c>
    </row>
    <row r="185" spans="2:3">
      <c r="B185" s="2">
        <v>40323</v>
      </c>
      <c r="C185">
        <v>76.815842585895453</v>
      </c>
    </row>
    <row r="186" spans="2:3">
      <c r="B186" s="2">
        <v>40324</v>
      </c>
      <c r="C186">
        <v>77.050969938391262</v>
      </c>
    </row>
    <row r="187" spans="2:3">
      <c r="B187" s="2">
        <v>40325</v>
      </c>
      <c r="C187">
        <v>79.597276963983219</v>
      </c>
    </row>
    <row r="188" spans="2:3">
      <c r="B188" s="2">
        <v>40326</v>
      </c>
      <c r="C188">
        <v>79.632684861554921</v>
      </c>
    </row>
    <row r="189" spans="2:3">
      <c r="B189" s="2">
        <v>40330</v>
      </c>
      <c r="C189">
        <v>79.081983960738626</v>
      </c>
    </row>
    <row r="190" spans="2:3">
      <c r="B190" s="2">
        <v>40331</v>
      </c>
      <c r="C190">
        <v>79.201925080077956</v>
      </c>
    </row>
    <row r="191" spans="2:3">
      <c r="B191" s="2">
        <v>40332</v>
      </c>
      <c r="C191">
        <v>78.982292816984383</v>
      </c>
    </row>
    <row r="192" spans="2:3">
      <c r="B192" s="2">
        <v>40333</v>
      </c>
      <c r="C192">
        <v>84.452600379344815</v>
      </c>
    </row>
    <row r="193" spans="2:3">
      <c r="B193" s="2">
        <v>40336</v>
      </c>
      <c r="C193">
        <v>84.408433266350883</v>
      </c>
    </row>
    <row r="194" spans="2:3">
      <c r="B194" s="2">
        <v>40337</v>
      </c>
      <c r="C194">
        <v>84.464319616042431</v>
      </c>
    </row>
    <row r="195" spans="2:3">
      <c r="B195" s="2">
        <v>40338</v>
      </c>
      <c r="C195">
        <v>84.463966875376144</v>
      </c>
    </row>
    <row r="196" spans="2:3">
      <c r="B196" s="2">
        <v>40339</v>
      </c>
      <c r="C196">
        <v>87.749961706858187</v>
      </c>
    </row>
    <row r="197" spans="2:3">
      <c r="B197" s="2">
        <v>40340</v>
      </c>
      <c r="C197">
        <v>89.233464077835976</v>
      </c>
    </row>
    <row r="198" spans="2:3">
      <c r="B198" s="2">
        <v>40343</v>
      </c>
      <c r="C198">
        <v>88.940929291541721</v>
      </c>
    </row>
    <row r="199" spans="2:3">
      <c r="B199" s="2">
        <v>40344</v>
      </c>
      <c r="C199">
        <v>89.159919218340931</v>
      </c>
    </row>
    <row r="200" spans="2:3">
      <c r="B200" s="2">
        <v>40345</v>
      </c>
      <c r="C200">
        <v>89.074455440532702</v>
      </c>
    </row>
    <row r="201" spans="2:3">
      <c r="B201" s="2">
        <v>40346</v>
      </c>
      <c r="C201">
        <v>90.623539794694551</v>
      </c>
    </row>
    <row r="202" spans="2:3">
      <c r="B202" s="2">
        <v>40347</v>
      </c>
      <c r="C202">
        <v>86.842765942177081</v>
      </c>
    </row>
    <row r="203" spans="2:3">
      <c r="B203" s="2">
        <v>40350</v>
      </c>
      <c r="C203">
        <v>85.603191984252291</v>
      </c>
    </row>
    <row r="204" spans="2:3">
      <c r="B204" s="2">
        <v>40351</v>
      </c>
      <c r="C204">
        <v>86.343953415817523</v>
      </c>
    </row>
    <row r="205" spans="2:3">
      <c r="B205" s="2">
        <v>40352</v>
      </c>
      <c r="C205">
        <v>86.587083708106675</v>
      </c>
    </row>
    <row r="206" spans="2:3">
      <c r="B206" s="2">
        <v>40353</v>
      </c>
      <c r="C206">
        <v>88.034629946249808</v>
      </c>
    </row>
    <row r="207" spans="2:3">
      <c r="B207" s="2">
        <v>40354</v>
      </c>
      <c r="C207">
        <v>88.168882081166061</v>
      </c>
    </row>
    <row r="208" spans="2:3">
      <c r="B208" s="2">
        <v>40357</v>
      </c>
      <c r="C208">
        <v>89.18316638368448</v>
      </c>
    </row>
    <row r="209" spans="2:3">
      <c r="B209" s="2">
        <v>40358</v>
      </c>
      <c r="C209">
        <v>84.898464507906297</v>
      </c>
    </row>
    <row r="210" spans="2:3">
      <c r="B210" s="2">
        <v>40359</v>
      </c>
      <c r="C210">
        <v>84.855971992166502</v>
      </c>
    </row>
    <row r="211" spans="2:3">
      <c r="B211" s="2">
        <v>40360</v>
      </c>
      <c r="C211">
        <v>82.823917462227683</v>
      </c>
    </row>
    <row r="212" spans="2:3">
      <c r="B212" s="2">
        <v>40361</v>
      </c>
      <c r="C212">
        <v>82.867833413349985</v>
      </c>
    </row>
    <row r="213" spans="2:3">
      <c r="B213" s="2">
        <v>40365</v>
      </c>
      <c r="C213">
        <v>84.01723833999479</v>
      </c>
    </row>
    <row r="214" spans="2:3">
      <c r="B214" s="2">
        <v>40366</v>
      </c>
      <c r="C214">
        <v>84.387930596144756</v>
      </c>
    </row>
    <row r="215" spans="2:3">
      <c r="B215" s="2">
        <v>40367</v>
      </c>
      <c r="C215">
        <v>84.518780939727634</v>
      </c>
    </row>
    <row r="216" spans="2:3">
      <c r="B216" s="2">
        <v>40368</v>
      </c>
      <c r="C216">
        <v>83.606768183911868</v>
      </c>
    </row>
    <row r="217" spans="2:3">
      <c r="B217" s="2">
        <v>40371</v>
      </c>
      <c r="C217">
        <v>83.630169854485914</v>
      </c>
    </row>
    <row r="218" spans="2:3">
      <c r="B218" s="2">
        <v>40372</v>
      </c>
      <c r="C218">
        <v>83.757552513188287</v>
      </c>
    </row>
    <row r="219" spans="2:3">
      <c r="B219" s="2">
        <v>40373</v>
      </c>
      <c r="C219">
        <v>83.394859992904159</v>
      </c>
    </row>
    <row r="220" spans="2:3">
      <c r="B220" s="2">
        <v>40374</v>
      </c>
      <c r="C220">
        <v>84.694152795147218</v>
      </c>
    </row>
    <row r="221" spans="2:3">
      <c r="B221" s="2">
        <v>40375</v>
      </c>
      <c r="C221">
        <v>84.485153892699202</v>
      </c>
    </row>
    <row r="222" spans="2:3">
      <c r="B222" s="2">
        <v>40378</v>
      </c>
      <c r="C222">
        <v>84.970812724744874</v>
      </c>
    </row>
    <row r="223" spans="2:3">
      <c r="B223" s="2">
        <v>40379</v>
      </c>
      <c r="C223">
        <v>84.6453254091373</v>
      </c>
    </row>
    <row r="224" spans="2:3">
      <c r="B224" s="2">
        <v>40380</v>
      </c>
      <c r="C224">
        <v>85.344683234139168</v>
      </c>
    </row>
    <row r="225" spans="2:3">
      <c r="B225" s="2">
        <v>40381</v>
      </c>
      <c r="C225">
        <v>84.481387140739031</v>
      </c>
    </row>
    <row r="226" spans="2:3">
      <c r="B226" s="2">
        <v>40382</v>
      </c>
      <c r="C226">
        <v>84.118818861198761</v>
      </c>
    </row>
    <row r="227" spans="2:3">
      <c r="B227" s="2">
        <v>40385</v>
      </c>
      <c r="C227">
        <v>83.975921200586939</v>
      </c>
    </row>
    <row r="228" spans="2:3">
      <c r="B228" s="2">
        <v>40386</v>
      </c>
      <c r="C228">
        <v>83.9228027813284</v>
      </c>
    </row>
    <row r="229" spans="2:3">
      <c r="B229" s="2">
        <v>40387</v>
      </c>
      <c r="C229">
        <v>83.443778900301112</v>
      </c>
    </row>
    <row r="230" spans="2:3">
      <c r="B230" s="2">
        <v>40388</v>
      </c>
      <c r="C230">
        <v>83.066053226752331</v>
      </c>
    </row>
    <row r="231" spans="2:3">
      <c r="B231" s="2">
        <v>40389</v>
      </c>
      <c r="C231">
        <v>83.522528841220861</v>
      </c>
    </row>
    <row r="232" spans="2:3">
      <c r="B232" s="2">
        <v>40392</v>
      </c>
      <c r="C232">
        <v>83.290812388179802</v>
      </c>
    </row>
    <row r="233" spans="2:3">
      <c r="B233" s="2">
        <v>40393</v>
      </c>
      <c r="C233">
        <v>83.087538045151035</v>
      </c>
    </row>
    <row r="234" spans="2:3">
      <c r="B234" s="2">
        <v>40394</v>
      </c>
      <c r="C234">
        <v>83.271071131763136</v>
      </c>
    </row>
    <row r="235" spans="2:3">
      <c r="B235" s="2">
        <v>40395</v>
      </c>
      <c r="C235">
        <v>83.293830318144558</v>
      </c>
    </row>
    <row r="236" spans="2:3">
      <c r="B236" s="2">
        <v>40396</v>
      </c>
      <c r="C236">
        <v>83.860540651158573</v>
      </c>
    </row>
    <row r="237" spans="2:3">
      <c r="B237" s="2">
        <v>40399</v>
      </c>
      <c r="C237">
        <v>83.91882712591277</v>
      </c>
    </row>
    <row r="238" spans="2:3">
      <c r="B238" s="2">
        <v>40400</v>
      </c>
      <c r="C238">
        <v>82.529924836681062</v>
      </c>
    </row>
    <row r="239" spans="2:3">
      <c r="B239" s="2">
        <v>40401</v>
      </c>
      <c r="C239">
        <v>84.233530894452812</v>
      </c>
    </row>
    <row r="240" spans="2:3">
      <c r="B240" s="2">
        <v>40402</v>
      </c>
      <c r="C240">
        <v>86.750969327430468</v>
      </c>
    </row>
    <row r="241" spans="2:3">
      <c r="B241" s="2">
        <v>40403</v>
      </c>
      <c r="C241">
        <v>87.430198701348374</v>
      </c>
    </row>
    <row r="242" spans="2:3">
      <c r="B242" s="2">
        <v>40406</v>
      </c>
      <c r="C242">
        <v>87.808782598164186</v>
      </c>
    </row>
    <row r="243" spans="2:3">
      <c r="B243" s="2">
        <v>40407</v>
      </c>
      <c r="C243">
        <v>90.402434554130167</v>
      </c>
    </row>
    <row r="244" spans="2:3">
      <c r="B244" s="2">
        <v>40408</v>
      </c>
      <c r="C244">
        <v>89.69094533642506</v>
      </c>
    </row>
    <row r="245" spans="2:3">
      <c r="B245" s="2">
        <v>40409</v>
      </c>
      <c r="C245">
        <v>92.87230738023689</v>
      </c>
    </row>
    <row r="246" spans="2:3">
      <c r="B246" s="2">
        <v>40410</v>
      </c>
      <c r="C246">
        <v>95.935773123275169</v>
      </c>
    </row>
    <row r="247" spans="2:3">
      <c r="B247" s="2">
        <v>40413</v>
      </c>
      <c r="C247">
        <v>93.344005417042666</v>
      </c>
    </row>
    <row r="248" spans="2:3">
      <c r="B248" s="2">
        <v>40414</v>
      </c>
      <c r="C248">
        <v>93.876800066526485</v>
      </c>
    </row>
    <row r="249" spans="2:3">
      <c r="B249" s="2">
        <v>40415</v>
      </c>
      <c r="C249">
        <v>94.006792540379692</v>
      </c>
    </row>
    <row r="250" spans="2:3">
      <c r="B250" s="2">
        <v>40416</v>
      </c>
      <c r="C250">
        <v>94.203009206213622</v>
      </c>
    </row>
    <row r="251" spans="2:3">
      <c r="B251" s="2">
        <v>40417</v>
      </c>
      <c r="C251">
        <v>100.5098838610335</v>
      </c>
    </row>
    <row r="252" spans="2:3">
      <c r="B252" s="2">
        <v>40420</v>
      </c>
      <c r="C252">
        <v>99.116848449442045</v>
      </c>
    </row>
    <row r="253" spans="2:3">
      <c r="B253" s="2">
        <v>40421</v>
      </c>
      <c r="C253">
        <v>102.2678834846844</v>
      </c>
    </row>
    <row r="254" spans="2:3">
      <c r="B254" s="2">
        <v>40422</v>
      </c>
      <c r="C254">
        <v>105.1909157236047</v>
      </c>
    </row>
    <row r="255" spans="2:3">
      <c r="B255" s="2">
        <v>40423</v>
      </c>
      <c r="C255">
        <v>106.30925997497955</v>
      </c>
    </row>
    <row r="256" spans="2:3">
      <c r="B256" s="2">
        <v>40424</v>
      </c>
      <c r="C256">
        <v>105.60280901423431</v>
      </c>
    </row>
    <row r="257" spans="2:3">
      <c r="B257" s="2">
        <v>40428</v>
      </c>
      <c r="C257">
        <v>106.06963859677117</v>
      </c>
    </row>
    <row r="258" spans="2:3">
      <c r="B258" s="2">
        <v>40429</v>
      </c>
      <c r="C258">
        <v>106.44663102864267</v>
      </c>
    </row>
    <row r="259" spans="2:3">
      <c r="B259" s="2">
        <v>40430</v>
      </c>
      <c r="C259">
        <v>109.05617561859511</v>
      </c>
    </row>
    <row r="260" spans="2:3">
      <c r="B260" s="2">
        <v>40431</v>
      </c>
      <c r="C260">
        <v>109.47727009955057</v>
      </c>
    </row>
    <row r="261" spans="2:3">
      <c r="B261" s="2">
        <v>40434</v>
      </c>
      <c r="C261">
        <v>109.90778745100826</v>
      </c>
    </row>
    <row r="262" spans="2:3">
      <c r="B262" s="2">
        <v>40435</v>
      </c>
      <c r="C262">
        <v>110.36641678177874</v>
      </c>
    </row>
    <row r="263" spans="2:3">
      <c r="B263" s="2">
        <v>40436</v>
      </c>
      <c r="C263">
        <v>111.71271128888061</v>
      </c>
    </row>
    <row r="264" spans="2:3">
      <c r="B264" s="2">
        <v>40437</v>
      </c>
      <c r="C264">
        <v>111.19373488261704</v>
      </c>
    </row>
    <row r="265" spans="2:3">
      <c r="B265" s="2">
        <v>40438</v>
      </c>
      <c r="C265">
        <v>111.21832061060186</v>
      </c>
    </row>
    <row r="266" spans="2:3">
      <c r="B266" s="2">
        <v>40441</v>
      </c>
      <c r="C266">
        <v>110.81059608116939</v>
      </c>
    </row>
    <row r="267" spans="2:3">
      <c r="B267" s="2">
        <v>40442</v>
      </c>
      <c r="C267">
        <v>113.20691177330433</v>
      </c>
    </row>
    <row r="268" spans="2:3">
      <c r="B268" s="2">
        <v>40443</v>
      </c>
      <c r="C268">
        <v>111.61007483017065</v>
      </c>
    </row>
    <row r="269" spans="2:3">
      <c r="B269" s="2">
        <v>40444</v>
      </c>
      <c r="C269">
        <v>111.72791627861412</v>
      </c>
    </row>
    <row r="270" spans="2:3">
      <c r="B270" s="2">
        <v>40445</v>
      </c>
      <c r="C270">
        <v>112.69515222311574</v>
      </c>
    </row>
    <row r="271" spans="2:3">
      <c r="B271" s="2">
        <v>40448</v>
      </c>
      <c r="C271">
        <v>114.0230484045041</v>
      </c>
    </row>
    <row r="272" spans="2:3">
      <c r="B272" s="2">
        <v>40449</v>
      </c>
      <c r="C272">
        <v>114.09944026454855</v>
      </c>
    </row>
    <row r="273" spans="2:3">
      <c r="B273" s="2">
        <v>40450</v>
      </c>
      <c r="C273">
        <v>113.95157881943778</v>
      </c>
    </row>
    <row r="274" spans="2:3">
      <c r="B274" s="2">
        <v>40451</v>
      </c>
      <c r="C274">
        <v>113.10905257109447</v>
      </c>
    </row>
    <row r="275" spans="2:3">
      <c r="B275" s="2">
        <v>40452</v>
      </c>
      <c r="C275">
        <v>113.06380599339087</v>
      </c>
    </row>
    <row r="276" spans="2:3">
      <c r="B276" s="2">
        <v>40455</v>
      </c>
      <c r="C276">
        <v>113.46336530583694</v>
      </c>
    </row>
    <row r="277" spans="2:3">
      <c r="B277" s="2">
        <v>40456</v>
      </c>
      <c r="C277">
        <v>113.46958914120438</v>
      </c>
    </row>
    <row r="278" spans="2:3">
      <c r="B278" s="2">
        <v>40457</v>
      </c>
      <c r="C278">
        <v>113.89520518525703</v>
      </c>
    </row>
    <row r="279" spans="2:3">
      <c r="B279" s="2">
        <v>40458</v>
      </c>
      <c r="C279">
        <v>113.70518271231414</v>
      </c>
    </row>
    <row r="280" spans="2:3">
      <c r="B280" s="2">
        <v>40459</v>
      </c>
      <c r="C280">
        <v>112.51207672171005</v>
      </c>
    </row>
    <row r="281" spans="2:3">
      <c r="B281" s="2">
        <v>40463</v>
      </c>
      <c r="C281">
        <v>113.19645907610875</v>
      </c>
    </row>
    <row r="282" spans="2:3">
      <c r="B282" s="2">
        <v>40464</v>
      </c>
      <c r="C282">
        <v>112.44928271104425</v>
      </c>
    </row>
    <row r="283" spans="2:3">
      <c r="B283" s="2">
        <v>40465</v>
      </c>
      <c r="C283">
        <v>112.56681678767147</v>
      </c>
    </row>
    <row r="284" spans="2:3">
      <c r="B284" s="2">
        <v>40466</v>
      </c>
      <c r="C284">
        <v>113.50114372602782</v>
      </c>
    </row>
    <row r="285" spans="2:3">
      <c r="B285" s="2">
        <v>40469</v>
      </c>
      <c r="C285">
        <v>114.43217158834582</v>
      </c>
    </row>
    <row r="286" spans="2:3">
      <c r="B286" s="2">
        <v>40470</v>
      </c>
      <c r="C286">
        <v>114.09527034507576</v>
      </c>
    </row>
    <row r="287" spans="2:3">
      <c r="B287" s="2">
        <v>40471</v>
      </c>
      <c r="C287">
        <v>114.09872315542835</v>
      </c>
    </row>
    <row r="288" spans="2:3">
      <c r="B288" s="2">
        <v>40472</v>
      </c>
      <c r="C288">
        <v>114.43687263796589</v>
      </c>
    </row>
    <row r="289" spans="2:3">
      <c r="B289" s="2">
        <v>40473</v>
      </c>
      <c r="C289">
        <v>114.25182384916459</v>
      </c>
    </row>
    <row r="290" spans="2:3">
      <c r="B290" s="2">
        <v>40476</v>
      </c>
      <c r="C290">
        <v>114.88073189248571</v>
      </c>
    </row>
    <row r="291" spans="2:3">
      <c r="B291" s="2">
        <v>40477</v>
      </c>
      <c r="C291">
        <v>115.14584344369125</v>
      </c>
    </row>
    <row r="292" spans="2:3">
      <c r="B292" s="2">
        <v>40478</v>
      </c>
      <c r="C292">
        <v>114.32809236117063</v>
      </c>
    </row>
    <row r="293" spans="2:3">
      <c r="B293" s="2">
        <v>40479</v>
      </c>
      <c r="C293">
        <v>114.58609046992537</v>
      </c>
    </row>
    <row r="294" spans="2:3">
      <c r="B294" s="2">
        <v>40480</v>
      </c>
      <c r="C294">
        <v>114.12564546684017</v>
      </c>
    </row>
    <row r="295" spans="2:3">
      <c r="B295" s="2">
        <v>40483</v>
      </c>
      <c r="C295">
        <v>114.43530441029014</v>
      </c>
    </row>
    <row r="296" spans="2:3">
      <c r="B296" s="2">
        <v>40484</v>
      </c>
      <c r="C296">
        <v>114.14503568413086</v>
      </c>
    </row>
    <row r="297" spans="2:3">
      <c r="B297" s="2">
        <v>40485</v>
      </c>
      <c r="C297">
        <v>114.17654304712093</v>
      </c>
    </row>
    <row r="298" spans="2:3">
      <c r="B298" s="2">
        <v>40486</v>
      </c>
      <c r="C298">
        <v>115.2294172323513</v>
      </c>
    </row>
    <row r="299" spans="2:3">
      <c r="B299" s="2">
        <v>40487</v>
      </c>
      <c r="C299">
        <v>114.55325295909158</v>
      </c>
    </row>
    <row r="300" spans="2:3">
      <c r="B300" s="2">
        <v>40490</v>
      </c>
      <c r="C300">
        <v>113.08399808573037</v>
      </c>
    </row>
    <row r="301" spans="2:3">
      <c r="B301" s="2">
        <v>40491</v>
      </c>
      <c r="C301">
        <v>114.08501788859873</v>
      </c>
    </row>
    <row r="302" spans="2:3">
      <c r="B302" s="2">
        <v>40492</v>
      </c>
      <c r="C302">
        <v>112.85483854561156</v>
      </c>
    </row>
    <row r="303" spans="2:3">
      <c r="B303" s="2">
        <v>40494</v>
      </c>
      <c r="C303">
        <v>113.93920445657008</v>
      </c>
    </row>
    <row r="304" spans="2:3">
      <c r="B304" s="2">
        <v>40497</v>
      </c>
      <c r="C304">
        <v>116.37168251351507</v>
      </c>
    </row>
    <row r="305" spans="2:3">
      <c r="B305" s="2">
        <v>40498</v>
      </c>
      <c r="C305">
        <v>112.69336396698439</v>
      </c>
    </row>
    <row r="306" spans="2:3">
      <c r="B306" s="2">
        <v>40499</v>
      </c>
      <c r="C306">
        <v>110.59629344036708</v>
      </c>
    </row>
    <row r="307" spans="2:3">
      <c r="B307" s="2">
        <v>40500</v>
      </c>
      <c r="C307">
        <v>110.72398972990203</v>
      </c>
    </row>
    <row r="308" spans="2:3">
      <c r="B308" s="2">
        <v>40501</v>
      </c>
      <c r="C308">
        <v>109.81536544470605</v>
      </c>
    </row>
    <row r="309" spans="2:3">
      <c r="B309" s="2">
        <v>40504</v>
      </c>
      <c r="C309">
        <v>110.18592144571373</v>
      </c>
    </row>
    <row r="310" spans="2:3">
      <c r="B310" s="2">
        <v>40505</v>
      </c>
      <c r="C310">
        <v>109.46738967935391</v>
      </c>
    </row>
    <row r="311" spans="2:3">
      <c r="B311" s="2">
        <v>40506</v>
      </c>
      <c r="C311">
        <v>109.06682015970492</v>
      </c>
    </row>
    <row r="312" spans="2:3">
      <c r="B312" s="2">
        <v>40508</v>
      </c>
      <c r="C312">
        <v>106.03587137925041</v>
      </c>
    </row>
    <row r="313" spans="2:3">
      <c r="B313" s="2">
        <v>40511</v>
      </c>
      <c r="C313">
        <v>102.59826988041476</v>
      </c>
    </row>
    <row r="314" spans="2:3">
      <c r="B314" s="2">
        <v>40512</v>
      </c>
      <c r="C314">
        <v>100.49160834785609</v>
      </c>
    </row>
    <row r="315" spans="2:3">
      <c r="B315" s="2">
        <v>40513</v>
      </c>
      <c r="C315">
        <v>104.27457597663947</v>
      </c>
    </row>
    <row r="316" spans="2:3">
      <c r="B316" s="2">
        <v>40514</v>
      </c>
      <c r="C316">
        <v>102.73076420275184</v>
      </c>
    </row>
    <row r="317" spans="2:3">
      <c r="B317" s="2">
        <v>40515</v>
      </c>
      <c r="C317">
        <v>100.43779083203094</v>
      </c>
    </row>
    <row r="318" spans="2:3">
      <c r="B318" s="2">
        <v>40518</v>
      </c>
      <c r="C318">
        <v>102.37533608710454</v>
      </c>
    </row>
    <row r="319" spans="2:3">
      <c r="B319" s="2">
        <v>40519</v>
      </c>
      <c r="C319">
        <v>107.83868190461587</v>
      </c>
    </row>
    <row r="320" spans="2:3">
      <c r="B320" s="2">
        <v>40520</v>
      </c>
      <c r="C320">
        <v>107.98904272895606</v>
      </c>
    </row>
    <row r="321" spans="2:3">
      <c r="B321" s="2">
        <v>40521</v>
      </c>
      <c r="C321">
        <v>106.32002416840807</v>
      </c>
    </row>
    <row r="322" spans="2:3">
      <c r="B322" s="2">
        <v>40522</v>
      </c>
      <c r="C322">
        <v>106.12104129427154</v>
      </c>
    </row>
    <row r="323" spans="2:3">
      <c r="B323" s="2">
        <v>40525</v>
      </c>
      <c r="C323">
        <v>105.45904464981525</v>
      </c>
    </row>
    <row r="324" spans="2:3">
      <c r="B324" s="2">
        <v>40526</v>
      </c>
      <c r="C324">
        <v>110.7150082822284</v>
      </c>
    </row>
    <row r="325" spans="2:3">
      <c r="B325" s="2">
        <v>40527</v>
      </c>
      <c r="C325">
        <v>111.94895336533803</v>
      </c>
    </row>
    <row r="326" spans="2:3">
      <c r="B326" s="2">
        <v>40528</v>
      </c>
      <c r="C326">
        <v>110.8137893102619</v>
      </c>
    </row>
    <row r="327" spans="2:3">
      <c r="B327" s="2">
        <v>40529</v>
      </c>
      <c r="C327">
        <v>114.91037593619046</v>
      </c>
    </row>
    <row r="328" spans="2:3">
      <c r="B328" s="2">
        <v>40532</v>
      </c>
      <c r="C328">
        <v>114.67072803728296</v>
      </c>
    </row>
    <row r="329" spans="2:3">
      <c r="B329" s="2">
        <v>40533</v>
      </c>
      <c r="C329">
        <v>115.05968314386259</v>
      </c>
    </row>
    <row r="330" spans="2:3">
      <c r="B330" s="2">
        <v>40534</v>
      </c>
      <c r="C330">
        <v>114.53967849451958</v>
      </c>
    </row>
    <row r="331" spans="2:3">
      <c r="B331" s="2">
        <v>40535</v>
      </c>
      <c r="C331">
        <v>112.64408948779835</v>
      </c>
    </row>
    <row r="332" spans="2:3">
      <c r="B332" s="2">
        <v>40539</v>
      </c>
      <c r="C332">
        <v>112.1914541224283</v>
      </c>
    </row>
    <row r="333" spans="2:3">
      <c r="B333" s="2">
        <v>40540</v>
      </c>
      <c r="C333">
        <v>113.54464235552044</v>
      </c>
    </row>
    <row r="334" spans="2:3">
      <c r="B334" s="2">
        <v>40541</v>
      </c>
      <c r="C334">
        <v>118.80377871631993</v>
      </c>
    </row>
    <row r="335" spans="2:3">
      <c r="B335" s="2">
        <v>40542</v>
      </c>
      <c r="C335">
        <v>118.79494466956749</v>
      </c>
    </row>
    <row r="336" spans="2:3">
      <c r="B336" s="2">
        <v>40543</v>
      </c>
      <c r="C336">
        <v>119.65672456643539</v>
      </c>
    </row>
    <row r="337" spans="2:3">
      <c r="B337" s="2">
        <v>40546</v>
      </c>
      <c r="C337">
        <v>119.63160500529743</v>
      </c>
    </row>
    <row r="338" spans="2:3">
      <c r="B338" s="2">
        <v>40547</v>
      </c>
      <c r="C338">
        <v>118.34759552496898</v>
      </c>
    </row>
    <row r="339" spans="2:3">
      <c r="B339" s="2">
        <v>40548</v>
      </c>
      <c r="C339">
        <v>120.33089350515796</v>
      </c>
    </row>
    <row r="340" spans="2:3">
      <c r="B340" s="2">
        <v>40549</v>
      </c>
      <c r="C340">
        <v>121.02120333383877</v>
      </c>
    </row>
    <row r="341" spans="2:3">
      <c r="B341" s="2">
        <v>40550</v>
      </c>
      <c r="C341">
        <v>122.95045934087707</v>
      </c>
    </row>
    <row r="342" spans="2:3">
      <c r="B342" s="2">
        <v>40553</v>
      </c>
      <c r="C342">
        <v>122.97687990826567</v>
      </c>
    </row>
    <row r="343" spans="2:3">
      <c r="B343" s="2">
        <v>40554</v>
      </c>
      <c r="C343">
        <v>123.2422127342808</v>
      </c>
    </row>
    <row r="344" spans="2:3">
      <c r="B344" s="2">
        <v>40555</v>
      </c>
      <c r="C344">
        <v>122.26078420797396</v>
      </c>
    </row>
    <row r="345" spans="2:3">
      <c r="B345" s="2">
        <v>40556</v>
      </c>
      <c r="C345">
        <v>121.70265301596459</v>
      </c>
    </row>
    <row r="346" spans="2:3">
      <c r="B346" s="2">
        <v>40557</v>
      </c>
      <c r="C346">
        <v>121.37554702444446</v>
      </c>
    </row>
    <row r="347" spans="2:3">
      <c r="B347" s="2">
        <v>40561</v>
      </c>
      <c r="C347">
        <v>121.52602450881713</v>
      </c>
    </row>
    <row r="348" spans="2:3">
      <c r="B348" s="2">
        <v>40562</v>
      </c>
      <c r="C348">
        <v>121.71718927537798</v>
      </c>
    </row>
    <row r="349" spans="2:3">
      <c r="B349" s="2">
        <v>40563</v>
      </c>
      <c r="C349">
        <v>122.99865654874674</v>
      </c>
    </row>
    <row r="350" spans="2:3">
      <c r="B350" s="2">
        <v>40564</v>
      </c>
      <c r="C350">
        <v>123.10369191641948</v>
      </c>
    </row>
    <row r="351" spans="2:3">
      <c r="B351" s="2">
        <v>40567</v>
      </c>
      <c r="C351">
        <v>122.47861296268032</v>
      </c>
    </row>
    <row r="352" spans="2:3">
      <c r="B352" s="2">
        <v>40568</v>
      </c>
      <c r="C352">
        <v>122.8187642583098</v>
      </c>
    </row>
    <row r="353" spans="2:3">
      <c r="B353" s="2">
        <v>40569</v>
      </c>
      <c r="C353">
        <v>122.70068245843801</v>
      </c>
    </row>
    <row r="354" spans="2:3">
      <c r="B354" s="2">
        <v>40570</v>
      </c>
      <c r="C354">
        <v>122.98352103758354</v>
      </c>
    </row>
    <row r="355" spans="2:3">
      <c r="B355" s="2">
        <v>40571</v>
      </c>
      <c r="C355">
        <v>123.10097991833197</v>
      </c>
    </row>
    <row r="356" spans="2:3">
      <c r="B356" s="2">
        <v>40574</v>
      </c>
      <c r="C356">
        <v>122.4663589653009</v>
      </c>
    </row>
    <row r="357" spans="2:3">
      <c r="B357" s="2">
        <v>40575</v>
      </c>
      <c r="C357">
        <v>122.68606972745518</v>
      </c>
    </row>
    <row r="358" spans="2:3">
      <c r="B358" s="2">
        <v>40576</v>
      </c>
      <c r="C358">
        <v>121.1310458108034</v>
      </c>
    </row>
    <row r="359" spans="2:3">
      <c r="B359" s="2">
        <v>40577</v>
      </c>
      <c r="C359">
        <v>120.72818605305413</v>
      </c>
    </row>
    <row r="360" spans="2:3">
      <c r="B360" s="2">
        <v>40578</v>
      </c>
      <c r="C360">
        <v>121.11708104507177</v>
      </c>
    </row>
    <row r="361" spans="2:3">
      <c r="B361" s="2">
        <v>40581</v>
      </c>
      <c r="C361">
        <v>119.91492366990477</v>
      </c>
    </row>
    <row r="362" spans="2:3">
      <c r="B362" s="2">
        <v>40582</v>
      </c>
      <c r="C362">
        <v>120.38501885265586</v>
      </c>
    </row>
    <row r="363" spans="2:3">
      <c r="B363" s="2">
        <v>40583</v>
      </c>
      <c r="C363">
        <v>118.84550947049223</v>
      </c>
    </row>
    <row r="364" spans="2:3">
      <c r="B364" s="2">
        <v>40584</v>
      </c>
      <c r="C364">
        <v>116.72862144238292</v>
      </c>
    </row>
    <row r="365" spans="2:3">
      <c r="B365" s="2">
        <v>40585</v>
      </c>
      <c r="C365">
        <v>117.73707962663325</v>
      </c>
    </row>
    <row r="366" spans="2:3">
      <c r="B366" s="2">
        <v>40588</v>
      </c>
      <c r="C366">
        <v>118.20127849254919</v>
      </c>
    </row>
    <row r="367" spans="2:3">
      <c r="B367" s="2">
        <v>40589</v>
      </c>
      <c r="C367">
        <v>118.19237727882754</v>
      </c>
    </row>
    <row r="368" spans="2:3">
      <c r="B368" s="2">
        <v>40590</v>
      </c>
      <c r="C368">
        <v>118.19031219020695</v>
      </c>
    </row>
    <row r="369" spans="2:3">
      <c r="B369" s="2">
        <v>40591</v>
      </c>
      <c r="C369">
        <v>118.39138644807655</v>
      </c>
    </row>
    <row r="370" spans="2:3">
      <c r="B370" s="2">
        <v>40592</v>
      </c>
      <c r="C370">
        <v>118.15772207407696</v>
      </c>
    </row>
    <row r="371" spans="2:3">
      <c r="B371" s="2">
        <v>40596</v>
      </c>
      <c r="C371">
        <v>115.50827761749628</v>
      </c>
    </row>
    <row r="372" spans="2:3">
      <c r="B372" s="2">
        <v>40597</v>
      </c>
      <c r="C372">
        <v>115.2329175593246</v>
      </c>
    </row>
    <row r="373" spans="2:3">
      <c r="B373" s="2">
        <v>40598</v>
      </c>
      <c r="C373">
        <v>115.0468524135003</v>
      </c>
    </row>
    <row r="374" spans="2:3">
      <c r="B374" s="2">
        <v>40599</v>
      </c>
      <c r="C374">
        <v>115.13550206414374</v>
      </c>
    </row>
    <row r="375" spans="2:3">
      <c r="B375" s="2">
        <v>40602</v>
      </c>
      <c r="C375">
        <v>111.13856779241588</v>
      </c>
    </row>
    <row r="376" spans="2:3">
      <c r="B376" s="2">
        <v>40603</v>
      </c>
      <c r="C376">
        <v>111.06059803767654</v>
      </c>
    </row>
    <row r="377" spans="2:3">
      <c r="B377" s="2">
        <v>40604</v>
      </c>
      <c r="C377">
        <v>111.25092265299099</v>
      </c>
    </row>
    <row r="378" spans="2:3">
      <c r="B378" s="2">
        <v>40605</v>
      </c>
      <c r="C378">
        <v>110.24822116502295</v>
      </c>
    </row>
    <row r="379" spans="2:3">
      <c r="B379" s="2">
        <v>40606</v>
      </c>
      <c r="C379">
        <v>104.32215903025492</v>
      </c>
    </row>
    <row r="380" spans="2:3">
      <c r="B380" s="2">
        <v>40609</v>
      </c>
      <c r="C380">
        <v>103.87894950242283</v>
      </c>
    </row>
    <row r="381" spans="2:3">
      <c r="B381" s="2">
        <v>40610</v>
      </c>
      <c r="C381">
        <v>103.52806824339031</v>
      </c>
    </row>
    <row r="382" spans="2:3">
      <c r="B382" s="2">
        <v>40611</v>
      </c>
      <c r="C382">
        <v>103.46253037627042</v>
      </c>
    </row>
    <row r="383" spans="2:3">
      <c r="B383" s="2">
        <v>40612</v>
      </c>
      <c r="C383">
        <v>103.9191067607513</v>
      </c>
    </row>
    <row r="384" spans="2:3">
      <c r="B384" s="2">
        <v>40613</v>
      </c>
      <c r="C384">
        <v>97.268411101907532</v>
      </c>
    </row>
    <row r="385" spans="2:3">
      <c r="B385" s="2">
        <v>40616</v>
      </c>
      <c r="C385">
        <v>95.341275102407351</v>
      </c>
    </row>
    <row r="386" spans="2:3">
      <c r="B386" s="2">
        <v>40617</v>
      </c>
      <c r="C386">
        <v>95.210246658110108</v>
      </c>
    </row>
    <row r="387" spans="2:3">
      <c r="B387" s="2">
        <v>40618</v>
      </c>
      <c r="C387">
        <v>88.98145683934365</v>
      </c>
    </row>
    <row r="388" spans="2:3">
      <c r="B388" s="2">
        <v>40619</v>
      </c>
      <c r="C388">
        <v>88.671210527086927</v>
      </c>
    </row>
    <row r="389" spans="2:3">
      <c r="B389" s="2">
        <v>40620</v>
      </c>
      <c r="C389">
        <v>88.393983332973022</v>
      </c>
    </row>
    <row r="390" spans="2:3">
      <c r="B390" s="2">
        <v>40623</v>
      </c>
      <c r="C390">
        <v>89.056673979476827</v>
      </c>
    </row>
    <row r="391" spans="2:3">
      <c r="B391" s="2">
        <v>40624</v>
      </c>
      <c r="C391">
        <v>88.663525770101174</v>
      </c>
    </row>
    <row r="392" spans="2:3">
      <c r="B392" s="2">
        <v>40625</v>
      </c>
      <c r="C392">
        <v>88.719052149040195</v>
      </c>
    </row>
    <row r="393" spans="2:3">
      <c r="B393" s="2">
        <v>40626</v>
      </c>
      <c r="C393">
        <v>85.614914635229553</v>
      </c>
    </row>
    <row r="394" spans="2:3">
      <c r="B394" s="2">
        <v>40627</v>
      </c>
      <c r="C394">
        <v>79.684074427511391</v>
      </c>
    </row>
    <row r="395" spans="2:3">
      <c r="B395" s="2">
        <v>40630</v>
      </c>
      <c r="C395">
        <v>79.614364927472664</v>
      </c>
    </row>
    <row r="396" spans="2:3">
      <c r="B396" s="2">
        <v>40631</v>
      </c>
      <c r="C396">
        <v>78.043876570548804</v>
      </c>
    </row>
    <row r="397" spans="2:3">
      <c r="B397" s="2">
        <v>40632</v>
      </c>
      <c r="C397">
        <v>78.388008322515617</v>
      </c>
    </row>
    <row r="398" spans="2:3">
      <c r="B398" s="2">
        <v>40633</v>
      </c>
      <c r="C398">
        <v>78.38109096639532</v>
      </c>
    </row>
    <row r="399" spans="2:3">
      <c r="B399" s="2">
        <v>40634</v>
      </c>
      <c r="C399">
        <v>73.44915093362026</v>
      </c>
    </row>
    <row r="400" spans="2:3">
      <c r="B400" s="2">
        <v>40637</v>
      </c>
      <c r="C400">
        <v>72.79294565812971</v>
      </c>
    </row>
    <row r="401" spans="2:3">
      <c r="B401" s="2">
        <v>40638</v>
      </c>
      <c r="C401">
        <v>70.664143665378447</v>
      </c>
    </row>
    <row r="402" spans="2:3">
      <c r="B402" s="2">
        <v>40639</v>
      </c>
      <c r="C402">
        <v>70.614334869707619</v>
      </c>
    </row>
    <row r="403" spans="2:3">
      <c r="B403" s="2">
        <v>40640</v>
      </c>
      <c r="C403">
        <v>69.885817185402871</v>
      </c>
    </row>
    <row r="404" spans="2:3">
      <c r="B404" s="2">
        <v>40641</v>
      </c>
      <c r="C404">
        <v>69.8796025782637</v>
      </c>
    </row>
    <row r="405" spans="2:3">
      <c r="B405" s="2">
        <v>40644</v>
      </c>
      <c r="C405">
        <v>68.838148752641899</v>
      </c>
    </row>
    <row r="406" spans="2:3">
      <c r="B406" s="2">
        <v>40645</v>
      </c>
      <c r="C406">
        <v>69.75317433612409</v>
      </c>
    </row>
    <row r="407" spans="2:3">
      <c r="B407" s="2">
        <v>40646</v>
      </c>
      <c r="C407">
        <v>69.068911162036301</v>
      </c>
    </row>
    <row r="408" spans="2:3">
      <c r="B408" s="2">
        <v>40647</v>
      </c>
      <c r="C408">
        <v>68.818561838546785</v>
      </c>
    </row>
    <row r="409" spans="2:3">
      <c r="B409" s="2">
        <v>40648</v>
      </c>
      <c r="C409">
        <v>67.246319243498164</v>
      </c>
    </row>
    <row r="410" spans="2:3">
      <c r="B410" s="2">
        <v>40651</v>
      </c>
      <c r="C410">
        <v>67.227880749860091</v>
      </c>
    </row>
    <row r="411" spans="2:3">
      <c r="B411" s="2">
        <v>40652</v>
      </c>
      <c r="C411">
        <v>67.211449991702793</v>
      </c>
    </row>
    <row r="412" spans="2:3">
      <c r="B412" s="2">
        <v>40653</v>
      </c>
      <c r="C412">
        <v>66.767971533644214</v>
      </c>
    </row>
    <row r="413" spans="2:3">
      <c r="B413" s="2">
        <v>40654</v>
      </c>
      <c r="C413">
        <v>64.636305506563602</v>
      </c>
    </row>
    <row r="414" spans="2:3">
      <c r="B414" s="2">
        <v>40658</v>
      </c>
      <c r="C414">
        <v>64.106955856239921</v>
      </c>
    </row>
    <row r="415" spans="2:3">
      <c r="B415" s="2">
        <v>40659</v>
      </c>
      <c r="C415">
        <v>64.124522180514703</v>
      </c>
    </row>
    <row r="416" spans="2:3">
      <c r="B416" s="2">
        <v>40660</v>
      </c>
      <c r="C416">
        <v>64.126717200545727</v>
      </c>
    </row>
    <row r="417" spans="2:3">
      <c r="B417" s="2">
        <v>40661</v>
      </c>
      <c r="C417">
        <v>64.276116336161493</v>
      </c>
    </row>
    <row r="418" spans="2:3">
      <c r="B418" s="2">
        <v>40662</v>
      </c>
      <c r="C418">
        <v>63.404765376587982</v>
      </c>
    </row>
    <row r="419" spans="2:3">
      <c r="B419" s="2">
        <v>40665</v>
      </c>
      <c r="C419">
        <v>62.743891755547473</v>
      </c>
    </row>
    <row r="420" spans="2:3">
      <c r="B420" s="2">
        <v>40666</v>
      </c>
      <c r="C420">
        <v>61.177119948926581</v>
      </c>
    </row>
    <row r="421" spans="2:3">
      <c r="B421" s="2">
        <v>40667</v>
      </c>
      <c r="C421">
        <v>61.209978889490777</v>
      </c>
    </row>
    <row r="422" spans="2:3">
      <c r="B422" s="2">
        <v>40668</v>
      </c>
      <c r="C422">
        <v>59.487781530161108</v>
      </c>
    </row>
    <row r="423" spans="2:3">
      <c r="B423" s="2">
        <v>40669</v>
      </c>
      <c r="C423">
        <v>59.24468547710039</v>
      </c>
    </row>
    <row r="424" spans="2:3">
      <c r="B424" s="2">
        <v>40672</v>
      </c>
      <c r="C424">
        <v>58.094973302282796</v>
      </c>
    </row>
    <row r="425" spans="2:3">
      <c r="B425" s="2">
        <v>40673</v>
      </c>
      <c r="C425">
        <v>57.77418809190101</v>
      </c>
    </row>
    <row r="426" spans="2:3">
      <c r="B426" s="2">
        <v>40674</v>
      </c>
      <c r="C426">
        <v>57.499549197854549</v>
      </c>
    </row>
    <row r="427" spans="2:3">
      <c r="B427" s="2">
        <v>40675</v>
      </c>
      <c r="C427">
        <v>57.810861749330044</v>
      </c>
    </row>
    <row r="428" spans="2:3">
      <c r="B428" s="2">
        <v>40676</v>
      </c>
      <c r="C428">
        <v>57.694315429761225</v>
      </c>
    </row>
    <row r="429" spans="2:3">
      <c r="B429" s="2">
        <v>40679</v>
      </c>
      <c r="C429">
        <v>57.086324068512049</v>
      </c>
    </row>
    <row r="430" spans="2:3">
      <c r="B430" s="2">
        <v>40680</v>
      </c>
      <c r="C430">
        <v>56.92570392899777</v>
      </c>
    </row>
    <row r="431" spans="2:3">
      <c r="B431" s="2">
        <v>40681</v>
      </c>
      <c r="C431">
        <v>56.41649326719044</v>
      </c>
    </row>
    <row r="432" spans="2:3">
      <c r="B432" s="2">
        <v>40682</v>
      </c>
      <c r="C432">
        <v>56.422008202453689</v>
      </c>
    </row>
    <row r="433" spans="2:3">
      <c r="B433" s="2">
        <v>40683</v>
      </c>
      <c r="C433">
        <v>55.888081254973713</v>
      </c>
    </row>
    <row r="434" spans="2:3">
      <c r="B434" s="2">
        <v>40686</v>
      </c>
      <c r="C434">
        <v>55.875618767493641</v>
      </c>
    </row>
    <row r="435" spans="2:3">
      <c r="B435" s="2">
        <v>40687</v>
      </c>
      <c r="C435">
        <v>55.81814759857037</v>
      </c>
    </row>
    <row r="436" spans="2:3">
      <c r="B436" s="2">
        <v>40688</v>
      </c>
      <c r="C436">
        <v>55.782918253715444</v>
      </c>
    </row>
    <row r="437" spans="2:3">
      <c r="B437" s="2">
        <v>40689</v>
      </c>
      <c r="C437">
        <v>56.587653100822578</v>
      </c>
    </row>
    <row r="438" spans="2:3">
      <c r="B438" s="2">
        <v>40690</v>
      </c>
      <c r="C438">
        <v>54.265857933330608</v>
      </c>
    </row>
    <row r="439" spans="2:3">
      <c r="B439" s="2">
        <v>40694</v>
      </c>
      <c r="C439">
        <v>51.460860765083453</v>
      </c>
    </row>
    <row r="440" spans="2:3">
      <c r="B440" s="2">
        <v>40695</v>
      </c>
      <c r="C440">
        <v>52.948102394708862</v>
      </c>
    </row>
    <row r="441" spans="2:3">
      <c r="B441" s="2">
        <v>40696</v>
      </c>
      <c r="C441">
        <v>53.506324498559835</v>
      </c>
    </row>
    <row r="442" spans="2:3">
      <c r="B442" s="2">
        <v>40697</v>
      </c>
      <c r="C442">
        <v>52.268861567193483</v>
      </c>
    </row>
    <row r="443" spans="2:3">
      <c r="B443" s="2">
        <v>40700</v>
      </c>
      <c r="C443">
        <v>51.524610485711676</v>
      </c>
    </row>
    <row r="444" spans="2:3">
      <c r="B444" s="2">
        <v>40701</v>
      </c>
      <c r="C444">
        <v>51.347763769658386</v>
      </c>
    </row>
    <row r="445" spans="2:3">
      <c r="B445" s="2">
        <v>40702</v>
      </c>
      <c r="C445">
        <v>51.468787107514125</v>
      </c>
    </row>
    <row r="446" spans="2:3">
      <c r="B446" s="2">
        <v>40703</v>
      </c>
      <c r="C446">
        <v>52.271661445045694</v>
      </c>
    </row>
    <row r="447" spans="2:3">
      <c r="B447" s="2">
        <v>40704</v>
      </c>
      <c r="C447">
        <v>49.0798056808909</v>
      </c>
    </row>
    <row r="448" spans="2:3">
      <c r="B448" s="2">
        <v>40707</v>
      </c>
      <c r="C448">
        <v>48.793384612705928</v>
      </c>
    </row>
    <row r="449" spans="2:3">
      <c r="B449" s="2">
        <v>40708</v>
      </c>
      <c r="C449">
        <v>50.937613361750152</v>
      </c>
    </row>
    <row r="450" spans="2:3">
      <c r="B450" s="2">
        <v>40709</v>
      </c>
      <c r="C450">
        <v>51.475067767937176</v>
      </c>
    </row>
    <row r="451" spans="2:3">
      <c r="B451" s="2">
        <v>40710</v>
      </c>
      <c r="C451">
        <v>51.207020205828982</v>
      </c>
    </row>
    <row r="452" spans="2:3">
      <c r="B452" s="2">
        <v>40711</v>
      </c>
      <c r="C452">
        <v>51.236579768067614</v>
      </c>
    </row>
    <row r="453" spans="2:3">
      <c r="B453" s="2">
        <v>40714</v>
      </c>
      <c r="C453">
        <v>51.263768748553588</v>
      </c>
    </row>
    <row r="454" spans="2:3">
      <c r="B454" s="2">
        <v>40715</v>
      </c>
      <c r="C454">
        <v>50.744934850970601</v>
      </c>
    </row>
    <row r="455" spans="2:3">
      <c r="B455" s="2">
        <v>40716</v>
      </c>
      <c r="C455">
        <v>50.844313927117923</v>
      </c>
    </row>
    <row r="456" spans="2:3">
      <c r="B456" s="2">
        <v>40717</v>
      </c>
      <c r="C456">
        <v>51.486667375937301</v>
      </c>
    </row>
    <row r="457" spans="2:3">
      <c r="B457" s="2">
        <v>40718</v>
      </c>
      <c r="C457">
        <v>51.204400826093966</v>
      </c>
    </row>
    <row r="458" spans="2:3">
      <c r="B458" s="2">
        <v>40721</v>
      </c>
      <c r="C458">
        <v>52.250386251558254</v>
      </c>
    </row>
    <row r="459" spans="2:3">
      <c r="B459" s="2">
        <v>40722</v>
      </c>
      <c r="C459">
        <v>55.025554663545606</v>
      </c>
    </row>
    <row r="460" spans="2:3">
      <c r="B460" s="2">
        <v>40723</v>
      </c>
      <c r="C460">
        <v>55.376219477677225</v>
      </c>
    </row>
    <row r="461" spans="2:3">
      <c r="B461" s="2">
        <v>40724</v>
      </c>
      <c r="C461">
        <v>54.43585268204064</v>
      </c>
    </row>
    <row r="462" spans="2:3">
      <c r="B462" s="2">
        <v>40725</v>
      </c>
      <c r="C462">
        <v>54.357242359029591</v>
      </c>
    </row>
    <row r="463" spans="2:3">
      <c r="B463" s="2">
        <v>40729</v>
      </c>
      <c r="C463">
        <v>54.783300047682246</v>
      </c>
    </row>
    <row r="464" spans="2:3">
      <c r="B464" s="2">
        <v>40730</v>
      </c>
      <c r="C464">
        <v>54.70741505133747</v>
      </c>
    </row>
    <row r="465" spans="2:3">
      <c r="B465" s="2">
        <v>40731</v>
      </c>
      <c r="C465">
        <v>56.087724409740417</v>
      </c>
    </row>
    <row r="466" spans="2:3">
      <c r="B466" s="2">
        <v>40732</v>
      </c>
      <c r="C466">
        <v>58.566210724653111</v>
      </c>
    </row>
    <row r="467" spans="2:3">
      <c r="B467" s="2">
        <v>40735</v>
      </c>
      <c r="C467">
        <v>59.010940572494519</v>
      </c>
    </row>
    <row r="468" spans="2:3">
      <c r="B468" s="2">
        <v>40736</v>
      </c>
      <c r="C468">
        <v>58.965783672235986</v>
      </c>
    </row>
    <row r="469" spans="2:3">
      <c r="B469" s="2">
        <v>40737</v>
      </c>
      <c r="C469">
        <v>57.878497638615968</v>
      </c>
    </row>
    <row r="470" spans="2:3">
      <c r="B470" s="2">
        <v>40738</v>
      </c>
      <c r="C470">
        <v>58.17096894873481</v>
      </c>
    </row>
    <row r="471" spans="2:3">
      <c r="B471" s="2">
        <v>40739</v>
      </c>
      <c r="C471">
        <v>58.196647298219339</v>
      </c>
    </row>
    <row r="472" spans="2:3">
      <c r="B472" s="2">
        <v>40742</v>
      </c>
      <c r="C472">
        <v>58.240795497301654</v>
      </c>
    </row>
    <row r="473" spans="2:3">
      <c r="B473" s="2">
        <v>40743</v>
      </c>
      <c r="C473">
        <v>58.239262060611388</v>
      </c>
    </row>
    <row r="474" spans="2:3">
      <c r="B474" s="2">
        <v>40744</v>
      </c>
      <c r="C474">
        <v>58.068540761403106</v>
      </c>
    </row>
    <row r="475" spans="2:3">
      <c r="B475" s="2">
        <v>40745</v>
      </c>
      <c r="C475">
        <v>58.370248687068582</v>
      </c>
    </row>
    <row r="476" spans="2:3">
      <c r="B476" s="2">
        <v>40746</v>
      </c>
      <c r="C476">
        <v>58.23209841340686</v>
      </c>
    </row>
    <row r="477" spans="2:3">
      <c r="B477" s="2">
        <v>40749</v>
      </c>
      <c r="C477">
        <v>57.357841413686984</v>
      </c>
    </row>
    <row r="478" spans="2:3">
      <c r="B478" s="2">
        <v>40750</v>
      </c>
      <c r="C478">
        <v>57.528169839356735</v>
      </c>
    </row>
    <row r="479" spans="2:3">
      <c r="B479" s="2">
        <v>40751</v>
      </c>
      <c r="C479">
        <v>58.195311331660605</v>
      </c>
    </row>
    <row r="480" spans="2:3">
      <c r="B480" s="2">
        <v>40752</v>
      </c>
      <c r="C480">
        <v>58.466590220320803</v>
      </c>
    </row>
    <row r="481" spans="2:3">
      <c r="B481" s="2">
        <v>40753</v>
      </c>
      <c r="C481">
        <v>63.25416417989026</v>
      </c>
    </row>
    <row r="482" spans="2:3">
      <c r="B482" s="2">
        <v>40756</v>
      </c>
      <c r="C482">
        <v>63.072932149506045</v>
      </c>
    </row>
    <row r="483" spans="2:3">
      <c r="B483" s="2">
        <v>40757</v>
      </c>
      <c r="C483">
        <v>66.522923448206612</v>
      </c>
    </row>
    <row r="484" spans="2:3">
      <c r="B484" s="2">
        <v>40758</v>
      </c>
      <c r="C484">
        <v>66.923654796329785</v>
      </c>
    </row>
    <row r="485" spans="2:3">
      <c r="B485" s="2">
        <v>40759</v>
      </c>
      <c r="C485">
        <v>70.660514961055895</v>
      </c>
    </row>
    <row r="486" spans="2:3">
      <c r="B486" s="2">
        <v>40760</v>
      </c>
      <c r="C486">
        <v>78.737565587139727</v>
      </c>
    </row>
    <row r="487" spans="2:3">
      <c r="B487" s="2">
        <v>40763</v>
      </c>
      <c r="C487">
        <v>82.02027298541347</v>
      </c>
    </row>
    <row r="488" spans="2:3">
      <c r="B488" s="2">
        <v>40764</v>
      </c>
      <c r="C488">
        <v>88.112173934560772</v>
      </c>
    </row>
    <row r="489" spans="2:3">
      <c r="B489" s="2">
        <v>40765</v>
      </c>
      <c r="C489">
        <v>91.354576907474595</v>
      </c>
    </row>
    <row r="490" spans="2:3">
      <c r="B490" s="2">
        <v>40766</v>
      </c>
      <c r="C490">
        <v>96.729544807690218</v>
      </c>
    </row>
    <row r="491" spans="2:3">
      <c r="B491" s="2">
        <v>40767</v>
      </c>
      <c r="C491">
        <v>96.654672121197535</v>
      </c>
    </row>
    <row r="492" spans="2:3">
      <c r="B492" s="2">
        <v>40770</v>
      </c>
      <c r="C492">
        <v>97.832714884147279</v>
      </c>
    </row>
    <row r="493" spans="2:3">
      <c r="B493" s="2">
        <v>40771</v>
      </c>
      <c r="C493">
        <v>98.580765625357301</v>
      </c>
    </row>
    <row r="494" spans="2:3">
      <c r="B494" s="2">
        <v>40772</v>
      </c>
      <c r="C494">
        <v>98.735413473714772</v>
      </c>
    </row>
    <row r="495" spans="2:3">
      <c r="B495" s="2">
        <v>40773</v>
      </c>
      <c r="C495">
        <v>98.748829619083438</v>
      </c>
    </row>
    <row r="496" spans="2:3">
      <c r="B496" s="2">
        <v>40774</v>
      </c>
      <c r="C496">
        <v>99.187591018126639</v>
      </c>
    </row>
    <row r="497" spans="2:3">
      <c r="B497" s="2">
        <v>40777</v>
      </c>
      <c r="C497">
        <v>98.603669977922792</v>
      </c>
    </row>
    <row r="498" spans="2:3">
      <c r="B498" s="2">
        <v>40778</v>
      </c>
      <c r="C498">
        <v>99.451742861326466</v>
      </c>
    </row>
    <row r="499" spans="2:3">
      <c r="B499" s="2">
        <v>40779</v>
      </c>
      <c r="C499">
        <v>99.903309817305484</v>
      </c>
    </row>
    <row r="500" spans="2:3">
      <c r="B500" s="2">
        <v>40780</v>
      </c>
      <c r="C500">
        <v>100.98145847312297</v>
      </c>
    </row>
    <row r="501" spans="2:3">
      <c r="B501" s="2">
        <v>40781</v>
      </c>
      <c r="C501">
        <v>100.45070722572038</v>
      </c>
    </row>
    <row r="502" spans="2:3">
      <c r="B502" s="2">
        <v>40784</v>
      </c>
      <c r="C502">
        <v>102.33900123291366</v>
      </c>
    </row>
    <row r="503" spans="2:3">
      <c r="B503" s="2">
        <v>40785</v>
      </c>
      <c r="C503">
        <v>103.38225240342472</v>
      </c>
    </row>
    <row r="504" spans="2:3">
      <c r="B504" s="2">
        <v>40786</v>
      </c>
      <c r="C504">
        <v>104.5851188443075</v>
      </c>
    </row>
    <row r="505" spans="2:3">
      <c r="B505" s="2">
        <v>40787</v>
      </c>
      <c r="C505">
        <v>105.01794649188238</v>
      </c>
    </row>
    <row r="506" spans="2:3">
      <c r="B506" s="2">
        <v>40788</v>
      </c>
      <c r="C506">
        <v>106.19585104391803</v>
      </c>
    </row>
    <row r="507" spans="2:3">
      <c r="B507" s="2">
        <v>40792</v>
      </c>
      <c r="C507">
        <v>106.1901539507431</v>
      </c>
    </row>
    <row r="508" spans="2:3">
      <c r="B508" s="2">
        <v>40793</v>
      </c>
      <c r="C508">
        <v>106.90781095676938</v>
      </c>
    </row>
    <row r="509" spans="2:3">
      <c r="B509" s="2">
        <v>40794</v>
      </c>
      <c r="C509">
        <v>105.73992544277546</v>
      </c>
    </row>
    <row r="510" spans="2:3">
      <c r="B510" s="2">
        <v>40795</v>
      </c>
      <c r="C510">
        <v>105.68752544004387</v>
      </c>
    </row>
    <row r="511" spans="2:3">
      <c r="B511" s="2">
        <v>40798</v>
      </c>
      <c r="C511">
        <v>106.36129543022525</v>
      </c>
    </row>
    <row r="512" spans="2:3">
      <c r="B512" s="2">
        <v>40799</v>
      </c>
      <c r="C512">
        <v>106.57054544036268</v>
      </c>
    </row>
    <row r="513" spans="2:3">
      <c r="B513" s="2">
        <v>40800</v>
      </c>
      <c r="C513">
        <v>106.3998312889024</v>
      </c>
    </row>
    <row r="514" spans="2:3">
      <c r="B514" s="2">
        <v>40801</v>
      </c>
      <c r="C514">
        <v>106.98157049275837</v>
      </c>
    </row>
    <row r="515" spans="2:3">
      <c r="B515" s="2">
        <v>40802</v>
      </c>
      <c r="C515">
        <v>106.96248277943481</v>
      </c>
    </row>
    <row r="516" spans="2:3">
      <c r="B516" s="2">
        <v>40805</v>
      </c>
      <c r="C516">
        <v>108.22509621390456</v>
      </c>
    </row>
    <row r="517" spans="2:3">
      <c r="B517" s="2">
        <v>40806</v>
      </c>
      <c r="C517">
        <v>108.39778356600948</v>
      </c>
    </row>
    <row r="518" spans="2:3">
      <c r="B518" s="2">
        <v>40807</v>
      </c>
      <c r="C518">
        <v>117.5479947680256</v>
      </c>
    </row>
    <row r="519" spans="2:3">
      <c r="B519" s="2">
        <v>40808</v>
      </c>
      <c r="C519">
        <v>119.99979752940013</v>
      </c>
    </row>
    <row r="520" spans="2:3">
      <c r="B520" s="2">
        <v>40809</v>
      </c>
      <c r="C520">
        <v>123.34283384865674</v>
      </c>
    </row>
    <row r="521" spans="2:3">
      <c r="B521" s="2">
        <v>40812</v>
      </c>
      <c r="C521">
        <v>124.961455444772</v>
      </c>
    </row>
    <row r="522" spans="2:3">
      <c r="B522" s="2">
        <v>40813</v>
      </c>
      <c r="C522">
        <v>127.74380680637354</v>
      </c>
    </row>
    <row r="523" spans="2:3">
      <c r="B523" s="2">
        <v>40814</v>
      </c>
      <c r="C523">
        <v>127.67649466872018</v>
      </c>
    </row>
    <row r="524" spans="2:3">
      <c r="B524" s="2">
        <v>40815</v>
      </c>
      <c r="C524">
        <v>128.43766155920511</v>
      </c>
    </row>
    <row r="525" spans="2:3">
      <c r="B525" s="2">
        <v>40816</v>
      </c>
      <c r="C525">
        <v>127.72609633995235</v>
      </c>
    </row>
    <row r="526" spans="2:3">
      <c r="B526" s="2">
        <v>40819</v>
      </c>
      <c r="C526">
        <v>127.11470508253751</v>
      </c>
    </row>
    <row r="527" spans="2:3">
      <c r="B527" s="2">
        <v>40820</v>
      </c>
      <c r="C527">
        <v>128.40283656338926</v>
      </c>
    </row>
    <row r="528" spans="2:3">
      <c r="B528" s="2">
        <v>40821</v>
      </c>
      <c r="C528">
        <v>129.71240691793</v>
      </c>
    </row>
    <row r="529" spans="2:3">
      <c r="B529" s="2">
        <v>40822</v>
      </c>
      <c r="C529">
        <v>130.66174203311135</v>
      </c>
    </row>
    <row r="530" spans="2:3">
      <c r="B530" s="2">
        <v>40823</v>
      </c>
      <c r="C530">
        <v>132.20120881520418</v>
      </c>
    </row>
    <row r="531" spans="2:3">
      <c r="B531" s="2">
        <v>40827</v>
      </c>
      <c r="C531">
        <v>132.50424227003313</v>
      </c>
    </row>
    <row r="532" spans="2:3">
      <c r="B532" s="2">
        <v>40828</v>
      </c>
      <c r="C532">
        <v>132.38570433150423</v>
      </c>
    </row>
    <row r="533" spans="2:3">
      <c r="B533" s="2">
        <v>40829</v>
      </c>
      <c r="C533">
        <v>132.45796964269653</v>
      </c>
    </row>
    <row r="534" spans="2:3">
      <c r="B534" s="2">
        <v>40830</v>
      </c>
      <c r="C534">
        <v>133.10745995819894</v>
      </c>
    </row>
    <row r="535" spans="2:3">
      <c r="B535" s="2">
        <v>40833</v>
      </c>
      <c r="C535">
        <v>133.27883549348499</v>
      </c>
    </row>
    <row r="536" spans="2:3">
      <c r="B536" s="2">
        <v>40834</v>
      </c>
      <c r="C536">
        <v>133.25369287224265</v>
      </c>
    </row>
    <row r="537" spans="2:3">
      <c r="B537" s="2">
        <v>40835</v>
      </c>
      <c r="C537">
        <v>132.97911849966167</v>
      </c>
    </row>
    <row r="538" spans="2:3">
      <c r="B538" s="2">
        <v>40836</v>
      </c>
      <c r="C538">
        <v>133.13086230070061</v>
      </c>
    </row>
    <row r="539" spans="2:3">
      <c r="B539" s="2">
        <v>40837</v>
      </c>
      <c r="C539">
        <v>132.72098177223734</v>
      </c>
    </row>
    <row r="540" spans="2:3">
      <c r="B540" s="2">
        <v>40840</v>
      </c>
      <c r="C540">
        <v>132.85695115571318</v>
      </c>
    </row>
    <row r="541" spans="2:3">
      <c r="B541" s="2">
        <v>40841</v>
      </c>
      <c r="C541">
        <v>132.0489194734221</v>
      </c>
    </row>
    <row r="542" spans="2:3">
      <c r="B542" s="2">
        <v>40842</v>
      </c>
      <c r="C542">
        <v>132.52393488369435</v>
      </c>
    </row>
    <row r="543" spans="2:3">
      <c r="B543" s="2">
        <v>40843</v>
      </c>
      <c r="C543">
        <v>133.34400649191733</v>
      </c>
    </row>
    <row r="544" spans="2:3">
      <c r="B544" s="2">
        <v>40844</v>
      </c>
      <c r="C544">
        <v>134.04729900786589</v>
      </c>
    </row>
    <row r="545" spans="2:3">
      <c r="B545" s="2">
        <v>40847</v>
      </c>
      <c r="C545">
        <v>133.33090452113493</v>
      </c>
    </row>
    <row r="546" spans="2:3">
      <c r="B546" s="2">
        <v>40848</v>
      </c>
      <c r="C546">
        <v>130.94891981657378</v>
      </c>
    </row>
    <row r="547" spans="2:3">
      <c r="B547" s="2">
        <v>40849</v>
      </c>
      <c r="C547">
        <v>128.8728471619996</v>
      </c>
    </row>
    <row r="548" spans="2:3">
      <c r="B548" s="2">
        <v>40850</v>
      </c>
      <c r="C548">
        <v>124.97359510902967</v>
      </c>
    </row>
    <row r="549" spans="2:3">
      <c r="B549" s="2">
        <v>40851</v>
      </c>
      <c r="C549">
        <v>122.48586811510218</v>
      </c>
    </row>
    <row r="550" spans="2:3">
      <c r="B550" s="2">
        <v>40854</v>
      </c>
      <c r="C550">
        <v>118.85557206807501</v>
      </c>
    </row>
    <row r="551" spans="2:3">
      <c r="B551" s="2">
        <v>40855</v>
      </c>
      <c r="C551">
        <v>119.41047711316747</v>
      </c>
    </row>
    <row r="552" spans="2:3">
      <c r="B552" s="2">
        <v>40856</v>
      </c>
      <c r="C552">
        <v>118.99312115326524</v>
      </c>
    </row>
    <row r="553" spans="2:3">
      <c r="B553" s="2">
        <v>40857</v>
      </c>
      <c r="C553">
        <v>118.81685089544958</v>
      </c>
    </row>
    <row r="554" spans="2:3">
      <c r="B554" s="2">
        <v>40861</v>
      </c>
      <c r="C554">
        <v>118.51881236841804</v>
      </c>
    </row>
    <row r="555" spans="2:3">
      <c r="B555" s="2">
        <v>40862</v>
      </c>
      <c r="C555">
        <v>118.58170867424671</v>
      </c>
    </row>
    <row r="556" spans="2:3">
      <c r="B556" s="2">
        <v>40863</v>
      </c>
      <c r="C556">
        <v>118.40745942067255</v>
      </c>
    </row>
    <row r="557" spans="2:3">
      <c r="B557" s="2">
        <v>40864</v>
      </c>
      <c r="C557">
        <v>118.55225384370533</v>
      </c>
    </row>
    <row r="558" spans="2:3">
      <c r="B558" s="2">
        <v>40865</v>
      </c>
      <c r="C558">
        <v>118.3139428805773</v>
      </c>
    </row>
    <row r="559" spans="2:3">
      <c r="B559" s="2">
        <v>40868</v>
      </c>
      <c r="C559">
        <v>117.99390481646167</v>
      </c>
    </row>
    <row r="560" spans="2:3">
      <c r="B560" s="2">
        <v>40869</v>
      </c>
      <c r="C560">
        <v>116.77712423626735</v>
      </c>
    </row>
    <row r="561" spans="2:3">
      <c r="B561" s="2">
        <v>40870</v>
      </c>
      <c r="C561">
        <v>116.54969272997984</v>
      </c>
    </row>
    <row r="562" spans="2:3">
      <c r="B562" s="2">
        <v>40872</v>
      </c>
      <c r="C562">
        <v>116.23920117700999</v>
      </c>
    </row>
    <row r="563" spans="2:3">
      <c r="B563" s="2">
        <v>40875</v>
      </c>
      <c r="C563">
        <v>115.30897399713093</v>
      </c>
    </row>
    <row r="564" spans="2:3">
      <c r="B564" s="2">
        <v>40876</v>
      </c>
      <c r="C564">
        <v>114.3547791871399</v>
      </c>
    </row>
    <row r="565" spans="2:3">
      <c r="B565" s="2">
        <v>40877</v>
      </c>
      <c r="C565">
        <v>113.68218563136307</v>
      </c>
    </row>
    <row r="566" spans="2:3">
      <c r="B566" s="2">
        <v>40878</v>
      </c>
      <c r="C566">
        <v>112.09226379006974</v>
      </c>
    </row>
    <row r="567" spans="2:3">
      <c r="B567" s="2">
        <v>40879</v>
      </c>
      <c r="C567">
        <v>112.88370405555426</v>
      </c>
    </row>
    <row r="568" spans="2:3">
      <c r="B568" s="2">
        <v>40882</v>
      </c>
      <c r="C568">
        <v>112.35273238261327</v>
      </c>
    </row>
    <row r="569" spans="2:3">
      <c r="B569" s="2">
        <v>40883</v>
      </c>
      <c r="C569">
        <v>112.24449282077842</v>
      </c>
    </row>
    <row r="570" spans="2:3">
      <c r="B570" s="2">
        <v>40884</v>
      </c>
      <c r="C570">
        <v>112.59362896696878</v>
      </c>
    </row>
    <row r="571" spans="2:3">
      <c r="B571" s="2">
        <v>40885</v>
      </c>
      <c r="C571">
        <v>112.26343245228195</v>
      </c>
    </row>
    <row r="572" spans="2:3">
      <c r="B572" s="2">
        <v>40886</v>
      </c>
      <c r="C572">
        <v>113.24096058524074</v>
      </c>
    </row>
    <row r="573" spans="2:3">
      <c r="B573" s="2">
        <v>40889</v>
      </c>
      <c r="C573">
        <v>113.24612766630582</v>
      </c>
    </row>
    <row r="574" spans="2:3">
      <c r="B574" s="2">
        <v>40890</v>
      </c>
      <c r="C574">
        <v>113.08476021361157</v>
      </c>
    </row>
    <row r="575" spans="2:3">
      <c r="B575" s="2">
        <v>40891</v>
      </c>
      <c r="C575">
        <v>113.96142366937309</v>
      </c>
    </row>
    <row r="576" spans="2:3">
      <c r="B576" s="2">
        <v>40892</v>
      </c>
      <c r="C576">
        <v>112.31228870682708</v>
      </c>
    </row>
    <row r="577" spans="2:3">
      <c r="B577" s="2">
        <v>40893</v>
      </c>
      <c r="C577">
        <v>112.60347777608723</v>
      </c>
    </row>
    <row r="578" spans="2:3">
      <c r="B578" s="2">
        <v>40896</v>
      </c>
      <c r="C578">
        <v>101.45290915722578</v>
      </c>
    </row>
    <row r="579" spans="2:3">
      <c r="B579" s="2">
        <v>40897</v>
      </c>
      <c r="C579">
        <v>96.580156526044405</v>
      </c>
    </row>
    <row r="580" spans="2:3">
      <c r="B580" s="2">
        <v>40898</v>
      </c>
      <c r="C580">
        <v>93.393910423080058</v>
      </c>
    </row>
    <row r="581" spans="2:3">
      <c r="B581" s="2">
        <v>40899</v>
      </c>
      <c r="C581">
        <v>91.542656295910092</v>
      </c>
    </row>
    <row r="582" spans="2:3">
      <c r="B582" s="2">
        <v>40900</v>
      </c>
      <c r="C582">
        <v>89.429769041959759</v>
      </c>
    </row>
    <row r="583" spans="2:3">
      <c r="B583" s="2">
        <v>40904</v>
      </c>
      <c r="C583">
        <v>89.323103893922735</v>
      </c>
    </row>
    <row r="584" spans="2:3">
      <c r="B584" s="2">
        <v>40905</v>
      </c>
      <c r="C584">
        <v>90.27217029176505</v>
      </c>
    </row>
    <row r="585" spans="2:3">
      <c r="B585" s="2">
        <v>40906</v>
      </c>
      <c r="C585">
        <v>89.939377741308377</v>
      </c>
    </row>
    <row r="586" spans="2:3">
      <c r="B586" s="2">
        <v>40907</v>
      </c>
      <c r="C586">
        <v>88.709614632297175</v>
      </c>
    </row>
    <row r="587" spans="2:3">
      <c r="B587" s="2">
        <v>40911</v>
      </c>
      <c r="C587">
        <v>87.43030976688236</v>
      </c>
    </row>
    <row r="588" spans="2:3">
      <c r="B588" s="2">
        <v>40912</v>
      </c>
      <c r="C588">
        <v>85.987339264766888</v>
      </c>
    </row>
    <row r="589" spans="2:3">
      <c r="B589" s="2">
        <v>40913</v>
      </c>
      <c r="C589">
        <v>86.415359035308398</v>
      </c>
    </row>
    <row r="590" spans="2:3">
      <c r="B590" s="2">
        <v>40914</v>
      </c>
      <c r="C590">
        <v>84.346396133818061</v>
      </c>
    </row>
    <row r="591" spans="2:3">
      <c r="B591" s="2">
        <v>40917</v>
      </c>
      <c r="C591">
        <v>84.082469508433292</v>
      </c>
    </row>
    <row r="592" spans="2:3">
      <c r="B592" s="2">
        <v>40918</v>
      </c>
      <c r="C592">
        <v>84.492418950519834</v>
      </c>
    </row>
    <row r="593" spans="2:3">
      <c r="B593" s="2">
        <v>40919</v>
      </c>
      <c r="C593">
        <v>84.52989160224972</v>
      </c>
    </row>
    <row r="594" spans="2:3">
      <c r="B594" s="2">
        <v>40920</v>
      </c>
      <c r="C594">
        <v>83.58856279837164</v>
      </c>
    </row>
    <row r="595" spans="2:3">
      <c r="B595" s="2">
        <v>40921</v>
      </c>
      <c r="C595">
        <v>82.92766173707102</v>
      </c>
    </row>
    <row r="596" spans="2:3">
      <c r="B596" s="2">
        <v>40925</v>
      </c>
      <c r="C596">
        <v>83.665189901108391</v>
      </c>
    </row>
    <row r="597" spans="2:3">
      <c r="B597" s="2">
        <v>40926</v>
      </c>
      <c r="C597">
        <v>84.172322451330231</v>
      </c>
    </row>
    <row r="598" spans="2:3">
      <c r="B598" s="2">
        <v>40927</v>
      </c>
      <c r="C598">
        <v>85.084982227616266</v>
      </c>
    </row>
    <row r="599" spans="2:3">
      <c r="B599" s="2">
        <v>40928</v>
      </c>
      <c r="C599">
        <v>85.136486707462538</v>
      </c>
    </row>
    <row r="600" spans="2:3">
      <c r="B600" s="2">
        <v>40931</v>
      </c>
      <c r="C600">
        <v>84.757913292903098</v>
      </c>
    </row>
    <row r="601" spans="2:3">
      <c r="B601" s="2">
        <v>40932</v>
      </c>
      <c r="C601">
        <v>82.578247505788411</v>
      </c>
    </row>
    <row r="602" spans="2:3">
      <c r="B602" s="2">
        <v>40933</v>
      </c>
      <c r="C602">
        <v>82.163020750436175</v>
      </c>
    </row>
    <row r="603" spans="2:3">
      <c r="B603" s="2">
        <v>40934</v>
      </c>
      <c r="C603">
        <v>78.617944771611661</v>
      </c>
    </row>
    <row r="604" spans="2:3">
      <c r="B604" s="2">
        <v>40935</v>
      </c>
      <c r="C604">
        <v>77.424362761764016</v>
      </c>
    </row>
    <row r="605" spans="2:3">
      <c r="B605" s="2">
        <v>40938</v>
      </c>
      <c r="C605">
        <v>74.641109191564396</v>
      </c>
    </row>
    <row r="606" spans="2:3">
      <c r="B606" s="2">
        <v>40939</v>
      </c>
      <c r="C606">
        <v>70.854552905589514</v>
      </c>
    </row>
    <row r="607" spans="2:3">
      <c r="B607" s="2">
        <v>40940</v>
      </c>
      <c r="C607">
        <v>70.755870518322482</v>
      </c>
    </row>
    <row r="608" spans="2:3">
      <c r="B608" s="2">
        <v>40941</v>
      </c>
      <c r="C608">
        <v>70.643359798059009</v>
      </c>
    </row>
    <row r="609" spans="2:3">
      <c r="B609" s="2">
        <v>40942</v>
      </c>
      <c r="C609">
        <v>73.275064378748709</v>
      </c>
    </row>
    <row r="610" spans="2:3">
      <c r="B610" s="2">
        <v>40945</v>
      </c>
      <c r="C610">
        <v>73.632389007595279</v>
      </c>
    </row>
    <row r="611" spans="2:3">
      <c r="B611" s="2">
        <v>40946</v>
      </c>
      <c r="C611">
        <v>72.111103599723648</v>
      </c>
    </row>
    <row r="612" spans="2:3">
      <c r="B612" s="2">
        <v>40947</v>
      </c>
      <c r="C612">
        <v>71.665134259691371</v>
      </c>
    </row>
    <row r="613" spans="2:3">
      <c r="B613" s="2">
        <v>40948</v>
      </c>
      <c r="C613">
        <v>72.649638396051003</v>
      </c>
    </row>
    <row r="614" spans="2:3">
      <c r="B614" s="2">
        <v>40949</v>
      </c>
      <c r="C614">
        <v>72.909445006613723</v>
      </c>
    </row>
    <row r="615" spans="2:3">
      <c r="B615" s="2">
        <v>40952</v>
      </c>
      <c r="C615">
        <v>72.661228563996644</v>
      </c>
    </row>
    <row r="616" spans="2:3">
      <c r="B616" s="2">
        <v>40953</v>
      </c>
      <c r="C616">
        <v>73.182013959433732</v>
      </c>
    </row>
    <row r="617" spans="2:3">
      <c r="B617" s="2">
        <v>40954</v>
      </c>
      <c r="C617">
        <v>73.04750003572417</v>
      </c>
    </row>
    <row r="618" spans="2:3">
      <c r="B618" s="2">
        <v>40955</v>
      </c>
      <c r="C618">
        <v>73.041904391371204</v>
      </c>
    </row>
    <row r="619" spans="2:3">
      <c r="B619" s="2">
        <v>40956</v>
      </c>
      <c r="C619">
        <v>73.286811074120479</v>
      </c>
    </row>
    <row r="620" spans="2:3">
      <c r="B620" s="2">
        <v>40960</v>
      </c>
      <c r="C620">
        <v>74.06773337591747</v>
      </c>
    </row>
    <row r="621" spans="2:3">
      <c r="B621" s="2">
        <v>40961</v>
      </c>
      <c r="C621">
        <v>74.66094943565416</v>
      </c>
    </row>
    <row r="622" spans="2:3">
      <c r="B622" s="2">
        <v>40962</v>
      </c>
      <c r="C622">
        <v>72.994751809002821</v>
      </c>
    </row>
    <row r="623" spans="2:3">
      <c r="B623" s="2">
        <v>40963</v>
      </c>
      <c r="C623">
        <v>72.851346524509538</v>
      </c>
    </row>
    <row r="624" spans="2:3">
      <c r="B624" s="2">
        <v>40966</v>
      </c>
      <c r="C624">
        <v>72.972891165835293</v>
      </c>
    </row>
    <row r="625" spans="2:3">
      <c r="B625" s="2">
        <v>40967</v>
      </c>
      <c r="C625">
        <v>72.977566648469889</v>
      </c>
    </row>
    <row r="626" spans="2:3">
      <c r="B626" s="2">
        <v>40968</v>
      </c>
      <c r="C626">
        <v>74.282759175674528</v>
      </c>
    </row>
    <row r="627" spans="2:3">
      <c r="B627" s="2">
        <v>40969</v>
      </c>
      <c r="C627">
        <v>73.950396807466518</v>
      </c>
    </row>
    <row r="628" spans="2:3">
      <c r="B628" s="2">
        <v>40970</v>
      </c>
      <c r="C628">
        <v>74.191289213923866</v>
      </c>
    </row>
    <row r="629" spans="2:3">
      <c r="B629" s="2">
        <v>40973</v>
      </c>
      <c r="C629">
        <v>74.156546706422077</v>
      </c>
    </row>
    <row r="630" spans="2:3">
      <c r="B630" s="2">
        <v>40974</v>
      </c>
      <c r="C630">
        <v>72.780511384132865</v>
      </c>
    </row>
    <row r="631" spans="2:3">
      <c r="B631" s="2">
        <v>40975</v>
      </c>
      <c r="C631">
        <v>72.955341972771421</v>
      </c>
    </row>
    <row r="632" spans="2:3">
      <c r="B632" s="2">
        <v>40976</v>
      </c>
      <c r="C632">
        <v>71.40874154231102</v>
      </c>
    </row>
    <row r="633" spans="2:3">
      <c r="B633" s="2">
        <v>40977</v>
      </c>
      <c r="C633">
        <v>71.421393471364183</v>
      </c>
    </row>
    <row r="634" spans="2:3">
      <c r="B634" s="2">
        <v>40980</v>
      </c>
      <c r="C634">
        <v>70.911378776208934</v>
      </c>
    </row>
    <row r="635" spans="2:3">
      <c r="B635" s="2">
        <v>40981</v>
      </c>
      <c r="C635">
        <v>71.113724699368206</v>
      </c>
    </row>
    <row r="636" spans="2:3">
      <c r="B636" s="2">
        <v>40982</v>
      </c>
      <c r="C636">
        <v>79.500966934262991</v>
      </c>
    </row>
    <row r="637" spans="2:3">
      <c r="B637" s="2">
        <v>40983</v>
      </c>
      <c r="C637">
        <v>78.807681924214478</v>
      </c>
    </row>
    <row r="638" spans="2:3">
      <c r="B638" s="2">
        <v>40984</v>
      </c>
      <c r="C638">
        <v>79.004178703167099</v>
      </c>
    </row>
    <row r="639" spans="2:3">
      <c r="B639" s="2">
        <v>40987</v>
      </c>
      <c r="C639">
        <v>80.27166732908502</v>
      </c>
    </row>
    <row r="640" spans="2:3">
      <c r="B640" s="2">
        <v>40988</v>
      </c>
      <c r="C640">
        <v>79.941718501035055</v>
      </c>
    </row>
    <row r="641" spans="2:3">
      <c r="B641" s="2">
        <v>40989</v>
      </c>
      <c r="C641">
        <v>81.829725785237372</v>
      </c>
    </row>
    <row r="642" spans="2:3">
      <c r="B642" s="2">
        <v>40990</v>
      </c>
      <c r="C642">
        <v>80.384882180170308</v>
      </c>
    </row>
    <row r="643" spans="2:3">
      <c r="B643" s="2">
        <v>40991</v>
      </c>
      <c r="C643">
        <v>80.458763505410545</v>
      </c>
    </row>
    <row r="644" spans="2:3">
      <c r="B644" s="2">
        <v>40994</v>
      </c>
      <c r="C644">
        <v>77.575711333806439</v>
      </c>
    </row>
    <row r="645" spans="2:3">
      <c r="B645" s="2">
        <v>40995</v>
      </c>
      <c r="C645">
        <v>79.156603741088745</v>
      </c>
    </row>
    <row r="646" spans="2:3">
      <c r="B646" s="2">
        <v>40996</v>
      </c>
      <c r="C646">
        <v>79.188405746797088</v>
      </c>
    </row>
    <row r="647" spans="2:3">
      <c r="B647" s="2">
        <v>40997</v>
      </c>
      <c r="C647">
        <v>79.353794938480988</v>
      </c>
    </row>
    <row r="648" spans="2:3">
      <c r="B648" s="2">
        <v>40998</v>
      </c>
      <c r="C648">
        <v>79.869937028776008</v>
      </c>
    </row>
    <row r="649" spans="2:3">
      <c r="B649" s="2">
        <v>41001</v>
      </c>
      <c r="C649">
        <v>77.974015593164353</v>
      </c>
    </row>
    <row r="650" spans="2:3">
      <c r="B650" s="2">
        <v>41002</v>
      </c>
      <c r="C650">
        <v>80.733182399535039</v>
      </c>
    </row>
    <row r="651" spans="2:3">
      <c r="B651" s="2">
        <v>41003</v>
      </c>
      <c r="C651">
        <v>81.642266257242269</v>
      </c>
    </row>
    <row r="652" spans="2:3">
      <c r="B652" s="2">
        <v>41004</v>
      </c>
      <c r="C652">
        <v>82.116666225023323</v>
      </c>
    </row>
    <row r="653" spans="2:3">
      <c r="B653" s="2">
        <v>41005</v>
      </c>
      <c r="C653">
        <v>85.727661694462327</v>
      </c>
    </row>
    <row r="654" spans="2:3">
      <c r="B654" s="2">
        <v>41008</v>
      </c>
      <c r="C654">
        <v>85.569166483235293</v>
      </c>
    </row>
    <row r="655" spans="2:3">
      <c r="B655" s="2">
        <v>41009</v>
      </c>
      <c r="C655">
        <v>85.224503381148892</v>
      </c>
    </row>
    <row r="656" spans="2:3">
      <c r="B656" s="2">
        <v>41010</v>
      </c>
      <c r="C656">
        <v>84.805071973447227</v>
      </c>
    </row>
    <row r="657" spans="2:3">
      <c r="B657" s="2">
        <v>41011</v>
      </c>
      <c r="C657">
        <v>84.736981429946582</v>
      </c>
    </row>
    <row r="658" spans="2:3">
      <c r="B658" s="2">
        <v>41012</v>
      </c>
      <c r="C658">
        <v>84.101687413721976</v>
      </c>
    </row>
    <row r="659" spans="2:3">
      <c r="B659" s="2">
        <v>41015</v>
      </c>
      <c r="C659">
        <v>84.110237455086249</v>
      </c>
    </row>
    <row r="660" spans="2:3">
      <c r="B660" s="2">
        <v>41016</v>
      </c>
      <c r="C660">
        <v>84.502729034043739</v>
      </c>
    </row>
    <row r="661" spans="2:3">
      <c r="B661" s="2">
        <v>41017</v>
      </c>
      <c r="C661">
        <v>84.637643741357181</v>
      </c>
    </row>
    <row r="662" spans="2:3">
      <c r="B662" s="2">
        <v>41018</v>
      </c>
      <c r="C662">
        <v>84.353033008089994</v>
      </c>
    </row>
    <row r="663" spans="2:3">
      <c r="B663" s="2">
        <v>41019</v>
      </c>
      <c r="C663">
        <v>83.445907496045464</v>
      </c>
    </row>
    <row r="664" spans="2:3">
      <c r="B664" s="2">
        <v>41022</v>
      </c>
      <c r="C664">
        <v>83.396145596432461</v>
      </c>
    </row>
    <row r="665" spans="2:3">
      <c r="B665" s="2">
        <v>41023</v>
      </c>
      <c r="C665">
        <v>83.607498474892566</v>
      </c>
    </row>
    <row r="666" spans="2:3">
      <c r="B666" s="2">
        <v>41024</v>
      </c>
      <c r="C666">
        <v>83.399157064275798</v>
      </c>
    </row>
    <row r="667" spans="2:3">
      <c r="B667" s="2">
        <v>41025</v>
      </c>
      <c r="C667">
        <v>83.654678994575221</v>
      </c>
    </row>
    <row r="668" spans="2:3">
      <c r="B668" s="2">
        <v>41026</v>
      </c>
      <c r="C668">
        <v>82.909018319990039</v>
      </c>
    </row>
    <row r="669" spans="2:3">
      <c r="B669" s="2">
        <v>41029</v>
      </c>
      <c r="C669">
        <v>80.772418741564223</v>
      </c>
    </row>
    <row r="670" spans="2:3">
      <c r="B670" s="2">
        <v>41030</v>
      </c>
      <c r="C670">
        <v>80.356149078828949</v>
      </c>
    </row>
    <row r="671" spans="2:3">
      <c r="B671" s="2">
        <v>41031</v>
      </c>
      <c r="C671">
        <v>80.190964566479934</v>
      </c>
    </row>
    <row r="672" spans="2:3">
      <c r="B672" s="2">
        <v>41032</v>
      </c>
      <c r="C672">
        <v>79.979812064251462</v>
      </c>
    </row>
    <row r="673" spans="2:3">
      <c r="B673" s="2">
        <v>41033</v>
      </c>
      <c r="C673">
        <v>78.643667273761622</v>
      </c>
    </row>
    <row r="674" spans="2:3">
      <c r="B674" s="2">
        <v>41036</v>
      </c>
      <c r="C674">
        <v>78.296750109856816</v>
      </c>
    </row>
    <row r="675" spans="2:3">
      <c r="B675" s="2">
        <v>41037</v>
      </c>
      <c r="C675">
        <v>78.331798199326826</v>
      </c>
    </row>
    <row r="676" spans="2:3">
      <c r="B676" s="2">
        <v>41038</v>
      </c>
      <c r="C676">
        <v>77.663765156490271</v>
      </c>
    </row>
    <row r="677" spans="2:3">
      <c r="B677" s="2">
        <v>41039</v>
      </c>
      <c r="C677">
        <v>77.628835158979143</v>
      </c>
    </row>
    <row r="678" spans="2:3">
      <c r="B678" s="2">
        <v>41040</v>
      </c>
      <c r="C678">
        <v>77.066111961715947</v>
      </c>
    </row>
    <row r="679" spans="2:3">
      <c r="B679" s="2">
        <v>41043</v>
      </c>
      <c r="C679">
        <v>76.92770249070719</v>
      </c>
    </row>
    <row r="680" spans="2:3">
      <c r="B680" s="2">
        <v>41044</v>
      </c>
      <c r="C680">
        <v>76.033412447355516</v>
      </c>
    </row>
    <row r="681" spans="2:3">
      <c r="B681" s="2">
        <v>41045</v>
      </c>
      <c r="C681">
        <v>75.605922761554638</v>
      </c>
    </row>
    <row r="682" spans="2:3">
      <c r="B682" s="2">
        <v>41046</v>
      </c>
      <c r="C682">
        <v>76.455414850840157</v>
      </c>
    </row>
    <row r="683" spans="2:3">
      <c r="B683" s="2">
        <v>41047</v>
      </c>
      <c r="C683">
        <v>76.416807497895306</v>
      </c>
    </row>
    <row r="684" spans="2:3">
      <c r="B684" s="2">
        <v>41050</v>
      </c>
      <c r="C684">
        <v>77.175003228022419</v>
      </c>
    </row>
    <row r="685" spans="2:3">
      <c r="B685" s="2">
        <v>41051</v>
      </c>
      <c r="C685">
        <v>77.53014830947113</v>
      </c>
    </row>
    <row r="686" spans="2:3">
      <c r="B686" s="2">
        <v>41052</v>
      </c>
      <c r="C686">
        <v>76.359822275778683</v>
      </c>
    </row>
    <row r="687" spans="2:3">
      <c r="B687" s="2">
        <v>41053</v>
      </c>
      <c r="C687">
        <v>75.894227841250711</v>
      </c>
    </row>
    <row r="688" spans="2:3">
      <c r="B688" s="2">
        <v>41054</v>
      </c>
      <c r="C688">
        <v>75.550538812223195</v>
      </c>
    </row>
    <row r="689" spans="2:3">
      <c r="B689" s="2">
        <v>41058</v>
      </c>
      <c r="C689">
        <v>75.538458432156546</v>
      </c>
    </row>
    <row r="690" spans="2:3">
      <c r="B690" s="2">
        <v>41059</v>
      </c>
      <c r="C690">
        <v>77.193586539464306</v>
      </c>
    </row>
    <row r="691" spans="2:3">
      <c r="B691" s="2">
        <v>41060</v>
      </c>
      <c r="C691">
        <v>77.127198505562362</v>
      </c>
    </row>
    <row r="692" spans="2:3">
      <c r="B692" s="2">
        <v>41061</v>
      </c>
      <c r="C692">
        <v>79.932306076378566</v>
      </c>
    </row>
    <row r="693" spans="2:3">
      <c r="B693" s="2">
        <v>41064</v>
      </c>
      <c r="C693">
        <v>82.355690088507814</v>
      </c>
    </row>
    <row r="694" spans="2:3">
      <c r="B694" s="2">
        <v>41065</v>
      </c>
      <c r="C694">
        <v>83.114117600222272</v>
      </c>
    </row>
    <row r="695" spans="2:3">
      <c r="B695" s="2">
        <v>41066</v>
      </c>
      <c r="C695">
        <v>81.883794932108728</v>
      </c>
    </row>
    <row r="696" spans="2:3">
      <c r="B696" s="2">
        <v>41067</v>
      </c>
      <c r="C696">
        <v>72.680534707988159</v>
      </c>
    </row>
    <row r="697" spans="2:3">
      <c r="B697" s="2">
        <v>41068</v>
      </c>
      <c r="C697">
        <v>72.705671709633364</v>
      </c>
    </row>
    <row r="698" spans="2:3">
      <c r="B698" s="2">
        <v>41071</v>
      </c>
      <c r="C698">
        <v>72.872096549436364</v>
      </c>
    </row>
    <row r="699" spans="2:3">
      <c r="B699" s="2">
        <v>41072</v>
      </c>
      <c r="C699">
        <v>70.261092790400099</v>
      </c>
    </row>
    <row r="700" spans="2:3">
      <c r="B700" s="2">
        <v>41073</v>
      </c>
      <c r="C700">
        <v>70.545574747387604</v>
      </c>
    </row>
    <row r="701" spans="2:3">
      <c r="B701" s="2">
        <v>41074</v>
      </c>
      <c r="C701">
        <v>68.89030522888757</v>
      </c>
    </row>
    <row r="702" spans="2:3">
      <c r="B702" s="2">
        <v>41075</v>
      </c>
      <c r="C702">
        <v>68.889223883948247</v>
      </c>
    </row>
    <row r="703" spans="2:3">
      <c r="B703" s="2">
        <v>41078</v>
      </c>
      <c r="C703">
        <v>68.841224297709516</v>
      </c>
    </row>
    <row r="704" spans="2:3">
      <c r="B704" s="2">
        <v>41079</v>
      </c>
      <c r="C704">
        <v>68.880870418327262</v>
      </c>
    </row>
    <row r="705" spans="2:3">
      <c r="B705" s="2">
        <v>41080</v>
      </c>
      <c r="C705">
        <v>68.136573339931545</v>
      </c>
    </row>
    <row r="706" spans="2:3">
      <c r="B706" s="2">
        <v>41081</v>
      </c>
      <c r="C706">
        <v>68.097536871250213</v>
      </c>
    </row>
    <row r="707" spans="2:3">
      <c r="B707" s="2">
        <v>41082</v>
      </c>
      <c r="C707">
        <v>68.99297381387413</v>
      </c>
    </row>
    <row r="708" spans="2:3">
      <c r="B708" s="2">
        <v>41085</v>
      </c>
      <c r="C708">
        <v>70.250698663430228</v>
      </c>
    </row>
    <row r="709" spans="2:3">
      <c r="B709" s="2">
        <v>41086</v>
      </c>
      <c r="C709">
        <v>70.811777879479791</v>
      </c>
    </row>
    <row r="710" spans="2:3">
      <c r="B710" s="2">
        <v>41087</v>
      </c>
      <c r="C710">
        <v>65.820875071031082</v>
      </c>
    </row>
    <row r="711" spans="2:3">
      <c r="B711" s="2">
        <v>41088</v>
      </c>
      <c r="C711">
        <v>65.375412929345245</v>
      </c>
    </row>
    <row r="712" spans="2:3">
      <c r="B712" s="2">
        <v>41089</v>
      </c>
      <c r="C712">
        <v>66.782171338472097</v>
      </c>
    </row>
    <row r="713" spans="2:3">
      <c r="B713" s="2">
        <v>41092</v>
      </c>
      <c r="C713">
        <v>64.051255203491934</v>
      </c>
    </row>
    <row r="714" spans="2:3">
      <c r="B714" s="2">
        <v>41093</v>
      </c>
      <c r="C714">
        <v>64.628287336770697</v>
      </c>
    </row>
    <row r="715" spans="2:3">
      <c r="B715" s="2">
        <v>41095</v>
      </c>
      <c r="C715">
        <v>64.766919325382872</v>
      </c>
    </row>
    <row r="716" spans="2:3">
      <c r="B716" s="2">
        <v>41096</v>
      </c>
      <c r="C716">
        <v>66.262121599177092</v>
      </c>
    </row>
    <row r="717" spans="2:3">
      <c r="B717" s="2">
        <v>41099</v>
      </c>
      <c r="C717">
        <v>65.73887400230241</v>
      </c>
    </row>
    <row r="718" spans="2:3">
      <c r="B718" s="2">
        <v>41100</v>
      </c>
      <c r="C718">
        <v>65.610225904056946</v>
      </c>
    </row>
    <row r="719" spans="2:3">
      <c r="B719" s="2">
        <v>41101</v>
      </c>
      <c r="C719">
        <v>65.602473355918875</v>
      </c>
    </row>
    <row r="720" spans="2:3">
      <c r="B720" s="2">
        <v>41102</v>
      </c>
      <c r="C720">
        <v>64.858930579226083</v>
      </c>
    </row>
    <row r="721" spans="2:3">
      <c r="B721" s="2">
        <v>41103</v>
      </c>
      <c r="C721">
        <v>66.063033818896102</v>
      </c>
    </row>
    <row r="722" spans="2:3">
      <c r="B722" s="2">
        <v>41106</v>
      </c>
      <c r="C722">
        <v>66.590848768056077</v>
      </c>
    </row>
    <row r="723" spans="2:3">
      <c r="B723" s="2">
        <v>41107</v>
      </c>
      <c r="C723">
        <v>67.116996640573873</v>
      </c>
    </row>
    <row r="724" spans="2:3">
      <c r="B724" s="2">
        <v>41108</v>
      </c>
      <c r="C724">
        <v>67.784930798662131</v>
      </c>
    </row>
    <row r="725" spans="2:3">
      <c r="B725" s="2">
        <v>41109</v>
      </c>
      <c r="C725">
        <v>67.526132279592801</v>
      </c>
    </row>
    <row r="726" spans="2:3">
      <c r="B726" s="2">
        <v>41110</v>
      </c>
      <c r="C726">
        <v>68.317052410881658</v>
      </c>
    </row>
    <row r="727" spans="2:3">
      <c r="B727" s="2">
        <v>41113</v>
      </c>
      <c r="C727">
        <v>68.632427580835795</v>
      </c>
    </row>
    <row r="728" spans="2:3">
      <c r="B728" s="2">
        <v>41114</v>
      </c>
      <c r="C728">
        <v>68.71908044870608</v>
      </c>
    </row>
    <row r="729" spans="2:3">
      <c r="B729" s="2">
        <v>41115</v>
      </c>
      <c r="C729">
        <v>68.930272841866241</v>
      </c>
    </row>
    <row r="730" spans="2:3">
      <c r="B730" s="2">
        <v>41116</v>
      </c>
      <c r="C730">
        <v>68.745505592029986</v>
      </c>
    </row>
    <row r="731" spans="2:3">
      <c r="B731" s="2">
        <v>41117</v>
      </c>
      <c r="C731">
        <v>78.983566145206794</v>
      </c>
    </row>
    <row r="732" spans="2:3">
      <c r="B732" s="2">
        <v>41120</v>
      </c>
      <c r="C732">
        <v>82.939454769201831</v>
      </c>
    </row>
    <row r="733" spans="2:3">
      <c r="B733" s="2">
        <v>41121</v>
      </c>
      <c r="C733">
        <v>82.853166250943005</v>
      </c>
    </row>
    <row r="734" spans="2:3">
      <c r="B734" s="2">
        <v>41122</v>
      </c>
      <c r="C734">
        <v>83.698162111767388</v>
      </c>
    </row>
    <row r="735" spans="2:3">
      <c r="B735" s="2">
        <v>41123</v>
      </c>
      <c r="C735">
        <v>83.804365748047999</v>
      </c>
    </row>
    <row r="736" spans="2:3">
      <c r="B736" s="2">
        <v>41124</v>
      </c>
      <c r="C736">
        <v>86.18198990025509</v>
      </c>
    </row>
    <row r="737" spans="2:3">
      <c r="B737" s="2">
        <v>41127</v>
      </c>
      <c r="C737">
        <v>86.204509580611159</v>
      </c>
    </row>
    <row r="738" spans="2:3">
      <c r="B738" s="2">
        <v>41128</v>
      </c>
      <c r="C738">
        <v>87.068773667803129</v>
      </c>
    </row>
    <row r="739" spans="2:3">
      <c r="B739" s="2">
        <v>41129</v>
      </c>
      <c r="C739">
        <v>86.913910093241171</v>
      </c>
    </row>
    <row r="740" spans="2:3">
      <c r="B740" s="2">
        <v>41130</v>
      </c>
      <c r="C740">
        <v>86.931543461550064</v>
      </c>
    </row>
    <row r="741" spans="2:3">
      <c r="B741" s="2">
        <v>41131</v>
      </c>
      <c r="C741">
        <v>86.838403954363201</v>
      </c>
    </row>
    <row r="742" spans="2:3">
      <c r="B742" s="2">
        <v>41134</v>
      </c>
      <c r="C742">
        <v>85.840485916082585</v>
      </c>
    </row>
    <row r="743" spans="2:3">
      <c r="B743" s="2">
        <v>41135</v>
      </c>
      <c r="C743">
        <v>87.160698303220968</v>
      </c>
    </row>
    <row r="744" spans="2:3">
      <c r="B744" s="2">
        <v>41136</v>
      </c>
      <c r="C744">
        <v>90.843324608899906</v>
      </c>
    </row>
    <row r="745" spans="2:3">
      <c r="B745" s="2">
        <v>41137</v>
      </c>
      <c r="C745">
        <v>90.775616035912378</v>
      </c>
    </row>
    <row r="746" spans="2:3">
      <c r="B746" s="2">
        <v>41138</v>
      </c>
      <c r="C746">
        <v>90.725193441056177</v>
      </c>
    </row>
    <row r="747" spans="2:3">
      <c r="B747" s="2">
        <v>41141</v>
      </c>
      <c r="C747">
        <v>90.62813299912213</v>
      </c>
    </row>
    <row r="748" spans="2:3">
      <c r="B748" s="2">
        <v>41142</v>
      </c>
      <c r="C748">
        <v>90.643002670214372</v>
      </c>
    </row>
    <row r="749" spans="2:3">
      <c r="B749" s="2">
        <v>41143</v>
      </c>
      <c r="C749">
        <v>93.424852230344968</v>
      </c>
    </row>
    <row r="750" spans="2:3">
      <c r="B750" s="2">
        <v>41144</v>
      </c>
      <c r="C750">
        <v>92.78652770392965</v>
      </c>
    </row>
    <row r="751" spans="2:3">
      <c r="B751" s="2">
        <v>41145</v>
      </c>
      <c r="C751">
        <v>92.782627465191297</v>
      </c>
    </row>
    <row r="752" spans="2:3">
      <c r="B752" s="2">
        <v>41148</v>
      </c>
      <c r="C752">
        <v>90.098373090677384</v>
      </c>
    </row>
    <row r="753" spans="2:3">
      <c r="B753" s="2">
        <v>41149</v>
      </c>
      <c r="C753">
        <v>88.210551698986549</v>
      </c>
    </row>
    <row r="754" spans="2:3">
      <c r="B754" s="2">
        <v>41150</v>
      </c>
      <c r="C754">
        <v>88.426076721914384</v>
      </c>
    </row>
    <row r="755" spans="2:3">
      <c r="B755" s="2">
        <v>41151</v>
      </c>
      <c r="C755">
        <v>88.297022868188137</v>
      </c>
    </row>
    <row r="756" spans="2:3">
      <c r="B756" s="2">
        <v>41152</v>
      </c>
      <c r="C756">
        <v>89.010603841223684</v>
      </c>
    </row>
    <row r="757" spans="2:3">
      <c r="B757" s="2">
        <v>41156</v>
      </c>
      <c r="C757">
        <v>89.097913307092142</v>
      </c>
    </row>
    <row r="758" spans="2:3">
      <c r="B758" s="2">
        <v>41157</v>
      </c>
      <c r="C758">
        <v>88.86900923795271</v>
      </c>
    </row>
    <row r="759" spans="2:3">
      <c r="B759" s="2">
        <v>41158</v>
      </c>
      <c r="C759">
        <v>89.00989781732244</v>
      </c>
    </row>
    <row r="760" spans="2:3">
      <c r="B760" s="2">
        <v>41159</v>
      </c>
      <c r="C760">
        <v>90.084936986759772</v>
      </c>
    </row>
    <row r="761" spans="2:3">
      <c r="B761" s="2">
        <v>41162</v>
      </c>
      <c r="C761">
        <v>90.032151144011308</v>
      </c>
    </row>
    <row r="762" spans="2:3">
      <c r="B762" s="2">
        <v>41163</v>
      </c>
      <c r="C762">
        <v>90.081881344419671</v>
      </c>
    </row>
    <row r="763" spans="2:3">
      <c r="B763" s="2">
        <v>41164</v>
      </c>
      <c r="C763">
        <v>90.379776038435907</v>
      </c>
    </row>
    <row r="764" spans="2:3">
      <c r="B764" s="2">
        <v>41165</v>
      </c>
      <c r="C764">
        <v>100.9422765893959</v>
      </c>
    </row>
    <row r="765" spans="2:3">
      <c r="B765" s="2">
        <v>41166</v>
      </c>
      <c r="C765">
        <v>101.40547164035509</v>
      </c>
    </row>
    <row r="766" spans="2:3">
      <c r="B766" s="2">
        <v>41169</v>
      </c>
      <c r="C766">
        <v>101.37729201613305</v>
      </c>
    </row>
    <row r="767" spans="2:3">
      <c r="B767" s="2">
        <v>41170</v>
      </c>
      <c r="C767">
        <v>100.6227070490153</v>
      </c>
    </row>
    <row r="768" spans="2:3">
      <c r="B768" s="2">
        <v>41171</v>
      </c>
      <c r="C768">
        <v>99.73030710375518</v>
      </c>
    </row>
    <row r="769" spans="2:3">
      <c r="B769" s="2">
        <v>41172</v>
      </c>
      <c r="C769">
        <v>99.553816180305972</v>
      </c>
    </row>
    <row r="770" spans="2:3">
      <c r="B770" s="2">
        <v>41173</v>
      </c>
      <c r="C770">
        <v>100.3767987638002</v>
      </c>
    </row>
    <row r="771" spans="2:3">
      <c r="B771" s="2">
        <v>41176</v>
      </c>
      <c r="C771">
        <v>100.62218281002919</v>
      </c>
    </row>
    <row r="772" spans="2:3">
      <c r="B772" s="2">
        <v>41177</v>
      </c>
      <c r="C772">
        <v>99.809267576272518</v>
      </c>
    </row>
    <row r="773" spans="2:3">
      <c r="B773" s="2">
        <v>41178</v>
      </c>
      <c r="C773">
        <v>98.818865688915452</v>
      </c>
    </row>
    <row r="774" spans="2:3">
      <c r="B774" s="2">
        <v>41179</v>
      </c>
      <c r="C774">
        <v>99.940181836359017</v>
      </c>
    </row>
    <row r="775" spans="2:3">
      <c r="B775" s="2">
        <v>41180</v>
      </c>
      <c r="C775">
        <v>99.871366154839336</v>
      </c>
    </row>
    <row r="776" spans="2:3">
      <c r="B776" s="2">
        <v>41183</v>
      </c>
      <c r="C776">
        <v>99.373789303515721</v>
      </c>
    </row>
    <row r="777" spans="2:3">
      <c r="B777" s="2">
        <v>41184</v>
      </c>
      <c r="C777">
        <v>100.3720738402025</v>
      </c>
    </row>
    <row r="778" spans="2:3">
      <c r="B778" s="2">
        <v>41185</v>
      </c>
      <c r="C778">
        <v>101.76674217114538</v>
      </c>
    </row>
    <row r="779" spans="2:3">
      <c r="B779" s="2">
        <v>41186</v>
      </c>
      <c r="C779">
        <v>103.74448403266115</v>
      </c>
    </row>
    <row r="780" spans="2:3">
      <c r="B780" s="2">
        <v>41187</v>
      </c>
      <c r="C780">
        <v>104.06016443184024</v>
      </c>
    </row>
    <row r="781" spans="2:3">
      <c r="B781" s="2">
        <v>41191</v>
      </c>
      <c r="C781">
        <v>103.37669152781821</v>
      </c>
    </row>
    <row r="782" spans="2:3">
      <c r="B782" s="2">
        <v>41192</v>
      </c>
      <c r="C782">
        <v>103.24315220498947</v>
      </c>
    </row>
    <row r="783" spans="2:3">
      <c r="B783" s="2">
        <v>41193</v>
      </c>
      <c r="C783">
        <v>103.02140100935655</v>
      </c>
    </row>
    <row r="784" spans="2:3">
      <c r="B784" s="2">
        <v>41194</v>
      </c>
      <c r="C784">
        <v>102.42665301055266</v>
      </c>
    </row>
    <row r="785" spans="2:3">
      <c r="B785" s="2">
        <v>41197</v>
      </c>
      <c r="C785">
        <v>102.5607803856615</v>
      </c>
    </row>
    <row r="786" spans="2:3">
      <c r="B786" s="2">
        <v>41198</v>
      </c>
      <c r="C786">
        <v>102.28687049557657</v>
      </c>
    </row>
    <row r="787" spans="2:3">
      <c r="B787" s="2">
        <v>41199</v>
      </c>
      <c r="C787">
        <v>104.45084831615392</v>
      </c>
    </row>
    <row r="788" spans="2:3">
      <c r="B788" s="2">
        <v>41200</v>
      </c>
      <c r="C788">
        <v>104.58192378832396</v>
      </c>
    </row>
    <row r="789" spans="2:3">
      <c r="B789" s="2">
        <v>41201</v>
      </c>
      <c r="C789">
        <v>105.39466181473249</v>
      </c>
    </row>
    <row r="790" spans="2:3">
      <c r="B790" s="2">
        <v>41204</v>
      </c>
      <c r="C790">
        <v>105.50295915014061</v>
      </c>
    </row>
    <row r="791" spans="2:3">
      <c r="B791" s="2">
        <v>41205</v>
      </c>
      <c r="C791">
        <v>98.526656976737613</v>
      </c>
    </row>
    <row r="792" spans="2:3">
      <c r="B792" s="2">
        <v>41206</v>
      </c>
      <c r="C792">
        <v>95.25052730589745</v>
      </c>
    </row>
    <row r="793" spans="2:3">
      <c r="B793" s="2">
        <v>41207</v>
      </c>
      <c r="C793">
        <v>95.796649358895408</v>
      </c>
    </row>
    <row r="794" spans="2:3">
      <c r="B794" s="2">
        <v>41208</v>
      </c>
      <c r="C794">
        <v>96.249105046567422</v>
      </c>
    </row>
    <row r="795" spans="2:3">
      <c r="B795" s="2">
        <v>41211</v>
      </c>
      <c r="C795">
        <v>96.261887657723932</v>
      </c>
    </row>
    <row r="796" spans="2:3">
      <c r="B796" s="2">
        <v>41213</v>
      </c>
      <c r="C796">
        <v>94.501045492668737</v>
      </c>
    </row>
    <row r="797" spans="2:3">
      <c r="B797" s="2">
        <v>41214</v>
      </c>
      <c r="C797">
        <v>96.423695178661234</v>
      </c>
    </row>
    <row r="798" spans="2:3">
      <c r="B798" s="2">
        <v>41215</v>
      </c>
      <c r="C798">
        <v>95.926035416235095</v>
      </c>
    </row>
    <row r="799" spans="2:3">
      <c r="B799" s="2">
        <v>41218</v>
      </c>
      <c r="C799">
        <v>96.310048547500443</v>
      </c>
    </row>
    <row r="800" spans="2:3">
      <c r="B800" s="2">
        <v>41219</v>
      </c>
      <c r="C800">
        <v>98.703791938307702</v>
      </c>
    </row>
    <row r="801" spans="2:3">
      <c r="B801" s="2">
        <v>41220</v>
      </c>
      <c r="C801">
        <v>103.51594110496045</v>
      </c>
    </row>
    <row r="802" spans="2:3">
      <c r="B802" s="2">
        <v>41221</v>
      </c>
      <c r="C802">
        <v>103.78547372747067</v>
      </c>
    </row>
    <row r="803" spans="2:3">
      <c r="B803" s="2">
        <v>41222</v>
      </c>
      <c r="C803">
        <v>102.61182971031108</v>
      </c>
    </row>
    <row r="804" spans="2:3">
      <c r="B804" s="2">
        <v>41226</v>
      </c>
      <c r="C804">
        <v>98.500319156513982</v>
      </c>
    </row>
    <row r="805" spans="2:3">
      <c r="B805" s="2">
        <v>41227</v>
      </c>
      <c r="C805">
        <v>98.921605038364945</v>
      </c>
    </row>
    <row r="806" spans="2:3">
      <c r="B806" s="2">
        <v>41228</v>
      </c>
      <c r="C806">
        <v>99.049730337366668</v>
      </c>
    </row>
    <row r="807" spans="2:3">
      <c r="B807" s="2">
        <v>41229</v>
      </c>
      <c r="C807">
        <v>99.49200345075441</v>
      </c>
    </row>
    <row r="808" spans="2:3">
      <c r="B808" s="2">
        <v>41232</v>
      </c>
      <c r="C808">
        <v>99.832156592841798</v>
      </c>
    </row>
    <row r="809" spans="2:3">
      <c r="B809" s="2">
        <v>41233</v>
      </c>
      <c r="C809">
        <v>98.788575840617426</v>
      </c>
    </row>
    <row r="810" spans="2:3">
      <c r="B810" s="2">
        <v>41234</v>
      </c>
      <c r="C810">
        <v>98.62427401923982</v>
      </c>
    </row>
    <row r="811" spans="2:3">
      <c r="B811" s="2">
        <v>41236</v>
      </c>
      <c r="C811">
        <v>98.385914050338826</v>
      </c>
    </row>
    <row r="812" spans="2:3">
      <c r="B812" s="2">
        <v>41239</v>
      </c>
      <c r="C812">
        <v>99.05210574766113</v>
      </c>
    </row>
    <row r="813" spans="2:3">
      <c r="B813" s="2">
        <v>41240</v>
      </c>
      <c r="C813">
        <v>100.4003417883105</v>
      </c>
    </row>
    <row r="814" spans="2:3">
      <c r="B814" s="2">
        <v>41241</v>
      </c>
      <c r="C814">
        <v>99.563043047888087</v>
      </c>
    </row>
    <row r="815" spans="2:3">
      <c r="B815" s="2">
        <v>41242</v>
      </c>
      <c r="C815">
        <v>99.555563363642648</v>
      </c>
    </row>
    <row r="816" spans="2:3">
      <c r="B816" s="2">
        <v>41243</v>
      </c>
      <c r="C816">
        <v>98.81157321507547</v>
      </c>
    </row>
    <row r="817" spans="2:3">
      <c r="B817" s="2">
        <v>41246</v>
      </c>
      <c r="C817">
        <v>98.798845997113261</v>
      </c>
    </row>
    <row r="818" spans="2:3">
      <c r="B818" s="2">
        <v>41247</v>
      </c>
      <c r="C818">
        <v>98.778979592005214</v>
      </c>
    </row>
    <row r="819" spans="2:3">
      <c r="B819" s="2">
        <v>41248</v>
      </c>
      <c r="C819">
        <v>97.891239891667297</v>
      </c>
    </row>
    <row r="820" spans="2:3">
      <c r="B820" s="2">
        <v>41249</v>
      </c>
      <c r="C820">
        <v>96.851762081420304</v>
      </c>
    </row>
    <row r="821" spans="2:3">
      <c r="B821" s="2">
        <v>41250</v>
      </c>
      <c r="C821">
        <v>97.676129008640302</v>
      </c>
    </row>
    <row r="822" spans="2:3">
      <c r="B822" s="2">
        <v>41253</v>
      </c>
      <c r="C822">
        <v>97.871868540011221</v>
      </c>
    </row>
    <row r="823" spans="2:3">
      <c r="B823" s="2">
        <v>41254</v>
      </c>
      <c r="C823">
        <v>97.524047320808123</v>
      </c>
    </row>
    <row r="824" spans="2:3">
      <c r="B824" s="2">
        <v>41255</v>
      </c>
      <c r="C824">
        <v>86.87133495813309</v>
      </c>
    </row>
    <row r="825" spans="2:3">
      <c r="B825" s="2">
        <v>41256</v>
      </c>
      <c r="C825">
        <v>85.92401862919516</v>
      </c>
    </row>
    <row r="826" spans="2:3">
      <c r="B826" s="2">
        <v>41257</v>
      </c>
      <c r="C826">
        <v>85.872972023862559</v>
      </c>
    </row>
    <row r="827" spans="2:3">
      <c r="B827" s="2">
        <v>41260</v>
      </c>
      <c r="C827">
        <v>85.888832859476494</v>
      </c>
    </row>
    <row r="828" spans="2:3">
      <c r="B828" s="2">
        <v>41261</v>
      </c>
      <c r="C828">
        <v>86.23349018685586</v>
      </c>
    </row>
    <row r="829" spans="2:3">
      <c r="B829" s="2">
        <v>41262</v>
      </c>
      <c r="C829">
        <v>86.359848514622101</v>
      </c>
    </row>
    <row r="830" spans="2:3">
      <c r="B830" s="2">
        <v>41263</v>
      </c>
      <c r="C830">
        <v>85.094164764748854</v>
      </c>
    </row>
    <row r="831" spans="2:3">
      <c r="B831" s="2">
        <v>41264</v>
      </c>
      <c r="C831">
        <v>84.766052082411306</v>
      </c>
    </row>
    <row r="832" spans="2:3">
      <c r="B832" s="2">
        <v>41267</v>
      </c>
      <c r="C832">
        <v>83.830832113767556</v>
      </c>
    </row>
    <row r="833" spans="2:3">
      <c r="B833" s="2">
        <v>41269</v>
      </c>
      <c r="C833">
        <v>83.953599043680583</v>
      </c>
    </row>
    <row r="834" spans="2:3">
      <c r="B834" s="2">
        <v>41270</v>
      </c>
      <c r="C834">
        <v>82.872279787492673</v>
      </c>
    </row>
    <row r="835" spans="2:3">
      <c r="B835" s="2">
        <v>41271</v>
      </c>
      <c r="C835">
        <v>82.901728441358514</v>
      </c>
    </row>
    <row r="836" spans="2:3">
      <c r="B836" s="2">
        <v>41274</v>
      </c>
      <c r="C836">
        <v>81.900734222458823</v>
      </c>
    </row>
    <row r="837" spans="2:3">
      <c r="B837" s="2">
        <v>41276</v>
      </c>
      <c r="C837">
        <v>81.073504287501663</v>
      </c>
    </row>
    <row r="838" spans="2:3">
      <c r="B838" s="2">
        <v>41277</v>
      </c>
      <c r="C838">
        <v>83.254478373395173</v>
      </c>
    </row>
    <row r="839" spans="2:3">
      <c r="B839" s="2">
        <v>41278</v>
      </c>
      <c r="C839">
        <v>81.40314877780186</v>
      </c>
    </row>
    <row r="840" spans="2:3">
      <c r="B840" s="2">
        <v>41281</v>
      </c>
      <c r="C840">
        <v>81.804937038275256</v>
      </c>
    </row>
    <row r="841" spans="2:3">
      <c r="B841" s="2">
        <v>41282</v>
      </c>
      <c r="C841">
        <v>82.005200167899844</v>
      </c>
    </row>
    <row r="842" spans="2:3">
      <c r="B842" s="2">
        <v>41283</v>
      </c>
      <c r="C842">
        <v>81.452442364942939</v>
      </c>
    </row>
    <row r="843" spans="2:3">
      <c r="B843" s="2">
        <v>41284</v>
      </c>
      <c r="C843">
        <v>81.582858233697365</v>
      </c>
    </row>
    <row r="844" spans="2:3">
      <c r="B844" s="2">
        <v>41285</v>
      </c>
      <c r="C844">
        <v>81.778039313163191</v>
      </c>
    </row>
    <row r="845" spans="2:3">
      <c r="B845" s="2">
        <v>41288</v>
      </c>
      <c r="C845">
        <v>81.638803692859852</v>
      </c>
    </row>
    <row r="846" spans="2:3">
      <c r="B846" s="2">
        <v>41289</v>
      </c>
      <c r="C846">
        <v>81.187944803324697</v>
      </c>
    </row>
    <row r="847" spans="2:3">
      <c r="B847" s="2">
        <v>41290</v>
      </c>
      <c r="C847">
        <v>78.135847735673693</v>
      </c>
    </row>
    <row r="848" spans="2:3">
      <c r="B848" s="2">
        <v>41291</v>
      </c>
      <c r="C848">
        <v>79.202870863193681</v>
      </c>
    </row>
    <row r="849" spans="2:3">
      <c r="B849" s="2">
        <v>41292</v>
      </c>
      <c r="C849">
        <v>78.036276430729359</v>
      </c>
    </row>
    <row r="850" spans="2:3">
      <c r="B850" s="2">
        <v>41296</v>
      </c>
      <c r="C850">
        <v>77.78195682917125</v>
      </c>
    </row>
    <row r="851" spans="2:3">
      <c r="B851" s="2">
        <v>41297</v>
      </c>
      <c r="C851">
        <v>77.719009964468256</v>
      </c>
    </row>
    <row r="852" spans="2:3">
      <c r="B852" s="2">
        <v>41298</v>
      </c>
      <c r="C852">
        <v>77.526983075058681</v>
      </c>
    </row>
    <row r="853" spans="2:3">
      <c r="B853" s="2">
        <v>41299</v>
      </c>
      <c r="C853">
        <v>81.71298349003284</v>
      </c>
    </row>
    <row r="854" spans="2:3">
      <c r="B854" s="2">
        <v>41302</v>
      </c>
      <c r="C854">
        <v>80.429747359151222</v>
      </c>
    </row>
    <row r="855" spans="2:3">
      <c r="B855" s="2">
        <v>41303</v>
      </c>
      <c r="C855">
        <v>80.136518787551182</v>
      </c>
    </row>
    <row r="856" spans="2:3">
      <c r="B856" s="2">
        <v>41304</v>
      </c>
      <c r="C856">
        <v>79.735377232809199</v>
      </c>
    </row>
    <row r="857" spans="2:3">
      <c r="B857" s="2">
        <v>41305</v>
      </c>
      <c r="C857">
        <v>77.882910896547173</v>
      </c>
    </row>
    <row r="858" spans="2:3">
      <c r="B858" s="2">
        <v>41306</v>
      </c>
      <c r="C858">
        <v>77.399101404049347</v>
      </c>
    </row>
    <row r="859" spans="2:3">
      <c r="B859" s="2">
        <v>41309</v>
      </c>
      <c r="C859">
        <v>77.103427436218283</v>
      </c>
    </row>
    <row r="860" spans="2:3">
      <c r="B860" s="2">
        <v>41310</v>
      </c>
      <c r="C860">
        <v>75.023896689998963</v>
      </c>
    </row>
    <row r="861" spans="2:3">
      <c r="B861" s="2">
        <v>41311</v>
      </c>
      <c r="C861">
        <v>67.747682130760523</v>
      </c>
    </row>
    <row r="862" spans="2:3">
      <c r="B862" s="2">
        <v>41312</v>
      </c>
      <c r="C862">
        <v>67.028331969783693</v>
      </c>
    </row>
    <row r="863" spans="2:3">
      <c r="B863" s="2">
        <v>41313</v>
      </c>
      <c r="C863">
        <v>67.083876174398029</v>
      </c>
    </row>
    <row r="864" spans="2:3">
      <c r="B864" s="2">
        <v>41316</v>
      </c>
      <c r="C864">
        <v>67.094567165169792</v>
      </c>
    </row>
    <row r="865" spans="2:3">
      <c r="B865" s="2">
        <v>41317</v>
      </c>
      <c r="C865">
        <v>66.85846635349931</v>
      </c>
    </row>
    <row r="866" spans="2:3">
      <c r="B866" s="2">
        <v>41318</v>
      </c>
      <c r="C866">
        <v>66.504925613768449</v>
      </c>
    </row>
    <row r="867" spans="2:3">
      <c r="B867" s="2">
        <v>41319</v>
      </c>
      <c r="C867">
        <v>66.079670019192477</v>
      </c>
    </row>
    <row r="868" spans="2:3">
      <c r="B868" s="2">
        <v>41320</v>
      </c>
      <c r="C868">
        <v>65.889595638183863</v>
      </c>
    </row>
    <row r="869" spans="2:3">
      <c r="B869" s="2">
        <v>41324</v>
      </c>
      <c r="C869">
        <v>64.610032843873057</v>
      </c>
    </row>
    <row r="870" spans="2:3">
      <c r="B870" s="2">
        <v>41325</v>
      </c>
      <c r="C870">
        <v>64.031232111634409</v>
      </c>
    </row>
    <row r="871" spans="2:3">
      <c r="B871" s="2">
        <v>41326</v>
      </c>
      <c r="C871">
        <v>64.155927325626479</v>
      </c>
    </row>
    <row r="872" spans="2:3">
      <c r="B872" s="2">
        <v>41327</v>
      </c>
      <c r="C872">
        <v>62.242136766138557</v>
      </c>
    </row>
    <row r="873" spans="2:3">
      <c r="B873" s="2">
        <v>41330</v>
      </c>
      <c r="C873">
        <v>60.959541048702647</v>
      </c>
    </row>
    <row r="874" spans="2:3">
      <c r="B874" s="2">
        <v>41331</v>
      </c>
      <c r="C874">
        <v>61.216376500628044</v>
      </c>
    </row>
    <row r="875" spans="2:3">
      <c r="B875" s="2">
        <v>41332</v>
      </c>
      <c r="C875">
        <v>61.389930373557632</v>
      </c>
    </row>
    <row r="876" spans="2:3">
      <c r="B876" s="2">
        <v>41333</v>
      </c>
      <c r="C876">
        <v>61.825750319749176</v>
      </c>
    </row>
    <row r="877" spans="2:3">
      <c r="B877" s="2">
        <v>41334</v>
      </c>
      <c r="C877">
        <v>61.987085408830325</v>
      </c>
    </row>
    <row r="878" spans="2:3">
      <c r="B878" s="2">
        <v>41337</v>
      </c>
      <c r="C878">
        <v>61.777174992612075</v>
      </c>
    </row>
    <row r="879" spans="2:3">
      <c r="B879" s="2">
        <v>41338</v>
      </c>
      <c r="C879">
        <v>61.7881084726246</v>
      </c>
    </row>
    <row r="880" spans="2:3">
      <c r="B880" s="2">
        <v>41339</v>
      </c>
      <c r="C880">
        <v>62.298576379079286</v>
      </c>
    </row>
    <row r="881" spans="2:3">
      <c r="B881" s="2">
        <v>41340</v>
      </c>
      <c r="C881">
        <v>62.391986814989465</v>
      </c>
    </row>
    <row r="882" spans="2:3">
      <c r="B882" s="2">
        <v>41341</v>
      </c>
      <c r="C882">
        <v>63.181279702223684</v>
      </c>
    </row>
    <row r="883" spans="2:3">
      <c r="B883" s="2">
        <v>41344</v>
      </c>
      <c r="C883">
        <v>63.307171521502823</v>
      </c>
    </row>
    <row r="884" spans="2:3">
      <c r="B884" s="2">
        <v>41345</v>
      </c>
      <c r="C884">
        <v>63.529548023903274</v>
      </c>
    </row>
    <row r="885" spans="2:3">
      <c r="B885" s="2">
        <v>41346</v>
      </c>
      <c r="C885">
        <v>63.602580221136165</v>
      </c>
    </row>
    <row r="886" spans="2:3">
      <c r="B886" s="2">
        <v>41347</v>
      </c>
      <c r="C886">
        <v>63.545601130789919</v>
      </c>
    </row>
    <row r="887" spans="2:3">
      <c r="B887" s="2">
        <v>41348</v>
      </c>
      <c r="C887">
        <v>64.355431189209668</v>
      </c>
    </row>
    <row r="888" spans="2:3">
      <c r="B888" s="2">
        <v>41351</v>
      </c>
      <c r="C888">
        <v>63.671419585294487</v>
      </c>
    </row>
    <row r="889" spans="2:3">
      <c r="B889" s="2">
        <v>41352</v>
      </c>
      <c r="C889">
        <v>63.011907864675855</v>
      </c>
    </row>
    <row r="890" spans="2:3">
      <c r="B890" s="2">
        <v>41353</v>
      </c>
      <c r="C890">
        <v>63.148248854537329</v>
      </c>
    </row>
    <row r="891" spans="2:3">
      <c r="B891" s="2">
        <v>41354</v>
      </c>
      <c r="C891">
        <v>62.524320727985291</v>
      </c>
    </row>
    <row r="892" spans="2:3">
      <c r="B892" s="2">
        <v>41355</v>
      </c>
      <c r="C892">
        <v>63.009942223915303</v>
      </c>
    </row>
    <row r="893" spans="2:3">
      <c r="B893" s="2">
        <v>41358</v>
      </c>
      <c r="C893">
        <v>62.768562021328108</v>
      </c>
    </row>
    <row r="894" spans="2:3">
      <c r="B894" s="2">
        <v>41359</v>
      </c>
      <c r="C894">
        <v>62.133588948945871</v>
      </c>
    </row>
    <row r="895" spans="2:3">
      <c r="B895" s="2">
        <v>41360</v>
      </c>
      <c r="C895">
        <v>62.721389668202953</v>
      </c>
    </row>
    <row r="896" spans="2:3">
      <c r="B896" s="2">
        <v>41361</v>
      </c>
      <c r="C896">
        <v>62.717260210551331</v>
      </c>
    </row>
    <row r="897" spans="2:3">
      <c r="B897" s="2">
        <v>41365</v>
      </c>
      <c r="C897">
        <v>61.75597266303869</v>
      </c>
    </row>
    <row r="898" spans="2:3">
      <c r="B898" s="2">
        <v>41366</v>
      </c>
      <c r="C898">
        <v>57.025959517619604</v>
      </c>
    </row>
    <row r="899" spans="2:3">
      <c r="B899" s="2">
        <v>41367</v>
      </c>
      <c r="C899">
        <v>57.840043947003835</v>
      </c>
    </row>
    <row r="900" spans="2:3">
      <c r="B900" s="2">
        <v>41368</v>
      </c>
      <c r="C900">
        <v>59.42671363099025</v>
      </c>
    </row>
    <row r="901" spans="2:3">
      <c r="B901" s="2">
        <v>41369</v>
      </c>
      <c r="C901">
        <v>60.915418280759546</v>
      </c>
    </row>
    <row r="902" spans="2:3">
      <c r="B902" s="2">
        <v>41372</v>
      </c>
      <c r="C902">
        <v>61.578206331270458</v>
      </c>
    </row>
    <row r="903" spans="2:3">
      <c r="B903" s="2">
        <v>41373</v>
      </c>
      <c r="C903">
        <v>60.802697189497245</v>
      </c>
    </row>
    <row r="904" spans="2:3">
      <c r="B904" s="2">
        <v>41374</v>
      </c>
      <c r="C904">
        <v>61.460072395262053</v>
      </c>
    </row>
    <row r="905" spans="2:3">
      <c r="B905" s="2">
        <v>41375</v>
      </c>
      <c r="C905">
        <v>61.76929764857524</v>
      </c>
    </row>
    <row r="906" spans="2:3">
      <c r="B906" s="2">
        <v>41376</v>
      </c>
      <c r="C906">
        <v>63.293780536870024</v>
      </c>
    </row>
    <row r="907" spans="2:3">
      <c r="B907" s="2">
        <v>41379</v>
      </c>
      <c r="C907">
        <v>63.502142477621589</v>
      </c>
    </row>
    <row r="908" spans="2:3">
      <c r="B908" s="2">
        <v>41380</v>
      </c>
      <c r="C908">
        <v>61.884083128414737</v>
      </c>
    </row>
    <row r="909" spans="2:3">
      <c r="B909" s="2">
        <v>41381</v>
      </c>
      <c r="C909">
        <v>61.757488476625333</v>
      </c>
    </row>
    <row r="910" spans="2:3">
      <c r="B910" s="2">
        <v>41382</v>
      </c>
      <c r="C910">
        <v>61.88942917548551</v>
      </c>
    </row>
    <row r="911" spans="2:3">
      <c r="B911" s="2">
        <v>41383</v>
      </c>
      <c r="C911">
        <v>61.922894952971184</v>
      </c>
    </row>
    <row r="912" spans="2:3">
      <c r="B912" s="2">
        <v>41386</v>
      </c>
      <c r="C912">
        <v>61.751849305195805</v>
      </c>
    </row>
    <row r="913" spans="2:3">
      <c r="B913" s="2">
        <v>41387</v>
      </c>
      <c r="C913">
        <v>54.879429271083666</v>
      </c>
    </row>
    <row r="914" spans="2:3">
      <c r="B914" s="2">
        <v>41388</v>
      </c>
      <c r="C914">
        <v>54.39697163868118</v>
      </c>
    </row>
    <row r="915" spans="2:3">
      <c r="B915" s="2">
        <v>41389</v>
      </c>
      <c r="C915">
        <v>54.202018511338089</v>
      </c>
    </row>
    <row r="916" spans="2:3">
      <c r="B916" s="2">
        <v>41390</v>
      </c>
      <c r="C916">
        <v>55.018635251866421</v>
      </c>
    </row>
    <row r="917" spans="2:3">
      <c r="B917" s="2">
        <v>41393</v>
      </c>
      <c r="C917">
        <v>55.019756382674288</v>
      </c>
    </row>
    <row r="918" spans="2:3">
      <c r="B918" s="2">
        <v>41394</v>
      </c>
      <c r="C918">
        <v>54.960567329873157</v>
      </c>
    </row>
    <row r="919" spans="2:3">
      <c r="B919" s="2">
        <v>41395</v>
      </c>
      <c r="C919">
        <v>55.162545502236703</v>
      </c>
    </row>
    <row r="920" spans="2:3">
      <c r="B920" s="2">
        <v>41396</v>
      </c>
      <c r="C920">
        <v>54.731552621373268</v>
      </c>
    </row>
    <row r="921" spans="2:3">
      <c r="B921" s="2">
        <v>41397</v>
      </c>
      <c r="C921">
        <v>59.285436992111414</v>
      </c>
    </row>
    <row r="922" spans="2:3">
      <c r="B922" s="2">
        <v>41400</v>
      </c>
      <c r="C922">
        <v>59.382888484571751</v>
      </c>
    </row>
    <row r="923" spans="2:3">
      <c r="B923" s="2">
        <v>41401</v>
      </c>
      <c r="C923">
        <v>59.30556506028779</v>
      </c>
    </row>
    <row r="924" spans="2:3">
      <c r="B924" s="2">
        <v>41402</v>
      </c>
      <c r="C924">
        <v>59.371549294472068</v>
      </c>
    </row>
    <row r="925" spans="2:3">
      <c r="B925" s="2">
        <v>41403</v>
      </c>
      <c r="C925">
        <v>58.937351115639501</v>
      </c>
    </row>
    <row r="926" spans="2:3">
      <c r="B926" s="2">
        <v>41404</v>
      </c>
      <c r="C926">
        <v>61.085001715371845</v>
      </c>
    </row>
    <row r="927" spans="2:3">
      <c r="B927" s="2">
        <v>41407</v>
      </c>
      <c r="C927">
        <v>60.805943616046029</v>
      </c>
    </row>
    <row r="928" spans="2:3">
      <c r="B928" s="2">
        <v>41408</v>
      </c>
      <c r="C928">
        <v>61.348638434430256</v>
      </c>
    </row>
    <row r="929" spans="2:3">
      <c r="B929" s="2">
        <v>41409</v>
      </c>
      <c r="C929">
        <v>61.253079910289024</v>
      </c>
    </row>
    <row r="930" spans="2:3">
      <c r="B930" s="2">
        <v>41410</v>
      </c>
      <c r="C930">
        <v>64.461784627768992</v>
      </c>
    </row>
    <row r="931" spans="2:3">
      <c r="B931" s="2">
        <v>41411</v>
      </c>
      <c r="C931">
        <v>69.13992470430496</v>
      </c>
    </row>
    <row r="932" spans="2:3">
      <c r="B932" s="2">
        <v>41414</v>
      </c>
      <c r="C932">
        <v>69.343174261916388</v>
      </c>
    </row>
    <row r="933" spans="2:3">
      <c r="B933" s="2">
        <v>41415</v>
      </c>
      <c r="C933">
        <v>68.652409335157756</v>
      </c>
    </row>
    <row r="934" spans="2:3">
      <c r="B934" s="2">
        <v>41416</v>
      </c>
      <c r="C934">
        <v>72.888370629777128</v>
      </c>
    </row>
    <row r="935" spans="2:3">
      <c r="B935" s="2">
        <v>41417</v>
      </c>
      <c r="C935">
        <v>72.874628486539024</v>
      </c>
    </row>
    <row r="936" spans="2:3">
      <c r="B936" s="2">
        <v>41418</v>
      </c>
      <c r="C936">
        <v>72.59997428979355</v>
      </c>
    </row>
    <row r="937" spans="2:3">
      <c r="B937" s="2">
        <v>41422</v>
      </c>
      <c r="C937">
        <v>76.790567860138253</v>
      </c>
    </row>
    <row r="938" spans="2:3">
      <c r="B938" s="2">
        <v>41423</v>
      </c>
      <c r="C938">
        <v>77.028726289086904</v>
      </c>
    </row>
    <row r="939" spans="2:3">
      <c r="B939" s="2">
        <v>41424</v>
      </c>
      <c r="C939">
        <v>77.128021234086049</v>
      </c>
    </row>
    <row r="940" spans="2:3">
      <c r="B940" s="2">
        <v>41425</v>
      </c>
      <c r="C940">
        <v>77.150293499330246</v>
      </c>
    </row>
    <row r="941" spans="2:3">
      <c r="B941" s="2">
        <v>41428</v>
      </c>
      <c r="C941">
        <v>76.301440405799411</v>
      </c>
    </row>
    <row r="942" spans="2:3">
      <c r="B942" s="2">
        <v>41429</v>
      </c>
      <c r="C942">
        <v>74.933079725580882</v>
      </c>
    </row>
    <row r="943" spans="2:3">
      <c r="B943" s="2">
        <v>41430</v>
      </c>
      <c r="C943">
        <v>74.974399551236857</v>
      </c>
    </row>
    <row r="944" spans="2:3">
      <c r="B944" s="2">
        <v>41431</v>
      </c>
      <c r="C944">
        <v>75.058728156166211</v>
      </c>
    </row>
    <row r="945" spans="2:3">
      <c r="B945" s="2">
        <v>41432</v>
      </c>
      <c r="C945">
        <v>75.798791923299717</v>
      </c>
    </row>
    <row r="946" spans="2:3">
      <c r="B946" s="2">
        <v>41435</v>
      </c>
      <c r="C946">
        <v>75.917134288261352</v>
      </c>
    </row>
    <row r="947" spans="2:3">
      <c r="B947" s="2">
        <v>41436</v>
      </c>
      <c r="C947">
        <v>75.665474372012156</v>
      </c>
    </row>
    <row r="948" spans="2:3">
      <c r="B948" s="2">
        <v>41437</v>
      </c>
      <c r="C948">
        <v>75.347108438033928</v>
      </c>
    </row>
    <row r="949" spans="2:3">
      <c r="B949" s="2">
        <v>41438</v>
      </c>
      <c r="C949">
        <v>75.899305789905796</v>
      </c>
    </row>
    <row r="950" spans="2:3">
      <c r="B950" s="2">
        <v>41439</v>
      </c>
      <c r="C950">
        <v>76.081522427118287</v>
      </c>
    </row>
    <row r="951" spans="2:3">
      <c r="B951" s="2">
        <v>41442</v>
      </c>
      <c r="C951">
        <v>76.5066246315928</v>
      </c>
    </row>
    <row r="952" spans="2:3">
      <c r="B952" s="2">
        <v>41443</v>
      </c>
      <c r="C952">
        <v>76.072093660985558</v>
      </c>
    </row>
    <row r="953" spans="2:3">
      <c r="B953" s="2">
        <v>41444</v>
      </c>
      <c r="C953">
        <v>81.207069507169891</v>
      </c>
    </row>
    <row r="954" spans="2:3">
      <c r="B954" s="2">
        <v>41445</v>
      </c>
      <c r="C954">
        <v>85.920177036805057</v>
      </c>
    </row>
    <row r="955" spans="2:3">
      <c r="B955" s="2">
        <v>41446</v>
      </c>
      <c r="C955">
        <v>90.366902828010581</v>
      </c>
    </row>
    <row r="956" spans="2:3">
      <c r="B956" s="2">
        <v>41449</v>
      </c>
      <c r="C956">
        <v>90.748445691014012</v>
      </c>
    </row>
    <row r="957" spans="2:3">
      <c r="B957" s="2">
        <v>41450</v>
      </c>
      <c r="C957">
        <v>90.478838018191567</v>
      </c>
    </row>
    <row r="958" spans="2:3">
      <c r="B958" s="2">
        <v>41451</v>
      </c>
      <c r="C958">
        <v>91.606678661079002</v>
      </c>
    </row>
    <row r="959" spans="2:3">
      <c r="B959" s="2">
        <v>41452</v>
      </c>
      <c r="C959">
        <v>94.98257742972288</v>
      </c>
    </row>
    <row r="960" spans="2:3">
      <c r="B960" s="2">
        <v>41453</v>
      </c>
      <c r="C960">
        <v>93.210242596653401</v>
      </c>
    </row>
    <row r="961" spans="2:3">
      <c r="B961" s="2">
        <v>41456</v>
      </c>
      <c r="C961">
        <v>91.795474234764228</v>
      </c>
    </row>
    <row r="962" spans="2:3">
      <c r="B962" s="2">
        <v>41457</v>
      </c>
      <c r="C962">
        <v>91.321268448436172</v>
      </c>
    </row>
    <row r="963" spans="2:3">
      <c r="B963" s="2">
        <v>41458</v>
      </c>
      <c r="C963">
        <v>91.744856089426847</v>
      </c>
    </row>
    <row r="964" spans="2:3">
      <c r="B964" s="2">
        <v>41460</v>
      </c>
      <c r="C964">
        <v>108.89619695630404</v>
      </c>
    </row>
    <row r="965" spans="2:3">
      <c r="B965" s="2">
        <v>41463</v>
      </c>
      <c r="C965">
        <v>112.62375299493515</v>
      </c>
    </row>
    <row r="966" spans="2:3">
      <c r="B966" s="2">
        <v>41464</v>
      </c>
      <c r="C966">
        <v>112.38269989413317</v>
      </c>
    </row>
    <row r="967" spans="2:3">
      <c r="B967" s="2">
        <v>41465</v>
      </c>
      <c r="C967">
        <v>113.24504894270055</v>
      </c>
    </row>
    <row r="968" spans="2:3">
      <c r="B968" s="2">
        <v>41466</v>
      </c>
      <c r="C968">
        <v>116.62137856834566</v>
      </c>
    </row>
    <row r="969" spans="2:3">
      <c r="B969" s="2">
        <v>41467</v>
      </c>
      <c r="C969">
        <v>116.55541439651687</v>
      </c>
    </row>
    <row r="970" spans="2:3">
      <c r="B970" s="2">
        <v>41470</v>
      </c>
      <c r="C970">
        <v>117.68800343993659</v>
      </c>
    </row>
    <row r="971" spans="2:3">
      <c r="B971" s="2">
        <v>41471</v>
      </c>
      <c r="C971">
        <v>117.84493372731866</v>
      </c>
    </row>
    <row r="972" spans="2:3">
      <c r="B972" s="2">
        <v>41472</v>
      </c>
      <c r="C972">
        <v>118.50310182830646</v>
      </c>
    </row>
    <row r="973" spans="2:3">
      <c r="B973" s="2">
        <v>41473</v>
      </c>
      <c r="C973">
        <v>118.55667523510884</v>
      </c>
    </row>
    <row r="974" spans="2:3">
      <c r="B974" s="2">
        <v>41474</v>
      </c>
      <c r="C974">
        <v>119.42698209548399</v>
      </c>
    </row>
    <row r="975" spans="2:3">
      <c r="B975" s="2">
        <v>41477</v>
      </c>
      <c r="C975">
        <v>119.49133761875336</v>
      </c>
    </row>
    <row r="976" spans="2:3">
      <c r="B976" s="2">
        <v>41478</v>
      </c>
      <c r="C976">
        <v>118.78010220300061</v>
      </c>
    </row>
    <row r="977" spans="2:3">
      <c r="B977" s="2">
        <v>41479</v>
      </c>
      <c r="C977">
        <v>119.11741004175811</v>
      </c>
    </row>
    <row r="978" spans="2:3">
      <c r="B978" s="2">
        <v>41480</v>
      </c>
      <c r="C978">
        <v>118.85751473652479</v>
      </c>
    </row>
    <row r="979" spans="2:3">
      <c r="B979" s="2">
        <v>41481</v>
      </c>
      <c r="C979">
        <v>118.90834169914302</v>
      </c>
    </row>
    <row r="980" spans="2:3">
      <c r="B980" s="2">
        <v>41484</v>
      </c>
      <c r="C980">
        <v>118.88315158332419</v>
      </c>
    </row>
    <row r="981" spans="2:3">
      <c r="B981" s="2">
        <v>41485</v>
      </c>
      <c r="C981">
        <v>117.1971290980586</v>
      </c>
    </row>
    <row r="982" spans="2:3">
      <c r="B982" s="2">
        <v>41486</v>
      </c>
      <c r="C982">
        <v>117.41797999900996</v>
      </c>
    </row>
    <row r="983" spans="2:3">
      <c r="B983" s="2">
        <v>41487</v>
      </c>
      <c r="C983">
        <v>119.45920654080209</v>
      </c>
    </row>
    <row r="984" spans="2:3">
      <c r="B984" s="2">
        <v>41488</v>
      </c>
      <c r="C984">
        <v>122.98281671315007</v>
      </c>
    </row>
    <row r="985" spans="2:3">
      <c r="B985" s="2">
        <v>41491</v>
      </c>
      <c r="C985">
        <v>122.96979829360272</v>
      </c>
    </row>
    <row r="986" spans="2:3">
      <c r="B986" s="2">
        <v>41492</v>
      </c>
      <c r="C986">
        <v>122.00562948520408</v>
      </c>
    </row>
    <row r="987" spans="2:3">
      <c r="B987" s="2">
        <v>41493</v>
      </c>
      <c r="C987">
        <v>122.32061594261239</v>
      </c>
    </row>
    <row r="988" spans="2:3">
      <c r="B988" s="2">
        <v>41494</v>
      </c>
      <c r="C988">
        <v>122.45875360959444</v>
      </c>
    </row>
    <row r="989" spans="2:3">
      <c r="B989" s="2">
        <v>41495</v>
      </c>
      <c r="C989">
        <v>122.5801075237799</v>
      </c>
    </row>
    <row r="990" spans="2:3">
      <c r="B990" s="2">
        <v>41498</v>
      </c>
      <c r="C990">
        <v>120.45374313849973</v>
      </c>
    </row>
    <row r="991" spans="2:3">
      <c r="B991" s="2">
        <v>41499</v>
      </c>
      <c r="C991">
        <v>119.78367844337585</v>
      </c>
    </row>
    <row r="992" spans="2:3">
      <c r="B992" s="2">
        <v>41500</v>
      </c>
      <c r="C992">
        <v>119.79225257248946</v>
      </c>
    </row>
    <row r="993" spans="2:3">
      <c r="B993" s="2">
        <v>41501</v>
      </c>
      <c r="C993">
        <v>119.46200688457496</v>
      </c>
    </row>
    <row r="994" spans="2:3">
      <c r="B994" s="2">
        <v>41502</v>
      </c>
      <c r="C994">
        <v>118.39138747020348</v>
      </c>
    </row>
    <row r="995" spans="2:3">
      <c r="B995" s="2">
        <v>41505</v>
      </c>
      <c r="C995">
        <v>119.02098570943768</v>
      </c>
    </row>
    <row r="996" spans="2:3">
      <c r="B996" s="2">
        <v>41506</v>
      </c>
      <c r="C996">
        <v>120.52399172526169</v>
      </c>
    </row>
    <row r="997" spans="2:3">
      <c r="B997" s="2">
        <v>41507</v>
      </c>
      <c r="C997">
        <v>118.30384787598854</v>
      </c>
    </row>
    <row r="998" spans="2:3">
      <c r="B998" s="2">
        <v>41508</v>
      </c>
      <c r="C998">
        <v>118.15302976819399</v>
      </c>
    </row>
    <row r="999" spans="2:3">
      <c r="B999" s="2">
        <v>41509</v>
      </c>
      <c r="C999">
        <v>120.62310592473789</v>
      </c>
    </row>
    <row r="1000" spans="2:3">
      <c r="B1000" s="2">
        <v>41512</v>
      </c>
      <c r="C1000">
        <v>120.71062461003676</v>
      </c>
    </row>
    <row r="1001" spans="2:3">
      <c r="B1001" s="2">
        <v>41513</v>
      </c>
      <c r="C1001">
        <v>121.80611799996419</v>
      </c>
    </row>
    <row r="1002" spans="2:3">
      <c r="B1002" s="2">
        <v>41514</v>
      </c>
      <c r="C1002">
        <v>122.36578953564377</v>
      </c>
    </row>
    <row r="1003" spans="2:3">
      <c r="B1003" s="2">
        <v>41515</v>
      </c>
      <c r="C1003">
        <v>122.82500508767814</v>
      </c>
    </row>
    <row r="1004" spans="2:3">
      <c r="B1004" s="2">
        <v>41516</v>
      </c>
      <c r="C1004">
        <v>122.45841511635737</v>
      </c>
    </row>
    <row r="1005" spans="2:3">
      <c r="B1005" s="2">
        <v>41520</v>
      </c>
      <c r="C1005">
        <v>123.63246661296974</v>
      </c>
    </row>
    <row r="1006" spans="2:3">
      <c r="B1006" s="2">
        <v>41521</v>
      </c>
      <c r="C1006">
        <v>123.95332441737187</v>
      </c>
    </row>
    <row r="1007" spans="2:3">
      <c r="B1007" s="2">
        <v>41522</v>
      </c>
      <c r="C1007">
        <v>125.18301786622659</v>
      </c>
    </row>
    <row r="1008" spans="2:3">
      <c r="B1008" s="2">
        <v>41523</v>
      </c>
      <c r="C1008">
        <v>126.16398480056976</v>
      </c>
    </row>
    <row r="1009" spans="2:3">
      <c r="B1009" s="2">
        <v>41526</v>
      </c>
      <c r="C1009">
        <v>126.75612586566163</v>
      </c>
    </row>
    <row r="1010" spans="2:3">
      <c r="B1010" s="2">
        <v>41527</v>
      </c>
      <c r="C1010">
        <v>126.62296519437035</v>
      </c>
    </row>
    <row r="1011" spans="2:3">
      <c r="B1011" s="2">
        <v>41528</v>
      </c>
      <c r="C1011">
        <v>126.74677165295545</v>
      </c>
    </row>
    <row r="1012" spans="2:3">
      <c r="B1012" s="2">
        <v>41529</v>
      </c>
      <c r="C1012">
        <v>126.74321829594209</v>
      </c>
    </row>
    <row r="1013" spans="2:3">
      <c r="B1013" s="2">
        <v>41530</v>
      </c>
      <c r="C1013">
        <v>123.7629879759201</v>
      </c>
    </row>
    <row r="1014" spans="2:3">
      <c r="B1014" s="2">
        <v>41533</v>
      </c>
      <c r="C1014">
        <v>120.91575819409709</v>
      </c>
    </row>
    <row r="1015" spans="2:3">
      <c r="B1015" s="2">
        <v>41534</v>
      </c>
      <c r="C1015">
        <v>116.90314741283649</v>
      </c>
    </row>
    <row r="1016" spans="2:3">
      <c r="B1016" s="2">
        <v>41535</v>
      </c>
      <c r="C1016">
        <v>122.29677517083333</v>
      </c>
    </row>
    <row r="1017" spans="2:3">
      <c r="B1017" s="2">
        <v>41536</v>
      </c>
      <c r="C1017">
        <v>122.33219989594444</v>
      </c>
    </row>
    <row r="1018" spans="2:3">
      <c r="B1018" s="2">
        <v>41537</v>
      </c>
      <c r="C1018">
        <v>121.83131587878779</v>
      </c>
    </row>
    <row r="1019" spans="2:3">
      <c r="B1019" s="2">
        <v>41540</v>
      </c>
      <c r="C1019">
        <v>119.33767682443528</v>
      </c>
    </row>
    <row r="1020" spans="2:3">
      <c r="B1020" s="2">
        <v>41541</v>
      </c>
      <c r="C1020">
        <v>120.01766579691289</v>
      </c>
    </row>
    <row r="1021" spans="2:3">
      <c r="B1021" s="2">
        <v>41542</v>
      </c>
      <c r="C1021">
        <v>120.34684757324383</v>
      </c>
    </row>
    <row r="1022" spans="2:3">
      <c r="B1022" s="2">
        <v>41543</v>
      </c>
      <c r="C1022">
        <v>120.44272547453075</v>
      </c>
    </row>
    <row r="1023" spans="2:3">
      <c r="B1023" s="2">
        <v>41544</v>
      </c>
      <c r="C1023">
        <v>119.99506010820022</v>
      </c>
    </row>
    <row r="1024" spans="2:3">
      <c r="B1024" s="2">
        <v>41547</v>
      </c>
      <c r="C1024">
        <v>101.86965129181318</v>
      </c>
    </row>
    <row r="1025" spans="2:3">
      <c r="B1025" s="2">
        <v>41548</v>
      </c>
      <c r="C1025">
        <v>98.78066483256967</v>
      </c>
    </row>
    <row r="1026" spans="2:3">
      <c r="B1026" s="2">
        <v>41549</v>
      </c>
      <c r="C1026">
        <v>98.175214747636019</v>
      </c>
    </row>
    <row r="1027" spans="2:3">
      <c r="B1027" s="2">
        <v>41550</v>
      </c>
      <c r="C1027">
        <v>96.010444188996672</v>
      </c>
    </row>
    <row r="1028" spans="2:3">
      <c r="B1028" s="2">
        <v>41551</v>
      </c>
      <c r="C1028">
        <v>93.367173313685242</v>
      </c>
    </row>
    <row r="1029" spans="2:3">
      <c r="B1029" s="2">
        <v>41554</v>
      </c>
      <c r="C1029">
        <v>93.349566073794449</v>
      </c>
    </row>
    <row r="1030" spans="2:3">
      <c r="B1030" s="2">
        <v>41555</v>
      </c>
      <c r="C1030">
        <v>92.356669809370047</v>
      </c>
    </row>
    <row r="1031" spans="2:3">
      <c r="B1031" s="2">
        <v>41556</v>
      </c>
      <c r="C1031">
        <v>92.323808408420476</v>
      </c>
    </row>
    <row r="1032" spans="2:3">
      <c r="B1032" s="2">
        <v>41557</v>
      </c>
      <c r="C1032">
        <v>91.866161655110616</v>
      </c>
    </row>
    <row r="1033" spans="2:3">
      <c r="B1033" s="2">
        <v>41558</v>
      </c>
      <c r="C1033">
        <v>91.394209128748031</v>
      </c>
    </row>
    <row r="1034" spans="2:3">
      <c r="B1034" s="2">
        <v>41562</v>
      </c>
      <c r="C1034">
        <v>91.007982475579681</v>
      </c>
    </row>
    <row r="1035" spans="2:3">
      <c r="B1035" s="2">
        <v>41563</v>
      </c>
      <c r="C1035">
        <v>91.456796575478037</v>
      </c>
    </row>
    <row r="1036" spans="2:3">
      <c r="B1036" s="2">
        <v>41564</v>
      </c>
      <c r="C1036">
        <v>92.902511894766022</v>
      </c>
    </row>
    <row r="1037" spans="2:3">
      <c r="B1037" s="2">
        <v>41565</v>
      </c>
      <c r="C1037">
        <v>91.84771300775229</v>
      </c>
    </row>
    <row r="1038" spans="2:3">
      <c r="B1038" s="2">
        <v>41568</v>
      </c>
      <c r="C1038">
        <v>91.949119788800431</v>
      </c>
    </row>
    <row r="1039" spans="2:3">
      <c r="B1039" s="2">
        <v>41569</v>
      </c>
      <c r="C1039">
        <v>93.565790887616529</v>
      </c>
    </row>
    <row r="1040" spans="2:3">
      <c r="B1040" s="2">
        <v>41570</v>
      </c>
      <c r="C1040">
        <v>93.665557761972678</v>
      </c>
    </row>
    <row r="1041" spans="2:3">
      <c r="B1041" s="2">
        <v>41571</v>
      </c>
      <c r="C1041">
        <v>93.672956207476815</v>
      </c>
    </row>
    <row r="1042" spans="2:3">
      <c r="B1042" s="2">
        <v>41572</v>
      </c>
      <c r="C1042">
        <v>93.721773039685516</v>
      </c>
    </row>
    <row r="1043" spans="2:3">
      <c r="B1043" s="2">
        <v>41575</v>
      </c>
      <c r="C1043">
        <v>89.942774620615509</v>
      </c>
    </row>
    <row r="1044" spans="2:3">
      <c r="B1044" s="2">
        <v>41576</v>
      </c>
      <c r="C1044">
        <v>86.23789238754091</v>
      </c>
    </row>
    <row r="1045" spans="2:3">
      <c r="B1045" s="2">
        <v>41577</v>
      </c>
      <c r="C1045">
        <v>86.184036656724004</v>
      </c>
    </row>
    <row r="1046" spans="2:3">
      <c r="B1046" s="2">
        <v>41578</v>
      </c>
      <c r="C1046">
        <v>86.104858767082433</v>
      </c>
    </row>
    <row r="1047" spans="2:3">
      <c r="B1047" s="2">
        <v>41579</v>
      </c>
      <c r="C1047">
        <v>87.539096562166137</v>
      </c>
    </row>
    <row r="1048" spans="2:3">
      <c r="B1048" s="2">
        <v>41582</v>
      </c>
      <c r="C1048">
        <v>87.459590460448595</v>
      </c>
    </row>
    <row r="1049" spans="2:3">
      <c r="B1049" s="2">
        <v>41583</v>
      </c>
      <c r="C1049">
        <v>88.746753957717502</v>
      </c>
    </row>
    <row r="1050" spans="2:3">
      <c r="B1050" s="2">
        <v>41584</v>
      </c>
      <c r="C1050">
        <v>88.670393661357139</v>
      </c>
    </row>
    <row r="1051" spans="2:3">
      <c r="B1051" s="2">
        <v>41585</v>
      </c>
      <c r="C1051">
        <v>86.002209716520355</v>
      </c>
    </row>
    <row r="1052" spans="2:3">
      <c r="B1052" s="2">
        <v>41586</v>
      </c>
      <c r="C1052">
        <v>90.018933429865598</v>
      </c>
    </row>
    <row r="1053" spans="2:3">
      <c r="B1053" s="2">
        <v>41590</v>
      </c>
      <c r="C1053">
        <v>89.181766693977195</v>
      </c>
    </row>
    <row r="1054" spans="2:3">
      <c r="B1054" s="2">
        <v>41591</v>
      </c>
      <c r="C1054">
        <v>87.309888713207528</v>
      </c>
    </row>
    <row r="1055" spans="2:3">
      <c r="B1055" s="2">
        <v>41592</v>
      </c>
      <c r="C1055">
        <v>86.199959303400689</v>
      </c>
    </row>
    <row r="1056" spans="2:3">
      <c r="B1056" s="2">
        <v>41593</v>
      </c>
      <c r="C1056">
        <v>84.817783827533418</v>
      </c>
    </row>
    <row r="1057" spans="2:3">
      <c r="B1057" s="2">
        <v>41596</v>
      </c>
      <c r="C1057">
        <v>84.464578158115259</v>
      </c>
    </row>
    <row r="1058" spans="2:3">
      <c r="B1058" s="2">
        <v>41597</v>
      </c>
      <c r="C1058">
        <v>84.467735599270611</v>
      </c>
    </row>
    <row r="1059" spans="2:3">
      <c r="B1059" s="2">
        <v>41598</v>
      </c>
      <c r="C1059">
        <v>83.181096874184874</v>
      </c>
    </row>
    <row r="1060" spans="2:3">
      <c r="B1060" s="2">
        <v>41599</v>
      </c>
      <c r="C1060">
        <v>82.898456493275901</v>
      </c>
    </row>
    <row r="1061" spans="2:3">
      <c r="B1061" s="2">
        <v>41600</v>
      </c>
      <c r="C1061">
        <v>81.758713947206857</v>
      </c>
    </row>
    <row r="1062" spans="2:3">
      <c r="B1062" s="2">
        <v>41611</v>
      </c>
      <c r="C1062">
        <v>74.359552990842175</v>
      </c>
    </row>
    <row r="1063" spans="2:3">
      <c r="B1063" s="2">
        <v>41612</v>
      </c>
      <c r="C1063">
        <v>74.311905288102935</v>
      </c>
    </row>
    <row r="1064" spans="2:3">
      <c r="B1064" s="2">
        <v>41613</v>
      </c>
      <c r="C1064">
        <v>73.004649539222143</v>
      </c>
    </row>
    <row r="1065" spans="2:3">
      <c r="B1065" s="2">
        <v>41614</v>
      </c>
      <c r="C1065">
        <v>72.17164673125896</v>
      </c>
    </row>
    <row r="1066" spans="2:3">
      <c r="B1066" s="2">
        <v>41617</v>
      </c>
      <c r="C1066">
        <v>72.09808362324469</v>
      </c>
    </row>
    <row r="1067" spans="2:3">
      <c r="B1067" s="2">
        <v>41618</v>
      </c>
      <c r="C1067">
        <v>72.491237186783763</v>
      </c>
    </row>
    <row r="1068" spans="2:3">
      <c r="B1068" s="2">
        <v>41619</v>
      </c>
      <c r="C1068">
        <v>73.283051933408117</v>
      </c>
    </row>
    <row r="1069" spans="2:3">
      <c r="B1069" s="2">
        <v>41620</v>
      </c>
      <c r="C1069">
        <v>72.959426589308848</v>
      </c>
    </row>
    <row r="1070" spans="2:3">
      <c r="B1070" s="2">
        <v>41621</v>
      </c>
      <c r="C1070">
        <v>72.914589118865536</v>
      </c>
    </row>
    <row r="1071" spans="2:3">
      <c r="B1071" s="2">
        <v>41624</v>
      </c>
      <c r="C1071">
        <v>62.459342645802742</v>
      </c>
    </row>
    <row r="1072" spans="2:3">
      <c r="B1072" s="2">
        <v>41625</v>
      </c>
      <c r="C1072">
        <v>62.711649619958507</v>
      </c>
    </row>
    <row r="1073" spans="2:3">
      <c r="B1073" s="2">
        <v>41626</v>
      </c>
      <c r="C1073">
        <v>63.257818579990207</v>
      </c>
    </row>
    <row r="1074" spans="2:3">
      <c r="B1074" s="2">
        <v>41627</v>
      </c>
      <c r="C1074">
        <v>63.600567152930651</v>
      </c>
    </row>
    <row r="1075" spans="2:3">
      <c r="B1075" s="2">
        <v>41628</v>
      </c>
      <c r="C1075">
        <v>63.897800308597276</v>
      </c>
    </row>
    <row r="1076" spans="2:3">
      <c r="B1076" s="2">
        <v>41631</v>
      </c>
      <c r="C1076">
        <v>63.23487944966719</v>
      </c>
    </row>
    <row r="1077" spans="2:3">
      <c r="B1077" s="2">
        <v>41632</v>
      </c>
      <c r="C1077">
        <v>64.396225081606033</v>
      </c>
    </row>
    <row r="1078" spans="2:3">
      <c r="B1078" s="2">
        <v>41634</v>
      </c>
      <c r="C1078">
        <v>64.031551307194306</v>
      </c>
    </row>
    <row r="1079" spans="2:3">
      <c r="B1079" s="2">
        <v>41635</v>
      </c>
      <c r="C1079">
        <v>64.039647839312082</v>
      </c>
    </row>
    <row r="1080" spans="2:3">
      <c r="B1080" s="2">
        <v>41638</v>
      </c>
      <c r="C1080">
        <v>64.475319854121665</v>
      </c>
    </row>
    <row r="1081" spans="2:3">
      <c r="B1081" s="2">
        <v>41639</v>
      </c>
      <c r="C1081">
        <v>64.489874135457839</v>
      </c>
    </row>
    <row r="1082" spans="2:3">
      <c r="B1082" s="2">
        <v>41641</v>
      </c>
      <c r="C1082">
        <v>64.23652410943977</v>
      </c>
    </row>
    <row r="1083" spans="2:3">
      <c r="B1083" s="2">
        <v>41642</v>
      </c>
      <c r="C1083">
        <v>64.04245338676624</v>
      </c>
    </row>
    <row r="1084" spans="2:3">
      <c r="B1084" s="2">
        <v>41645</v>
      </c>
      <c r="C1084">
        <v>64.365012749738341</v>
      </c>
    </row>
    <row r="1085" spans="2:3">
      <c r="B1085" s="2">
        <v>41646</v>
      </c>
      <c r="C1085">
        <v>64.793587419284819</v>
      </c>
    </row>
    <row r="1086" spans="2:3">
      <c r="B1086" s="2">
        <v>41647</v>
      </c>
      <c r="C1086">
        <v>65.589804272480407</v>
      </c>
    </row>
    <row r="1087" spans="2:3">
      <c r="B1087" s="2">
        <v>41648</v>
      </c>
      <c r="C1087">
        <v>65.764142991027086</v>
      </c>
    </row>
    <row r="1088" spans="2:3">
      <c r="B1088" s="2">
        <v>41649</v>
      </c>
      <c r="C1088">
        <v>69.291759946015858</v>
      </c>
    </row>
    <row r="1089" spans="2:3">
      <c r="B1089" s="2">
        <v>41652</v>
      </c>
      <c r="C1089">
        <v>69.481128994283722</v>
      </c>
    </row>
    <row r="1090" spans="2:3">
      <c r="B1090" s="2">
        <v>41653</v>
      </c>
      <c r="C1090">
        <v>69.778350069294717</v>
      </c>
    </row>
    <row r="1091" spans="2:3">
      <c r="B1091" s="2">
        <v>41654</v>
      </c>
      <c r="C1091">
        <v>67.071058520466693</v>
      </c>
    </row>
    <row r="1092" spans="2:3">
      <c r="B1092" s="2">
        <v>41655</v>
      </c>
      <c r="C1092">
        <v>67.609734525851849</v>
      </c>
    </row>
    <row r="1093" spans="2:3">
      <c r="B1093" s="2">
        <v>41656</v>
      </c>
      <c r="C1093">
        <v>67.656124165044844</v>
      </c>
    </row>
    <row r="1094" spans="2:3">
      <c r="B1094" s="2">
        <v>41660</v>
      </c>
      <c r="C1094">
        <v>64.437287408100701</v>
      </c>
    </row>
    <row r="1095" spans="2:3">
      <c r="B1095" s="2">
        <v>41661</v>
      </c>
      <c r="C1095">
        <v>64.743056402709499</v>
      </c>
    </row>
    <row r="1096" spans="2:3">
      <c r="B1096" s="2">
        <v>41662</v>
      </c>
      <c r="C1096">
        <v>65.807773315719118</v>
      </c>
    </row>
    <row r="1097" spans="2:3">
      <c r="B1097" s="2">
        <v>41663</v>
      </c>
      <c r="C1097">
        <v>66.26902863377056</v>
      </c>
    </row>
    <row r="1098" spans="2:3">
      <c r="B1098" s="2">
        <v>41666</v>
      </c>
      <c r="C1098">
        <v>66.740267064134017</v>
      </c>
    </row>
    <row r="1099" spans="2:3">
      <c r="B1099" s="2">
        <v>41667</v>
      </c>
      <c r="C1099">
        <v>66.780029389349451</v>
      </c>
    </row>
    <row r="1100" spans="2:3">
      <c r="B1100" s="2">
        <v>41668</v>
      </c>
      <c r="C1100">
        <v>67.813007731078557</v>
      </c>
    </row>
    <row r="1101" spans="2:3">
      <c r="B1101" s="2">
        <v>41669</v>
      </c>
      <c r="C1101">
        <v>67.74707130617368</v>
      </c>
    </row>
    <row r="1102" spans="2:3">
      <c r="B1102" s="2">
        <v>41670</v>
      </c>
      <c r="C1102">
        <v>66.224875521494127</v>
      </c>
    </row>
    <row r="1103" spans="2:3">
      <c r="B1103" s="2">
        <v>41673</v>
      </c>
      <c r="C1103">
        <v>67.653112988566562</v>
      </c>
    </row>
    <row r="1104" spans="2:3">
      <c r="B1104" s="2">
        <v>41674</v>
      </c>
      <c r="C1104">
        <v>66.470547902817074</v>
      </c>
    </row>
    <row r="1105" spans="2:3">
      <c r="B1105" s="2">
        <v>41675</v>
      </c>
      <c r="C1105">
        <v>67.112658872744134</v>
      </c>
    </row>
    <row r="1106" spans="2:3">
      <c r="B1106" s="2">
        <v>41676</v>
      </c>
      <c r="C1106">
        <v>67.214537142380323</v>
      </c>
    </row>
    <row r="1107" spans="2:3">
      <c r="B1107" s="2">
        <v>41677</v>
      </c>
      <c r="C1107">
        <v>62.398787756624699</v>
      </c>
    </row>
    <row r="1108" spans="2:3">
      <c r="B1108" s="2">
        <v>41680</v>
      </c>
      <c r="C1108">
        <v>62.395376491353858</v>
      </c>
    </row>
    <row r="1109" spans="2:3">
      <c r="B1109" s="2">
        <v>41681</v>
      </c>
      <c r="C1109">
        <v>62.485475731778948</v>
      </c>
    </row>
    <row r="1110" spans="2:3">
      <c r="B1110" s="2">
        <v>41682</v>
      </c>
      <c r="C1110">
        <v>62.338644812952751</v>
      </c>
    </row>
    <row r="1111" spans="2:3">
      <c r="B1111" s="2">
        <v>41683</v>
      </c>
      <c r="C1111">
        <v>62.907032492548055</v>
      </c>
    </row>
    <row r="1112" spans="2:3">
      <c r="B1112" s="2">
        <v>41684</v>
      </c>
      <c r="C1112">
        <v>62.595082437520276</v>
      </c>
    </row>
    <row r="1113" spans="2:3">
      <c r="B1113" s="2">
        <v>41688</v>
      </c>
      <c r="C1113">
        <v>62.393006450312214</v>
      </c>
    </row>
    <row r="1114" spans="2:3">
      <c r="B1114" s="2">
        <v>41689</v>
      </c>
      <c r="C1114">
        <v>60.834734223042574</v>
      </c>
    </row>
    <row r="1115" spans="2:3">
      <c r="B1115" s="2">
        <v>41690</v>
      </c>
      <c r="C1115">
        <v>60.955408938441224</v>
      </c>
    </row>
    <row r="1116" spans="2:3">
      <c r="B1116" s="2">
        <v>41691</v>
      </c>
      <c r="C1116">
        <v>60.995105289038939</v>
      </c>
    </row>
    <row r="1117" spans="2:3">
      <c r="B1117" s="2">
        <v>41694</v>
      </c>
      <c r="C1117">
        <v>61.004133944816253</v>
      </c>
    </row>
    <row r="1118" spans="2:3">
      <c r="B1118" s="2">
        <v>41695</v>
      </c>
      <c r="C1118">
        <v>61.952110232916354</v>
      </c>
    </row>
    <row r="1119" spans="2:3">
      <c r="B1119" s="2">
        <v>41696</v>
      </c>
      <c r="C1119">
        <v>61.276041870686925</v>
      </c>
    </row>
    <row r="1120" spans="2:3">
      <c r="B1120" s="2">
        <v>41697</v>
      </c>
      <c r="C1120">
        <v>61.464331178425233</v>
      </c>
    </row>
    <row r="1121" spans="2:3">
      <c r="B1121" s="2">
        <v>41698</v>
      </c>
      <c r="C1121">
        <v>59.877899466087058</v>
      </c>
    </row>
    <row r="1122" spans="2:3">
      <c r="B1122" s="2">
        <v>41701</v>
      </c>
      <c r="C1122">
        <v>60.076837890063651</v>
      </c>
    </row>
    <row r="1123" spans="2:3">
      <c r="B1123" s="2">
        <v>41702</v>
      </c>
      <c r="C1123">
        <v>60.877412520232653</v>
      </c>
    </row>
    <row r="1124" spans="2:3">
      <c r="B1124" s="2">
        <v>41703</v>
      </c>
      <c r="C1124">
        <v>60.792611789181372</v>
      </c>
    </row>
    <row r="1125" spans="2:3">
      <c r="B1125" s="2">
        <v>41704</v>
      </c>
      <c r="C1125">
        <v>60.929543845982671</v>
      </c>
    </row>
    <row r="1126" spans="2:3">
      <c r="B1126" s="2">
        <v>41705</v>
      </c>
      <c r="C1126">
        <v>61.144128067136506</v>
      </c>
    </row>
    <row r="1127" spans="2:3">
      <c r="B1127" s="2">
        <v>41708</v>
      </c>
      <c r="C1127">
        <v>60.680268557964567</v>
      </c>
    </row>
    <row r="1128" spans="2:3">
      <c r="B1128" s="2">
        <v>41709</v>
      </c>
      <c r="C1128">
        <v>59.742057348540776</v>
      </c>
    </row>
    <row r="1129" spans="2:3">
      <c r="B1129" s="2">
        <v>41710</v>
      </c>
      <c r="C1129">
        <v>59.847160676967562</v>
      </c>
    </row>
    <row r="1130" spans="2:3">
      <c r="B1130" s="2">
        <v>41711</v>
      </c>
      <c r="C1130">
        <v>60.965180510285919</v>
      </c>
    </row>
    <row r="1131" spans="2:3">
      <c r="B1131" s="2">
        <v>41712</v>
      </c>
      <c r="C1131">
        <v>61.069922986826029</v>
      </c>
    </row>
    <row r="1132" spans="2:3">
      <c r="B1132" s="2">
        <v>41715</v>
      </c>
      <c r="C1132">
        <v>61.86794588730293</v>
      </c>
    </row>
    <row r="1133" spans="2:3">
      <c r="B1133" s="2">
        <v>41716</v>
      </c>
      <c r="C1133">
        <v>61.349080722676497</v>
      </c>
    </row>
    <row r="1134" spans="2:3">
      <c r="B1134" s="2">
        <v>41717</v>
      </c>
      <c r="C1134">
        <v>62.723109563096756</v>
      </c>
    </row>
    <row r="1135" spans="2:3">
      <c r="B1135" s="2">
        <v>41718</v>
      </c>
      <c r="C1135">
        <v>61.240586548245112</v>
      </c>
    </row>
    <row r="1136" spans="2:3">
      <c r="B1136" s="2">
        <v>41719</v>
      </c>
      <c r="C1136">
        <v>61.427548654384246</v>
      </c>
    </row>
    <row r="1137" spans="2:3">
      <c r="B1137" s="2">
        <v>41722</v>
      </c>
      <c r="C1137">
        <v>59.722030502295134</v>
      </c>
    </row>
    <row r="1138" spans="2:3">
      <c r="B1138" s="2">
        <v>41723</v>
      </c>
      <c r="C1138">
        <v>59.71861366893387</v>
      </c>
    </row>
    <row r="1139" spans="2:3">
      <c r="B1139" s="2">
        <v>41724</v>
      </c>
      <c r="C1139">
        <v>59.982699018642037</v>
      </c>
    </row>
    <row r="1140" spans="2:3">
      <c r="B1140" s="2">
        <v>41725</v>
      </c>
      <c r="C1140">
        <v>59.690716353354176</v>
      </c>
    </row>
    <row r="1141" spans="2:3">
      <c r="B1141" s="2">
        <v>41726</v>
      </c>
      <c r="C1141">
        <v>59.812735025766194</v>
      </c>
    </row>
    <row r="1142" spans="2:3">
      <c r="B1142" s="2">
        <v>41729</v>
      </c>
      <c r="C1142">
        <v>59.908256862162787</v>
      </c>
    </row>
    <row r="1143" spans="2:3">
      <c r="B1143" s="2">
        <v>41730</v>
      </c>
      <c r="C1143">
        <v>60.176573166554057</v>
      </c>
    </row>
    <row r="1144" spans="2:3">
      <c r="B1144" s="2">
        <v>41731</v>
      </c>
      <c r="C1144">
        <v>60.39797740432077</v>
      </c>
    </row>
    <row r="1145" spans="2:3">
      <c r="B1145" s="2">
        <v>41732</v>
      </c>
      <c r="C1145">
        <v>60.191275398301222</v>
      </c>
    </row>
    <row r="1146" spans="2:3">
      <c r="B1146" s="2">
        <v>41733</v>
      </c>
      <c r="C1146">
        <v>60.084514926075272</v>
      </c>
    </row>
    <row r="1147" spans="2:3">
      <c r="B1147" s="2">
        <v>41736</v>
      </c>
      <c r="C1147">
        <v>60.314317908300993</v>
      </c>
    </row>
    <row r="1148" spans="2:3">
      <c r="B1148" s="2">
        <v>41737</v>
      </c>
      <c r="C1148">
        <v>56.777636200074745</v>
      </c>
    </row>
    <row r="1149" spans="2:3">
      <c r="B1149" s="2">
        <v>41738</v>
      </c>
      <c r="C1149">
        <v>56.049982479048765</v>
      </c>
    </row>
    <row r="1150" spans="2:3">
      <c r="B1150" s="2">
        <v>41739</v>
      </c>
      <c r="C1150">
        <v>56.004249138007523</v>
      </c>
    </row>
    <row r="1151" spans="2:3">
      <c r="B1151" s="2">
        <v>41740</v>
      </c>
      <c r="C1151">
        <v>55.932046697919482</v>
      </c>
    </row>
    <row r="1152" spans="2:3">
      <c r="B1152" s="2">
        <v>41743</v>
      </c>
      <c r="C1152">
        <v>55.739013131240114</v>
      </c>
    </row>
    <row r="1153" spans="2:3">
      <c r="B1153" s="2">
        <v>41744</v>
      </c>
      <c r="C1153">
        <v>55.613749839525141</v>
      </c>
    </row>
    <row r="1154" spans="2:3">
      <c r="B1154" s="2">
        <v>41745</v>
      </c>
      <c r="C1154">
        <v>55.682842614193952</v>
      </c>
    </row>
    <row r="1155" spans="2:3">
      <c r="B1155" s="2">
        <v>41746</v>
      </c>
      <c r="C1155">
        <v>55.956866221150094</v>
      </c>
    </row>
    <row r="1156" spans="2:3">
      <c r="B1156" s="2">
        <v>41750</v>
      </c>
      <c r="C1156">
        <v>54.89069657525539</v>
      </c>
    </row>
    <row r="1157" spans="2:3">
      <c r="B1157" s="2">
        <v>41751</v>
      </c>
      <c r="C1157">
        <v>54.150372051028171</v>
      </c>
    </row>
    <row r="1158" spans="2:3">
      <c r="B1158" s="2">
        <v>41752</v>
      </c>
      <c r="C1158">
        <v>54.201742508530792</v>
      </c>
    </row>
    <row r="1159" spans="2:3">
      <c r="B1159" s="2">
        <v>41753</v>
      </c>
      <c r="C1159">
        <v>54.177569086396772</v>
      </c>
    </row>
    <row r="1160" spans="2:3">
      <c r="B1160" s="2">
        <v>41754</v>
      </c>
      <c r="C1160">
        <v>53.239652943574796</v>
      </c>
    </row>
    <row r="1161" spans="2:3">
      <c r="B1161" s="2">
        <v>41757</v>
      </c>
      <c r="C1161">
        <v>53.221944720361904</v>
      </c>
    </row>
    <row r="1162" spans="2:3">
      <c r="B1162" s="2">
        <v>41758</v>
      </c>
      <c r="C1162">
        <v>53.041562736993257</v>
      </c>
    </row>
    <row r="1163" spans="2:3">
      <c r="B1163" s="2">
        <v>41759</v>
      </c>
      <c r="C1163">
        <v>51.925504173607941</v>
      </c>
    </row>
    <row r="1164" spans="2:3">
      <c r="B1164" s="2">
        <v>41760</v>
      </c>
      <c r="C1164">
        <v>51.938026332538278</v>
      </c>
    </row>
    <row r="1165" spans="2:3">
      <c r="B1165" s="2">
        <v>41761</v>
      </c>
      <c r="C1165">
        <v>51.032845981934805</v>
      </c>
    </row>
    <row r="1166" spans="2:3">
      <c r="B1166" s="2">
        <v>41764</v>
      </c>
      <c r="C1166">
        <v>50.89647401216051</v>
      </c>
    </row>
    <row r="1167" spans="2:3">
      <c r="B1167" s="2">
        <v>41765</v>
      </c>
      <c r="C1167">
        <v>50.526333718470781</v>
      </c>
    </row>
    <row r="1168" spans="2:3">
      <c r="B1168" s="2">
        <v>41766</v>
      </c>
      <c r="C1168">
        <v>50.876106945827779</v>
      </c>
    </row>
    <row r="1169" spans="2:3">
      <c r="B1169" s="2">
        <v>41767</v>
      </c>
      <c r="C1169">
        <v>50.142426029498978</v>
      </c>
    </row>
    <row r="1170" spans="2:3">
      <c r="B1170" s="2">
        <v>41768</v>
      </c>
      <c r="C1170">
        <v>49.684870270659538</v>
      </c>
    </row>
    <row r="1171" spans="2:3">
      <c r="B1171" s="2">
        <v>41771</v>
      </c>
      <c r="C1171">
        <v>49.448446235040869</v>
      </c>
    </row>
    <row r="1172" spans="2:3">
      <c r="B1172" s="2">
        <v>41772</v>
      </c>
      <c r="C1172">
        <v>49.254395106391271</v>
      </c>
    </row>
    <row r="1173" spans="2:3">
      <c r="B1173" s="2">
        <v>41773</v>
      </c>
      <c r="C1173">
        <v>51.334183723807847</v>
      </c>
    </row>
    <row r="1174" spans="2:3">
      <c r="B1174" s="2">
        <v>41774</v>
      </c>
      <c r="C1174">
        <v>51.207760862277006</v>
      </c>
    </row>
    <row r="1175" spans="2:3">
      <c r="B1175" s="2">
        <v>41775</v>
      </c>
      <c r="C1175">
        <v>51.380867417130474</v>
      </c>
    </row>
    <row r="1176" spans="2:3">
      <c r="B1176" s="2">
        <v>41778</v>
      </c>
      <c r="C1176">
        <v>51.493762221242569</v>
      </c>
    </row>
    <row r="1177" spans="2:3">
      <c r="B1177" s="2">
        <v>41779</v>
      </c>
      <c r="C1177">
        <v>51.84144193094432</v>
      </c>
    </row>
    <row r="1178" spans="2:3">
      <c r="B1178" s="2">
        <v>41780</v>
      </c>
      <c r="C1178">
        <v>50.875129285072816</v>
      </c>
    </row>
    <row r="1179" spans="2:3">
      <c r="B1179" s="2">
        <v>41781</v>
      </c>
      <c r="C1179">
        <v>50.934972902726614</v>
      </c>
    </row>
    <row r="1180" spans="2:3">
      <c r="B1180" s="2">
        <v>41782</v>
      </c>
      <c r="C1180">
        <v>50.737825901345033</v>
      </c>
    </row>
    <row r="1181" spans="2:3">
      <c r="B1181" s="2">
        <v>41786</v>
      </c>
      <c r="C1181">
        <v>50.74575537199464</v>
      </c>
    </row>
    <row r="1182" spans="2:3">
      <c r="B1182" s="2">
        <v>41787</v>
      </c>
      <c r="C1182">
        <v>53.569920317473894</v>
      </c>
    </row>
    <row r="1183" spans="2:3">
      <c r="B1183" s="2">
        <v>41788</v>
      </c>
      <c r="C1183">
        <v>51.55985620938187</v>
      </c>
    </row>
    <row r="1184" spans="2:3">
      <c r="B1184" s="2">
        <v>41789</v>
      </c>
      <c r="C1184">
        <v>51.611768381655629</v>
      </c>
    </row>
    <row r="1185" spans="2:3">
      <c r="B1185" s="2">
        <v>41792</v>
      </c>
      <c r="C1185">
        <v>53.846765547100084</v>
      </c>
    </row>
    <row r="1186" spans="2:3">
      <c r="B1186" s="2">
        <v>41793</v>
      </c>
      <c r="C1186">
        <v>54.377001379555267</v>
      </c>
    </row>
    <row r="1187" spans="2:3">
      <c r="B1187" s="2">
        <v>41794</v>
      </c>
      <c r="C1187">
        <v>54.345279402914045</v>
      </c>
    </row>
    <row r="1188" spans="2:3">
      <c r="B1188" s="2">
        <v>41795</v>
      </c>
      <c r="C1188">
        <v>54.542524575543418</v>
      </c>
    </row>
    <row r="1189" spans="2:3">
      <c r="B1189" s="2">
        <v>41796</v>
      </c>
      <c r="C1189">
        <v>54.223656234357897</v>
      </c>
    </row>
    <row r="1190" spans="2:3">
      <c r="B1190" s="2">
        <v>41799</v>
      </c>
      <c r="C1190">
        <v>53.006358204723156</v>
      </c>
    </row>
    <row r="1191" spans="2:3">
      <c r="B1191" s="2">
        <v>41800</v>
      </c>
      <c r="C1191">
        <v>53.109034744648675</v>
      </c>
    </row>
    <row r="1192" spans="2:3">
      <c r="B1192" s="2">
        <v>41801</v>
      </c>
      <c r="C1192">
        <v>51.855560858870845</v>
      </c>
    </row>
    <row r="1193" spans="2:3">
      <c r="B1193" s="2">
        <v>41802</v>
      </c>
      <c r="C1193">
        <v>52.478366283242082</v>
      </c>
    </row>
    <row r="1194" spans="2:3">
      <c r="B1194" s="2">
        <v>41803</v>
      </c>
      <c r="C1194">
        <v>49.899048356177637</v>
      </c>
    </row>
    <row r="1195" spans="2:3">
      <c r="B1195" s="2">
        <v>41806</v>
      </c>
      <c r="C1195">
        <v>49.80770319206821</v>
      </c>
    </row>
    <row r="1196" spans="2:3">
      <c r="B1196" s="2">
        <v>41807</v>
      </c>
      <c r="C1196">
        <v>50.875457191993057</v>
      </c>
    </row>
    <row r="1197" spans="2:3">
      <c r="B1197" s="2">
        <v>41808</v>
      </c>
      <c r="C1197">
        <v>51.441754347318245</v>
      </c>
    </row>
    <row r="1198" spans="2:3">
      <c r="B1198" s="2">
        <v>41809</v>
      </c>
      <c r="C1198">
        <v>51.491742634856116</v>
      </c>
    </row>
    <row r="1199" spans="2:3">
      <c r="B1199" s="2">
        <v>41810</v>
      </c>
      <c r="C1199">
        <v>51.192880948690046</v>
      </c>
    </row>
    <row r="1200" spans="2:3">
      <c r="B1200" s="2">
        <v>41813</v>
      </c>
      <c r="C1200">
        <v>51.132256680241106</v>
      </c>
    </row>
    <row r="1201" spans="2:3">
      <c r="B1201" s="2">
        <v>41814</v>
      </c>
      <c r="C1201">
        <v>50.975714355246836</v>
      </c>
    </row>
    <row r="1202" spans="2:3">
      <c r="B1202" s="2">
        <v>41815</v>
      </c>
      <c r="C1202">
        <v>50.962006462808773</v>
      </c>
    </row>
    <row r="1203" spans="2:3">
      <c r="B1203" s="2">
        <v>41816</v>
      </c>
      <c r="C1203">
        <v>50.7383891386635</v>
      </c>
    </row>
    <row r="1204" spans="2:3">
      <c r="B1204" s="2">
        <v>41817</v>
      </c>
      <c r="C1204">
        <v>50.113460085890125</v>
      </c>
    </row>
    <row r="1205" spans="2:3">
      <c r="B1205" s="2">
        <v>41820</v>
      </c>
      <c r="C1205">
        <v>50.009325324429064</v>
      </c>
    </row>
    <row r="1206" spans="2:3">
      <c r="B1206" s="2">
        <v>41821</v>
      </c>
      <c r="C1206">
        <v>50.244631807541062</v>
      </c>
    </row>
    <row r="1207" spans="2:3">
      <c r="B1207" s="2">
        <v>41822</v>
      </c>
      <c r="C1207">
        <v>50.886290450430891</v>
      </c>
    </row>
    <row r="1208" spans="2:3">
      <c r="B1208" s="2">
        <v>41823</v>
      </c>
      <c r="C1208">
        <v>50.991349842476133</v>
      </c>
    </row>
    <row r="1209" spans="2:3">
      <c r="B1209" s="2">
        <v>41827</v>
      </c>
      <c r="C1209">
        <v>51.06230564533432</v>
      </c>
    </row>
    <row r="1210" spans="2:3">
      <c r="B1210" s="2">
        <v>41828</v>
      </c>
      <c r="C1210">
        <v>50.081550617662671</v>
      </c>
    </row>
    <row r="1211" spans="2:3">
      <c r="B1211" s="2">
        <v>41829</v>
      </c>
      <c r="C1211">
        <v>50.150286001631819</v>
      </c>
    </row>
    <row r="1212" spans="2:3">
      <c r="B1212" s="2">
        <v>41830</v>
      </c>
      <c r="C1212">
        <v>49.952279506733063</v>
      </c>
    </row>
    <row r="1213" spans="2:3">
      <c r="B1213" s="2">
        <v>41831</v>
      </c>
      <c r="C1213">
        <v>50.00499959163183</v>
      </c>
    </row>
    <row r="1214" spans="2:3">
      <c r="B1214" s="2">
        <v>41834</v>
      </c>
      <c r="C1214">
        <v>50.539714059435994</v>
      </c>
    </row>
    <row r="1215" spans="2:3">
      <c r="B1215" s="2">
        <v>41835</v>
      </c>
      <c r="C1215">
        <v>49.07767575519199</v>
      </c>
    </row>
    <row r="1216" spans="2:3">
      <c r="B1216" s="2">
        <v>41836</v>
      </c>
      <c r="C1216">
        <v>48.976515393129247</v>
      </c>
    </row>
    <row r="1217" spans="2:3">
      <c r="B1217" s="2">
        <v>41837</v>
      </c>
      <c r="C1217">
        <v>49.977624542148092</v>
      </c>
    </row>
    <row r="1218" spans="2:3">
      <c r="B1218" s="2">
        <v>41838</v>
      </c>
      <c r="C1218">
        <v>49.261662754530455</v>
      </c>
    </row>
    <row r="1219" spans="2:3">
      <c r="B1219" s="2">
        <v>41841</v>
      </c>
      <c r="C1219">
        <v>49.258373637527839</v>
      </c>
    </row>
    <row r="1220" spans="2:3">
      <c r="B1220" s="2">
        <v>41842</v>
      </c>
      <c r="C1220">
        <v>49.127384315161081</v>
      </c>
    </row>
    <row r="1221" spans="2:3">
      <c r="B1221" s="2">
        <v>41843</v>
      </c>
      <c r="C1221">
        <v>49.191600384637709</v>
      </c>
    </row>
    <row r="1222" spans="2:3">
      <c r="B1222" s="2">
        <v>41844</v>
      </c>
      <c r="C1222">
        <v>50.181513213987294</v>
      </c>
    </row>
    <row r="1223" spans="2:3">
      <c r="B1223" s="2">
        <v>41845</v>
      </c>
      <c r="C1223">
        <v>50.125254843890318</v>
      </c>
    </row>
    <row r="1224" spans="2:3">
      <c r="B1224" s="2">
        <v>41848</v>
      </c>
      <c r="C1224">
        <v>49.607945830842098</v>
      </c>
    </row>
    <row r="1225" spans="2:3">
      <c r="B1225" s="2">
        <v>41849</v>
      </c>
      <c r="C1225">
        <v>49.753429685439315</v>
      </c>
    </row>
    <row r="1226" spans="2:3">
      <c r="B1226" s="2">
        <v>41850</v>
      </c>
      <c r="C1226">
        <v>52.623557669042931</v>
      </c>
    </row>
    <row r="1227" spans="2:3">
      <c r="B1227" s="2">
        <v>41851</v>
      </c>
      <c r="C1227">
        <v>52.494924824924013</v>
      </c>
    </row>
    <row r="1228" spans="2:3">
      <c r="B1228" s="2">
        <v>41852</v>
      </c>
      <c r="C1228">
        <v>53.018771216803451</v>
      </c>
    </row>
    <row r="1229" spans="2:3">
      <c r="B1229" s="2">
        <v>41855</v>
      </c>
      <c r="C1229">
        <v>53.04694341951889</v>
      </c>
    </row>
    <row r="1230" spans="2:3">
      <c r="B1230" s="2">
        <v>41856</v>
      </c>
      <c r="C1230">
        <v>52.459214513384232</v>
      </c>
    </row>
    <row r="1231" spans="2:3">
      <c r="B1231" s="2">
        <v>41857</v>
      </c>
      <c r="C1231">
        <v>52.12216764642492</v>
      </c>
    </row>
    <row r="1232" spans="2:3">
      <c r="B1232" s="2">
        <v>41858</v>
      </c>
      <c r="C1232">
        <v>52.405696608614029</v>
      </c>
    </row>
    <row r="1233" spans="2:3">
      <c r="B1233" s="2">
        <v>41859</v>
      </c>
      <c r="C1233">
        <v>50.124363457805401</v>
      </c>
    </row>
    <row r="1234" spans="2:3">
      <c r="B1234" s="2">
        <v>41862</v>
      </c>
      <c r="C1234">
        <v>50.044296272312607</v>
      </c>
    </row>
    <row r="1235" spans="2:3">
      <c r="B1235" s="2">
        <v>41863</v>
      </c>
      <c r="C1235">
        <v>49.75601386003116</v>
      </c>
    </row>
    <row r="1236" spans="2:3">
      <c r="B1236" s="2">
        <v>41864</v>
      </c>
      <c r="C1236">
        <v>50.001465655677769</v>
      </c>
    </row>
    <row r="1237" spans="2:3">
      <c r="B1237" s="2">
        <v>41865</v>
      </c>
      <c r="C1237">
        <v>49.701862495680075</v>
      </c>
    </row>
    <row r="1238" spans="2:3">
      <c r="B1238" s="2">
        <v>41866</v>
      </c>
      <c r="C1238">
        <v>50.508916943868428</v>
      </c>
    </row>
    <row r="1239" spans="2:3">
      <c r="B1239" s="2">
        <v>41869</v>
      </c>
      <c r="C1239">
        <v>51.362946645288652</v>
      </c>
    </row>
    <row r="1240" spans="2:3">
      <c r="B1240" s="2">
        <v>41870</v>
      </c>
      <c r="C1240">
        <v>51.616167128448339</v>
      </c>
    </row>
    <row r="1241" spans="2:3">
      <c r="B1241" s="2">
        <v>41871</v>
      </c>
      <c r="C1241">
        <v>51.59815113158924</v>
      </c>
    </row>
    <row r="1242" spans="2:3">
      <c r="B1242" s="2">
        <v>41872</v>
      </c>
      <c r="C1242">
        <v>48.449445192460381</v>
      </c>
    </row>
    <row r="1243" spans="2:3">
      <c r="B1243" s="2">
        <v>41873</v>
      </c>
      <c r="C1243">
        <v>48.165948174656108</v>
      </c>
    </row>
    <row r="1244" spans="2:3">
      <c r="B1244" s="2">
        <v>41876</v>
      </c>
      <c r="C1244">
        <v>48.200696933723329</v>
      </c>
    </row>
    <row r="1245" spans="2:3">
      <c r="B1245" s="2">
        <v>41877</v>
      </c>
      <c r="C1245">
        <v>45.651517016335653</v>
      </c>
    </row>
    <row r="1246" spans="2:3">
      <c r="B1246" s="2">
        <v>41878</v>
      </c>
      <c r="C1246">
        <v>44.681388954316176</v>
      </c>
    </row>
    <row r="1247" spans="2:3">
      <c r="B1247" s="2">
        <v>41879</v>
      </c>
      <c r="C1247">
        <v>44.809603158483554</v>
      </c>
    </row>
    <row r="1248" spans="2:3">
      <c r="B1248" s="2">
        <v>41880</v>
      </c>
      <c r="C1248">
        <v>44.573068947714468</v>
      </c>
    </row>
    <row r="1249" spans="2:3">
      <c r="B1249" s="2">
        <v>41884</v>
      </c>
      <c r="C1249">
        <v>45.918357373759626</v>
      </c>
    </row>
    <row r="1250" spans="2:3">
      <c r="B1250" s="2">
        <v>41885</v>
      </c>
      <c r="C1250">
        <v>45.795366899383815</v>
      </c>
    </row>
    <row r="1251" spans="2:3">
      <c r="B1251" s="2">
        <v>41886</v>
      </c>
      <c r="C1251">
        <v>45.941170118802823</v>
      </c>
    </row>
    <row r="1252" spans="2:3">
      <c r="B1252" s="2">
        <v>41887</v>
      </c>
      <c r="C1252">
        <v>46.080800862025391</v>
      </c>
    </row>
    <row r="1253" spans="2:3">
      <c r="B1253" s="2">
        <v>41890</v>
      </c>
      <c r="C1253">
        <v>45.168445121964666</v>
      </c>
    </row>
    <row r="1254" spans="2:3">
      <c r="B1254" s="2">
        <v>41891</v>
      </c>
      <c r="C1254">
        <v>45.424553695711083</v>
      </c>
    </row>
    <row r="1255" spans="2:3">
      <c r="B1255" s="2">
        <v>41892</v>
      </c>
      <c r="C1255">
        <v>45.945800497094034</v>
      </c>
    </row>
    <row r="1256" spans="2:3">
      <c r="B1256" s="2">
        <v>41893</v>
      </c>
      <c r="C1256">
        <v>44.486815134573078</v>
      </c>
    </row>
    <row r="1257" spans="2:3">
      <c r="B1257" s="2">
        <v>41894</v>
      </c>
      <c r="C1257">
        <v>45.593522100535218</v>
      </c>
    </row>
    <row r="1258" spans="2:3">
      <c r="B1258" s="2">
        <v>41897</v>
      </c>
      <c r="C1258">
        <v>45.68102736049768</v>
      </c>
    </row>
    <row r="1259" spans="2:3">
      <c r="B1259" s="2">
        <v>41898</v>
      </c>
      <c r="C1259">
        <v>45.679530374631447</v>
      </c>
    </row>
    <row r="1260" spans="2:3">
      <c r="B1260" s="2">
        <v>41899</v>
      </c>
      <c r="C1260">
        <v>45.684338694162903</v>
      </c>
    </row>
    <row r="1261" spans="2:3">
      <c r="B1261" s="2">
        <v>41900</v>
      </c>
      <c r="C1261">
        <v>45.440964994851271</v>
      </c>
    </row>
    <row r="1262" spans="2:3">
      <c r="B1262" s="2">
        <v>41901</v>
      </c>
      <c r="C1262">
        <v>46.098514985830811</v>
      </c>
    </row>
    <row r="1263" spans="2:3">
      <c r="B1263" s="2">
        <v>41904</v>
      </c>
      <c r="C1263">
        <v>45.945803065506908</v>
      </c>
    </row>
    <row r="1264" spans="2:3">
      <c r="B1264" s="2">
        <v>41905</v>
      </c>
      <c r="C1264">
        <v>46.255523822248058</v>
      </c>
    </row>
    <row r="1265" spans="2:3">
      <c r="B1265" s="2">
        <v>41906</v>
      </c>
      <c r="C1265">
        <v>46.447849387293815</v>
      </c>
    </row>
    <row r="1266" spans="2:3">
      <c r="B1266" s="2">
        <v>41907</v>
      </c>
      <c r="C1266">
        <v>46.185183689734721</v>
      </c>
    </row>
    <row r="1267" spans="2:3">
      <c r="B1267" s="2">
        <v>41908</v>
      </c>
      <c r="C1267">
        <v>45.296073915060234</v>
      </c>
    </row>
    <row r="1268" spans="2:3">
      <c r="B1268" s="2">
        <v>41911</v>
      </c>
      <c r="C1268">
        <v>45.223472343508035</v>
      </c>
    </row>
    <row r="1269" spans="2:3">
      <c r="B1269" s="2">
        <v>41912</v>
      </c>
      <c r="C1269">
        <v>45.258401482916398</v>
      </c>
    </row>
    <row r="1270" spans="2:3">
      <c r="B1270" s="2">
        <v>41913</v>
      </c>
      <c r="C1270">
        <v>48.273715628354374</v>
      </c>
    </row>
    <row r="1271" spans="2:3">
      <c r="B1271" s="2">
        <v>41914</v>
      </c>
      <c r="C1271">
        <v>48.359439816844514</v>
      </c>
    </row>
    <row r="1272" spans="2:3">
      <c r="B1272" s="2">
        <v>41915</v>
      </c>
      <c r="C1272">
        <v>48.257644093865096</v>
      </c>
    </row>
    <row r="1273" spans="2:3">
      <c r="B1273" s="2">
        <v>41918</v>
      </c>
      <c r="C1273">
        <v>48.312239953743592</v>
      </c>
    </row>
    <row r="1274" spans="2:3">
      <c r="B1274" s="2">
        <v>41919</v>
      </c>
      <c r="C1274">
        <v>49.444441935462606</v>
      </c>
    </row>
    <row r="1275" spans="2:3">
      <c r="B1275" s="2">
        <v>41920</v>
      </c>
      <c r="C1275">
        <v>50.316824348741015</v>
      </c>
    </row>
    <row r="1276" spans="2:3">
      <c r="B1276" s="2">
        <v>41921</v>
      </c>
      <c r="C1276">
        <v>50.312844763929107</v>
      </c>
    </row>
    <row r="1277" spans="2:3">
      <c r="B1277" s="2">
        <v>41922</v>
      </c>
      <c r="C1277">
        <v>49.311915749546372</v>
      </c>
    </row>
    <row r="1278" spans="2:3">
      <c r="B1278" s="2">
        <v>41926</v>
      </c>
      <c r="C1278">
        <v>52.465241796829851</v>
      </c>
    </row>
    <row r="1279" spans="2:3">
      <c r="B1279" s="2">
        <v>41927</v>
      </c>
      <c r="C1279">
        <v>57.061607779727773</v>
      </c>
    </row>
    <row r="1280" spans="2:3">
      <c r="B1280" s="2">
        <v>41928</v>
      </c>
      <c r="C1280">
        <v>60.263324948471165</v>
      </c>
    </row>
    <row r="1281" spans="2:3">
      <c r="B1281" s="2">
        <v>41929</v>
      </c>
      <c r="C1281">
        <v>60.349088567244515</v>
      </c>
    </row>
    <row r="1282" spans="2:3">
      <c r="B1282" s="2">
        <v>41932</v>
      </c>
      <c r="C1282">
        <v>59.372517080044126</v>
      </c>
    </row>
    <row r="1283" spans="2:3">
      <c r="B1283" s="2">
        <v>41933</v>
      </c>
      <c r="C1283">
        <v>59.06312246867973</v>
      </c>
    </row>
    <row r="1284" spans="2:3">
      <c r="B1284" s="2">
        <v>41934</v>
      </c>
      <c r="C1284">
        <v>59.057596032933027</v>
      </c>
    </row>
    <row r="1285" spans="2:3">
      <c r="B1285" s="2">
        <v>41935</v>
      </c>
      <c r="C1285">
        <v>59.681953297088242</v>
      </c>
    </row>
    <row r="1286" spans="2:3">
      <c r="B1286" s="2">
        <v>41936</v>
      </c>
      <c r="C1286">
        <v>56.958457165168483</v>
      </c>
    </row>
    <row r="1287" spans="2:3">
      <c r="B1287" s="2">
        <v>41939</v>
      </c>
      <c r="C1287">
        <v>56.915816854749259</v>
      </c>
    </row>
    <row r="1288" spans="2:3">
      <c r="B1288" s="2">
        <v>41940</v>
      </c>
      <c r="C1288">
        <v>56.511971369470061</v>
      </c>
    </row>
    <row r="1289" spans="2:3">
      <c r="B1289" s="2">
        <v>41941</v>
      </c>
      <c r="C1289">
        <v>57.083033586606838</v>
      </c>
    </row>
    <row r="1290" spans="2:3">
      <c r="B1290" s="2">
        <v>41942</v>
      </c>
      <c r="C1290">
        <v>57.189074183458523</v>
      </c>
    </row>
    <row r="1291" spans="2:3">
      <c r="B1291" s="2">
        <v>41943</v>
      </c>
      <c r="C1291">
        <v>57.413028960503887</v>
      </c>
    </row>
    <row r="1292" spans="2:3">
      <c r="B1292" s="2">
        <v>41946</v>
      </c>
      <c r="C1292">
        <v>57.620563376723354</v>
      </c>
    </row>
    <row r="1293" spans="2:3">
      <c r="B1293" s="2">
        <v>41947</v>
      </c>
      <c r="C1293">
        <v>57.603142498291568</v>
      </c>
    </row>
    <row r="1294" spans="2:3">
      <c r="B1294" s="2">
        <v>41948</v>
      </c>
      <c r="C1294">
        <v>57.546088028673822</v>
      </c>
    </row>
    <row r="1295" spans="2:3">
      <c r="B1295" s="2">
        <v>41949</v>
      </c>
      <c r="C1295">
        <v>57.530786654102464</v>
      </c>
    </row>
    <row r="1296" spans="2:3">
      <c r="B1296" s="2">
        <v>41950</v>
      </c>
      <c r="C1296">
        <v>58.08356403192456</v>
      </c>
    </row>
    <row r="1297" spans="2:3">
      <c r="B1297" s="2">
        <v>41953</v>
      </c>
      <c r="C1297">
        <v>58.454545477486441</v>
      </c>
    </row>
    <row r="1298" spans="2:3">
      <c r="B1298" s="2">
        <v>41955</v>
      </c>
      <c r="C1298">
        <v>57.715438620449142</v>
      </c>
    </row>
    <row r="1299" spans="2:3">
      <c r="B1299" s="2">
        <v>41956</v>
      </c>
      <c r="C1299">
        <v>56.913656542750999</v>
      </c>
    </row>
    <row r="1300" spans="2:3">
      <c r="B1300" s="2">
        <v>41957</v>
      </c>
      <c r="C1300">
        <v>57.049984406301668</v>
      </c>
    </row>
    <row r="1301" spans="2:3">
      <c r="B1301" s="2">
        <v>41960</v>
      </c>
      <c r="C1301">
        <v>56.913625569579615</v>
      </c>
    </row>
    <row r="1302" spans="2:3">
      <c r="B1302" s="2">
        <v>41961</v>
      </c>
      <c r="C1302">
        <v>56.744039381531167</v>
      </c>
    </row>
    <row r="1303" spans="2:3">
      <c r="B1303" s="2">
        <v>41962</v>
      </c>
      <c r="C1303">
        <v>56.961423892978281</v>
      </c>
    </row>
    <row r="1304" spans="2:3">
      <c r="B1304" s="2">
        <v>41963</v>
      </c>
      <c r="C1304">
        <v>57.059986256082709</v>
      </c>
    </row>
    <row r="1305" spans="2:3">
      <c r="B1305" s="2">
        <v>41964</v>
      </c>
      <c r="C1305">
        <v>57.125304731199719</v>
      </c>
    </row>
    <row r="1306" spans="2:3">
      <c r="B1306" s="2">
        <v>41967</v>
      </c>
      <c r="C1306">
        <v>56.864799858544387</v>
      </c>
    </row>
    <row r="1307" spans="2:3">
      <c r="B1307" s="2">
        <v>41968</v>
      </c>
      <c r="C1307">
        <v>57.74206960017014</v>
      </c>
    </row>
    <row r="1308" spans="2:3">
      <c r="B1308" s="2">
        <v>41969</v>
      </c>
      <c r="C1308">
        <v>57.780081864967102</v>
      </c>
    </row>
    <row r="1309" spans="2:3">
      <c r="B1309" s="2">
        <v>41971</v>
      </c>
      <c r="C1309">
        <v>57.010006804925126</v>
      </c>
    </row>
    <row r="1310" spans="2:3">
      <c r="B1310" s="2">
        <v>41974</v>
      </c>
      <c r="C1310">
        <v>57.171955665480766</v>
      </c>
    </row>
    <row r="1311" spans="2:3">
      <c r="B1311" s="2">
        <v>41975</v>
      </c>
      <c r="C1311">
        <v>58.444675944166988</v>
      </c>
    </row>
    <row r="1312" spans="2:3">
      <c r="B1312" s="2">
        <v>41976</v>
      </c>
      <c r="C1312">
        <v>58.355711433072479</v>
      </c>
    </row>
    <row r="1313" spans="2:3">
      <c r="B1313" s="2">
        <v>41977</v>
      </c>
      <c r="C1313">
        <v>58.539114424476978</v>
      </c>
    </row>
    <row r="1314" spans="2:3">
      <c r="B1314" s="2">
        <v>41978</v>
      </c>
      <c r="C1314">
        <v>59.305525733734363</v>
      </c>
    </row>
    <row r="1315" spans="2:3">
      <c r="B1315" s="2">
        <v>41981</v>
      </c>
      <c r="C1315">
        <v>59.328725662791967</v>
      </c>
    </row>
    <row r="1316" spans="2:3">
      <c r="B1316" s="2">
        <v>41982</v>
      </c>
      <c r="C1316">
        <v>59.424874585816553</v>
      </c>
    </row>
    <row r="1317" spans="2:3">
      <c r="B1317" s="2">
        <v>41983</v>
      </c>
      <c r="C1317">
        <v>57.96334917926518</v>
      </c>
    </row>
    <row r="1318" spans="2:3">
      <c r="B1318" s="2">
        <v>41984</v>
      </c>
      <c r="C1318">
        <v>58.038193216911239</v>
      </c>
    </row>
    <row r="1319" spans="2:3">
      <c r="B1319" s="2">
        <v>41985</v>
      </c>
      <c r="C1319">
        <v>59.108094688479582</v>
      </c>
    </row>
    <row r="1320" spans="2:3">
      <c r="B1320" s="2">
        <v>41988</v>
      </c>
      <c r="C1320">
        <v>59.525023188681125</v>
      </c>
    </row>
    <row r="1321" spans="2:3">
      <c r="B1321" s="2">
        <v>41989</v>
      </c>
      <c r="C1321">
        <v>59.798467572316113</v>
      </c>
    </row>
    <row r="1322" spans="2:3">
      <c r="B1322" s="2">
        <v>41990</v>
      </c>
      <c r="C1322">
        <v>60.515718462117199</v>
      </c>
    </row>
    <row r="1323" spans="2:3">
      <c r="B1323" s="2">
        <v>41991</v>
      </c>
      <c r="C1323">
        <v>60.74949734871803</v>
      </c>
    </row>
    <row r="1324" spans="2:3">
      <c r="B1324" s="2">
        <v>41992</v>
      </c>
      <c r="C1324">
        <v>60.742338377383255</v>
      </c>
    </row>
    <row r="1325" spans="2:3">
      <c r="B1325" s="2">
        <v>41995</v>
      </c>
      <c r="C1325">
        <v>60.38220942583893</v>
      </c>
    </row>
    <row r="1326" spans="2:3">
      <c r="B1326" s="2">
        <v>41996</v>
      </c>
      <c r="C1326">
        <v>62.713885383691292</v>
      </c>
    </row>
    <row r="1327" spans="2:3">
      <c r="B1327" s="2">
        <v>41997</v>
      </c>
      <c r="C1327">
        <v>62.534672319662434</v>
      </c>
    </row>
    <row r="1328" spans="2:3">
      <c r="B1328" s="2">
        <v>41999</v>
      </c>
      <c r="C1328">
        <v>62.493071977814864</v>
      </c>
    </row>
    <row r="1329" spans="2:3">
      <c r="B1329" s="2">
        <v>42002</v>
      </c>
      <c r="C1329">
        <v>62.558479309581138</v>
      </c>
    </row>
    <row r="1330" spans="2:3">
      <c r="B1330" s="2">
        <v>42003</v>
      </c>
      <c r="C1330">
        <v>60.12695787129941</v>
      </c>
    </row>
    <row r="1331" spans="2:3">
      <c r="B1331" s="2">
        <v>42004</v>
      </c>
      <c r="C1331">
        <v>60.018610875937128</v>
      </c>
    </row>
    <row r="1332" spans="2:3">
      <c r="B1332" s="2">
        <v>42006</v>
      </c>
      <c r="C1332">
        <v>60.629813571401726</v>
      </c>
    </row>
    <row r="1333" spans="2:3">
      <c r="B1333" s="2">
        <v>42009</v>
      </c>
      <c r="C1333">
        <v>62.929026896493234</v>
      </c>
    </row>
    <row r="1334" spans="2:3">
      <c r="B1334" s="2">
        <v>42010</v>
      </c>
      <c r="C1334">
        <v>63.548767879285748</v>
      </c>
    </row>
    <row r="1335" spans="2:3">
      <c r="B1335" s="2">
        <v>42011</v>
      </c>
      <c r="C1335">
        <v>62.998251028379229</v>
      </c>
    </row>
    <row r="1336" spans="2:3">
      <c r="B1336" s="2">
        <v>42012</v>
      </c>
      <c r="C1336">
        <v>64.117237931100362</v>
      </c>
    </row>
    <row r="1337" spans="2:3">
      <c r="B1337" s="2">
        <v>42013</v>
      </c>
      <c r="C1337">
        <v>64.326813188795654</v>
      </c>
    </row>
    <row r="1338" spans="2:3">
      <c r="B1338" s="2">
        <v>42016</v>
      </c>
      <c r="C1338">
        <v>62.646119468592644</v>
      </c>
    </row>
    <row r="1339" spans="2:3">
      <c r="B1339" s="2">
        <v>42017</v>
      </c>
      <c r="C1339">
        <v>58.454561456368793</v>
      </c>
    </row>
    <row r="1340" spans="2:3">
      <c r="B1340" s="2">
        <v>42018</v>
      </c>
      <c r="C1340">
        <v>57.77199750525709</v>
      </c>
    </row>
    <row r="1341" spans="2:3">
      <c r="B1341" s="2">
        <v>42019</v>
      </c>
      <c r="C1341">
        <v>57.822876747830762</v>
      </c>
    </row>
    <row r="1342" spans="2:3">
      <c r="B1342" s="2">
        <v>42020</v>
      </c>
      <c r="C1342">
        <v>61.015538366172947</v>
      </c>
    </row>
    <row r="1343" spans="2:3">
      <c r="B1343" s="2">
        <v>42024</v>
      </c>
      <c r="C1343">
        <v>60.887817852507453</v>
      </c>
    </row>
    <row r="1344" spans="2:3">
      <c r="B1344" s="2">
        <v>42025</v>
      </c>
      <c r="C1344">
        <v>61.874608082439018</v>
      </c>
    </row>
    <row r="1345" spans="2:3">
      <c r="B1345" s="2">
        <v>42026</v>
      </c>
      <c r="C1345">
        <v>61.188561331947753</v>
      </c>
    </row>
    <row r="1346" spans="2:3">
      <c r="B1346" s="2">
        <v>42027</v>
      </c>
      <c r="C1346">
        <v>61.707601907729057</v>
      </c>
    </row>
    <row r="1347" spans="2:3">
      <c r="B1347" s="2">
        <v>42030</v>
      </c>
      <c r="C1347">
        <v>62.06526758944122</v>
      </c>
    </row>
    <row r="1348" spans="2:3">
      <c r="B1348" s="2">
        <v>42031</v>
      </c>
      <c r="C1348">
        <v>61.788390965154214</v>
      </c>
    </row>
    <row r="1349" spans="2:3">
      <c r="B1349" s="2">
        <v>42032</v>
      </c>
      <c r="C1349">
        <v>62.85060053286734</v>
      </c>
    </row>
    <row r="1350" spans="2:3">
      <c r="B1350" s="2">
        <v>42033</v>
      </c>
      <c r="C1350">
        <v>62.862788817726589</v>
      </c>
    </row>
    <row r="1351" spans="2:3">
      <c r="B1351" s="2">
        <v>42034</v>
      </c>
      <c r="C1351">
        <v>63.472470941230718</v>
      </c>
    </row>
    <row r="1352" spans="2:3">
      <c r="B1352" s="2">
        <v>42037</v>
      </c>
      <c r="C1352">
        <v>62.73449524382643</v>
      </c>
    </row>
    <row r="1353" spans="2:3">
      <c r="B1353" s="2">
        <v>42038</v>
      </c>
      <c r="C1353">
        <v>65.985793325089105</v>
      </c>
    </row>
    <row r="1354" spans="2:3">
      <c r="B1354" s="2">
        <v>42039</v>
      </c>
      <c r="C1354">
        <v>66.373334788784774</v>
      </c>
    </row>
    <row r="1355" spans="2:3">
      <c r="B1355" s="2">
        <v>42040</v>
      </c>
      <c r="C1355">
        <v>66.295245452962874</v>
      </c>
    </row>
    <row r="1356" spans="2:3">
      <c r="B1356" s="2">
        <v>42041</v>
      </c>
      <c r="C1356">
        <v>70.374704761482448</v>
      </c>
    </row>
    <row r="1357" spans="2:3">
      <c r="B1357" s="2">
        <v>42044</v>
      </c>
      <c r="C1357">
        <v>69.958251966916237</v>
      </c>
    </row>
    <row r="1358" spans="2:3">
      <c r="B1358" s="2">
        <v>42045</v>
      </c>
      <c r="C1358">
        <v>71.207549595549125</v>
      </c>
    </row>
    <row r="1359" spans="2:3">
      <c r="B1359" s="2">
        <v>42046</v>
      </c>
      <c r="C1359">
        <v>71.19079773841969</v>
      </c>
    </row>
    <row r="1360" spans="2:3">
      <c r="B1360" s="2">
        <v>42047</v>
      </c>
      <c r="C1360">
        <v>70.949380321378442</v>
      </c>
    </row>
    <row r="1361" spans="2:3">
      <c r="B1361" s="2">
        <v>42048</v>
      </c>
      <c r="C1361">
        <v>71.12860817621106</v>
      </c>
    </row>
    <row r="1362" spans="2:3">
      <c r="B1362" s="2">
        <v>42052</v>
      </c>
      <c r="C1362">
        <v>75.538325944536183</v>
      </c>
    </row>
    <row r="1363" spans="2:3">
      <c r="B1363" s="2">
        <v>42053</v>
      </c>
      <c r="C1363">
        <v>76.232716031866971</v>
      </c>
    </row>
    <row r="1364" spans="2:3">
      <c r="B1364" s="2">
        <v>42054</v>
      </c>
      <c r="C1364">
        <v>76.344432621134487</v>
      </c>
    </row>
    <row r="1365" spans="2:3">
      <c r="B1365" s="2">
        <v>42055</v>
      </c>
      <c r="C1365">
        <v>76.398943161582153</v>
      </c>
    </row>
    <row r="1366" spans="2:3">
      <c r="B1366" s="2">
        <v>42058</v>
      </c>
      <c r="C1366">
        <v>76.865804245716205</v>
      </c>
    </row>
    <row r="1367" spans="2:3">
      <c r="B1367" s="2">
        <v>42059</v>
      </c>
      <c r="C1367">
        <v>77.01102868803855</v>
      </c>
    </row>
    <row r="1368" spans="2:3">
      <c r="B1368" s="2">
        <v>42060</v>
      </c>
      <c r="C1368">
        <v>77.049321545069731</v>
      </c>
    </row>
    <row r="1369" spans="2:3">
      <c r="B1369" s="2">
        <v>42061</v>
      </c>
      <c r="C1369">
        <v>77.123532795113547</v>
      </c>
    </row>
    <row r="1370" spans="2:3">
      <c r="B1370" s="2">
        <v>42062</v>
      </c>
      <c r="C1370">
        <v>77.215102800047717</v>
      </c>
    </row>
    <row r="1371" spans="2:3">
      <c r="B1371" s="2">
        <v>42065</v>
      </c>
      <c r="C1371">
        <v>76.955837048127663</v>
      </c>
    </row>
    <row r="1372" spans="2:3">
      <c r="B1372" s="2">
        <v>42066</v>
      </c>
      <c r="C1372">
        <v>77.475795016500953</v>
      </c>
    </row>
    <row r="1373" spans="2:3">
      <c r="B1373" s="2">
        <v>42067</v>
      </c>
      <c r="C1373">
        <v>77.275944592439828</v>
      </c>
    </row>
    <row r="1374" spans="2:3">
      <c r="B1374" s="2">
        <v>42068</v>
      </c>
      <c r="C1374">
        <v>76.487039499732774</v>
      </c>
    </row>
    <row r="1375" spans="2:3">
      <c r="B1375" s="2">
        <v>42069</v>
      </c>
      <c r="C1375">
        <v>79.57650001268351</v>
      </c>
    </row>
    <row r="1376" spans="2:3">
      <c r="B1376" s="2">
        <v>42072</v>
      </c>
      <c r="C1376">
        <v>79.649819440686272</v>
      </c>
    </row>
    <row r="1377" spans="2:3">
      <c r="B1377" s="2">
        <v>42073</v>
      </c>
      <c r="C1377">
        <v>80.162810677022961</v>
      </c>
    </row>
    <row r="1378" spans="2:3">
      <c r="B1378" s="2">
        <v>42074</v>
      </c>
      <c r="C1378">
        <v>80.210334342745227</v>
      </c>
    </row>
    <row r="1379" spans="2:3">
      <c r="B1379" s="2">
        <v>42075</v>
      </c>
      <c r="C1379">
        <v>79.217298019453551</v>
      </c>
    </row>
    <row r="1380" spans="2:3">
      <c r="B1380" s="2">
        <v>42076</v>
      </c>
      <c r="C1380">
        <v>79.082885273767545</v>
      </c>
    </row>
    <row r="1381" spans="2:3">
      <c r="B1381" s="2">
        <v>42079</v>
      </c>
      <c r="C1381">
        <v>78.618934814893706</v>
      </c>
    </row>
    <row r="1382" spans="2:3">
      <c r="B1382" s="2">
        <v>42080</v>
      </c>
      <c r="C1382">
        <v>78.161391845269463</v>
      </c>
    </row>
    <row r="1383" spans="2:3">
      <c r="B1383" s="2">
        <v>42081</v>
      </c>
      <c r="C1383">
        <v>80.757221422026404</v>
      </c>
    </row>
    <row r="1384" spans="2:3">
      <c r="B1384" s="2">
        <v>42082</v>
      </c>
      <c r="C1384">
        <v>80.725261759371335</v>
      </c>
    </row>
    <row r="1385" spans="2:3">
      <c r="B1385" s="2">
        <v>42083</v>
      </c>
      <c r="C1385">
        <v>81.045991207422759</v>
      </c>
    </row>
    <row r="1386" spans="2:3">
      <c r="B1386" s="2">
        <v>42086</v>
      </c>
      <c r="C1386">
        <v>79.024117196849303</v>
      </c>
    </row>
    <row r="1387" spans="2:3">
      <c r="B1387" s="2">
        <v>42087</v>
      </c>
      <c r="C1387">
        <v>79.515255444207085</v>
      </c>
    </row>
    <row r="1388" spans="2:3">
      <c r="B1388" s="2">
        <v>42088</v>
      </c>
      <c r="C1388">
        <v>80.376015491739579</v>
      </c>
    </row>
    <row r="1389" spans="2:3">
      <c r="B1389" s="2">
        <v>42089</v>
      </c>
      <c r="C1389">
        <v>82.318831210566827</v>
      </c>
    </row>
    <row r="1390" spans="2:3">
      <c r="B1390" s="2">
        <v>42090</v>
      </c>
      <c r="C1390">
        <v>83.118609410049842</v>
      </c>
    </row>
    <row r="1391" spans="2:3">
      <c r="B1391" s="2">
        <v>42093</v>
      </c>
      <c r="C1391">
        <v>83.056448449326609</v>
      </c>
    </row>
    <row r="1392" spans="2:3">
      <c r="B1392" s="2">
        <v>42094</v>
      </c>
      <c r="C1392">
        <v>82.702345884887848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809"/>
  <sheetViews>
    <sheetView workbookViewId="0">
      <selection activeCell="G2" sqref="G2"/>
    </sheetView>
  </sheetViews>
  <sheetFormatPr defaultRowHeight="15"/>
  <cols>
    <col min="2" max="2" width="14.42578125" bestFit="1" customWidth="1"/>
    <col min="3" max="3" width="10.7109375" bestFit="1" customWidth="1"/>
    <col min="4" max="4" width="5" bestFit="1" customWidth="1"/>
    <col min="5" max="5" width="9" bestFit="1" customWidth="1"/>
  </cols>
  <sheetData>
    <row r="1" spans="2:7">
      <c r="B1" t="s">
        <v>7</v>
      </c>
      <c r="C1" t="s">
        <v>8</v>
      </c>
      <c r="E1" t="s">
        <v>6</v>
      </c>
      <c r="F1" t="s">
        <v>9</v>
      </c>
      <c r="G1" t="s">
        <v>10</v>
      </c>
    </row>
    <row r="2" spans="2:7">
      <c r="B2" t="s">
        <v>2</v>
      </c>
      <c r="C2" s="2">
        <v>42094</v>
      </c>
      <c r="D2" t="s">
        <v>6</v>
      </c>
      <c r="E2">
        <v>2.030586</v>
      </c>
      <c r="F2">
        <f>E2-E3</f>
        <v>-2.436600000000011E-2</v>
      </c>
      <c r="G2">
        <f>STDEV(F2:F61)*SQRT(250)*100</f>
        <v>89.529750500052771</v>
      </c>
    </row>
    <row r="3" spans="2:7">
      <c r="B3" t="s">
        <v>2</v>
      </c>
      <c r="C3" s="2">
        <v>42093</v>
      </c>
      <c r="D3" t="s">
        <v>6</v>
      </c>
      <c r="E3">
        <v>2.0549520000000001</v>
      </c>
      <c r="F3">
        <f t="shared" ref="F3:F66" si="0">E3-E4</f>
        <v>1.8170000000000019E-2</v>
      </c>
      <c r="G3">
        <f t="shared" ref="G3:G66" si="1">STDEV(F3:F62)*SQRT(250)*100</f>
        <v>89.507529125639849</v>
      </c>
    </row>
    <row r="4" spans="2:7">
      <c r="B4" t="s">
        <v>2</v>
      </c>
      <c r="C4" s="2">
        <v>42090</v>
      </c>
      <c r="D4" t="s">
        <v>6</v>
      </c>
      <c r="E4">
        <v>2.0367820000000001</v>
      </c>
      <c r="F4">
        <f t="shared" si="0"/>
        <v>-6.4121000000000095E-2</v>
      </c>
      <c r="G4">
        <f t="shared" si="1"/>
        <v>89.383007912135682</v>
      </c>
    </row>
    <row r="5" spans="2:7">
      <c r="B5" t="s">
        <v>2</v>
      </c>
      <c r="C5" s="2">
        <v>42089</v>
      </c>
      <c r="D5" t="s">
        <v>6</v>
      </c>
      <c r="E5">
        <v>2.1009030000000002</v>
      </c>
      <c r="F5">
        <f t="shared" si="0"/>
        <v>8.9350000000000041E-2</v>
      </c>
      <c r="G5">
        <f t="shared" si="1"/>
        <v>90.813535021393847</v>
      </c>
    </row>
    <row r="6" spans="2:7">
      <c r="B6" t="s">
        <v>2</v>
      </c>
      <c r="C6" s="2">
        <v>42088</v>
      </c>
      <c r="D6" t="s">
        <v>6</v>
      </c>
      <c r="E6">
        <v>2.0115530000000001</v>
      </c>
      <c r="F6">
        <f t="shared" si="0"/>
        <v>3.9781000000000066E-2</v>
      </c>
      <c r="G6">
        <f t="shared" si="1"/>
        <v>88.794650627397985</v>
      </c>
    </row>
    <row r="7" spans="2:7">
      <c r="B7" t="s">
        <v>2</v>
      </c>
      <c r="C7" s="2">
        <v>42087</v>
      </c>
      <c r="D7" t="s">
        <v>6</v>
      </c>
      <c r="E7">
        <v>1.9717720000000001</v>
      </c>
      <c r="F7">
        <f t="shared" si="0"/>
        <v>-3.635900000000003E-2</v>
      </c>
      <c r="G7">
        <f t="shared" si="1"/>
        <v>88.370702987659868</v>
      </c>
    </row>
    <row r="8" spans="2:7">
      <c r="B8" t="s">
        <v>2</v>
      </c>
      <c r="C8" s="2">
        <v>42086</v>
      </c>
      <c r="D8" t="s">
        <v>6</v>
      </c>
      <c r="E8">
        <v>2.0081310000000001</v>
      </c>
      <c r="F8">
        <f t="shared" si="0"/>
        <v>-1.8628999999999785E-2</v>
      </c>
      <c r="G8">
        <f t="shared" si="1"/>
        <v>89.080121850189641</v>
      </c>
    </row>
    <row r="9" spans="2:7">
      <c r="B9" t="s">
        <v>2</v>
      </c>
      <c r="C9" s="2">
        <v>42083</v>
      </c>
      <c r="D9" t="s">
        <v>6</v>
      </c>
      <c r="E9">
        <v>2.0267599999999999</v>
      </c>
      <c r="F9">
        <f t="shared" si="0"/>
        <v>-2.9501000000000221E-2</v>
      </c>
      <c r="G9">
        <f t="shared" si="1"/>
        <v>90.517263679503259</v>
      </c>
    </row>
    <row r="10" spans="2:7">
      <c r="B10" t="s">
        <v>2</v>
      </c>
      <c r="C10" s="2">
        <v>42082</v>
      </c>
      <c r="D10" t="s">
        <v>6</v>
      </c>
      <c r="E10">
        <v>2.0562610000000001</v>
      </c>
      <c r="F10">
        <f t="shared" si="0"/>
        <v>1.6073000000000004E-2</v>
      </c>
      <c r="G10">
        <f t="shared" si="1"/>
        <v>90.821536276935362</v>
      </c>
    </row>
    <row r="11" spans="2:7">
      <c r="B11" t="s">
        <v>2</v>
      </c>
      <c r="C11" s="2">
        <v>42081</v>
      </c>
      <c r="D11" t="s">
        <v>6</v>
      </c>
      <c r="E11">
        <v>2.0401880000000001</v>
      </c>
      <c r="F11">
        <f t="shared" si="0"/>
        <v>-0.11973499999999992</v>
      </c>
      <c r="G11">
        <f t="shared" si="1"/>
        <v>90.826703448905832</v>
      </c>
    </row>
    <row r="12" spans="2:7">
      <c r="B12" t="s">
        <v>2</v>
      </c>
      <c r="C12" s="2">
        <v>42080</v>
      </c>
      <c r="D12" t="s">
        <v>6</v>
      </c>
      <c r="E12">
        <v>2.159923</v>
      </c>
      <c r="F12">
        <f t="shared" si="0"/>
        <v>-4.718499999999981E-2</v>
      </c>
      <c r="G12">
        <f t="shared" si="1"/>
        <v>88.742485069995141</v>
      </c>
    </row>
    <row r="13" spans="2:7">
      <c r="B13" t="s">
        <v>2</v>
      </c>
      <c r="C13" s="2">
        <v>42079</v>
      </c>
      <c r="D13" t="s">
        <v>6</v>
      </c>
      <c r="E13">
        <v>2.2071079999999998</v>
      </c>
      <c r="F13">
        <f t="shared" si="0"/>
        <v>-1.8579000000000345E-2</v>
      </c>
      <c r="G13">
        <f t="shared" si="1"/>
        <v>88.316877908952094</v>
      </c>
    </row>
    <row r="14" spans="2:7">
      <c r="B14" t="s">
        <v>2</v>
      </c>
      <c r="C14" s="2">
        <v>42076</v>
      </c>
      <c r="D14" t="s">
        <v>6</v>
      </c>
      <c r="E14">
        <v>2.2256870000000002</v>
      </c>
      <c r="F14">
        <f t="shared" si="0"/>
        <v>1.5929000000000304E-2</v>
      </c>
      <c r="G14">
        <f t="shared" si="1"/>
        <v>88.896451665552974</v>
      </c>
    </row>
    <row r="15" spans="2:7">
      <c r="B15" t="s">
        <v>2</v>
      </c>
      <c r="C15" s="2">
        <v>42075</v>
      </c>
      <c r="D15" t="s">
        <v>6</v>
      </c>
      <c r="E15">
        <v>2.2097579999999999</v>
      </c>
      <c r="F15">
        <f t="shared" si="0"/>
        <v>-1.8063000000000162E-2</v>
      </c>
      <c r="G15">
        <f t="shared" si="1"/>
        <v>89.129040837624245</v>
      </c>
    </row>
    <row r="16" spans="2:7">
      <c r="B16" t="s">
        <v>2</v>
      </c>
      <c r="C16" s="2">
        <v>42074</v>
      </c>
      <c r="D16" t="s">
        <v>6</v>
      </c>
      <c r="E16">
        <v>2.2278210000000001</v>
      </c>
      <c r="F16">
        <f t="shared" si="0"/>
        <v>-1.4340999999999937E-2</v>
      </c>
      <c r="G16">
        <f t="shared" si="1"/>
        <v>89.455796379460395</v>
      </c>
    </row>
    <row r="17" spans="2:7">
      <c r="B17" t="s">
        <v>2</v>
      </c>
      <c r="C17" s="2">
        <v>42073</v>
      </c>
      <c r="D17" t="s">
        <v>6</v>
      </c>
      <c r="E17">
        <v>2.242162</v>
      </c>
      <c r="F17">
        <f t="shared" si="0"/>
        <v>-6.0496000000000105E-2</v>
      </c>
      <c r="G17">
        <f t="shared" si="1"/>
        <v>89.934490928543525</v>
      </c>
    </row>
    <row r="18" spans="2:7">
      <c r="B18" t="s">
        <v>2</v>
      </c>
      <c r="C18" s="2">
        <v>42072</v>
      </c>
      <c r="D18" t="s">
        <v>6</v>
      </c>
      <c r="E18">
        <v>2.3026580000000001</v>
      </c>
      <c r="F18">
        <f t="shared" si="0"/>
        <v>-4.8159000000000063E-2</v>
      </c>
      <c r="G18">
        <f t="shared" si="1"/>
        <v>89.450217266472166</v>
      </c>
    </row>
    <row r="19" spans="2:7">
      <c r="B19" t="s">
        <v>2</v>
      </c>
      <c r="C19" s="2">
        <v>42069</v>
      </c>
      <c r="D19" t="s">
        <v>6</v>
      </c>
      <c r="E19">
        <v>2.3508170000000002</v>
      </c>
      <c r="F19">
        <f t="shared" si="0"/>
        <v>0.12290599999999996</v>
      </c>
      <c r="G19">
        <f t="shared" si="1"/>
        <v>88.932972900606316</v>
      </c>
    </row>
    <row r="20" spans="2:7">
      <c r="B20" t="s">
        <v>2</v>
      </c>
      <c r="C20" s="2">
        <v>42068</v>
      </c>
      <c r="D20" t="s">
        <v>6</v>
      </c>
      <c r="E20">
        <v>2.2279110000000002</v>
      </c>
      <c r="F20">
        <f t="shared" si="0"/>
        <v>-1.4291999999999749E-2</v>
      </c>
      <c r="G20">
        <f t="shared" si="1"/>
        <v>86.239778182283075</v>
      </c>
    </row>
    <row r="21" spans="2:7">
      <c r="B21" t="s">
        <v>2</v>
      </c>
      <c r="C21" s="2">
        <v>42067</v>
      </c>
      <c r="D21" t="s">
        <v>6</v>
      </c>
      <c r="E21">
        <v>2.2422029999999999</v>
      </c>
      <c r="F21">
        <f t="shared" si="0"/>
        <v>-2.2329999999999295E-3</v>
      </c>
      <c r="G21">
        <f t="shared" si="1"/>
        <v>86.37292113067727</v>
      </c>
    </row>
    <row r="22" spans="2:7">
      <c r="B22" t="s">
        <v>2</v>
      </c>
      <c r="C22" s="2">
        <v>42066</v>
      </c>
      <c r="D22" t="s">
        <v>6</v>
      </c>
      <c r="E22">
        <v>2.2444359999999999</v>
      </c>
      <c r="F22">
        <f t="shared" si="0"/>
        <v>4.0680999999999745E-2</v>
      </c>
      <c r="G22">
        <f t="shared" si="1"/>
        <v>86.698090889301511</v>
      </c>
    </row>
    <row r="23" spans="2:7">
      <c r="B23" t="s">
        <v>2</v>
      </c>
      <c r="C23" s="2">
        <v>42065</v>
      </c>
      <c r="D23" t="s">
        <v>6</v>
      </c>
      <c r="E23">
        <v>2.2037550000000001</v>
      </c>
      <c r="F23">
        <f t="shared" si="0"/>
        <v>7.9534999999999911E-2</v>
      </c>
      <c r="G23">
        <f t="shared" si="1"/>
        <v>86.369331825020126</v>
      </c>
    </row>
    <row r="24" spans="2:7">
      <c r="B24" t="s">
        <v>2</v>
      </c>
      <c r="C24" s="2">
        <v>42062</v>
      </c>
      <c r="D24" t="s">
        <v>6</v>
      </c>
      <c r="E24">
        <v>2.1242200000000002</v>
      </c>
      <c r="F24">
        <f t="shared" si="0"/>
        <v>-1.6150999999999804E-2</v>
      </c>
      <c r="G24">
        <f t="shared" si="1"/>
        <v>84.979643042591064</v>
      </c>
    </row>
    <row r="25" spans="2:7">
      <c r="B25" t="s">
        <v>2</v>
      </c>
      <c r="C25" s="2">
        <v>42061</v>
      </c>
      <c r="D25" t="s">
        <v>6</v>
      </c>
      <c r="E25">
        <v>2.140371</v>
      </c>
      <c r="F25">
        <f t="shared" si="0"/>
        <v>4.1841000000000239E-2</v>
      </c>
      <c r="G25">
        <f t="shared" si="1"/>
        <v>84.948576043085552</v>
      </c>
    </row>
    <row r="26" spans="2:7">
      <c r="B26" t="s">
        <v>2</v>
      </c>
      <c r="C26" s="2">
        <v>42060</v>
      </c>
      <c r="D26" t="s">
        <v>6</v>
      </c>
      <c r="E26">
        <v>2.0985299999999998</v>
      </c>
      <c r="F26">
        <f t="shared" si="0"/>
        <v>-2.0829000000000431E-2</v>
      </c>
      <c r="G26">
        <f t="shared" si="1"/>
        <v>84.446430298308812</v>
      </c>
    </row>
    <row r="27" spans="2:7">
      <c r="B27" t="s">
        <v>2</v>
      </c>
      <c r="C27" s="2">
        <v>42059</v>
      </c>
      <c r="D27" t="s">
        <v>6</v>
      </c>
      <c r="E27">
        <v>2.1193590000000002</v>
      </c>
      <c r="F27">
        <f t="shared" si="0"/>
        <v>-7.3801000000000005E-2</v>
      </c>
      <c r="G27">
        <f t="shared" si="1"/>
        <v>84.405676582771889</v>
      </c>
    </row>
    <row r="28" spans="2:7">
      <c r="B28" t="s">
        <v>2</v>
      </c>
      <c r="C28" s="2">
        <v>42058</v>
      </c>
      <c r="D28" t="s">
        <v>6</v>
      </c>
      <c r="E28">
        <v>2.1931600000000002</v>
      </c>
      <c r="F28">
        <f t="shared" si="0"/>
        <v>-6.6812999999999789E-2</v>
      </c>
      <c r="G28">
        <f t="shared" si="1"/>
        <v>83.435073618335338</v>
      </c>
    </row>
    <row r="29" spans="2:7">
      <c r="B29" t="s">
        <v>2</v>
      </c>
      <c r="C29" s="2">
        <v>42055</v>
      </c>
      <c r="D29" t="s">
        <v>6</v>
      </c>
      <c r="E29">
        <v>2.259973</v>
      </c>
      <c r="F29">
        <f t="shared" si="0"/>
        <v>1.4895999999999798E-2</v>
      </c>
      <c r="G29">
        <f t="shared" si="1"/>
        <v>82.489071355913708</v>
      </c>
    </row>
    <row r="30" spans="2:7">
      <c r="B30" t="s">
        <v>2</v>
      </c>
      <c r="C30" s="2">
        <v>42054</v>
      </c>
      <c r="D30" t="s">
        <v>6</v>
      </c>
      <c r="E30">
        <v>2.2450770000000002</v>
      </c>
      <c r="F30">
        <f t="shared" si="0"/>
        <v>5.0499000000000294E-2</v>
      </c>
      <c r="G30">
        <f t="shared" si="1"/>
        <v>82.528890084185363</v>
      </c>
    </row>
    <row r="31" spans="2:7">
      <c r="B31" t="s">
        <v>2</v>
      </c>
      <c r="C31" s="2">
        <v>42053</v>
      </c>
      <c r="D31" t="s">
        <v>6</v>
      </c>
      <c r="E31">
        <v>2.1945779999999999</v>
      </c>
      <c r="F31">
        <f t="shared" si="0"/>
        <v>-7.3288000000000242E-2</v>
      </c>
      <c r="G31">
        <f t="shared" si="1"/>
        <v>81.845210734515589</v>
      </c>
    </row>
    <row r="32" spans="2:7">
      <c r="B32" t="s">
        <v>2</v>
      </c>
      <c r="C32" s="2">
        <v>42052</v>
      </c>
      <c r="D32" t="s">
        <v>6</v>
      </c>
      <c r="E32">
        <v>2.2678660000000002</v>
      </c>
      <c r="F32">
        <f t="shared" si="0"/>
        <v>0.12229500000000026</v>
      </c>
      <c r="G32">
        <f t="shared" si="1"/>
        <v>80.674946380083711</v>
      </c>
    </row>
    <row r="33" spans="2:7">
      <c r="B33" t="s">
        <v>2</v>
      </c>
      <c r="C33" s="2">
        <v>42048</v>
      </c>
      <c r="D33" t="s">
        <v>6</v>
      </c>
      <c r="E33">
        <v>2.1455709999999999</v>
      </c>
      <c r="F33">
        <f t="shared" si="0"/>
        <v>3.0157999999999685E-2</v>
      </c>
      <c r="G33">
        <f t="shared" si="1"/>
        <v>76.320399013305376</v>
      </c>
    </row>
    <row r="34" spans="2:7">
      <c r="B34" t="s">
        <v>2</v>
      </c>
      <c r="C34" s="2">
        <v>42047</v>
      </c>
      <c r="D34" t="s">
        <v>6</v>
      </c>
      <c r="E34">
        <v>2.1154130000000002</v>
      </c>
      <c r="F34">
        <f t="shared" si="0"/>
        <v>-2.2039999999998727E-3</v>
      </c>
      <c r="G34">
        <f t="shared" si="1"/>
        <v>76.661025834624425</v>
      </c>
    </row>
    <row r="35" spans="2:7">
      <c r="B35" t="s">
        <v>2</v>
      </c>
      <c r="C35" s="2">
        <v>42046</v>
      </c>
      <c r="D35" t="s">
        <v>6</v>
      </c>
      <c r="E35">
        <v>2.1176170000000001</v>
      </c>
      <c r="F35">
        <f t="shared" si="0"/>
        <v>-1.2307999999999986E-2</v>
      </c>
      <c r="G35">
        <f t="shared" si="1"/>
        <v>77.697524701767577</v>
      </c>
    </row>
    <row r="36" spans="2:7">
      <c r="B36" t="s">
        <v>2</v>
      </c>
      <c r="C36" s="2">
        <v>42045</v>
      </c>
      <c r="D36" t="s">
        <v>6</v>
      </c>
      <c r="E36">
        <v>2.1299250000000001</v>
      </c>
      <c r="F36">
        <f t="shared" si="0"/>
        <v>4.4758999999999993E-2</v>
      </c>
      <c r="G36">
        <f t="shared" si="1"/>
        <v>77.887286077377851</v>
      </c>
    </row>
    <row r="37" spans="2:7">
      <c r="B37" t="s">
        <v>2</v>
      </c>
      <c r="C37" s="2">
        <v>42044</v>
      </c>
      <c r="D37" t="s">
        <v>6</v>
      </c>
      <c r="E37">
        <v>2.0851660000000001</v>
      </c>
      <c r="F37">
        <f t="shared" si="0"/>
        <v>1.0851999999999862E-2</v>
      </c>
      <c r="G37">
        <f t="shared" si="1"/>
        <v>77.272406974061411</v>
      </c>
    </row>
    <row r="38" spans="2:7">
      <c r="B38" t="s">
        <v>2</v>
      </c>
      <c r="C38" s="2">
        <v>42041</v>
      </c>
      <c r="D38" t="s">
        <v>6</v>
      </c>
      <c r="E38">
        <v>2.0743140000000002</v>
      </c>
      <c r="F38">
        <f t="shared" si="0"/>
        <v>0.12305100000000024</v>
      </c>
      <c r="G38">
        <f t="shared" si="1"/>
        <v>77.187708584937425</v>
      </c>
    </row>
    <row r="39" spans="2:7">
      <c r="B39" t="s">
        <v>2</v>
      </c>
      <c r="C39" s="2">
        <v>42040</v>
      </c>
      <c r="D39" t="s">
        <v>6</v>
      </c>
      <c r="E39">
        <v>1.951263</v>
      </c>
      <c r="F39">
        <f t="shared" si="0"/>
        <v>1.7447999999999908E-2</v>
      </c>
      <c r="G39">
        <f t="shared" si="1"/>
        <v>72.437733772205831</v>
      </c>
    </row>
    <row r="40" spans="2:7">
      <c r="B40" t="s">
        <v>2</v>
      </c>
      <c r="C40" s="2">
        <v>42039</v>
      </c>
      <c r="D40" t="s">
        <v>6</v>
      </c>
      <c r="E40">
        <v>1.9338150000000001</v>
      </c>
      <c r="F40">
        <f t="shared" si="0"/>
        <v>1.5981000000000023E-2</v>
      </c>
      <c r="G40">
        <f t="shared" si="1"/>
        <v>72.659257862232522</v>
      </c>
    </row>
    <row r="41" spans="2:7">
      <c r="B41" t="s">
        <v>2</v>
      </c>
      <c r="C41" s="2">
        <v>42038</v>
      </c>
      <c r="D41" t="s">
        <v>6</v>
      </c>
      <c r="E41">
        <v>1.917834</v>
      </c>
      <c r="F41">
        <f t="shared" si="0"/>
        <v>0.11628100000000008</v>
      </c>
      <c r="G41">
        <f t="shared" si="1"/>
        <v>72.486296463051431</v>
      </c>
    </row>
    <row r="42" spans="2:7">
      <c r="B42" t="s">
        <v>2</v>
      </c>
      <c r="C42" s="2">
        <v>42037</v>
      </c>
      <c r="D42" t="s">
        <v>6</v>
      </c>
      <c r="E42">
        <v>1.801553</v>
      </c>
      <c r="F42">
        <f t="shared" si="0"/>
        <v>-1.3716000000000061E-2</v>
      </c>
      <c r="G42">
        <f t="shared" si="1"/>
        <v>68.350445050109386</v>
      </c>
    </row>
    <row r="43" spans="2:7">
      <c r="B43" t="s">
        <v>2</v>
      </c>
      <c r="C43" s="2">
        <v>42034</v>
      </c>
      <c r="D43" t="s">
        <v>6</v>
      </c>
      <c r="E43">
        <v>1.815269</v>
      </c>
      <c r="F43">
        <f t="shared" si="0"/>
        <v>-7.3404000000000025E-2</v>
      </c>
      <c r="G43">
        <f t="shared" si="1"/>
        <v>68.65293225953738</v>
      </c>
    </row>
    <row r="44" spans="2:7">
      <c r="B44" t="s">
        <v>2</v>
      </c>
      <c r="C44" s="2">
        <v>42033</v>
      </c>
      <c r="D44" t="s">
        <v>6</v>
      </c>
      <c r="E44">
        <v>1.888673</v>
      </c>
      <c r="F44">
        <f t="shared" si="0"/>
        <v>2.7249999999999996E-2</v>
      </c>
      <c r="G44">
        <f t="shared" si="1"/>
        <v>67.379751736130629</v>
      </c>
    </row>
    <row r="45" spans="2:7">
      <c r="B45" t="s">
        <v>2</v>
      </c>
      <c r="C45" s="2">
        <v>42032</v>
      </c>
      <c r="D45" t="s">
        <v>6</v>
      </c>
      <c r="E45">
        <v>1.861423</v>
      </c>
      <c r="F45">
        <f t="shared" si="0"/>
        <v>-0.10646699999999987</v>
      </c>
      <c r="G45">
        <f t="shared" si="1"/>
        <v>66.993996125775496</v>
      </c>
    </row>
    <row r="46" spans="2:7">
      <c r="B46" t="s">
        <v>2</v>
      </c>
      <c r="C46" s="2">
        <v>42031</v>
      </c>
      <c r="D46" t="s">
        <v>6</v>
      </c>
      <c r="E46">
        <v>1.9678899999999999</v>
      </c>
      <c r="F46">
        <f t="shared" si="0"/>
        <v>-6.1626999999999876E-2</v>
      </c>
      <c r="G46">
        <f t="shared" si="1"/>
        <v>65.121274573704525</v>
      </c>
    </row>
    <row r="47" spans="2:7">
      <c r="B47" t="s">
        <v>2</v>
      </c>
      <c r="C47" s="2">
        <v>42026</v>
      </c>
      <c r="D47" t="s">
        <v>6</v>
      </c>
      <c r="E47">
        <v>2.0295169999999998</v>
      </c>
      <c r="F47">
        <f t="shared" si="0"/>
        <v>4.2366999999999821E-2</v>
      </c>
      <c r="G47">
        <f t="shared" si="1"/>
        <v>64.295605935477212</v>
      </c>
    </row>
    <row r="48" spans="2:7">
      <c r="B48" t="s">
        <v>2</v>
      </c>
      <c r="C48" s="2">
        <v>42025</v>
      </c>
      <c r="D48" t="s">
        <v>6</v>
      </c>
      <c r="E48">
        <v>1.98715</v>
      </c>
      <c r="F48">
        <f t="shared" si="0"/>
        <v>5.3078999999999876E-2</v>
      </c>
      <c r="G48">
        <f t="shared" si="1"/>
        <v>63.791055569615217</v>
      </c>
    </row>
    <row r="49" spans="2:7">
      <c r="B49" t="s">
        <v>2</v>
      </c>
      <c r="C49" s="2">
        <v>42024</v>
      </c>
      <c r="D49" t="s">
        <v>6</v>
      </c>
      <c r="E49">
        <v>1.9340710000000001</v>
      </c>
      <c r="F49">
        <f t="shared" si="0"/>
        <v>4.3530000000000513E-3</v>
      </c>
      <c r="G49">
        <f t="shared" si="1"/>
        <v>62.805892769310624</v>
      </c>
    </row>
    <row r="50" spans="2:7">
      <c r="B50" t="s">
        <v>2</v>
      </c>
      <c r="C50" s="2">
        <v>42020</v>
      </c>
      <c r="D50" t="s">
        <v>6</v>
      </c>
      <c r="E50">
        <v>1.929718</v>
      </c>
      <c r="F50">
        <f t="shared" si="0"/>
        <v>3.8714000000000137E-2</v>
      </c>
      <c r="G50">
        <f t="shared" si="1"/>
        <v>63.42200200920206</v>
      </c>
    </row>
    <row r="51" spans="2:7">
      <c r="B51" t="s">
        <v>2</v>
      </c>
      <c r="C51" s="2">
        <v>42019</v>
      </c>
      <c r="D51" t="s">
        <v>6</v>
      </c>
      <c r="E51">
        <v>1.8910039999999999</v>
      </c>
      <c r="F51">
        <f t="shared" si="0"/>
        <v>-5.7251000000000163E-2</v>
      </c>
      <c r="G51">
        <f t="shared" si="1"/>
        <v>64.556691973106851</v>
      </c>
    </row>
    <row r="52" spans="2:7">
      <c r="B52" t="s">
        <v>2</v>
      </c>
      <c r="C52" s="2">
        <v>42018</v>
      </c>
      <c r="D52" t="s">
        <v>6</v>
      </c>
      <c r="E52">
        <v>1.9482550000000001</v>
      </c>
      <c r="F52">
        <f t="shared" si="0"/>
        <v>-5.4638999999999882E-2</v>
      </c>
      <c r="G52">
        <f t="shared" si="1"/>
        <v>66.431239726238559</v>
      </c>
    </row>
    <row r="53" spans="2:7">
      <c r="B53" t="s">
        <v>2</v>
      </c>
      <c r="C53" s="2">
        <v>42017</v>
      </c>
      <c r="D53" t="s">
        <v>6</v>
      </c>
      <c r="E53">
        <v>2.002894</v>
      </c>
      <c r="F53">
        <f t="shared" si="0"/>
        <v>-2.1780999999999828E-2</v>
      </c>
      <c r="G53">
        <f t="shared" si="1"/>
        <v>68.107841235374238</v>
      </c>
    </row>
    <row r="54" spans="2:7">
      <c r="B54" t="s">
        <v>2</v>
      </c>
      <c r="C54" s="2">
        <v>42016</v>
      </c>
      <c r="D54" t="s">
        <v>6</v>
      </c>
      <c r="E54">
        <v>2.0246749999999998</v>
      </c>
      <c r="F54">
        <f t="shared" si="0"/>
        <v>-6.4466000000000356E-2</v>
      </c>
      <c r="G54">
        <f t="shared" si="1"/>
        <v>68.191429621066277</v>
      </c>
    </row>
    <row r="55" spans="2:7">
      <c r="B55" t="s">
        <v>2</v>
      </c>
      <c r="C55" s="2">
        <v>42013</v>
      </c>
      <c r="D55" t="s">
        <v>6</v>
      </c>
      <c r="E55">
        <v>2.0891410000000001</v>
      </c>
      <c r="F55">
        <f t="shared" si="0"/>
        <v>2.4278000000000244E-2</v>
      </c>
      <c r="G55">
        <f t="shared" si="1"/>
        <v>67.157466797963977</v>
      </c>
    </row>
    <row r="56" spans="2:7">
      <c r="B56" t="s">
        <v>2</v>
      </c>
      <c r="C56" s="2">
        <v>42010</v>
      </c>
      <c r="D56" t="s">
        <v>6</v>
      </c>
      <c r="E56">
        <v>2.0648629999999999</v>
      </c>
      <c r="F56">
        <f t="shared" si="0"/>
        <v>-8.231400000000022E-2</v>
      </c>
      <c r="G56">
        <f t="shared" si="1"/>
        <v>67.157585544703807</v>
      </c>
    </row>
    <row r="57" spans="2:7">
      <c r="B57" t="s">
        <v>2</v>
      </c>
      <c r="C57" s="2">
        <v>42009</v>
      </c>
      <c r="D57" t="s">
        <v>6</v>
      </c>
      <c r="E57">
        <v>2.1471770000000001</v>
      </c>
      <c r="F57">
        <f t="shared" si="0"/>
        <v>-9.0873999999999899E-2</v>
      </c>
      <c r="G57">
        <f t="shared" si="1"/>
        <v>66.615585858558319</v>
      </c>
    </row>
    <row r="58" spans="2:7">
      <c r="B58" t="s">
        <v>2</v>
      </c>
      <c r="C58" s="2">
        <v>42006</v>
      </c>
      <c r="D58" t="s">
        <v>6</v>
      </c>
      <c r="E58">
        <v>2.238051</v>
      </c>
      <c r="F58">
        <f t="shared" si="0"/>
        <v>-4.7270999999999841E-2</v>
      </c>
      <c r="G58">
        <f t="shared" si="1"/>
        <v>64.365354318092926</v>
      </c>
    </row>
    <row r="59" spans="2:7">
      <c r="B59" t="s">
        <v>2</v>
      </c>
      <c r="C59" s="2">
        <v>42004</v>
      </c>
      <c r="D59" t="s">
        <v>6</v>
      </c>
      <c r="E59">
        <v>2.2853219999999999</v>
      </c>
      <c r="F59">
        <f t="shared" si="0"/>
        <v>-1.6418999999999961E-2</v>
      </c>
      <c r="G59">
        <f t="shared" si="1"/>
        <v>63.928326838323066</v>
      </c>
    </row>
    <row r="60" spans="2:7">
      <c r="B60" t="s">
        <v>2</v>
      </c>
      <c r="C60" s="2">
        <v>42003</v>
      </c>
      <c r="D60" t="s">
        <v>6</v>
      </c>
      <c r="E60">
        <v>2.3017409999999998</v>
      </c>
      <c r="F60">
        <f t="shared" si="0"/>
        <v>-1.8159000000000258E-2</v>
      </c>
      <c r="G60">
        <f t="shared" si="1"/>
        <v>64.268217199807779</v>
      </c>
    </row>
    <row r="61" spans="2:7">
      <c r="B61" t="s">
        <v>2</v>
      </c>
      <c r="C61" s="2">
        <v>42002</v>
      </c>
      <c r="D61" t="s">
        <v>6</v>
      </c>
      <c r="E61">
        <v>2.3199000000000001</v>
      </c>
      <c r="F61">
        <f t="shared" si="0"/>
        <v>-4.292399999999974E-2</v>
      </c>
      <c r="G61">
        <f t="shared" si="1"/>
        <v>66.999497333597986</v>
      </c>
    </row>
    <row r="62" spans="2:7">
      <c r="B62" t="s">
        <v>2</v>
      </c>
      <c r="C62" s="2">
        <v>41999</v>
      </c>
      <c r="D62" t="s">
        <v>6</v>
      </c>
      <c r="E62">
        <v>2.3628239999999998</v>
      </c>
      <c r="F62">
        <f t="shared" si="0"/>
        <v>-2.1685000000000176E-2</v>
      </c>
      <c r="G62">
        <f t="shared" si="1"/>
        <v>66.66253468683054</v>
      </c>
    </row>
    <row r="63" spans="2:7">
      <c r="B63" t="s">
        <v>2</v>
      </c>
      <c r="C63" s="2">
        <v>41997</v>
      </c>
      <c r="D63" t="s">
        <v>6</v>
      </c>
      <c r="E63">
        <v>2.384509</v>
      </c>
      <c r="F63">
        <f t="shared" si="0"/>
        <v>7.7300000000013469E-4</v>
      </c>
      <c r="G63">
        <f t="shared" si="1"/>
        <v>66.690208039764045</v>
      </c>
    </row>
    <row r="64" spans="2:7">
      <c r="B64" t="s">
        <v>2</v>
      </c>
      <c r="C64" s="2">
        <v>41996</v>
      </c>
      <c r="D64" t="s">
        <v>6</v>
      </c>
      <c r="E64">
        <v>2.3837359999999999</v>
      </c>
      <c r="F64">
        <f t="shared" si="0"/>
        <v>9.3726999999999894E-2</v>
      </c>
      <c r="G64">
        <f t="shared" si="1"/>
        <v>66.862797374813113</v>
      </c>
    </row>
    <row r="65" spans="2:7">
      <c r="B65" t="s">
        <v>2</v>
      </c>
      <c r="C65" s="2">
        <v>41995</v>
      </c>
      <c r="D65" t="s">
        <v>6</v>
      </c>
      <c r="E65">
        <v>2.290009</v>
      </c>
      <c r="F65">
        <f t="shared" si="0"/>
        <v>-1.6823000000000032E-2</v>
      </c>
      <c r="G65">
        <f t="shared" si="1"/>
        <v>64.401070559955485</v>
      </c>
    </row>
    <row r="66" spans="2:7">
      <c r="B66" t="s">
        <v>2</v>
      </c>
      <c r="C66" s="2">
        <v>41992</v>
      </c>
      <c r="D66" t="s">
        <v>6</v>
      </c>
      <c r="E66">
        <v>2.306832</v>
      </c>
      <c r="F66">
        <f t="shared" si="0"/>
        <v>-2.1926999999999808E-2</v>
      </c>
      <c r="G66">
        <f t="shared" si="1"/>
        <v>65.09016386943685</v>
      </c>
    </row>
    <row r="67" spans="2:7">
      <c r="B67" t="s">
        <v>2</v>
      </c>
      <c r="C67" s="2">
        <v>41991</v>
      </c>
      <c r="D67" t="s">
        <v>6</v>
      </c>
      <c r="E67">
        <v>2.3287589999999998</v>
      </c>
      <c r="F67">
        <f t="shared" ref="F67:F130" si="2">E67-E68</f>
        <v>5.7633999999999741E-2</v>
      </c>
      <c r="G67">
        <f t="shared" ref="G67:G130" si="3">STDEV(F67:F126)*SQRT(250)*100</f>
        <v>65.221242922171101</v>
      </c>
    </row>
    <row r="68" spans="2:7">
      <c r="B68" t="s">
        <v>2</v>
      </c>
      <c r="C68" s="2">
        <v>41990</v>
      </c>
      <c r="D68" t="s">
        <v>6</v>
      </c>
      <c r="E68">
        <v>2.2711250000000001</v>
      </c>
      <c r="F68">
        <f t="shared" si="2"/>
        <v>7.588600000000012E-2</v>
      </c>
      <c r="G68">
        <f t="shared" si="3"/>
        <v>64.121296219349617</v>
      </c>
    </row>
    <row r="69" spans="2:7">
      <c r="B69" t="s">
        <v>2</v>
      </c>
      <c r="C69" s="2">
        <v>41989</v>
      </c>
      <c r="D69" t="s">
        <v>6</v>
      </c>
      <c r="E69">
        <v>2.1952389999999999</v>
      </c>
      <c r="F69">
        <f t="shared" si="2"/>
        <v>-4.7754999999999992E-2</v>
      </c>
      <c r="G69">
        <f t="shared" si="3"/>
        <v>62.184252580463017</v>
      </c>
    </row>
    <row r="70" spans="2:7">
      <c r="B70" t="s">
        <v>2</v>
      </c>
      <c r="C70" s="2">
        <v>41988</v>
      </c>
      <c r="D70" t="s">
        <v>6</v>
      </c>
      <c r="E70">
        <v>2.2429939999999999</v>
      </c>
      <c r="F70">
        <f t="shared" si="2"/>
        <v>1.6642000000000046E-2</v>
      </c>
      <c r="G70">
        <f t="shared" si="3"/>
        <v>62.101785852501166</v>
      </c>
    </row>
    <row r="71" spans="2:7">
      <c r="B71" t="s">
        <v>2</v>
      </c>
      <c r="C71" s="2">
        <v>41985</v>
      </c>
      <c r="D71" t="s">
        <v>6</v>
      </c>
      <c r="E71">
        <v>2.2263519999999999</v>
      </c>
      <c r="F71">
        <f t="shared" si="2"/>
        <v>-7.2440999999999978E-2</v>
      </c>
      <c r="G71">
        <f t="shared" si="3"/>
        <v>61.984972008439321</v>
      </c>
    </row>
    <row r="72" spans="2:7">
      <c r="B72" t="s">
        <v>2</v>
      </c>
      <c r="C72" s="2">
        <v>41984</v>
      </c>
      <c r="D72" t="s">
        <v>6</v>
      </c>
      <c r="E72">
        <v>2.2987929999999999</v>
      </c>
      <c r="F72">
        <f t="shared" si="2"/>
        <v>1.4987000000000084E-2</v>
      </c>
      <c r="G72">
        <f t="shared" si="3"/>
        <v>60.56570939175996</v>
      </c>
    </row>
    <row r="73" spans="2:7">
      <c r="B73" t="s">
        <v>2</v>
      </c>
      <c r="C73" s="2">
        <v>41983</v>
      </c>
      <c r="D73" t="s">
        <v>6</v>
      </c>
      <c r="E73">
        <v>2.2838059999999998</v>
      </c>
      <c r="F73">
        <f t="shared" si="2"/>
        <v>-5.3659000000000123E-2</v>
      </c>
      <c r="G73">
        <f t="shared" si="3"/>
        <v>60.410829087895046</v>
      </c>
    </row>
    <row r="74" spans="2:7">
      <c r="B74" t="s">
        <v>2</v>
      </c>
      <c r="C74" s="2">
        <v>41982</v>
      </c>
      <c r="D74" t="s">
        <v>6</v>
      </c>
      <c r="E74">
        <v>2.3374649999999999</v>
      </c>
      <c r="F74">
        <f t="shared" si="2"/>
        <v>-3.851199999999988E-2</v>
      </c>
      <c r="G74">
        <f t="shared" si="3"/>
        <v>62.304414166941136</v>
      </c>
    </row>
    <row r="75" spans="2:7">
      <c r="B75" t="s">
        <v>2</v>
      </c>
      <c r="C75" s="2">
        <v>41981</v>
      </c>
      <c r="D75" t="s">
        <v>6</v>
      </c>
      <c r="E75">
        <v>2.3759769999999998</v>
      </c>
      <c r="F75">
        <f t="shared" si="2"/>
        <v>-4.3037000000000436E-2</v>
      </c>
      <c r="G75">
        <f t="shared" si="3"/>
        <v>61.925913144336334</v>
      </c>
    </row>
    <row r="76" spans="2:7">
      <c r="B76" t="s">
        <v>2</v>
      </c>
      <c r="C76" s="2">
        <v>41978</v>
      </c>
      <c r="D76" t="s">
        <v>6</v>
      </c>
      <c r="E76">
        <v>2.4190140000000002</v>
      </c>
      <c r="F76">
        <f t="shared" si="2"/>
        <v>4.379600000000039E-2</v>
      </c>
      <c r="G76">
        <f t="shared" si="3"/>
        <v>62.154677184456141</v>
      </c>
    </row>
    <row r="77" spans="2:7">
      <c r="B77" t="s">
        <v>2</v>
      </c>
      <c r="C77" s="2">
        <v>41977</v>
      </c>
      <c r="D77" t="s">
        <v>6</v>
      </c>
      <c r="E77">
        <v>2.3752179999999998</v>
      </c>
      <c r="F77">
        <f t="shared" si="2"/>
        <v>-3.9013000000000186E-2</v>
      </c>
      <c r="G77">
        <f t="shared" si="3"/>
        <v>61.838759320066025</v>
      </c>
    </row>
    <row r="78" spans="2:7">
      <c r="B78" t="s">
        <v>2</v>
      </c>
      <c r="C78" s="2">
        <v>41976</v>
      </c>
      <c r="D78" t="s">
        <v>6</v>
      </c>
      <c r="E78">
        <v>2.414231</v>
      </c>
      <c r="F78">
        <f t="shared" si="2"/>
        <v>5.0499999999997769E-4</v>
      </c>
      <c r="G78">
        <f t="shared" si="3"/>
        <v>61.47229032599175</v>
      </c>
    </row>
    <row r="79" spans="2:7">
      <c r="B79" t="s">
        <v>2</v>
      </c>
      <c r="C79" s="2">
        <v>41975</v>
      </c>
      <c r="D79" t="s">
        <v>6</v>
      </c>
      <c r="E79">
        <v>2.413726</v>
      </c>
      <c r="F79">
        <f t="shared" si="2"/>
        <v>6.4433000000000185E-2</v>
      </c>
      <c r="G79">
        <f t="shared" si="3"/>
        <v>61.548902109534986</v>
      </c>
    </row>
    <row r="80" spans="2:7">
      <c r="B80" t="s">
        <v>2</v>
      </c>
      <c r="C80" s="2">
        <v>41974</v>
      </c>
      <c r="D80" t="s">
        <v>6</v>
      </c>
      <c r="E80">
        <v>2.3492929999999999</v>
      </c>
      <c r="F80">
        <f t="shared" si="2"/>
        <v>2.4778999999999662E-2</v>
      </c>
      <c r="G80">
        <f t="shared" si="3"/>
        <v>60.630188129360874</v>
      </c>
    </row>
    <row r="81" spans="2:7">
      <c r="B81" t="s">
        <v>2</v>
      </c>
      <c r="C81" s="2">
        <v>41971</v>
      </c>
      <c r="D81" t="s">
        <v>6</v>
      </c>
      <c r="E81">
        <v>2.3245140000000002</v>
      </c>
      <c r="F81">
        <f t="shared" si="2"/>
        <v>-3.8119000000000014E-2</v>
      </c>
      <c r="G81">
        <f t="shared" si="3"/>
        <v>60.472849224365554</v>
      </c>
    </row>
    <row r="82" spans="2:7">
      <c r="B82" t="s">
        <v>2</v>
      </c>
      <c r="C82" s="2">
        <v>41969</v>
      </c>
      <c r="D82" t="s">
        <v>6</v>
      </c>
      <c r="E82">
        <v>2.3626330000000002</v>
      </c>
      <c r="F82">
        <f t="shared" si="2"/>
        <v>-2.5402999999999842E-2</v>
      </c>
      <c r="G82">
        <f t="shared" si="3"/>
        <v>61.165414274946642</v>
      </c>
    </row>
    <row r="83" spans="2:7">
      <c r="B83" t="s">
        <v>2</v>
      </c>
      <c r="C83" s="2">
        <v>41968</v>
      </c>
      <c r="D83" t="s">
        <v>6</v>
      </c>
      <c r="E83">
        <v>2.388036</v>
      </c>
      <c r="F83">
        <f t="shared" si="2"/>
        <v>-4.1106999999999783E-2</v>
      </c>
      <c r="G83">
        <f t="shared" si="3"/>
        <v>61.01449090209362</v>
      </c>
    </row>
    <row r="84" spans="2:7">
      <c r="B84" t="s">
        <v>2</v>
      </c>
      <c r="C84" s="2">
        <v>41967</v>
      </c>
      <c r="D84" t="s">
        <v>6</v>
      </c>
      <c r="E84">
        <v>2.4291429999999998</v>
      </c>
      <c r="F84">
        <f t="shared" si="2"/>
        <v>-4.7930000000002693E-3</v>
      </c>
      <c r="G84">
        <f t="shared" si="3"/>
        <v>60.574101186954024</v>
      </c>
    </row>
    <row r="85" spans="2:7">
      <c r="B85" t="s">
        <v>2</v>
      </c>
      <c r="C85" s="2">
        <v>41964</v>
      </c>
      <c r="D85" t="s">
        <v>6</v>
      </c>
      <c r="E85">
        <v>2.4339360000000001</v>
      </c>
      <c r="F85">
        <f t="shared" si="2"/>
        <v>-2.0423999999999776E-2</v>
      </c>
      <c r="G85">
        <f t="shared" si="3"/>
        <v>60.737310179432754</v>
      </c>
    </row>
    <row r="86" spans="2:7">
      <c r="B86" t="s">
        <v>2</v>
      </c>
      <c r="C86" s="2">
        <v>41963</v>
      </c>
      <c r="D86" t="s">
        <v>6</v>
      </c>
      <c r="E86">
        <v>2.4543599999999999</v>
      </c>
      <c r="F86">
        <f t="shared" si="2"/>
        <v>-1.3703000000000021E-2</v>
      </c>
      <c r="G86">
        <f t="shared" si="3"/>
        <v>60.617175141688939</v>
      </c>
    </row>
    <row r="87" spans="2:7">
      <c r="B87" t="s">
        <v>2</v>
      </c>
      <c r="C87" s="2">
        <v>41962</v>
      </c>
      <c r="D87" t="s">
        <v>6</v>
      </c>
      <c r="E87">
        <v>2.4680629999999999</v>
      </c>
      <c r="F87">
        <f t="shared" si="2"/>
        <v>2.4849999999999817E-2</v>
      </c>
      <c r="G87">
        <f t="shared" si="3"/>
        <v>60.719760547452509</v>
      </c>
    </row>
    <row r="88" spans="2:7">
      <c r="B88" t="s">
        <v>2</v>
      </c>
      <c r="C88" s="2">
        <v>41961</v>
      </c>
      <c r="D88" t="s">
        <v>6</v>
      </c>
      <c r="E88">
        <v>2.4432130000000001</v>
      </c>
      <c r="F88">
        <f t="shared" si="2"/>
        <v>-2.0178000000000029E-2</v>
      </c>
      <c r="G88">
        <f t="shared" si="3"/>
        <v>60.48489464294552</v>
      </c>
    </row>
    <row r="89" spans="2:7">
      <c r="B89" t="s">
        <v>2</v>
      </c>
      <c r="C89" s="2">
        <v>41960</v>
      </c>
      <c r="D89" t="s">
        <v>6</v>
      </c>
      <c r="E89">
        <v>2.4633910000000001</v>
      </c>
      <c r="F89">
        <f t="shared" si="2"/>
        <v>1.8739000000000061E-2</v>
      </c>
      <c r="G89">
        <f t="shared" si="3"/>
        <v>60.551292084651351</v>
      </c>
    </row>
    <row r="90" spans="2:7">
      <c r="B90" t="s">
        <v>2</v>
      </c>
      <c r="C90" s="2">
        <v>41957</v>
      </c>
      <c r="D90" t="s">
        <v>6</v>
      </c>
      <c r="E90">
        <v>2.444652</v>
      </c>
      <c r="F90">
        <f t="shared" si="2"/>
        <v>-2.1532999999999802E-2</v>
      </c>
      <c r="G90">
        <f t="shared" si="3"/>
        <v>60.625280091402601</v>
      </c>
    </row>
    <row r="91" spans="2:7">
      <c r="B91" t="s">
        <v>2</v>
      </c>
      <c r="C91" s="2">
        <v>41956</v>
      </c>
      <c r="D91" t="s">
        <v>6</v>
      </c>
      <c r="E91">
        <v>2.4661849999999998</v>
      </c>
      <c r="F91">
        <f t="shared" si="2"/>
        <v>-2.1393000000000217E-2</v>
      </c>
      <c r="G91">
        <f t="shared" si="3"/>
        <v>60.674108912165416</v>
      </c>
    </row>
    <row r="92" spans="2:7">
      <c r="B92" t="s">
        <v>2</v>
      </c>
      <c r="C92" s="2">
        <v>41955</v>
      </c>
      <c r="D92" t="s">
        <v>6</v>
      </c>
      <c r="E92">
        <v>2.4875780000000001</v>
      </c>
      <c r="F92">
        <f t="shared" si="2"/>
        <v>-6.0039999999998983E-3</v>
      </c>
      <c r="G92">
        <f t="shared" si="3"/>
        <v>61.115995858505286</v>
      </c>
    </row>
    <row r="93" spans="2:7">
      <c r="B93" t="s">
        <v>2</v>
      </c>
      <c r="C93" s="2">
        <v>41953</v>
      </c>
      <c r="D93" t="s">
        <v>6</v>
      </c>
      <c r="E93">
        <v>2.493582</v>
      </c>
      <c r="F93">
        <f t="shared" si="2"/>
        <v>4.4461000000000084E-2</v>
      </c>
      <c r="G93">
        <f t="shared" si="3"/>
        <v>61.881621313154298</v>
      </c>
    </row>
    <row r="94" spans="2:7">
      <c r="B94" t="s">
        <v>2</v>
      </c>
      <c r="C94" s="2">
        <v>41950</v>
      </c>
      <c r="D94" t="s">
        <v>6</v>
      </c>
      <c r="E94">
        <v>2.4491209999999999</v>
      </c>
      <c r="F94">
        <f t="shared" si="2"/>
        <v>-6.7679000000000045E-2</v>
      </c>
      <c r="G94">
        <f t="shared" si="3"/>
        <v>61.254971925633669</v>
      </c>
    </row>
    <row r="95" spans="2:7">
      <c r="B95" t="s">
        <v>2</v>
      </c>
      <c r="C95" s="2">
        <v>41949</v>
      </c>
      <c r="D95" t="s">
        <v>6</v>
      </c>
      <c r="E95">
        <v>2.5167999999999999</v>
      </c>
      <c r="F95">
        <f t="shared" si="2"/>
        <v>2.0675999999999917E-2</v>
      </c>
      <c r="G95">
        <f t="shared" si="3"/>
        <v>60.093495992785172</v>
      </c>
    </row>
    <row r="96" spans="2:7">
      <c r="B96" t="s">
        <v>2</v>
      </c>
      <c r="C96" s="2">
        <v>41948</v>
      </c>
      <c r="D96" t="s">
        <v>6</v>
      </c>
      <c r="E96">
        <v>2.496124</v>
      </c>
      <c r="F96">
        <f t="shared" si="2"/>
        <v>1.2674000000000074E-2</v>
      </c>
      <c r="G96">
        <f t="shared" si="3"/>
        <v>60.060125294977929</v>
      </c>
    </row>
    <row r="97" spans="2:7">
      <c r="B97" t="s">
        <v>2</v>
      </c>
      <c r="C97" s="2">
        <v>41947</v>
      </c>
      <c r="D97" t="s">
        <v>6</v>
      </c>
      <c r="E97">
        <v>2.4834499999999999</v>
      </c>
      <c r="F97">
        <f t="shared" si="2"/>
        <v>-5.3920000000000634E-3</v>
      </c>
      <c r="G97">
        <f t="shared" si="3"/>
        <v>60.014386087343077</v>
      </c>
    </row>
    <row r="98" spans="2:7">
      <c r="B98" t="s">
        <v>2</v>
      </c>
      <c r="C98" s="2">
        <v>41946</v>
      </c>
      <c r="D98" t="s">
        <v>6</v>
      </c>
      <c r="E98">
        <v>2.488842</v>
      </c>
      <c r="F98">
        <f t="shared" si="2"/>
        <v>1.1130000000000084E-2</v>
      </c>
      <c r="G98">
        <f t="shared" si="3"/>
        <v>60.012300981721765</v>
      </c>
    </row>
    <row r="99" spans="2:7">
      <c r="B99" t="s">
        <v>2</v>
      </c>
      <c r="C99" s="2">
        <v>41943</v>
      </c>
      <c r="D99" t="s">
        <v>6</v>
      </c>
      <c r="E99">
        <v>2.4777119999999999</v>
      </c>
      <c r="F99">
        <f t="shared" si="2"/>
        <v>2.9284999999999783E-2</v>
      </c>
      <c r="G99">
        <f t="shared" si="3"/>
        <v>60.614060179332405</v>
      </c>
    </row>
    <row r="100" spans="2:7">
      <c r="B100" t="s">
        <v>2</v>
      </c>
      <c r="C100" s="2">
        <v>41942</v>
      </c>
      <c r="D100" t="s">
        <v>6</v>
      </c>
      <c r="E100">
        <v>2.4484270000000001</v>
      </c>
      <c r="F100">
        <f t="shared" si="2"/>
        <v>-1.3596999999999859E-2</v>
      </c>
      <c r="G100">
        <f t="shared" si="3"/>
        <v>60.261186079876758</v>
      </c>
    </row>
    <row r="101" spans="2:7">
      <c r="B101" t="s">
        <v>2</v>
      </c>
      <c r="C101" s="2">
        <v>41941</v>
      </c>
      <c r="D101" t="s">
        <v>6</v>
      </c>
      <c r="E101">
        <v>2.462024</v>
      </c>
      <c r="F101">
        <f t="shared" si="2"/>
        <v>3.6455000000000126E-2</v>
      </c>
      <c r="G101">
        <f t="shared" si="3"/>
        <v>60.22084669744293</v>
      </c>
    </row>
    <row r="102" spans="2:7">
      <c r="B102" t="s">
        <v>2</v>
      </c>
      <c r="C102" s="2">
        <v>41940</v>
      </c>
      <c r="D102" t="s">
        <v>6</v>
      </c>
      <c r="E102">
        <v>2.4255689999999999</v>
      </c>
      <c r="F102">
        <f t="shared" si="2"/>
        <v>2.1372999999999642E-2</v>
      </c>
      <c r="G102">
        <f t="shared" si="3"/>
        <v>59.709417597121416</v>
      </c>
    </row>
    <row r="103" spans="2:7">
      <c r="B103" t="s">
        <v>2</v>
      </c>
      <c r="C103" s="2">
        <v>41939</v>
      </c>
      <c r="D103" t="s">
        <v>6</v>
      </c>
      <c r="E103">
        <v>2.4041960000000002</v>
      </c>
      <c r="F103">
        <f t="shared" si="2"/>
        <v>-1.3744999999999674E-2</v>
      </c>
      <c r="G103">
        <f t="shared" si="3"/>
        <v>60.179854625072984</v>
      </c>
    </row>
    <row r="104" spans="2:7">
      <c r="B104" t="s">
        <v>2</v>
      </c>
      <c r="C104" s="2">
        <v>41936</v>
      </c>
      <c r="D104" t="s">
        <v>6</v>
      </c>
      <c r="E104">
        <v>2.4179409999999999</v>
      </c>
      <c r="F104">
        <f t="shared" si="2"/>
        <v>6.4500000000000668E-4</v>
      </c>
      <c r="G104">
        <f t="shared" si="3"/>
        <v>60.245477203775202</v>
      </c>
    </row>
    <row r="105" spans="2:7">
      <c r="B105" t="s">
        <v>2</v>
      </c>
      <c r="C105" s="2">
        <v>41935</v>
      </c>
      <c r="D105" t="s">
        <v>6</v>
      </c>
      <c r="E105">
        <v>2.4172959999999999</v>
      </c>
      <c r="F105">
        <f t="shared" si="2"/>
        <v>5.429700000000004E-2</v>
      </c>
      <c r="G105">
        <f t="shared" si="3"/>
        <v>63.329567758982463</v>
      </c>
    </row>
    <row r="106" spans="2:7">
      <c r="B106" t="s">
        <v>2</v>
      </c>
      <c r="C106" s="2">
        <v>41934</v>
      </c>
      <c r="D106" t="s">
        <v>6</v>
      </c>
      <c r="E106">
        <v>2.3629989999999998</v>
      </c>
      <c r="F106">
        <f t="shared" si="2"/>
        <v>1.8193999999999821E-2</v>
      </c>
      <c r="G106">
        <f t="shared" si="3"/>
        <v>62.345599243567719</v>
      </c>
    </row>
    <row r="107" spans="2:7">
      <c r="B107" t="s">
        <v>2</v>
      </c>
      <c r="C107" s="2">
        <v>41933</v>
      </c>
      <c r="D107" t="s">
        <v>6</v>
      </c>
      <c r="E107">
        <v>2.344805</v>
      </c>
      <c r="F107">
        <f t="shared" si="2"/>
        <v>2.2121999999999975E-2</v>
      </c>
      <c r="G107">
        <f t="shared" si="3"/>
        <v>62.434662180155541</v>
      </c>
    </row>
    <row r="108" spans="2:7">
      <c r="B108" t="s">
        <v>2</v>
      </c>
      <c r="C108" s="2">
        <v>41932</v>
      </c>
      <c r="D108" t="s">
        <v>6</v>
      </c>
      <c r="E108">
        <v>2.3226830000000001</v>
      </c>
      <c r="F108">
        <f t="shared" si="2"/>
        <v>-3.0393000000000114E-2</v>
      </c>
      <c r="G108">
        <f t="shared" si="3"/>
        <v>62.629019261394077</v>
      </c>
    </row>
    <row r="109" spans="2:7">
      <c r="B109" t="s">
        <v>2</v>
      </c>
      <c r="C109" s="2">
        <v>41929</v>
      </c>
      <c r="D109" t="s">
        <v>6</v>
      </c>
      <c r="E109">
        <v>2.3530760000000002</v>
      </c>
      <c r="F109">
        <f t="shared" si="2"/>
        <v>3.7539000000000211E-2</v>
      </c>
      <c r="G109">
        <f t="shared" si="3"/>
        <v>63.183344220657354</v>
      </c>
    </row>
    <row r="110" spans="2:7">
      <c r="B110" t="s">
        <v>2</v>
      </c>
      <c r="C110" s="2">
        <v>41928</v>
      </c>
      <c r="D110" t="s">
        <v>6</v>
      </c>
      <c r="E110">
        <v>2.315537</v>
      </c>
      <c r="F110">
        <f t="shared" si="2"/>
        <v>6.7590000000000039E-2</v>
      </c>
      <c r="G110">
        <f t="shared" si="3"/>
        <v>62.597346516359018</v>
      </c>
    </row>
    <row r="111" spans="2:7">
      <c r="B111" t="s">
        <v>2</v>
      </c>
      <c r="C111" s="2">
        <v>41927</v>
      </c>
      <c r="D111" t="s">
        <v>6</v>
      </c>
      <c r="E111">
        <v>2.2479469999999999</v>
      </c>
      <c r="F111">
        <f t="shared" si="2"/>
        <v>-9.7895999999999983E-2</v>
      </c>
      <c r="G111">
        <f t="shared" si="3"/>
        <v>60.779946255219976</v>
      </c>
    </row>
    <row r="112" spans="2:7">
      <c r="B112" t="s">
        <v>2</v>
      </c>
      <c r="C112" s="2">
        <v>41926</v>
      </c>
      <c r="D112" t="s">
        <v>6</v>
      </c>
      <c r="E112">
        <v>2.3458429999999999</v>
      </c>
      <c r="F112">
        <f t="shared" si="2"/>
        <v>-9.4117000000000228E-2</v>
      </c>
      <c r="G112">
        <f t="shared" si="3"/>
        <v>57.693481324267125</v>
      </c>
    </row>
    <row r="113" spans="2:7">
      <c r="B113" t="s">
        <v>2</v>
      </c>
      <c r="C113" s="2">
        <v>41922</v>
      </c>
      <c r="D113" t="s">
        <v>6</v>
      </c>
      <c r="E113">
        <v>2.4399600000000001</v>
      </c>
      <c r="F113">
        <f t="shared" si="2"/>
        <v>-2.9191999999999663E-2</v>
      </c>
      <c r="G113">
        <f t="shared" si="3"/>
        <v>54.620190585600689</v>
      </c>
    </row>
    <row r="114" spans="2:7">
      <c r="B114" t="s">
        <v>2</v>
      </c>
      <c r="C114" s="2">
        <v>41921</v>
      </c>
      <c r="D114" t="s">
        <v>6</v>
      </c>
      <c r="E114">
        <v>2.4691519999999998</v>
      </c>
      <c r="F114">
        <f t="shared" si="2"/>
        <v>-3.5740000000004102E-3</v>
      </c>
      <c r="G114">
        <f t="shared" si="3"/>
        <v>55.321373026215184</v>
      </c>
    </row>
    <row r="115" spans="2:7">
      <c r="B115" t="s">
        <v>2</v>
      </c>
      <c r="C115" s="2">
        <v>41920</v>
      </c>
      <c r="D115" t="s">
        <v>6</v>
      </c>
      <c r="E115">
        <v>2.4727260000000002</v>
      </c>
      <c r="F115">
        <f t="shared" si="2"/>
        <v>-3.8109999999999644E-2</v>
      </c>
      <c r="G115">
        <f t="shared" si="3"/>
        <v>55.339167260032909</v>
      </c>
    </row>
    <row r="116" spans="2:7">
      <c r="B116" t="s">
        <v>2</v>
      </c>
      <c r="C116" s="2">
        <v>41919</v>
      </c>
      <c r="D116" t="s">
        <v>6</v>
      </c>
      <c r="E116">
        <v>2.5108359999999998</v>
      </c>
      <c r="F116">
        <f t="shared" si="2"/>
        <v>-6.9872000000000156E-2</v>
      </c>
      <c r="G116">
        <f t="shared" si="3"/>
        <v>54.859729573277228</v>
      </c>
    </row>
    <row r="117" spans="2:7">
      <c r="B117" t="s">
        <v>2</v>
      </c>
      <c r="C117" s="2">
        <v>41918</v>
      </c>
      <c r="D117" t="s">
        <v>6</v>
      </c>
      <c r="E117">
        <v>2.580708</v>
      </c>
      <c r="F117">
        <f t="shared" si="2"/>
        <v>-1.8558000000000074E-2</v>
      </c>
      <c r="G117">
        <f t="shared" si="3"/>
        <v>53.356308997574345</v>
      </c>
    </row>
    <row r="118" spans="2:7">
      <c r="B118" t="s">
        <v>2</v>
      </c>
      <c r="C118" s="2">
        <v>41915</v>
      </c>
      <c r="D118" t="s">
        <v>6</v>
      </c>
      <c r="E118">
        <v>2.5992660000000001</v>
      </c>
      <c r="F118">
        <f t="shared" si="2"/>
        <v>1.5029999999999877E-2</v>
      </c>
      <c r="G118">
        <f t="shared" si="3"/>
        <v>53.291304746106306</v>
      </c>
    </row>
    <row r="119" spans="2:7">
      <c r="B119" t="s">
        <v>2</v>
      </c>
      <c r="C119" s="2">
        <v>41914</v>
      </c>
      <c r="D119" t="s">
        <v>6</v>
      </c>
      <c r="E119">
        <v>2.5842360000000002</v>
      </c>
      <c r="F119">
        <f t="shared" si="2"/>
        <v>2.9578000000000326E-2</v>
      </c>
      <c r="G119">
        <f t="shared" si="3"/>
        <v>53.19093911255132</v>
      </c>
    </row>
    <row r="120" spans="2:7">
      <c r="B120" t="s">
        <v>2</v>
      </c>
      <c r="C120" s="2">
        <v>41913</v>
      </c>
      <c r="D120" t="s">
        <v>6</v>
      </c>
      <c r="E120">
        <v>2.5546579999999999</v>
      </c>
      <c r="F120">
        <f t="shared" si="2"/>
        <v>-9.7818000000000183E-2</v>
      </c>
      <c r="G120">
        <f t="shared" si="3"/>
        <v>52.910324213688185</v>
      </c>
    </row>
    <row r="121" spans="2:7">
      <c r="B121" t="s">
        <v>2</v>
      </c>
      <c r="C121" s="2">
        <v>41912</v>
      </c>
      <c r="D121" t="s">
        <v>6</v>
      </c>
      <c r="E121">
        <v>2.6524760000000001</v>
      </c>
      <c r="F121">
        <f t="shared" si="2"/>
        <v>1.4174000000000131E-2</v>
      </c>
      <c r="G121">
        <f t="shared" si="3"/>
        <v>50.189181017178797</v>
      </c>
    </row>
    <row r="122" spans="2:7">
      <c r="B122" t="s">
        <v>2</v>
      </c>
      <c r="C122" s="2">
        <v>41911</v>
      </c>
      <c r="D122" t="s">
        <v>6</v>
      </c>
      <c r="E122">
        <v>2.6383019999999999</v>
      </c>
      <c r="F122">
        <f t="shared" si="2"/>
        <v>-2.4068999999999896E-2</v>
      </c>
      <c r="G122">
        <f t="shared" si="3"/>
        <v>50.418488152166361</v>
      </c>
    </row>
    <row r="123" spans="2:7">
      <c r="B123" t="s">
        <v>2</v>
      </c>
      <c r="C123" s="2">
        <v>41908</v>
      </c>
      <c r="D123" t="s">
        <v>6</v>
      </c>
      <c r="E123">
        <v>2.6623709999999998</v>
      </c>
      <c r="F123">
        <f t="shared" si="2"/>
        <v>1.9430999999999976E-2</v>
      </c>
      <c r="G123">
        <f t="shared" si="3"/>
        <v>50.29310512661587</v>
      </c>
    </row>
    <row r="124" spans="2:7">
      <c r="B124" t="s">
        <v>2</v>
      </c>
      <c r="C124" s="2">
        <v>41907</v>
      </c>
      <c r="D124" t="s">
        <v>6</v>
      </c>
      <c r="E124">
        <v>2.6429399999999998</v>
      </c>
      <c r="F124">
        <f t="shared" si="2"/>
        <v>-5.2742999999999984E-2</v>
      </c>
      <c r="G124">
        <f t="shared" si="3"/>
        <v>51.943305578250218</v>
      </c>
    </row>
    <row r="125" spans="2:7">
      <c r="B125" t="s">
        <v>2</v>
      </c>
      <c r="C125" s="2">
        <v>41906</v>
      </c>
      <c r="D125" t="s">
        <v>6</v>
      </c>
      <c r="E125">
        <v>2.6956829999999998</v>
      </c>
      <c r="F125">
        <f t="shared" si="2"/>
        <v>4.0803999999999618E-2</v>
      </c>
      <c r="G125">
        <f t="shared" si="3"/>
        <v>51.827245190334672</v>
      </c>
    </row>
    <row r="126" spans="2:7">
      <c r="B126" t="s">
        <v>2</v>
      </c>
      <c r="C126" s="2">
        <v>41905</v>
      </c>
      <c r="D126" t="s">
        <v>6</v>
      </c>
      <c r="E126">
        <v>2.6548790000000002</v>
      </c>
      <c r="F126">
        <f t="shared" si="2"/>
        <v>-3.1582999999999917E-2</v>
      </c>
      <c r="G126">
        <f t="shared" si="3"/>
        <v>51.413832635905052</v>
      </c>
    </row>
    <row r="127" spans="2:7">
      <c r="B127" t="s">
        <v>2</v>
      </c>
      <c r="C127" s="2">
        <v>41904</v>
      </c>
      <c r="D127" t="s">
        <v>6</v>
      </c>
      <c r="E127">
        <v>2.6864620000000001</v>
      </c>
      <c r="F127">
        <f t="shared" si="2"/>
        <v>-3.4755999999999787E-2</v>
      </c>
      <c r="G127">
        <f t="shared" si="3"/>
        <v>51.01379914853522</v>
      </c>
    </row>
    <row r="128" spans="2:7">
      <c r="B128" t="s">
        <v>2</v>
      </c>
      <c r="C128" s="2">
        <v>41901</v>
      </c>
      <c r="D128" t="s">
        <v>6</v>
      </c>
      <c r="E128">
        <v>2.7212179999999999</v>
      </c>
      <c r="F128">
        <f t="shared" si="2"/>
        <v>-4.5237999999999889E-2</v>
      </c>
      <c r="G128">
        <f t="shared" si="3"/>
        <v>50.86161599345921</v>
      </c>
    </row>
    <row r="129" spans="2:7">
      <c r="B129" t="s">
        <v>2</v>
      </c>
      <c r="C129" s="2">
        <v>41900</v>
      </c>
      <c r="D129" t="s">
        <v>6</v>
      </c>
      <c r="E129">
        <v>2.7664559999999998</v>
      </c>
      <c r="F129">
        <f t="shared" si="2"/>
        <v>2.6706999999999592E-2</v>
      </c>
      <c r="G129">
        <f t="shared" si="3"/>
        <v>50.276691815060083</v>
      </c>
    </row>
    <row r="130" spans="2:7">
      <c r="B130" t="s">
        <v>2</v>
      </c>
      <c r="C130" s="2">
        <v>41899</v>
      </c>
      <c r="D130" t="s">
        <v>6</v>
      </c>
      <c r="E130">
        <v>2.7397490000000002</v>
      </c>
      <c r="F130">
        <f t="shared" si="2"/>
        <v>8.4570000000003809E-3</v>
      </c>
      <c r="G130">
        <f t="shared" si="3"/>
        <v>50.28891401749118</v>
      </c>
    </row>
    <row r="131" spans="2:7">
      <c r="B131" t="s">
        <v>2</v>
      </c>
      <c r="C131" s="2">
        <v>41898</v>
      </c>
      <c r="D131" t="s">
        <v>6</v>
      </c>
      <c r="E131">
        <v>2.7312919999999998</v>
      </c>
      <c r="F131">
        <f t="shared" ref="F131:F194" si="4">E131-E132</f>
        <v>7.3299999999987264E-4</v>
      </c>
      <c r="G131">
        <f t="shared" ref="G131:G194" si="5">STDEV(F131:F190)*SQRT(250)*100</f>
        <v>50.2673241891912</v>
      </c>
    </row>
    <row r="132" spans="2:7">
      <c r="B132" t="s">
        <v>2</v>
      </c>
      <c r="C132" s="2">
        <v>41897</v>
      </c>
      <c r="D132" t="s">
        <v>6</v>
      </c>
      <c r="E132">
        <v>2.730559</v>
      </c>
      <c r="F132">
        <f t="shared" si="4"/>
        <v>-1.5267999999999837E-2</v>
      </c>
      <c r="G132">
        <f t="shared" si="5"/>
        <v>50.268750224243178</v>
      </c>
    </row>
    <row r="133" spans="2:7">
      <c r="B133" t="s">
        <v>2</v>
      </c>
      <c r="C133" s="2">
        <v>41894</v>
      </c>
      <c r="D133" t="s">
        <v>6</v>
      </c>
      <c r="E133">
        <v>2.7458269999999998</v>
      </c>
      <c r="F133">
        <f t="shared" si="4"/>
        <v>8.1176999999999833E-2</v>
      </c>
      <c r="G133">
        <f t="shared" si="5"/>
        <v>50.178899315961935</v>
      </c>
    </row>
    <row r="134" spans="2:7">
      <c r="B134" t="s">
        <v>2</v>
      </c>
      <c r="C134" s="2">
        <v>41893</v>
      </c>
      <c r="D134" t="s">
        <v>6</v>
      </c>
      <c r="E134">
        <v>2.66465</v>
      </c>
      <c r="F134">
        <f t="shared" si="4"/>
        <v>-3.5729999999998263E-3</v>
      </c>
      <c r="G134">
        <f t="shared" si="5"/>
        <v>47.95775625581873</v>
      </c>
    </row>
    <row r="135" spans="2:7">
      <c r="B135" t="s">
        <v>2</v>
      </c>
      <c r="C135" s="2">
        <v>41892</v>
      </c>
      <c r="D135" t="s">
        <v>6</v>
      </c>
      <c r="E135">
        <v>2.6682229999999998</v>
      </c>
      <c r="F135">
        <f t="shared" si="4"/>
        <v>4.2548999999999726E-2</v>
      </c>
      <c r="G135">
        <f t="shared" si="5"/>
        <v>49.088384597671421</v>
      </c>
    </row>
    <row r="136" spans="2:7">
      <c r="B136" t="s">
        <v>2</v>
      </c>
      <c r="C136" s="2">
        <v>41891</v>
      </c>
      <c r="D136" t="s">
        <v>6</v>
      </c>
      <c r="E136">
        <v>2.6256740000000001</v>
      </c>
      <c r="F136">
        <f t="shared" si="4"/>
        <v>3.2738999999999852E-2</v>
      </c>
      <c r="G136">
        <f t="shared" si="5"/>
        <v>48.271718226268376</v>
      </c>
    </row>
    <row r="137" spans="2:7">
      <c r="B137" t="s">
        <v>2</v>
      </c>
      <c r="C137" s="2">
        <v>41890</v>
      </c>
      <c r="D137" t="s">
        <v>6</v>
      </c>
      <c r="E137">
        <v>2.5929350000000002</v>
      </c>
      <c r="F137">
        <f t="shared" si="4"/>
        <v>1.1473000000000066E-2</v>
      </c>
      <c r="G137">
        <f t="shared" si="5"/>
        <v>47.834100383682888</v>
      </c>
    </row>
    <row r="138" spans="2:7">
      <c r="B138" t="s">
        <v>2</v>
      </c>
      <c r="C138" s="2">
        <v>41887</v>
      </c>
      <c r="D138" t="s">
        <v>6</v>
      </c>
      <c r="E138">
        <v>2.5814620000000001</v>
      </c>
      <c r="F138">
        <f t="shared" si="4"/>
        <v>1.2564999999999937E-2</v>
      </c>
      <c r="G138">
        <f t="shared" si="5"/>
        <v>49.007023907531</v>
      </c>
    </row>
    <row r="139" spans="2:7">
      <c r="B139" t="s">
        <v>2</v>
      </c>
      <c r="C139" s="2">
        <v>41886</v>
      </c>
      <c r="D139" t="s">
        <v>6</v>
      </c>
      <c r="E139">
        <v>2.5688970000000002</v>
      </c>
      <c r="F139">
        <f t="shared" si="4"/>
        <v>4.0450000000000319E-2</v>
      </c>
      <c r="G139">
        <f t="shared" si="5"/>
        <v>48.905079970636301</v>
      </c>
    </row>
    <row r="140" spans="2:7">
      <c r="B140" t="s">
        <v>2</v>
      </c>
      <c r="C140" s="2">
        <v>41885</v>
      </c>
      <c r="D140" t="s">
        <v>6</v>
      </c>
      <c r="E140">
        <v>2.5284469999999999</v>
      </c>
      <c r="F140">
        <f t="shared" si="4"/>
        <v>-2.189400000000008E-2</v>
      </c>
      <c r="G140">
        <f t="shared" si="5"/>
        <v>48.320650675840348</v>
      </c>
    </row>
    <row r="141" spans="2:7">
      <c r="B141" t="s">
        <v>2</v>
      </c>
      <c r="C141" s="2">
        <v>41884</v>
      </c>
      <c r="D141" t="s">
        <v>6</v>
      </c>
      <c r="E141">
        <v>2.550341</v>
      </c>
      <c r="F141">
        <f t="shared" si="4"/>
        <v>5.376100000000017E-2</v>
      </c>
      <c r="G141">
        <f t="shared" si="5"/>
        <v>48.327834159615819</v>
      </c>
    </row>
    <row r="142" spans="2:7">
      <c r="B142" t="s">
        <v>2</v>
      </c>
      <c r="C142" s="2">
        <v>41880</v>
      </c>
      <c r="D142" t="s">
        <v>6</v>
      </c>
      <c r="E142">
        <v>2.4965799999999998</v>
      </c>
      <c r="F142">
        <f t="shared" si="4"/>
        <v>8.7749999999999773E-3</v>
      </c>
      <c r="G142">
        <f t="shared" si="5"/>
        <v>46.965789374770928</v>
      </c>
    </row>
    <row r="143" spans="2:7">
      <c r="B143" t="s">
        <v>2</v>
      </c>
      <c r="C143" s="2">
        <v>41879</v>
      </c>
      <c r="D143" t="s">
        <v>6</v>
      </c>
      <c r="E143">
        <v>2.4878049999999998</v>
      </c>
      <c r="F143">
        <f t="shared" si="4"/>
        <v>-1.8992000000000342E-2</v>
      </c>
      <c r="G143">
        <f t="shared" si="5"/>
        <v>46.979921437015129</v>
      </c>
    </row>
    <row r="144" spans="2:7">
      <c r="B144" t="s">
        <v>2</v>
      </c>
      <c r="C144" s="2">
        <v>41878</v>
      </c>
      <c r="D144" t="s">
        <v>6</v>
      </c>
      <c r="E144">
        <v>2.5067970000000002</v>
      </c>
      <c r="F144">
        <f t="shared" si="4"/>
        <v>-2.3321999999999843E-2</v>
      </c>
      <c r="G144">
        <f t="shared" si="5"/>
        <v>47.069738100296618</v>
      </c>
    </row>
    <row r="145" spans="2:7">
      <c r="B145" t="s">
        <v>2</v>
      </c>
      <c r="C145" s="2">
        <v>41877</v>
      </c>
      <c r="D145" t="s">
        <v>6</v>
      </c>
      <c r="E145">
        <v>2.530119</v>
      </c>
      <c r="F145">
        <f t="shared" si="4"/>
        <v>2.771000000000079E-3</v>
      </c>
      <c r="G145">
        <f t="shared" si="5"/>
        <v>48.62695581418032</v>
      </c>
    </row>
    <row r="146" spans="2:7">
      <c r="B146" t="s">
        <v>2</v>
      </c>
      <c r="C146" s="2">
        <v>41876</v>
      </c>
      <c r="D146" t="s">
        <v>6</v>
      </c>
      <c r="E146">
        <v>2.5273479999999999</v>
      </c>
      <c r="F146">
        <f t="shared" si="4"/>
        <v>-2.2451999999999916E-2</v>
      </c>
      <c r="G146">
        <f t="shared" si="5"/>
        <v>51.344337999057402</v>
      </c>
    </row>
    <row r="147" spans="2:7">
      <c r="B147" t="s">
        <v>2</v>
      </c>
      <c r="C147" s="2">
        <v>41873</v>
      </c>
      <c r="D147" t="s">
        <v>6</v>
      </c>
      <c r="E147">
        <v>2.5497999999999998</v>
      </c>
      <c r="F147">
        <f t="shared" si="4"/>
        <v>-7.0380000000000997E-3</v>
      </c>
      <c r="G147">
        <f t="shared" si="5"/>
        <v>51.280516181748148</v>
      </c>
    </row>
    <row r="148" spans="2:7">
      <c r="B148" t="s">
        <v>2</v>
      </c>
      <c r="C148" s="2">
        <v>41872</v>
      </c>
      <c r="D148" t="s">
        <v>6</v>
      </c>
      <c r="E148">
        <v>2.5568379999999999</v>
      </c>
      <c r="F148">
        <f t="shared" si="4"/>
        <v>-2.4792000000000147E-2</v>
      </c>
      <c r="G148">
        <f t="shared" si="5"/>
        <v>51.311921899934532</v>
      </c>
    </row>
    <row r="149" spans="2:7">
      <c r="B149" t="s">
        <v>2</v>
      </c>
      <c r="C149" s="2">
        <v>41871</v>
      </c>
      <c r="D149" t="s">
        <v>6</v>
      </c>
      <c r="E149">
        <v>2.5816300000000001</v>
      </c>
      <c r="F149">
        <f t="shared" si="4"/>
        <v>2.3344000000000253E-2</v>
      </c>
      <c r="G149">
        <f t="shared" si="5"/>
        <v>53.292267062574773</v>
      </c>
    </row>
    <row r="150" spans="2:7">
      <c r="B150" t="s">
        <v>2</v>
      </c>
      <c r="C150" s="2">
        <v>41870</v>
      </c>
      <c r="D150" t="s">
        <v>6</v>
      </c>
      <c r="E150">
        <v>2.5582859999999998</v>
      </c>
      <c r="F150">
        <f t="shared" si="4"/>
        <v>2.1698999999999913E-2</v>
      </c>
      <c r="G150">
        <f t="shared" si="5"/>
        <v>53.208780044475127</v>
      </c>
    </row>
    <row r="151" spans="2:7">
      <c r="B151" t="s">
        <v>2</v>
      </c>
      <c r="C151" s="2">
        <v>41869</v>
      </c>
      <c r="D151" t="s">
        <v>6</v>
      </c>
      <c r="E151">
        <v>2.5365869999999999</v>
      </c>
      <c r="F151">
        <f t="shared" si="4"/>
        <v>4.0575000000000028E-2</v>
      </c>
      <c r="G151">
        <f t="shared" si="5"/>
        <v>53.167488646064378</v>
      </c>
    </row>
    <row r="152" spans="2:7">
      <c r="B152" t="s">
        <v>2</v>
      </c>
      <c r="C152" s="2">
        <v>41866</v>
      </c>
      <c r="D152" t="s">
        <v>6</v>
      </c>
      <c r="E152">
        <v>2.4960119999999999</v>
      </c>
      <c r="F152">
        <f t="shared" si="4"/>
        <v>-4.7954000000000274E-2</v>
      </c>
      <c r="G152">
        <f t="shared" si="5"/>
        <v>52.678198686568514</v>
      </c>
    </row>
    <row r="153" spans="2:7">
      <c r="B153" t="s">
        <v>2</v>
      </c>
      <c r="C153" s="2">
        <v>41865</v>
      </c>
      <c r="D153" t="s">
        <v>6</v>
      </c>
      <c r="E153">
        <v>2.5439660000000002</v>
      </c>
      <c r="F153">
        <f t="shared" si="4"/>
        <v>-1.8050999999999817E-2</v>
      </c>
      <c r="G153">
        <f t="shared" si="5"/>
        <v>52.010633710232547</v>
      </c>
    </row>
    <row r="154" spans="2:7">
      <c r="B154" t="s">
        <v>2</v>
      </c>
      <c r="C154" s="2">
        <v>41864</v>
      </c>
      <c r="D154" t="s">
        <v>6</v>
      </c>
      <c r="E154">
        <v>2.562017</v>
      </c>
      <c r="F154">
        <f t="shared" si="4"/>
        <v>-3.3851999999999993E-2</v>
      </c>
      <c r="G154">
        <f t="shared" si="5"/>
        <v>52.187803540549702</v>
      </c>
    </row>
    <row r="155" spans="2:7">
      <c r="B155" t="s">
        <v>2</v>
      </c>
      <c r="C155" s="2">
        <v>41863</v>
      </c>
      <c r="D155" t="s">
        <v>6</v>
      </c>
      <c r="E155">
        <v>2.595869</v>
      </c>
      <c r="F155">
        <f t="shared" si="4"/>
        <v>1.8409999999999815E-2</v>
      </c>
      <c r="G155">
        <f t="shared" si="5"/>
        <v>51.937464895655381</v>
      </c>
    </row>
    <row r="156" spans="2:7">
      <c r="B156" t="s">
        <v>2</v>
      </c>
      <c r="C156" s="2">
        <v>41862</v>
      </c>
      <c r="D156" t="s">
        <v>6</v>
      </c>
      <c r="E156">
        <v>2.5774590000000002</v>
      </c>
      <c r="F156">
        <f t="shared" si="4"/>
        <v>6.877000000000244E-3</v>
      </c>
      <c r="G156">
        <f t="shared" si="5"/>
        <v>52.021150314622069</v>
      </c>
    </row>
    <row r="157" spans="2:7">
      <c r="B157" t="s">
        <v>2</v>
      </c>
      <c r="C157" s="2">
        <v>41859</v>
      </c>
      <c r="D157" t="s">
        <v>6</v>
      </c>
      <c r="E157">
        <v>2.5705819999999999</v>
      </c>
      <c r="F157">
        <f t="shared" si="4"/>
        <v>-4.5549999999998647E-3</v>
      </c>
      <c r="G157">
        <f t="shared" si="5"/>
        <v>52.555985126993789</v>
      </c>
    </row>
    <row r="158" spans="2:7">
      <c r="B158" t="s">
        <v>2</v>
      </c>
      <c r="C158" s="2">
        <v>41858</v>
      </c>
      <c r="D158" t="s">
        <v>6</v>
      </c>
      <c r="E158">
        <v>2.5751369999999998</v>
      </c>
      <c r="F158">
        <f t="shared" si="4"/>
        <v>-4.5303000000000093E-2</v>
      </c>
      <c r="G158">
        <f t="shared" si="5"/>
        <v>54.4182819078503</v>
      </c>
    </row>
    <row r="159" spans="2:7">
      <c r="B159" t="s">
        <v>2</v>
      </c>
      <c r="C159" s="2">
        <v>41857</v>
      </c>
      <c r="D159" t="s">
        <v>6</v>
      </c>
      <c r="E159">
        <v>2.6204399999999999</v>
      </c>
      <c r="F159">
        <f t="shared" si="4"/>
        <v>-6.5460000000001628E-3</v>
      </c>
      <c r="G159">
        <f t="shared" si="5"/>
        <v>54.039187154756107</v>
      </c>
    </row>
    <row r="160" spans="2:7">
      <c r="B160" t="s">
        <v>2</v>
      </c>
      <c r="C160" s="2">
        <v>41856</v>
      </c>
      <c r="D160" t="s">
        <v>6</v>
      </c>
      <c r="E160">
        <v>2.626986</v>
      </c>
      <c r="F160">
        <f t="shared" si="4"/>
        <v>-2.9309999999997949E-3</v>
      </c>
      <c r="G160">
        <f t="shared" si="5"/>
        <v>54.353285532498084</v>
      </c>
    </row>
    <row r="161" spans="2:7">
      <c r="B161" t="s">
        <v>2</v>
      </c>
      <c r="C161" s="2">
        <v>41855</v>
      </c>
      <c r="D161" t="s">
        <v>6</v>
      </c>
      <c r="E161">
        <v>2.6299169999999998</v>
      </c>
      <c r="F161">
        <f t="shared" si="4"/>
        <v>-1.4483000000000246E-2</v>
      </c>
      <c r="G161">
        <f t="shared" si="5"/>
        <v>54.641610768831065</v>
      </c>
    </row>
    <row r="162" spans="2:7">
      <c r="B162" t="s">
        <v>2</v>
      </c>
      <c r="C162" s="2">
        <v>41852</v>
      </c>
      <c r="D162" t="s">
        <v>6</v>
      </c>
      <c r="E162">
        <v>2.6444000000000001</v>
      </c>
      <c r="F162">
        <f t="shared" si="4"/>
        <v>-4.880400000000007E-2</v>
      </c>
      <c r="G162">
        <f t="shared" si="5"/>
        <v>54.677975107024444</v>
      </c>
    </row>
    <row r="163" spans="2:7">
      <c r="B163" t="s">
        <v>2</v>
      </c>
      <c r="C163" s="2">
        <v>41851</v>
      </c>
      <c r="D163" t="s">
        <v>6</v>
      </c>
      <c r="E163">
        <v>2.6932040000000002</v>
      </c>
      <c r="F163">
        <f t="shared" si="4"/>
        <v>1.1830000000000229E-2</v>
      </c>
      <c r="G163">
        <f t="shared" si="5"/>
        <v>53.834112959828886</v>
      </c>
    </row>
    <row r="164" spans="2:7">
      <c r="B164" t="s">
        <v>2</v>
      </c>
      <c r="C164" s="2">
        <v>41850</v>
      </c>
      <c r="D164" t="s">
        <v>6</v>
      </c>
      <c r="E164">
        <v>2.6813739999999999</v>
      </c>
      <c r="F164">
        <f t="shared" si="4"/>
        <v>9.1299999999999937E-2</v>
      </c>
      <c r="G164">
        <f t="shared" si="5"/>
        <v>53.901156691380855</v>
      </c>
    </row>
    <row r="165" spans="2:7">
      <c r="B165" t="s">
        <v>2</v>
      </c>
      <c r="C165" s="2">
        <v>41849</v>
      </c>
      <c r="D165" t="s">
        <v>6</v>
      </c>
      <c r="E165">
        <v>2.590074</v>
      </c>
      <c r="F165">
        <f t="shared" si="4"/>
        <v>-2.4173000000000222E-2</v>
      </c>
      <c r="G165">
        <f t="shared" si="5"/>
        <v>50.595817280472524</v>
      </c>
    </row>
    <row r="166" spans="2:7">
      <c r="B166" t="s">
        <v>2</v>
      </c>
      <c r="C166" s="2">
        <v>41848</v>
      </c>
      <c r="D166" t="s">
        <v>6</v>
      </c>
      <c r="E166">
        <v>2.6142470000000002</v>
      </c>
      <c r="F166">
        <f t="shared" si="4"/>
        <v>2.3446999999999996E-2</v>
      </c>
      <c r="G166">
        <f t="shared" si="5"/>
        <v>50.439722545742974</v>
      </c>
    </row>
    <row r="167" spans="2:7">
      <c r="B167" t="s">
        <v>2</v>
      </c>
      <c r="C167" s="2">
        <v>41845</v>
      </c>
      <c r="D167" t="s">
        <v>6</v>
      </c>
      <c r="E167">
        <v>2.5908000000000002</v>
      </c>
      <c r="F167">
        <f t="shared" si="4"/>
        <v>-4.0522999999999865E-2</v>
      </c>
      <c r="G167">
        <f t="shared" si="5"/>
        <v>50.501451216072837</v>
      </c>
    </row>
    <row r="168" spans="2:7">
      <c r="B168" t="s">
        <v>2</v>
      </c>
      <c r="C168" s="2">
        <v>41844</v>
      </c>
      <c r="D168" t="s">
        <v>6</v>
      </c>
      <c r="E168">
        <v>2.6313230000000001</v>
      </c>
      <c r="F168">
        <f t="shared" si="4"/>
        <v>4.3585999999999903E-2</v>
      </c>
      <c r="G168">
        <f t="shared" si="5"/>
        <v>50.557246629872878</v>
      </c>
    </row>
    <row r="169" spans="2:7">
      <c r="B169" t="s">
        <v>2</v>
      </c>
      <c r="C169" s="2">
        <v>41843</v>
      </c>
      <c r="D169" t="s">
        <v>6</v>
      </c>
      <c r="E169">
        <v>2.5877370000000002</v>
      </c>
      <c r="F169">
        <f t="shared" si="4"/>
        <v>-1.8089999999997275E-3</v>
      </c>
      <c r="G169">
        <f t="shared" si="5"/>
        <v>49.754297001523661</v>
      </c>
    </row>
    <row r="170" spans="2:7">
      <c r="B170" t="s">
        <v>2</v>
      </c>
      <c r="C170" s="2">
        <v>41842</v>
      </c>
      <c r="D170" t="s">
        <v>6</v>
      </c>
      <c r="E170">
        <v>2.5895459999999999</v>
      </c>
      <c r="F170">
        <f t="shared" si="4"/>
        <v>-4.0080000000002336E-3</v>
      </c>
      <c r="G170">
        <f t="shared" si="5"/>
        <v>49.788212272182406</v>
      </c>
    </row>
    <row r="171" spans="2:7">
      <c r="B171" t="s">
        <v>2</v>
      </c>
      <c r="C171" s="2">
        <v>41841</v>
      </c>
      <c r="D171" t="s">
        <v>6</v>
      </c>
      <c r="E171">
        <v>2.5935540000000001</v>
      </c>
      <c r="F171">
        <f t="shared" si="4"/>
        <v>-6.0109999999999886E-3</v>
      </c>
      <c r="G171">
        <f t="shared" si="5"/>
        <v>49.905427958825662</v>
      </c>
    </row>
    <row r="172" spans="2:7">
      <c r="B172" t="s">
        <v>2</v>
      </c>
      <c r="C172" s="2">
        <v>41838</v>
      </c>
      <c r="D172" t="s">
        <v>6</v>
      </c>
      <c r="E172">
        <v>2.5995650000000001</v>
      </c>
      <c r="F172">
        <f t="shared" si="4"/>
        <v>5.7789999999999786E-3</v>
      </c>
      <c r="G172">
        <f t="shared" si="5"/>
        <v>49.935620672400383</v>
      </c>
    </row>
    <row r="173" spans="2:7">
      <c r="B173" t="s">
        <v>2</v>
      </c>
      <c r="C173" s="2">
        <v>41837</v>
      </c>
      <c r="D173" t="s">
        <v>6</v>
      </c>
      <c r="E173">
        <v>2.5937860000000001</v>
      </c>
      <c r="F173">
        <f t="shared" si="4"/>
        <v>-5.2939999999999987E-2</v>
      </c>
      <c r="G173">
        <f t="shared" si="5"/>
        <v>50.633843312226425</v>
      </c>
    </row>
    <row r="174" spans="2:7">
      <c r="B174" t="s">
        <v>2</v>
      </c>
      <c r="C174" s="2">
        <v>41836</v>
      </c>
      <c r="D174" t="s">
        <v>6</v>
      </c>
      <c r="E174">
        <v>2.6467260000000001</v>
      </c>
      <c r="F174">
        <f t="shared" si="4"/>
        <v>-9.8519999999999719E-3</v>
      </c>
      <c r="G174">
        <f t="shared" si="5"/>
        <v>49.625081372686616</v>
      </c>
    </row>
    <row r="175" spans="2:7">
      <c r="B175" t="s">
        <v>2</v>
      </c>
      <c r="C175" s="2">
        <v>41835</v>
      </c>
      <c r="D175" t="s">
        <v>6</v>
      </c>
      <c r="E175">
        <v>2.6565780000000001</v>
      </c>
      <c r="F175">
        <f t="shared" si="4"/>
        <v>-9.8999999999982435E-4</v>
      </c>
      <c r="G175">
        <f t="shared" si="5"/>
        <v>49.606087864327655</v>
      </c>
    </row>
    <row r="176" spans="2:7">
      <c r="B176" t="s">
        <v>2</v>
      </c>
      <c r="C176" s="2">
        <v>41834</v>
      </c>
      <c r="D176" t="s">
        <v>6</v>
      </c>
      <c r="E176">
        <v>2.6575679999999999</v>
      </c>
      <c r="F176">
        <f t="shared" si="4"/>
        <v>2.6930000000000121E-2</v>
      </c>
      <c r="G176">
        <f t="shared" si="5"/>
        <v>51.669582990851126</v>
      </c>
    </row>
    <row r="177" spans="2:7">
      <c r="B177" t="s">
        <v>2</v>
      </c>
      <c r="C177" s="2">
        <v>41831</v>
      </c>
      <c r="D177" t="s">
        <v>6</v>
      </c>
      <c r="E177">
        <v>2.6306379999999998</v>
      </c>
      <c r="F177">
        <f t="shared" si="4"/>
        <v>-1.3124000000000358E-2</v>
      </c>
      <c r="G177">
        <f t="shared" si="5"/>
        <v>51.456900564815342</v>
      </c>
    </row>
    <row r="178" spans="2:7">
      <c r="B178" t="s">
        <v>2</v>
      </c>
      <c r="C178" s="2">
        <v>41830</v>
      </c>
      <c r="D178" t="s">
        <v>6</v>
      </c>
      <c r="E178">
        <v>2.6437620000000002</v>
      </c>
      <c r="F178">
        <f t="shared" si="4"/>
        <v>-1.4000000000002899E-4</v>
      </c>
      <c r="G178">
        <f t="shared" si="5"/>
        <v>51.429866622854838</v>
      </c>
    </row>
    <row r="179" spans="2:7">
      <c r="B179" t="s">
        <v>2</v>
      </c>
      <c r="C179" s="2">
        <v>41829</v>
      </c>
      <c r="D179" t="s">
        <v>6</v>
      </c>
      <c r="E179">
        <v>2.6439020000000002</v>
      </c>
      <c r="F179">
        <f t="shared" si="4"/>
        <v>-1.7388999999999655E-2</v>
      </c>
      <c r="G179">
        <f t="shared" si="5"/>
        <v>51.712808585680335</v>
      </c>
    </row>
    <row r="180" spans="2:7">
      <c r="B180" t="s">
        <v>2</v>
      </c>
      <c r="C180" s="2">
        <v>41828</v>
      </c>
      <c r="D180" t="s">
        <v>6</v>
      </c>
      <c r="E180">
        <v>2.6612909999999999</v>
      </c>
      <c r="F180">
        <f t="shared" si="4"/>
        <v>-5.3120999999999974E-2</v>
      </c>
      <c r="G180">
        <f t="shared" si="5"/>
        <v>51.672244853942317</v>
      </c>
    </row>
    <row r="181" spans="2:7">
      <c r="B181" t="s">
        <v>2</v>
      </c>
      <c r="C181" s="2">
        <v>41827</v>
      </c>
      <c r="D181" t="s">
        <v>6</v>
      </c>
      <c r="E181">
        <v>2.7144119999999998</v>
      </c>
      <c r="F181">
        <f t="shared" si="4"/>
        <v>-2.9447000000000223E-2</v>
      </c>
      <c r="G181">
        <f t="shared" si="5"/>
        <v>51.483883403684281</v>
      </c>
    </row>
    <row r="182" spans="2:7">
      <c r="B182" t="s">
        <v>2</v>
      </c>
      <c r="C182" s="2">
        <v>41823</v>
      </c>
      <c r="D182" t="s">
        <v>6</v>
      </c>
      <c r="E182">
        <v>2.743859</v>
      </c>
      <c r="F182">
        <f t="shared" si="4"/>
        <v>1.3167999999999846E-2</v>
      </c>
      <c r="G182">
        <f t="shared" si="5"/>
        <v>51.153945492384636</v>
      </c>
    </row>
    <row r="183" spans="2:7">
      <c r="B183" t="s">
        <v>2</v>
      </c>
      <c r="C183" s="2">
        <v>41822</v>
      </c>
      <c r="D183" t="s">
        <v>6</v>
      </c>
      <c r="E183">
        <v>2.7306910000000002</v>
      </c>
      <c r="F183">
        <f t="shared" si="4"/>
        <v>6.5495000000000303E-2</v>
      </c>
      <c r="G183">
        <f t="shared" si="5"/>
        <v>51.206234229634873</v>
      </c>
    </row>
    <row r="184" spans="2:7">
      <c r="B184" t="s">
        <v>2</v>
      </c>
      <c r="C184" s="2">
        <v>41821</v>
      </c>
      <c r="D184" t="s">
        <v>6</v>
      </c>
      <c r="E184">
        <v>2.6651959999999999</v>
      </c>
      <c r="F184">
        <f t="shared" si="4"/>
        <v>5.0990000000000091E-2</v>
      </c>
      <c r="G184">
        <f t="shared" si="5"/>
        <v>49.530540802333398</v>
      </c>
    </row>
    <row r="185" spans="2:7">
      <c r="B185" t="s">
        <v>2</v>
      </c>
      <c r="C185" s="2">
        <v>41820</v>
      </c>
      <c r="D185" t="s">
        <v>6</v>
      </c>
      <c r="E185">
        <v>2.6142059999999998</v>
      </c>
      <c r="F185">
        <f t="shared" si="4"/>
        <v>-2.3494000000000348E-2</v>
      </c>
      <c r="G185">
        <f t="shared" si="5"/>
        <v>49.901262748216382</v>
      </c>
    </row>
    <row r="186" spans="2:7">
      <c r="B186" t="s">
        <v>2</v>
      </c>
      <c r="C186" s="2">
        <v>41817</v>
      </c>
      <c r="D186" t="s">
        <v>6</v>
      </c>
      <c r="E186">
        <v>2.6377000000000002</v>
      </c>
      <c r="F186">
        <f t="shared" si="4"/>
        <v>9.0110000000001023E-3</v>
      </c>
      <c r="G186">
        <f t="shared" si="5"/>
        <v>49.785651554465829</v>
      </c>
    </row>
    <row r="187" spans="2:7">
      <c r="B187" t="s">
        <v>2</v>
      </c>
      <c r="C187" s="2">
        <v>41816</v>
      </c>
      <c r="D187" t="s">
        <v>6</v>
      </c>
      <c r="E187">
        <v>2.6286890000000001</v>
      </c>
      <c r="F187">
        <f t="shared" si="4"/>
        <v>-2.9211000000000098E-2</v>
      </c>
      <c r="G187">
        <f t="shared" si="5"/>
        <v>50.528582370588602</v>
      </c>
    </row>
    <row r="188" spans="2:7">
      <c r="B188" t="s">
        <v>2</v>
      </c>
      <c r="C188" s="2">
        <v>41815</v>
      </c>
      <c r="D188" t="s">
        <v>6</v>
      </c>
      <c r="E188">
        <v>2.6579000000000002</v>
      </c>
      <c r="F188">
        <f t="shared" si="4"/>
        <v>-2.6383000000000045E-2</v>
      </c>
      <c r="G188">
        <f t="shared" si="5"/>
        <v>50.945844631422496</v>
      </c>
    </row>
    <row r="189" spans="2:7">
      <c r="B189" t="s">
        <v>2</v>
      </c>
      <c r="C189" s="2">
        <v>41814</v>
      </c>
      <c r="D189" t="s">
        <v>6</v>
      </c>
      <c r="E189">
        <v>2.6842830000000002</v>
      </c>
      <c r="F189">
        <f t="shared" si="4"/>
        <v>-2.5392999999999777E-2</v>
      </c>
      <c r="G189">
        <f t="shared" si="5"/>
        <v>50.803184181723495</v>
      </c>
    </row>
    <row r="190" spans="2:7">
      <c r="B190" t="s">
        <v>2</v>
      </c>
      <c r="C190" s="2">
        <v>41813</v>
      </c>
      <c r="D190" t="s">
        <v>6</v>
      </c>
      <c r="E190">
        <v>2.709676</v>
      </c>
      <c r="F190">
        <f t="shared" si="4"/>
        <v>-3.2879999999999576E-3</v>
      </c>
      <c r="G190">
        <f t="shared" si="5"/>
        <v>51.309979567254672</v>
      </c>
    </row>
    <row r="191" spans="2:7">
      <c r="B191" t="s">
        <v>2</v>
      </c>
      <c r="C191" s="2">
        <v>41810</v>
      </c>
      <c r="D191" t="s">
        <v>6</v>
      </c>
      <c r="E191">
        <v>2.7129639999999999</v>
      </c>
      <c r="F191">
        <f t="shared" si="4"/>
        <v>-1.6069999999999141E-3</v>
      </c>
      <c r="G191">
        <f t="shared" si="5"/>
        <v>51.59375301011535</v>
      </c>
    </row>
    <row r="192" spans="2:7">
      <c r="B192" t="s">
        <v>2</v>
      </c>
      <c r="C192" s="2">
        <v>41809</v>
      </c>
      <c r="D192" t="s">
        <v>6</v>
      </c>
      <c r="E192">
        <v>2.7145709999999998</v>
      </c>
      <c r="F192">
        <f t="shared" si="4"/>
        <v>6.2709999999999155E-3</v>
      </c>
      <c r="G192">
        <f t="shared" si="5"/>
        <v>52.061226232788485</v>
      </c>
    </row>
    <row r="193" spans="2:7">
      <c r="B193" t="s">
        <v>2</v>
      </c>
      <c r="C193" s="2">
        <v>41808</v>
      </c>
      <c r="D193" t="s">
        <v>6</v>
      </c>
      <c r="E193">
        <v>2.7082999999999999</v>
      </c>
      <c r="F193">
        <f t="shared" si="4"/>
        <v>-3.9197000000000148E-2</v>
      </c>
      <c r="G193">
        <f t="shared" si="5"/>
        <v>52.058041760498973</v>
      </c>
    </row>
    <row r="194" spans="2:7">
      <c r="B194" t="s">
        <v>2</v>
      </c>
      <c r="C194" s="2">
        <v>41807</v>
      </c>
      <c r="D194" t="s">
        <v>6</v>
      </c>
      <c r="E194">
        <v>2.7474970000000001</v>
      </c>
      <c r="F194">
        <f t="shared" si="4"/>
        <v>5.0021000000000093E-2</v>
      </c>
      <c r="G194">
        <f t="shared" si="5"/>
        <v>51.549413273606781</v>
      </c>
    </row>
    <row r="195" spans="2:7">
      <c r="B195" t="s">
        <v>2</v>
      </c>
      <c r="C195" s="2">
        <v>41806</v>
      </c>
      <c r="D195" t="s">
        <v>6</v>
      </c>
      <c r="E195">
        <v>2.697476</v>
      </c>
      <c r="F195">
        <f t="shared" ref="F195:F258" si="6">E195-E196</f>
        <v>-3.9009999999999323E-3</v>
      </c>
      <c r="G195">
        <f t="shared" ref="G195:G258" si="7">STDEV(F195:F254)*SQRT(250)*100</f>
        <v>50.769442346171601</v>
      </c>
    </row>
    <row r="196" spans="2:7">
      <c r="B196" t="s">
        <v>2</v>
      </c>
      <c r="C196" s="2">
        <v>41803</v>
      </c>
      <c r="D196" t="s">
        <v>6</v>
      </c>
      <c r="E196">
        <v>2.7013769999999999</v>
      </c>
      <c r="F196">
        <f t="shared" si="6"/>
        <v>1.1807000000000123E-2</v>
      </c>
      <c r="G196">
        <f t="shared" si="7"/>
        <v>50.846775545901167</v>
      </c>
    </row>
    <row r="197" spans="2:7">
      <c r="B197" t="s">
        <v>2</v>
      </c>
      <c r="C197" s="2">
        <v>41802</v>
      </c>
      <c r="D197" t="s">
        <v>6</v>
      </c>
      <c r="E197">
        <v>2.6895699999999998</v>
      </c>
      <c r="F197">
        <f t="shared" si="6"/>
        <v>-5.5713000000000346E-2</v>
      </c>
      <c r="G197">
        <f t="shared" si="7"/>
        <v>54.177273264077321</v>
      </c>
    </row>
    <row r="198" spans="2:7">
      <c r="B198" t="s">
        <v>2</v>
      </c>
      <c r="C198" s="2">
        <v>41801</v>
      </c>
      <c r="D198" t="s">
        <v>6</v>
      </c>
      <c r="E198">
        <v>2.7452830000000001</v>
      </c>
      <c r="F198">
        <f t="shared" si="6"/>
        <v>-4.5349999999997337E-3</v>
      </c>
      <c r="G198">
        <f t="shared" si="7"/>
        <v>53.092020678756704</v>
      </c>
    </row>
    <row r="199" spans="2:7">
      <c r="B199" t="s">
        <v>2</v>
      </c>
      <c r="C199" s="2">
        <v>41800</v>
      </c>
      <c r="D199" t="s">
        <v>6</v>
      </c>
      <c r="E199">
        <v>2.7498179999999999</v>
      </c>
      <c r="F199">
        <f t="shared" si="6"/>
        <v>2.0540000000000003E-2</v>
      </c>
      <c r="G199">
        <f t="shared" si="7"/>
        <v>54.204481127194271</v>
      </c>
    </row>
    <row r="200" spans="2:7">
      <c r="B200" t="s">
        <v>2</v>
      </c>
      <c r="C200" s="2">
        <v>41799</v>
      </c>
      <c r="D200" t="s">
        <v>6</v>
      </c>
      <c r="E200">
        <v>2.7292779999999999</v>
      </c>
      <c r="F200">
        <f t="shared" si="6"/>
        <v>1.6264999999999752E-2</v>
      </c>
      <c r="G200">
        <f t="shared" si="7"/>
        <v>54.04718330015065</v>
      </c>
    </row>
    <row r="201" spans="2:7">
      <c r="B201" t="s">
        <v>2</v>
      </c>
      <c r="C201" s="2">
        <v>41796</v>
      </c>
      <c r="D201" t="s">
        <v>6</v>
      </c>
      <c r="E201">
        <v>2.7130130000000001</v>
      </c>
      <c r="F201">
        <f t="shared" si="6"/>
        <v>9.8620000000000374E-3</v>
      </c>
      <c r="G201">
        <f t="shared" si="7"/>
        <v>55.328793774070682</v>
      </c>
    </row>
    <row r="202" spans="2:7">
      <c r="B202" t="s">
        <v>2</v>
      </c>
      <c r="C202" s="2">
        <v>41795</v>
      </c>
      <c r="D202" t="s">
        <v>6</v>
      </c>
      <c r="E202">
        <v>2.7031510000000001</v>
      </c>
      <c r="F202">
        <f t="shared" si="6"/>
        <v>-1.7297000000000118E-2</v>
      </c>
      <c r="G202">
        <f t="shared" si="7"/>
        <v>55.726580147690022</v>
      </c>
    </row>
    <row r="203" spans="2:7">
      <c r="B203" t="s">
        <v>2</v>
      </c>
      <c r="C203" s="2">
        <v>41794</v>
      </c>
      <c r="D203" t="s">
        <v>6</v>
      </c>
      <c r="E203">
        <v>2.7204480000000002</v>
      </c>
      <c r="F203">
        <f t="shared" si="6"/>
        <v>1.7330999999999985E-2</v>
      </c>
      <c r="G203">
        <f t="shared" si="7"/>
        <v>55.772026593809997</v>
      </c>
    </row>
    <row r="204" spans="2:7">
      <c r="B204" t="s">
        <v>2</v>
      </c>
      <c r="C204" s="2">
        <v>41793</v>
      </c>
      <c r="D204" t="s">
        <v>6</v>
      </c>
      <c r="E204">
        <v>2.7031170000000002</v>
      </c>
      <c r="F204">
        <f t="shared" si="6"/>
        <v>6.0252000000000194E-2</v>
      </c>
      <c r="G204">
        <f t="shared" si="7"/>
        <v>55.641408129365686</v>
      </c>
    </row>
    <row r="205" spans="2:7">
      <c r="B205" t="s">
        <v>2</v>
      </c>
      <c r="C205" s="2">
        <v>41792</v>
      </c>
      <c r="D205" t="s">
        <v>6</v>
      </c>
      <c r="E205">
        <v>2.642865</v>
      </c>
      <c r="F205">
        <f t="shared" si="6"/>
        <v>7.8926000000000052E-2</v>
      </c>
      <c r="G205">
        <f t="shared" si="7"/>
        <v>55.074910422149259</v>
      </c>
    </row>
    <row r="206" spans="2:7">
      <c r="B206" t="s">
        <v>2</v>
      </c>
      <c r="C206" s="2">
        <v>41789</v>
      </c>
      <c r="D206" t="s">
        <v>6</v>
      </c>
      <c r="E206">
        <v>2.563939</v>
      </c>
      <c r="F206">
        <f t="shared" si="6"/>
        <v>1.809599999999989E-2</v>
      </c>
      <c r="G206">
        <f t="shared" si="7"/>
        <v>53.260609694749959</v>
      </c>
    </row>
    <row r="207" spans="2:7">
      <c r="B207" t="s">
        <v>2</v>
      </c>
      <c r="C207" s="2">
        <v>41788</v>
      </c>
      <c r="D207" t="s">
        <v>6</v>
      </c>
      <c r="E207">
        <v>2.5458430000000001</v>
      </c>
      <c r="F207">
        <f t="shared" si="6"/>
        <v>1.1566999999999883E-2</v>
      </c>
      <c r="G207">
        <f t="shared" si="7"/>
        <v>53.066048607253812</v>
      </c>
    </row>
    <row r="208" spans="2:7">
      <c r="B208" t="s">
        <v>2</v>
      </c>
      <c r="C208" s="2">
        <v>41787</v>
      </c>
      <c r="D208" t="s">
        <v>6</v>
      </c>
      <c r="E208">
        <v>2.5342760000000002</v>
      </c>
      <c r="F208">
        <f t="shared" si="6"/>
        <v>-7.4208999999999747E-2</v>
      </c>
      <c r="G208">
        <f t="shared" si="7"/>
        <v>55.643861818645448</v>
      </c>
    </row>
    <row r="209" spans="2:7">
      <c r="B209" t="s">
        <v>2</v>
      </c>
      <c r="C209" s="2">
        <v>41786</v>
      </c>
      <c r="D209" t="s">
        <v>6</v>
      </c>
      <c r="E209">
        <v>2.6084849999999999</v>
      </c>
      <c r="F209">
        <f t="shared" si="6"/>
        <v>-2.0138000000000211E-2</v>
      </c>
      <c r="G209">
        <f t="shared" si="7"/>
        <v>54.199427255453571</v>
      </c>
    </row>
    <row r="210" spans="2:7">
      <c r="B210" t="s">
        <v>2</v>
      </c>
      <c r="C210" s="2">
        <v>41782</v>
      </c>
      <c r="D210" t="s">
        <v>6</v>
      </c>
      <c r="E210">
        <v>2.6286230000000002</v>
      </c>
      <c r="F210">
        <f t="shared" si="6"/>
        <v>-2.242999999999995E-2</v>
      </c>
      <c r="G210">
        <f t="shared" si="7"/>
        <v>54.24801367080736</v>
      </c>
    </row>
    <row r="211" spans="2:7">
      <c r="B211" t="s">
        <v>2</v>
      </c>
      <c r="C211" s="2">
        <v>41781</v>
      </c>
      <c r="D211" t="s">
        <v>6</v>
      </c>
      <c r="E211">
        <v>2.6510530000000001</v>
      </c>
      <c r="F211">
        <f t="shared" si="6"/>
        <v>2.2343000000000224E-2</v>
      </c>
      <c r="G211">
        <f t="shared" si="7"/>
        <v>54.180005324758071</v>
      </c>
    </row>
    <row r="212" spans="2:7">
      <c r="B212" t="s">
        <v>2</v>
      </c>
      <c r="C212" s="2">
        <v>41780</v>
      </c>
      <c r="D212" t="s">
        <v>6</v>
      </c>
      <c r="E212">
        <v>2.6287099999999999</v>
      </c>
      <c r="F212">
        <f t="shared" si="6"/>
        <v>2.0623000000000058E-2</v>
      </c>
      <c r="G212">
        <f t="shared" si="7"/>
        <v>54.219063166887238</v>
      </c>
    </row>
    <row r="213" spans="2:7">
      <c r="B213" t="s">
        <v>2</v>
      </c>
      <c r="C213" s="2">
        <v>41779</v>
      </c>
      <c r="D213" t="s">
        <v>6</v>
      </c>
      <c r="E213">
        <v>2.6080869999999998</v>
      </c>
      <c r="F213">
        <f t="shared" si="6"/>
        <v>-2.8008000000000255E-2</v>
      </c>
      <c r="G213">
        <f t="shared" si="7"/>
        <v>54.842917584318066</v>
      </c>
    </row>
    <row r="214" spans="2:7">
      <c r="B214" t="s">
        <v>2</v>
      </c>
      <c r="C214" s="2">
        <v>41778</v>
      </c>
      <c r="D214" t="s">
        <v>6</v>
      </c>
      <c r="E214">
        <v>2.6360950000000001</v>
      </c>
      <c r="F214">
        <f t="shared" si="6"/>
        <v>2.1104999999999929E-2</v>
      </c>
      <c r="G214">
        <f t="shared" si="7"/>
        <v>54.753068662106642</v>
      </c>
    </row>
    <row r="215" spans="2:7">
      <c r="B215" t="s">
        <v>2</v>
      </c>
      <c r="C215" s="2">
        <v>41775</v>
      </c>
      <c r="D215" t="s">
        <v>6</v>
      </c>
      <c r="E215">
        <v>2.6149900000000001</v>
      </c>
      <c r="F215">
        <f t="shared" si="6"/>
        <v>2.3271000000000264E-2</v>
      </c>
      <c r="G215">
        <f t="shared" si="7"/>
        <v>54.767289219773652</v>
      </c>
    </row>
    <row r="216" spans="2:7">
      <c r="B216" t="s">
        <v>2</v>
      </c>
      <c r="C216" s="2">
        <v>41774</v>
      </c>
      <c r="D216" t="s">
        <v>6</v>
      </c>
      <c r="E216">
        <v>2.5917189999999999</v>
      </c>
      <c r="F216">
        <f t="shared" si="6"/>
        <v>-3.7704000000000182E-2</v>
      </c>
      <c r="G216">
        <f t="shared" si="7"/>
        <v>54.634742689687407</v>
      </c>
    </row>
    <row r="217" spans="2:7">
      <c r="B217" t="s">
        <v>2</v>
      </c>
      <c r="C217" s="2">
        <v>41773</v>
      </c>
      <c r="D217" t="s">
        <v>6</v>
      </c>
      <c r="E217">
        <v>2.6294230000000001</v>
      </c>
      <c r="F217">
        <f t="shared" si="6"/>
        <v>-7.0161999999999836E-2</v>
      </c>
      <c r="G217">
        <f t="shared" si="7"/>
        <v>54.413183728911086</v>
      </c>
    </row>
    <row r="218" spans="2:7">
      <c r="B218" t="s">
        <v>2</v>
      </c>
      <c r="C218" s="2">
        <v>41772</v>
      </c>
      <c r="D218" t="s">
        <v>6</v>
      </c>
      <c r="E218">
        <v>2.6995849999999999</v>
      </c>
      <c r="F218">
        <f t="shared" si="6"/>
        <v>-3.2096000000000124E-2</v>
      </c>
      <c r="G218">
        <f t="shared" si="7"/>
        <v>52.88665611739556</v>
      </c>
    </row>
    <row r="219" spans="2:7">
      <c r="B219" t="s">
        <v>2</v>
      </c>
      <c r="C219" s="2">
        <v>41771</v>
      </c>
      <c r="D219" t="s">
        <v>6</v>
      </c>
      <c r="E219">
        <v>2.731681</v>
      </c>
      <c r="F219">
        <f t="shared" si="6"/>
        <v>2.7206000000000063E-2</v>
      </c>
      <c r="G219">
        <f t="shared" si="7"/>
        <v>52.634266936641374</v>
      </c>
    </row>
    <row r="220" spans="2:7">
      <c r="B220" t="s">
        <v>2</v>
      </c>
      <c r="C220" s="2">
        <v>41768</v>
      </c>
      <c r="D220" t="s">
        <v>6</v>
      </c>
      <c r="E220">
        <v>2.704475</v>
      </c>
      <c r="F220">
        <f t="shared" si="6"/>
        <v>2.6250000000000107E-2</v>
      </c>
      <c r="G220">
        <f t="shared" si="7"/>
        <v>53.240258284124643</v>
      </c>
    </row>
    <row r="221" spans="2:7">
      <c r="B221" t="s">
        <v>2</v>
      </c>
      <c r="C221" s="2">
        <v>41767</v>
      </c>
      <c r="D221" t="s">
        <v>6</v>
      </c>
      <c r="E221">
        <v>2.6782249999999999</v>
      </c>
      <c r="F221">
        <f t="shared" si="6"/>
        <v>-1.7570000000000086E-2</v>
      </c>
      <c r="G221">
        <f t="shared" si="7"/>
        <v>53.740217218866206</v>
      </c>
    </row>
    <row r="222" spans="2:7">
      <c r="B222" t="s">
        <v>2</v>
      </c>
      <c r="C222" s="2">
        <v>41766</v>
      </c>
      <c r="D222" t="s">
        <v>6</v>
      </c>
      <c r="E222">
        <v>2.6957949999999999</v>
      </c>
      <c r="F222">
        <f t="shared" si="6"/>
        <v>-1.3456000000000135E-2</v>
      </c>
      <c r="G222">
        <f t="shared" si="7"/>
        <v>54.647718270167367</v>
      </c>
    </row>
    <row r="223" spans="2:7">
      <c r="B223" t="s">
        <v>2</v>
      </c>
      <c r="C223" s="2">
        <v>41765</v>
      </c>
      <c r="D223" t="s">
        <v>6</v>
      </c>
      <c r="E223">
        <v>2.7092510000000001</v>
      </c>
      <c r="F223">
        <f t="shared" si="6"/>
        <v>-1.8491999999999731E-2</v>
      </c>
      <c r="G223">
        <f t="shared" si="7"/>
        <v>54.607728442912773</v>
      </c>
    </row>
    <row r="224" spans="2:7">
      <c r="B224" t="s">
        <v>2</v>
      </c>
      <c r="C224" s="2">
        <v>41764</v>
      </c>
      <c r="D224" t="s">
        <v>6</v>
      </c>
      <c r="E224">
        <v>2.7277429999999998</v>
      </c>
      <c r="F224">
        <f t="shared" si="6"/>
        <v>1.9521999999999817E-2</v>
      </c>
      <c r="G224">
        <f t="shared" si="7"/>
        <v>54.883528586442601</v>
      </c>
    </row>
    <row r="225" spans="2:7">
      <c r="B225" t="s">
        <v>2</v>
      </c>
      <c r="C225" s="2">
        <v>41761</v>
      </c>
      <c r="D225" t="s">
        <v>6</v>
      </c>
      <c r="E225">
        <v>2.708221</v>
      </c>
      <c r="F225">
        <f t="shared" si="6"/>
        <v>-1.3053999999999899E-2</v>
      </c>
      <c r="G225">
        <f t="shared" si="7"/>
        <v>55.172234658774968</v>
      </c>
    </row>
    <row r="226" spans="2:7">
      <c r="B226" t="s">
        <v>2</v>
      </c>
      <c r="C226" s="2">
        <v>41760</v>
      </c>
      <c r="D226" t="s">
        <v>6</v>
      </c>
      <c r="E226">
        <v>2.7212749999999999</v>
      </c>
      <c r="F226">
        <f t="shared" si="6"/>
        <v>-3.063500000000019E-2</v>
      </c>
      <c r="G226">
        <f t="shared" si="7"/>
        <v>55.720850110625918</v>
      </c>
    </row>
    <row r="227" spans="2:7">
      <c r="B227" t="s">
        <v>2</v>
      </c>
      <c r="C227" s="2">
        <v>41759</v>
      </c>
      <c r="D227" t="s">
        <v>6</v>
      </c>
      <c r="E227">
        <v>2.7519100000000001</v>
      </c>
      <c r="F227">
        <f t="shared" si="6"/>
        <v>-4.2243000000000031E-2</v>
      </c>
      <c r="G227">
        <f t="shared" si="7"/>
        <v>56.100094808140369</v>
      </c>
    </row>
    <row r="228" spans="2:7">
      <c r="B228" t="s">
        <v>2</v>
      </c>
      <c r="C228" s="2">
        <v>41758</v>
      </c>
      <c r="D228" t="s">
        <v>6</v>
      </c>
      <c r="E228">
        <v>2.7941530000000001</v>
      </c>
      <c r="F228">
        <f t="shared" si="6"/>
        <v>1.3349999999999973E-2</v>
      </c>
      <c r="G228">
        <f t="shared" si="7"/>
        <v>57.899078022039809</v>
      </c>
    </row>
    <row r="229" spans="2:7">
      <c r="B229" t="s">
        <v>2</v>
      </c>
      <c r="C229" s="2">
        <v>41757</v>
      </c>
      <c r="D229" t="s">
        <v>6</v>
      </c>
      <c r="E229">
        <v>2.7808030000000001</v>
      </c>
      <c r="F229">
        <f t="shared" si="6"/>
        <v>5.8730000000002391E-3</v>
      </c>
      <c r="G229">
        <f t="shared" si="7"/>
        <v>58.031666752471537</v>
      </c>
    </row>
    <row r="230" spans="2:7">
      <c r="B230" t="s">
        <v>2</v>
      </c>
      <c r="C230" s="2">
        <v>41754</v>
      </c>
      <c r="D230" t="s">
        <v>6</v>
      </c>
      <c r="E230">
        <v>2.7749299999999999</v>
      </c>
      <c r="F230">
        <f t="shared" si="6"/>
        <v>-1.9846999999999948E-2</v>
      </c>
      <c r="G230">
        <f t="shared" si="7"/>
        <v>58.132336019141427</v>
      </c>
    </row>
    <row r="231" spans="2:7">
      <c r="B231" t="s">
        <v>2</v>
      </c>
      <c r="C231" s="2">
        <v>41753</v>
      </c>
      <c r="D231" t="s">
        <v>6</v>
      </c>
      <c r="E231">
        <v>2.7947769999999998</v>
      </c>
      <c r="F231">
        <f t="shared" si="6"/>
        <v>5.6159999999998433E-3</v>
      </c>
      <c r="G231">
        <f t="shared" si="7"/>
        <v>59.35454688409029</v>
      </c>
    </row>
    <row r="232" spans="2:7">
      <c r="B232" t="s">
        <v>2</v>
      </c>
      <c r="C232" s="2">
        <v>41752</v>
      </c>
      <c r="D232" t="s">
        <v>6</v>
      </c>
      <c r="E232">
        <v>2.789161</v>
      </c>
      <c r="F232">
        <f t="shared" si="6"/>
        <v>-4.5357999999999787E-2</v>
      </c>
      <c r="G232">
        <f t="shared" si="7"/>
        <v>59.391286110186456</v>
      </c>
    </row>
    <row r="233" spans="2:7">
      <c r="B233" t="s">
        <v>2</v>
      </c>
      <c r="C233" s="2">
        <v>41751</v>
      </c>
      <c r="D233" t="s">
        <v>6</v>
      </c>
      <c r="E233">
        <v>2.8345189999999998</v>
      </c>
      <c r="F233">
        <f t="shared" si="6"/>
        <v>3.7789999999997548E-3</v>
      </c>
      <c r="G233">
        <f t="shared" si="7"/>
        <v>59.043575385635336</v>
      </c>
    </row>
    <row r="234" spans="2:7">
      <c r="B234" t="s">
        <v>2</v>
      </c>
      <c r="C234" s="2">
        <v>41750</v>
      </c>
      <c r="D234" t="s">
        <v>6</v>
      </c>
      <c r="E234">
        <v>2.83074</v>
      </c>
      <c r="F234">
        <f t="shared" si="6"/>
        <v>-1.4099999999999113E-3</v>
      </c>
      <c r="G234">
        <f t="shared" si="7"/>
        <v>59.493123263673588</v>
      </c>
    </row>
    <row r="235" spans="2:7">
      <c r="B235" t="s">
        <v>2</v>
      </c>
      <c r="C235" s="2">
        <v>41746</v>
      </c>
      <c r="D235" t="s">
        <v>6</v>
      </c>
      <c r="E235">
        <v>2.8321499999999999</v>
      </c>
      <c r="F235">
        <f t="shared" si="6"/>
        <v>6.7889000000000088E-2</v>
      </c>
      <c r="G235">
        <f t="shared" si="7"/>
        <v>61.472039170564564</v>
      </c>
    </row>
    <row r="236" spans="2:7">
      <c r="B236" t="s">
        <v>2</v>
      </c>
      <c r="C236" s="2">
        <v>41745</v>
      </c>
      <c r="D236" t="s">
        <v>6</v>
      </c>
      <c r="E236">
        <v>2.7642609999999999</v>
      </c>
      <c r="F236">
        <f t="shared" si="6"/>
        <v>1.5788999999999831E-2</v>
      </c>
      <c r="G236">
        <f t="shared" si="7"/>
        <v>60.527036222792589</v>
      </c>
    </row>
    <row r="237" spans="2:7">
      <c r="B237" t="s">
        <v>2</v>
      </c>
      <c r="C237" s="2">
        <v>41744</v>
      </c>
      <c r="D237" t="s">
        <v>6</v>
      </c>
      <c r="E237">
        <v>2.748472</v>
      </c>
      <c r="F237">
        <f t="shared" si="6"/>
        <v>-9.6519999999999939E-3</v>
      </c>
      <c r="G237">
        <f t="shared" si="7"/>
        <v>60.444042781582475</v>
      </c>
    </row>
    <row r="238" spans="2:7">
      <c r="B238" t="s">
        <v>2</v>
      </c>
      <c r="C238" s="2">
        <v>41743</v>
      </c>
      <c r="D238" t="s">
        <v>6</v>
      </c>
      <c r="E238">
        <v>2.758124</v>
      </c>
      <c r="F238">
        <f t="shared" si="6"/>
        <v>2.458999999999989E-2</v>
      </c>
      <c r="G238">
        <f t="shared" si="7"/>
        <v>60.466661797275243</v>
      </c>
    </row>
    <row r="239" spans="2:7">
      <c r="B239" t="s">
        <v>2</v>
      </c>
      <c r="C239" s="2">
        <v>41740</v>
      </c>
      <c r="D239" t="s">
        <v>6</v>
      </c>
      <c r="E239">
        <v>2.7335340000000001</v>
      </c>
      <c r="F239">
        <f t="shared" si="6"/>
        <v>-1.3898999999999884E-2</v>
      </c>
      <c r="G239">
        <f t="shared" si="7"/>
        <v>60.52007037156892</v>
      </c>
    </row>
    <row r="240" spans="2:7">
      <c r="B240" t="s">
        <v>2</v>
      </c>
      <c r="C240" s="2">
        <v>41739</v>
      </c>
      <c r="D240" t="s">
        <v>6</v>
      </c>
      <c r="E240">
        <v>2.747433</v>
      </c>
      <c r="F240">
        <f t="shared" si="6"/>
        <v>-4.8480000000000079E-2</v>
      </c>
      <c r="G240">
        <f t="shared" si="7"/>
        <v>60.762556705011974</v>
      </c>
    </row>
    <row r="241" spans="2:7">
      <c r="B241" t="s">
        <v>2</v>
      </c>
      <c r="C241" s="2">
        <v>41738</v>
      </c>
      <c r="D241" t="s">
        <v>6</v>
      </c>
      <c r="E241">
        <v>2.7959130000000001</v>
      </c>
      <c r="F241">
        <f t="shared" si="6"/>
        <v>9.0799999999990888E-4</v>
      </c>
      <c r="G241">
        <f t="shared" si="7"/>
        <v>61.084053234186598</v>
      </c>
    </row>
    <row r="242" spans="2:7">
      <c r="B242" t="s">
        <v>2</v>
      </c>
      <c r="C242" s="2">
        <v>41737</v>
      </c>
      <c r="D242" t="s">
        <v>6</v>
      </c>
      <c r="E242">
        <v>2.7950050000000002</v>
      </c>
      <c r="F242">
        <f t="shared" si="6"/>
        <v>-1.9303999999999988E-2</v>
      </c>
      <c r="G242">
        <f t="shared" si="7"/>
        <v>61.638656899505797</v>
      </c>
    </row>
    <row r="243" spans="2:7">
      <c r="B243" t="s">
        <v>2</v>
      </c>
      <c r="C243" s="2">
        <v>41736</v>
      </c>
      <c r="D243" t="s">
        <v>6</v>
      </c>
      <c r="E243">
        <v>2.8143090000000002</v>
      </c>
      <c r="F243">
        <f t="shared" si="6"/>
        <v>-2.6521999999999935E-2</v>
      </c>
      <c r="G243">
        <f t="shared" si="7"/>
        <v>64.488031364825574</v>
      </c>
    </row>
    <row r="244" spans="2:7">
      <c r="B244" t="s">
        <v>2</v>
      </c>
      <c r="C244" s="2">
        <v>41733</v>
      </c>
      <c r="D244" t="s">
        <v>6</v>
      </c>
      <c r="E244">
        <v>2.8408310000000001</v>
      </c>
      <c r="F244">
        <f t="shared" si="6"/>
        <v>-6.6219999999999946E-2</v>
      </c>
      <c r="G244">
        <f t="shared" si="7"/>
        <v>64.347473192832155</v>
      </c>
    </row>
    <row r="245" spans="2:7">
      <c r="B245" t="s">
        <v>2</v>
      </c>
      <c r="C245" s="2">
        <v>41732</v>
      </c>
      <c r="D245" t="s">
        <v>6</v>
      </c>
      <c r="E245">
        <v>2.9070510000000001</v>
      </c>
      <c r="F245">
        <f t="shared" si="6"/>
        <v>-1.3603999999999949E-2</v>
      </c>
      <c r="G245">
        <f t="shared" si="7"/>
        <v>64.143811453414429</v>
      </c>
    </row>
    <row r="246" spans="2:7">
      <c r="B246" t="s">
        <v>2</v>
      </c>
      <c r="C246" s="2">
        <v>41731</v>
      </c>
      <c r="D246" t="s">
        <v>6</v>
      </c>
      <c r="E246">
        <v>2.920655</v>
      </c>
      <c r="F246">
        <f t="shared" si="6"/>
        <v>3.9588000000000179E-2</v>
      </c>
      <c r="G246">
        <f t="shared" si="7"/>
        <v>64.241002438705735</v>
      </c>
    </row>
    <row r="247" spans="2:7">
      <c r="B247" t="s">
        <v>2</v>
      </c>
      <c r="C247" s="2">
        <v>41730</v>
      </c>
      <c r="D247" t="s">
        <v>6</v>
      </c>
      <c r="E247">
        <v>2.8810669999999998</v>
      </c>
      <c r="F247">
        <f t="shared" si="6"/>
        <v>3.6994999999999667E-2</v>
      </c>
      <c r="G247">
        <f t="shared" si="7"/>
        <v>63.977148781375071</v>
      </c>
    </row>
    <row r="248" spans="2:7">
      <c r="B248" t="s">
        <v>2</v>
      </c>
      <c r="C248" s="2">
        <v>41729</v>
      </c>
      <c r="D248" t="s">
        <v>6</v>
      </c>
      <c r="E248">
        <v>2.8440720000000002</v>
      </c>
      <c r="F248">
        <f t="shared" si="6"/>
        <v>1.1856000000000311E-2</v>
      </c>
      <c r="G248">
        <f t="shared" si="7"/>
        <v>63.473327701078034</v>
      </c>
    </row>
    <row r="249" spans="2:7">
      <c r="B249" t="s">
        <v>2</v>
      </c>
      <c r="C249" s="2">
        <v>41726</v>
      </c>
      <c r="D249" t="s">
        <v>6</v>
      </c>
      <c r="E249">
        <v>2.8322159999999998</v>
      </c>
      <c r="F249">
        <f t="shared" si="6"/>
        <v>4.0179999999999882E-2</v>
      </c>
      <c r="G249">
        <f t="shared" si="7"/>
        <v>63.582272011808527</v>
      </c>
    </row>
    <row r="250" spans="2:7">
      <c r="B250" t="s">
        <v>2</v>
      </c>
      <c r="C250" s="2">
        <v>41725</v>
      </c>
      <c r="D250" t="s">
        <v>6</v>
      </c>
      <c r="E250">
        <v>2.792036</v>
      </c>
      <c r="F250">
        <f t="shared" si="6"/>
        <v>-2.7884999999999938E-2</v>
      </c>
      <c r="G250">
        <f t="shared" si="7"/>
        <v>63.042295568783921</v>
      </c>
    </row>
    <row r="251" spans="2:7">
      <c r="B251" t="s">
        <v>2</v>
      </c>
      <c r="C251" s="2">
        <v>41724</v>
      </c>
      <c r="D251" t="s">
        <v>6</v>
      </c>
      <c r="E251">
        <v>2.8199209999999999</v>
      </c>
      <c r="F251">
        <f t="shared" si="6"/>
        <v>-3.588799999999992E-2</v>
      </c>
      <c r="G251">
        <f t="shared" si="7"/>
        <v>62.85810948843227</v>
      </c>
    </row>
    <row r="252" spans="2:7">
      <c r="B252" t="s">
        <v>2</v>
      </c>
      <c r="C252" s="2">
        <v>41723</v>
      </c>
      <c r="D252" t="s">
        <v>6</v>
      </c>
      <c r="E252">
        <v>2.8558089999999998</v>
      </c>
      <c r="F252">
        <f t="shared" si="6"/>
        <v>5.804999999999616E-3</v>
      </c>
      <c r="G252">
        <f t="shared" si="7"/>
        <v>62.523172875187996</v>
      </c>
    </row>
    <row r="253" spans="2:7">
      <c r="B253" t="s">
        <v>2</v>
      </c>
      <c r="C253" s="2">
        <v>41722</v>
      </c>
      <c r="D253" t="s">
        <v>6</v>
      </c>
      <c r="E253">
        <v>2.8500040000000002</v>
      </c>
      <c r="F253">
        <f t="shared" si="6"/>
        <v>-1.3504999999999878E-2</v>
      </c>
      <c r="G253">
        <f t="shared" si="7"/>
        <v>63.654178195976087</v>
      </c>
    </row>
    <row r="254" spans="2:7">
      <c r="B254" t="s">
        <v>2</v>
      </c>
      <c r="C254" s="2">
        <v>41719</v>
      </c>
      <c r="D254" t="s">
        <v>6</v>
      </c>
      <c r="E254">
        <v>2.8635090000000001</v>
      </c>
      <c r="F254">
        <f t="shared" si="6"/>
        <v>-3.2414999999999861E-2</v>
      </c>
      <c r="G254">
        <f t="shared" si="7"/>
        <v>64.443455286496743</v>
      </c>
    </row>
    <row r="255" spans="2:7">
      <c r="B255" t="s">
        <v>2</v>
      </c>
      <c r="C255" s="2">
        <v>41718</v>
      </c>
      <c r="D255" t="s">
        <v>6</v>
      </c>
      <c r="E255">
        <v>2.8959239999999999</v>
      </c>
      <c r="F255">
        <f t="shared" si="6"/>
        <v>1.0448999999999931E-2</v>
      </c>
      <c r="G255">
        <f t="shared" si="7"/>
        <v>64.665723644275758</v>
      </c>
    </row>
    <row r="256" spans="2:7">
      <c r="B256" t="s">
        <v>2</v>
      </c>
      <c r="C256" s="2">
        <v>41717</v>
      </c>
      <c r="D256" t="s">
        <v>6</v>
      </c>
      <c r="E256">
        <v>2.885475</v>
      </c>
      <c r="F256">
        <f t="shared" si="6"/>
        <v>8.9542999999999928E-2</v>
      </c>
      <c r="G256">
        <f t="shared" si="7"/>
        <v>65.631905666959639</v>
      </c>
    </row>
    <row r="257" spans="2:7">
      <c r="B257" t="s">
        <v>2</v>
      </c>
      <c r="C257" s="2">
        <v>41716</v>
      </c>
      <c r="D257" t="s">
        <v>6</v>
      </c>
      <c r="E257">
        <v>2.7959320000000001</v>
      </c>
      <c r="F257">
        <f t="shared" si="6"/>
        <v>-1.5524000000000093E-2</v>
      </c>
      <c r="G257">
        <f t="shared" si="7"/>
        <v>63.571153875808214</v>
      </c>
    </row>
    <row r="258" spans="2:7">
      <c r="B258" t="s">
        <v>2</v>
      </c>
      <c r="C258" s="2">
        <v>41715</v>
      </c>
      <c r="D258" t="s">
        <v>6</v>
      </c>
      <c r="E258">
        <v>2.8114560000000002</v>
      </c>
      <c r="F258">
        <f t="shared" si="6"/>
        <v>5.2592000000000194E-2</v>
      </c>
      <c r="G258">
        <f t="shared" si="7"/>
        <v>64.021054984031252</v>
      </c>
    </row>
    <row r="259" spans="2:7">
      <c r="B259" t="s">
        <v>2</v>
      </c>
      <c r="C259" s="2">
        <v>41712</v>
      </c>
      <c r="D259" t="s">
        <v>6</v>
      </c>
      <c r="E259">
        <v>2.758864</v>
      </c>
      <c r="F259">
        <f t="shared" ref="F259:F322" si="8">E259-E260</f>
        <v>-6.3390000000000946E-3</v>
      </c>
      <c r="G259">
        <f t="shared" ref="G259:G322" si="9">STDEV(F259:F318)*SQRT(250)*100</f>
        <v>63.038073006545204</v>
      </c>
    </row>
    <row r="260" spans="2:7">
      <c r="B260" t="s">
        <v>2</v>
      </c>
      <c r="C260" s="2">
        <v>41711</v>
      </c>
      <c r="D260" t="s">
        <v>6</v>
      </c>
      <c r="E260">
        <v>2.7652030000000001</v>
      </c>
      <c r="F260">
        <f t="shared" si="8"/>
        <v>-6.1369000000000007E-2</v>
      </c>
      <c r="G260">
        <f t="shared" si="9"/>
        <v>63.055843456191617</v>
      </c>
    </row>
    <row r="261" spans="2:7">
      <c r="B261" t="s">
        <v>2</v>
      </c>
      <c r="C261" s="2">
        <v>41710</v>
      </c>
      <c r="D261" t="s">
        <v>6</v>
      </c>
      <c r="E261">
        <v>2.8265720000000001</v>
      </c>
      <c r="F261">
        <f t="shared" si="8"/>
        <v>-3.6777999999999977E-2</v>
      </c>
      <c r="G261">
        <f t="shared" si="9"/>
        <v>62.295950684228487</v>
      </c>
    </row>
    <row r="262" spans="2:7">
      <c r="B262" t="s">
        <v>2</v>
      </c>
      <c r="C262" s="2">
        <v>41709</v>
      </c>
      <c r="D262" t="s">
        <v>6</v>
      </c>
      <c r="E262">
        <v>2.8633500000000001</v>
      </c>
      <c r="F262">
        <f t="shared" si="8"/>
        <v>-2.0938999999999819E-2</v>
      </c>
      <c r="G262">
        <f t="shared" si="9"/>
        <v>62.462310575103139</v>
      </c>
    </row>
    <row r="263" spans="2:7">
      <c r="B263" t="s">
        <v>2</v>
      </c>
      <c r="C263" s="2">
        <v>41708</v>
      </c>
      <c r="D263" t="s">
        <v>6</v>
      </c>
      <c r="E263">
        <v>2.8842889999999999</v>
      </c>
      <c r="F263">
        <f t="shared" si="8"/>
        <v>-1.1254000000000097E-2</v>
      </c>
      <c r="G263">
        <f t="shared" si="9"/>
        <v>63.156918880807837</v>
      </c>
    </row>
    <row r="264" spans="2:7">
      <c r="B264" t="s">
        <v>2</v>
      </c>
      <c r="C264" s="2">
        <v>41705</v>
      </c>
      <c r="D264" t="s">
        <v>6</v>
      </c>
      <c r="E264">
        <v>2.895543</v>
      </c>
      <c r="F264">
        <f t="shared" si="8"/>
        <v>4.7286999999999857E-2</v>
      </c>
      <c r="G264">
        <f t="shared" si="9"/>
        <v>63.453404835230153</v>
      </c>
    </row>
    <row r="265" spans="2:7">
      <c r="B265" t="s">
        <v>2</v>
      </c>
      <c r="C265" s="2">
        <v>41704</v>
      </c>
      <c r="D265" t="s">
        <v>6</v>
      </c>
      <c r="E265">
        <v>2.8482560000000001</v>
      </c>
      <c r="F265">
        <f t="shared" si="8"/>
        <v>4.3096999999999941E-2</v>
      </c>
      <c r="G265">
        <f t="shared" si="9"/>
        <v>62.738637874357735</v>
      </c>
    </row>
    <row r="266" spans="2:7">
      <c r="B266" t="s">
        <v>2</v>
      </c>
      <c r="C266" s="2">
        <v>41703</v>
      </c>
      <c r="D266" t="s">
        <v>6</v>
      </c>
      <c r="E266">
        <v>2.8051590000000002</v>
      </c>
      <c r="F266">
        <f t="shared" si="8"/>
        <v>-1.334999999999642E-3</v>
      </c>
      <c r="G266">
        <f t="shared" si="9"/>
        <v>62.061303763518197</v>
      </c>
    </row>
    <row r="267" spans="2:7">
      <c r="B267" t="s">
        <v>2</v>
      </c>
      <c r="C267" s="2">
        <v>41702</v>
      </c>
      <c r="D267" t="s">
        <v>6</v>
      </c>
      <c r="E267">
        <v>2.8064939999999998</v>
      </c>
      <c r="F267">
        <f t="shared" si="8"/>
        <v>7.8976999999999631E-2</v>
      </c>
      <c r="G267">
        <f t="shared" si="9"/>
        <v>63.661584117566875</v>
      </c>
    </row>
    <row r="268" spans="2:7">
      <c r="B268" t="s">
        <v>2</v>
      </c>
      <c r="C268" s="2">
        <v>41701</v>
      </c>
      <c r="D268" t="s">
        <v>6</v>
      </c>
      <c r="E268">
        <v>2.7275170000000002</v>
      </c>
      <c r="F268">
        <f t="shared" si="8"/>
        <v>-3.9483999999999853E-2</v>
      </c>
      <c r="G268">
        <f t="shared" si="9"/>
        <v>61.663330152920039</v>
      </c>
    </row>
    <row r="269" spans="2:7">
      <c r="B269" t="s">
        <v>2</v>
      </c>
      <c r="C269" s="2">
        <v>41698</v>
      </c>
      <c r="D269" t="s">
        <v>6</v>
      </c>
      <c r="E269">
        <v>2.767001</v>
      </c>
      <c r="F269">
        <f t="shared" si="8"/>
        <v>1.8702999999999914E-2</v>
      </c>
      <c r="G269">
        <f t="shared" si="9"/>
        <v>62.462139003427261</v>
      </c>
    </row>
    <row r="270" spans="2:7">
      <c r="B270" t="s">
        <v>2</v>
      </c>
      <c r="C270" s="2">
        <v>41697</v>
      </c>
      <c r="D270" t="s">
        <v>6</v>
      </c>
      <c r="E270">
        <v>2.7482980000000001</v>
      </c>
      <c r="F270">
        <f t="shared" si="8"/>
        <v>-1.7614000000000019E-2</v>
      </c>
      <c r="G270">
        <f t="shared" si="9"/>
        <v>62.413687370440904</v>
      </c>
    </row>
    <row r="271" spans="2:7">
      <c r="B271" t="s">
        <v>2</v>
      </c>
      <c r="C271" s="2">
        <v>41696</v>
      </c>
      <c r="D271" t="s">
        <v>6</v>
      </c>
      <c r="E271">
        <v>2.7659120000000001</v>
      </c>
      <c r="F271">
        <f t="shared" si="8"/>
        <v>-2.8973999999999833E-2</v>
      </c>
      <c r="G271">
        <f t="shared" si="9"/>
        <v>63.105886865857507</v>
      </c>
    </row>
    <row r="272" spans="2:7">
      <c r="B272" t="s">
        <v>2</v>
      </c>
      <c r="C272" s="2">
        <v>41695</v>
      </c>
      <c r="D272" t="s">
        <v>6</v>
      </c>
      <c r="E272">
        <v>2.794886</v>
      </c>
      <c r="F272">
        <f t="shared" si="8"/>
        <v>-5.0057999999999936E-2</v>
      </c>
      <c r="G272">
        <f t="shared" si="9"/>
        <v>63.406936628095487</v>
      </c>
    </row>
    <row r="273" spans="2:7">
      <c r="B273" t="s">
        <v>2</v>
      </c>
      <c r="C273" s="2">
        <v>41694</v>
      </c>
      <c r="D273" t="s">
        <v>6</v>
      </c>
      <c r="E273">
        <v>2.8449439999999999</v>
      </c>
      <c r="F273">
        <f t="shared" si="8"/>
        <v>1.5495999999999732E-2</v>
      </c>
      <c r="G273">
        <f t="shared" si="9"/>
        <v>62.578888752833748</v>
      </c>
    </row>
    <row r="274" spans="2:7">
      <c r="B274" t="s">
        <v>2</v>
      </c>
      <c r="C274" s="2">
        <v>41691</v>
      </c>
      <c r="D274" t="s">
        <v>6</v>
      </c>
      <c r="E274">
        <v>2.8294480000000002</v>
      </c>
      <c r="F274">
        <f t="shared" si="8"/>
        <v>-2.9118999999999673E-2</v>
      </c>
      <c r="G274">
        <f t="shared" si="9"/>
        <v>62.540668289055425</v>
      </c>
    </row>
    <row r="275" spans="2:7">
      <c r="B275" t="s">
        <v>2</v>
      </c>
      <c r="C275" s="2">
        <v>41690</v>
      </c>
      <c r="D275" t="s">
        <v>6</v>
      </c>
      <c r="E275">
        <v>2.8585669999999999</v>
      </c>
      <c r="F275">
        <f t="shared" si="8"/>
        <v>1.607999999999965E-2</v>
      </c>
      <c r="G275">
        <f t="shared" si="9"/>
        <v>62.249728881917001</v>
      </c>
    </row>
    <row r="276" spans="2:7">
      <c r="B276" t="s">
        <v>2</v>
      </c>
      <c r="C276" s="2">
        <v>41689</v>
      </c>
      <c r="D276" t="s">
        <v>6</v>
      </c>
      <c r="E276">
        <v>2.8424870000000002</v>
      </c>
      <c r="F276">
        <f t="shared" si="8"/>
        <v>2.0523000000000291E-2</v>
      </c>
      <c r="G276">
        <f t="shared" si="9"/>
        <v>64.892114843186647</v>
      </c>
    </row>
    <row r="277" spans="2:7">
      <c r="B277" t="s">
        <v>2</v>
      </c>
      <c r="C277" s="2">
        <v>41688</v>
      </c>
      <c r="D277" t="s">
        <v>6</v>
      </c>
      <c r="E277">
        <v>2.8219639999999999</v>
      </c>
      <c r="F277">
        <f t="shared" si="8"/>
        <v>-2.8623000000000065E-2</v>
      </c>
      <c r="G277">
        <f t="shared" si="9"/>
        <v>65.251424114900331</v>
      </c>
    </row>
    <row r="278" spans="2:7">
      <c r="B278" t="s">
        <v>2</v>
      </c>
      <c r="C278" s="2">
        <v>41684</v>
      </c>
      <c r="D278" t="s">
        <v>6</v>
      </c>
      <c r="E278">
        <v>2.850587</v>
      </c>
      <c r="F278">
        <f t="shared" si="8"/>
        <v>1.4283999999999963E-2</v>
      </c>
      <c r="G278">
        <f t="shared" si="9"/>
        <v>65.037075744062946</v>
      </c>
    </row>
    <row r="279" spans="2:7">
      <c r="B279" t="s">
        <v>2</v>
      </c>
      <c r="C279" s="2">
        <v>41683</v>
      </c>
      <c r="D279" t="s">
        <v>6</v>
      </c>
      <c r="E279">
        <v>2.836303</v>
      </c>
      <c r="F279">
        <f t="shared" si="8"/>
        <v>-5.1290999999999976E-2</v>
      </c>
      <c r="G279">
        <f t="shared" si="9"/>
        <v>65.766579205194375</v>
      </c>
    </row>
    <row r="280" spans="2:7">
      <c r="B280" t="s">
        <v>2</v>
      </c>
      <c r="C280" s="2">
        <v>41682</v>
      </c>
      <c r="D280" t="s">
        <v>6</v>
      </c>
      <c r="E280">
        <v>2.887594</v>
      </c>
      <c r="F280">
        <f t="shared" si="8"/>
        <v>4.3051999999999868E-2</v>
      </c>
      <c r="G280">
        <f t="shared" si="9"/>
        <v>65.703157367678443</v>
      </c>
    </row>
    <row r="281" spans="2:7">
      <c r="B281" t="s">
        <v>2</v>
      </c>
      <c r="C281" s="2">
        <v>41681</v>
      </c>
      <c r="D281" t="s">
        <v>6</v>
      </c>
      <c r="E281">
        <v>2.8445420000000001</v>
      </c>
      <c r="F281">
        <f t="shared" si="8"/>
        <v>4.8343000000000025E-2</v>
      </c>
      <c r="G281">
        <f t="shared" si="9"/>
        <v>65.197526120899013</v>
      </c>
    </row>
    <row r="282" spans="2:7">
      <c r="B282" t="s">
        <v>2</v>
      </c>
      <c r="C282" s="2">
        <v>41680</v>
      </c>
      <c r="D282" t="s">
        <v>6</v>
      </c>
      <c r="E282">
        <v>2.7961990000000001</v>
      </c>
      <c r="F282">
        <f t="shared" si="8"/>
        <v>-7.6959999999997031E-3</v>
      </c>
      <c r="G282">
        <f t="shared" si="9"/>
        <v>69.705334857169561</v>
      </c>
    </row>
    <row r="283" spans="2:7">
      <c r="B283" t="s">
        <v>2</v>
      </c>
      <c r="C283" s="2">
        <v>41677</v>
      </c>
      <c r="D283" t="s">
        <v>6</v>
      </c>
      <c r="E283">
        <v>2.8038949999999998</v>
      </c>
      <c r="F283">
        <f t="shared" si="8"/>
        <v>-3.3238000000000323E-2</v>
      </c>
      <c r="G283">
        <f t="shared" si="9"/>
        <v>70.001852426034191</v>
      </c>
    </row>
    <row r="284" spans="2:7">
      <c r="B284" t="s">
        <v>2</v>
      </c>
      <c r="C284" s="2">
        <v>41676</v>
      </c>
      <c r="D284" t="s">
        <v>6</v>
      </c>
      <c r="E284">
        <v>2.8371330000000001</v>
      </c>
      <c r="F284">
        <f t="shared" si="8"/>
        <v>3.2939999999999969E-2</v>
      </c>
      <c r="G284">
        <f t="shared" si="9"/>
        <v>69.970880906169157</v>
      </c>
    </row>
    <row r="285" spans="2:7">
      <c r="B285" t="s">
        <v>2</v>
      </c>
      <c r="C285" s="2">
        <v>41675</v>
      </c>
      <c r="D285" t="s">
        <v>6</v>
      </c>
      <c r="E285">
        <v>2.8041930000000002</v>
      </c>
      <c r="F285">
        <f t="shared" si="8"/>
        <v>3.8542000000000076E-2</v>
      </c>
      <c r="G285">
        <f t="shared" si="9"/>
        <v>70.747670677407839</v>
      </c>
    </row>
    <row r="286" spans="2:7">
      <c r="B286" t="s">
        <v>2</v>
      </c>
      <c r="C286" s="2">
        <v>41674</v>
      </c>
      <c r="D286" t="s">
        <v>6</v>
      </c>
      <c r="E286">
        <v>2.7656510000000001</v>
      </c>
      <c r="F286">
        <f t="shared" si="8"/>
        <v>4.3836000000000208E-2</v>
      </c>
      <c r="G286">
        <f t="shared" si="9"/>
        <v>70.424332350538236</v>
      </c>
    </row>
    <row r="287" spans="2:7">
      <c r="B287" t="s">
        <v>2</v>
      </c>
      <c r="C287" s="2">
        <v>41673</v>
      </c>
      <c r="D287" t="s">
        <v>6</v>
      </c>
      <c r="E287">
        <v>2.7218149999999999</v>
      </c>
      <c r="F287">
        <f t="shared" si="8"/>
        <v>-8.13060000000001E-2</v>
      </c>
      <c r="G287">
        <f t="shared" si="9"/>
        <v>71.53135359270351</v>
      </c>
    </row>
    <row r="288" spans="2:7">
      <c r="B288" t="s">
        <v>2</v>
      </c>
      <c r="C288" s="2">
        <v>41670</v>
      </c>
      <c r="D288" t="s">
        <v>6</v>
      </c>
      <c r="E288">
        <v>2.803121</v>
      </c>
      <c r="F288">
        <f t="shared" si="8"/>
        <v>-2.3986999999999981E-2</v>
      </c>
      <c r="G288">
        <f t="shared" si="9"/>
        <v>69.536939046948746</v>
      </c>
    </row>
    <row r="289" spans="2:7">
      <c r="B289" t="s">
        <v>2</v>
      </c>
      <c r="C289" s="2">
        <v>41669</v>
      </c>
      <c r="D289" t="s">
        <v>6</v>
      </c>
      <c r="E289">
        <v>2.827108</v>
      </c>
      <c r="F289">
        <f t="shared" si="8"/>
        <v>1.7179999999999751E-2</v>
      </c>
      <c r="G289">
        <f t="shared" si="9"/>
        <v>69.397131833239925</v>
      </c>
    </row>
    <row r="290" spans="2:7">
      <c r="B290" t="s">
        <v>2</v>
      </c>
      <c r="C290" s="2">
        <v>41668</v>
      </c>
      <c r="D290" t="s">
        <v>6</v>
      </c>
      <c r="E290">
        <v>2.8099280000000002</v>
      </c>
      <c r="F290">
        <f t="shared" si="8"/>
        <v>-6.2143999999999977E-2</v>
      </c>
      <c r="G290">
        <f t="shared" si="9"/>
        <v>69.369560494946214</v>
      </c>
    </row>
    <row r="291" spans="2:7">
      <c r="B291" t="s">
        <v>2</v>
      </c>
      <c r="C291" s="2">
        <v>41667</v>
      </c>
      <c r="D291" t="s">
        <v>6</v>
      </c>
      <c r="E291">
        <v>2.8720720000000002</v>
      </c>
      <c r="F291">
        <f t="shared" si="8"/>
        <v>-1.3814999999999689E-2</v>
      </c>
      <c r="G291">
        <f t="shared" si="9"/>
        <v>68.071302113473081</v>
      </c>
    </row>
    <row r="292" spans="2:7">
      <c r="B292" t="s">
        <v>2</v>
      </c>
      <c r="C292" s="2">
        <v>41666</v>
      </c>
      <c r="D292" t="s">
        <v>6</v>
      </c>
      <c r="E292">
        <v>2.8858869999999999</v>
      </c>
      <c r="F292">
        <f t="shared" si="8"/>
        <v>3.0605999999999689E-2</v>
      </c>
      <c r="G292">
        <f t="shared" si="9"/>
        <v>68.144245144493681</v>
      </c>
    </row>
    <row r="293" spans="2:7">
      <c r="B293" t="s">
        <v>2</v>
      </c>
      <c r="C293" s="2">
        <v>41663</v>
      </c>
      <c r="D293" t="s">
        <v>6</v>
      </c>
      <c r="E293">
        <v>2.8552810000000002</v>
      </c>
      <c r="F293">
        <f t="shared" si="8"/>
        <v>-3.642299999999965E-2</v>
      </c>
      <c r="G293">
        <f t="shared" si="9"/>
        <v>68.254078231333821</v>
      </c>
    </row>
    <row r="294" spans="2:7">
      <c r="B294" t="s">
        <v>2</v>
      </c>
      <c r="C294" s="2">
        <v>41662</v>
      </c>
      <c r="D294" t="s">
        <v>6</v>
      </c>
      <c r="E294">
        <v>2.8917039999999998</v>
      </c>
      <c r="F294">
        <f t="shared" si="8"/>
        <v>-7.680700000000007E-2</v>
      </c>
      <c r="G294">
        <f t="shared" si="9"/>
        <v>67.962298858193407</v>
      </c>
    </row>
    <row r="295" spans="2:7">
      <c r="B295" t="s">
        <v>2</v>
      </c>
      <c r="C295" s="2">
        <v>41661</v>
      </c>
      <c r="D295" t="s">
        <v>6</v>
      </c>
      <c r="E295">
        <v>2.9685109999999999</v>
      </c>
      <c r="F295">
        <f t="shared" si="8"/>
        <v>4.4745999999999952E-2</v>
      </c>
      <c r="G295">
        <f t="shared" si="9"/>
        <v>68.805095089224949</v>
      </c>
    </row>
    <row r="296" spans="2:7">
      <c r="B296" t="s">
        <v>2</v>
      </c>
      <c r="C296" s="2">
        <v>41660</v>
      </c>
      <c r="D296" t="s">
        <v>6</v>
      </c>
      <c r="E296">
        <v>2.9237649999999999</v>
      </c>
      <c r="F296">
        <f t="shared" si="8"/>
        <v>-1.3506000000000018E-2</v>
      </c>
      <c r="G296">
        <f t="shared" si="9"/>
        <v>68.335105620218457</v>
      </c>
    </row>
    <row r="297" spans="2:7">
      <c r="B297" t="s">
        <v>2</v>
      </c>
      <c r="C297" s="2">
        <v>41656</v>
      </c>
      <c r="D297" t="s">
        <v>6</v>
      </c>
      <c r="E297">
        <v>2.937271</v>
      </c>
      <c r="F297">
        <f t="shared" si="8"/>
        <v>-1.3495999999999952E-2</v>
      </c>
      <c r="G297">
        <f t="shared" si="9"/>
        <v>68.247648984030633</v>
      </c>
    </row>
    <row r="298" spans="2:7">
      <c r="B298" t="s">
        <v>2</v>
      </c>
      <c r="C298" s="2">
        <v>41655</v>
      </c>
      <c r="D298" t="s">
        <v>6</v>
      </c>
      <c r="E298">
        <v>2.9507669999999999</v>
      </c>
      <c r="F298">
        <f t="shared" si="8"/>
        <v>-3.4575000000000244E-2</v>
      </c>
      <c r="G298">
        <f t="shared" si="9"/>
        <v>70.234041545142674</v>
      </c>
    </row>
    <row r="299" spans="2:7">
      <c r="B299" t="s">
        <v>2</v>
      </c>
      <c r="C299" s="2">
        <v>41654</v>
      </c>
      <c r="D299" t="s">
        <v>6</v>
      </c>
      <c r="E299">
        <v>2.9853420000000002</v>
      </c>
      <c r="F299">
        <f t="shared" si="8"/>
        <v>2.4307999999999996E-2</v>
      </c>
      <c r="G299">
        <f t="shared" si="9"/>
        <v>70.514474083424901</v>
      </c>
    </row>
    <row r="300" spans="2:7">
      <c r="B300" t="s">
        <v>2</v>
      </c>
      <c r="C300" s="2">
        <v>41653</v>
      </c>
      <c r="D300" t="s">
        <v>6</v>
      </c>
      <c r="E300">
        <v>2.9610340000000002</v>
      </c>
      <c r="F300">
        <f t="shared" si="8"/>
        <v>5.2219000000000015E-2</v>
      </c>
      <c r="G300">
        <f t="shared" si="9"/>
        <v>70.722790934519779</v>
      </c>
    </row>
    <row r="301" spans="2:7">
      <c r="B301" t="s">
        <v>2</v>
      </c>
      <c r="C301" s="2">
        <v>41652</v>
      </c>
      <c r="D301" t="s">
        <v>6</v>
      </c>
      <c r="E301">
        <v>2.9088150000000002</v>
      </c>
      <c r="F301">
        <f t="shared" si="8"/>
        <v>-4.2444999999999844E-2</v>
      </c>
      <c r="G301">
        <f t="shared" si="9"/>
        <v>69.980708043405457</v>
      </c>
    </row>
    <row r="302" spans="2:7">
      <c r="B302" t="s">
        <v>2</v>
      </c>
      <c r="C302" s="2">
        <v>41649</v>
      </c>
      <c r="D302" t="s">
        <v>6</v>
      </c>
      <c r="E302">
        <v>2.95126</v>
      </c>
      <c r="F302">
        <f t="shared" si="8"/>
        <v>-9.6732999999999958E-2</v>
      </c>
      <c r="G302">
        <f t="shared" si="9"/>
        <v>69.551646448377355</v>
      </c>
    </row>
    <row r="303" spans="2:7">
      <c r="B303" t="s">
        <v>2</v>
      </c>
      <c r="C303" s="2">
        <v>41648</v>
      </c>
      <c r="D303" t="s">
        <v>6</v>
      </c>
      <c r="E303">
        <v>3.047993</v>
      </c>
      <c r="F303">
        <f t="shared" si="8"/>
        <v>-1.3252000000000042E-2</v>
      </c>
      <c r="G303">
        <f t="shared" si="9"/>
        <v>66.48619820722827</v>
      </c>
    </row>
    <row r="304" spans="2:7">
      <c r="B304" t="s">
        <v>2</v>
      </c>
      <c r="C304" s="2">
        <v>41647</v>
      </c>
      <c r="D304" t="s">
        <v>6</v>
      </c>
      <c r="E304">
        <v>3.061245</v>
      </c>
      <c r="F304">
        <f t="shared" si="8"/>
        <v>5.584800000000012E-2</v>
      </c>
      <c r="G304">
        <f t="shared" si="9"/>
        <v>66.477533793518234</v>
      </c>
    </row>
    <row r="305" spans="2:7">
      <c r="B305" t="s">
        <v>2</v>
      </c>
      <c r="C305" s="2">
        <v>41646</v>
      </c>
      <c r="D305" t="s">
        <v>6</v>
      </c>
      <c r="E305">
        <v>3.0053969999999999</v>
      </c>
      <c r="F305">
        <f t="shared" si="8"/>
        <v>-2.259100000000025E-2</v>
      </c>
      <c r="G305">
        <f t="shared" si="9"/>
        <v>65.876520866222521</v>
      </c>
    </row>
    <row r="306" spans="2:7">
      <c r="B306" t="s">
        <v>2</v>
      </c>
      <c r="C306" s="2">
        <v>41645</v>
      </c>
      <c r="D306" t="s">
        <v>6</v>
      </c>
      <c r="E306">
        <v>3.0279880000000001</v>
      </c>
      <c r="F306">
        <f t="shared" si="8"/>
        <v>-3.3452000000000037E-2</v>
      </c>
      <c r="G306">
        <f t="shared" si="9"/>
        <v>66.103978064409787</v>
      </c>
    </row>
    <row r="307" spans="2:7">
      <c r="B307" t="s">
        <v>2</v>
      </c>
      <c r="C307" s="2">
        <v>41642</v>
      </c>
      <c r="D307" t="s">
        <v>6</v>
      </c>
      <c r="E307">
        <v>3.0614400000000002</v>
      </c>
      <c r="F307">
        <f t="shared" si="8"/>
        <v>6.9790000000002905E-3</v>
      </c>
      <c r="G307">
        <f t="shared" si="9"/>
        <v>65.760166881970662</v>
      </c>
    </row>
    <row r="308" spans="2:7">
      <c r="B308" t="s">
        <v>2</v>
      </c>
      <c r="C308" s="2">
        <v>41641</v>
      </c>
      <c r="D308" t="s">
        <v>6</v>
      </c>
      <c r="E308">
        <v>3.0544609999999999</v>
      </c>
      <c r="F308">
        <f t="shared" si="8"/>
        <v>2.0238999999999674E-2</v>
      </c>
      <c r="G308">
        <f t="shared" si="9"/>
        <v>65.878786718482388</v>
      </c>
    </row>
    <row r="309" spans="2:7">
      <c r="B309" t="s">
        <v>2</v>
      </c>
      <c r="C309" s="2">
        <v>41638</v>
      </c>
      <c r="D309" t="s">
        <v>6</v>
      </c>
      <c r="E309">
        <v>3.0342220000000002</v>
      </c>
      <c r="F309">
        <f t="shared" si="8"/>
        <v>-2.1997999999999962E-2</v>
      </c>
      <c r="G309">
        <f t="shared" si="9"/>
        <v>66.07015883654617</v>
      </c>
    </row>
    <row r="310" spans="2:7">
      <c r="B310" t="s">
        <v>2</v>
      </c>
      <c r="C310" s="2">
        <v>41635</v>
      </c>
      <c r="D310" t="s">
        <v>6</v>
      </c>
      <c r="E310">
        <v>3.0562200000000002</v>
      </c>
      <c r="F310">
        <f t="shared" si="8"/>
        <v>-3.0200000000002447E-4</v>
      </c>
      <c r="G310">
        <f t="shared" si="9"/>
        <v>65.854259521429725</v>
      </c>
    </row>
    <row r="311" spans="2:7">
      <c r="B311" t="s">
        <v>2</v>
      </c>
      <c r="C311" s="2">
        <v>41634</v>
      </c>
      <c r="D311" t="s">
        <v>6</v>
      </c>
      <c r="E311">
        <v>3.0565220000000002</v>
      </c>
      <c r="F311">
        <f t="shared" si="8"/>
        <v>3.4880000000003797E-3</v>
      </c>
      <c r="G311">
        <f t="shared" si="9"/>
        <v>66.071175007503641</v>
      </c>
    </row>
    <row r="312" spans="2:7">
      <c r="B312" t="s">
        <v>2</v>
      </c>
      <c r="C312" s="2">
        <v>41632</v>
      </c>
      <c r="D312" t="s">
        <v>6</v>
      </c>
      <c r="E312">
        <v>3.0530339999999998</v>
      </c>
      <c r="F312">
        <f t="shared" si="8"/>
        <v>5.5807999999999858E-2</v>
      </c>
      <c r="G312">
        <f t="shared" si="9"/>
        <v>66.262675392754161</v>
      </c>
    </row>
    <row r="313" spans="2:7">
      <c r="B313" t="s">
        <v>2</v>
      </c>
      <c r="C313" s="2">
        <v>41631</v>
      </c>
      <c r="D313" t="s">
        <v>6</v>
      </c>
      <c r="E313">
        <v>2.9972259999999999</v>
      </c>
      <c r="F313">
        <f t="shared" si="8"/>
        <v>4.825899999999983E-2</v>
      </c>
      <c r="G313">
        <f t="shared" si="9"/>
        <v>66.079948493203347</v>
      </c>
    </row>
    <row r="314" spans="2:7">
      <c r="B314" t="s">
        <v>2</v>
      </c>
      <c r="C314" s="2">
        <v>41628</v>
      </c>
      <c r="D314" t="s">
        <v>6</v>
      </c>
      <c r="E314">
        <v>2.9489670000000001</v>
      </c>
      <c r="F314">
        <f t="shared" si="8"/>
        <v>-4.191099999999981E-2</v>
      </c>
      <c r="G314">
        <f t="shared" si="9"/>
        <v>66.543974175719853</v>
      </c>
    </row>
    <row r="315" spans="2:7">
      <c r="B315" t="s">
        <v>2</v>
      </c>
      <c r="C315" s="2">
        <v>41627</v>
      </c>
      <c r="D315" t="s">
        <v>6</v>
      </c>
      <c r="E315">
        <v>2.9908779999999999</v>
      </c>
      <c r="F315">
        <f t="shared" si="8"/>
        <v>5.4526000000000074E-2</v>
      </c>
      <c r="G315">
        <f t="shared" si="9"/>
        <v>66.084717048358328</v>
      </c>
    </row>
    <row r="316" spans="2:7">
      <c r="B316" t="s">
        <v>2</v>
      </c>
      <c r="C316" s="2">
        <v>41626</v>
      </c>
      <c r="D316" t="s">
        <v>6</v>
      </c>
      <c r="E316">
        <v>2.9363519999999999</v>
      </c>
      <c r="F316">
        <f t="shared" si="8"/>
        <v>4.300399999999982E-2</v>
      </c>
      <c r="G316">
        <f t="shared" si="9"/>
        <v>65.278687517502732</v>
      </c>
    </row>
    <row r="317" spans="2:7">
      <c r="B317" t="s">
        <v>2</v>
      </c>
      <c r="C317" s="2">
        <v>41625</v>
      </c>
      <c r="D317" t="s">
        <v>6</v>
      </c>
      <c r="E317">
        <v>2.893348</v>
      </c>
      <c r="F317">
        <f t="shared" si="8"/>
        <v>-4.1106000000000087E-2</v>
      </c>
      <c r="G317">
        <f t="shared" si="9"/>
        <v>65.618001935702807</v>
      </c>
    </row>
    <row r="318" spans="2:7">
      <c r="B318" t="s">
        <v>2</v>
      </c>
      <c r="C318" s="2">
        <v>41624</v>
      </c>
      <c r="D318" t="s">
        <v>6</v>
      </c>
      <c r="E318">
        <v>2.9344540000000001</v>
      </c>
      <c r="F318">
        <f t="shared" si="8"/>
        <v>6.5260000000000318E-3</v>
      </c>
      <c r="G318">
        <f t="shared" si="9"/>
        <v>72.501471078875269</v>
      </c>
    </row>
    <row r="319" spans="2:7">
      <c r="B319" t="s">
        <v>2</v>
      </c>
      <c r="C319" s="2">
        <v>41621</v>
      </c>
      <c r="D319" t="s">
        <v>6</v>
      </c>
      <c r="E319">
        <v>2.9279280000000001</v>
      </c>
      <c r="F319">
        <f t="shared" si="8"/>
        <v>-1.0918999999999901E-2</v>
      </c>
      <c r="G319">
        <f t="shared" si="9"/>
        <v>72.662557234414976</v>
      </c>
    </row>
    <row r="320" spans="2:7">
      <c r="B320" t="s">
        <v>2</v>
      </c>
      <c r="C320" s="2">
        <v>41620</v>
      </c>
      <c r="D320" t="s">
        <v>6</v>
      </c>
      <c r="E320">
        <v>2.938847</v>
      </c>
      <c r="F320">
        <f t="shared" si="8"/>
        <v>3.3453999999999873E-2</v>
      </c>
      <c r="G320">
        <f t="shared" si="9"/>
        <v>72.972075065104207</v>
      </c>
    </row>
    <row r="321" spans="2:7">
      <c r="B321" t="s">
        <v>2</v>
      </c>
      <c r="C321" s="2">
        <v>41619</v>
      </c>
      <c r="D321" t="s">
        <v>6</v>
      </c>
      <c r="E321">
        <v>2.9053930000000001</v>
      </c>
      <c r="F321">
        <f t="shared" si="8"/>
        <v>4.170000000000007E-2</v>
      </c>
      <c r="G321">
        <f t="shared" si="9"/>
        <v>72.598856647795003</v>
      </c>
    </row>
    <row r="322" spans="2:7">
      <c r="B322" t="s">
        <v>2</v>
      </c>
      <c r="C322" s="2">
        <v>41618</v>
      </c>
      <c r="D322" t="s">
        <v>6</v>
      </c>
      <c r="E322">
        <v>2.863693</v>
      </c>
      <c r="F322">
        <f t="shared" si="8"/>
        <v>-5.0122E-2</v>
      </c>
      <c r="G322">
        <f t="shared" si="9"/>
        <v>72.038345980213691</v>
      </c>
    </row>
    <row r="323" spans="2:7">
      <c r="B323" t="s">
        <v>2</v>
      </c>
      <c r="C323" s="2">
        <v>41617</v>
      </c>
      <c r="D323" t="s">
        <v>6</v>
      </c>
      <c r="E323">
        <v>2.913815</v>
      </c>
      <c r="F323">
        <f t="shared" ref="F323:F386" si="10">E323-E324</f>
        <v>-3.225800000000012E-2</v>
      </c>
      <c r="G323">
        <f t="shared" ref="G323:G386" si="11">STDEV(F323:F382)*SQRT(250)*100</f>
        <v>71.825658715419749</v>
      </c>
    </row>
    <row r="324" spans="2:7">
      <c r="B324" t="s">
        <v>2</v>
      </c>
      <c r="C324" s="2">
        <v>41614</v>
      </c>
      <c r="D324" t="s">
        <v>6</v>
      </c>
      <c r="E324">
        <v>2.9460730000000002</v>
      </c>
      <c r="F324">
        <f t="shared" si="10"/>
        <v>1.3536000000000215E-2</v>
      </c>
      <c r="G324">
        <f t="shared" si="11"/>
        <v>72.42728289865579</v>
      </c>
    </row>
    <row r="325" spans="2:7">
      <c r="B325" t="s">
        <v>2</v>
      </c>
      <c r="C325" s="2">
        <v>41613</v>
      </c>
      <c r="D325" t="s">
        <v>6</v>
      </c>
      <c r="E325">
        <v>2.9325369999999999</v>
      </c>
      <c r="F325">
        <f t="shared" si="10"/>
        <v>2.2400000000000198E-3</v>
      </c>
      <c r="G325">
        <f t="shared" si="11"/>
        <v>72.975264546120471</v>
      </c>
    </row>
    <row r="326" spans="2:7">
      <c r="B326" t="s">
        <v>2</v>
      </c>
      <c r="C326" s="2">
        <v>41612</v>
      </c>
      <c r="D326" t="s">
        <v>6</v>
      </c>
      <c r="E326">
        <v>2.9302969999999999</v>
      </c>
      <c r="F326">
        <f t="shared" si="10"/>
        <v>6.7393999999999732E-2</v>
      </c>
      <c r="G326">
        <f t="shared" si="11"/>
        <v>73.350559443408542</v>
      </c>
    </row>
    <row r="327" spans="2:7">
      <c r="B327" t="s">
        <v>2</v>
      </c>
      <c r="C327" s="2">
        <v>41611</v>
      </c>
      <c r="D327" t="s">
        <v>6</v>
      </c>
      <c r="E327">
        <v>2.8629030000000002</v>
      </c>
      <c r="F327">
        <f t="shared" si="10"/>
        <v>-2.668199999999965E-2</v>
      </c>
      <c r="G327">
        <f t="shared" si="11"/>
        <v>74.343444075961145</v>
      </c>
    </row>
    <row r="328" spans="2:7">
      <c r="B328" t="s">
        <v>2</v>
      </c>
      <c r="C328" s="2">
        <v>41610</v>
      </c>
      <c r="D328" t="s">
        <v>6</v>
      </c>
      <c r="E328">
        <v>2.8895849999999998</v>
      </c>
      <c r="F328">
        <f t="shared" si="10"/>
        <v>5.9394999999999865E-2</v>
      </c>
      <c r="G328">
        <f t="shared" si="11"/>
        <v>74.76452037169031</v>
      </c>
    </row>
    <row r="329" spans="2:7">
      <c r="B329" t="s">
        <v>2</v>
      </c>
      <c r="C329" s="2">
        <v>41607</v>
      </c>
      <c r="D329" t="s">
        <v>6</v>
      </c>
      <c r="E329">
        <v>2.83019</v>
      </c>
      <c r="F329">
        <f t="shared" si="10"/>
        <v>1.4688000000000034E-2</v>
      </c>
      <c r="G329">
        <f t="shared" si="11"/>
        <v>75.849240183934782</v>
      </c>
    </row>
    <row r="330" spans="2:7">
      <c r="B330" t="s">
        <v>2</v>
      </c>
      <c r="C330" s="2">
        <v>41605</v>
      </c>
      <c r="D330" t="s">
        <v>6</v>
      </c>
      <c r="E330">
        <v>2.8155019999999999</v>
      </c>
      <c r="F330">
        <f t="shared" si="10"/>
        <v>4.7807000000000155E-2</v>
      </c>
      <c r="G330">
        <f t="shared" si="11"/>
        <v>75.782414971610507</v>
      </c>
    </row>
    <row r="331" spans="2:7">
      <c r="B331" t="s">
        <v>2</v>
      </c>
      <c r="C331" s="2">
        <v>41604</v>
      </c>
      <c r="D331" t="s">
        <v>6</v>
      </c>
      <c r="E331">
        <v>2.7676949999999998</v>
      </c>
      <c r="F331">
        <f t="shared" si="10"/>
        <v>-4.1735000000000078E-2</v>
      </c>
      <c r="G331">
        <f t="shared" si="11"/>
        <v>75.281253083383078</v>
      </c>
    </row>
    <row r="332" spans="2:7">
      <c r="B332" t="s">
        <v>2</v>
      </c>
      <c r="C332" s="2">
        <v>41603</v>
      </c>
      <c r="D332" t="s">
        <v>6</v>
      </c>
      <c r="E332">
        <v>2.8094299999999999</v>
      </c>
      <c r="F332">
        <f t="shared" si="10"/>
        <v>-7.3160000000003222E-3</v>
      </c>
      <c r="G332">
        <f t="shared" si="11"/>
        <v>75.984881278772477</v>
      </c>
    </row>
    <row r="333" spans="2:7">
      <c r="B333" t="s">
        <v>2</v>
      </c>
      <c r="C333" s="2">
        <v>41600</v>
      </c>
      <c r="D333" t="s">
        <v>6</v>
      </c>
      <c r="E333">
        <v>2.8167460000000002</v>
      </c>
      <c r="F333">
        <f t="shared" si="10"/>
        <v>-1.0680999999999941E-2</v>
      </c>
      <c r="G333">
        <f t="shared" si="11"/>
        <v>77.825975337835033</v>
      </c>
    </row>
    <row r="334" spans="2:7">
      <c r="B334" t="s">
        <v>2</v>
      </c>
      <c r="C334" s="2">
        <v>41599</v>
      </c>
      <c r="D334" t="s">
        <v>6</v>
      </c>
      <c r="E334">
        <v>2.8274270000000001</v>
      </c>
      <c r="F334">
        <f t="shared" si="10"/>
        <v>-2.2249999999996994E-3</v>
      </c>
      <c r="G334">
        <f t="shared" si="11"/>
        <v>77.897519635435771</v>
      </c>
    </row>
    <row r="335" spans="2:7">
      <c r="B335" t="s">
        <v>2</v>
      </c>
      <c r="C335" s="2">
        <v>41598</v>
      </c>
      <c r="D335" t="s">
        <v>6</v>
      </c>
      <c r="E335">
        <v>2.8296519999999998</v>
      </c>
      <c r="F335">
        <f t="shared" si="10"/>
        <v>9.1401999999999983E-2</v>
      </c>
      <c r="G335">
        <f t="shared" si="11"/>
        <v>79.774793163432008</v>
      </c>
    </row>
    <row r="336" spans="2:7">
      <c r="B336" t="s">
        <v>2</v>
      </c>
      <c r="C336" s="2">
        <v>41596</v>
      </c>
      <c r="D336" t="s">
        <v>6</v>
      </c>
      <c r="E336">
        <v>2.7382499999999999</v>
      </c>
      <c r="F336">
        <f t="shared" si="10"/>
        <v>-3.7146000000000345E-2</v>
      </c>
      <c r="G336">
        <f t="shared" si="11"/>
        <v>78.276167911046045</v>
      </c>
    </row>
    <row r="337" spans="2:7">
      <c r="B337" t="s">
        <v>2</v>
      </c>
      <c r="C337" s="2">
        <v>41593</v>
      </c>
      <c r="D337" t="s">
        <v>6</v>
      </c>
      <c r="E337">
        <v>2.7753960000000002</v>
      </c>
      <c r="F337">
        <f t="shared" si="10"/>
        <v>-1.3678999999999775E-2</v>
      </c>
      <c r="G337">
        <f t="shared" si="11"/>
        <v>78.678100776187264</v>
      </c>
    </row>
    <row r="338" spans="2:7">
      <c r="B338" t="s">
        <v>2</v>
      </c>
      <c r="C338" s="2">
        <v>41592</v>
      </c>
      <c r="D338" t="s">
        <v>6</v>
      </c>
      <c r="E338">
        <v>2.789075</v>
      </c>
      <c r="F338">
        <f t="shared" si="10"/>
        <v>-4.8918000000000017E-2</v>
      </c>
      <c r="G338">
        <f t="shared" si="11"/>
        <v>79.656711320115136</v>
      </c>
    </row>
    <row r="339" spans="2:7">
      <c r="B339" t="s">
        <v>2</v>
      </c>
      <c r="C339" s="2">
        <v>41591</v>
      </c>
      <c r="D339" t="s">
        <v>6</v>
      </c>
      <c r="E339">
        <v>2.837993</v>
      </c>
      <c r="F339">
        <f t="shared" si="10"/>
        <v>-4.9335000000000129E-2</v>
      </c>
      <c r="G339">
        <f t="shared" si="11"/>
        <v>80.408979716879031</v>
      </c>
    </row>
    <row r="340" spans="2:7">
      <c r="B340" t="s">
        <v>2</v>
      </c>
      <c r="C340" s="2">
        <v>41590</v>
      </c>
      <c r="D340" t="s">
        <v>6</v>
      </c>
      <c r="E340">
        <v>2.8873280000000001</v>
      </c>
      <c r="F340">
        <f t="shared" si="10"/>
        <v>1.7384000000000288E-2</v>
      </c>
      <c r="G340">
        <f t="shared" si="11"/>
        <v>81.519641080165343</v>
      </c>
    </row>
    <row r="341" spans="2:7">
      <c r="B341" t="s">
        <v>2</v>
      </c>
      <c r="C341" s="2">
        <v>41586</v>
      </c>
      <c r="D341" t="s">
        <v>6</v>
      </c>
      <c r="E341">
        <v>2.8699439999999998</v>
      </c>
      <c r="F341">
        <f t="shared" si="10"/>
        <v>0.12934199999999985</v>
      </c>
      <c r="G341">
        <f t="shared" si="11"/>
        <v>81.860919413618447</v>
      </c>
    </row>
    <row r="342" spans="2:7">
      <c r="B342" t="s">
        <v>2</v>
      </c>
      <c r="C342" s="2">
        <v>41585</v>
      </c>
      <c r="D342" t="s">
        <v>6</v>
      </c>
      <c r="E342">
        <v>2.740602</v>
      </c>
      <c r="F342">
        <f t="shared" si="10"/>
        <v>-3.1655000000000211E-2</v>
      </c>
      <c r="G342">
        <f t="shared" si="11"/>
        <v>77.331237983600573</v>
      </c>
    </row>
    <row r="343" spans="2:7">
      <c r="B343" t="s">
        <v>2</v>
      </c>
      <c r="C343" s="2">
        <v>41584</v>
      </c>
      <c r="D343" t="s">
        <v>6</v>
      </c>
      <c r="E343">
        <v>2.7722570000000002</v>
      </c>
      <c r="F343">
        <f t="shared" si="10"/>
        <v>-3.1687999999999938E-2</v>
      </c>
      <c r="G343">
        <f t="shared" si="11"/>
        <v>80.342710759194489</v>
      </c>
    </row>
    <row r="344" spans="2:7">
      <c r="B344" t="s">
        <v>2</v>
      </c>
      <c r="C344" s="2">
        <v>41583</v>
      </c>
      <c r="D344" t="s">
        <v>6</v>
      </c>
      <c r="E344">
        <v>2.8039450000000001</v>
      </c>
      <c r="F344">
        <f t="shared" si="10"/>
        <v>6.0899000000000036E-2</v>
      </c>
      <c r="G344">
        <f t="shared" si="11"/>
        <v>80.302911438010142</v>
      </c>
    </row>
    <row r="345" spans="2:7">
      <c r="B345" t="s">
        <v>2</v>
      </c>
      <c r="C345" s="2">
        <v>41582</v>
      </c>
      <c r="D345" t="s">
        <v>6</v>
      </c>
      <c r="E345">
        <v>2.7430460000000001</v>
      </c>
      <c r="F345">
        <f t="shared" si="10"/>
        <v>-1.8606000000000122E-2</v>
      </c>
      <c r="G345">
        <f t="shared" si="11"/>
        <v>79.375337484651084</v>
      </c>
    </row>
    <row r="346" spans="2:7">
      <c r="B346" t="s">
        <v>2</v>
      </c>
      <c r="C346" s="2">
        <v>41579</v>
      </c>
      <c r="D346" t="s">
        <v>6</v>
      </c>
      <c r="E346">
        <v>2.7616520000000002</v>
      </c>
      <c r="F346">
        <f t="shared" si="10"/>
        <v>7.5172000000000239E-2</v>
      </c>
      <c r="G346">
        <f t="shared" si="11"/>
        <v>79.379150151586614</v>
      </c>
    </row>
    <row r="347" spans="2:7">
      <c r="B347" t="s">
        <v>2</v>
      </c>
      <c r="C347" s="2">
        <v>41578</v>
      </c>
      <c r="D347" t="s">
        <v>6</v>
      </c>
      <c r="E347">
        <v>2.68648</v>
      </c>
      <c r="F347">
        <f t="shared" si="10"/>
        <v>1.5530000000000044E-2</v>
      </c>
      <c r="G347">
        <f t="shared" si="11"/>
        <v>78.312957731691696</v>
      </c>
    </row>
    <row r="348" spans="2:7">
      <c r="B348" t="s">
        <v>2</v>
      </c>
      <c r="C348" s="2">
        <v>41577</v>
      </c>
      <c r="D348" t="s">
        <v>6</v>
      </c>
      <c r="E348">
        <v>2.6709499999999999</v>
      </c>
      <c r="F348">
        <f t="shared" si="10"/>
        <v>1.824099999999973E-2</v>
      </c>
      <c r="G348">
        <f t="shared" si="11"/>
        <v>78.272094373691445</v>
      </c>
    </row>
    <row r="349" spans="2:7">
      <c r="B349" t="s">
        <v>2</v>
      </c>
      <c r="C349" s="2">
        <v>41576</v>
      </c>
      <c r="D349" t="s">
        <v>6</v>
      </c>
      <c r="E349">
        <v>2.6527090000000002</v>
      </c>
      <c r="F349">
        <f t="shared" si="10"/>
        <v>-8.2379999999999676E-3</v>
      </c>
      <c r="G349">
        <f t="shared" si="11"/>
        <v>78.612647932472015</v>
      </c>
    </row>
    <row r="350" spans="2:7">
      <c r="B350" t="s">
        <v>2</v>
      </c>
      <c r="C350" s="2">
        <v>41575</v>
      </c>
      <c r="D350" t="s">
        <v>6</v>
      </c>
      <c r="E350">
        <v>2.6609470000000002</v>
      </c>
      <c r="F350">
        <f t="shared" si="10"/>
        <v>9.6630000000001992E-3</v>
      </c>
      <c r="G350">
        <f t="shared" si="11"/>
        <v>83.058537408045481</v>
      </c>
    </row>
    <row r="351" spans="2:7">
      <c r="B351" t="s">
        <v>2</v>
      </c>
      <c r="C351" s="2">
        <v>41572</v>
      </c>
      <c r="D351" t="s">
        <v>6</v>
      </c>
      <c r="E351">
        <v>2.651284</v>
      </c>
      <c r="F351">
        <f t="shared" si="10"/>
        <v>-1.958200000000021E-2</v>
      </c>
      <c r="G351">
        <f t="shared" si="11"/>
        <v>87.464747261186687</v>
      </c>
    </row>
    <row r="352" spans="2:7">
      <c r="B352" t="s">
        <v>2</v>
      </c>
      <c r="C352" s="2">
        <v>41571</v>
      </c>
      <c r="D352" t="s">
        <v>6</v>
      </c>
      <c r="E352">
        <v>2.6708660000000002</v>
      </c>
      <c r="F352">
        <f t="shared" si="10"/>
        <v>3.651300000000024E-2</v>
      </c>
      <c r="G352">
        <f t="shared" si="11"/>
        <v>87.440569645075016</v>
      </c>
    </row>
    <row r="353" spans="2:7">
      <c r="B353" t="s">
        <v>2</v>
      </c>
      <c r="C353" s="2">
        <v>41570</v>
      </c>
      <c r="D353" t="s">
        <v>6</v>
      </c>
      <c r="E353">
        <v>2.6343529999999999</v>
      </c>
      <c r="F353">
        <f t="shared" si="10"/>
        <v>-2.2275000000000045E-2</v>
      </c>
      <c r="G353">
        <f t="shared" si="11"/>
        <v>87.159424750014949</v>
      </c>
    </row>
    <row r="354" spans="2:7">
      <c r="B354" t="s">
        <v>2</v>
      </c>
      <c r="C354" s="2">
        <v>41569</v>
      </c>
      <c r="D354" t="s">
        <v>6</v>
      </c>
      <c r="E354">
        <v>2.656628</v>
      </c>
      <c r="F354">
        <f t="shared" si="10"/>
        <v>-9.2210999999999821E-2</v>
      </c>
      <c r="G354">
        <f t="shared" si="11"/>
        <v>87.169410451069325</v>
      </c>
    </row>
    <row r="355" spans="2:7">
      <c r="B355" t="s">
        <v>2</v>
      </c>
      <c r="C355" s="2">
        <v>41568</v>
      </c>
      <c r="D355" t="s">
        <v>6</v>
      </c>
      <c r="E355">
        <v>2.7488389999999998</v>
      </c>
      <c r="F355">
        <f t="shared" si="10"/>
        <v>1.7062999999999828E-2</v>
      </c>
      <c r="G355">
        <f t="shared" si="11"/>
        <v>85.647788997042468</v>
      </c>
    </row>
    <row r="356" spans="2:7">
      <c r="B356" t="s">
        <v>2</v>
      </c>
      <c r="C356" s="2">
        <v>41565</v>
      </c>
      <c r="D356" t="s">
        <v>6</v>
      </c>
      <c r="E356">
        <v>2.731776</v>
      </c>
      <c r="F356">
        <f t="shared" si="10"/>
        <v>4.8770000000000202E-3</v>
      </c>
      <c r="G356">
        <f t="shared" si="11"/>
        <v>85.68397047983099</v>
      </c>
    </row>
    <row r="357" spans="2:7">
      <c r="B357" t="s">
        <v>2</v>
      </c>
      <c r="C357" s="2">
        <v>41564</v>
      </c>
      <c r="D357" t="s">
        <v>6</v>
      </c>
      <c r="E357">
        <v>2.726899</v>
      </c>
      <c r="F357">
        <f t="shared" si="10"/>
        <v>-7.927699999999982E-2</v>
      </c>
      <c r="G357">
        <f t="shared" si="11"/>
        <v>86.835399744896208</v>
      </c>
    </row>
    <row r="358" spans="2:7">
      <c r="B358" t="s">
        <v>2</v>
      </c>
      <c r="C358" s="2">
        <v>41563</v>
      </c>
      <c r="D358" t="s">
        <v>6</v>
      </c>
      <c r="E358">
        <v>2.8061759999999998</v>
      </c>
      <c r="F358">
        <f t="shared" si="10"/>
        <v>-4.556300000000002E-2</v>
      </c>
      <c r="G358">
        <f t="shared" si="11"/>
        <v>85.332980981728838</v>
      </c>
    </row>
    <row r="359" spans="2:7">
      <c r="B359" t="s">
        <v>2</v>
      </c>
      <c r="C359" s="2">
        <v>41562</v>
      </c>
      <c r="D359" t="s">
        <v>6</v>
      </c>
      <c r="E359">
        <v>2.8517389999999998</v>
      </c>
      <c r="F359">
        <f t="shared" si="10"/>
        <v>3.6642999999999759E-2</v>
      </c>
      <c r="G359">
        <f t="shared" si="11"/>
        <v>84.766246117182263</v>
      </c>
    </row>
    <row r="360" spans="2:7">
      <c r="B360" t="s">
        <v>2</v>
      </c>
      <c r="C360" s="2">
        <v>41558</v>
      </c>
      <c r="D360" t="s">
        <v>6</v>
      </c>
      <c r="E360">
        <v>2.815096</v>
      </c>
      <c r="F360">
        <f t="shared" si="10"/>
        <v>-5.9960000000001124E-3</v>
      </c>
      <c r="G360">
        <f t="shared" si="11"/>
        <v>84.893088040604965</v>
      </c>
    </row>
    <row r="361" spans="2:7">
      <c r="B361" t="s">
        <v>2</v>
      </c>
      <c r="C361" s="2">
        <v>41557</v>
      </c>
      <c r="D361" t="s">
        <v>6</v>
      </c>
      <c r="E361">
        <v>2.8210920000000002</v>
      </c>
      <c r="F361">
        <f t="shared" si="10"/>
        <v>2.5805000000000078E-2</v>
      </c>
      <c r="G361">
        <f t="shared" si="11"/>
        <v>85.259191309127658</v>
      </c>
    </row>
    <row r="362" spans="2:7">
      <c r="B362" t="s">
        <v>2</v>
      </c>
      <c r="C362" s="2">
        <v>41556</v>
      </c>
      <c r="D362" t="s">
        <v>6</v>
      </c>
      <c r="E362">
        <v>2.7952870000000001</v>
      </c>
      <c r="F362">
        <f t="shared" si="10"/>
        <v>1.8278000000000016E-2</v>
      </c>
      <c r="G362">
        <f t="shared" si="11"/>
        <v>85.753696743209872</v>
      </c>
    </row>
    <row r="363" spans="2:7">
      <c r="B363" t="s">
        <v>2</v>
      </c>
      <c r="C363" s="2">
        <v>41555</v>
      </c>
      <c r="D363" t="s">
        <v>6</v>
      </c>
      <c r="E363">
        <v>2.7770090000000001</v>
      </c>
      <c r="F363">
        <f t="shared" si="10"/>
        <v>-1.2469999999999981E-2</v>
      </c>
      <c r="G363">
        <f t="shared" si="11"/>
        <v>85.844109469870617</v>
      </c>
    </row>
    <row r="364" spans="2:7">
      <c r="B364" t="s">
        <v>2</v>
      </c>
      <c r="C364" s="2">
        <v>41554</v>
      </c>
      <c r="D364" t="s">
        <v>6</v>
      </c>
      <c r="E364">
        <v>2.789479</v>
      </c>
      <c r="F364">
        <f t="shared" si="10"/>
        <v>-2.4880000000000013E-2</v>
      </c>
      <c r="G364">
        <f t="shared" si="11"/>
        <v>86.539089989457267</v>
      </c>
    </row>
    <row r="365" spans="2:7">
      <c r="B365" t="s">
        <v>2</v>
      </c>
      <c r="C365" s="2">
        <v>41551</v>
      </c>
      <c r="D365" t="s">
        <v>6</v>
      </c>
      <c r="E365">
        <v>2.8143590000000001</v>
      </c>
      <c r="F365">
        <f t="shared" si="10"/>
        <v>4.1138000000000119E-2</v>
      </c>
      <c r="G365">
        <f t="shared" si="11"/>
        <v>86.692305180607192</v>
      </c>
    </row>
    <row r="366" spans="2:7">
      <c r="B366" t="s">
        <v>2</v>
      </c>
      <c r="C366" s="2">
        <v>41550</v>
      </c>
      <c r="D366" t="s">
        <v>6</v>
      </c>
      <c r="E366">
        <v>2.7732209999999999</v>
      </c>
      <c r="F366">
        <f t="shared" si="10"/>
        <v>-1.4651000000000192E-2</v>
      </c>
      <c r="G366">
        <f t="shared" si="11"/>
        <v>88.697534600894215</v>
      </c>
    </row>
    <row r="367" spans="2:7">
      <c r="B367" t="s">
        <v>2</v>
      </c>
      <c r="C367" s="2">
        <v>41549</v>
      </c>
      <c r="D367" t="s">
        <v>6</v>
      </c>
      <c r="E367">
        <v>2.7878720000000001</v>
      </c>
      <c r="F367">
        <f t="shared" si="10"/>
        <v>-1.4996000000000009E-2</v>
      </c>
      <c r="G367">
        <f t="shared" si="11"/>
        <v>88.988518677338348</v>
      </c>
    </row>
    <row r="368" spans="2:7">
      <c r="B368" t="s">
        <v>2</v>
      </c>
      <c r="C368" s="2">
        <v>41548</v>
      </c>
      <c r="D368" t="s">
        <v>6</v>
      </c>
      <c r="E368">
        <v>2.8028680000000001</v>
      </c>
      <c r="F368">
        <f t="shared" si="10"/>
        <v>3.3456000000000152E-2</v>
      </c>
      <c r="G368">
        <f t="shared" si="11"/>
        <v>89.243764580390788</v>
      </c>
    </row>
    <row r="369" spans="2:7">
      <c r="B369" t="s">
        <v>2</v>
      </c>
      <c r="C369" s="2">
        <v>41547</v>
      </c>
      <c r="D369" t="s">
        <v>6</v>
      </c>
      <c r="E369">
        <v>2.769412</v>
      </c>
      <c r="F369">
        <f t="shared" si="10"/>
        <v>-1.2900000000000134E-3</v>
      </c>
      <c r="G369">
        <f t="shared" si="11"/>
        <v>89.996255385136664</v>
      </c>
    </row>
    <row r="370" spans="2:7">
      <c r="B370" t="s">
        <v>2</v>
      </c>
      <c r="C370" s="2">
        <v>41544</v>
      </c>
      <c r="D370" t="s">
        <v>6</v>
      </c>
      <c r="E370">
        <v>2.770702</v>
      </c>
      <c r="F370">
        <f t="shared" si="10"/>
        <v>-2.1863000000000188E-2</v>
      </c>
      <c r="G370">
        <f t="shared" si="11"/>
        <v>102.0822620350301</v>
      </c>
    </row>
    <row r="371" spans="2:7">
      <c r="B371" t="s">
        <v>2</v>
      </c>
      <c r="C371" s="2">
        <v>41543</v>
      </c>
      <c r="D371" t="s">
        <v>6</v>
      </c>
      <c r="E371">
        <v>2.7925650000000002</v>
      </c>
      <c r="F371">
        <f t="shared" si="10"/>
        <v>2.9094000000000175E-2</v>
      </c>
      <c r="G371">
        <f t="shared" si="11"/>
        <v>102.24066653724542</v>
      </c>
    </row>
    <row r="372" spans="2:7">
      <c r="B372" t="s">
        <v>2</v>
      </c>
      <c r="C372" s="2">
        <v>41542</v>
      </c>
      <c r="D372" t="s">
        <v>6</v>
      </c>
      <c r="E372">
        <v>2.763471</v>
      </c>
      <c r="F372">
        <f t="shared" si="10"/>
        <v>-4.1946999999999957E-2</v>
      </c>
      <c r="G372">
        <f t="shared" si="11"/>
        <v>102.09663862100959</v>
      </c>
    </row>
    <row r="373" spans="2:7">
      <c r="B373" t="s">
        <v>2</v>
      </c>
      <c r="C373" s="2">
        <v>41541</v>
      </c>
      <c r="D373" t="s">
        <v>6</v>
      </c>
      <c r="E373">
        <v>2.805418</v>
      </c>
      <c r="F373">
        <f t="shared" si="10"/>
        <v>-5.7374999999999954E-2</v>
      </c>
      <c r="G373">
        <f t="shared" si="11"/>
        <v>101.72175526263717</v>
      </c>
    </row>
    <row r="374" spans="2:7">
      <c r="B374" t="s">
        <v>2</v>
      </c>
      <c r="C374" s="2">
        <v>41540</v>
      </c>
      <c r="D374" t="s">
        <v>6</v>
      </c>
      <c r="E374">
        <v>2.8627929999999999</v>
      </c>
      <c r="F374">
        <f t="shared" si="10"/>
        <v>-1.9769000000000148E-2</v>
      </c>
      <c r="G374">
        <f t="shared" si="11"/>
        <v>100.99243058918191</v>
      </c>
    </row>
    <row r="375" spans="2:7">
      <c r="B375" t="s">
        <v>2</v>
      </c>
      <c r="C375" s="2">
        <v>41537</v>
      </c>
      <c r="D375" t="s">
        <v>6</v>
      </c>
      <c r="E375">
        <v>2.8825620000000001</v>
      </c>
      <c r="F375">
        <f t="shared" si="10"/>
        <v>-1.7344999999999722E-2</v>
      </c>
      <c r="G375">
        <f t="shared" si="11"/>
        <v>102.25483261998542</v>
      </c>
    </row>
    <row r="376" spans="2:7">
      <c r="B376" t="s">
        <v>2</v>
      </c>
      <c r="C376" s="2">
        <v>41536</v>
      </c>
      <c r="D376" t="s">
        <v>6</v>
      </c>
      <c r="E376">
        <v>2.8999069999999998</v>
      </c>
      <c r="F376">
        <f t="shared" si="10"/>
        <v>5.3970999999999769E-2</v>
      </c>
      <c r="G376">
        <f t="shared" si="11"/>
        <v>102.91557591994669</v>
      </c>
    </row>
    <row r="377" spans="2:7">
      <c r="B377" t="s">
        <v>2</v>
      </c>
      <c r="C377" s="2">
        <v>41535</v>
      </c>
      <c r="D377" t="s">
        <v>6</v>
      </c>
      <c r="E377">
        <v>2.845936</v>
      </c>
      <c r="F377">
        <f t="shared" si="10"/>
        <v>-0.15544899999999995</v>
      </c>
      <c r="G377">
        <f t="shared" si="11"/>
        <v>102.63999865900395</v>
      </c>
    </row>
    <row r="378" spans="2:7">
      <c r="B378" t="s">
        <v>2</v>
      </c>
      <c r="C378" s="2">
        <v>41534</v>
      </c>
      <c r="D378" t="s">
        <v>6</v>
      </c>
      <c r="E378">
        <v>3.001385</v>
      </c>
      <c r="F378">
        <f t="shared" si="10"/>
        <v>-2.6177000000000117E-2</v>
      </c>
      <c r="G378">
        <f t="shared" si="11"/>
        <v>97.498117854537313</v>
      </c>
    </row>
    <row r="379" spans="2:7">
      <c r="B379" t="s">
        <v>2</v>
      </c>
      <c r="C379" s="2">
        <v>41533</v>
      </c>
      <c r="D379" t="s">
        <v>6</v>
      </c>
      <c r="E379">
        <v>3.0275620000000001</v>
      </c>
      <c r="F379">
        <f t="shared" si="10"/>
        <v>-3.5715999999999859E-2</v>
      </c>
      <c r="G379">
        <f t="shared" si="11"/>
        <v>99.036239356813041</v>
      </c>
    </row>
    <row r="380" spans="2:7">
      <c r="B380" t="s">
        <v>2</v>
      </c>
      <c r="C380" s="2">
        <v>41530</v>
      </c>
      <c r="D380" t="s">
        <v>6</v>
      </c>
      <c r="E380">
        <v>3.0632779999999999</v>
      </c>
      <c r="F380">
        <f t="shared" si="10"/>
        <v>-3.8860000000000561E-3</v>
      </c>
      <c r="G380">
        <f t="shared" si="11"/>
        <v>101.74805740751702</v>
      </c>
    </row>
    <row r="381" spans="2:7">
      <c r="B381" t="s">
        <v>2</v>
      </c>
      <c r="C381" s="2">
        <v>41529</v>
      </c>
      <c r="D381" t="s">
        <v>6</v>
      </c>
      <c r="E381">
        <v>3.067164</v>
      </c>
      <c r="F381">
        <f t="shared" si="10"/>
        <v>-1.3077000000000005E-2</v>
      </c>
      <c r="G381">
        <f t="shared" si="11"/>
        <v>105.90420112723378</v>
      </c>
    </row>
    <row r="382" spans="2:7">
      <c r="B382" t="s">
        <v>2</v>
      </c>
      <c r="C382" s="2">
        <v>41528</v>
      </c>
      <c r="D382" t="s">
        <v>6</v>
      </c>
      <c r="E382">
        <v>3.080241</v>
      </c>
      <c r="F382">
        <f t="shared" si="10"/>
        <v>-4.1589999999999794E-2</v>
      </c>
      <c r="G382">
        <f t="shared" si="11"/>
        <v>105.78301876606993</v>
      </c>
    </row>
    <row r="383" spans="2:7">
      <c r="B383" t="s">
        <v>2</v>
      </c>
      <c r="C383" s="2">
        <v>41527</v>
      </c>
      <c r="D383" t="s">
        <v>6</v>
      </c>
      <c r="E383">
        <v>3.1218309999999998</v>
      </c>
      <c r="F383">
        <f t="shared" si="10"/>
        <v>5.1243999999999623E-2</v>
      </c>
      <c r="G383">
        <f t="shared" si="11"/>
        <v>105.43032527450862</v>
      </c>
    </row>
    <row r="384" spans="2:7">
      <c r="B384" t="s">
        <v>2</v>
      </c>
      <c r="C384" s="2">
        <v>41526</v>
      </c>
      <c r="D384" t="s">
        <v>6</v>
      </c>
      <c r="E384">
        <v>3.0705870000000002</v>
      </c>
      <c r="F384">
        <f t="shared" si="10"/>
        <v>-4.8861999999999739E-2</v>
      </c>
      <c r="G384">
        <f t="shared" si="11"/>
        <v>106.06182631183087</v>
      </c>
    </row>
    <row r="385" spans="2:7">
      <c r="B385" t="s">
        <v>2</v>
      </c>
      <c r="C385" s="2">
        <v>41523</v>
      </c>
      <c r="D385" t="s">
        <v>6</v>
      </c>
      <c r="E385">
        <v>3.1194489999999999</v>
      </c>
      <c r="F385">
        <f t="shared" si="10"/>
        <v>-3.9916000000000285E-2</v>
      </c>
      <c r="G385">
        <f t="shared" si="11"/>
        <v>106.56445803337211</v>
      </c>
    </row>
    <row r="386" spans="2:7">
      <c r="B386" t="s">
        <v>2</v>
      </c>
      <c r="C386" s="2">
        <v>41522</v>
      </c>
      <c r="D386" t="s">
        <v>6</v>
      </c>
      <c r="E386">
        <v>3.1593650000000002</v>
      </c>
      <c r="F386">
        <f t="shared" si="10"/>
        <v>8.8591000000000086E-2</v>
      </c>
      <c r="G386">
        <f t="shared" si="11"/>
        <v>106.08746674384825</v>
      </c>
    </row>
    <row r="387" spans="2:7">
      <c r="B387" t="s">
        <v>2</v>
      </c>
      <c r="C387" s="2">
        <v>41521</v>
      </c>
      <c r="D387" t="s">
        <v>6</v>
      </c>
      <c r="E387">
        <v>3.0707740000000001</v>
      </c>
      <c r="F387">
        <f t="shared" ref="F387:F450" si="12">E387-E388</f>
        <v>4.2364000000000068E-2</v>
      </c>
      <c r="G387">
        <f t="shared" ref="G387:G450" si="13">STDEV(F387:F446)*SQRT(250)*100</f>
        <v>105.21600374841948</v>
      </c>
    </row>
    <row r="388" spans="2:7">
      <c r="B388" t="s">
        <v>2</v>
      </c>
      <c r="C388" s="2">
        <v>41520</v>
      </c>
      <c r="D388" t="s">
        <v>6</v>
      </c>
      <c r="E388">
        <v>3.02841</v>
      </c>
      <c r="F388">
        <f t="shared" si="12"/>
        <v>8.5291999999999923E-2</v>
      </c>
      <c r="G388">
        <f t="shared" si="13"/>
        <v>105.60523210461707</v>
      </c>
    </row>
    <row r="389" spans="2:7">
      <c r="B389" t="s">
        <v>2</v>
      </c>
      <c r="C389" s="2">
        <v>41516</v>
      </c>
      <c r="D389" t="s">
        <v>6</v>
      </c>
      <c r="E389">
        <v>2.9431180000000001</v>
      </c>
      <c r="F389">
        <f t="shared" si="12"/>
        <v>4.221999999999948E-3</v>
      </c>
      <c r="G389">
        <f t="shared" si="13"/>
        <v>105.70090083018616</v>
      </c>
    </row>
    <row r="390" spans="2:7">
      <c r="B390" t="s">
        <v>2</v>
      </c>
      <c r="C390" s="2">
        <v>41515</v>
      </c>
      <c r="D390" t="s">
        <v>6</v>
      </c>
      <c r="E390">
        <v>2.9388960000000002</v>
      </c>
      <c r="F390">
        <f t="shared" si="12"/>
        <v>-3.0367999999999729E-2</v>
      </c>
      <c r="G390">
        <f t="shared" si="13"/>
        <v>105.96034812491664</v>
      </c>
    </row>
    <row r="391" spans="2:7">
      <c r="B391" t="s">
        <v>2</v>
      </c>
      <c r="C391" s="2">
        <v>41514</v>
      </c>
      <c r="D391" t="s">
        <v>6</v>
      </c>
      <c r="E391">
        <v>2.9692639999999999</v>
      </c>
      <c r="F391">
        <f t="shared" si="12"/>
        <v>6.1145999999999923E-2</v>
      </c>
      <c r="G391">
        <f t="shared" si="13"/>
        <v>106.14027818114127</v>
      </c>
    </row>
    <row r="392" spans="2:7">
      <c r="B392" t="s">
        <v>2</v>
      </c>
      <c r="C392" s="2">
        <v>41513</v>
      </c>
      <c r="D392" t="s">
        <v>6</v>
      </c>
      <c r="E392">
        <v>2.908118</v>
      </c>
      <c r="F392">
        <f t="shared" si="12"/>
        <v>-8.4189999999999987E-2</v>
      </c>
      <c r="G392">
        <f t="shared" si="13"/>
        <v>105.63196483589856</v>
      </c>
    </row>
    <row r="393" spans="2:7">
      <c r="B393" t="s">
        <v>2</v>
      </c>
      <c r="C393" s="2">
        <v>41512</v>
      </c>
      <c r="D393" t="s">
        <v>6</v>
      </c>
      <c r="E393">
        <v>2.992308</v>
      </c>
      <c r="F393">
        <f t="shared" si="12"/>
        <v>-2.0948999999999884E-2</v>
      </c>
      <c r="G393">
        <f t="shared" si="13"/>
        <v>104.04647477187679</v>
      </c>
    </row>
    <row r="394" spans="2:7">
      <c r="B394" t="s">
        <v>2</v>
      </c>
      <c r="C394" s="2">
        <v>41509</v>
      </c>
      <c r="D394" t="s">
        <v>6</v>
      </c>
      <c r="E394">
        <v>3.0132569999999999</v>
      </c>
      <c r="F394">
        <f t="shared" si="12"/>
        <v>-8.7401000000000284E-2</v>
      </c>
      <c r="G394">
        <f t="shared" si="13"/>
        <v>104.11224685210291</v>
      </c>
    </row>
    <row r="395" spans="2:7">
      <c r="B395" t="s">
        <v>2</v>
      </c>
      <c r="C395" s="2">
        <v>41508</v>
      </c>
      <c r="D395" t="s">
        <v>6</v>
      </c>
      <c r="E395">
        <v>3.1006580000000001</v>
      </c>
      <c r="F395">
        <f t="shared" si="12"/>
        <v>5.5747000000000213E-2</v>
      </c>
      <c r="G395">
        <f t="shared" si="13"/>
        <v>102.07291425174762</v>
      </c>
    </row>
    <row r="396" spans="2:7">
      <c r="B396" t="s">
        <v>2</v>
      </c>
      <c r="C396" s="2">
        <v>41507</v>
      </c>
      <c r="D396" t="s">
        <v>6</v>
      </c>
      <c r="E396">
        <v>3.0449109999999999</v>
      </c>
      <c r="F396">
        <f t="shared" si="12"/>
        <v>4.618000000000011E-2</v>
      </c>
      <c r="G396">
        <f t="shared" si="13"/>
        <v>101.79928538278801</v>
      </c>
    </row>
    <row r="397" spans="2:7">
      <c r="B397" t="s">
        <v>2</v>
      </c>
      <c r="C397" s="2">
        <v>41506</v>
      </c>
      <c r="D397" t="s">
        <v>6</v>
      </c>
      <c r="E397">
        <v>2.9987309999999998</v>
      </c>
      <c r="F397">
        <f t="shared" si="12"/>
        <v>-6.537000000000015E-2</v>
      </c>
      <c r="G397">
        <f t="shared" si="13"/>
        <v>104.87583208551541</v>
      </c>
    </row>
    <row r="398" spans="2:7">
      <c r="B398" t="s">
        <v>2</v>
      </c>
      <c r="C398" s="2">
        <v>41505</v>
      </c>
      <c r="D398" t="s">
        <v>6</v>
      </c>
      <c r="E398">
        <v>3.064101</v>
      </c>
      <c r="F398">
        <f t="shared" si="12"/>
        <v>6.6329000000000082E-2</v>
      </c>
      <c r="G398">
        <f t="shared" si="13"/>
        <v>103.62507784346874</v>
      </c>
    </row>
    <row r="399" spans="2:7">
      <c r="B399" t="s">
        <v>2</v>
      </c>
      <c r="C399" s="2">
        <v>41502</v>
      </c>
      <c r="D399" t="s">
        <v>6</v>
      </c>
      <c r="E399">
        <v>2.9977719999999999</v>
      </c>
      <c r="F399">
        <f t="shared" si="12"/>
        <v>7.9177999999999749E-2</v>
      </c>
      <c r="G399">
        <f t="shared" si="13"/>
        <v>103.11099548836182</v>
      </c>
    </row>
    <row r="400" spans="2:7">
      <c r="B400" t="s">
        <v>2</v>
      </c>
      <c r="C400" s="2">
        <v>41501</v>
      </c>
      <c r="D400" t="s">
        <v>6</v>
      </c>
      <c r="E400">
        <v>2.9185940000000001</v>
      </c>
      <c r="F400">
        <f t="shared" si="12"/>
        <v>4.0038000000000018E-2</v>
      </c>
      <c r="G400">
        <f t="shared" si="13"/>
        <v>103.38509824280833</v>
      </c>
    </row>
    <row r="401" spans="2:7">
      <c r="B401" t="s">
        <v>2</v>
      </c>
      <c r="C401" s="2">
        <v>41500</v>
      </c>
      <c r="D401" t="s">
        <v>6</v>
      </c>
      <c r="E401">
        <v>2.8785560000000001</v>
      </c>
      <c r="F401">
        <f t="shared" si="12"/>
        <v>-8.127999999999691E-3</v>
      </c>
      <c r="G401">
        <f t="shared" si="13"/>
        <v>103.57934888552896</v>
      </c>
    </row>
    <row r="402" spans="2:7">
      <c r="B402" t="s">
        <v>2</v>
      </c>
      <c r="C402" s="2">
        <v>41499</v>
      </c>
      <c r="D402" t="s">
        <v>6</v>
      </c>
      <c r="E402">
        <v>2.8866839999999998</v>
      </c>
      <c r="F402">
        <f t="shared" si="12"/>
        <v>0.10887099999999972</v>
      </c>
      <c r="G402">
        <f t="shared" si="13"/>
        <v>103.49398434104901</v>
      </c>
    </row>
    <row r="403" spans="2:7">
      <c r="B403" t="s">
        <v>2</v>
      </c>
      <c r="C403" s="2">
        <v>41498</v>
      </c>
      <c r="D403" t="s">
        <v>6</v>
      </c>
      <c r="E403">
        <v>2.7778130000000001</v>
      </c>
      <c r="F403">
        <f t="shared" si="12"/>
        <v>3.008999999999995E-2</v>
      </c>
      <c r="G403">
        <f t="shared" si="13"/>
        <v>102.94953385924654</v>
      </c>
    </row>
    <row r="404" spans="2:7">
      <c r="B404" t="s">
        <v>2</v>
      </c>
      <c r="C404" s="2">
        <v>41495</v>
      </c>
      <c r="D404" t="s">
        <v>6</v>
      </c>
      <c r="E404">
        <v>2.7477230000000001</v>
      </c>
      <c r="F404">
        <f t="shared" si="12"/>
        <v>-1.2871000000000077E-2</v>
      </c>
      <c r="G404">
        <f t="shared" si="13"/>
        <v>104.76549072695589</v>
      </c>
    </row>
    <row r="405" spans="2:7">
      <c r="B405" t="s">
        <v>2</v>
      </c>
      <c r="C405" s="2">
        <v>41494</v>
      </c>
      <c r="D405" t="s">
        <v>6</v>
      </c>
      <c r="E405">
        <v>2.7605940000000002</v>
      </c>
      <c r="F405">
        <f t="shared" si="12"/>
        <v>-1.8991999999999898E-2</v>
      </c>
      <c r="G405">
        <f t="shared" si="13"/>
        <v>104.84076642748128</v>
      </c>
    </row>
    <row r="406" spans="2:7">
      <c r="B406" t="s">
        <v>2</v>
      </c>
      <c r="C406" s="2">
        <v>41493</v>
      </c>
      <c r="D406" t="s">
        <v>6</v>
      </c>
      <c r="E406">
        <v>2.7795860000000001</v>
      </c>
      <c r="F406">
        <f t="shared" si="12"/>
        <v>-4.4652999999999832E-2</v>
      </c>
      <c r="G406">
        <f t="shared" si="13"/>
        <v>104.73369415378637</v>
      </c>
    </row>
    <row r="407" spans="2:7">
      <c r="B407" t="s">
        <v>2</v>
      </c>
      <c r="C407" s="2">
        <v>41492</v>
      </c>
      <c r="D407" t="s">
        <v>6</v>
      </c>
      <c r="E407">
        <v>2.8242389999999999</v>
      </c>
      <c r="F407">
        <f t="shared" si="12"/>
        <v>1.0632999999999893E-2</v>
      </c>
      <c r="G407">
        <f t="shared" si="13"/>
        <v>104.09920027144616</v>
      </c>
    </row>
    <row r="408" spans="2:7">
      <c r="B408" t="s">
        <v>2</v>
      </c>
      <c r="C408" s="2">
        <v>41491</v>
      </c>
      <c r="D408" t="s">
        <v>6</v>
      </c>
      <c r="E408">
        <v>2.8136060000000001</v>
      </c>
      <c r="F408">
        <f t="shared" si="12"/>
        <v>3.8768999999999831E-2</v>
      </c>
      <c r="G408">
        <f t="shared" si="13"/>
        <v>105.07272914809643</v>
      </c>
    </row>
    <row r="409" spans="2:7">
      <c r="B409" t="s">
        <v>2</v>
      </c>
      <c r="C409" s="2">
        <v>41488</v>
      </c>
      <c r="D409" t="s">
        <v>6</v>
      </c>
      <c r="E409">
        <v>2.7748370000000002</v>
      </c>
      <c r="F409">
        <f t="shared" si="12"/>
        <v>-0.13342299999999963</v>
      </c>
      <c r="G409">
        <f t="shared" si="13"/>
        <v>104.94967975423381</v>
      </c>
    </row>
    <row r="410" spans="2:7">
      <c r="B410" t="s">
        <v>2</v>
      </c>
      <c r="C410" s="2">
        <v>41487</v>
      </c>
      <c r="D410" t="s">
        <v>6</v>
      </c>
      <c r="E410">
        <v>2.9082599999999998</v>
      </c>
      <c r="F410">
        <f t="shared" si="12"/>
        <v>0.13065999999999978</v>
      </c>
      <c r="G410">
        <f t="shared" si="13"/>
        <v>100.64638607498433</v>
      </c>
    </row>
    <row r="411" spans="2:7">
      <c r="B411" t="s">
        <v>2</v>
      </c>
      <c r="C411" s="2">
        <v>41486</v>
      </c>
      <c r="D411" t="s">
        <v>6</v>
      </c>
      <c r="E411">
        <v>2.7776000000000001</v>
      </c>
      <c r="F411">
        <f t="shared" si="12"/>
        <v>-1.6450999999999993E-2</v>
      </c>
      <c r="G411">
        <f t="shared" si="13"/>
        <v>97.784915721453885</v>
      </c>
    </row>
    <row r="412" spans="2:7">
      <c r="B412" t="s">
        <v>2</v>
      </c>
      <c r="C412" s="2">
        <v>41485</v>
      </c>
      <c r="D412" t="s">
        <v>6</v>
      </c>
      <c r="E412">
        <v>2.7940510000000001</v>
      </c>
      <c r="F412">
        <f t="shared" si="12"/>
        <v>1.6268999999999867E-2</v>
      </c>
      <c r="G412">
        <f t="shared" si="13"/>
        <v>97.663527755079031</v>
      </c>
    </row>
    <row r="413" spans="2:7">
      <c r="B413" t="s">
        <v>2</v>
      </c>
      <c r="C413" s="2">
        <v>41484</v>
      </c>
      <c r="D413" t="s">
        <v>6</v>
      </c>
      <c r="E413">
        <v>2.7777820000000002</v>
      </c>
      <c r="F413">
        <f t="shared" si="12"/>
        <v>1.9176000000000304E-2</v>
      </c>
      <c r="G413">
        <f t="shared" si="13"/>
        <v>99.420835372802969</v>
      </c>
    </row>
    <row r="414" spans="2:7">
      <c r="B414" t="s">
        <v>2</v>
      </c>
      <c r="C414" s="2">
        <v>41481</v>
      </c>
      <c r="D414" t="s">
        <v>6</v>
      </c>
      <c r="E414">
        <v>2.7586059999999999</v>
      </c>
      <c r="F414">
        <f t="shared" si="12"/>
        <v>-4.6654999999999891E-2</v>
      </c>
      <c r="G414">
        <f t="shared" si="13"/>
        <v>99.535280399084115</v>
      </c>
    </row>
    <row r="415" spans="2:7">
      <c r="B415" t="s">
        <v>2</v>
      </c>
      <c r="C415" s="2">
        <v>41480</v>
      </c>
      <c r="D415" t="s">
        <v>6</v>
      </c>
      <c r="E415">
        <v>2.8052609999999998</v>
      </c>
      <c r="F415">
        <f t="shared" si="12"/>
        <v>2.0753999999999717E-2</v>
      </c>
      <c r="G415">
        <f t="shared" si="13"/>
        <v>99.137598514989307</v>
      </c>
    </row>
    <row r="416" spans="2:7">
      <c r="B416" t="s">
        <v>2</v>
      </c>
      <c r="C416" s="2">
        <v>41479</v>
      </c>
      <c r="D416" t="s">
        <v>6</v>
      </c>
      <c r="E416">
        <v>2.7845070000000001</v>
      </c>
      <c r="F416">
        <f t="shared" si="12"/>
        <v>6.8318000000000101E-2</v>
      </c>
      <c r="G416">
        <f t="shared" si="13"/>
        <v>99.136992689149324</v>
      </c>
    </row>
    <row r="417" spans="2:7">
      <c r="B417" t="s">
        <v>2</v>
      </c>
      <c r="C417" s="2">
        <v>41478</v>
      </c>
      <c r="D417" t="s">
        <v>6</v>
      </c>
      <c r="E417">
        <v>2.716189</v>
      </c>
      <c r="F417">
        <f t="shared" si="12"/>
        <v>1.9439999999999902E-2</v>
      </c>
      <c r="G417">
        <f t="shared" si="13"/>
        <v>98.630633111492656</v>
      </c>
    </row>
    <row r="418" spans="2:7">
      <c r="B418" t="s">
        <v>2</v>
      </c>
      <c r="C418" s="2">
        <v>41477</v>
      </c>
      <c r="D418" t="s">
        <v>6</v>
      </c>
      <c r="E418">
        <v>2.6967490000000001</v>
      </c>
      <c r="F418">
        <f t="shared" si="12"/>
        <v>-3.1299999999978567E-4</v>
      </c>
      <c r="G418">
        <f t="shared" si="13"/>
        <v>99.216638640506076</v>
      </c>
    </row>
    <row r="419" spans="2:7">
      <c r="B419" t="s">
        <v>2</v>
      </c>
      <c r="C419" s="2">
        <v>41474</v>
      </c>
      <c r="D419" t="s">
        <v>6</v>
      </c>
      <c r="E419">
        <v>2.6970619999999998</v>
      </c>
      <c r="F419">
        <f t="shared" si="12"/>
        <v>-3.9430999999999994E-2</v>
      </c>
      <c r="G419">
        <f t="shared" si="13"/>
        <v>99.175200664215595</v>
      </c>
    </row>
    <row r="420" spans="2:7">
      <c r="B420" t="s">
        <v>2</v>
      </c>
      <c r="C420" s="2">
        <v>41473</v>
      </c>
      <c r="D420" t="s">
        <v>6</v>
      </c>
      <c r="E420">
        <v>2.7364929999999998</v>
      </c>
      <c r="F420">
        <f t="shared" si="12"/>
        <v>4.0807000000000038E-2</v>
      </c>
      <c r="G420">
        <f t="shared" si="13"/>
        <v>98.699114048118361</v>
      </c>
    </row>
    <row r="421" spans="2:7">
      <c r="B421" t="s">
        <v>2</v>
      </c>
      <c r="C421" s="2">
        <v>41472</v>
      </c>
      <c r="D421" t="s">
        <v>6</v>
      </c>
      <c r="E421">
        <v>2.6956859999999998</v>
      </c>
      <c r="F421">
        <f t="shared" si="12"/>
        <v>-4.9412000000000234E-2</v>
      </c>
      <c r="G421">
        <f t="shared" si="13"/>
        <v>98.546321360196501</v>
      </c>
    </row>
    <row r="422" spans="2:7">
      <c r="B422" t="s">
        <v>2</v>
      </c>
      <c r="C422" s="2">
        <v>41471</v>
      </c>
      <c r="D422" t="s">
        <v>6</v>
      </c>
      <c r="E422">
        <v>2.745098</v>
      </c>
      <c r="F422">
        <f t="shared" si="12"/>
        <v>-2.5669000000000164E-2</v>
      </c>
      <c r="G422">
        <f t="shared" si="13"/>
        <v>97.709151037918886</v>
      </c>
    </row>
    <row r="423" spans="2:7">
      <c r="B423" t="s">
        <v>2</v>
      </c>
      <c r="C423" s="2">
        <v>41470</v>
      </c>
      <c r="D423" t="s">
        <v>6</v>
      </c>
      <c r="E423">
        <v>2.7707670000000002</v>
      </c>
      <c r="F423">
        <f t="shared" si="12"/>
        <v>-5.4807999999999968E-2</v>
      </c>
      <c r="G423">
        <f t="shared" si="13"/>
        <v>97.359910984687787</v>
      </c>
    </row>
    <row r="424" spans="2:7">
      <c r="B424" t="s">
        <v>2</v>
      </c>
      <c r="C424" s="2">
        <v>41467</v>
      </c>
      <c r="D424" t="s">
        <v>6</v>
      </c>
      <c r="E424">
        <v>2.8255750000000002</v>
      </c>
      <c r="F424">
        <f t="shared" si="12"/>
        <v>3.5117000000000065E-2</v>
      </c>
      <c r="G424">
        <f t="shared" si="13"/>
        <v>96.593108860776553</v>
      </c>
    </row>
    <row r="425" spans="2:7">
      <c r="B425" t="s">
        <v>2</v>
      </c>
      <c r="C425" s="2">
        <v>41466</v>
      </c>
      <c r="D425" t="s">
        <v>6</v>
      </c>
      <c r="E425">
        <v>2.7904580000000001</v>
      </c>
      <c r="F425">
        <f t="shared" si="12"/>
        <v>-0.1010749999999998</v>
      </c>
      <c r="G425">
        <f t="shared" si="13"/>
        <v>96.796664602094609</v>
      </c>
    </row>
    <row r="426" spans="2:7">
      <c r="B426" t="s">
        <v>2</v>
      </c>
      <c r="C426" s="2">
        <v>41465</v>
      </c>
      <c r="D426" t="s">
        <v>6</v>
      </c>
      <c r="E426">
        <v>2.8915329999999999</v>
      </c>
      <c r="F426">
        <f t="shared" si="12"/>
        <v>3.5754999999999981E-2</v>
      </c>
      <c r="G426">
        <f t="shared" si="13"/>
        <v>93.750734654940729</v>
      </c>
    </row>
    <row r="427" spans="2:7">
      <c r="B427" t="s">
        <v>2</v>
      </c>
      <c r="C427" s="2">
        <v>41464</v>
      </c>
      <c r="D427" t="s">
        <v>6</v>
      </c>
      <c r="E427">
        <v>2.8557779999999999</v>
      </c>
      <c r="F427">
        <f t="shared" si="12"/>
        <v>-3.682199999999991E-2</v>
      </c>
      <c r="G427">
        <f t="shared" si="13"/>
        <v>94.097345251323389</v>
      </c>
    </row>
    <row r="428" spans="2:7">
      <c r="B428" t="s">
        <v>2</v>
      </c>
      <c r="C428" s="2">
        <v>41463</v>
      </c>
      <c r="D428" t="s">
        <v>6</v>
      </c>
      <c r="E428">
        <v>2.8925999999999998</v>
      </c>
      <c r="F428">
        <f t="shared" si="12"/>
        <v>-6.9173000000000151E-2</v>
      </c>
      <c r="G428">
        <f t="shared" si="13"/>
        <v>94.762047630584917</v>
      </c>
    </row>
    <row r="429" spans="2:7">
      <c r="B429" t="s">
        <v>2</v>
      </c>
      <c r="C429" s="2">
        <v>41460</v>
      </c>
      <c r="D429" t="s">
        <v>6</v>
      </c>
      <c r="E429">
        <v>2.961773</v>
      </c>
      <c r="F429">
        <f t="shared" si="12"/>
        <v>0.23281000000000018</v>
      </c>
      <c r="G429">
        <f t="shared" si="13"/>
        <v>93.3345200310807</v>
      </c>
    </row>
    <row r="430" spans="2:7">
      <c r="B430" t="s">
        <v>2</v>
      </c>
      <c r="C430" s="2">
        <v>41458</v>
      </c>
      <c r="D430" t="s">
        <v>6</v>
      </c>
      <c r="E430">
        <v>2.7289629999999998</v>
      </c>
      <c r="F430">
        <f t="shared" si="12"/>
        <v>3.7175999999999654E-2</v>
      </c>
      <c r="G430">
        <f t="shared" si="13"/>
        <v>82.186049920180153</v>
      </c>
    </row>
    <row r="431" spans="2:7">
      <c r="B431" t="s">
        <v>2</v>
      </c>
      <c r="C431" s="2">
        <v>41457</v>
      </c>
      <c r="D431" t="s">
        <v>6</v>
      </c>
      <c r="E431">
        <v>2.6917870000000002</v>
      </c>
      <c r="F431">
        <f t="shared" si="12"/>
        <v>-7.2060000000000457E-3</v>
      </c>
      <c r="G431">
        <f t="shared" si="13"/>
        <v>82.056823015817244</v>
      </c>
    </row>
    <row r="432" spans="2:7">
      <c r="B432" t="s">
        <v>2</v>
      </c>
      <c r="C432" s="2">
        <v>41456</v>
      </c>
      <c r="D432" t="s">
        <v>6</v>
      </c>
      <c r="E432">
        <v>2.6989930000000002</v>
      </c>
      <c r="F432">
        <f t="shared" si="12"/>
        <v>1.0767000000000415E-2</v>
      </c>
      <c r="G432">
        <f t="shared" si="13"/>
        <v>82.425241214156387</v>
      </c>
    </row>
    <row r="433" spans="2:7">
      <c r="B433" t="s">
        <v>2</v>
      </c>
      <c r="C433" s="2">
        <v>41453</v>
      </c>
      <c r="D433" t="s">
        <v>6</v>
      </c>
      <c r="E433">
        <v>2.6882259999999998</v>
      </c>
      <c r="F433">
        <f t="shared" si="12"/>
        <v>1.2544999999999806E-2</v>
      </c>
      <c r="G433">
        <f t="shared" si="13"/>
        <v>83.916098823644447</v>
      </c>
    </row>
    <row r="434" spans="2:7">
      <c r="B434" t="s">
        <v>2</v>
      </c>
      <c r="C434" s="2">
        <v>41452</v>
      </c>
      <c r="D434" t="s">
        <v>6</v>
      </c>
      <c r="E434">
        <v>2.675681</v>
      </c>
      <c r="F434">
        <f t="shared" si="12"/>
        <v>-7.8345000000000109E-2</v>
      </c>
      <c r="G434">
        <f t="shared" si="13"/>
        <v>84.795869157375009</v>
      </c>
    </row>
    <row r="435" spans="2:7">
      <c r="B435" t="s">
        <v>2</v>
      </c>
      <c r="C435" s="2">
        <v>41451</v>
      </c>
      <c r="D435" t="s">
        <v>6</v>
      </c>
      <c r="E435">
        <v>2.7540260000000001</v>
      </c>
      <c r="F435">
        <f t="shared" si="12"/>
        <v>-5.7911999999999964E-2</v>
      </c>
      <c r="G435">
        <f t="shared" si="13"/>
        <v>83.52516913851737</v>
      </c>
    </row>
    <row r="436" spans="2:7">
      <c r="B436" t="s">
        <v>2</v>
      </c>
      <c r="C436" s="2">
        <v>41450</v>
      </c>
      <c r="D436" t="s">
        <v>6</v>
      </c>
      <c r="E436">
        <v>2.811938</v>
      </c>
      <c r="F436">
        <f t="shared" si="12"/>
        <v>3.9196000000000009E-2</v>
      </c>
      <c r="G436">
        <f t="shared" si="13"/>
        <v>82.253162872622354</v>
      </c>
    </row>
    <row r="437" spans="2:7">
      <c r="B437" t="s">
        <v>2</v>
      </c>
      <c r="C437" s="2">
        <v>41449</v>
      </c>
      <c r="D437" t="s">
        <v>6</v>
      </c>
      <c r="E437">
        <v>2.772742</v>
      </c>
      <c r="F437">
        <f t="shared" si="12"/>
        <v>3.0069999999999819E-2</v>
      </c>
      <c r="G437">
        <f t="shared" si="13"/>
        <v>82.44102055554265</v>
      </c>
    </row>
    <row r="438" spans="2:7">
      <c r="B438" t="s">
        <v>2</v>
      </c>
      <c r="C438" s="2">
        <v>41446</v>
      </c>
      <c r="D438" t="s">
        <v>6</v>
      </c>
      <c r="E438">
        <v>2.7426720000000002</v>
      </c>
      <c r="F438">
        <f t="shared" si="12"/>
        <v>9.5473000000000141E-2</v>
      </c>
      <c r="G438">
        <f t="shared" si="13"/>
        <v>82.360654780535398</v>
      </c>
    </row>
    <row r="439" spans="2:7">
      <c r="B439" t="s">
        <v>2</v>
      </c>
      <c r="C439" s="2">
        <v>41445</v>
      </c>
      <c r="D439" t="s">
        <v>6</v>
      </c>
      <c r="E439">
        <v>2.6471990000000001</v>
      </c>
      <c r="F439">
        <f t="shared" si="12"/>
        <v>0.12910500000000003</v>
      </c>
      <c r="G439">
        <f t="shared" si="13"/>
        <v>81.55392434846334</v>
      </c>
    </row>
    <row r="440" spans="2:7">
      <c r="B440" t="s">
        <v>2</v>
      </c>
      <c r="C440" s="2">
        <v>41444</v>
      </c>
      <c r="D440" t="s">
        <v>6</v>
      </c>
      <c r="E440">
        <v>2.5180940000000001</v>
      </c>
      <c r="F440">
        <f t="shared" si="12"/>
        <v>0.15382899999999999</v>
      </c>
      <c r="G440">
        <f t="shared" si="13"/>
        <v>77.703804017374054</v>
      </c>
    </row>
    <row r="441" spans="2:7">
      <c r="B441" t="s">
        <v>2</v>
      </c>
      <c r="C441" s="2">
        <v>41443</v>
      </c>
      <c r="D441" t="s">
        <v>6</v>
      </c>
      <c r="E441">
        <v>2.3642650000000001</v>
      </c>
      <c r="F441">
        <f t="shared" si="12"/>
        <v>1.6605999999999899E-2</v>
      </c>
      <c r="G441">
        <f t="shared" si="13"/>
        <v>71.547956159539211</v>
      </c>
    </row>
    <row r="442" spans="2:7">
      <c r="B442" t="s">
        <v>2</v>
      </c>
      <c r="C442" s="2">
        <v>41442</v>
      </c>
      <c r="D442" t="s">
        <v>6</v>
      </c>
      <c r="E442">
        <v>2.3476590000000002</v>
      </c>
      <c r="F442">
        <f t="shared" si="12"/>
        <v>4.7842000000000162E-2</v>
      </c>
      <c r="G442">
        <f t="shared" si="13"/>
        <v>71.562969929574905</v>
      </c>
    </row>
    <row r="443" spans="2:7">
      <c r="B443" t="s">
        <v>2</v>
      </c>
      <c r="C443" s="2">
        <v>41439</v>
      </c>
      <c r="D443" t="s">
        <v>6</v>
      </c>
      <c r="E443">
        <v>2.299817</v>
      </c>
      <c r="F443">
        <f t="shared" si="12"/>
        <v>-5.52229999999998E-2</v>
      </c>
      <c r="G443">
        <f t="shared" si="13"/>
        <v>71.005904360901297</v>
      </c>
    </row>
    <row r="444" spans="2:7">
      <c r="B444" t="s">
        <v>2</v>
      </c>
      <c r="C444" s="2">
        <v>41438</v>
      </c>
      <c r="D444" t="s">
        <v>6</v>
      </c>
      <c r="E444">
        <v>2.3550399999999998</v>
      </c>
      <c r="F444">
        <f t="shared" si="12"/>
        <v>-6.6959000000000213E-2</v>
      </c>
      <c r="G444">
        <f t="shared" si="13"/>
        <v>70.124859117636447</v>
      </c>
    </row>
    <row r="445" spans="2:7">
      <c r="B445" t="s">
        <v>2</v>
      </c>
      <c r="C445" s="2">
        <v>41437</v>
      </c>
      <c r="D445" t="s">
        <v>6</v>
      </c>
      <c r="E445">
        <v>2.421999</v>
      </c>
      <c r="F445">
        <f t="shared" si="12"/>
        <v>3.0184000000000211E-2</v>
      </c>
      <c r="G445">
        <f t="shared" si="13"/>
        <v>69.07885445982977</v>
      </c>
    </row>
    <row r="446" spans="2:7">
      <c r="B446" t="s">
        <v>2</v>
      </c>
      <c r="C446" s="2">
        <v>41436</v>
      </c>
      <c r="D446" t="s">
        <v>6</v>
      </c>
      <c r="E446">
        <v>2.3918149999999998</v>
      </c>
      <c r="F446">
        <f t="shared" si="12"/>
        <v>-2.7510000000000367E-2</v>
      </c>
      <c r="G446">
        <f t="shared" si="13"/>
        <v>69.30181777391094</v>
      </c>
    </row>
    <row r="447" spans="2:7">
      <c r="B447" t="s">
        <v>2</v>
      </c>
      <c r="C447" s="2">
        <v>41435</v>
      </c>
      <c r="D447" t="s">
        <v>6</v>
      </c>
      <c r="E447">
        <v>2.4193250000000002</v>
      </c>
      <c r="F447">
        <f t="shared" si="12"/>
        <v>6.50590000000002E-2</v>
      </c>
      <c r="G447">
        <f t="shared" si="13"/>
        <v>69.481395075195024</v>
      </c>
    </row>
    <row r="448" spans="2:7">
      <c r="B448" t="s">
        <v>2</v>
      </c>
      <c r="C448" s="2">
        <v>41432</v>
      </c>
      <c r="D448" t="s">
        <v>6</v>
      </c>
      <c r="E448">
        <v>2.354266</v>
      </c>
      <c r="F448">
        <f t="shared" si="12"/>
        <v>8.8446999999999942E-2</v>
      </c>
      <c r="G448">
        <f t="shared" si="13"/>
        <v>68.435215367743041</v>
      </c>
    </row>
    <row r="449" spans="2:7">
      <c r="B449" t="s">
        <v>2</v>
      </c>
      <c r="C449" s="2">
        <v>41431</v>
      </c>
      <c r="D449" t="s">
        <v>6</v>
      </c>
      <c r="E449">
        <v>2.265819</v>
      </c>
      <c r="F449">
        <f t="shared" si="12"/>
        <v>-2.5599999999999845E-2</v>
      </c>
      <c r="G449">
        <f t="shared" si="13"/>
        <v>66.179703801558375</v>
      </c>
    </row>
    <row r="450" spans="2:7">
      <c r="B450" t="s">
        <v>2</v>
      </c>
      <c r="C450" s="2">
        <v>41430</v>
      </c>
      <c r="D450" t="s">
        <v>6</v>
      </c>
      <c r="E450">
        <v>2.2914189999999999</v>
      </c>
      <c r="F450">
        <f t="shared" si="12"/>
        <v>-4.0163000000000171E-2</v>
      </c>
      <c r="G450">
        <f t="shared" si="13"/>
        <v>66.321874836446852</v>
      </c>
    </row>
    <row r="451" spans="2:7">
      <c r="B451" t="s">
        <v>2</v>
      </c>
      <c r="C451" s="2">
        <v>41429</v>
      </c>
      <c r="D451" t="s">
        <v>6</v>
      </c>
      <c r="E451">
        <v>2.331582</v>
      </c>
      <c r="F451">
        <f t="shared" ref="F451:F514" si="14">E451-E452</f>
        <v>1.724099999999984E-2</v>
      </c>
      <c r="G451">
        <f t="shared" ref="G451:G514" si="15">STDEV(F451:F510)*SQRT(250)*100</f>
        <v>65.728683470029921</v>
      </c>
    </row>
    <row r="452" spans="2:7">
      <c r="B452" t="s">
        <v>2</v>
      </c>
      <c r="C452" s="2">
        <v>41428</v>
      </c>
      <c r="D452" t="s">
        <v>6</v>
      </c>
      <c r="E452">
        <v>2.3143410000000002</v>
      </c>
      <c r="F452">
        <f t="shared" si="14"/>
        <v>-2.2804999999999964E-2</v>
      </c>
      <c r="G452">
        <f t="shared" si="15"/>
        <v>66.857816779256979</v>
      </c>
    </row>
    <row r="453" spans="2:7">
      <c r="B453" t="s">
        <v>2</v>
      </c>
      <c r="C453" s="2">
        <v>41425</v>
      </c>
      <c r="D453" t="s">
        <v>6</v>
      </c>
      <c r="E453">
        <v>2.3371460000000002</v>
      </c>
      <c r="F453">
        <f t="shared" si="14"/>
        <v>4.859300000000033E-2</v>
      </c>
      <c r="G453">
        <f t="shared" si="15"/>
        <v>67.427516583545383</v>
      </c>
    </row>
    <row r="454" spans="2:7">
      <c r="B454" t="s">
        <v>2</v>
      </c>
      <c r="C454" s="2">
        <v>41424</v>
      </c>
      <c r="D454" t="s">
        <v>6</v>
      </c>
      <c r="E454">
        <v>2.2885529999999998</v>
      </c>
      <c r="F454">
        <f t="shared" si="14"/>
        <v>1.8089999999997275E-3</v>
      </c>
      <c r="G454">
        <f t="shared" si="15"/>
        <v>67.329643659655233</v>
      </c>
    </row>
    <row r="455" spans="2:7">
      <c r="B455" t="s">
        <v>2</v>
      </c>
      <c r="C455" s="2">
        <v>41423</v>
      </c>
      <c r="D455" t="s">
        <v>6</v>
      </c>
      <c r="E455">
        <v>2.2867440000000001</v>
      </c>
      <c r="F455">
        <f t="shared" si="14"/>
        <v>-9.5389999999997421E-3</v>
      </c>
      <c r="G455">
        <f t="shared" si="15"/>
        <v>67.340411699651227</v>
      </c>
    </row>
    <row r="456" spans="2:7">
      <c r="B456" t="s">
        <v>2</v>
      </c>
      <c r="C456" s="2">
        <v>41422</v>
      </c>
      <c r="D456" t="s">
        <v>6</v>
      </c>
      <c r="E456">
        <v>2.2962829999999999</v>
      </c>
      <c r="F456">
        <f t="shared" si="14"/>
        <v>0.1401049999999997</v>
      </c>
      <c r="G456">
        <f t="shared" si="15"/>
        <v>67.300319529404021</v>
      </c>
    </row>
    <row r="457" spans="2:7">
      <c r="B457" t="s">
        <v>2</v>
      </c>
      <c r="C457" s="2">
        <v>41418</v>
      </c>
      <c r="D457" t="s">
        <v>6</v>
      </c>
      <c r="E457">
        <v>2.1561780000000002</v>
      </c>
      <c r="F457">
        <f t="shared" si="14"/>
        <v>-8.3299999999963958E-4</v>
      </c>
      <c r="G457">
        <f t="shared" si="15"/>
        <v>61.68502806569348</v>
      </c>
    </row>
    <row r="458" spans="2:7">
      <c r="B458" t="s">
        <v>2</v>
      </c>
      <c r="C458" s="2">
        <v>41417</v>
      </c>
      <c r="D458" t="s">
        <v>6</v>
      </c>
      <c r="E458">
        <v>2.1570109999999998</v>
      </c>
      <c r="F458">
        <f t="shared" si="14"/>
        <v>1.5419999999997103E-3</v>
      </c>
      <c r="G458">
        <f t="shared" si="15"/>
        <v>61.776962066867256</v>
      </c>
    </row>
    <row r="459" spans="2:7">
      <c r="B459" t="s">
        <v>2</v>
      </c>
      <c r="C459" s="2">
        <v>41416</v>
      </c>
      <c r="D459" t="s">
        <v>6</v>
      </c>
      <c r="E459">
        <v>2.1554690000000001</v>
      </c>
      <c r="F459">
        <f t="shared" si="14"/>
        <v>8.8741000000000181E-2</v>
      </c>
      <c r="G459">
        <f t="shared" si="15"/>
        <v>61.958598100903117</v>
      </c>
    </row>
    <row r="460" spans="2:7">
      <c r="B460" t="s">
        <v>2</v>
      </c>
      <c r="C460" s="2">
        <v>41415</v>
      </c>
      <c r="D460" t="s">
        <v>6</v>
      </c>
      <c r="E460">
        <v>2.0667279999999999</v>
      </c>
      <c r="F460">
        <f t="shared" si="14"/>
        <v>-2.6927000000000145E-2</v>
      </c>
      <c r="G460">
        <f t="shared" si="15"/>
        <v>59.399449714459877</v>
      </c>
    </row>
    <row r="461" spans="2:7">
      <c r="B461" t="s">
        <v>2</v>
      </c>
      <c r="C461" s="2">
        <v>41414</v>
      </c>
      <c r="D461" t="s">
        <v>6</v>
      </c>
      <c r="E461">
        <v>2.093655</v>
      </c>
      <c r="F461">
        <f t="shared" si="14"/>
        <v>7.0390000000002395E-3</v>
      </c>
      <c r="G461">
        <f t="shared" si="15"/>
        <v>60.5864846924378</v>
      </c>
    </row>
    <row r="462" spans="2:7">
      <c r="B462" t="s">
        <v>2</v>
      </c>
      <c r="C462" s="2">
        <v>41411</v>
      </c>
      <c r="D462" t="s">
        <v>6</v>
      </c>
      <c r="E462">
        <v>2.0866159999999998</v>
      </c>
      <c r="F462">
        <f t="shared" si="14"/>
        <v>9.3822999999999768E-2</v>
      </c>
      <c r="G462">
        <f t="shared" si="15"/>
        <v>60.601426150360716</v>
      </c>
    </row>
    <row r="463" spans="2:7">
      <c r="B463" t="s">
        <v>2</v>
      </c>
      <c r="C463" s="2">
        <v>41410</v>
      </c>
      <c r="D463" t="s">
        <v>6</v>
      </c>
      <c r="E463">
        <v>1.992793</v>
      </c>
      <c r="F463">
        <f t="shared" si="14"/>
        <v>-8.3910000000000151E-2</v>
      </c>
      <c r="G463">
        <f t="shared" si="15"/>
        <v>58.175658699166597</v>
      </c>
    </row>
    <row r="464" spans="2:7">
      <c r="B464" t="s">
        <v>2</v>
      </c>
      <c r="C464" s="2">
        <v>41409</v>
      </c>
      <c r="D464" t="s">
        <v>6</v>
      </c>
      <c r="E464">
        <v>2.0767030000000002</v>
      </c>
      <c r="F464">
        <f t="shared" si="14"/>
        <v>-1.9666999999999657E-2</v>
      </c>
      <c r="G464">
        <f t="shared" si="15"/>
        <v>55.616239126876735</v>
      </c>
    </row>
    <row r="465" spans="2:7">
      <c r="B465" t="s">
        <v>2</v>
      </c>
      <c r="C465" s="2">
        <v>41408</v>
      </c>
      <c r="D465" t="s">
        <v>6</v>
      </c>
      <c r="E465">
        <v>2.0963699999999998</v>
      </c>
      <c r="F465">
        <f t="shared" si="14"/>
        <v>3.148200000000001E-2</v>
      </c>
      <c r="G465">
        <f t="shared" si="15"/>
        <v>55.741727853242672</v>
      </c>
    </row>
    <row r="466" spans="2:7">
      <c r="B466" t="s">
        <v>2</v>
      </c>
      <c r="C466" s="2">
        <v>41407</v>
      </c>
      <c r="D466" t="s">
        <v>6</v>
      </c>
      <c r="E466">
        <v>2.0648879999999998</v>
      </c>
      <c r="F466">
        <f t="shared" si="14"/>
        <v>2.4221999999999966E-2</v>
      </c>
      <c r="G466">
        <f t="shared" si="15"/>
        <v>55.390932592084972</v>
      </c>
    </row>
    <row r="467" spans="2:7">
      <c r="B467" t="s">
        <v>2</v>
      </c>
      <c r="C467" s="2">
        <v>41404</v>
      </c>
      <c r="D467" t="s">
        <v>6</v>
      </c>
      <c r="E467">
        <v>2.0406659999999999</v>
      </c>
      <c r="F467">
        <f t="shared" si="14"/>
        <v>8.3052999999999821E-2</v>
      </c>
      <c r="G467">
        <f t="shared" si="15"/>
        <v>55.91215350331742</v>
      </c>
    </row>
    <row r="468" spans="2:7">
      <c r="B468" t="s">
        <v>2</v>
      </c>
      <c r="C468" s="2">
        <v>41403</v>
      </c>
      <c r="D468" t="s">
        <v>6</v>
      </c>
      <c r="E468">
        <v>1.957613</v>
      </c>
      <c r="F468">
        <f t="shared" si="14"/>
        <v>1.4663000000000093E-2</v>
      </c>
      <c r="G468">
        <f t="shared" si="15"/>
        <v>53.731924084173933</v>
      </c>
    </row>
    <row r="469" spans="2:7">
      <c r="B469" t="s">
        <v>2</v>
      </c>
      <c r="C469" s="2">
        <v>41402</v>
      </c>
      <c r="D469" t="s">
        <v>6</v>
      </c>
      <c r="E469">
        <v>1.94295</v>
      </c>
      <c r="F469">
        <f t="shared" si="14"/>
        <v>-1.830200000000004E-2</v>
      </c>
      <c r="G469">
        <f t="shared" si="15"/>
        <v>54.311286873808498</v>
      </c>
    </row>
    <row r="470" spans="2:7">
      <c r="B470" t="s">
        <v>2</v>
      </c>
      <c r="C470" s="2">
        <v>41401</v>
      </c>
      <c r="D470" t="s">
        <v>6</v>
      </c>
      <c r="E470">
        <v>1.961252</v>
      </c>
      <c r="F470">
        <f t="shared" si="14"/>
        <v>9.3170000000000197E-3</v>
      </c>
      <c r="G470">
        <f t="shared" si="15"/>
        <v>54.201836060484922</v>
      </c>
    </row>
    <row r="471" spans="2:7">
      <c r="B471" t="s">
        <v>2</v>
      </c>
      <c r="C471" s="2">
        <v>41400</v>
      </c>
      <c r="D471" t="s">
        <v>6</v>
      </c>
      <c r="E471">
        <v>1.951935</v>
      </c>
      <c r="F471">
        <f t="shared" si="14"/>
        <v>3.3627000000000073E-2</v>
      </c>
      <c r="G471">
        <f t="shared" si="15"/>
        <v>54.172840244225831</v>
      </c>
    </row>
    <row r="472" spans="2:7">
      <c r="B472" t="s">
        <v>2</v>
      </c>
      <c r="C472" s="2">
        <v>41397</v>
      </c>
      <c r="D472" t="s">
        <v>6</v>
      </c>
      <c r="E472">
        <v>1.9183079999999999</v>
      </c>
      <c r="F472">
        <f t="shared" si="14"/>
        <v>0.1057539999999999</v>
      </c>
      <c r="G472">
        <f t="shared" si="15"/>
        <v>53.750173835193849</v>
      </c>
    </row>
    <row r="473" spans="2:7">
      <c r="B473" t="s">
        <v>2</v>
      </c>
      <c r="C473" s="2">
        <v>41396</v>
      </c>
      <c r="D473" t="s">
        <v>6</v>
      </c>
      <c r="E473">
        <v>1.812554</v>
      </c>
      <c r="F473">
        <f t="shared" si="14"/>
        <v>-7.5520000000000032E-3</v>
      </c>
      <c r="G473">
        <f t="shared" si="15"/>
        <v>49.87151669274219</v>
      </c>
    </row>
    <row r="474" spans="2:7">
      <c r="B474" t="s">
        <v>2</v>
      </c>
      <c r="C474" s="2">
        <v>41395</v>
      </c>
      <c r="D474" t="s">
        <v>6</v>
      </c>
      <c r="E474">
        <v>1.820106</v>
      </c>
      <c r="F474">
        <f t="shared" si="14"/>
        <v>-2.9317000000000037E-2</v>
      </c>
      <c r="G474">
        <f t="shared" si="15"/>
        <v>50.545973980978289</v>
      </c>
    </row>
    <row r="475" spans="2:7">
      <c r="B475" t="s">
        <v>2</v>
      </c>
      <c r="C475" s="2">
        <v>41394</v>
      </c>
      <c r="D475" t="s">
        <v>6</v>
      </c>
      <c r="E475">
        <v>1.849423</v>
      </c>
      <c r="F475">
        <f t="shared" si="14"/>
        <v>1.1247000000000007E-2</v>
      </c>
      <c r="G475">
        <f t="shared" si="15"/>
        <v>50.651965805733234</v>
      </c>
    </row>
    <row r="476" spans="2:7">
      <c r="B476" t="s">
        <v>2</v>
      </c>
      <c r="C476" s="2">
        <v>41393</v>
      </c>
      <c r="D476" t="s">
        <v>6</v>
      </c>
      <c r="E476">
        <v>1.838176</v>
      </c>
      <c r="F476">
        <f t="shared" si="14"/>
        <v>-6.3800000000000523E-3</v>
      </c>
      <c r="G476">
        <f t="shared" si="15"/>
        <v>51.270065138346112</v>
      </c>
    </row>
    <row r="477" spans="2:7">
      <c r="B477" t="s">
        <v>2</v>
      </c>
      <c r="C477" s="2">
        <v>41390</v>
      </c>
      <c r="D477" t="s">
        <v>6</v>
      </c>
      <c r="E477">
        <v>1.8445560000000001</v>
      </c>
      <c r="F477">
        <f t="shared" si="14"/>
        <v>-3.8541999999999854E-2</v>
      </c>
      <c r="G477">
        <f t="shared" si="15"/>
        <v>51.399054088845894</v>
      </c>
    </row>
    <row r="478" spans="2:7">
      <c r="B478" t="s">
        <v>2</v>
      </c>
      <c r="C478" s="2">
        <v>41389</v>
      </c>
      <c r="D478" t="s">
        <v>6</v>
      </c>
      <c r="E478">
        <v>1.8830979999999999</v>
      </c>
      <c r="F478">
        <f t="shared" si="14"/>
        <v>1.2468999999999841E-2</v>
      </c>
      <c r="G478">
        <f t="shared" si="15"/>
        <v>51.302484410957931</v>
      </c>
    </row>
    <row r="479" spans="2:7">
      <c r="B479" t="s">
        <v>2</v>
      </c>
      <c r="C479" s="2">
        <v>41388</v>
      </c>
      <c r="D479" t="s">
        <v>6</v>
      </c>
      <c r="E479">
        <v>1.8706290000000001</v>
      </c>
      <c r="F479">
        <f t="shared" si="14"/>
        <v>-1.1142999999999903E-2</v>
      </c>
      <c r="G479">
        <f t="shared" si="15"/>
        <v>51.347547421687587</v>
      </c>
    </row>
    <row r="480" spans="2:7">
      <c r="B480" t="s">
        <v>2</v>
      </c>
      <c r="C480" s="2">
        <v>41387</v>
      </c>
      <c r="D480" t="s">
        <v>6</v>
      </c>
      <c r="E480">
        <v>1.881772</v>
      </c>
      <c r="F480">
        <f t="shared" si="14"/>
        <v>1.1277999999999899E-2</v>
      </c>
      <c r="G480">
        <f t="shared" si="15"/>
        <v>51.718632091978165</v>
      </c>
    </row>
    <row r="481" spans="2:7">
      <c r="B481" t="s">
        <v>2</v>
      </c>
      <c r="C481" s="2">
        <v>41386</v>
      </c>
      <c r="D481" t="s">
        <v>6</v>
      </c>
      <c r="E481">
        <v>1.8704940000000001</v>
      </c>
      <c r="F481">
        <f t="shared" si="14"/>
        <v>1.2940000000001284E-3</v>
      </c>
      <c r="G481">
        <f t="shared" si="15"/>
        <v>56.492554562244898</v>
      </c>
    </row>
    <row r="482" spans="2:7">
      <c r="B482" t="s">
        <v>2</v>
      </c>
      <c r="C482" s="2">
        <v>41383</v>
      </c>
      <c r="D482" t="s">
        <v>6</v>
      </c>
      <c r="E482">
        <v>1.8692</v>
      </c>
      <c r="F482">
        <f t="shared" si="14"/>
        <v>2.1751000000000076E-2</v>
      </c>
      <c r="G482">
        <f t="shared" si="15"/>
        <v>56.539406437777131</v>
      </c>
    </row>
    <row r="483" spans="2:7">
      <c r="B483" t="s">
        <v>2</v>
      </c>
      <c r="C483" s="2">
        <v>41382</v>
      </c>
      <c r="D483" t="s">
        <v>6</v>
      </c>
      <c r="E483">
        <v>1.8474489999999999</v>
      </c>
      <c r="F483">
        <f t="shared" si="14"/>
        <v>-2.2494000000000014E-2</v>
      </c>
      <c r="G483">
        <f t="shared" si="15"/>
        <v>56.356168118845204</v>
      </c>
    </row>
    <row r="484" spans="2:7">
      <c r="B484" t="s">
        <v>2</v>
      </c>
      <c r="C484" s="2">
        <v>41381</v>
      </c>
      <c r="D484" t="s">
        <v>6</v>
      </c>
      <c r="E484">
        <v>1.8699429999999999</v>
      </c>
      <c r="F484">
        <f t="shared" si="14"/>
        <v>-2.080700000000002E-2</v>
      </c>
      <c r="G484">
        <f t="shared" si="15"/>
        <v>56.197165242960686</v>
      </c>
    </row>
    <row r="485" spans="2:7">
      <c r="B485" t="s">
        <v>2</v>
      </c>
      <c r="C485" s="2">
        <v>41380</v>
      </c>
      <c r="D485" t="s">
        <v>6</v>
      </c>
      <c r="E485">
        <v>1.8907499999999999</v>
      </c>
      <c r="F485">
        <f t="shared" si="14"/>
        <v>1.8799999999999928E-2</v>
      </c>
      <c r="G485">
        <f t="shared" si="15"/>
        <v>56.179320632923577</v>
      </c>
    </row>
    <row r="486" spans="2:7">
      <c r="B486" t="s">
        <v>2</v>
      </c>
      <c r="C486" s="2">
        <v>41379</v>
      </c>
      <c r="D486" t="s">
        <v>6</v>
      </c>
      <c r="E486">
        <v>1.87195</v>
      </c>
      <c r="F486">
        <f t="shared" si="14"/>
        <v>-2.7219000000000104E-2</v>
      </c>
      <c r="G486">
        <f t="shared" si="15"/>
        <v>57.233922896040525</v>
      </c>
    </row>
    <row r="487" spans="2:7">
      <c r="B487" t="s">
        <v>2</v>
      </c>
      <c r="C487" s="2">
        <v>41376</v>
      </c>
      <c r="D487" t="s">
        <v>6</v>
      </c>
      <c r="E487">
        <v>1.8991690000000001</v>
      </c>
      <c r="F487">
        <f t="shared" si="14"/>
        <v>-5.9922999999999949E-2</v>
      </c>
      <c r="G487">
        <f t="shared" si="15"/>
        <v>56.953613119879364</v>
      </c>
    </row>
    <row r="488" spans="2:7">
      <c r="B488" t="s">
        <v>2</v>
      </c>
      <c r="C488" s="2">
        <v>41375</v>
      </c>
      <c r="D488" t="s">
        <v>6</v>
      </c>
      <c r="E488">
        <v>1.9590920000000001</v>
      </c>
      <c r="F488">
        <f t="shared" si="14"/>
        <v>-1.4318999999999971E-2</v>
      </c>
      <c r="G488">
        <f t="shared" si="15"/>
        <v>55.785048289055773</v>
      </c>
    </row>
    <row r="489" spans="2:7">
      <c r="B489" t="s">
        <v>2</v>
      </c>
      <c r="C489" s="2">
        <v>41374</v>
      </c>
      <c r="D489" t="s">
        <v>6</v>
      </c>
      <c r="E489">
        <v>1.973411</v>
      </c>
      <c r="F489">
        <f t="shared" si="14"/>
        <v>5.073900000000009E-2</v>
      </c>
      <c r="G489">
        <f t="shared" si="15"/>
        <v>55.871285940661252</v>
      </c>
    </row>
    <row r="490" spans="2:7">
      <c r="B490" t="s">
        <v>2</v>
      </c>
      <c r="C490" s="2">
        <v>41373</v>
      </c>
      <c r="D490" t="s">
        <v>6</v>
      </c>
      <c r="E490">
        <v>1.9226719999999999</v>
      </c>
      <c r="F490">
        <f t="shared" si="14"/>
        <v>4.4709999999998917E-3</v>
      </c>
      <c r="G490">
        <f t="shared" si="15"/>
        <v>54.983055784619175</v>
      </c>
    </row>
    <row r="491" spans="2:7">
      <c r="B491" t="s">
        <v>2</v>
      </c>
      <c r="C491" s="2">
        <v>41372</v>
      </c>
      <c r="D491" t="s">
        <v>6</v>
      </c>
      <c r="E491">
        <v>1.918201</v>
      </c>
      <c r="F491">
        <f t="shared" si="14"/>
        <v>5.6502000000000052E-2</v>
      </c>
      <c r="G491">
        <f t="shared" si="15"/>
        <v>55.560642868107358</v>
      </c>
    </row>
    <row r="492" spans="2:7">
      <c r="B492" t="s">
        <v>2</v>
      </c>
      <c r="C492" s="2">
        <v>41369</v>
      </c>
      <c r="D492" t="s">
        <v>6</v>
      </c>
      <c r="E492">
        <v>1.861699</v>
      </c>
      <c r="F492">
        <f t="shared" si="14"/>
        <v>-6.3207000000000013E-2</v>
      </c>
      <c r="G492">
        <f t="shared" si="15"/>
        <v>54.421738345621776</v>
      </c>
    </row>
    <row r="493" spans="2:7">
      <c r="B493" t="s">
        <v>2</v>
      </c>
      <c r="C493" s="2">
        <v>41368</v>
      </c>
      <c r="D493" t="s">
        <v>6</v>
      </c>
      <c r="E493">
        <v>1.924906</v>
      </c>
      <c r="F493">
        <f t="shared" si="14"/>
        <v>-4.6959999999999891E-2</v>
      </c>
      <c r="G493">
        <f t="shared" si="15"/>
        <v>53.36912291755128</v>
      </c>
    </row>
    <row r="494" spans="2:7">
      <c r="B494" t="s">
        <v>2</v>
      </c>
      <c r="C494" s="2">
        <v>41367</v>
      </c>
      <c r="D494" t="s">
        <v>6</v>
      </c>
      <c r="E494">
        <v>1.9718659999999999</v>
      </c>
      <c r="F494">
        <f t="shared" si="14"/>
        <v>-4.3819000000000052E-2</v>
      </c>
      <c r="G494">
        <f t="shared" si="15"/>
        <v>52.524245229285036</v>
      </c>
    </row>
    <row r="495" spans="2:7">
      <c r="B495" t="s">
        <v>2</v>
      </c>
      <c r="C495" s="2">
        <v>41366</v>
      </c>
      <c r="D495" t="s">
        <v>6</v>
      </c>
      <c r="E495">
        <v>2.0156849999999999</v>
      </c>
      <c r="F495">
        <f t="shared" si="14"/>
        <v>1.9673999999999969E-2</v>
      </c>
      <c r="G495">
        <f t="shared" si="15"/>
        <v>51.757601385961706</v>
      </c>
    </row>
    <row r="496" spans="2:7">
      <c r="B496" t="s">
        <v>2</v>
      </c>
      <c r="C496" s="2">
        <v>41365</v>
      </c>
      <c r="D496" t="s">
        <v>6</v>
      </c>
      <c r="E496">
        <v>1.996011</v>
      </c>
      <c r="F496">
        <f t="shared" si="14"/>
        <v>-2.4520000000000097E-2</v>
      </c>
      <c r="G496">
        <f t="shared" si="15"/>
        <v>52.609590758600532</v>
      </c>
    </row>
    <row r="497" spans="2:7">
      <c r="B497" t="s">
        <v>2</v>
      </c>
      <c r="C497" s="2">
        <v>41361</v>
      </c>
      <c r="D497" t="s">
        <v>6</v>
      </c>
      <c r="E497">
        <v>2.0205310000000001</v>
      </c>
      <c r="F497">
        <f t="shared" si="14"/>
        <v>1.2472999999999956E-2</v>
      </c>
      <c r="G497">
        <f t="shared" si="15"/>
        <v>54.601109033322601</v>
      </c>
    </row>
    <row r="498" spans="2:7">
      <c r="B498" t="s">
        <v>2</v>
      </c>
      <c r="C498" s="2">
        <v>41360</v>
      </c>
      <c r="D498" t="s">
        <v>6</v>
      </c>
      <c r="E498">
        <v>2.0080580000000001</v>
      </c>
      <c r="F498">
        <f t="shared" si="14"/>
        <v>-5.2335999999999938E-2</v>
      </c>
      <c r="G498">
        <f t="shared" si="15"/>
        <v>54.853624358776734</v>
      </c>
    </row>
    <row r="499" spans="2:7">
      <c r="B499" t="s">
        <v>2</v>
      </c>
      <c r="C499" s="2">
        <v>41359</v>
      </c>
      <c r="D499" t="s">
        <v>6</v>
      </c>
      <c r="E499">
        <v>2.0603940000000001</v>
      </c>
      <c r="F499">
        <f t="shared" si="14"/>
        <v>1.0809000000000069E-2</v>
      </c>
      <c r="G499">
        <f t="shared" si="15"/>
        <v>53.701344244187844</v>
      </c>
    </row>
    <row r="500" spans="2:7">
      <c r="B500" t="s">
        <v>2</v>
      </c>
      <c r="C500" s="2">
        <v>41358</v>
      </c>
      <c r="D500" t="s">
        <v>6</v>
      </c>
      <c r="E500">
        <v>2.049585</v>
      </c>
      <c r="F500">
        <f t="shared" si="14"/>
        <v>4.7099999999997699E-3</v>
      </c>
      <c r="G500">
        <f t="shared" si="15"/>
        <v>54.394370594639696</v>
      </c>
    </row>
    <row r="501" spans="2:7">
      <c r="B501" t="s">
        <v>2</v>
      </c>
      <c r="C501" s="2">
        <v>41355</v>
      </c>
      <c r="D501" t="s">
        <v>6</v>
      </c>
      <c r="E501">
        <v>2.0448750000000002</v>
      </c>
      <c r="F501">
        <f t="shared" si="14"/>
        <v>-8.403999999999634E-3</v>
      </c>
      <c r="G501">
        <f t="shared" si="15"/>
        <v>54.483300262401954</v>
      </c>
    </row>
    <row r="502" spans="2:7">
      <c r="B502" t="s">
        <v>2</v>
      </c>
      <c r="C502" s="2">
        <v>41354</v>
      </c>
      <c r="D502" t="s">
        <v>6</v>
      </c>
      <c r="E502">
        <v>2.0532789999999999</v>
      </c>
      <c r="F502">
        <f t="shared" si="14"/>
        <v>3.5409999999997943E-3</v>
      </c>
      <c r="G502">
        <f t="shared" si="15"/>
        <v>54.59435041192836</v>
      </c>
    </row>
    <row r="503" spans="2:7">
      <c r="B503" t="s">
        <v>2</v>
      </c>
      <c r="C503" s="2">
        <v>41353</v>
      </c>
      <c r="D503" t="s">
        <v>6</v>
      </c>
      <c r="E503">
        <v>2.0497380000000001</v>
      </c>
      <c r="F503">
        <f t="shared" si="14"/>
        <v>3.0936000000000075E-2</v>
      </c>
      <c r="G503">
        <f t="shared" si="15"/>
        <v>55.33072302918336</v>
      </c>
    </row>
    <row r="504" spans="2:7">
      <c r="B504" t="s">
        <v>2</v>
      </c>
      <c r="C504" s="2">
        <v>41352</v>
      </c>
      <c r="D504" t="s">
        <v>6</v>
      </c>
      <c r="E504">
        <v>2.018802</v>
      </c>
      <c r="F504">
        <f t="shared" si="14"/>
        <v>-3.7333999999999978E-2</v>
      </c>
      <c r="G504">
        <f t="shared" si="15"/>
        <v>55.037739021347157</v>
      </c>
    </row>
    <row r="505" spans="2:7">
      <c r="B505" t="s">
        <v>2</v>
      </c>
      <c r="C505" s="2">
        <v>41351</v>
      </c>
      <c r="D505" t="s">
        <v>6</v>
      </c>
      <c r="E505">
        <v>2.056136</v>
      </c>
      <c r="F505">
        <f t="shared" si="14"/>
        <v>-3.0923000000000034E-2</v>
      </c>
      <c r="G505">
        <f t="shared" si="15"/>
        <v>54.898910896618744</v>
      </c>
    </row>
    <row r="506" spans="2:7">
      <c r="B506" t="s">
        <v>2</v>
      </c>
      <c r="C506" s="2">
        <v>41348</v>
      </c>
      <c r="D506" t="s">
        <v>6</v>
      </c>
      <c r="E506">
        <v>2.087059</v>
      </c>
      <c r="F506">
        <f t="shared" si="14"/>
        <v>-3.5556999999999839E-2</v>
      </c>
      <c r="G506">
        <f t="shared" si="15"/>
        <v>55.692258146073556</v>
      </c>
    </row>
    <row r="507" spans="2:7">
      <c r="B507" t="s">
        <v>2</v>
      </c>
      <c r="C507" s="2">
        <v>41347</v>
      </c>
      <c r="D507" t="s">
        <v>6</v>
      </c>
      <c r="E507">
        <v>2.1226159999999998</v>
      </c>
      <c r="F507">
        <f t="shared" si="14"/>
        <v>2.0489999999999675E-2</v>
      </c>
      <c r="G507">
        <f t="shared" si="15"/>
        <v>56.089451275295076</v>
      </c>
    </row>
    <row r="508" spans="2:7">
      <c r="B508" t="s">
        <v>2</v>
      </c>
      <c r="C508" s="2">
        <v>41346</v>
      </c>
      <c r="D508" t="s">
        <v>6</v>
      </c>
      <c r="E508">
        <v>2.1021260000000002</v>
      </c>
      <c r="F508">
        <f t="shared" si="14"/>
        <v>-4.4899999999996609E-3</v>
      </c>
      <c r="G508">
        <f t="shared" si="15"/>
        <v>56.115549356771766</v>
      </c>
    </row>
    <row r="509" spans="2:7">
      <c r="B509" t="s">
        <v>2</v>
      </c>
      <c r="C509" s="2">
        <v>41345</v>
      </c>
      <c r="D509" t="s">
        <v>6</v>
      </c>
      <c r="E509">
        <v>2.1066159999999998</v>
      </c>
      <c r="F509">
        <f t="shared" si="14"/>
        <v>-3.2612000000000307E-2</v>
      </c>
      <c r="G509">
        <f t="shared" si="15"/>
        <v>56.240560067024084</v>
      </c>
    </row>
    <row r="510" spans="2:7">
      <c r="B510" t="s">
        <v>2</v>
      </c>
      <c r="C510" s="2">
        <v>41344</v>
      </c>
      <c r="D510" t="s">
        <v>6</v>
      </c>
      <c r="E510">
        <v>2.1392280000000001</v>
      </c>
      <c r="F510">
        <f t="shared" si="14"/>
        <v>8.8800000000022195E-4</v>
      </c>
      <c r="G510">
        <f t="shared" si="15"/>
        <v>56.247429131733448</v>
      </c>
    </row>
    <row r="511" spans="2:7">
      <c r="B511" t="s">
        <v>2</v>
      </c>
      <c r="C511" s="2">
        <v>41341</v>
      </c>
      <c r="D511" t="s">
        <v>6</v>
      </c>
      <c r="E511">
        <v>2.1383399999999999</v>
      </c>
      <c r="F511">
        <f t="shared" si="14"/>
        <v>6.4597000000000016E-2</v>
      </c>
      <c r="G511">
        <f t="shared" si="15"/>
        <v>56.357996390677421</v>
      </c>
    </row>
    <row r="512" spans="2:7">
      <c r="B512" t="s">
        <v>2</v>
      </c>
      <c r="C512" s="2">
        <v>41340</v>
      </c>
      <c r="D512" t="s">
        <v>6</v>
      </c>
      <c r="E512">
        <v>2.0737429999999999</v>
      </c>
      <c r="F512">
        <f t="shared" si="14"/>
        <v>5.5254999999999832E-2</v>
      </c>
      <c r="G512">
        <f t="shared" si="15"/>
        <v>55.198509165488453</v>
      </c>
    </row>
    <row r="513" spans="2:7">
      <c r="B513" t="s">
        <v>2</v>
      </c>
      <c r="C513" s="2">
        <v>41339</v>
      </c>
      <c r="D513" t="s">
        <v>6</v>
      </c>
      <c r="E513">
        <v>2.0184880000000001</v>
      </c>
      <c r="F513">
        <f t="shared" si="14"/>
        <v>4.4837000000000016E-2</v>
      </c>
      <c r="G513">
        <f t="shared" si="15"/>
        <v>54.706569126093285</v>
      </c>
    </row>
    <row r="514" spans="2:7">
      <c r="B514" t="s">
        <v>2</v>
      </c>
      <c r="C514" s="2">
        <v>41338</v>
      </c>
      <c r="D514" t="s">
        <v>6</v>
      </c>
      <c r="E514">
        <v>1.973651</v>
      </c>
      <c r="F514">
        <f t="shared" si="14"/>
        <v>1.2164999999999981E-2</v>
      </c>
      <c r="G514">
        <f t="shared" si="15"/>
        <v>54.152779953368658</v>
      </c>
    </row>
    <row r="515" spans="2:7">
      <c r="B515" t="s">
        <v>2</v>
      </c>
      <c r="C515" s="2">
        <v>41337</v>
      </c>
      <c r="D515" t="s">
        <v>6</v>
      </c>
      <c r="E515">
        <v>1.9614860000000001</v>
      </c>
      <c r="F515">
        <f t="shared" ref="F515:F578" si="16">E515-E516</f>
        <v>1.5769000000000144E-2</v>
      </c>
      <c r="G515">
        <f t="shared" ref="G515:G578" si="17">STDEV(F515:F574)*SQRT(250)*100</f>
        <v>54.327778805141882</v>
      </c>
    </row>
    <row r="516" spans="2:7">
      <c r="B516" t="s">
        <v>2</v>
      </c>
      <c r="C516" s="2">
        <v>41334</v>
      </c>
      <c r="D516" t="s">
        <v>6</v>
      </c>
      <c r="E516">
        <v>1.9457169999999999</v>
      </c>
      <c r="F516">
        <f t="shared" si="16"/>
        <v>-3.1924000000000063E-2</v>
      </c>
      <c r="G516">
        <f t="shared" si="17"/>
        <v>54.405163967317804</v>
      </c>
    </row>
    <row r="517" spans="2:7">
      <c r="B517" t="s">
        <v>2</v>
      </c>
      <c r="C517" s="2">
        <v>41333</v>
      </c>
      <c r="D517" t="s">
        <v>6</v>
      </c>
      <c r="E517">
        <v>1.977641</v>
      </c>
      <c r="F517">
        <f t="shared" si="16"/>
        <v>-1.3913000000000064E-2</v>
      </c>
      <c r="G517">
        <f t="shared" si="17"/>
        <v>53.904957212818729</v>
      </c>
    </row>
    <row r="518" spans="2:7">
      <c r="B518" t="s">
        <v>2</v>
      </c>
      <c r="C518" s="2">
        <v>41332</v>
      </c>
      <c r="D518" t="s">
        <v>6</v>
      </c>
      <c r="E518">
        <v>1.991554</v>
      </c>
      <c r="F518">
        <f t="shared" si="16"/>
        <v>2.6035999999999948E-2</v>
      </c>
      <c r="G518">
        <f t="shared" si="17"/>
        <v>53.799127638764645</v>
      </c>
    </row>
    <row r="519" spans="2:7">
      <c r="B519" t="s">
        <v>2</v>
      </c>
      <c r="C519" s="2">
        <v>41331</v>
      </c>
      <c r="D519" t="s">
        <v>6</v>
      </c>
      <c r="E519">
        <v>1.9655180000000001</v>
      </c>
      <c r="F519">
        <f t="shared" si="16"/>
        <v>-9.2249999999998167E-3</v>
      </c>
      <c r="G519">
        <f t="shared" si="17"/>
        <v>53.632431545002504</v>
      </c>
    </row>
    <row r="520" spans="2:7">
      <c r="B520" t="s">
        <v>2</v>
      </c>
      <c r="C520" s="2">
        <v>41330</v>
      </c>
      <c r="D520" t="s">
        <v>6</v>
      </c>
      <c r="E520">
        <v>1.9747429999999999</v>
      </c>
      <c r="F520">
        <f t="shared" si="16"/>
        <v>-6.3221999999999889E-2</v>
      </c>
      <c r="G520">
        <f t="shared" si="17"/>
        <v>53.83761953199803</v>
      </c>
    </row>
    <row r="521" spans="2:7">
      <c r="B521" t="s">
        <v>2</v>
      </c>
      <c r="C521" s="2">
        <v>41327</v>
      </c>
      <c r="D521" t="s">
        <v>6</v>
      </c>
      <c r="E521">
        <v>2.0379649999999998</v>
      </c>
      <c r="F521">
        <f t="shared" si="16"/>
        <v>-8.2349999999999923E-3</v>
      </c>
      <c r="G521">
        <f t="shared" si="17"/>
        <v>52.40582926035421</v>
      </c>
    </row>
    <row r="522" spans="2:7">
      <c r="B522" t="s">
        <v>2</v>
      </c>
      <c r="C522" s="2">
        <v>41326</v>
      </c>
      <c r="D522" t="s">
        <v>6</v>
      </c>
      <c r="E522">
        <v>2.0461999999999998</v>
      </c>
      <c r="F522">
        <f t="shared" si="16"/>
        <v>-4.6275000000000066E-2</v>
      </c>
      <c r="G522">
        <f t="shared" si="17"/>
        <v>52.683952680082548</v>
      </c>
    </row>
    <row r="523" spans="2:7">
      <c r="B523" t="s">
        <v>2</v>
      </c>
      <c r="C523" s="2">
        <v>41325</v>
      </c>
      <c r="D523" t="s">
        <v>6</v>
      </c>
      <c r="E523">
        <v>2.0924749999999999</v>
      </c>
      <c r="F523">
        <f t="shared" si="16"/>
        <v>-2.779000000000309E-3</v>
      </c>
      <c r="G523">
        <f t="shared" si="17"/>
        <v>51.584183688764121</v>
      </c>
    </row>
    <row r="524" spans="2:7">
      <c r="B524" t="s">
        <v>2</v>
      </c>
      <c r="C524" s="2">
        <v>41324</v>
      </c>
      <c r="D524" t="s">
        <v>6</v>
      </c>
      <c r="E524">
        <v>2.0952540000000002</v>
      </c>
      <c r="F524">
        <f t="shared" si="16"/>
        <v>2.6906000000000319E-2</v>
      </c>
      <c r="G524">
        <f t="shared" si="17"/>
        <v>51.772674820397448</v>
      </c>
    </row>
    <row r="525" spans="2:7">
      <c r="B525" t="s">
        <v>2</v>
      </c>
      <c r="C525" s="2">
        <v>41320</v>
      </c>
      <c r="D525" t="s">
        <v>6</v>
      </c>
      <c r="E525">
        <v>2.0683479999999999</v>
      </c>
      <c r="F525">
        <f t="shared" si="16"/>
        <v>7.6339999999999186E-3</v>
      </c>
      <c r="G525">
        <f t="shared" si="17"/>
        <v>51.97142204009868</v>
      </c>
    </row>
    <row r="526" spans="2:7">
      <c r="B526" t="s">
        <v>2</v>
      </c>
      <c r="C526" s="2">
        <v>41319</v>
      </c>
      <c r="D526" t="s">
        <v>6</v>
      </c>
      <c r="E526">
        <v>2.0607139999999999</v>
      </c>
      <c r="F526">
        <f t="shared" si="16"/>
        <v>-4.5012000000000274E-2</v>
      </c>
      <c r="G526">
        <f t="shared" si="17"/>
        <v>52.303819696749265</v>
      </c>
    </row>
    <row r="527" spans="2:7">
      <c r="B527" t="s">
        <v>2</v>
      </c>
      <c r="C527" s="2">
        <v>41318</v>
      </c>
      <c r="D527" t="s">
        <v>6</v>
      </c>
      <c r="E527">
        <v>2.1057260000000002</v>
      </c>
      <c r="F527">
        <f t="shared" si="16"/>
        <v>3.728800000000021E-2</v>
      </c>
      <c r="G527">
        <f t="shared" si="17"/>
        <v>51.292846978071104</v>
      </c>
    </row>
    <row r="528" spans="2:7">
      <c r="B528" t="s">
        <v>2</v>
      </c>
      <c r="C528" s="2">
        <v>41317</v>
      </c>
      <c r="D528" t="s">
        <v>6</v>
      </c>
      <c r="E528">
        <v>2.068438</v>
      </c>
      <c r="F528">
        <f t="shared" si="16"/>
        <v>4.0112999999999843E-2</v>
      </c>
      <c r="G528">
        <f t="shared" si="17"/>
        <v>50.933874622148224</v>
      </c>
    </row>
    <row r="529" spans="2:7">
      <c r="B529" t="s">
        <v>2</v>
      </c>
      <c r="C529" s="2">
        <v>41316</v>
      </c>
      <c r="D529" t="s">
        <v>6</v>
      </c>
      <c r="E529">
        <v>2.0283250000000002</v>
      </c>
      <c r="F529">
        <f t="shared" si="16"/>
        <v>-4.2349999999999888E-3</v>
      </c>
      <c r="G529">
        <f t="shared" si="17"/>
        <v>50.556239366792575</v>
      </c>
    </row>
    <row r="530" spans="2:7">
      <c r="B530" t="s">
        <v>2</v>
      </c>
      <c r="C530" s="2">
        <v>41313</v>
      </c>
      <c r="D530" t="s">
        <v>6</v>
      </c>
      <c r="E530">
        <v>2.0325600000000001</v>
      </c>
      <c r="F530">
        <f t="shared" si="16"/>
        <v>4.8560000000001935E-3</v>
      </c>
      <c r="G530">
        <f t="shared" si="17"/>
        <v>50.643953790767945</v>
      </c>
    </row>
    <row r="531" spans="2:7">
      <c r="B531" t="s">
        <v>2</v>
      </c>
      <c r="C531" s="2">
        <v>41312</v>
      </c>
      <c r="D531" t="s">
        <v>6</v>
      </c>
      <c r="E531">
        <v>2.027704</v>
      </c>
      <c r="F531">
        <f t="shared" si="16"/>
        <v>-1.4666000000000068E-2</v>
      </c>
      <c r="G531">
        <f t="shared" si="17"/>
        <v>50.662340279048891</v>
      </c>
    </row>
    <row r="532" spans="2:7">
      <c r="B532" t="s">
        <v>2</v>
      </c>
      <c r="C532" s="2">
        <v>41311</v>
      </c>
      <c r="D532" t="s">
        <v>6</v>
      </c>
      <c r="E532">
        <v>2.04237</v>
      </c>
      <c r="F532">
        <f t="shared" si="16"/>
        <v>-5.2649999999999864E-2</v>
      </c>
      <c r="G532">
        <f t="shared" si="17"/>
        <v>51.09734572785063</v>
      </c>
    </row>
    <row r="533" spans="2:7">
      <c r="B533" t="s">
        <v>2</v>
      </c>
      <c r="C533" s="2">
        <v>41310</v>
      </c>
      <c r="D533" t="s">
        <v>6</v>
      </c>
      <c r="E533">
        <v>2.0950199999999999</v>
      </c>
      <c r="F533">
        <f t="shared" si="16"/>
        <v>3.5760999999999932E-2</v>
      </c>
      <c r="G533">
        <f t="shared" si="17"/>
        <v>54.683334073377857</v>
      </c>
    </row>
    <row r="534" spans="2:7">
      <c r="B534" t="s">
        <v>2</v>
      </c>
      <c r="C534" s="2">
        <v>41309</v>
      </c>
      <c r="D534" t="s">
        <v>6</v>
      </c>
      <c r="E534">
        <v>2.059259</v>
      </c>
      <c r="F534">
        <f t="shared" si="16"/>
        <v>-3.3904999999999852E-2</v>
      </c>
      <c r="G534">
        <f t="shared" si="17"/>
        <v>55.854761173473477</v>
      </c>
    </row>
    <row r="535" spans="2:7">
      <c r="B535" t="s">
        <v>2</v>
      </c>
      <c r="C535" s="2">
        <v>41306</v>
      </c>
      <c r="D535" t="s">
        <v>6</v>
      </c>
      <c r="E535">
        <v>2.0931639999999998</v>
      </c>
      <c r="F535">
        <f t="shared" si="16"/>
        <v>3.7563000000000013E-2</v>
      </c>
      <c r="G535">
        <f t="shared" si="17"/>
        <v>55.985922926823484</v>
      </c>
    </row>
    <row r="536" spans="2:7">
      <c r="B536" t="s">
        <v>2</v>
      </c>
      <c r="C536" s="2">
        <v>41305</v>
      </c>
      <c r="D536" t="s">
        <v>6</v>
      </c>
      <c r="E536">
        <v>2.0556009999999998</v>
      </c>
      <c r="F536">
        <f t="shared" si="16"/>
        <v>-2.1624000000000088E-2</v>
      </c>
      <c r="G536">
        <f t="shared" si="17"/>
        <v>55.611023524534467</v>
      </c>
    </row>
    <row r="537" spans="2:7">
      <c r="B537" t="s">
        <v>2</v>
      </c>
      <c r="C537" s="2">
        <v>41304</v>
      </c>
      <c r="D537" t="s">
        <v>6</v>
      </c>
      <c r="E537">
        <v>2.0772249999999999</v>
      </c>
      <c r="F537">
        <f t="shared" si="16"/>
        <v>2.8405999999999931E-2</v>
      </c>
      <c r="G537">
        <f t="shared" si="17"/>
        <v>55.437119617425054</v>
      </c>
    </row>
    <row r="538" spans="2:7">
      <c r="B538" t="s">
        <v>2</v>
      </c>
      <c r="C538" s="2">
        <v>41303</v>
      </c>
      <c r="D538" t="s">
        <v>6</v>
      </c>
      <c r="E538">
        <v>2.0488189999999999</v>
      </c>
      <c r="F538">
        <f t="shared" si="16"/>
        <v>1.5712999999999866E-2</v>
      </c>
      <c r="G538">
        <f t="shared" si="17"/>
        <v>55.794735385487591</v>
      </c>
    </row>
    <row r="539" spans="2:7">
      <c r="B539" t="s">
        <v>2</v>
      </c>
      <c r="C539" s="2">
        <v>41302</v>
      </c>
      <c r="D539" t="s">
        <v>6</v>
      </c>
      <c r="E539">
        <v>2.0331060000000001</v>
      </c>
      <c r="F539">
        <f t="shared" si="16"/>
        <v>2.8923000000000254E-2</v>
      </c>
      <c r="G539">
        <f t="shared" si="17"/>
        <v>56.053868702725339</v>
      </c>
    </row>
    <row r="540" spans="2:7">
      <c r="B540" t="s">
        <v>2</v>
      </c>
      <c r="C540" s="2">
        <v>41299</v>
      </c>
      <c r="D540" t="s">
        <v>6</v>
      </c>
      <c r="E540">
        <v>2.0041829999999998</v>
      </c>
      <c r="F540">
        <f t="shared" si="16"/>
        <v>0.10990199999999972</v>
      </c>
      <c r="G540">
        <f t="shared" si="17"/>
        <v>58.316518108334101</v>
      </c>
    </row>
    <row r="541" spans="2:7">
      <c r="B541" t="s">
        <v>2</v>
      </c>
      <c r="C541" s="2">
        <v>41298</v>
      </c>
      <c r="D541" t="s">
        <v>6</v>
      </c>
      <c r="E541">
        <v>1.8942810000000001</v>
      </c>
      <c r="F541">
        <f t="shared" si="16"/>
        <v>1.0979000000000072E-2</v>
      </c>
      <c r="G541">
        <f t="shared" si="17"/>
        <v>55.334117341752368</v>
      </c>
    </row>
    <row r="542" spans="2:7">
      <c r="B542" t="s">
        <v>2</v>
      </c>
      <c r="C542" s="2">
        <v>41297</v>
      </c>
      <c r="D542" t="s">
        <v>6</v>
      </c>
      <c r="E542">
        <v>1.883302</v>
      </c>
      <c r="F542">
        <f t="shared" si="16"/>
        <v>-2.458999999999989E-3</v>
      </c>
      <c r="G542">
        <f t="shared" si="17"/>
        <v>55.301583262625577</v>
      </c>
    </row>
    <row r="543" spans="2:7">
      <c r="B543" t="s">
        <v>2</v>
      </c>
      <c r="C543" s="2">
        <v>41296</v>
      </c>
      <c r="D543" t="s">
        <v>6</v>
      </c>
      <c r="E543">
        <v>1.885761</v>
      </c>
      <c r="F543">
        <f t="shared" si="16"/>
        <v>-8.2979999999999166E-3</v>
      </c>
      <c r="G543">
        <f t="shared" si="17"/>
        <v>55.427310663738218</v>
      </c>
    </row>
    <row r="544" spans="2:7">
      <c r="B544" t="s">
        <v>2</v>
      </c>
      <c r="C544" s="2">
        <v>41292</v>
      </c>
      <c r="D544" t="s">
        <v>6</v>
      </c>
      <c r="E544">
        <v>1.8940589999999999</v>
      </c>
      <c r="F544">
        <f t="shared" si="16"/>
        <v>-1.9613000000000103E-2</v>
      </c>
      <c r="G544">
        <f t="shared" si="17"/>
        <v>55.657345110538039</v>
      </c>
    </row>
    <row r="545" spans="2:7">
      <c r="B545" t="s">
        <v>2</v>
      </c>
      <c r="C545" s="2">
        <v>41291</v>
      </c>
      <c r="D545" t="s">
        <v>6</v>
      </c>
      <c r="E545">
        <v>1.913672</v>
      </c>
      <c r="F545">
        <f t="shared" si="16"/>
        <v>5.6311E-2</v>
      </c>
      <c r="G545">
        <f t="shared" si="17"/>
        <v>56.653319964518587</v>
      </c>
    </row>
    <row r="546" spans="2:7">
      <c r="B546" t="s">
        <v>2</v>
      </c>
      <c r="C546" s="2">
        <v>41290</v>
      </c>
      <c r="D546" t="s">
        <v>6</v>
      </c>
      <c r="E546">
        <v>1.857361</v>
      </c>
      <c r="F546">
        <f t="shared" si="16"/>
        <v>-2.7209999999999734E-3</v>
      </c>
      <c r="G546">
        <f t="shared" si="17"/>
        <v>55.497801642953092</v>
      </c>
    </row>
    <row r="547" spans="2:7">
      <c r="B547" t="s">
        <v>2</v>
      </c>
      <c r="C547" s="2">
        <v>41289</v>
      </c>
      <c r="D547" t="s">
        <v>6</v>
      </c>
      <c r="E547">
        <v>1.860082</v>
      </c>
      <c r="F547">
        <f t="shared" si="16"/>
        <v>-2.3479000000000028E-2</v>
      </c>
      <c r="G547">
        <f t="shared" si="17"/>
        <v>58.127261059260441</v>
      </c>
    </row>
    <row r="548" spans="2:7">
      <c r="B548" t="s">
        <v>2</v>
      </c>
      <c r="C548" s="2">
        <v>41288</v>
      </c>
      <c r="D548" t="s">
        <v>6</v>
      </c>
      <c r="E548">
        <v>1.883561</v>
      </c>
      <c r="F548">
        <f t="shared" si="16"/>
        <v>-2.0432999999999923E-2</v>
      </c>
      <c r="G548">
        <f t="shared" si="17"/>
        <v>58.421263143424987</v>
      </c>
    </row>
    <row r="549" spans="2:7">
      <c r="B549" t="s">
        <v>2</v>
      </c>
      <c r="C549" s="2">
        <v>41285</v>
      </c>
      <c r="D549" t="s">
        <v>6</v>
      </c>
      <c r="E549">
        <v>1.903994</v>
      </c>
      <c r="F549">
        <f t="shared" si="16"/>
        <v>-1.3073000000000112E-2</v>
      </c>
      <c r="G549">
        <f t="shared" si="17"/>
        <v>58.222294011460271</v>
      </c>
    </row>
    <row r="550" spans="2:7">
      <c r="B550" t="s">
        <v>2</v>
      </c>
      <c r="C550" s="2">
        <v>41284</v>
      </c>
      <c r="D550" t="s">
        <v>6</v>
      </c>
      <c r="E550">
        <v>1.9170670000000001</v>
      </c>
      <c r="F550">
        <f t="shared" si="16"/>
        <v>3.9417000000000035E-2</v>
      </c>
      <c r="G550">
        <f t="shared" si="17"/>
        <v>58.141601335151393</v>
      </c>
    </row>
    <row r="551" spans="2:7">
      <c r="B551" t="s">
        <v>2</v>
      </c>
      <c r="C551" s="2">
        <v>41283</v>
      </c>
      <c r="D551" t="s">
        <v>6</v>
      </c>
      <c r="E551">
        <v>1.87765</v>
      </c>
      <c r="F551">
        <f t="shared" si="16"/>
        <v>-1.4996999999999927E-2</v>
      </c>
      <c r="G551">
        <f t="shared" si="17"/>
        <v>58.05331442721571</v>
      </c>
    </row>
    <row r="552" spans="2:7">
      <c r="B552" t="s">
        <v>2</v>
      </c>
      <c r="C552" s="2">
        <v>41282</v>
      </c>
      <c r="D552" t="s">
        <v>6</v>
      </c>
      <c r="E552">
        <v>1.892647</v>
      </c>
      <c r="F552">
        <f t="shared" si="16"/>
        <v>-3.6078999999999972E-2</v>
      </c>
      <c r="G552">
        <f t="shared" si="17"/>
        <v>58.310558026952108</v>
      </c>
    </row>
    <row r="553" spans="2:7">
      <c r="B553" t="s">
        <v>2</v>
      </c>
      <c r="C553" s="2">
        <v>41281</v>
      </c>
      <c r="D553" t="s">
        <v>6</v>
      </c>
      <c r="E553">
        <v>1.9287259999999999</v>
      </c>
      <c r="F553">
        <f t="shared" si="16"/>
        <v>-1.0549000000000142E-2</v>
      </c>
      <c r="G553">
        <f t="shared" si="17"/>
        <v>57.923607511328342</v>
      </c>
    </row>
    <row r="554" spans="2:7">
      <c r="B554" t="s">
        <v>2</v>
      </c>
      <c r="C554" s="2">
        <v>41278</v>
      </c>
      <c r="D554" t="s">
        <v>6</v>
      </c>
      <c r="E554">
        <v>1.9392750000000001</v>
      </c>
      <c r="F554">
        <f t="shared" si="16"/>
        <v>1.2091000000000074E-2</v>
      </c>
      <c r="G554">
        <f t="shared" si="17"/>
        <v>58.913645704730058</v>
      </c>
    </row>
    <row r="555" spans="2:7">
      <c r="B555" t="s">
        <v>2</v>
      </c>
      <c r="C555" s="2">
        <v>41277</v>
      </c>
      <c r="D555" t="s">
        <v>6</v>
      </c>
      <c r="E555">
        <v>1.927184</v>
      </c>
      <c r="F555">
        <f t="shared" si="16"/>
        <v>5.0931999999999977E-2</v>
      </c>
      <c r="G555">
        <f t="shared" si="17"/>
        <v>59.787952004195063</v>
      </c>
    </row>
    <row r="556" spans="2:7">
      <c r="B556" t="s">
        <v>2</v>
      </c>
      <c r="C556" s="2">
        <v>41276</v>
      </c>
      <c r="D556" t="s">
        <v>6</v>
      </c>
      <c r="E556">
        <v>1.876252</v>
      </c>
      <c r="F556">
        <f t="shared" si="16"/>
        <v>7.894000000000001E-2</v>
      </c>
      <c r="G556">
        <f t="shared" si="17"/>
        <v>59.018383044181391</v>
      </c>
    </row>
    <row r="557" spans="2:7">
      <c r="B557" t="s">
        <v>2</v>
      </c>
      <c r="C557" s="2">
        <v>41274</v>
      </c>
      <c r="D557" t="s">
        <v>6</v>
      </c>
      <c r="E557">
        <v>1.797312</v>
      </c>
      <c r="F557">
        <f t="shared" si="16"/>
        <v>3.0822000000000127E-2</v>
      </c>
      <c r="G557">
        <f t="shared" si="17"/>
        <v>56.904420329031112</v>
      </c>
    </row>
    <row r="558" spans="2:7">
      <c r="B558" t="s">
        <v>2</v>
      </c>
      <c r="C558" s="2">
        <v>41271</v>
      </c>
      <c r="D558" t="s">
        <v>6</v>
      </c>
      <c r="E558">
        <v>1.7664899999999999</v>
      </c>
      <c r="F558">
        <f t="shared" si="16"/>
        <v>-1.1848000000000081E-2</v>
      </c>
      <c r="G558">
        <f t="shared" si="17"/>
        <v>56.630486317144069</v>
      </c>
    </row>
    <row r="559" spans="2:7">
      <c r="B559" t="s">
        <v>2</v>
      </c>
      <c r="C559" s="2">
        <v>41270</v>
      </c>
      <c r="D559" t="s">
        <v>6</v>
      </c>
      <c r="E559">
        <v>1.778338</v>
      </c>
      <c r="F559">
        <f t="shared" si="16"/>
        <v>-3.8256999999999985E-2</v>
      </c>
      <c r="G559">
        <f t="shared" si="17"/>
        <v>56.61603294275519</v>
      </c>
    </row>
    <row r="560" spans="2:7">
      <c r="B560" t="s">
        <v>2</v>
      </c>
      <c r="C560" s="2">
        <v>41269</v>
      </c>
      <c r="D560" t="s">
        <v>6</v>
      </c>
      <c r="E560">
        <v>1.816595</v>
      </c>
      <c r="F560">
        <f t="shared" si="16"/>
        <v>-1.1398000000000019E-2</v>
      </c>
      <c r="G560">
        <f t="shared" si="17"/>
        <v>56.191472204318515</v>
      </c>
    </row>
    <row r="561" spans="2:7">
      <c r="B561" t="s">
        <v>2</v>
      </c>
      <c r="C561" s="2">
        <v>41267</v>
      </c>
      <c r="D561" t="s">
        <v>6</v>
      </c>
      <c r="E561">
        <v>1.827993</v>
      </c>
      <c r="F561">
        <f t="shared" si="16"/>
        <v>2.4796999999999958E-2</v>
      </c>
      <c r="G561">
        <f t="shared" si="17"/>
        <v>56.874466000467002</v>
      </c>
    </row>
    <row r="562" spans="2:7">
      <c r="B562" t="s">
        <v>2</v>
      </c>
      <c r="C562" s="2">
        <v>41264</v>
      </c>
      <c r="D562" t="s">
        <v>6</v>
      </c>
      <c r="E562">
        <v>1.803196</v>
      </c>
      <c r="F562">
        <f t="shared" si="16"/>
        <v>-3.9901999999999882E-2</v>
      </c>
      <c r="G562">
        <f t="shared" si="17"/>
        <v>56.978138343661797</v>
      </c>
    </row>
    <row r="563" spans="2:7">
      <c r="B563" t="s">
        <v>2</v>
      </c>
      <c r="C563" s="2">
        <v>41263</v>
      </c>
      <c r="D563" t="s">
        <v>6</v>
      </c>
      <c r="E563">
        <v>1.8430979999999999</v>
      </c>
      <c r="F563">
        <f t="shared" si="16"/>
        <v>6.1599999999994992E-4</v>
      </c>
      <c r="G563">
        <f t="shared" si="17"/>
        <v>56.776867189889103</v>
      </c>
    </row>
    <row r="564" spans="2:7">
      <c r="B564" t="s">
        <v>2</v>
      </c>
      <c r="C564" s="2">
        <v>41262</v>
      </c>
      <c r="D564" t="s">
        <v>6</v>
      </c>
      <c r="E564">
        <v>1.842482</v>
      </c>
      <c r="F564">
        <f t="shared" si="16"/>
        <v>-3.2587000000000144E-2</v>
      </c>
      <c r="G564">
        <f t="shared" si="17"/>
        <v>56.837581769686928</v>
      </c>
    </row>
    <row r="565" spans="2:7">
      <c r="B565" t="s">
        <v>2</v>
      </c>
      <c r="C565" s="2">
        <v>41261</v>
      </c>
      <c r="D565" t="s">
        <v>6</v>
      </c>
      <c r="E565">
        <v>1.8750690000000001</v>
      </c>
      <c r="F565">
        <f t="shared" si="16"/>
        <v>6.1013000000000206E-2</v>
      </c>
      <c r="G565">
        <f t="shared" si="17"/>
        <v>56.591536852916455</v>
      </c>
    </row>
    <row r="566" spans="2:7">
      <c r="B566" t="s">
        <v>2</v>
      </c>
      <c r="C566" s="2">
        <v>41260</v>
      </c>
      <c r="D566" t="s">
        <v>6</v>
      </c>
      <c r="E566">
        <v>1.8140559999999999</v>
      </c>
      <c r="F566">
        <f t="shared" si="16"/>
        <v>5.7470999999999828E-2</v>
      </c>
      <c r="G566">
        <f t="shared" si="17"/>
        <v>55.905013788143755</v>
      </c>
    </row>
    <row r="567" spans="2:7">
      <c r="B567" t="s">
        <v>2</v>
      </c>
      <c r="C567" s="2">
        <v>41257</v>
      </c>
      <c r="D567" t="s">
        <v>6</v>
      </c>
      <c r="E567">
        <v>1.7565850000000001</v>
      </c>
      <c r="F567">
        <f t="shared" si="16"/>
        <v>-1.1007999999999907E-2</v>
      </c>
      <c r="G567">
        <f t="shared" si="17"/>
        <v>54.823984521395943</v>
      </c>
    </row>
    <row r="568" spans="2:7">
      <c r="B568" t="s">
        <v>2</v>
      </c>
      <c r="C568" s="2">
        <v>41256</v>
      </c>
      <c r="D568" t="s">
        <v>6</v>
      </c>
      <c r="E568">
        <v>1.767593</v>
      </c>
      <c r="F568">
        <f t="shared" si="16"/>
        <v>2.6766999999999985E-2</v>
      </c>
      <c r="G568">
        <f t="shared" si="17"/>
        <v>54.996447704306462</v>
      </c>
    </row>
    <row r="569" spans="2:7">
      <c r="B569" t="s">
        <v>2</v>
      </c>
      <c r="C569" s="2">
        <v>41255</v>
      </c>
      <c r="D569" t="s">
        <v>6</v>
      </c>
      <c r="E569">
        <v>1.740826</v>
      </c>
      <c r="F569">
        <f t="shared" si="16"/>
        <v>4.6351999999999949E-2</v>
      </c>
      <c r="G569">
        <f t="shared" si="17"/>
        <v>57.445462203674438</v>
      </c>
    </row>
    <row r="570" spans="2:7">
      <c r="B570" t="s">
        <v>2</v>
      </c>
      <c r="C570" s="2">
        <v>41254</v>
      </c>
      <c r="D570" t="s">
        <v>6</v>
      </c>
      <c r="E570">
        <v>1.694474</v>
      </c>
      <c r="F570">
        <f t="shared" si="16"/>
        <v>2.6039000000000145E-2</v>
      </c>
      <c r="G570">
        <f t="shared" si="17"/>
        <v>57.134524289351383</v>
      </c>
    </row>
    <row r="571" spans="2:7">
      <c r="B571" t="s">
        <v>2</v>
      </c>
      <c r="C571" s="2">
        <v>41253</v>
      </c>
      <c r="D571" t="s">
        <v>6</v>
      </c>
      <c r="E571">
        <v>1.6684349999999999</v>
      </c>
      <c r="F571">
        <f t="shared" si="16"/>
        <v>-8.2330000000001569E-3</v>
      </c>
      <c r="G571">
        <f t="shared" si="17"/>
        <v>58.378996483285682</v>
      </c>
    </row>
    <row r="572" spans="2:7">
      <c r="B572" t="s">
        <v>2</v>
      </c>
      <c r="C572" s="2">
        <v>41250</v>
      </c>
      <c r="D572" t="s">
        <v>6</v>
      </c>
      <c r="E572">
        <v>1.676668</v>
      </c>
      <c r="F572">
        <f t="shared" si="16"/>
        <v>3.9687999999999946E-2</v>
      </c>
      <c r="G572">
        <f t="shared" si="17"/>
        <v>58.483927437422089</v>
      </c>
    </row>
    <row r="573" spans="2:7">
      <c r="B573" t="s">
        <v>2</v>
      </c>
      <c r="C573" s="2">
        <v>41249</v>
      </c>
      <c r="D573" t="s">
        <v>6</v>
      </c>
      <c r="E573">
        <v>1.6369800000000001</v>
      </c>
      <c r="F573">
        <f t="shared" si="16"/>
        <v>-3.4789999999997878E-3</v>
      </c>
      <c r="G573">
        <f t="shared" si="17"/>
        <v>57.899476153059716</v>
      </c>
    </row>
    <row r="574" spans="2:7">
      <c r="B574" t="s">
        <v>2</v>
      </c>
      <c r="C574" s="2">
        <v>41248</v>
      </c>
      <c r="D574" t="s">
        <v>6</v>
      </c>
      <c r="E574">
        <v>1.6404589999999999</v>
      </c>
      <c r="F574">
        <f t="shared" si="16"/>
        <v>-1.693800000000012E-2</v>
      </c>
      <c r="G574">
        <f t="shared" si="17"/>
        <v>57.925344571125493</v>
      </c>
    </row>
    <row r="575" spans="2:7">
      <c r="B575" t="s">
        <v>2</v>
      </c>
      <c r="C575" s="2">
        <v>41247</v>
      </c>
      <c r="D575" t="s">
        <v>6</v>
      </c>
      <c r="E575">
        <v>1.657397</v>
      </c>
      <c r="F575">
        <f t="shared" si="16"/>
        <v>-1.3012000000000024E-2</v>
      </c>
      <c r="G575">
        <f t="shared" si="17"/>
        <v>60.735818911631782</v>
      </c>
    </row>
    <row r="576" spans="2:7">
      <c r="B576" t="s">
        <v>2</v>
      </c>
      <c r="C576" s="2">
        <v>41246</v>
      </c>
      <c r="D576" t="s">
        <v>6</v>
      </c>
      <c r="E576">
        <v>1.670409</v>
      </c>
      <c r="F576">
        <f t="shared" si="16"/>
        <v>1.4066000000000134E-2</v>
      </c>
      <c r="G576">
        <f t="shared" si="17"/>
        <v>60.694474225924743</v>
      </c>
    </row>
    <row r="577" spans="2:7">
      <c r="B577" t="s">
        <v>2</v>
      </c>
      <c r="C577" s="2">
        <v>41243</v>
      </c>
      <c r="D577" t="s">
        <v>6</v>
      </c>
      <c r="E577">
        <v>1.6563429999999999</v>
      </c>
      <c r="F577">
        <f t="shared" si="16"/>
        <v>-4.8250000000000792E-3</v>
      </c>
      <c r="G577">
        <f t="shared" si="17"/>
        <v>60.665638589708891</v>
      </c>
    </row>
    <row r="578" spans="2:7">
      <c r="B578" t="s">
        <v>2</v>
      </c>
      <c r="C578" s="2">
        <v>41242</v>
      </c>
      <c r="D578" t="s">
        <v>6</v>
      </c>
      <c r="E578">
        <v>1.661168</v>
      </c>
      <c r="F578">
        <f t="shared" si="16"/>
        <v>7.6220000000000176E-3</v>
      </c>
      <c r="G578">
        <f t="shared" si="17"/>
        <v>61.502045837423658</v>
      </c>
    </row>
    <row r="579" spans="2:7">
      <c r="B579" t="s">
        <v>2</v>
      </c>
      <c r="C579" s="2">
        <v>41241</v>
      </c>
      <c r="D579" t="s">
        <v>6</v>
      </c>
      <c r="E579">
        <v>1.653546</v>
      </c>
      <c r="F579">
        <f t="shared" ref="F579:F642" si="18">E579-E580</f>
        <v>-2.1840000000000082E-2</v>
      </c>
      <c r="G579">
        <f t="shared" ref="G579:G642" si="19">STDEV(F579:F638)*SQRT(250)*100</f>
        <v>61.795577854802033</v>
      </c>
    </row>
    <row r="580" spans="2:7">
      <c r="B580" t="s">
        <v>2</v>
      </c>
      <c r="C580" s="2">
        <v>41240</v>
      </c>
      <c r="D580" t="s">
        <v>6</v>
      </c>
      <c r="E580">
        <v>1.675386</v>
      </c>
      <c r="F580">
        <f t="shared" si="18"/>
        <v>-2.7927999999999953E-2</v>
      </c>
      <c r="G580">
        <f t="shared" si="19"/>
        <v>62.067133464084243</v>
      </c>
    </row>
    <row r="581" spans="2:7">
      <c r="B581" t="s">
        <v>2</v>
      </c>
      <c r="C581" s="2">
        <v>41239</v>
      </c>
      <c r="D581" t="s">
        <v>6</v>
      </c>
      <c r="E581">
        <v>1.703314</v>
      </c>
      <c r="F581">
        <f t="shared" si="18"/>
        <v>-2.4167999999999967E-2</v>
      </c>
      <c r="G581">
        <f t="shared" si="19"/>
        <v>62.040225936859791</v>
      </c>
    </row>
    <row r="582" spans="2:7">
      <c r="B582" t="s">
        <v>2</v>
      </c>
      <c r="C582" s="2">
        <v>41236</v>
      </c>
      <c r="D582" t="s">
        <v>6</v>
      </c>
      <c r="E582">
        <v>1.727482</v>
      </c>
      <c r="F582">
        <f t="shared" si="18"/>
        <v>5.8869999999999756E-3</v>
      </c>
      <c r="G582">
        <f t="shared" si="19"/>
        <v>62.183416622835416</v>
      </c>
    </row>
    <row r="583" spans="2:7">
      <c r="B583" t="s">
        <v>2</v>
      </c>
      <c r="C583" s="2">
        <v>41234</v>
      </c>
      <c r="D583" t="s">
        <v>6</v>
      </c>
      <c r="E583">
        <v>1.721595</v>
      </c>
      <c r="F583">
        <f t="shared" si="18"/>
        <v>2.9797999999999991E-2</v>
      </c>
      <c r="G583">
        <f t="shared" si="19"/>
        <v>62.227643540394453</v>
      </c>
    </row>
    <row r="584" spans="2:7">
      <c r="B584" t="s">
        <v>2</v>
      </c>
      <c r="C584" s="2">
        <v>41233</v>
      </c>
      <c r="D584" t="s">
        <v>6</v>
      </c>
      <c r="E584">
        <v>1.691797</v>
      </c>
      <c r="F584">
        <f t="shared" si="18"/>
        <v>3.6648999999999932E-2</v>
      </c>
      <c r="G584">
        <f t="shared" si="19"/>
        <v>62.892777432172366</v>
      </c>
    </row>
    <row r="585" spans="2:7">
      <c r="B585" t="s">
        <v>2</v>
      </c>
      <c r="C585" s="2">
        <v>41232</v>
      </c>
      <c r="D585" t="s">
        <v>6</v>
      </c>
      <c r="E585">
        <v>1.6551480000000001</v>
      </c>
      <c r="F585">
        <f t="shared" si="18"/>
        <v>3.5726000000000147E-2</v>
      </c>
      <c r="G585">
        <f t="shared" si="19"/>
        <v>64.700849850659608</v>
      </c>
    </row>
    <row r="586" spans="2:7">
      <c r="B586" t="s">
        <v>2</v>
      </c>
      <c r="C586" s="2">
        <v>41229</v>
      </c>
      <c r="D586" t="s">
        <v>6</v>
      </c>
      <c r="E586">
        <v>1.6194219999999999</v>
      </c>
      <c r="F586">
        <f t="shared" si="18"/>
        <v>-9.7140000000000004E-3</v>
      </c>
      <c r="G586">
        <f t="shared" si="19"/>
        <v>64.177251883942489</v>
      </c>
    </row>
    <row r="587" spans="2:7">
      <c r="B587" t="s">
        <v>2</v>
      </c>
      <c r="C587" s="2">
        <v>41228</v>
      </c>
      <c r="D587" t="s">
        <v>6</v>
      </c>
      <c r="E587">
        <v>1.6291359999999999</v>
      </c>
      <c r="F587">
        <f t="shared" si="18"/>
        <v>4.3089999999998962E-3</v>
      </c>
      <c r="G587">
        <f t="shared" si="19"/>
        <v>64.185417584476639</v>
      </c>
    </row>
    <row r="588" spans="2:7">
      <c r="B588" t="s">
        <v>2</v>
      </c>
      <c r="C588" s="2">
        <v>41227</v>
      </c>
      <c r="D588" t="s">
        <v>6</v>
      </c>
      <c r="E588">
        <v>1.624827</v>
      </c>
      <c r="F588">
        <f t="shared" si="18"/>
        <v>-6.8479999999999652E-3</v>
      </c>
      <c r="G588">
        <f t="shared" si="19"/>
        <v>64.426219692940421</v>
      </c>
    </row>
    <row r="589" spans="2:7">
      <c r="B589" t="s">
        <v>2</v>
      </c>
      <c r="C589" s="2">
        <v>41226</v>
      </c>
      <c r="D589" t="s">
        <v>6</v>
      </c>
      <c r="E589">
        <v>1.631675</v>
      </c>
      <c r="F589">
        <f t="shared" si="18"/>
        <v>-1.1500000000000066E-2</v>
      </c>
      <c r="G589">
        <f t="shared" si="19"/>
        <v>64.888752152872542</v>
      </c>
    </row>
    <row r="590" spans="2:7">
      <c r="B590" t="s">
        <v>2</v>
      </c>
      <c r="C590" s="2">
        <v>41222</v>
      </c>
      <c r="D590" t="s">
        <v>6</v>
      </c>
      <c r="E590">
        <v>1.6431750000000001</v>
      </c>
      <c r="F590">
        <f t="shared" si="18"/>
        <v>-3.7200000000003897E-4</v>
      </c>
      <c r="G590">
        <f t="shared" si="19"/>
        <v>67.982529460414739</v>
      </c>
    </row>
    <row r="591" spans="2:7">
      <c r="B591" t="s">
        <v>2</v>
      </c>
      <c r="C591" s="2">
        <v>41221</v>
      </c>
      <c r="D591" t="s">
        <v>6</v>
      </c>
      <c r="E591">
        <v>1.6435470000000001</v>
      </c>
      <c r="F591">
        <f t="shared" si="18"/>
        <v>-3.2245999999999997E-2</v>
      </c>
      <c r="G591">
        <f t="shared" si="19"/>
        <v>69.346273114998553</v>
      </c>
    </row>
    <row r="592" spans="2:7">
      <c r="B592" t="s">
        <v>2</v>
      </c>
      <c r="C592" s="2">
        <v>41220</v>
      </c>
      <c r="D592" t="s">
        <v>6</v>
      </c>
      <c r="E592">
        <v>1.6757930000000001</v>
      </c>
      <c r="F592">
        <f t="shared" si="18"/>
        <v>-0.1054759999999999</v>
      </c>
      <c r="G592">
        <f t="shared" si="19"/>
        <v>69.070402829716599</v>
      </c>
    </row>
    <row r="593" spans="2:7">
      <c r="B593" t="s">
        <v>2</v>
      </c>
      <c r="C593" s="2">
        <v>41219</v>
      </c>
      <c r="D593" t="s">
        <v>6</v>
      </c>
      <c r="E593">
        <v>1.781269</v>
      </c>
      <c r="F593">
        <f t="shared" si="18"/>
        <v>6.8521999999999972E-2</v>
      </c>
      <c r="G593">
        <f t="shared" si="19"/>
        <v>66.128811451350174</v>
      </c>
    </row>
    <row r="594" spans="2:7">
      <c r="B594" t="s">
        <v>2</v>
      </c>
      <c r="C594" s="2">
        <v>41218</v>
      </c>
      <c r="D594" t="s">
        <v>6</v>
      </c>
      <c r="E594">
        <v>1.712747</v>
      </c>
      <c r="F594">
        <f t="shared" si="18"/>
        <v>-3.8054000000000032E-2</v>
      </c>
      <c r="G594">
        <f t="shared" si="19"/>
        <v>64.670040938920607</v>
      </c>
    </row>
    <row r="595" spans="2:7">
      <c r="B595" t="s">
        <v>2</v>
      </c>
      <c r="C595" s="2">
        <v>41215</v>
      </c>
      <c r="D595" t="s">
        <v>6</v>
      </c>
      <c r="E595">
        <v>1.7508010000000001</v>
      </c>
      <c r="F595">
        <f t="shared" si="18"/>
        <v>-1.5760000000000218E-3</v>
      </c>
      <c r="G595">
        <f t="shared" si="19"/>
        <v>64.265428335221316</v>
      </c>
    </row>
    <row r="596" spans="2:7">
      <c r="B596" t="s">
        <v>2</v>
      </c>
      <c r="C596" s="2">
        <v>41214</v>
      </c>
      <c r="D596" t="s">
        <v>6</v>
      </c>
      <c r="E596">
        <v>1.7523770000000001</v>
      </c>
      <c r="F596">
        <f t="shared" si="18"/>
        <v>2.2015000000000118E-2</v>
      </c>
      <c r="G596">
        <f t="shared" si="19"/>
        <v>65.786463925372828</v>
      </c>
    </row>
    <row r="597" spans="2:7">
      <c r="B597" t="s">
        <v>2</v>
      </c>
      <c r="C597" s="2">
        <v>41213</v>
      </c>
      <c r="D597" t="s">
        <v>6</v>
      </c>
      <c r="E597">
        <v>1.730362</v>
      </c>
      <c r="F597">
        <f t="shared" si="18"/>
        <v>-3.3125999999999989E-2</v>
      </c>
      <c r="G597">
        <f t="shared" si="19"/>
        <v>65.840041524123507</v>
      </c>
    </row>
    <row r="598" spans="2:7">
      <c r="B598" t="s">
        <v>2</v>
      </c>
      <c r="C598" s="2">
        <v>41211</v>
      </c>
      <c r="D598" t="s">
        <v>6</v>
      </c>
      <c r="E598">
        <v>1.7634879999999999</v>
      </c>
      <c r="F598">
        <f t="shared" si="18"/>
        <v>-2.4062000000000028E-2</v>
      </c>
      <c r="G598">
        <f t="shared" si="19"/>
        <v>68.096318133542539</v>
      </c>
    </row>
    <row r="599" spans="2:7">
      <c r="B599" t="s">
        <v>2</v>
      </c>
      <c r="C599" s="2">
        <v>41208</v>
      </c>
      <c r="D599" t="s">
        <v>6</v>
      </c>
      <c r="E599">
        <v>1.78755</v>
      </c>
      <c r="F599">
        <f t="shared" si="18"/>
        <v>-7.9083000000000014E-2</v>
      </c>
      <c r="G599">
        <f t="shared" si="19"/>
        <v>68.45873938247972</v>
      </c>
    </row>
    <row r="600" spans="2:7">
      <c r="B600" t="s">
        <v>2</v>
      </c>
      <c r="C600" s="2">
        <v>41207</v>
      </c>
      <c r="D600" t="s">
        <v>6</v>
      </c>
      <c r="E600">
        <v>1.866633</v>
      </c>
      <c r="F600">
        <f t="shared" si="18"/>
        <v>6.2443000000000026E-2</v>
      </c>
      <c r="G600">
        <f t="shared" si="19"/>
        <v>67.33661348012501</v>
      </c>
    </row>
    <row r="601" spans="2:7">
      <c r="B601" t="s">
        <v>2</v>
      </c>
      <c r="C601" s="2">
        <v>41206</v>
      </c>
      <c r="D601" t="s">
        <v>6</v>
      </c>
      <c r="E601">
        <v>1.80419</v>
      </c>
      <c r="F601">
        <f t="shared" si="18"/>
        <v>-1.2099999999999334E-3</v>
      </c>
      <c r="G601">
        <f t="shared" si="19"/>
        <v>66.258631172881593</v>
      </c>
    </row>
    <row r="602" spans="2:7">
      <c r="B602" t="s">
        <v>2</v>
      </c>
      <c r="C602" s="2">
        <v>41205</v>
      </c>
      <c r="D602" t="s">
        <v>6</v>
      </c>
      <c r="E602">
        <v>1.8053999999999999</v>
      </c>
      <c r="F602">
        <f t="shared" si="18"/>
        <v>-1.7312000000000216E-2</v>
      </c>
      <c r="G602">
        <f t="shared" si="19"/>
        <v>67.566318274781267</v>
      </c>
    </row>
    <row r="603" spans="2:7">
      <c r="B603" t="s">
        <v>2</v>
      </c>
      <c r="C603" s="2">
        <v>41204</v>
      </c>
      <c r="D603" t="s">
        <v>6</v>
      </c>
      <c r="E603">
        <v>1.8227120000000001</v>
      </c>
      <c r="F603">
        <f t="shared" si="18"/>
        <v>2.7736000000000205E-2</v>
      </c>
      <c r="G603">
        <f t="shared" si="19"/>
        <v>71.415305279220746</v>
      </c>
    </row>
    <row r="604" spans="2:7">
      <c r="B604" t="s">
        <v>2</v>
      </c>
      <c r="C604" s="2">
        <v>41201</v>
      </c>
      <c r="D604" t="s">
        <v>6</v>
      </c>
      <c r="E604">
        <v>1.7949759999999999</v>
      </c>
      <c r="F604">
        <f t="shared" si="18"/>
        <v>-5.4132999999999987E-2</v>
      </c>
      <c r="G604">
        <f t="shared" si="19"/>
        <v>71.296940006300446</v>
      </c>
    </row>
    <row r="605" spans="2:7">
      <c r="B605" t="s">
        <v>2</v>
      </c>
      <c r="C605" s="2">
        <v>41200</v>
      </c>
      <c r="D605" t="s">
        <v>6</v>
      </c>
      <c r="E605">
        <v>1.8491089999999999</v>
      </c>
      <c r="F605">
        <f t="shared" si="18"/>
        <v>6.8459999999999077E-3</v>
      </c>
      <c r="G605">
        <f t="shared" si="19"/>
        <v>70.274885444176221</v>
      </c>
    </row>
    <row r="606" spans="2:7">
      <c r="B606" t="s">
        <v>2</v>
      </c>
      <c r="C606" s="2">
        <v>41199</v>
      </c>
      <c r="D606" t="s">
        <v>6</v>
      </c>
      <c r="E606">
        <v>1.842263</v>
      </c>
      <c r="F606">
        <f t="shared" si="18"/>
        <v>8.5034999999999972E-2</v>
      </c>
      <c r="G606">
        <f t="shared" si="19"/>
        <v>70.579102771102654</v>
      </c>
    </row>
    <row r="607" spans="2:7">
      <c r="B607" t="s">
        <v>2</v>
      </c>
      <c r="C607" s="2">
        <v>41198</v>
      </c>
      <c r="D607" t="s">
        <v>6</v>
      </c>
      <c r="E607">
        <v>1.757228</v>
      </c>
      <c r="F607">
        <f t="shared" si="18"/>
        <v>4.0596000000000076E-2</v>
      </c>
      <c r="G607">
        <f t="shared" si="19"/>
        <v>68.762852289775068</v>
      </c>
    </row>
    <row r="608" spans="2:7">
      <c r="B608" t="s">
        <v>2</v>
      </c>
      <c r="C608" s="2">
        <v>41197</v>
      </c>
      <c r="D608" t="s">
        <v>6</v>
      </c>
      <c r="E608">
        <v>1.7166319999999999</v>
      </c>
      <c r="F608">
        <f t="shared" si="18"/>
        <v>3.7789999999999768E-3</v>
      </c>
      <c r="G608">
        <f t="shared" si="19"/>
        <v>69.079570755060359</v>
      </c>
    </row>
    <row r="609" spans="2:7">
      <c r="B609" t="s">
        <v>2</v>
      </c>
      <c r="C609" s="2">
        <v>41194</v>
      </c>
      <c r="D609" t="s">
        <v>6</v>
      </c>
      <c r="E609">
        <v>1.712853</v>
      </c>
      <c r="F609">
        <f t="shared" si="18"/>
        <v>-3.4689999999999444E-3</v>
      </c>
      <c r="G609">
        <f t="shared" si="19"/>
        <v>69.22624468835383</v>
      </c>
    </row>
    <row r="610" spans="2:7">
      <c r="B610" t="s">
        <v>2</v>
      </c>
      <c r="C610" s="2">
        <v>41193</v>
      </c>
      <c r="D610" t="s">
        <v>6</v>
      </c>
      <c r="E610">
        <v>1.7163219999999999</v>
      </c>
      <c r="F610">
        <f t="shared" si="18"/>
        <v>-3.0423000000000089E-2</v>
      </c>
      <c r="G610">
        <f t="shared" si="19"/>
        <v>69.48090608563065</v>
      </c>
    </row>
    <row r="611" spans="2:7">
      <c r="B611" t="s">
        <v>2</v>
      </c>
      <c r="C611" s="2">
        <v>41192</v>
      </c>
      <c r="D611" t="s">
        <v>6</v>
      </c>
      <c r="E611">
        <v>1.746745</v>
      </c>
      <c r="F611">
        <f t="shared" si="18"/>
        <v>-2.9520999999999908E-2</v>
      </c>
      <c r="G611">
        <f t="shared" si="19"/>
        <v>69.660423488527456</v>
      </c>
    </row>
    <row r="612" spans="2:7">
      <c r="B612" t="s">
        <v>2</v>
      </c>
      <c r="C612" s="2">
        <v>41191</v>
      </c>
      <c r="D612" t="s">
        <v>6</v>
      </c>
      <c r="E612">
        <v>1.7762659999999999</v>
      </c>
      <c r="F612">
        <f t="shared" si="18"/>
        <v>-1.7797000000000063E-2</v>
      </c>
      <c r="G612">
        <f t="shared" si="19"/>
        <v>69.48681369097109</v>
      </c>
    </row>
    <row r="613" spans="2:7">
      <c r="B613" t="s">
        <v>2</v>
      </c>
      <c r="C613" s="2">
        <v>41187</v>
      </c>
      <c r="D613" t="s">
        <v>6</v>
      </c>
      <c r="E613">
        <v>1.794063</v>
      </c>
      <c r="F613">
        <f t="shared" si="18"/>
        <v>5.6732999999999922E-2</v>
      </c>
      <c r="G613">
        <f t="shared" si="19"/>
        <v>69.509308804155836</v>
      </c>
    </row>
    <row r="614" spans="2:7">
      <c r="B614" t="s">
        <v>2</v>
      </c>
      <c r="C614" s="2">
        <v>41186</v>
      </c>
      <c r="D614" t="s">
        <v>6</v>
      </c>
      <c r="E614">
        <v>1.73733</v>
      </c>
      <c r="F614">
        <f t="shared" si="18"/>
        <v>5.3908000000000067E-2</v>
      </c>
      <c r="G614">
        <f t="shared" si="19"/>
        <v>68.856442930257217</v>
      </c>
    </row>
    <row r="615" spans="2:7">
      <c r="B615" t="s">
        <v>2</v>
      </c>
      <c r="C615" s="2">
        <v>41185</v>
      </c>
      <c r="D615" t="s">
        <v>6</v>
      </c>
      <c r="E615">
        <v>1.683422</v>
      </c>
      <c r="F615">
        <f t="shared" si="18"/>
        <v>-5.5359999999999854E-3</v>
      </c>
      <c r="G615">
        <f t="shared" si="19"/>
        <v>68.027591933170669</v>
      </c>
    </row>
    <row r="616" spans="2:7">
      <c r="B616" t="s">
        <v>2</v>
      </c>
      <c r="C616" s="2">
        <v>41184</v>
      </c>
      <c r="D616" t="s">
        <v>6</v>
      </c>
      <c r="E616">
        <v>1.688958</v>
      </c>
      <c r="F616">
        <f t="shared" si="18"/>
        <v>-6.1379999999999768E-3</v>
      </c>
      <c r="G616">
        <f t="shared" si="19"/>
        <v>68.153179702169737</v>
      </c>
    </row>
    <row r="617" spans="2:7">
      <c r="B617" t="s">
        <v>2</v>
      </c>
      <c r="C617" s="2">
        <v>41183</v>
      </c>
      <c r="D617" t="s">
        <v>6</v>
      </c>
      <c r="E617">
        <v>1.6950959999999999</v>
      </c>
      <c r="F617">
        <f t="shared" si="18"/>
        <v>-1.021099999999997E-2</v>
      </c>
      <c r="G617">
        <f t="shared" si="19"/>
        <v>68.674165751083891</v>
      </c>
    </row>
    <row r="618" spans="2:7">
      <c r="B618" t="s">
        <v>2</v>
      </c>
      <c r="C618" s="2">
        <v>41180</v>
      </c>
      <c r="D618" t="s">
        <v>6</v>
      </c>
      <c r="E618">
        <v>1.7053069999999999</v>
      </c>
      <c r="F618">
        <f t="shared" si="18"/>
        <v>1.2724999999999875E-2</v>
      </c>
      <c r="G618">
        <f t="shared" si="19"/>
        <v>69.457270855316395</v>
      </c>
    </row>
    <row r="619" spans="2:7">
      <c r="B619" t="s">
        <v>2</v>
      </c>
      <c r="C619" s="2">
        <v>41179</v>
      </c>
      <c r="D619" t="s">
        <v>6</v>
      </c>
      <c r="E619">
        <v>1.692582</v>
      </c>
      <c r="F619">
        <f t="shared" si="18"/>
        <v>2.3997000000000046E-2</v>
      </c>
      <c r="G619">
        <f t="shared" si="19"/>
        <v>69.570845997845467</v>
      </c>
    </row>
    <row r="620" spans="2:7">
      <c r="B620" t="s">
        <v>2</v>
      </c>
      <c r="C620" s="2">
        <v>41178</v>
      </c>
      <c r="D620" t="s">
        <v>6</v>
      </c>
      <c r="E620">
        <v>1.668585</v>
      </c>
      <c r="F620">
        <f t="shared" si="18"/>
        <v>-4.2599000000000053E-2</v>
      </c>
      <c r="G620">
        <f t="shared" si="19"/>
        <v>69.960173320632691</v>
      </c>
    </row>
    <row r="621" spans="2:7">
      <c r="B621" t="s">
        <v>2</v>
      </c>
      <c r="C621" s="2">
        <v>41177</v>
      </c>
      <c r="D621" t="s">
        <v>6</v>
      </c>
      <c r="E621">
        <v>1.711184</v>
      </c>
      <c r="F621">
        <f t="shared" si="18"/>
        <v>-2.7132999999999852E-2</v>
      </c>
      <c r="G621">
        <f t="shared" si="19"/>
        <v>70.386768604730079</v>
      </c>
    </row>
    <row r="622" spans="2:7">
      <c r="B622" t="s">
        <v>2</v>
      </c>
      <c r="C622" s="2">
        <v>41176</v>
      </c>
      <c r="D622" t="s">
        <v>6</v>
      </c>
      <c r="E622">
        <v>1.7383169999999999</v>
      </c>
      <c r="F622">
        <f t="shared" si="18"/>
        <v>-3.2685000000000075E-2</v>
      </c>
      <c r="G622">
        <f t="shared" si="19"/>
        <v>71.625793156078117</v>
      </c>
    </row>
    <row r="623" spans="2:7">
      <c r="B623" t="s">
        <v>2</v>
      </c>
      <c r="C623" s="2">
        <v>41173</v>
      </c>
      <c r="D623" t="s">
        <v>6</v>
      </c>
      <c r="E623">
        <v>1.771002</v>
      </c>
      <c r="F623">
        <f t="shared" si="18"/>
        <v>-1.1668999999999929E-2</v>
      </c>
      <c r="G623">
        <f t="shared" si="19"/>
        <v>71.752390332292052</v>
      </c>
    </row>
    <row r="624" spans="2:7">
      <c r="B624" t="s">
        <v>2</v>
      </c>
      <c r="C624" s="2">
        <v>41172</v>
      </c>
      <c r="D624" t="s">
        <v>6</v>
      </c>
      <c r="E624">
        <v>1.7826709999999999</v>
      </c>
      <c r="F624">
        <f t="shared" si="18"/>
        <v>-2.0719000000000154E-2</v>
      </c>
      <c r="G624">
        <f t="shared" si="19"/>
        <v>71.740748483965149</v>
      </c>
    </row>
    <row r="625" spans="2:7">
      <c r="B625" t="s">
        <v>2</v>
      </c>
      <c r="C625" s="2">
        <v>41171</v>
      </c>
      <c r="D625" t="s">
        <v>6</v>
      </c>
      <c r="E625">
        <v>1.80339</v>
      </c>
      <c r="F625">
        <f t="shared" si="18"/>
        <v>-4.2796000000000056E-2</v>
      </c>
      <c r="G625">
        <f t="shared" si="19"/>
        <v>71.685949643050606</v>
      </c>
    </row>
    <row r="626" spans="2:7">
      <c r="B626" t="s">
        <v>2</v>
      </c>
      <c r="C626" s="2">
        <v>41170</v>
      </c>
      <c r="D626" t="s">
        <v>6</v>
      </c>
      <c r="E626">
        <v>1.8461860000000001</v>
      </c>
      <c r="F626">
        <f t="shared" si="18"/>
        <v>-2.6154999999999928E-2</v>
      </c>
      <c r="G626">
        <f t="shared" si="19"/>
        <v>72.117636231492895</v>
      </c>
    </row>
    <row r="627" spans="2:7">
      <c r="B627" t="s">
        <v>2</v>
      </c>
      <c r="C627" s="2">
        <v>41169</v>
      </c>
      <c r="D627" t="s">
        <v>6</v>
      </c>
      <c r="E627">
        <v>1.872341</v>
      </c>
      <c r="F627">
        <f t="shared" si="18"/>
        <v>-2.5009000000000059E-2</v>
      </c>
      <c r="G627">
        <f t="shared" si="19"/>
        <v>72.155269070006042</v>
      </c>
    </row>
    <row r="628" spans="2:7">
      <c r="B628" t="s">
        <v>2</v>
      </c>
      <c r="C628" s="2">
        <v>41166</v>
      </c>
      <c r="D628" t="s">
        <v>6</v>
      </c>
      <c r="E628">
        <v>1.8973500000000001</v>
      </c>
      <c r="F628">
        <f t="shared" si="18"/>
        <v>8.3802000000000154E-2</v>
      </c>
      <c r="G628">
        <f t="shared" si="19"/>
        <v>72.0795067741916</v>
      </c>
    </row>
    <row r="629" spans="2:7">
      <c r="B629" t="s">
        <v>2</v>
      </c>
      <c r="C629" s="2">
        <v>41165</v>
      </c>
      <c r="D629" t="s">
        <v>6</v>
      </c>
      <c r="E629">
        <v>1.8135479999999999</v>
      </c>
      <c r="F629">
        <f t="shared" si="18"/>
        <v>-4.0549000000000168E-2</v>
      </c>
      <c r="G629">
        <f t="shared" si="19"/>
        <v>70.115260745052851</v>
      </c>
    </row>
    <row r="630" spans="2:7">
      <c r="B630" t="s">
        <v>2</v>
      </c>
      <c r="C630" s="2">
        <v>41164</v>
      </c>
      <c r="D630" t="s">
        <v>6</v>
      </c>
      <c r="E630">
        <v>1.8540970000000001</v>
      </c>
      <c r="F630">
        <f t="shared" si="18"/>
        <v>6.2442000000000109E-2</v>
      </c>
      <c r="G630">
        <f t="shared" si="19"/>
        <v>69.959643949889681</v>
      </c>
    </row>
    <row r="631" spans="2:7">
      <c r="B631" t="s">
        <v>2</v>
      </c>
      <c r="C631" s="2">
        <v>41163</v>
      </c>
      <c r="D631" t="s">
        <v>6</v>
      </c>
      <c r="E631">
        <v>1.791655</v>
      </c>
      <c r="F631">
        <f t="shared" si="18"/>
        <v>1.632100000000003E-2</v>
      </c>
      <c r="G631">
        <f t="shared" si="19"/>
        <v>68.82384444417184</v>
      </c>
    </row>
    <row r="632" spans="2:7">
      <c r="B632" t="s">
        <v>2</v>
      </c>
      <c r="C632" s="2">
        <v>41162</v>
      </c>
      <c r="D632" t="s">
        <v>6</v>
      </c>
      <c r="E632">
        <v>1.775334</v>
      </c>
      <c r="F632">
        <f t="shared" si="18"/>
        <v>9.2429999999998902E-3</v>
      </c>
      <c r="G632">
        <f t="shared" si="19"/>
        <v>68.978423703488147</v>
      </c>
    </row>
    <row r="633" spans="2:7">
      <c r="B633" t="s">
        <v>2</v>
      </c>
      <c r="C633" s="2">
        <v>41159</v>
      </c>
      <c r="D633" t="s">
        <v>6</v>
      </c>
      <c r="E633">
        <v>1.7660910000000001</v>
      </c>
      <c r="F633">
        <f t="shared" si="18"/>
        <v>-1.0715999999999948E-2</v>
      </c>
      <c r="G633">
        <f t="shared" si="19"/>
        <v>68.953387522312909</v>
      </c>
    </row>
    <row r="634" spans="2:7">
      <c r="B634" t="s">
        <v>2</v>
      </c>
      <c r="C634" s="2">
        <v>41158</v>
      </c>
      <c r="D634" t="s">
        <v>6</v>
      </c>
      <c r="E634">
        <v>1.776807</v>
      </c>
      <c r="F634">
        <f t="shared" si="18"/>
        <v>8.8675000000000059E-2</v>
      </c>
      <c r="G634">
        <f t="shared" si="19"/>
        <v>70.242830500965908</v>
      </c>
    </row>
    <row r="635" spans="2:7">
      <c r="B635" t="s">
        <v>2</v>
      </c>
      <c r="C635" s="2">
        <v>41157</v>
      </c>
      <c r="D635" t="s">
        <v>6</v>
      </c>
      <c r="E635">
        <v>1.688132</v>
      </c>
      <c r="F635">
        <f t="shared" si="18"/>
        <v>6.1100000000000598E-3</v>
      </c>
      <c r="G635">
        <f t="shared" si="19"/>
        <v>68.215839869518661</v>
      </c>
    </row>
    <row r="636" spans="2:7">
      <c r="B636" t="s">
        <v>2</v>
      </c>
      <c r="C636" s="2">
        <v>41156</v>
      </c>
      <c r="D636" t="s">
        <v>6</v>
      </c>
      <c r="E636">
        <v>1.6820219999999999</v>
      </c>
      <c r="F636">
        <f t="shared" si="18"/>
        <v>1.0802999999999896E-2</v>
      </c>
      <c r="G636">
        <f t="shared" si="19"/>
        <v>68.605327385216711</v>
      </c>
    </row>
    <row r="637" spans="2:7">
      <c r="B637" t="s">
        <v>2</v>
      </c>
      <c r="C637" s="2">
        <v>41152</v>
      </c>
      <c r="D637" t="s">
        <v>6</v>
      </c>
      <c r="E637">
        <v>1.671219</v>
      </c>
      <c r="F637">
        <f t="shared" si="18"/>
        <v>-4.9909999999999899E-2</v>
      </c>
      <c r="G637">
        <f t="shared" si="19"/>
        <v>68.552468601081458</v>
      </c>
    </row>
    <row r="638" spans="2:7">
      <c r="B638" t="s">
        <v>2</v>
      </c>
      <c r="C638" s="2">
        <v>41151</v>
      </c>
      <c r="D638" t="s">
        <v>6</v>
      </c>
      <c r="E638">
        <v>1.7211289999999999</v>
      </c>
      <c r="F638">
        <f t="shared" si="18"/>
        <v>-3.1894000000000089E-2</v>
      </c>
      <c r="G638">
        <f t="shared" si="19"/>
        <v>67.930465780331346</v>
      </c>
    </row>
    <row r="639" spans="2:7">
      <c r="B639" t="s">
        <v>2</v>
      </c>
      <c r="C639" s="2">
        <v>41150</v>
      </c>
      <c r="D639" t="s">
        <v>6</v>
      </c>
      <c r="E639">
        <v>1.753023</v>
      </c>
      <c r="F639">
        <f t="shared" si="18"/>
        <v>3.3733999999999931E-2</v>
      </c>
      <c r="G639">
        <f t="shared" si="19"/>
        <v>69.030042056253549</v>
      </c>
    </row>
    <row r="640" spans="2:7">
      <c r="B640" t="s">
        <v>2</v>
      </c>
      <c r="C640" s="2">
        <v>41149</v>
      </c>
      <c r="D640" t="s">
        <v>6</v>
      </c>
      <c r="E640">
        <v>1.7192890000000001</v>
      </c>
      <c r="F640">
        <f t="shared" si="18"/>
        <v>-2.6438999999999879E-2</v>
      </c>
      <c r="G640">
        <f t="shared" si="19"/>
        <v>68.774335419449912</v>
      </c>
    </row>
    <row r="641" spans="2:7">
      <c r="B641" t="s">
        <v>2</v>
      </c>
      <c r="C641" s="2">
        <v>41148</v>
      </c>
      <c r="D641" t="s">
        <v>6</v>
      </c>
      <c r="E641">
        <v>1.7457279999999999</v>
      </c>
      <c r="F641">
        <f t="shared" si="18"/>
        <v>-3.1870999999999983E-2</v>
      </c>
      <c r="G641">
        <f t="shared" si="19"/>
        <v>69.602653551369343</v>
      </c>
    </row>
    <row r="642" spans="2:7">
      <c r="B642" t="s">
        <v>2</v>
      </c>
      <c r="C642" s="2">
        <v>41145</v>
      </c>
      <c r="D642" t="s">
        <v>6</v>
      </c>
      <c r="E642">
        <v>1.7775989999999999</v>
      </c>
      <c r="F642">
        <f t="shared" si="18"/>
        <v>1.2421999999999933E-2</v>
      </c>
      <c r="G642">
        <f t="shared" si="19"/>
        <v>70.845205230800261</v>
      </c>
    </row>
    <row r="643" spans="2:7">
      <c r="B643" t="s">
        <v>2</v>
      </c>
      <c r="C643" s="2">
        <v>41144</v>
      </c>
      <c r="D643" t="s">
        <v>6</v>
      </c>
      <c r="E643">
        <v>1.765177</v>
      </c>
      <c r="F643">
        <f t="shared" ref="F643:F706" si="20">E643-E644</f>
        <v>-5.5657999999999985E-2</v>
      </c>
      <c r="G643">
        <f t="shared" ref="G643:G706" si="21">STDEV(F643:F702)*SQRT(250)*100</f>
        <v>71.164625631194795</v>
      </c>
    </row>
    <row r="644" spans="2:7">
      <c r="B644" t="s">
        <v>2</v>
      </c>
      <c r="C644" s="2">
        <v>41143</v>
      </c>
      <c r="D644" t="s">
        <v>6</v>
      </c>
      <c r="E644">
        <v>1.820835</v>
      </c>
      <c r="F644">
        <f t="shared" si="20"/>
        <v>-8.7031999999999998E-2</v>
      </c>
      <c r="G644">
        <f t="shared" si="21"/>
        <v>73.027771741574782</v>
      </c>
    </row>
    <row r="645" spans="2:7">
      <c r="B645" t="s">
        <v>2</v>
      </c>
      <c r="C645" s="2">
        <v>41142</v>
      </c>
      <c r="D645" t="s">
        <v>6</v>
      </c>
      <c r="E645">
        <v>1.907867</v>
      </c>
      <c r="F645">
        <f t="shared" si="20"/>
        <v>-1.036999999999999E-2</v>
      </c>
      <c r="G645">
        <f t="shared" si="21"/>
        <v>70.839494061543661</v>
      </c>
    </row>
    <row r="646" spans="2:7">
      <c r="B646" t="s">
        <v>2</v>
      </c>
      <c r="C646" s="2">
        <v>41141</v>
      </c>
      <c r="D646" t="s">
        <v>6</v>
      </c>
      <c r="E646">
        <v>1.918237</v>
      </c>
      <c r="F646">
        <f t="shared" si="20"/>
        <v>2.0519999999999428E-3</v>
      </c>
      <c r="G646">
        <f t="shared" si="21"/>
        <v>70.821980472107143</v>
      </c>
    </row>
    <row r="647" spans="2:7">
      <c r="B647" t="s">
        <v>2</v>
      </c>
      <c r="C647" s="2">
        <v>41138</v>
      </c>
      <c r="D647" t="s">
        <v>6</v>
      </c>
      <c r="E647">
        <v>1.916185</v>
      </c>
      <c r="F647">
        <f t="shared" si="20"/>
        <v>-3.3727000000000062E-2</v>
      </c>
      <c r="G647">
        <f t="shared" si="21"/>
        <v>71.135385601388222</v>
      </c>
    </row>
    <row r="648" spans="2:7">
      <c r="B648" t="s">
        <v>2</v>
      </c>
      <c r="C648" s="2">
        <v>41137</v>
      </c>
      <c r="D648" t="s">
        <v>6</v>
      </c>
      <c r="E648">
        <v>1.9499120000000001</v>
      </c>
      <c r="F648">
        <f t="shared" si="20"/>
        <v>3.2522000000000162E-2</v>
      </c>
      <c r="G648">
        <f t="shared" si="21"/>
        <v>71.738809115952009</v>
      </c>
    </row>
    <row r="649" spans="2:7">
      <c r="B649" t="s">
        <v>2</v>
      </c>
      <c r="C649" s="2">
        <v>41136</v>
      </c>
      <c r="D649" t="s">
        <v>6</v>
      </c>
      <c r="E649">
        <v>1.9173899999999999</v>
      </c>
      <c r="F649">
        <f t="shared" si="20"/>
        <v>9.4914999999999861E-2</v>
      </c>
      <c r="G649">
        <f t="shared" si="21"/>
        <v>72.616393212030914</v>
      </c>
    </row>
    <row r="650" spans="2:7">
      <c r="B650" t="s">
        <v>2</v>
      </c>
      <c r="C650" s="2">
        <v>41135</v>
      </c>
      <c r="D650" t="s">
        <v>6</v>
      </c>
      <c r="E650">
        <v>1.8224750000000001</v>
      </c>
      <c r="F650">
        <f t="shared" si="20"/>
        <v>6.4062999999999981E-2</v>
      </c>
      <c r="G650">
        <f t="shared" si="21"/>
        <v>70.215899615069588</v>
      </c>
    </row>
    <row r="651" spans="2:7">
      <c r="B651" t="s">
        <v>2</v>
      </c>
      <c r="C651" s="2">
        <v>41134</v>
      </c>
      <c r="D651" t="s">
        <v>6</v>
      </c>
      <c r="E651">
        <v>1.7584120000000001</v>
      </c>
      <c r="F651">
        <f t="shared" si="20"/>
        <v>4.5170000000001043E-3</v>
      </c>
      <c r="G651">
        <f t="shared" si="21"/>
        <v>68.942407649223782</v>
      </c>
    </row>
    <row r="652" spans="2:7">
      <c r="B652" t="s">
        <v>2</v>
      </c>
      <c r="C652" s="2">
        <v>41131</v>
      </c>
      <c r="D652" t="s">
        <v>6</v>
      </c>
      <c r="E652">
        <v>1.753895</v>
      </c>
      <c r="F652">
        <f t="shared" si="20"/>
        <v>-4.0505000000000013E-2</v>
      </c>
      <c r="G652">
        <f t="shared" si="21"/>
        <v>70.285666027802208</v>
      </c>
    </row>
    <row r="653" spans="2:7">
      <c r="B653" t="s">
        <v>2</v>
      </c>
      <c r="C653" s="2">
        <v>41130</v>
      </c>
      <c r="D653" t="s">
        <v>6</v>
      </c>
      <c r="E653">
        <v>1.7944</v>
      </c>
      <c r="F653">
        <f t="shared" si="20"/>
        <v>1.6151999999999944E-2</v>
      </c>
      <c r="G653">
        <f t="shared" si="21"/>
        <v>70.177772836335862</v>
      </c>
    </row>
    <row r="654" spans="2:7">
      <c r="B654" t="s">
        <v>2</v>
      </c>
      <c r="C654" s="2">
        <v>41129</v>
      </c>
      <c r="D654" t="s">
        <v>6</v>
      </c>
      <c r="E654">
        <v>1.7782480000000001</v>
      </c>
      <c r="F654">
        <f t="shared" si="20"/>
        <v>1.2218000000000062E-2</v>
      </c>
      <c r="G654">
        <f t="shared" si="21"/>
        <v>70.10404474989943</v>
      </c>
    </row>
    <row r="655" spans="2:7">
      <c r="B655" t="s">
        <v>2</v>
      </c>
      <c r="C655" s="2">
        <v>41128</v>
      </c>
      <c r="D655" t="s">
        <v>6</v>
      </c>
      <c r="E655">
        <v>1.76603</v>
      </c>
      <c r="F655">
        <f t="shared" si="20"/>
        <v>6.8683999999999967E-2</v>
      </c>
      <c r="G655">
        <f t="shared" si="21"/>
        <v>70.467390786458168</v>
      </c>
    </row>
    <row r="656" spans="2:7">
      <c r="B656" t="s">
        <v>2</v>
      </c>
      <c r="C656" s="2">
        <v>41127</v>
      </c>
      <c r="D656" t="s">
        <v>6</v>
      </c>
      <c r="E656">
        <v>1.697346</v>
      </c>
      <c r="F656">
        <f t="shared" si="20"/>
        <v>-2.4531999999999998E-2</v>
      </c>
      <c r="G656">
        <f t="shared" si="21"/>
        <v>69.07101214569326</v>
      </c>
    </row>
    <row r="657" spans="2:7">
      <c r="B657" t="s">
        <v>2</v>
      </c>
      <c r="C657" s="2">
        <v>41124</v>
      </c>
      <c r="D657" t="s">
        <v>6</v>
      </c>
      <c r="E657">
        <v>1.721878</v>
      </c>
      <c r="F657">
        <f t="shared" si="20"/>
        <v>9.2341999999999924E-2</v>
      </c>
      <c r="G657">
        <f t="shared" si="21"/>
        <v>69.163862317216541</v>
      </c>
    </row>
    <row r="658" spans="2:7">
      <c r="B658" t="s">
        <v>2</v>
      </c>
      <c r="C658" s="2">
        <v>41123</v>
      </c>
      <c r="D658" t="s">
        <v>6</v>
      </c>
      <c r="E658">
        <v>1.6295360000000001</v>
      </c>
      <c r="F658">
        <f t="shared" si="20"/>
        <v>-4.0942999999999952E-2</v>
      </c>
      <c r="G658">
        <f t="shared" si="21"/>
        <v>66.233566890141276</v>
      </c>
    </row>
    <row r="659" spans="2:7">
      <c r="B659" t="s">
        <v>2</v>
      </c>
      <c r="C659" s="2">
        <v>41122</v>
      </c>
      <c r="D659" t="s">
        <v>6</v>
      </c>
      <c r="E659">
        <v>1.670479</v>
      </c>
      <c r="F659">
        <f t="shared" si="20"/>
        <v>5.9306000000000081E-2</v>
      </c>
      <c r="G659">
        <f t="shared" si="21"/>
        <v>65.973765082624013</v>
      </c>
    </row>
    <row r="660" spans="2:7">
      <c r="B660" t="s">
        <v>2</v>
      </c>
      <c r="C660" s="2">
        <v>41121</v>
      </c>
      <c r="D660" t="s">
        <v>6</v>
      </c>
      <c r="E660">
        <v>1.611173</v>
      </c>
      <c r="F660">
        <f t="shared" si="20"/>
        <v>-3.4330000000000194E-3</v>
      </c>
      <c r="G660">
        <f t="shared" si="21"/>
        <v>64.604286239070419</v>
      </c>
    </row>
    <row r="661" spans="2:7">
      <c r="B661" t="s">
        <v>2</v>
      </c>
      <c r="C661" s="2">
        <v>41120</v>
      </c>
      <c r="D661" t="s">
        <v>6</v>
      </c>
      <c r="E661">
        <v>1.614606</v>
      </c>
      <c r="F661">
        <f t="shared" si="20"/>
        <v>-6.1725999999999948E-2</v>
      </c>
      <c r="G661">
        <f t="shared" si="21"/>
        <v>64.841899591723362</v>
      </c>
    </row>
    <row r="662" spans="2:7">
      <c r="B662" t="s">
        <v>2</v>
      </c>
      <c r="C662" s="2">
        <v>41117</v>
      </c>
      <c r="D662" t="s">
        <v>6</v>
      </c>
      <c r="E662">
        <v>1.6763319999999999</v>
      </c>
      <c r="F662">
        <f t="shared" si="20"/>
        <v>0.11750399999999983</v>
      </c>
      <c r="G662">
        <f t="shared" si="21"/>
        <v>63.854911376276881</v>
      </c>
    </row>
    <row r="663" spans="2:7">
      <c r="B663" t="s">
        <v>2</v>
      </c>
      <c r="C663" s="2">
        <v>41116</v>
      </c>
      <c r="D663" t="s">
        <v>6</v>
      </c>
      <c r="E663">
        <v>1.5588280000000001</v>
      </c>
      <c r="F663">
        <f t="shared" si="20"/>
        <v>1.6566999999999998E-2</v>
      </c>
      <c r="G663">
        <f t="shared" si="21"/>
        <v>58.657313376895623</v>
      </c>
    </row>
    <row r="664" spans="2:7">
      <c r="B664" t="s">
        <v>2</v>
      </c>
      <c r="C664" s="2">
        <v>41115</v>
      </c>
      <c r="D664" t="s">
        <v>6</v>
      </c>
      <c r="E664">
        <v>1.5422610000000001</v>
      </c>
      <c r="F664">
        <f t="shared" si="20"/>
        <v>-1.7159999999998288E-3</v>
      </c>
      <c r="G664">
        <f t="shared" si="21"/>
        <v>59.264617062001257</v>
      </c>
    </row>
    <row r="665" spans="2:7">
      <c r="B665" t="s">
        <v>2</v>
      </c>
      <c r="C665" s="2">
        <v>41114</v>
      </c>
      <c r="D665" t="s">
        <v>6</v>
      </c>
      <c r="E665">
        <v>1.5439769999999999</v>
      </c>
      <c r="F665">
        <f t="shared" si="20"/>
        <v>-2.7063000000000059E-2</v>
      </c>
      <c r="G665">
        <f t="shared" si="21"/>
        <v>59.290483023771124</v>
      </c>
    </row>
    <row r="666" spans="2:7">
      <c r="B666" t="s">
        <v>2</v>
      </c>
      <c r="C666" s="2">
        <v>41113</v>
      </c>
      <c r="D666" t="s">
        <v>6</v>
      </c>
      <c r="E666">
        <v>1.57104</v>
      </c>
      <c r="F666">
        <f t="shared" si="20"/>
        <v>-2.1949999999999914E-2</v>
      </c>
      <c r="G666">
        <f t="shared" si="21"/>
        <v>59.297360218990171</v>
      </c>
    </row>
    <row r="667" spans="2:7">
      <c r="B667" t="s">
        <v>2</v>
      </c>
      <c r="C667" s="2">
        <v>41110</v>
      </c>
      <c r="D667" t="s">
        <v>6</v>
      </c>
      <c r="E667">
        <v>1.5929899999999999</v>
      </c>
      <c r="F667">
        <f t="shared" si="20"/>
        <v>-4.8204000000000136E-2</v>
      </c>
      <c r="G667">
        <f t="shared" si="21"/>
        <v>59.264656877953684</v>
      </c>
    </row>
    <row r="668" spans="2:7">
      <c r="B668" t="s">
        <v>2</v>
      </c>
      <c r="C668" s="2">
        <v>41109</v>
      </c>
      <c r="D668" t="s">
        <v>6</v>
      </c>
      <c r="E668">
        <v>1.641194</v>
      </c>
      <c r="F668">
        <f t="shared" si="20"/>
        <v>2.3428000000000004E-2</v>
      </c>
      <c r="G668">
        <f t="shared" si="21"/>
        <v>58.923935929043779</v>
      </c>
    </row>
    <row r="669" spans="2:7">
      <c r="B669" t="s">
        <v>2</v>
      </c>
      <c r="C669" s="2">
        <v>41108</v>
      </c>
      <c r="D669" t="s">
        <v>6</v>
      </c>
      <c r="E669">
        <v>1.617766</v>
      </c>
      <c r="F669">
        <f t="shared" si="20"/>
        <v>-2.7895999999999921E-2</v>
      </c>
      <c r="G669">
        <f t="shared" si="21"/>
        <v>59.16874492845777</v>
      </c>
    </row>
    <row r="670" spans="2:7">
      <c r="B670" t="s">
        <v>2</v>
      </c>
      <c r="C670" s="2">
        <v>41107</v>
      </c>
      <c r="D670" t="s">
        <v>6</v>
      </c>
      <c r="E670">
        <v>1.645662</v>
      </c>
      <c r="F670">
        <f t="shared" si="20"/>
        <v>4.2113999999999985E-2</v>
      </c>
      <c r="G670">
        <f t="shared" si="21"/>
        <v>59.112288811061475</v>
      </c>
    </row>
    <row r="671" spans="2:7">
      <c r="B671" t="s">
        <v>2</v>
      </c>
      <c r="C671" s="2">
        <v>41106</v>
      </c>
      <c r="D671" t="s">
        <v>6</v>
      </c>
      <c r="E671">
        <v>1.603548</v>
      </c>
      <c r="F671">
        <f t="shared" si="20"/>
        <v>-1.8823999999999952E-2</v>
      </c>
      <c r="G671">
        <f t="shared" si="21"/>
        <v>58.385276862814109</v>
      </c>
    </row>
    <row r="672" spans="2:7">
      <c r="B672" t="s">
        <v>2</v>
      </c>
      <c r="C672" s="2">
        <v>41103</v>
      </c>
      <c r="D672" t="s">
        <v>6</v>
      </c>
      <c r="E672">
        <v>1.6223719999999999</v>
      </c>
      <c r="F672">
        <f t="shared" si="20"/>
        <v>2.5355999999999934E-2</v>
      </c>
      <c r="G672">
        <f t="shared" si="21"/>
        <v>58.504809184233849</v>
      </c>
    </row>
    <row r="673" spans="2:7">
      <c r="B673" t="s">
        <v>2</v>
      </c>
      <c r="C673" s="2">
        <v>41102</v>
      </c>
      <c r="D673" t="s">
        <v>6</v>
      </c>
      <c r="E673">
        <v>1.597016</v>
      </c>
      <c r="F673">
        <f t="shared" si="20"/>
        <v>-2.5665000000000049E-2</v>
      </c>
      <c r="G673">
        <f t="shared" si="21"/>
        <v>58.141989508899371</v>
      </c>
    </row>
    <row r="674" spans="2:7">
      <c r="B674" t="s">
        <v>2</v>
      </c>
      <c r="C674" s="2">
        <v>41101</v>
      </c>
      <c r="D674" t="s">
        <v>6</v>
      </c>
      <c r="E674">
        <v>1.622681</v>
      </c>
      <c r="F674">
        <f t="shared" si="20"/>
        <v>-7.5250000000000039E-3</v>
      </c>
      <c r="G674">
        <f t="shared" si="21"/>
        <v>58.642129990054748</v>
      </c>
    </row>
    <row r="675" spans="2:7">
      <c r="B675" t="s">
        <v>2</v>
      </c>
      <c r="C675" s="2">
        <v>41100</v>
      </c>
      <c r="D675" t="s">
        <v>6</v>
      </c>
      <c r="E675">
        <v>1.630206</v>
      </c>
      <c r="F675">
        <f t="shared" si="20"/>
        <v>-2.0291000000000059E-2</v>
      </c>
      <c r="G675">
        <f t="shared" si="21"/>
        <v>58.727419497188251</v>
      </c>
    </row>
    <row r="676" spans="2:7">
      <c r="B676" t="s">
        <v>2</v>
      </c>
      <c r="C676" s="2">
        <v>41099</v>
      </c>
      <c r="D676" t="s">
        <v>6</v>
      </c>
      <c r="E676">
        <v>1.6504970000000001</v>
      </c>
      <c r="F676">
        <f t="shared" si="20"/>
        <v>-4.1176999999999797E-2</v>
      </c>
      <c r="G676">
        <f t="shared" si="21"/>
        <v>59.209595775191545</v>
      </c>
    </row>
    <row r="677" spans="2:7">
      <c r="B677" t="s">
        <v>2</v>
      </c>
      <c r="C677" s="2">
        <v>41096</v>
      </c>
      <c r="D677" t="s">
        <v>6</v>
      </c>
      <c r="E677">
        <v>1.6916739999999999</v>
      </c>
      <c r="F677">
        <f t="shared" si="20"/>
        <v>-5.1780000000000159E-2</v>
      </c>
      <c r="G677">
        <f t="shared" si="21"/>
        <v>59.073940317064</v>
      </c>
    </row>
    <row r="678" spans="2:7">
      <c r="B678" t="s">
        <v>2</v>
      </c>
      <c r="C678" s="2">
        <v>41095</v>
      </c>
      <c r="D678" t="s">
        <v>6</v>
      </c>
      <c r="E678">
        <v>1.7434540000000001</v>
      </c>
      <c r="F678">
        <f t="shared" si="20"/>
        <v>-2.4602000000000013E-2</v>
      </c>
      <c r="G678">
        <f t="shared" si="21"/>
        <v>58.923522924661484</v>
      </c>
    </row>
    <row r="679" spans="2:7">
      <c r="B679" t="s">
        <v>2</v>
      </c>
      <c r="C679" s="2">
        <v>41093</v>
      </c>
      <c r="D679" t="s">
        <v>6</v>
      </c>
      <c r="E679">
        <v>1.7680560000000001</v>
      </c>
      <c r="F679">
        <f t="shared" si="20"/>
        <v>4.2623999999999995E-2</v>
      </c>
      <c r="G679">
        <f t="shared" si="21"/>
        <v>58.868214014926615</v>
      </c>
    </row>
    <row r="680" spans="2:7">
      <c r="B680" t="s">
        <v>2</v>
      </c>
      <c r="C680" s="2">
        <v>41092</v>
      </c>
      <c r="D680" t="s">
        <v>6</v>
      </c>
      <c r="E680">
        <v>1.7254320000000001</v>
      </c>
      <c r="F680">
        <f t="shared" si="20"/>
        <v>-5.7083999999999913E-2</v>
      </c>
      <c r="G680">
        <f t="shared" si="21"/>
        <v>58.134195083511464</v>
      </c>
    </row>
    <row r="681" spans="2:7">
      <c r="B681" t="s">
        <v>2</v>
      </c>
      <c r="C681" s="2">
        <v>41089</v>
      </c>
      <c r="D681" t="s">
        <v>6</v>
      </c>
      <c r="E681">
        <v>1.782516</v>
      </c>
      <c r="F681">
        <f t="shared" si="20"/>
        <v>6.9387000000000087E-2</v>
      </c>
      <c r="G681">
        <f t="shared" si="21"/>
        <v>62.699924987852604</v>
      </c>
    </row>
    <row r="682" spans="2:7">
      <c r="B682" t="s">
        <v>2</v>
      </c>
      <c r="C682" s="2">
        <v>41088</v>
      </c>
      <c r="D682" t="s">
        <v>6</v>
      </c>
      <c r="E682">
        <v>1.7131289999999999</v>
      </c>
      <c r="F682">
        <f t="shared" si="20"/>
        <v>-3.8630000000000164E-2</v>
      </c>
      <c r="G682">
        <f t="shared" si="21"/>
        <v>61.467611515406219</v>
      </c>
    </row>
    <row r="683" spans="2:7">
      <c r="B683" t="s">
        <v>2</v>
      </c>
      <c r="C683" s="2">
        <v>41087</v>
      </c>
      <c r="D683" t="s">
        <v>6</v>
      </c>
      <c r="E683">
        <v>1.7517590000000001</v>
      </c>
      <c r="F683">
        <f t="shared" si="20"/>
        <v>-9.8959999999999049E-3</v>
      </c>
      <c r="G683">
        <f t="shared" si="21"/>
        <v>61.48697456556134</v>
      </c>
    </row>
    <row r="684" spans="2:7">
      <c r="B684" t="s">
        <v>2</v>
      </c>
      <c r="C684" s="2">
        <v>41086</v>
      </c>
      <c r="D684" t="s">
        <v>6</v>
      </c>
      <c r="E684">
        <v>1.761655</v>
      </c>
      <c r="F684">
        <f t="shared" si="20"/>
        <v>1.7152999999999974E-2</v>
      </c>
      <c r="G684">
        <f t="shared" si="21"/>
        <v>65.238146737836033</v>
      </c>
    </row>
    <row r="685" spans="2:7">
      <c r="B685" t="s">
        <v>2</v>
      </c>
      <c r="C685" s="2">
        <v>41085</v>
      </c>
      <c r="D685" t="s">
        <v>6</v>
      </c>
      <c r="E685">
        <v>1.744502</v>
      </c>
      <c r="F685">
        <f t="shared" si="20"/>
        <v>-5.7199E-2</v>
      </c>
      <c r="G685">
        <f t="shared" si="21"/>
        <v>65.021150679322275</v>
      </c>
    </row>
    <row r="686" spans="2:7">
      <c r="B686" t="s">
        <v>2</v>
      </c>
      <c r="C686" s="2">
        <v>41082</v>
      </c>
      <c r="D686" t="s">
        <v>6</v>
      </c>
      <c r="E686">
        <v>1.801701</v>
      </c>
      <c r="F686">
        <f t="shared" si="20"/>
        <v>3.0836000000000086E-2</v>
      </c>
      <c r="G686">
        <f t="shared" si="21"/>
        <v>65.959969575432225</v>
      </c>
    </row>
    <row r="687" spans="2:7">
      <c r="B687" t="s">
        <v>2</v>
      </c>
      <c r="C687" s="2">
        <v>41081</v>
      </c>
      <c r="D687" t="s">
        <v>6</v>
      </c>
      <c r="E687">
        <v>1.7708649999999999</v>
      </c>
      <c r="F687">
        <f t="shared" si="20"/>
        <v>-1.9651000000000085E-2</v>
      </c>
      <c r="G687">
        <f t="shared" si="21"/>
        <v>65.695128531291672</v>
      </c>
    </row>
    <row r="688" spans="2:7">
      <c r="B688" t="s">
        <v>2</v>
      </c>
      <c r="C688" s="2">
        <v>41080</v>
      </c>
      <c r="D688" t="s">
        <v>6</v>
      </c>
      <c r="E688">
        <v>1.790516</v>
      </c>
      <c r="F688">
        <f t="shared" si="20"/>
        <v>1.6332999999999931E-2</v>
      </c>
      <c r="G688">
        <f t="shared" si="21"/>
        <v>65.779399823268804</v>
      </c>
    </row>
    <row r="689" spans="2:7">
      <c r="B689" t="s">
        <v>2</v>
      </c>
      <c r="C689" s="2">
        <v>41079</v>
      </c>
      <c r="D689" t="s">
        <v>6</v>
      </c>
      <c r="E689">
        <v>1.7741830000000001</v>
      </c>
      <c r="F689">
        <f t="shared" si="20"/>
        <v>3.646499999999997E-2</v>
      </c>
      <c r="G689">
        <f t="shared" si="21"/>
        <v>66.848419577555802</v>
      </c>
    </row>
    <row r="690" spans="2:7">
      <c r="B690" t="s">
        <v>2</v>
      </c>
      <c r="C690" s="2">
        <v>41078</v>
      </c>
      <c r="D690" t="s">
        <v>6</v>
      </c>
      <c r="E690">
        <v>1.7377180000000001</v>
      </c>
      <c r="F690">
        <f t="shared" si="20"/>
        <v>2.5100000000000122E-3</v>
      </c>
      <c r="G690">
        <f t="shared" si="21"/>
        <v>66.285817411933721</v>
      </c>
    </row>
    <row r="691" spans="2:7">
      <c r="B691" t="s">
        <v>2</v>
      </c>
      <c r="C691" s="2">
        <v>41075</v>
      </c>
      <c r="D691" t="s">
        <v>6</v>
      </c>
      <c r="E691">
        <v>1.7352080000000001</v>
      </c>
      <c r="F691">
        <f t="shared" si="20"/>
        <v>-2.6812999999999976E-2</v>
      </c>
      <c r="G691">
        <f t="shared" si="21"/>
        <v>66.472114891289252</v>
      </c>
    </row>
    <row r="692" spans="2:7">
      <c r="B692" t="s">
        <v>2</v>
      </c>
      <c r="C692" s="2">
        <v>41074</v>
      </c>
      <c r="D692" t="s">
        <v>6</v>
      </c>
      <c r="E692">
        <v>1.7620210000000001</v>
      </c>
      <c r="F692">
        <f t="shared" si="20"/>
        <v>1.2020000000001474E-3</v>
      </c>
      <c r="G692">
        <f t="shared" si="21"/>
        <v>66.432504457659462</v>
      </c>
    </row>
    <row r="693" spans="2:7">
      <c r="B693" t="s">
        <v>2</v>
      </c>
      <c r="C693" s="2">
        <v>41073</v>
      </c>
      <c r="D693" t="s">
        <v>6</v>
      </c>
      <c r="E693">
        <v>1.7608189999999999</v>
      </c>
      <c r="F693">
        <f t="shared" si="20"/>
        <v>-6.6275000000000084E-2</v>
      </c>
      <c r="G693">
        <f t="shared" si="21"/>
        <v>68.233047374809232</v>
      </c>
    </row>
    <row r="694" spans="2:7">
      <c r="B694" t="s">
        <v>2</v>
      </c>
      <c r="C694" s="2">
        <v>41072</v>
      </c>
      <c r="D694" t="s">
        <v>6</v>
      </c>
      <c r="E694">
        <v>1.827094</v>
      </c>
      <c r="F694">
        <f t="shared" si="20"/>
        <v>3.7025000000000086E-2</v>
      </c>
      <c r="G694">
        <f t="shared" si="21"/>
        <v>67.353989455136158</v>
      </c>
    </row>
    <row r="695" spans="2:7">
      <c r="B695" t="s">
        <v>2</v>
      </c>
      <c r="C695" s="2">
        <v>41071</v>
      </c>
      <c r="D695" t="s">
        <v>6</v>
      </c>
      <c r="E695">
        <v>1.7900689999999999</v>
      </c>
      <c r="F695">
        <f t="shared" si="20"/>
        <v>-3.8465000000000193E-2</v>
      </c>
      <c r="G695">
        <f t="shared" si="21"/>
        <v>70.180551300216038</v>
      </c>
    </row>
    <row r="696" spans="2:7">
      <c r="B696" t="s">
        <v>2</v>
      </c>
      <c r="C696" s="2">
        <v>41068</v>
      </c>
      <c r="D696" t="s">
        <v>6</v>
      </c>
      <c r="E696">
        <v>1.8285340000000001</v>
      </c>
      <c r="F696">
        <f t="shared" si="20"/>
        <v>-5.3909999999999236E-3</v>
      </c>
      <c r="G696">
        <f t="shared" si="21"/>
        <v>70.068363961874994</v>
      </c>
    </row>
    <row r="697" spans="2:7">
      <c r="B697" t="s">
        <v>2</v>
      </c>
      <c r="C697" s="2">
        <v>41067</v>
      </c>
      <c r="D697" t="s">
        <v>6</v>
      </c>
      <c r="E697">
        <v>1.833925</v>
      </c>
      <c r="F697">
        <f t="shared" si="20"/>
        <v>1.4410000000000034E-2</v>
      </c>
      <c r="G697">
        <f t="shared" si="21"/>
        <v>70.209256028460459</v>
      </c>
    </row>
    <row r="698" spans="2:7">
      <c r="B698" t="s">
        <v>2</v>
      </c>
      <c r="C698" s="2">
        <v>41066</v>
      </c>
      <c r="D698" t="s">
        <v>6</v>
      </c>
      <c r="E698">
        <v>1.819515</v>
      </c>
      <c r="F698">
        <f t="shared" si="20"/>
        <v>6.6408000000000023E-2</v>
      </c>
      <c r="G698">
        <f t="shared" si="21"/>
        <v>77.131003271797127</v>
      </c>
    </row>
    <row r="699" spans="2:7">
      <c r="B699" t="s">
        <v>2</v>
      </c>
      <c r="C699" s="2">
        <v>41065</v>
      </c>
      <c r="D699" t="s">
        <v>6</v>
      </c>
      <c r="E699">
        <v>1.753107</v>
      </c>
      <c r="F699">
        <f t="shared" si="20"/>
        <v>1.7627999999999977E-2</v>
      </c>
      <c r="G699">
        <f t="shared" si="21"/>
        <v>77.590419064148207</v>
      </c>
    </row>
    <row r="700" spans="2:7">
      <c r="B700" t="s">
        <v>2</v>
      </c>
      <c r="C700" s="2">
        <v>41064</v>
      </c>
      <c r="D700" t="s">
        <v>6</v>
      </c>
      <c r="E700">
        <v>1.735479</v>
      </c>
      <c r="F700">
        <f t="shared" si="20"/>
        <v>5.898800000000004E-2</v>
      </c>
      <c r="G700">
        <f t="shared" si="21"/>
        <v>77.458102481436455</v>
      </c>
    </row>
    <row r="701" spans="2:7">
      <c r="B701" t="s">
        <v>2</v>
      </c>
      <c r="C701" s="2">
        <v>41061</v>
      </c>
      <c r="D701" t="s">
        <v>6</v>
      </c>
      <c r="E701">
        <v>1.676491</v>
      </c>
      <c r="F701">
        <f t="shared" si="20"/>
        <v>-7.1199000000000012E-2</v>
      </c>
      <c r="G701">
        <f t="shared" si="21"/>
        <v>76.476104725132089</v>
      </c>
    </row>
    <row r="702" spans="2:7">
      <c r="B702" t="s">
        <v>2</v>
      </c>
      <c r="C702" s="2">
        <v>41060</v>
      </c>
      <c r="D702" t="s">
        <v>6</v>
      </c>
      <c r="E702">
        <v>1.74769</v>
      </c>
      <c r="F702">
        <f t="shared" si="20"/>
        <v>-3.4855999999999998E-2</v>
      </c>
      <c r="G702">
        <f t="shared" si="21"/>
        <v>75.910078666986635</v>
      </c>
    </row>
    <row r="703" spans="2:7">
      <c r="B703" t="s">
        <v>2</v>
      </c>
      <c r="C703" s="2">
        <v>41059</v>
      </c>
      <c r="D703" t="s">
        <v>6</v>
      </c>
      <c r="E703">
        <v>1.782546</v>
      </c>
      <c r="F703">
        <f t="shared" si="20"/>
        <v>-9.7423000000000037E-2</v>
      </c>
      <c r="G703">
        <f t="shared" si="21"/>
        <v>75.874212133047735</v>
      </c>
    </row>
    <row r="704" spans="2:7">
      <c r="B704" t="s">
        <v>2</v>
      </c>
      <c r="C704" s="2">
        <v>41058</v>
      </c>
      <c r="D704" t="s">
        <v>6</v>
      </c>
      <c r="E704">
        <v>1.879969</v>
      </c>
      <c r="F704">
        <f t="shared" si="20"/>
        <v>-9.5959999999999379E-3</v>
      </c>
      <c r="G704">
        <f t="shared" si="21"/>
        <v>74.059421259168175</v>
      </c>
    </row>
    <row r="705" spans="2:7">
      <c r="B705" t="s">
        <v>2</v>
      </c>
      <c r="C705" s="2">
        <v>41054</v>
      </c>
      <c r="D705" t="s">
        <v>6</v>
      </c>
      <c r="E705">
        <v>1.8895649999999999</v>
      </c>
      <c r="F705">
        <f t="shared" si="20"/>
        <v>-7.1499999999999897E-3</v>
      </c>
      <c r="G705">
        <f t="shared" si="21"/>
        <v>74.129585106826028</v>
      </c>
    </row>
    <row r="706" spans="2:7">
      <c r="B706" t="s">
        <v>2</v>
      </c>
      <c r="C706" s="2">
        <v>41053</v>
      </c>
      <c r="D706" t="s">
        <v>6</v>
      </c>
      <c r="E706">
        <v>1.8967149999999999</v>
      </c>
      <c r="F706">
        <f t="shared" si="20"/>
        <v>3.3051999999999859E-2</v>
      </c>
      <c r="G706">
        <f t="shared" si="21"/>
        <v>74.726816791593436</v>
      </c>
    </row>
    <row r="707" spans="2:7">
      <c r="B707" t="s">
        <v>2</v>
      </c>
      <c r="C707" s="2">
        <v>41052</v>
      </c>
      <c r="D707" t="s">
        <v>6</v>
      </c>
      <c r="E707">
        <v>1.8636630000000001</v>
      </c>
      <c r="F707">
        <f t="shared" ref="F707:F770" si="22">E707-E708</f>
        <v>-5.6047999999999876E-2</v>
      </c>
      <c r="G707">
        <f t="shared" ref="G707:G770" si="23">STDEV(F707:F766)*SQRT(250)*100</f>
        <v>75.231363281568818</v>
      </c>
    </row>
    <row r="708" spans="2:7">
      <c r="B708" t="s">
        <v>2</v>
      </c>
      <c r="C708" s="2">
        <v>41051</v>
      </c>
      <c r="D708" t="s">
        <v>6</v>
      </c>
      <c r="E708">
        <v>1.9197109999999999</v>
      </c>
      <c r="F708">
        <f t="shared" si="22"/>
        <v>6.399699999999986E-2</v>
      </c>
      <c r="G708">
        <f t="shared" si="23"/>
        <v>74.937683471095625</v>
      </c>
    </row>
    <row r="709" spans="2:7">
      <c r="B709" t="s">
        <v>2</v>
      </c>
      <c r="C709" s="2">
        <v>41050</v>
      </c>
      <c r="D709" t="s">
        <v>6</v>
      </c>
      <c r="E709">
        <v>1.8557140000000001</v>
      </c>
      <c r="F709">
        <f t="shared" si="22"/>
        <v>2.9224000000000139E-2</v>
      </c>
      <c r="G709">
        <f t="shared" si="23"/>
        <v>73.690668636678538</v>
      </c>
    </row>
    <row r="710" spans="2:7">
      <c r="B710" t="s">
        <v>2</v>
      </c>
      <c r="C710" s="2">
        <v>41047</v>
      </c>
      <c r="D710" t="s">
        <v>6</v>
      </c>
      <c r="E710">
        <v>1.8264899999999999</v>
      </c>
      <c r="F710">
        <f t="shared" si="22"/>
        <v>-1.3320000000001109E-3</v>
      </c>
      <c r="G710">
        <f t="shared" si="23"/>
        <v>74.165418594489836</v>
      </c>
    </row>
    <row r="711" spans="2:7">
      <c r="B711" t="s">
        <v>2</v>
      </c>
      <c r="C711" s="2">
        <v>41046</v>
      </c>
      <c r="D711" t="s">
        <v>6</v>
      </c>
      <c r="E711">
        <v>1.8278220000000001</v>
      </c>
      <c r="F711">
        <f t="shared" si="22"/>
        <v>-6.849700000000003E-2</v>
      </c>
      <c r="G711">
        <f t="shared" si="23"/>
        <v>74.172147606202145</v>
      </c>
    </row>
    <row r="712" spans="2:7">
      <c r="B712" t="s">
        <v>2</v>
      </c>
      <c r="C712" s="2">
        <v>41045</v>
      </c>
      <c r="D712" t="s">
        <v>6</v>
      </c>
      <c r="E712">
        <v>1.8963190000000001</v>
      </c>
      <c r="F712">
        <f t="shared" si="22"/>
        <v>-3.5490999999999939E-2</v>
      </c>
      <c r="G712">
        <f t="shared" si="23"/>
        <v>72.986915177729031</v>
      </c>
    </row>
    <row r="713" spans="2:7">
      <c r="B713" t="s">
        <v>2</v>
      </c>
      <c r="C713" s="2">
        <v>41044</v>
      </c>
      <c r="D713" t="s">
        <v>6</v>
      </c>
      <c r="E713">
        <v>1.93181</v>
      </c>
      <c r="F713">
        <f t="shared" si="22"/>
        <v>-1.2777000000000038E-2</v>
      </c>
      <c r="G713">
        <f t="shared" si="23"/>
        <v>73.179435882564633</v>
      </c>
    </row>
    <row r="714" spans="2:7">
      <c r="B714" t="s">
        <v>2</v>
      </c>
      <c r="C714" s="2">
        <v>41043</v>
      </c>
      <c r="D714" t="s">
        <v>6</v>
      </c>
      <c r="E714">
        <v>1.9445870000000001</v>
      </c>
      <c r="F714">
        <f t="shared" si="22"/>
        <v>-4.1212999999999944E-2</v>
      </c>
      <c r="G714">
        <f t="shared" si="23"/>
        <v>74.048517850152621</v>
      </c>
    </row>
    <row r="715" spans="2:7">
      <c r="B715" t="s">
        <v>2</v>
      </c>
      <c r="C715" s="2">
        <v>41040</v>
      </c>
      <c r="D715" t="s">
        <v>6</v>
      </c>
      <c r="E715">
        <v>1.9858</v>
      </c>
      <c r="F715">
        <f t="shared" si="22"/>
        <v>-3.2030000000000003E-2</v>
      </c>
      <c r="G715">
        <f t="shared" si="23"/>
        <v>73.714532802074402</v>
      </c>
    </row>
    <row r="716" spans="2:7">
      <c r="B716" t="s">
        <v>2</v>
      </c>
      <c r="C716" s="2">
        <v>41039</v>
      </c>
      <c r="D716" t="s">
        <v>6</v>
      </c>
      <c r="E716">
        <v>2.01783</v>
      </c>
      <c r="F716">
        <f t="shared" si="22"/>
        <v>2.1231E-2</v>
      </c>
      <c r="G716">
        <f t="shared" si="23"/>
        <v>74.401173354773675</v>
      </c>
    </row>
    <row r="717" spans="2:7">
      <c r="B717" t="s">
        <v>2</v>
      </c>
      <c r="C717" s="2">
        <v>41038</v>
      </c>
      <c r="D717" t="s">
        <v>6</v>
      </c>
      <c r="E717">
        <v>1.996599</v>
      </c>
      <c r="F717">
        <f t="shared" si="22"/>
        <v>7.6579999999999426E-3</v>
      </c>
      <c r="G717">
        <f t="shared" si="23"/>
        <v>74.273923877611665</v>
      </c>
    </row>
    <row r="718" spans="2:7">
      <c r="B718" t="s">
        <v>2</v>
      </c>
      <c r="C718" s="2">
        <v>41037</v>
      </c>
      <c r="D718" t="s">
        <v>6</v>
      </c>
      <c r="E718">
        <v>1.9889410000000001</v>
      </c>
      <c r="F718">
        <f t="shared" si="22"/>
        <v>-2.6352999999999849E-2</v>
      </c>
      <c r="G718">
        <f t="shared" si="23"/>
        <v>75.470235229083414</v>
      </c>
    </row>
    <row r="719" spans="2:7">
      <c r="B719" t="s">
        <v>2</v>
      </c>
      <c r="C719" s="2">
        <v>41036</v>
      </c>
      <c r="D719" t="s">
        <v>6</v>
      </c>
      <c r="E719">
        <v>2.0152939999999999</v>
      </c>
      <c r="F719">
        <f t="shared" si="22"/>
        <v>2.3580000000000823E-3</v>
      </c>
      <c r="G719">
        <f t="shared" si="23"/>
        <v>75.467928081842118</v>
      </c>
    </row>
    <row r="720" spans="2:7">
      <c r="B720" t="s">
        <v>2</v>
      </c>
      <c r="C720" s="2">
        <v>41033</v>
      </c>
      <c r="D720" t="s">
        <v>6</v>
      </c>
      <c r="E720">
        <v>2.0129359999999998</v>
      </c>
      <c r="F720">
        <f t="shared" si="22"/>
        <v>-3.4123000000000125E-2</v>
      </c>
      <c r="G720">
        <f t="shared" si="23"/>
        <v>77.016967879177457</v>
      </c>
    </row>
    <row r="721" spans="2:7">
      <c r="B721" t="s">
        <v>2</v>
      </c>
      <c r="C721" s="2">
        <v>41032</v>
      </c>
      <c r="D721" t="s">
        <v>6</v>
      </c>
      <c r="E721">
        <v>2.047059</v>
      </c>
      <c r="F721">
        <f t="shared" si="22"/>
        <v>-1.2500000000001954E-3</v>
      </c>
      <c r="G721">
        <f t="shared" si="23"/>
        <v>77.039372280436524</v>
      </c>
    </row>
    <row r="722" spans="2:7">
      <c r="B722" t="s">
        <v>2</v>
      </c>
      <c r="C722" s="2">
        <v>41031</v>
      </c>
      <c r="D722" t="s">
        <v>6</v>
      </c>
      <c r="E722">
        <v>2.0483090000000002</v>
      </c>
      <c r="F722">
        <f t="shared" si="22"/>
        <v>-3.1603999999999743E-2</v>
      </c>
      <c r="G722">
        <f t="shared" si="23"/>
        <v>77.090541544554995</v>
      </c>
    </row>
    <row r="723" spans="2:7">
      <c r="B723" t="s">
        <v>2</v>
      </c>
      <c r="C723" s="2">
        <v>41030</v>
      </c>
      <c r="D723" t="s">
        <v>6</v>
      </c>
      <c r="E723">
        <v>2.0799129999999999</v>
      </c>
      <c r="F723">
        <f t="shared" si="22"/>
        <v>3.9654000000000078E-2</v>
      </c>
      <c r="G723">
        <f t="shared" si="23"/>
        <v>78.041104942209643</v>
      </c>
    </row>
    <row r="724" spans="2:7">
      <c r="B724" t="s">
        <v>2</v>
      </c>
      <c r="C724" s="2">
        <v>41029</v>
      </c>
      <c r="D724" t="s">
        <v>6</v>
      </c>
      <c r="E724">
        <v>2.0402589999999998</v>
      </c>
      <c r="F724">
        <f t="shared" si="22"/>
        <v>-1.9294000000000366E-2</v>
      </c>
      <c r="G724">
        <f t="shared" si="23"/>
        <v>78.262431784707033</v>
      </c>
    </row>
    <row r="725" spans="2:7">
      <c r="B725" t="s">
        <v>2</v>
      </c>
      <c r="C725" s="2">
        <v>41026</v>
      </c>
      <c r="D725" t="s">
        <v>6</v>
      </c>
      <c r="E725">
        <v>2.0595530000000002</v>
      </c>
      <c r="F725">
        <f t="shared" si="22"/>
        <v>-2.7576999999999963E-2</v>
      </c>
      <c r="G725">
        <f t="shared" si="23"/>
        <v>82.484926211957529</v>
      </c>
    </row>
    <row r="726" spans="2:7">
      <c r="B726" t="s">
        <v>2</v>
      </c>
      <c r="C726" s="2">
        <v>41025</v>
      </c>
      <c r="D726" t="s">
        <v>6</v>
      </c>
      <c r="E726">
        <v>2.0871300000000002</v>
      </c>
      <c r="F726">
        <f t="shared" si="22"/>
        <v>-1.7925999999999664E-2</v>
      </c>
      <c r="G726">
        <f t="shared" si="23"/>
        <v>82.307042765759846</v>
      </c>
    </row>
    <row r="727" spans="2:7">
      <c r="B727" t="s">
        <v>2</v>
      </c>
      <c r="C727" s="2">
        <v>41024</v>
      </c>
      <c r="D727" t="s">
        <v>6</v>
      </c>
      <c r="E727">
        <v>2.1050559999999998</v>
      </c>
      <c r="F727">
        <f t="shared" si="22"/>
        <v>1.7847999999999864E-2</v>
      </c>
      <c r="G727">
        <f t="shared" si="23"/>
        <v>82.362265845988588</v>
      </c>
    </row>
    <row r="728" spans="2:7">
      <c r="B728" t="s">
        <v>2</v>
      </c>
      <c r="C728" s="2">
        <v>41023</v>
      </c>
      <c r="D728" t="s">
        <v>6</v>
      </c>
      <c r="E728">
        <v>2.087208</v>
      </c>
      <c r="F728">
        <f t="shared" si="22"/>
        <v>3.3017000000000074E-2</v>
      </c>
      <c r="G728">
        <f t="shared" si="23"/>
        <v>82.964123577923459</v>
      </c>
    </row>
    <row r="729" spans="2:7">
      <c r="B729" t="s">
        <v>2</v>
      </c>
      <c r="C729" s="2">
        <v>41022</v>
      </c>
      <c r="D729" t="s">
        <v>6</v>
      </c>
      <c r="E729">
        <v>2.0541909999999999</v>
      </c>
      <c r="F729">
        <f t="shared" si="22"/>
        <v>-2.3643999999999998E-2</v>
      </c>
      <c r="G729">
        <f t="shared" si="23"/>
        <v>83.45583897532606</v>
      </c>
    </row>
    <row r="730" spans="2:7">
      <c r="B730" t="s">
        <v>2</v>
      </c>
      <c r="C730" s="2">
        <v>41019</v>
      </c>
      <c r="D730" t="s">
        <v>6</v>
      </c>
      <c r="E730">
        <v>2.0778349999999999</v>
      </c>
      <c r="F730">
        <f t="shared" si="22"/>
        <v>1.352899999999968E-2</v>
      </c>
      <c r="G730">
        <f t="shared" si="23"/>
        <v>83.432765314912146</v>
      </c>
    </row>
    <row r="731" spans="2:7">
      <c r="B731" t="s">
        <v>2</v>
      </c>
      <c r="C731" s="2">
        <v>41018</v>
      </c>
      <c r="D731" t="s">
        <v>6</v>
      </c>
      <c r="E731">
        <v>2.0643060000000002</v>
      </c>
      <c r="F731">
        <f t="shared" si="22"/>
        <v>-2.9025999999999996E-2</v>
      </c>
      <c r="G731">
        <f t="shared" si="23"/>
        <v>84.852507734628645</v>
      </c>
    </row>
    <row r="732" spans="2:7">
      <c r="B732" t="s">
        <v>2</v>
      </c>
      <c r="C732" s="2">
        <v>41017</v>
      </c>
      <c r="D732" t="s">
        <v>6</v>
      </c>
      <c r="E732">
        <v>2.0933320000000002</v>
      </c>
      <c r="F732">
        <f t="shared" si="22"/>
        <v>-1.9572999999999841E-2</v>
      </c>
      <c r="G732">
        <f t="shared" si="23"/>
        <v>85.445469125988765</v>
      </c>
    </row>
    <row r="733" spans="2:7">
      <c r="B733" t="s">
        <v>2</v>
      </c>
      <c r="C733" s="2">
        <v>41016</v>
      </c>
      <c r="D733" t="s">
        <v>6</v>
      </c>
      <c r="E733">
        <v>2.112905</v>
      </c>
      <c r="F733">
        <f t="shared" si="22"/>
        <v>3.2958999999999961E-2</v>
      </c>
      <c r="G733">
        <f t="shared" si="23"/>
        <v>85.429867665300321</v>
      </c>
    </row>
    <row r="734" spans="2:7">
      <c r="B734" t="s">
        <v>2</v>
      </c>
      <c r="C734" s="2">
        <v>41015</v>
      </c>
      <c r="D734" t="s">
        <v>6</v>
      </c>
      <c r="E734">
        <v>2.0799460000000001</v>
      </c>
      <c r="F734">
        <f t="shared" si="22"/>
        <v>-2.3123000000000005E-2</v>
      </c>
      <c r="G734">
        <f t="shared" si="23"/>
        <v>85.376427432971823</v>
      </c>
    </row>
    <row r="735" spans="2:7">
      <c r="B735" t="s">
        <v>2</v>
      </c>
      <c r="C735" s="2">
        <v>41012</v>
      </c>
      <c r="D735" t="s">
        <v>6</v>
      </c>
      <c r="E735">
        <v>2.1030690000000001</v>
      </c>
      <c r="F735">
        <f t="shared" si="22"/>
        <v>-4.6710000000000029E-2</v>
      </c>
      <c r="G735">
        <f t="shared" si="23"/>
        <v>86.179446864014039</v>
      </c>
    </row>
    <row r="736" spans="2:7">
      <c r="B736" t="s">
        <v>2</v>
      </c>
      <c r="C736" s="2">
        <v>41011</v>
      </c>
      <c r="D736" t="s">
        <v>6</v>
      </c>
      <c r="E736">
        <v>2.1497790000000001</v>
      </c>
      <c r="F736">
        <f t="shared" si="22"/>
        <v>1.9277999999999906E-2</v>
      </c>
      <c r="G736">
        <f t="shared" si="23"/>
        <v>86.618712334869286</v>
      </c>
    </row>
    <row r="737" spans="2:7">
      <c r="B737" t="s">
        <v>2</v>
      </c>
      <c r="C737" s="2">
        <v>41010</v>
      </c>
      <c r="D737" t="s">
        <v>6</v>
      </c>
      <c r="E737">
        <v>2.1305010000000002</v>
      </c>
      <c r="F737">
        <f t="shared" si="22"/>
        <v>3.3675000000000122E-2</v>
      </c>
      <c r="G737">
        <f t="shared" si="23"/>
        <v>87.033281904639807</v>
      </c>
    </row>
    <row r="738" spans="2:7">
      <c r="B738" t="s">
        <v>2</v>
      </c>
      <c r="C738" s="2">
        <v>41009</v>
      </c>
      <c r="D738" t="s">
        <v>6</v>
      </c>
      <c r="E738">
        <v>2.0968260000000001</v>
      </c>
      <c r="F738">
        <f t="shared" si="22"/>
        <v>-1.9916999999999963E-2</v>
      </c>
      <c r="G738">
        <f t="shared" si="23"/>
        <v>86.8749571359931</v>
      </c>
    </row>
    <row r="739" spans="2:7">
      <c r="B739" t="s">
        <v>2</v>
      </c>
      <c r="C739" s="2">
        <v>41008</v>
      </c>
      <c r="D739" t="s">
        <v>6</v>
      </c>
      <c r="E739">
        <v>2.116743</v>
      </c>
      <c r="F739">
        <f t="shared" si="22"/>
        <v>-2.5738000000000039E-2</v>
      </c>
      <c r="G739">
        <f t="shared" si="23"/>
        <v>87.799428691611865</v>
      </c>
    </row>
    <row r="740" spans="2:7">
      <c r="B740" t="s">
        <v>2</v>
      </c>
      <c r="C740" s="2">
        <v>41005</v>
      </c>
      <c r="D740" t="s">
        <v>6</v>
      </c>
      <c r="E740">
        <v>2.1424810000000001</v>
      </c>
      <c r="F740">
        <f t="shared" si="22"/>
        <v>-0.13195800000000002</v>
      </c>
      <c r="G740">
        <f t="shared" si="23"/>
        <v>87.674862813003259</v>
      </c>
    </row>
    <row r="741" spans="2:7">
      <c r="B741" t="s">
        <v>2</v>
      </c>
      <c r="C741" s="2">
        <v>41004</v>
      </c>
      <c r="D741" t="s">
        <v>6</v>
      </c>
      <c r="E741">
        <v>2.2744390000000001</v>
      </c>
      <c r="F741">
        <f t="shared" si="22"/>
        <v>-6.0041000000000011E-2</v>
      </c>
      <c r="G741">
        <f t="shared" si="23"/>
        <v>84.233260984091757</v>
      </c>
    </row>
    <row r="742" spans="2:7">
      <c r="B742" t="s">
        <v>2</v>
      </c>
      <c r="C742" s="2">
        <v>41003</v>
      </c>
      <c r="D742" t="s">
        <v>6</v>
      </c>
      <c r="E742">
        <v>2.3344800000000001</v>
      </c>
      <c r="F742">
        <f t="shared" si="22"/>
        <v>-3.9606999999999726E-2</v>
      </c>
      <c r="G742">
        <f t="shared" si="23"/>
        <v>83.271139556067624</v>
      </c>
    </row>
    <row r="743" spans="2:7">
      <c r="B743" t="s">
        <v>2</v>
      </c>
      <c r="C743" s="2">
        <v>41002</v>
      </c>
      <c r="D743" t="s">
        <v>6</v>
      </c>
      <c r="E743">
        <v>2.3740869999999998</v>
      </c>
      <c r="F743">
        <f t="shared" si="22"/>
        <v>9.6432999999999769E-2</v>
      </c>
      <c r="G743">
        <f t="shared" si="23"/>
        <v>82.794130234824564</v>
      </c>
    </row>
    <row r="744" spans="2:7">
      <c r="B744" t="s">
        <v>2</v>
      </c>
      <c r="C744" s="2">
        <v>41001</v>
      </c>
      <c r="D744" t="s">
        <v>6</v>
      </c>
      <c r="E744">
        <v>2.2776540000000001</v>
      </c>
      <c r="F744">
        <f t="shared" si="22"/>
        <v>-1.1776999999999926E-2</v>
      </c>
      <c r="G744">
        <f t="shared" si="23"/>
        <v>80.795494915569577</v>
      </c>
    </row>
    <row r="745" spans="2:7">
      <c r="B745" t="s">
        <v>2</v>
      </c>
      <c r="C745" s="2">
        <v>40998</v>
      </c>
      <c r="D745" t="s">
        <v>6</v>
      </c>
      <c r="E745">
        <v>2.289431</v>
      </c>
      <c r="F745">
        <f t="shared" si="22"/>
        <v>6.4846999999999877E-2</v>
      </c>
      <c r="G745">
        <f t="shared" si="23"/>
        <v>80.764799850490704</v>
      </c>
    </row>
    <row r="746" spans="2:7">
      <c r="B746" t="s">
        <v>2</v>
      </c>
      <c r="C746" s="2">
        <v>40997</v>
      </c>
      <c r="D746" t="s">
        <v>6</v>
      </c>
      <c r="E746">
        <v>2.2245840000000001</v>
      </c>
      <c r="F746">
        <f t="shared" si="22"/>
        <v>-3.3134999999999692E-2</v>
      </c>
      <c r="G746">
        <f t="shared" si="23"/>
        <v>79.792427256030322</v>
      </c>
    </row>
    <row r="747" spans="2:7">
      <c r="B747" t="s">
        <v>2</v>
      </c>
      <c r="C747" s="2">
        <v>40996</v>
      </c>
      <c r="D747" t="s">
        <v>6</v>
      </c>
      <c r="E747">
        <v>2.2577189999999998</v>
      </c>
      <c r="F747">
        <f t="shared" si="22"/>
        <v>1.2169999999999792E-2</v>
      </c>
      <c r="G747">
        <f t="shared" si="23"/>
        <v>80.797166593038838</v>
      </c>
    </row>
    <row r="748" spans="2:7">
      <c r="B748" t="s">
        <v>2</v>
      </c>
      <c r="C748" s="2">
        <v>40995</v>
      </c>
      <c r="D748" t="s">
        <v>6</v>
      </c>
      <c r="E748">
        <v>2.245549</v>
      </c>
      <c r="F748">
        <f t="shared" si="22"/>
        <v>-7.1190000000000087E-2</v>
      </c>
      <c r="G748">
        <f t="shared" si="23"/>
        <v>80.908989009186712</v>
      </c>
    </row>
    <row r="749" spans="2:7">
      <c r="B749" t="s">
        <v>2</v>
      </c>
      <c r="C749" s="2">
        <v>40994</v>
      </c>
      <c r="D749" t="s">
        <v>6</v>
      </c>
      <c r="E749">
        <v>2.3167390000000001</v>
      </c>
      <c r="F749">
        <f t="shared" si="22"/>
        <v>8.7360000000002991E-3</v>
      </c>
      <c r="G749">
        <f t="shared" si="23"/>
        <v>79.492605818856944</v>
      </c>
    </row>
    <row r="750" spans="2:7">
      <c r="B750" t="s">
        <v>2</v>
      </c>
      <c r="C750" s="2">
        <v>40991</v>
      </c>
      <c r="D750" t="s">
        <v>6</v>
      </c>
      <c r="E750">
        <v>2.3080029999999998</v>
      </c>
      <c r="F750">
        <f t="shared" si="22"/>
        <v>-3.6964000000000219E-2</v>
      </c>
      <c r="G750">
        <f t="shared" si="23"/>
        <v>82.481664116526474</v>
      </c>
    </row>
    <row r="751" spans="2:7">
      <c r="B751" t="s">
        <v>2</v>
      </c>
      <c r="C751" s="2">
        <v>40990</v>
      </c>
      <c r="D751" t="s">
        <v>6</v>
      </c>
      <c r="E751">
        <v>2.344967</v>
      </c>
      <c r="F751">
        <f t="shared" si="22"/>
        <v>-2.2543999999999897E-2</v>
      </c>
      <c r="G751">
        <f t="shared" si="23"/>
        <v>82.221449451919611</v>
      </c>
    </row>
    <row r="752" spans="2:7">
      <c r="B752" t="s">
        <v>2</v>
      </c>
      <c r="C752" s="2">
        <v>40989</v>
      </c>
      <c r="D752" t="s">
        <v>6</v>
      </c>
      <c r="E752">
        <v>2.3675109999999999</v>
      </c>
      <c r="F752">
        <f t="shared" si="22"/>
        <v>-8.7426999999999921E-2</v>
      </c>
      <c r="G752">
        <f t="shared" si="23"/>
        <v>83.719368000635569</v>
      </c>
    </row>
    <row r="753" spans="2:7">
      <c r="B753" t="s">
        <v>2</v>
      </c>
      <c r="C753" s="2">
        <v>40988</v>
      </c>
      <c r="D753" t="s">
        <v>6</v>
      </c>
      <c r="E753">
        <v>2.4549379999999998</v>
      </c>
      <c r="F753">
        <f t="shared" si="22"/>
        <v>4.6739999999996229E-3</v>
      </c>
      <c r="G753">
        <f t="shared" si="23"/>
        <v>81.656017089202749</v>
      </c>
    </row>
    <row r="754" spans="2:7">
      <c r="B754" t="s">
        <v>2</v>
      </c>
      <c r="C754" s="2">
        <v>40987</v>
      </c>
      <c r="D754" t="s">
        <v>6</v>
      </c>
      <c r="E754">
        <v>2.4502640000000002</v>
      </c>
      <c r="F754">
        <f t="shared" si="22"/>
        <v>9.6767000000000269E-2</v>
      </c>
      <c r="G754">
        <f t="shared" si="23"/>
        <v>81.787382454939248</v>
      </c>
    </row>
    <row r="755" spans="2:7">
      <c r="B755" t="s">
        <v>2</v>
      </c>
      <c r="C755" s="2">
        <v>40984</v>
      </c>
      <c r="D755" t="s">
        <v>6</v>
      </c>
      <c r="E755">
        <v>2.353497</v>
      </c>
      <c r="F755">
        <f t="shared" si="22"/>
        <v>1.3386999999999816E-2</v>
      </c>
      <c r="G755">
        <f t="shared" si="23"/>
        <v>81.683371389746966</v>
      </c>
    </row>
    <row r="756" spans="2:7">
      <c r="B756" t="s">
        <v>2</v>
      </c>
      <c r="C756" s="2">
        <v>40983</v>
      </c>
      <c r="D756" t="s">
        <v>6</v>
      </c>
      <c r="E756">
        <v>2.3401100000000001</v>
      </c>
      <c r="F756">
        <f t="shared" si="22"/>
        <v>1.3432000000000333E-2</v>
      </c>
      <c r="G756">
        <f t="shared" si="23"/>
        <v>81.864199681062658</v>
      </c>
    </row>
    <row r="757" spans="2:7">
      <c r="B757" t="s">
        <v>2</v>
      </c>
      <c r="C757" s="2">
        <v>40982</v>
      </c>
      <c r="D757" t="s">
        <v>6</v>
      </c>
      <c r="E757">
        <v>2.3266779999999998</v>
      </c>
      <c r="F757">
        <f t="shared" si="22"/>
        <v>0.14953599999999989</v>
      </c>
      <c r="G757">
        <f t="shared" si="23"/>
        <v>82.534675253396443</v>
      </c>
    </row>
    <row r="758" spans="2:7">
      <c r="B758" t="s">
        <v>2</v>
      </c>
      <c r="C758" s="2">
        <v>40981</v>
      </c>
      <c r="D758" t="s">
        <v>6</v>
      </c>
      <c r="E758">
        <v>2.1771419999999999</v>
      </c>
      <c r="F758">
        <f t="shared" si="22"/>
        <v>7.7205999999999886E-2</v>
      </c>
      <c r="G758">
        <f t="shared" si="23"/>
        <v>76.977534347590392</v>
      </c>
    </row>
    <row r="759" spans="2:7">
      <c r="B759" t="s">
        <v>2</v>
      </c>
      <c r="C759" s="2">
        <v>40980</v>
      </c>
      <c r="D759" t="s">
        <v>6</v>
      </c>
      <c r="E759">
        <v>2.099936</v>
      </c>
      <c r="F759">
        <f t="shared" si="22"/>
        <v>-1.4797999999999867E-2</v>
      </c>
      <c r="G759">
        <f t="shared" si="23"/>
        <v>76.398778731901089</v>
      </c>
    </row>
    <row r="760" spans="2:7">
      <c r="B760" t="s">
        <v>2</v>
      </c>
      <c r="C760" s="2">
        <v>40977</v>
      </c>
      <c r="D760" t="s">
        <v>6</v>
      </c>
      <c r="E760">
        <v>2.1147339999999999</v>
      </c>
      <c r="F760">
        <f t="shared" si="22"/>
        <v>2.0556999999999714E-2</v>
      </c>
      <c r="G760">
        <f t="shared" si="23"/>
        <v>76.903608099708336</v>
      </c>
    </row>
    <row r="761" spans="2:7">
      <c r="B761" t="s">
        <v>2</v>
      </c>
      <c r="C761" s="2">
        <v>40976</v>
      </c>
      <c r="D761" t="s">
        <v>6</v>
      </c>
      <c r="E761">
        <v>2.0941770000000002</v>
      </c>
      <c r="F761">
        <f t="shared" si="22"/>
        <v>4.100400000000004E-2</v>
      </c>
      <c r="G761">
        <f t="shared" si="23"/>
        <v>76.867802323149675</v>
      </c>
    </row>
    <row r="762" spans="2:7">
      <c r="B762" t="s">
        <v>2</v>
      </c>
      <c r="C762" s="2">
        <v>40975</v>
      </c>
      <c r="D762" t="s">
        <v>6</v>
      </c>
      <c r="E762">
        <v>2.0531730000000001</v>
      </c>
      <c r="F762">
        <f t="shared" si="22"/>
        <v>2.3441000000000045E-2</v>
      </c>
      <c r="G762">
        <f t="shared" si="23"/>
        <v>77.773750860126981</v>
      </c>
    </row>
    <row r="763" spans="2:7">
      <c r="B763" t="s">
        <v>2</v>
      </c>
      <c r="C763" s="2">
        <v>40974</v>
      </c>
      <c r="D763" t="s">
        <v>6</v>
      </c>
      <c r="E763">
        <v>2.0297320000000001</v>
      </c>
      <c r="F763">
        <f t="shared" si="22"/>
        <v>-5.2264999999999784E-2</v>
      </c>
      <c r="G763">
        <f t="shared" si="23"/>
        <v>78.1187424837305</v>
      </c>
    </row>
    <row r="764" spans="2:7">
      <c r="B764" t="s">
        <v>2</v>
      </c>
      <c r="C764" s="2">
        <v>40973</v>
      </c>
      <c r="D764" t="s">
        <v>6</v>
      </c>
      <c r="E764">
        <v>2.0819969999999999</v>
      </c>
      <c r="F764">
        <f t="shared" si="22"/>
        <v>1.3757999999999715E-2</v>
      </c>
      <c r="G764">
        <f t="shared" si="23"/>
        <v>79.149029655800589</v>
      </c>
    </row>
    <row r="765" spans="2:7">
      <c r="B765" t="s">
        <v>2</v>
      </c>
      <c r="C765" s="2">
        <v>40970</v>
      </c>
      <c r="D765" t="s">
        <v>6</v>
      </c>
      <c r="E765">
        <v>2.0682390000000002</v>
      </c>
      <c r="F765">
        <f t="shared" si="22"/>
        <v>-4.9293000000000031E-2</v>
      </c>
      <c r="G765">
        <f t="shared" si="23"/>
        <v>79.334199062397872</v>
      </c>
    </row>
    <row r="766" spans="2:7">
      <c r="B766" t="s">
        <v>2</v>
      </c>
      <c r="C766" s="2">
        <v>40969</v>
      </c>
      <c r="D766" t="s">
        <v>6</v>
      </c>
      <c r="E766">
        <v>2.1175320000000002</v>
      </c>
      <c r="F766">
        <f t="shared" si="22"/>
        <v>5.2364999999999995E-2</v>
      </c>
      <c r="G766">
        <f t="shared" si="23"/>
        <v>78.81500605632273</v>
      </c>
    </row>
    <row r="767" spans="2:7">
      <c r="B767" t="s">
        <v>2</v>
      </c>
      <c r="C767" s="2">
        <v>40968</v>
      </c>
      <c r="D767" t="s">
        <v>6</v>
      </c>
      <c r="E767">
        <v>2.0651670000000002</v>
      </c>
      <c r="F767">
        <f t="shared" si="22"/>
        <v>4.0110000000000312E-2</v>
      </c>
      <c r="G767">
        <f t="shared" si="23"/>
        <v>78.706256429378698</v>
      </c>
    </row>
    <row r="768" spans="2:7">
      <c r="B768" t="s">
        <v>2</v>
      </c>
      <c r="C768" s="2">
        <v>40967</v>
      </c>
      <c r="D768" t="s">
        <v>6</v>
      </c>
      <c r="E768">
        <v>2.0250569999999999</v>
      </c>
      <c r="F768">
        <f t="shared" si="22"/>
        <v>1.9279999999999298E-3</v>
      </c>
      <c r="G768">
        <f t="shared" si="23"/>
        <v>79.551384968501793</v>
      </c>
    </row>
    <row r="769" spans="2:7">
      <c r="B769" t="s">
        <v>2</v>
      </c>
      <c r="C769" s="2">
        <v>40966</v>
      </c>
      <c r="D769" t="s">
        <v>6</v>
      </c>
      <c r="E769">
        <v>2.023129</v>
      </c>
      <c r="F769">
        <f t="shared" si="22"/>
        <v>-5.5721999999999827E-2</v>
      </c>
      <c r="G769">
        <f t="shared" si="23"/>
        <v>79.88244250272119</v>
      </c>
    </row>
    <row r="770" spans="2:7">
      <c r="B770" t="s">
        <v>2</v>
      </c>
      <c r="C770" s="2">
        <v>40963</v>
      </c>
      <c r="D770" t="s">
        <v>6</v>
      </c>
      <c r="E770">
        <v>2.0788509999999998</v>
      </c>
      <c r="F770">
        <f t="shared" si="22"/>
        <v>1.4459999999996143E-3</v>
      </c>
      <c r="G770">
        <f t="shared" si="23"/>
        <v>79.219942882753614</v>
      </c>
    </row>
    <row r="771" spans="2:7">
      <c r="B771" t="s">
        <v>2</v>
      </c>
      <c r="C771" s="2">
        <v>40962</v>
      </c>
      <c r="D771" t="s">
        <v>6</v>
      </c>
      <c r="E771">
        <v>2.0774050000000002</v>
      </c>
      <c r="F771">
        <f t="shared" ref="F771:F834" si="24">E771-E772</f>
        <v>-1.2804000000000038E-2</v>
      </c>
      <c r="G771">
        <f t="shared" ref="G771:G834" si="25">STDEV(F771:F830)*SQRT(250)*100</f>
        <v>79.229462483010366</v>
      </c>
    </row>
    <row r="772" spans="2:7">
      <c r="B772" t="s">
        <v>2</v>
      </c>
      <c r="C772" s="2">
        <v>40961</v>
      </c>
      <c r="D772" t="s">
        <v>6</v>
      </c>
      <c r="E772">
        <v>2.0902090000000002</v>
      </c>
      <c r="F772">
        <f t="shared" si="24"/>
        <v>-4.4536999999999605E-2</v>
      </c>
      <c r="G772">
        <f t="shared" si="25"/>
        <v>80.254239223947181</v>
      </c>
    </row>
    <row r="773" spans="2:7">
      <c r="B773" t="s">
        <v>2</v>
      </c>
      <c r="C773" s="2">
        <v>40960</v>
      </c>
      <c r="D773" t="s">
        <v>6</v>
      </c>
      <c r="E773">
        <v>2.1347459999999998</v>
      </c>
      <c r="F773">
        <f t="shared" si="24"/>
        <v>5.3010000000000002E-2</v>
      </c>
      <c r="G773">
        <f t="shared" si="25"/>
        <v>80.122351898117245</v>
      </c>
    </row>
    <row r="774" spans="2:7">
      <c r="B774" t="s">
        <v>2</v>
      </c>
      <c r="C774" s="2">
        <v>40956</v>
      </c>
      <c r="D774" t="s">
        <v>6</v>
      </c>
      <c r="E774">
        <v>2.0817359999999998</v>
      </c>
      <c r="F774">
        <f t="shared" si="24"/>
        <v>1.793699999999987E-2</v>
      </c>
      <c r="G774">
        <f t="shared" si="25"/>
        <v>79.550497506189998</v>
      </c>
    </row>
    <row r="775" spans="2:7">
      <c r="B775" t="s">
        <v>2</v>
      </c>
      <c r="C775" s="2">
        <v>40955</v>
      </c>
      <c r="D775" t="s">
        <v>6</v>
      </c>
      <c r="E775">
        <v>2.0637989999999999</v>
      </c>
      <c r="F775">
        <f t="shared" si="24"/>
        <v>5.7679999999999954E-2</v>
      </c>
      <c r="G775">
        <f t="shared" si="25"/>
        <v>79.576654236441087</v>
      </c>
    </row>
    <row r="776" spans="2:7">
      <c r="B776" t="s">
        <v>2</v>
      </c>
      <c r="C776" s="2">
        <v>40954</v>
      </c>
      <c r="D776" t="s">
        <v>6</v>
      </c>
      <c r="E776">
        <v>2.006119</v>
      </c>
      <c r="F776">
        <f t="shared" si="24"/>
        <v>1.730999999999927E-3</v>
      </c>
      <c r="G776">
        <f t="shared" si="25"/>
        <v>78.764699429756504</v>
      </c>
    </row>
    <row r="777" spans="2:7">
      <c r="B777" t="s">
        <v>2</v>
      </c>
      <c r="C777" s="2">
        <v>40953</v>
      </c>
      <c r="D777" t="s">
        <v>6</v>
      </c>
      <c r="E777">
        <v>2.0043880000000001</v>
      </c>
      <c r="F777">
        <f t="shared" si="24"/>
        <v>-6.6307999999999812E-2</v>
      </c>
      <c r="G777">
        <f t="shared" si="25"/>
        <v>79.896562169430311</v>
      </c>
    </row>
    <row r="778" spans="2:7">
      <c r="B778" t="s">
        <v>2</v>
      </c>
      <c r="C778" s="2">
        <v>40952</v>
      </c>
      <c r="D778" t="s">
        <v>6</v>
      </c>
      <c r="E778">
        <v>2.0706959999999999</v>
      </c>
      <c r="F778">
        <f t="shared" si="24"/>
        <v>2.4309999999999832E-2</v>
      </c>
      <c r="G778">
        <f t="shared" si="25"/>
        <v>79.0030681847159</v>
      </c>
    </row>
    <row r="779" spans="2:7">
      <c r="B779" t="s">
        <v>2</v>
      </c>
      <c r="C779" s="2">
        <v>40949</v>
      </c>
      <c r="D779" t="s">
        <v>6</v>
      </c>
      <c r="E779">
        <v>2.046386</v>
      </c>
      <c r="F779">
        <f t="shared" si="24"/>
        <v>-7.5915999999999872E-2</v>
      </c>
      <c r="G779">
        <f t="shared" si="25"/>
        <v>78.879439855862159</v>
      </c>
    </row>
    <row r="780" spans="2:7">
      <c r="B780" t="s">
        <v>2</v>
      </c>
      <c r="C780" s="2">
        <v>40948</v>
      </c>
      <c r="D780" t="s">
        <v>6</v>
      </c>
      <c r="E780">
        <v>2.1223019999999999</v>
      </c>
      <c r="F780">
        <f t="shared" si="24"/>
        <v>3.2810000000000006E-2</v>
      </c>
      <c r="G780">
        <f t="shared" si="25"/>
        <v>77.46810661688059</v>
      </c>
    </row>
    <row r="781" spans="2:7">
      <c r="B781" t="s">
        <v>2</v>
      </c>
      <c r="C781" s="2">
        <v>40947</v>
      </c>
      <c r="D781" t="s">
        <v>6</v>
      </c>
      <c r="E781">
        <v>2.0894919999999999</v>
      </c>
      <c r="F781">
        <f t="shared" si="24"/>
        <v>1.3071000000000055E-2</v>
      </c>
      <c r="G781">
        <f t="shared" si="25"/>
        <v>78.603760972504361</v>
      </c>
    </row>
    <row r="782" spans="2:7">
      <c r="B782" t="s">
        <v>2</v>
      </c>
      <c r="C782" s="2">
        <v>40946</v>
      </c>
      <c r="D782" t="s">
        <v>6</v>
      </c>
      <c r="E782">
        <v>2.0764209999999999</v>
      </c>
      <c r="F782">
        <f t="shared" si="24"/>
        <v>6.7450999999999706E-2</v>
      </c>
      <c r="G782">
        <f t="shared" si="25"/>
        <v>79.920464800363078</v>
      </c>
    </row>
    <row r="783" spans="2:7">
      <c r="B783" t="s">
        <v>2</v>
      </c>
      <c r="C783" s="2">
        <v>40945</v>
      </c>
      <c r="D783" t="s">
        <v>6</v>
      </c>
      <c r="E783">
        <v>2.0089700000000001</v>
      </c>
      <c r="F783">
        <f t="shared" si="24"/>
        <v>-4.8058999999999852E-2</v>
      </c>
      <c r="G783">
        <f t="shared" si="25"/>
        <v>79.901334552623439</v>
      </c>
    </row>
    <row r="784" spans="2:7">
      <c r="B784" t="s">
        <v>2</v>
      </c>
      <c r="C784" s="2">
        <v>40942</v>
      </c>
      <c r="D784" t="s">
        <v>6</v>
      </c>
      <c r="E784">
        <v>2.057029</v>
      </c>
      <c r="F784">
        <f t="shared" si="24"/>
        <v>0.12913200000000002</v>
      </c>
      <c r="G784">
        <f t="shared" si="25"/>
        <v>79.868524075932427</v>
      </c>
    </row>
    <row r="785" spans="2:7">
      <c r="B785" t="s">
        <v>2</v>
      </c>
      <c r="C785" s="2">
        <v>40941</v>
      </c>
      <c r="D785" t="s">
        <v>6</v>
      </c>
      <c r="E785">
        <v>1.927897</v>
      </c>
      <c r="F785">
        <f t="shared" si="24"/>
        <v>-1.1899000000000104E-2</v>
      </c>
      <c r="G785">
        <f t="shared" si="25"/>
        <v>75.141017922048263</v>
      </c>
    </row>
    <row r="786" spans="2:7">
      <c r="B786" t="s">
        <v>2</v>
      </c>
      <c r="C786" s="2">
        <v>40940</v>
      </c>
      <c r="D786" t="s">
        <v>6</v>
      </c>
      <c r="E786">
        <v>1.9397960000000001</v>
      </c>
      <c r="F786">
        <f t="shared" si="24"/>
        <v>2.8254000000000001E-2</v>
      </c>
      <c r="G786">
        <f t="shared" si="25"/>
        <v>76.062981320678105</v>
      </c>
    </row>
    <row r="787" spans="2:7">
      <c r="B787" t="s">
        <v>2</v>
      </c>
      <c r="C787" s="2">
        <v>40939</v>
      </c>
      <c r="D787" t="s">
        <v>6</v>
      </c>
      <c r="E787">
        <v>1.9115420000000001</v>
      </c>
      <c r="F787">
        <f t="shared" si="24"/>
        <v>-4.8103000000000007E-2</v>
      </c>
      <c r="G787">
        <f t="shared" si="25"/>
        <v>75.791642084925002</v>
      </c>
    </row>
    <row r="788" spans="2:7">
      <c r="B788" t="s">
        <v>2</v>
      </c>
      <c r="C788" s="2">
        <v>40938</v>
      </c>
      <c r="D788" t="s">
        <v>6</v>
      </c>
      <c r="E788">
        <v>1.9596450000000001</v>
      </c>
      <c r="F788">
        <f t="shared" si="24"/>
        <v>-5.2718999999999738E-2</v>
      </c>
      <c r="G788">
        <f t="shared" si="25"/>
        <v>81.374554774012637</v>
      </c>
    </row>
    <row r="789" spans="2:7">
      <c r="B789" t="s">
        <v>2</v>
      </c>
      <c r="C789" s="2">
        <v>40935</v>
      </c>
      <c r="D789" t="s">
        <v>6</v>
      </c>
      <c r="E789">
        <v>2.0123639999999998</v>
      </c>
      <c r="F789">
        <f t="shared" si="24"/>
        <v>-2.1701000000000192E-2</v>
      </c>
      <c r="G789">
        <f t="shared" si="25"/>
        <v>83.999021087011883</v>
      </c>
    </row>
    <row r="790" spans="2:7">
      <c r="B790" t="s">
        <v>2</v>
      </c>
      <c r="C790" s="2">
        <v>40934</v>
      </c>
      <c r="D790" t="s">
        <v>6</v>
      </c>
      <c r="E790">
        <v>2.034065</v>
      </c>
      <c r="F790">
        <f t="shared" si="24"/>
        <v>-7.6321999999999779E-2</v>
      </c>
      <c r="G790">
        <f t="shared" si="25"/>
        <v>86.386669430610397</v>
      </c>
    </row>
    <row r="791" spans="2:7">
      <c r="B791" t="s">
        <v>2</v>
      </c>
      <c r="C791" s="2">
        <v>40933</v>
      </c>
      <c r="D791" t="s">
        <v>6</v>
      </c>
      <c r="E791">
        <v>2.1103869999999998</v>
      </c>
      <c r="F791">
        <f t="shared" si="24"/>
        <v>-5.7292000000000343E-2</v>
      </c>
      <c r="G791">
        <f t="shared" si="25"/>
        <v>92.011826900128909</v>
      </c>
    </row>
    <row r="792" spans="2:7">
      <c r="B792" t="s">
        <v>2</v>
      </c>
      <c r="C792" s="2">
        <v>40932</v>
      </c>
      <c r="D792" t="s">
        <v>6</v>
      </c>
      <c r="E792">
        <v>2.1676790000000001</v>
      </c>
      <c r="F792">
        <f t="shared" si="24"/>
        <v>-1.7770000000000064E-2</v>
      </c>
      <c r="G792">
        <f t="shared" si="25"/>
        <v>92.547482407722796</v>
      </c>
    </row>
    <row r="793" spans="2:7">
      <c r="B793" t="s">
        <v>2</v>
      </c>
      <c r="C793" s="2">
        <v>40931</v>
      </c>
      <c r="D793" t="s">
        <v>6</v>
      </c>
      <c r="E793">
        <v>2.1854490000000002</v>
      </c>
      <c r="F793">
        <f t="shared" si="24"/>
        <v>2.9649000000000036E-2</v>
      </c>
      <c r="G793">
        <f t="shared" si="25"/>
        <v>95.126959077724081</v>
      </c>
    </row>
    <row r="794" spans="2:7">
      <c r="B794" t="s">
        <v>2</v>
      </c>
      <c r="C794" s="2">
        <v>40928</v>
      </c>
      <c r="D794" t="s">
        <v>6</v>
      </c>
      <c r="E794">
        <v>2.1558000000000002</v>
      </c>
      <c r="F794">
        <f t="shared" si="24"/>
        <v>6.0754000000000197E-2</v>
      </c>
      <c r="G794">
        <f t="shared" si="25"/>
        <v>95.157809832691356</v>
      </c>
    </row>
    <row r="795" spans="2:7">
      <c r="B795" t="s">
        <v>2</v>
      </c>
      <c r="C795" s="2">
        <v>40927</v>
      </c>
      <c r="D795" t="s">
        <v>6</v>
      </c>
      <c r="E795">
        <v>2.095046</v>
      </c>
      <c r="F795">
        <f t="shared" si="24"/>
        <v>6.4888999999999974E-2</v>
      </c>
      <c r="G795">
        <f t="shared" si="25"/>
        <v>94.490190215973399</v>
      </c>
    </row>
    <row r="796" spans="2:7">
      <c r="B796" t="s">
        <v>2</v>
      </c>
      <c r="C796" s="2">
        <v>40926</v>
      </c>
      <c r="D796" t="s">
        <v>6</v>
      </c>
      <c r="E796">
        <v>2.030157</v>
      </c>
      <c r="F796">
        <f t="shared" si="24"/>
        <v>4.6831000000000067E-2</v>
      </c>
      <c r="G796">
        <f t="shared" si="25"/>
        <v>93.514960680851672</v>
      </c>
    </row>
    <row r="797" spans="2:7">
      <c r="B797" t="s">
        <v>2</v>
      </c>
      <c r="C797" s="2">
        <v>40925</v>
      </c>
      <c r="D797" t="s">
        <v>6</v>
      </c>
      <c r="E797">
        <v>1.9833259999999999</v>
      </c>
      <c r="F797">
        <f t="shared" si="24"/>
        <v>-1.67130000000002E-2</v>
      </c>
      <c r="G797">
        <f t="shared" si="25"/>
        <v>92.892288142444698</v>
      </c>
    </row>
    <row r="798" spans="2:7">
      <c r="B798" t="s">
        <v>2</v>
      </c>
      <c r="C798" s="2">
        <v>40921</v>
      </c>
      <c r="D798" t="s">
        <v>6</v>
      </c>
      <c r="E798">
        <v>2.0000390000000001</v>
      </c>
      <c r="F798">
        <f t="shared" si="24"/>
        <v>-6.4013999999999793E-2</v>
      </c>
      <c r="G798">
        <f t="shared" si="25"/>
        <v>92.875858149417965</v>
      </c>
    </row>
    <row r="799" spans="2:7">
      <c r="B799" t="s">
        <v>2</v>
      </c>
      <c r="C799" s="2">
        <v>40920</v>
      </c>
      <c r="D799" t="s">
        <v>6</v>
      </c>
      <c r="E799">
        <v>2.0640529999999999</v>
      </c>
      <c r="F799">
        <f t="shared" si="24"/>
        <v>1.5753000000000128E-2</v>
      </c>
      <c r="G799">
        <f t="shared" si="25"/>
        <v>92.909840114905208</v>
      </c>
    </row>
    <row r="800" spans="2:7">
      <c r="B800" t="s">
        <v>2</v>
      </c>
      <c r="C800" s="2">
        <v>40919</v>
      </c>
      <c r="D800" t="s">
        <v>6</v>
      </c>
      <c r="E800">
        <v>2.0482999999999998</v>
      </c>
      <c r="F800">
        <f t="shared" si="24"/>
        <v>-6.1281000000000141E-2</v>
      </c>
      <c r="G800">
        <f t="shared" si="25"/>
        <v>94.206934522442694</v>
      </c>
    </row>
    <row r="801" spans="2:7">
      <c r="B801" t="s">
        <v>2</v>
      </c>
      <c r="C801" s="2">
        <v>40918</v>
      </c>
      <c r="D801" t="s">
        <v>6</v>
      </c>
      <c r="E801">
        <v>2.1095809999999999</v>
      </c>
      <c r="F801">
        <f t="shared" si="24"/>
        <v>1.8280999999999992E-2</v>
      </c>
      <c r="G801">
        <f t="shared" si="25"/>
        <v>93.774838320078729</v>
      </c>
    </row>
    <row r="802" spans="2:7">
      <c r="B802" t="s">
        <v>2</v>
      </c>
      <c r="C802" s="2">
        <v>40917</v>
      </c>
      <c r="D802" t="s">
        <v>6</v>
      </c>
      <c r="E802">
        <v>2.0912999999999999</v>
      </c>
      <c r="F802">
        <f t="shared" si="24"/>
        <v>-3.5859999999998671E-3</v>
      </c>
      <c r="G802">
        <f t="shared" si="25"/>
        <v>94.005236558894069</v>
      </c>
    </row>
    <row r="803" spans="2:7">
      <c r="B803" t="s">
        <v>2</v>
      </c>
      <c r="C803" s="2">
        <v>40914</v>
      </c>
      <c r="D803" t="s">
        <v>6</v>
      </c>
      <c r="E803">
        <v>2.0948859999999998</v>
      </c>
      <c r="F803">
        <f t="shared" si="24"/>
        <v>-2.6305000000000245E-2</v>
      </c>
      <c r="G803">
        <f t="shared" si="25"/>
        <v>95.651496350573638</v>
      </c>
    </row>
    <row r="804" spans="2:7">
      <c r="B804" t="s">
        <v>2</v>
      </c>
      <c r="C804" s="2">
        <v>40913</v>
      </c>
      <c r="D804" t="s">
        <v>6</v>
      </c>
      <c r="E804">
        <v>2.121191</v>
      </c>
      <c r="F804">
        <f t="shared" si="24"/>
        <v>-6.8939999999999557E-3</v>
      </c>
      <c r="G804">
        <f t="shared" si="25"/>
        <v>96.723122124516365</v>
      </c>
    </row>
    <row r="805" spans="2:7">
      <c r="B805" t="s">
        <v>2</v>
      </c>
      <c r="C805" s="2">
        <v>40912</v>
      </c>
      <c r="D805" t="s">
        <v>6</v>
      </c>
      <c r="E805">
        <v>2.128085</v>
      </c>
      <c r="F805">
        <f t="shared" si="24"/>
        <v>1.740800000000009E-2</v>
      </c>
      <c r="G805">
        <f t="shared" si="25"/>
        <v>97.499634561664791</v>
      </c>
    </row>
    <row r="806" spans="2:7">
      <c r="B806" t="s">
        <v>2</v>
      </c>
      <c r="C806" s="2">
        <v>40911</v>
      </c>
      <c r="D806" t="s">
        <v>6</v>
      </c>
      <c r="E806">
        <v>2.1106769999999999</v>
      </c>
      <c r="F806">
        <f t="shared" si="24"/>
        <v>7.4197999999999986E-2</v>
      </c>
      <c r="G806">
        <f t="shared" si="25"/>
        <v>99.924821127899861</v>
      </c>
    </row>
    <row r="807" spans="2:7">
      <c r="B807" t="s">
        <v>2</v>
      </c>
      <c r="C807" s="2">
        <v>40907</v>
      </c>
      <c r="D807" t="s">
        <v>6</v>
      </c>
      <c r="E807">
        <v>2.0364789999999999</v>
      </c>
      <c r="F807">
        <f t="shared" si="24"/>
        <v>-1.9004000000000243E-2</v>
      </c>
      <c r="G807">
        <f t="shared" si="25"/>
        <v>98.942582524834094</v>
      </c>
    </row>
    <row r="808" spans="2:7">
      <c r="B808" t="s">
        <v>2</v>
      </c>
      <c r="C808" s="2">
        <v>40906</v>
      </c>
      <c r="D808" t="s">
        <v>6</v>
      </c>
      <c r="E808">
        <v>2.0554830000000002</v>
      </c>
      <c r="F808">
        <f t="shared" si="24"/>
        <v>-1.1866999999999628E-2</v>
      </c>
      <c r="G808">
        <f t="shared" si="25"/>
        <v>101.40653181953643</v>
      </c>
    </row>
    <row r="809" spans="2:7">
      <c r="B809" t="s">
        <v>2</v>
      </c>
      <c r="C809" s="2">
        <v>40905</v>
      </c>
      <c r="D809" t="s">
        <v>6</v>
      </c>
      <c r="E809">
        <v>2.0673499999999998</v>
      </c>
      <c r="F809">
        <f t="shared" si="24"/>
        <v>-0.10381600000000013</v>
      </c>
      <c r="G809">
        <f t="shared" si="25"/>
        <v>101.50568625488698</v>
      </c>
    </row>
    <row r="810" spans="2:7">
      <c r="B810" t="s">
        <v>2</v>
      </c>
      <c r="C810" s="2">
        <v>40904</v>
      </c>
      <c r="D810" t="s">
        <v>6</v>
      </c>
      <c r="E810">
        <v>2.1711659999999999</v>
      </c>
      <c r="F810">
        <f t="shared" si="24"/>
        <v>-2.080700000000002E-2</v>
      </c>
      <c r="G810">
        <f t="shared" si="25"/>
        <v>99.640986140423166</v>
      </c>
    </row>
    <row r="811" spans="2:7">
      <c r="B811" t="s">
        <v>2</v>
      </c>
      <c r="C811" s="2">
        <v>40900</v>
      </c>
      <c r="D811" t="s">
        <v>6</v>
      </c>
      <c r="E811">
        <v>2.1919729999999999</v>
      </c>
      <c r="F811">
        <f t="shared" si="24"/>
        <v>8.4318999999999811E-2</v>
      </c>
      <c r="G811">
        <f t="shared" si="25"/>
        <v>99.584303929687124</v>
      </c>
    </row>
    <row r="812" spans="2:7">
      <c r="B812" t="s">
        <v>2</v>
      </c>
      <c r="C812" s="2">
        <v>40899</v>
      </c>
      <c r="D812" t="s">
        <v>6</v>
      </c>
      <c r="E812">
        <v>2.1076540000000001</v>
      </c>
      <c r="F812">
        <f t="shared" si="24"/>
        <v>-1.687100000000008E-2</v>
      </c>
      <c r="G812">
        <f t="shared" si="25"/>
        <v>100.268378794396</v>
      </c>
    </row>
    <row r="813" spans="2:7">
      <c r="B813" t="s">
        <v>2</v>
      </c>
      <c r="C813" s="2">
        <v>40898</v>
      </c>
      <c r="D813" t="s">
        <v>6</v>
      </c>
      <c r="E813">
        <v>2.1245250000000002</v>
      </c>
      <c r="F813">
        <f t="shared" si="24"/>
        <v>2.823700000000029E-2</v>
      </c>
      <c r="G813">
        <f t="shared" si="25"/>
        <v>102.33037205388453</v>
      </c>
    </row>
    <row r="814" spans="2:7">
      <c r="B814" t="s">
        <v>2</v>
      </c>
      <c r="C814" s="2">
        <v>40897</v>
      </c>
      <c r="D814" t="s">
        <v>6</v>
      </c>
      <c r="E814">
        <v>2.0962879999999999</v>
      </c>
      <c r="F814">
        <f t="shared" si="24"/>
        <v>9.453200000000006E-2</v>
      </c>
      <c r="G814">
        <f t="shared" si="25"/>
        <v>103.50474627284316</v>
      </c>
    </row>
    <row r="815" spans="2:7">
      <c r="B815" t="s">
        <v>2</v>
      </c>
      <c r="C815" s="2">
        <v>40896</v>
      </c>
      <c r="D815" t="s">
        <v>6</v>
      </c>
      <c r="E815">
        <v>2.0017559999999999</v>
      </c>
      <c r="F815">
        <f t="shared" si="24"/>
        <v>-2.1984000000000226E-2</v>
      </c>
      <c r="G815">
        <f t="shared" si="25"/>
        <v>108.61576435507804</v>
      </c>
    </row>
    <row r="816" spans="2:7">
      <c r="B816" t="s">
        <v>2</v>
      </c>
      <c r="C816" s="2">
        <v>40893</v>
      </c>
      <c r="D816" t="s">
        <v>6</v>
      </c>
      <c r="E816">
        <v>2.0237400000000001</v>
      </c>
      <c r="F816">
        <f t="shared" si="24"/>
        <v>-4.6964000000000006E-2</v>
      </c>
      <c r="G816">
        <f t="shared" si="25"/>
        <v>109.26885119120715</v>
      </c>
    </row>
    <row r="817" spans="2:7">
      <c r="B817" t="s">
        <v>2</v>
      </c>
      <c r="C817" s="2">
        <v>40892</v>
      </c>
      <c r="D817" t="s">
        <v>6</v>
      </c>
      <c r="E817">
        <v>2.0707040000000001</v>
      </c>
      <c r="F817">
        <f t="shared" si="24"/>
        <v>2.5263999999999953E-2</v>
      </c>
      <c r="G817">
        <f t="shared" si="25"/>
        <v>108.87858017639694</v>
      </c>
    </row>
    <row r="818" spans="2:7">
      <c r="B818" t="s">
        <v>2</v>
      </c>
      <c r="C818" s="2">
        <v>40891</v>
      </c>
      <c r="D818" t="s">
        <v>6</v>
      </c>
      <c r="E818">
        <v>2.0454400000000001</v>
      </c>
      <c r="F818">
        <f t="shared" si="24"/>
        <v>-5.9809999999999697E-2</v>
      </c>
      <c r="G818">
        <f t="shared" si="25"/>
        <v>111.31936184452252</v>
      </c>
    </row>
    <row r="819" spans="2:7">
      <c r="B819" t="s">
        <v>2</v>
      </c>
      <c r="C819" s="2">
        <v>40890</v>
      </c>
      <c r="D819" t="s">
        <v>6</v>
      </c>
      <c r="E819">
        <v>2.1052499999999998</v>
      </c>
      <c r="F819">
        <f t="shared" si="24"/>
        <v>-4.5459000000000138E-2</v>
      </c>
      <c r="G819">
        <f t="shared" si="25"/>
        <v>110.70578172620502</v>
      </c>
    </row>
    <row r="820" spans="2:7">
      <c r="B820" t="s">
        <v>2</v>
      </c>
      <c r="C820" s="2">
        <v>40889</v>
      </c>
      <c r="D820" t="s">
        <v>6</v>
      </c>
      <c r="E820">
        <v>2.150709</v>
      </c>
      <c r="F820">
        <f t="shared" si="24"/>
        <v>-1.9144999999999968E-2</v>
      </c>
      <c r="G820">
        <f t="shared" si="25"/>
        <v>110.82286373522696</v>
      </c>
    </row>
    <row r="821" spans="2:7">
      <c r="B821" t="s">
        <v>2</v>
      </c>
      <c r="C821" s="2">
        <v>40886</v>
      </c>
      <c r="D821" t="s">
        <v>6</v>
      </c>
      <c r="E821">
        <v>2.1698539999999999</v>
      </c>
      <c r="F821">
        <f t="shared" si="24"/>
        <v>7.0200999999999958E-2</v>
      </c>
      <c r="G821">
        <f t="shared" si="25"/>
        <v>110.7962089041296</v>
      </c>
    </row>
    <row r="822" spans="2:7">
      <c r="B822" t="s">
        <v>2</v>
      </c>
      <c r="C822" s="2">
        <v>40885</v>
      </c>
      <c r="D822" t="s">
        <v>6</v>
      </c>
      <c r="E822">
        <v>2.099653</v>
      </c>
      <c r="F822">
        <f t="shared" si="24"/>
        <v>-4.4741999999999837E-2</v>
      </c>
      <c r="G822">
        <f t="shared" si="25"/>
        <v>110.43458849486902</v>
      </c>
    </row>
    <row r="823" spans="2:7">
      <c r="B823" t="s">
        <v>2</v>
      </c>
      <c r="C823" s="2">
        <v>40884</v>
      </c>
      <c r="D823" t="s">
        <v>6</v>
      </c>
      <c r="E823">
        <v>2.1443949999999998</v>
      </c>
      <c r="F823">
        <f t="shared" si="24"/>
        <v>-8.1748000000000154E-2</v>
      </c>
      <c r="G823">
        <f t="shared" si="25"/>
        <v>110.09829541287782</v>
      </c>
    </row>
    <row r="824" spans="2:7">
      <c r="B824" t="s">
        <v>2</v>
      </c>
      <c r="C824" s="2">
        <v>40883</v>
      </c>
      <c r="D824" t="s">
        <v>6</v>
      </c>
      <c r="E824">
        <v>2.226143</v>
      </c>
      <c r="F824">
        <f t="shared" si="24"/>
        <v>2.853899999999987E-2</v>
      </c>
      <c r="G824">
        <f t="shared" si="25"/>
        <v>109.11193675843739</v>
      </c>
    </row>
    <row r="825" spans="2:7">
      <c r="B825" t="s">
        <v>2</v>
      </c>
      <c r="C825" s="2">
        <v>40882</v>
      </c>
      <c r="D825" t="s">
        <v>6</v>
      </c>
      <c r="E825">
        <v>2.1976040000000001</v>
      </c>
      <c r="F825">
        <f t="shared" si="24"/>
        <v>-1.9445999999999852E-2</v>
      </c>
      <c r="G825">
        <f t="shared" si="25"/>
        <v>109.61878645378708</v>
      </c>
    </row>
    <row r="826" spans="2:7">
      <c r="B826" t="s">
        <v>2</v>
      </c>
      <c r="C826" s="2">
        <v>40879</v>
      </c>
      <c r="D826" t="s">
        <v>6</v>
      </c>
      <c r="E826">
        <v>2.21705</v>
      </c>
      <c r="F826">
        <f t="shared" si="24"/>
        <v>-5.3634999999999877E-2</v>
      </c>
      <c r="G826">
        <f t="shared" si="25"/>
        <v>109.87254602485118</v>
      </c>
    </row>
    <row r="827" spans="2:7">
      <c r="B827" t="s">
        <v>2</v>
      </c>
      <c r="C827" s="2">
        <v>40878</v>
      </c>
      <c r="D827" t="s">
        <v>6</v>
      </c>
      <c r="E827">
        <v>2.2706849999999998</v>
      </c>
      <c r="F827">
        <f t="shared" si="24"/>
        <v>6.7739999999999689E-2</v>
      </c>
      <c r="G827">
        <f t="shared" si="25"/>
        <v>109.30236928945374</v>
      </c>
    </row>
    <row r="828" spans="2:7">
      <c r="B828" t="s">
        <v>2</v>
      </c>
      <c r="C828" s="2">
        <v>40877</v>
      </c>
      <c r="D828" t="s">
        <v>6</v>
      </c>
      <c r="E828">
        <v>2.2029450000000002</v>
      </c>
      <c r="F828">
        <f t="shared" si="24"/>
        <v>3.2890000000000086E-2</v>
      </c>
      <c r="G828">
        <f t="shared" si="25"/>
        <v>111.81156430231587</v>
      </c>
    </row>
    <row r="829" spans="2:7">
      <c r="B829" t="s">
        <v>2</v>
      </c>
      <c r="C829" s="2">
        <v>40876</v>
      </c>
      <c r="D829" t="s">
        <v>6</v>
      </c>
      <c r="E829">
        <v>2.1700550000000001</v>
      </c>
      <c r="F829">
        <f t="shared" si="24"/>
        <v>1.8587000000000131E-2</v>
      </c>
      <c r="G829">
        <f t="shared" si="25"/>
        <v>112.50436372021477</v>
      </c>
    </row>
    <row r="830" spans="2:7">
      <c r="B830" t="s">
        <v>2</v>
      </c>
      <c r="C830" s="2">
        <v>40875</v>
      </c>
      <c r="D830" t="s">
        <v>6</v>
      </c>
      <c r="E830">
        <v>2.1514679999999999</v>
      </c>
      <c r="F830">
        <f t="shared" si="24"/>
        <v>5.3399999999999004E-3</v>
      </c>
      <c r="G830">
        <f t="shared" si="25"/>
        <v>112.82524263582422</v>
      </c>
    </row>
    <row r="831" spans="2:7">
      <c r="B831" t="s">
        <v>2</v>
      </c>
      <c r="C831" s="2">
        <v>40872</v>
      </c>
      <c r="D831" t="s">
        <v>6</v>
      </c>
      <c r="E831">
        <v>2.146128</v>
      </c>
      <c r="F831">
        <f t="shared" si="24"/>
        <v>6.2794000000000239E-2</v>
      </c>
      <c r="G831">
        <f t="shared" si="25"/>
        <v>113.71456873046866</v>
      </c>
    </row>
    <row r="832" spans="2:7">
      <c r="B832" t="s">
        <v>2</v>
      </c>
      <c r="C832" s="2">
        <v>40870</v>
      </c>
      <c r="D832" t="s">
        <v>6</v>
      </c>
      <c r="E832">
        <v>2.0833339999999998</v>
      </c>
      <c r="F832">
        <f t="shared" si="24"/>
        <v>-3.8553000000000281E-2</v>
      </c>
      <c r="G832">
        <f t="shared" si="25"/>
        <v>114.13614997697741</v>
      </c>
    </row>
    <row r="833" spans="2:7">
      <c r="B833" t="s">
        <v>2</v>
      </c>
      <c r="C833" s="2">
        <v>40869</v>
      </c>
      <c r="D833" t="s">
        <v>6</v>
      </c>
      <c r="E833">
        <v>2.1218870000000001</v>
      </c>
      <c r="F833">
        <f t="shared" si="24"/>
        <v>-2.6971999999999774E-2</v>
      </c>
      <c r="G833">
        <f t="shared" si="25"/>
        <v>114.35769900355197</v>
      </c>
    </row>
    <row r="834" spans="2:7">
      <c r="B834" t="s">
        <v>2</v>
      </c>
      <c r="C834" s="2">
        <v>40868</v>
      </c>
      <c r="D834" t="s">
        <v>6</v>
      </c>
      <c r="E834">
        <v>2.1488589999999999</v>
      </c>
      <c r="F834">
        <f t="shared" si="24"/>
        <v>-2.3246000000000322E-2</v>
      </c>
      <c r="G834">
        <f t="shared" si="25"/>
        <v>114.26447559813812</v>
      </c>
    </row>
    <row r="835" spans="2:7">
      <c r="B835" t="s">
        <v>2</v>
      </c>
      <c r="C835" s="2">
        <v>40865</v>
      </c>
      <c r="D835" t="s">
        <v>6</v>
      </c>
      <c r="E835">
        <v>2.1721050000000002</v>
      </c>
      <c r="F835">
        <f t="shared" ref="F835:F898" si="26">E835-E836</f>
        <v>2.1142000000000216E-2</v>
      </c>
      <c r="G835">
        <f t="shared" ref="G835:G898" si="27">STDEV(F835:F894)*SQRT(250)*100</f>
        <v>116.99093111495158</v>
      </c>
    </row>
    <row r="836" spans="2:7">
      <c r="B836" t="s">
        <v>2</v>
      </c>
      <c r="C836" s="2">
        <v>40864</v>
      </c>
      <c r="D836" t="s">
        <v>6</v>
      </c>
      <c r="E836">
        <v>2.150963</v>
      </c>
      <c r="F836">
        <f t="shared" si="26"/>
        <v>-6.8270000000000053E-2</v>
      </c>
      <c r="G836">
        <f t="shared" si="27"/>
        <v>117.34165803117679</v>
      </c>
    </row>
    <row r="837" spans="2:7">
      <c r="B837" t="s">
        <v>2</v>
      </c>
      <c r="C837" s="2">
        <v>40863</v>
      </c>
      <c r="D837" t="s">
        <v>6</v>
      </c>
      <c r="E837">
        <v>2.219233</v>
      </c>
      <c r="F837">
        <f t="shared" si="26"/>
        <v>-2.8242999999999796E-2</v>
      </c>
      <c r="G837">
        <f t="shared" si="27"/>
        <v>116.80350128048961</v>
      </c>
    </row>
    <row r="838" spans="2:7">
      <c r="B838" t="s">
        <v>2</v>
      </c>
      <c r="C838" s="2">
        <v>40862</v>
      </c>
      <c r="D838" t="s">
        <v>6</v>
      </c>
      <c r="E838">
        <v>2.2474759999999998</v>
      </c>
      <c r="F838">
        <f t="shared" si="26"/>
        <v>1.3907999999999809E-2</v>
      </c>
      <c r="G838">
        <f t="shared" si="27"/>
        <v>116.65644971507747</v>
      </c>
    </row>
    <row r="839" spans="2:7">
      <c r="B839" t="s">
        <v>2</v>
      </c>
      <c r="C839" s="2">
        <v>40861</v>
      </c>
      <c r="D839" t="s">
        <v>6</v>
      </c>
      <c r="E839">
        <v>2.233568</v>
      </c>
      <c r="F839">
        <f t="shared" si="26"/>
        <v>1.1702999999999797E-2</v>
      </c>
      <c r="G839">
        <f t="shared" si="27"/>
        <v>117.74813927792887</v>
      </c>
    </row>
    <row r="840" spans="2:7">
      <c r="B840" t="s">
        <v>2</v>
      </c>
      <c r="C840" s="2">
        <v>40857</v>
      </c>
      <c r="D840" t="s">
        <v>6</v>
      </c>
      <c r="E840">
        <v>2.2218650000000002</v>
      </c>
      <c r="F840">
        <f t="shared" si="26"/>
        <v>7.1801000000000226E-2</v>
      </c>
      <c r="G840">
        <f t="shared" si="27"/>
        <v>118.49550462168601</v>
      </c>
    </row>
    <row r="841" spans="2:7">
      <c r="B841" t="s">
        <v>2</v>
      </c>
      <c r="C841" s="2">
        <v>40856</v>
      </c>
      <c r="D841" t="s">
        <v>6</v>
      </c>
      <c r="E841">
        <v>2.150064</v>
      </c>
      <c r="F841">
        <f t="shared" si="26"/>
        <v>-7.3459999999999859E-2</v>
      </c>
      <c r="G841">
        <f t="shared" si="27"/>
        <v>118.55312674266871</v>
      </c>
    </row>
    <row r="842" spans="2:7">
      <c r="B842" t="s">
        <v>2</v>
      </c>
      <c r="C842" s="2">
        <v>40855</v>
      </c>
      <c r="D842" t="s">
        <v>6</v>
      </c>
      <c r="E842">
        <v>2.2235239999999998</v>
      </c>
      <c r="F842">
        <f t="shared" si="26"/>
        <v>6.6932999999999687E-2</v>
      </c>
      <c r="G842">
        <f t="shared" si="27"/>
        <v>117.82162722986176</v>
      </c>
    </row>
    <row r="843" spans="2:7">
      <c r="B843" t="s">
        <v>2</v>
      </c>
      <c r="C843" s="2">
        <v>40854</v>
      </c>
      <c r="D843" t="s">
        <v>6</v>
      </c>
      <c r="E843">
        <v>2.1565910000000001</v>
      </c>
      <c r="F843">
        <f t="shared" si="26"/>
        <v>-4.6681999999999668E-2</v>
      </c>
      <c r="G843">
        <f t="shared" si="27"/>
        <v>117.91292079761536</v>
      </c>
    </row>
    <row r="844" spans="2:7">
      <c r="B844" t="s">
        <v>2</v>
      </c>
      <c r="C844" s="2">
        <v>40851</v>
      </c>
      <c r="D844" t="s">
        <v>6</v>
      </c>
      <c r="E844">
        <v>2.2032729999999998</v>
      </c>
      <c r="F844">
        <f t="shared" si="26"/>
        <v>-2.2412000000000099E-2</v>
      </c>
      <c r="G844">
        <f t="shared" si="27"/>
        <v>121.17905050350983</v>
      </c>
    </row>
    <row r="845" spans="2:7">
      <c r="B845" t="s">
        <v>2</v>
      </c>
      <c r="C845" s="2">
        <v>40850</v>
      </c>
      <c r="D845" t="s">
        <v>6</v>
      </c>
      <c r="E845">
        <v>2.2256849999999999</v>
      </c>
      <c r="F845">
        <f t="shared" si="26"/>
        <v>5.3424999999999834E-2</v>
      </c>
      <c r="G845">
        <f t="shared" si="27"/>
        <v>121.3802173023184</v>
      </c>
    </row>
    <row r="846" spans="2:7">
      <c r="B846" t="s">
        <v>2</v>
      </c>
      <c r="C846" s="2">
        <v>40849</v>
      </c>
      <c r="D846" t="s">
        <v>6</v>
      </c>
      <c r="E846">
        <v>2.1722600000000001</v>
      </c>
      <c r="F846">
        <f t="shared" si="26"/>
        <v>4.4480000000000075E-3</v>
      </c>
      <c r="G846">
        <f t="shared" si="27"/>
        <v>125.83009782507828</v>
      </c>
    </row>
    <row r="847" spans="2:7">
      <c r="B847" t="s">
        <v>2</v>
      </c>
      <c r="C847" s="2">
        <v>40848</v>
      </c>
      <c r="D847" t="s">
        <v>6</v>
      </c>
      <c r="E847">
        <v>2.1678120000000001</v>
      </c>
      <c r="F847">
        <f t="shared" si="26"/>
        <v>-0.15533600000000014</v>
      </c>
      <c r="G847">
        <f t="shared" si="27"/>
        <v>129.7893686440421</v>
      </c>
    </row>
    <row r="848" spans="2:7">
      <c r="B848" t="s">
        <v>2</v>
      </c>
      <c r="C848" s="2">
        <v>40847</v>
      </c>
      <c r="D848" t="s">
        <v>6</v>
      </c>
      <c r="E848">
        <v>2.3231480000000002</v>
      </c>
      <c r="F848">
        <f t="shared" si="26"/>
        <v>-0.11781999999999959</v>
      </c>
      <c r="G848">
        <f t="shared" si="27"/>
        <v>128.88100944485734</v>
      </c>
    </row>
    <row r="849" spans="2:7">
      <c r="B849" t="s">
        <v>2</v>
      </c>
      <c r="C849" s="2">
        <v>40844</v>
      </c>
      <c r="D849" t="s">
        <v>6</v>
      </c>
      <c r="E849">
        <v>2.4409679999999998</v>
      </c>
      <c r="F849">
        <f t="shared" si="26"/>
        <v>-0.10681099999999999</v>
      </c>
      <c r="G849">
        <f t="shared" si="27"/>
        <v>128.78574892718751</v>
      </c>
    </row>
    <row r="850" spans="2:7">
      <c r="B850" t="s">
        <v>2</v>
      </c>
      <c r="C850" s="2">
        <v>40843</v>
      </c>
      <c r="D850" t="s">
        <v>6</v>
      </c>
      <c r="E850">
        <v>2.5477789999999998</v>
      </c>
      <c r="F850">
        <f t="shared" si="26"/>
        <v>0.16238899999999967</v>
      </c>
      <c r="G850">
        <f t="shared" si="27"/>
        <v>127.13699944680208</v>
      </c>
    </row>
    <row r="851" spans="2:7">
      <c r="B851" t="s">
        <v>2</v>
      </c>
      <c r="C851" s="2">
        <v>40842</v>
      </c>
      <c r="D851" t="s">
        <v>6</v>
      </c>
      <c r="E851">
        <v>2.3853900000000001</v>
      </c>
      <c r="F851">
        <f t="shared" si="26"/>
        <v>6.8738000000000188E-2</v>
      </c>
      <c r="G851">
        <f t="shared" si="27"/>
        <v>124.44254002958202</v>
      </c>
    </row>
    <row r="852" spans="2:7">
      <c r="B852" t="s">
        <v>2</v>
      </c>
      <c r="C852" s="2">
        <v>40841</v>
      </c>
      <c r="D852" t="s">
        <v>6</v>
      </c>
      <c r="E852">
        <v>2.3166519999999999</v>
      </c>
      <c r="F852">
        <f t="shared" si="26"/>
        <v>-0.11112799999999989</v>
      </c>
      <c r="G852">
        <f t="shared" si="27"/>
        <v>123.79458030135527</v>
      </c>
    </row>
    <row r="853" spans="2:7">
      <c r="B853" t="s">
        <v>2</v>
      </c>
      <c r="C853" s="2">
        <v>40840</v>
      </c>
      <c r="D853" t="s">
        <v>6</v>
      </c>
      <c r="E853">
        <v>2.4277799999999998</v>
      </c>
      <c r="F853">
        <f t="shared" si="26"/>
        <v>3.1646999999999981E-2</v>
      </c>
      <c r="G853">
        <f t="shared" si="27"/>
        <v>124.87698304182047</v>
      </c>
    </row>
    <row r="854" spans="2:7">
      <c r="B854" t="s">
        <v>2</v>
      </c>
      <c r="C854" s="2">
        <v>40837</v>
      </c>
      <c r="D854" t="s">
        <v>6</v>
      </c>
      <c r="E854">
        <v>2.3961329999999998</v>
      </c>
      <c r="F854">
        <f t="shared" si="26"/>
        <v>3.093099999999982E-2</v>
      </c>
      <c r="G854">
        <f t="shared" si="27"/>
        <v>124.57399860717413</v>
      </c>
    </row>
    <row r="855" spans="2:7">
      <c r="B855" t="s">
        <v>2</v>
      </c>
      <c r="C855" s="2">
        <v>40836</v>
      </c>
      <c r="D855" t="s">
        <v>6</v>
      </c>
      <c r="E855">
        <v>2.365202</v>
      </c>
      <c r="F855">
        <f t="shared" si="26"/>
        <v>1.8393000000000104E-2</v>
      </c>
      <c r="G855">
        <f t="shared" si="27"/>
        <v>124.54248795848395</v>
      </c>
    </row>
    <row r="856" spans="2:7">
      <c r="B856" t="s">
        <v>2</v>
      </c>
      <c r="C856" s="2">
        <v>40835</v>
      </c>
      <c r="D856" t="s">
        <v>6</v>
      </c>
      <c r="E856">
        <v>2.3468089999999999</v>
      </c>
      <c r="F856">
        <f t="shared" si="26"/>
        <v>-1.4250000000002316E-3</v>
      </c>
      <c r="G856">
        <f t="shared" si="27"/>
        <v>124.61214503526632</v>
      </c>
    </row>
    <row r="857" spans="2:7">
      <c r="B857" t="s">
        <v>2</v>
      </c>
      <c r="C857" s="2">
        <v>40834</v>
      </c>
      <c r="D857" t="s">
        <v>6</v>
      </c>
      <c r="E857">
        <v>2.3482340000000002</v>
      </c>
      <c r="F857">
        <f t="shared" si="26"/>
        <v>7.0400000000025997E-4</v>
      </c>
      <c r="G857">
        <f t="shared" si="27"/>
        <v>124.93787453378205</v>
      </c>
    </row>
    <row r="858" spans="2:7">
      <c r="B858" t="s">
        <v>2</v>
      </c>
      <c r="C858" s="2">
        <v>40833</v>
      </c>
      <c r="D858" t="s">
        <v>6</v>
      </c>
      <c r="E858">
        <v>2.3475299999999999</v>
      </c>
      <c r="F858">
        <f t="shared" si="26"/>
        <v>-6.5280000000000005E-2</v>
      </c>
      <c r="G858">
        <f t="shared" si="27"/>
        <v>125.45472850578308</v>
      </c>
    </row>
    <row r="859" spans="2:7">
      <c r="B859" t="s">
        <v>2</v>
      </c>
      <c r="C859" s="2">
        <v>40830</v>
      </c>
      <c r="D859" t="s">
        <v>6</v>
      </c>
      <c r="E859">
        <v>2.4128099999999999</v>
      </c>
      <c r="F859">
        <f t="shared" si="26"/>
        <v>7.3231999999999964E-2</v>
      </c>
      <c r="G859">
        <f t="shared" si="27"/>
        <v>125.91903985763541</v>
      </c>
    </row>
    <row r="860" spans="2:7">
      <c r="B860" t="s">
        <v>2</v>
      </c>
      <c r="C860" s="2">
        <v>40829</v>
      </c>
      <c r="D860" t="s">
        <v>6</v>
      </c>
      <c r="E860">
        <v>2.3395779999999999</v>
      </c>
      <c r="F860">
        <f t="shared" si="26"/>
        <v>-4.0550000000000086E-2</v>
      </c>
      <c r="G860">
        <f t="shared" si="27"/>
        <v>125.07768352976323</v>
      </c>
    </row>
    <row r="861" spans="2:7">
      <c r="B861" t="s">
        <v>2</v>
      </c>
      <c r="C861" s="2">
        <v>40828</v>
      </c>
      <c r="D861" t="s">
        <v>6</v>
      </c>
      <c r="E861">
        <v>2.380128</v>
      </c>
      <c r="F861">
        <f t="shared" si="26"/>
        <v>3.4797000000000189E-2</v>
      </c>
      <c r="G861">
        <f t="shared" si="27"/>
        <v>124.97659287761007</v>
      </c>
    </row>
    <row r="862" spans="2:7">
      <c r="B862" t="s">
        <v>2</v>
      </c>
      <c r="C862" s="2">
        <v>40827</v>
      </c>
      <c r="D862" t="s">
        <v>6</v>
      </c>
      <c r="E862">
        <v>2.3453309999999998</v>
      </c>
      <c r="F862">
        <f t="shared" si="26"/>
        <v>8.2322000000000006E-2</v>
      </c>
      <c r="G862">
        <f t="shared" si="27"/>
        <v>124.62668004290347</v>
      </c>
    </row>
    <row r="863" spans="2:7">
      <c r="B863" t="s">
        <v>2</v>
      </c>
      <c r="C863" s="2">
        <v>40823</v>
      </c>
      <c r="D863" t="s">
        <v>6</v>
      </c>
      <c r="E863">
        <v>2.2630089999999998</v>
      </c>
      <c r="F863">
        <f t="shared" si="26"/>
        <v>7.1885999999999672E-2</v>
      </c>
      <c r="G863">
        <f t="shared" si="27"/>
        <v>123.16393129704156</v>
      </c>
    </row>
    <row r="864" spans="2:7">
      <c r="B864" t="s">
        <v>2</v>
      </c>
      <c r="C864" s="2">
        <v>40822</v>
      </c>
      <c r="D864" t="s">
        <v>6</v>
      </c>
      <c r="E864">
        <v>2.1911230000000002</v>
      </c>
      <c r="F864">
        <f t="shared" si="26"/>
        <v>5.9376000000000317E-2</v>
      </c>
      <c r="G864">
        <f t="shared" si="27"/>
        <v>122.34089535243271</v>
      </c>
    </row>
    <row r="865" spans="2:7">
      <c r="B865" t="s">
        <v>2</v>
      </c>
      <c r="C865" s="2">
        <v>40821</v>
      </c>
      <c r="D865" t="s">
        <v>6</v>
      </c>
      <c r="E865">
        <v>2.1317469999999998</v>
      </c>
      <c r="F865">
        <f t="shared" si="26"/>
        <v>0.10830099999999998</v>
      </c>
      <c r="G865">
        <f t="shared" si="27"/>
        <v>121.40476318396341</v>
      </c>
    </row>
    <row r="866" spans="2:7">
      <c r="B866" t="s">
        <v>2</v>
      </c>
      <c r="C866" s="2">
        <v>40820</v>
      </c>
      <c r="D866" t="s">
        <v>6</v>
      </c>
      <c r="E866">
        <v>2.0234459999999999</v>
      </c>
      <c r="F866">
        <f t="shared" si="26"/>
        <v>2.8230999999999895E-2</v>
      </c>
      <c r="G866">
        <f t="shared" si="27"/>
        <v>118.65859622108374</v>
      </c>
    </row>
    <row r="867" spans="2:7">
      <c r="B867" t="s">
        <v>2</v>
      </c>
      <c r="C867" s="2">
        <v>40819</v>
      </c>
      <c r="D867" t="s">
        <v>6</v>
      </c>
      <c r="E867">
        <v>1.995215</v>
      </c>
      <c r="F867">
        <f t="shared" si="26"/>
        <v>-0.10965200000000008</v>
      </c>
      <c r="G867">
        <f t="shared" si="27"/>
        <v>118.85939478101442</v>
      </c>
    </row>
    <row r="868" spans="2:7">
      <c r="B868" t="s">
        <v>2</v>
      </c>
      <c r="C868" s="2">
        <v>40816</v>
      </c>
      <c r="D868" t="s">
        <v>6</v>
      </c>
      <c r="E868">
        <v>2.104867</v>
      </c>
      <c r="F868">
        <f t="shared" si="26"/>
        <v>-2.5313999999999837E-2</v>
      </c>
      <c r="G868">
        <f t="shared" si="27"/>
        <v>119.49114539665899</v>
      </c>
    </row>
    <row r="869" spans="2:7">
      <c r="B869" t="s">
        <v>2</v>
      </c>
      <c r="C869" s="2">
        <v>40815</v>
      </c>
      <c r="D869" t="s">
        <v>6</v>
      </c>
      <c r="E869">
        <v>2.1301809999999999</v>
      </c>
      <c r="F869">
        <f t="shared" si="26"/>
        <v>-4.3130000000000113E-2</v>
      </c>
      <c r="G869">
        <f t="shared" si="27"/>
        <v>120.33338994807501</v>
      </c>
    </row>
    <row r="870" spans="2:7">
      <c r="B870" t="s">
        <v>2</v>
      </c>
      <c r="C870" s="2">
        <v>40814</v>
      </c>
      <c r="D870" t="s">
        <v>6</v>
      </c>
      <c r="E870">
        <v>2.173311</v>
      </c>
      <c r="F870">
        <f t="shared" si="26"/>
        <v>-1.2919000000000125E-2</v>
      </c>
      <c r="G870">
        <f t="shared" si="27"/>
        <v>120.23495585319213</v>
      </c>
    </row>
    <row r="871" spans="2:7">
      <c r="B871" t="s">
        <v>2</v>
      </c>
      <c r="C871" s="2">
        <v>40813</v>
      </c>
      <c r="D871" t="s">
        <v>6</v>
      </c>
      <c r="E871">
        <v>2.1862300000000001</v>
      </c>
      <c r="F871">
        <f t="shared" si="26"/>
        <v>0.10170799999999991</v>
      </c>
      <c r="G871">
        <f t="shared" si="27"/>
        <v>120.46469988435659</v>
      </c>
    </row>
    <row r="872" spans="2:7">
      <c r="B872" t="s">
        <v>2</v>
      </c>
      <c r="C872" s="2">
        <v>40812</v>
      </c>
      <c r="D872" t="s">
        <v>6</v>
      </c>
      <c r="E872">
        <v>2.0845220000000002</v>
      </c>
      <c r="F872">
        <f t="shared" si="26"/>
        <v>0.10233500000000029</v>
      </c>
      <c r="G872">
        <f t="shared" si="27"/>
        <v>118.75092339086723</v>
      </c>
    </row>
    <row r="873" spans="2:7">
      <c r="B873" t="s">
        <v>2</v>
      </c>
      <c r="C873" s="2">
        <v>40809</v>
      </c>
      <c r="D873" t="s">
        <v>6</v>
      </c>
      <c r="E873">
        <v>1.9821869999999999</v>
      </c>
      <c r="F873">
        <f t="shared" si="26"/>
        <v>8.2514999999999894E-2</v>
      </c>
      <c r="G873">
        <f t="shared" si="27"/>
        <v>116.67366583937566</v>
      </c>
    </row>
    <row r="874" spans="2:7">
      <c r="B874" t="s">
        <v>2</v>
      </c>
      <c r="C874" s="2">
        <v>40808</v>
      </c>
      <c r="D874" t="s">
        <v>6</v>
      </c>
      <c r="E874">
        <v>1.899672</v>
      </c>
      <c r="F874">
        <f t="shared" si="26"/>
        <v>-0.18436600000000003</v>
      </c>
      <c r="G874">
        <f t="shared" si="27"/>
        <v>115.86690965612176</v>
      </c>
    </row>
    <row r="875" spans="2:7">
      <c r="B875" t="s">
        <v>2</v>
      </c>
      <c r="C875" s="2">
        <v>40807</v>
      </c>
      <c r="D875" t="s">
        <v>6</v>
      </c>
      <c r="E875">
        <v>2.0840380000000001</v>
      </c>
      <c r="F875">
        <f t="shared" si="26"/>
        <v>-6.3107000000000024E-2</v>
      </c>
      <c r="G875">
        <f t="shared" si="27"/>
        <v>113.53143768163652</v>
      </c>
    </row>
    <row r="876" spans="2:7">
      <c r="B876" t="s">
        <v>2</v>
      </c>
      <c r="C876" s="2">
        <v>40806</v>
      </c>
      <c r="D876" t="s">
        <v>6</v>
      </c>
      <c r="E876">
        <v>2.1471450000000001</v>
      </c>
      <c r="F876">
        <f t="shared" si="26"/>
        <v>5.2099999999999369E-3</v>
      </c>
      <c r="G876">
        <f t="shared" si="27"/>
        <v>113.96007055710629</v>
      </c>
    </row>
    <row r="877" spans="2:7">
      <c r="B877" t="s">
        <v>2</v>
      </c>
      <c r="C877" s="2">
        <v>40805</v>
      </c>
      <c r="D877" t="s">
        <v>6</v>
      </c>
      <c r="E877">
        <v>2.1419350000000001</v>
      </c>
      <c r="F877">
        <f t="shared" si="26"/>
        <v>-0.11835099999999965</v>
      </c>
      <c r="G877">
        <f t="shared" si="27"/>
        <v>113.91698802526282</v>
      </c>
    </row>
    <row r="878" spans="2:7">
      <c r="B878" t="s">
        <v>2</v>
      </c>
      <c r="C878" s="2">
        <v>40802</v>
      </c>
      <c r="D878" t="s">
        <v>6</v>
      </c>
      <c r="E878">
        <v>2.2602859999999998</v>
      </c>
      <c r="F878">
        <f t="shared" si="26"/>
        <v>-2.0920000000002048E-3</v>
      </c>
      <c r="G878">
        <f t="shared" si="27"/>
        <v>112.65178067747124</v>
      </c>
    </row>
    <row r="879" spans="2:7">
      <c r="B879" t="s">
        <v>2</v>
      </c>
      <c r="C879" s="2">
        <v>40801</v>
      </c>
      <c r="D879" t="s">
        <v>6</v>
      </c>
      <c r="E879">
        <v>2.262378</v>
      </c>
      <c r="F879">
        <f t="shared" si="26"/>
        <v>4.8312000000000133E-2</v>
      </c>
      <c r="G879">
        <f t="shared" si="27"/>
        <v>112.62399355380612</v>
      </c>
    </row>
    <row r="880" spans="2:7">
      <c r="B880" t="s">
        <v>2</v>
      </c>
      <c r="C880" s="2">
        <v>40800</v>
      </c>
      <c r="D880" t="s">
        <v>6</v>
      </c>
      <c r="E880">
        <v>2.2140659999999999</v>
      </c>
      <c r="F880">
        <f t="shared" si="26"/>
        <v>1.3272999999999868E-2</v>
      </c>
      <c r="G880">
        <f t="shared" si="27"/>
        <v>112.12051769401472</v>
      </c>
    </row>
    <row r="881" spans="2:7">
      <c r="B881" t="s">
        <v>2</v>
      </c>
      <c r="C881" s="2">
        <v>40799</v>
      </c>
      <c r="D881" t="s">
        <v>6</v>
      </c>
      <c r="E881">
        <v>2.200793</v>
      </c>
      <c r="F881">
        <f t="shared" si="26"/>
        <v>5.530999999999997E-2</v>
      </c>
      <c r="G881">
        <f t="shared" si="27"/>
        <v>112.19913379605046</v>
      </c>
    </row>
    <row r="882" spans="2:7">
      <c r="B882" t="s">
        <v>2</v>
      </c>
      <c r="C882" s="2">
        <v>40798</v>
      </c>
      <c r="D882" t="s">
        <v>6</v>
      </c>
      <c r="E882">
        <v>2.145483</v>
      </c>
      <c r="F882">
        <f t="shared" si="26"/>
        <v>1.4822999999999809E-2</v>
      </c>
      <c r="G882">
        <f t="shared" si="27"/>
        <v>111.57529955260812</v>
      </c>
    </row>
    <row r="883" spans="2:7">
      <c r="B883" t="s">
        <v>2</v>
      </c>
      <c r="C883" s="2">
        <v>40795</v>
      </c>
      <c r="D883" t="s">
        <v>6</v>
      </c>
      <c r="E883">
        <v>2.1306600000000002</v>
      </c>
      <c r="F883">
        <f t="shared" si="26"/>
        <v>-4.0341999999999878E-2</v>
      </c>
      <c r="G883">
        <f t="shared" si="27"/>
        <v>111.53049844207</v>
      </c>
    </row>
    <row r="884" spans="2:7">
      <c r="B884" t="s">
        <v>2</v>
      </c>
      <c r="C884" s="2">
        <v>40794</v>
      </c>
      <c r="D884" t="s">
        <v>6</v>
      </c>
      <c r="E884">
        <v>2.1710020000000001</v>
      </c>
      <c r="F884">
        <f t="shared" si="26"/>
        <v>-5.8282999999999863E-2</v>
      </c>
      <c r="G884">
        <f t="shared" si="27"/>
        <v>112.79504329861876</v>
      </c>
    </row>
    <row r="885" spans="2:7">
      <c r="B885" t="s">
        <v>2</v>
      </c>
      <c r="C885" s="2">
        <v>40793</v>
      </c>
      <c r="D885" t="s">
        <v>6</v>
      </c>
      <c r="E885">
        <v>2.229285</v>
      </c>
      <c r="F885">
        <f t="shared" si="26"/>
        <v>4.1106999999999783E-2</v>
      </c>
      <c r="G885">
        <f t="shared" si="27"/>
        <v>115.10722230833106</v>
      </c>
    </row>
    <row r="886" spans="2:7">
      <c r="B886" t="s">
        <v>2</v>
      </c>
      <c r="C886" s="2">
        <v>40792</v>
      </c>
      <c r="D886" t="s">
        <v>6</v>
      </c>
      <c r="E886">
        <v>2.1881780000000002</v>
      </c>
      <c r="F886">
        <f t="shared" si="26"/>
        <v>-4.0269999999997808E-3</v>
      </c>
      <c r="G886">
        <f t="shared" si="27"/>
        <v>114.82525728957866</v>
      </c>
    </row>
    <row r="887" spans="2:7">
      <c r="B887" t="s">
        <v>2</v>
      </c>
      <c r="C887" s="2">
        <v>40788</v>
      </c>
      <c r="D887" t="s">
        <v>6</v>
      </c>
      <c r="E887">
        <v>2.192205</v>
      </c>
      <c r="F887">
        <f t="shared" si="26"/>
        <v>-0.1335329999999999</v>
      </c>
      <c r="G887">
        <f t="shared" si="27"/>
        <v>114.82256104318628</v>
      </c>
    </row>
    <row r="888" spans="2:7">
      <c r="B888" t="s">
        <v>2</v>
      </c>
      <c r="C888" s="2">
        <v>40787</v>
      </c>
      <c r="D888" t="s">
        <v>6</v>
      </c>
      <c r="E888">
        <v>2.3257379999999999</v>
      </c>
      <c r="F888">
        <f t="shared" si="26"/>
        <v>-7.3293000000000053E-2</v>
      </c>
      <c r="G888">
        <f t="shared" si="27"/>
        <v>112.39470381824917</v>
      </c>
    </row>
    <row r="889" spans="2:7">
      <c r="B889" t="s">
        <v>2</v>
      </c>
      <c r="C889" s="2">
        <v>40786</v>
      </c>
      <c r="D889" t="s">
        <v>6</v>
      </c>
      <c r="E889">
        <v>2.3990309999999999</v>
      </c>
      <c r="F889">
        <f t="shared" si="26"/>
        <v>4.3283999999999878E-2</v>
      </c>
      <c r="G889">
        <f t="shared" si="27"/>
        <v>112.09385642245608</v>
      </c>
    </row>
    <row r="890" spans="2:7">
      <c r="B890" t="s">
        <v>2</v>
      </c>
      <c r="C890" s="2">
        <v>40785</v>
      </c>
      <c r="D890" t="s">
        <v>6</v>
      </c>
      <c r="E890">
        <v>2.355747</v>
      </c>
      <c r="F890">
        <f t="shared" si="26"/>
        <v>-7.3655000000000026E-2</v>
      </c>
      <c r="G890">
        <f t="shared" si="27"/>
        <v>111.58673688241348</v>
      </c>
    </row>
    <row r="891" spans="2:7">
      <c r="B891" t="s">
        <v>2</v>
      </c>
      <c r="C891" s="2">
        <v>40784</v>
      </c>
      <c r="D891" t="s">
        <v>6</v>
      </c>
      <c r="E891">
        <v>2.4294020000000001</v>
      </c>
      <c r="F891">
        <f t="shared" si="26"/>
        <v>7.7917000000000236E-2</v>
      </c>
      <c r="G891">
        <f t="shared" si="27"/>
        <v>110.98487835236442</v>
      </c>
    </row>
    <row r="892" spans="2:7">
      <c r="B892" t="s">
        <v>2</v>
      </c>
      <c r="C892" s="2">
        <v>40781</v>
      </c>
      <c r="D892" t="s">
        <v>6</v>
      </c>
      <c r="E892">
        <v>2.3514849999999998</v>
      </c>
      <c r="F892">
        <f t="shared" si="26"/>
        <v>-5.3047999999999984E-2</v>
      </c>
      <c r="G892">
        <f t="shared" si="27"/>
        <v>109.46654291430863</v>
      </c>
    </row>
    <row r="893" spans="2:7">
      <c r="B893" t="s">
        <v>2</v>
      </c>
      <c r="C893" s="2">
        <v>40780</v>
      </c>
      <c r="D893" t="s">
        <v>6</v>
      </c>
      <c r="E893">
        <v>2.4045329999999998</v>
      </c>
      <c r="F893">
        <f t="shared" si="26"/>
        <v>-5.330000000000279E-3</v>
      </c>
      <c r="G893">
        <f t="shared" si="27"/>
        <v>110.20100212568691</v>
      </c>
    </row>
    <row r="894" spans="2:7">
      <c r="B894" t="s">
        <v>2</v>
      </c>
      <c r="C894" s="2">
        <v>40779</v>
      </c>
      <c r="D894" t="s">
        <v>6</v>
      </c>
      <c r="E894">
        <v>2.4098630000000001</v>
      </c>
      <c r="F894">
        <f t="shared" si="26"/>
        <v>0.12047499999999989</v>
      </c>
      <c r="G894">
        <f t="shared" si="27"/>
        <v>110.82818431503374</v>
      </c>
    </row>
    <row r="895" spans="2:7">
      <c r="B895" t="s">
        <v>2</v>
      </c>
      <c r="C895" s="2">
        <v>40778</v>
      </c>
      <c r="D895" t="s">
        <v>6</v>
      </c>
      <c r="E895">
        <v>2.2893880000000002</v>
      </c>
      <c r="F895">
        <f t="shared" si="26"/>
        <v>4.7895000000000021E-2</v>
      </c>
      <c r="G895">
        <f t="shared" si="27"/>
        <v>107.35165133433694</v>
      </c>
    </row>
    <row r="896" spans="2:7">
      <c r="B896" t="s">
        <v>2</v>
      </c>
      <c r="C896" s="2">
        <v>40777</v>
      </c>
      <c r="D896" t="s">
        <v>6</v>
      </c>
      <c r="E896">
        <v>2.2414930000000002</v>
      </c>
      <c r="F896">
        <f t="shared" si="26"/>
        <v>3.9438000000000084E-2</v>
      </c>
      <c r="G896">
        <f t="shared" si="27"/>
        <v>106.75886130873566</v>
      </c>
    </row>
    <row r="897" spans="2:7">
      <c r="B897" t="s">
        <v>2</v>
      </c>
      <c r="C897" s="2">
        <v>40774</v>
      </c>
      <c r="D897" t="s">
        <v>6</v>
      </c>
      <c r="E897">
        <v>2.2020550000000001</v>
      </c>
      <c r="F897">
        <f t="shared" si="26"/>
        <v>4.990000000000272E-3</v>
      </c>
      <c r="G897">
        <f t="shared" si="27"/>
        <v>106.82363605046581</v>
      </c>
    </row>
    <row r="898" spans="2:7">
      <c r="B898" t="s">
        <v>2</v>
      </c>
      <c r="C898" s="2">
        <v>40773</v>
      </c>
      <c r="D898" t="s">
        <v>6</v>
      </c>
      <c r="E898">
        <v>2.1970649999999998</v>
      </c>
      <c r="F898">
        <f t="shared" si="26"/>
        <v>-7.8868000000000382E-2</v>
      </c>
      <c r="G898">
        <f t="shared" si="27"/>
        <v>106.81291701734507</v>
      </c>
    </row>
    <row r="899" spans="2:7">
      <c r="B899" t="s">
        <v>2</v>
      </c>
      <c r="C899" s="2">
        <v>40772</v>
      </c>
      <c r="D899" t="s">
        <v>6</v>
      </c>
      <c r="E899">
        <v>2.2759330000000002</v>
      </c>
      <c r="F899">
        <f t="shared" ref="F899:F962" si="28">E899-E900</f>
        <v>-6.722399999999995E-2</v>
      </c>
      <c r="G899">
        <f t="shared" ref="G899:G962" si="29">STDEV(F899:F958)*SQRT(250)*100</f>
        <v>106.03801876469765</v>
      </c>
    </row>
    <row r="900" spans="2:7">
      <c r="B900" t="s">
        <v>2</v>
      </c>
      <c r="C900" s="2">
        <v>40771</v>
      </c>
      <c r="D900" t="s">
        <v>6</v>
      </c>
      <c r="E900">
        <v>2.3431570000000002</v>
      </c>
      <c r="F900">
        <f t="shared" si="28"/>
        <v>-8.0498999999999654E-2</v>
      </c>
      <c r="G900">
        <f t="shared" si="29"/>
        <v>105.49976608832878</v>
      </c>
    </row>
    <row r="901" spans="2:7">
      <c r="B901" t="s">
        <v>2</v>
      </c>
      <c r="C901" s="2">
        <v>40770</v>
      </c>
      <c r="D901" t="s">
        <v>6</v>
      </c>
      <c r="E901">
        <v>2.4236559999999998</v>
      </c>
      <c r="F901">
        <f t="shared" si="28"/>
        <v>2.4170999999999943E-2</v>
      </c>
      <c r="G901">
        <f t="shared" si="29"/>
        <v>104.61949126825323</v>
      </c>
    </row>
    <row r="902" spans="2:7">
      <c r="B902" t="s">
        <v>2</v>
      </c>
      <c r="C902" s="2">
        <v>40767</v>
      </c>
      <c r="D902" t="s">
        <v>6</v>
      </c>
      <c r="E902">
        <v>2.3994849999999999</v>
      </c>
      <c r="F902">
        <f t="shared" si="28"/>
        <v>-7.8713000000000033E-2</v>
      </c>
      <c r="G902">
        <f t="shared" si="29"/>
        <v>104.39080030023793</v>
      </c>
    </row>
    <row r="903" spans="2:7">
      <c r="B903" t="s">
        <v>2</v>
      </c>
      <c r="C903" s="2">
        <v>40766</v>
      </c>
      <c r="D903" t="s">
        <v>6</v>
      </c>
      <c r="E903">
        <v>2.4781979999999999</v>
      </c>
      <c r="F903">
        <f t="shared" si="28"/>
        <v>0.1385449999999997</v>
      </c>
      <c r="G903">
        <f t="shared" si="29"/>
        <v>104.65529317533742</v>
      </c>
    </row>
    <row r="904" spans="2:7">
      <c r="B904" t="s">
        <v>2</v>
      </c>
      <c r="C904" s="2">
        <v>40765</v>
      </c>
      <c r="D904" t="s">
        <v>6</v>
      </c>
      <c r="E904">
        <v>2.3396530000000002</v>
      </c>
      <c r="F904">
        <f t="shared" si="28"/>
        <v>-4.1812999999999878E-2</v>
      </c>
      <c r="G904">
        <f t="shared" si="29"/>
        <v>99.974026281529675</v>
      </c>
    </row>
    <row r="905" spans="2:7">
      <c r="B905" t="s">
        <v>2</v>
      </c>
      <c r="C905" s="2">
        <v>40764</v>
      </c>
      <c r="D905" t="s">
        <v>6</v>
      </c>
      <c r="E905">
        <v>2.3814660000000001</v>
      </c>
      <c r="F905">
        <f t="shared" si="28"/>
        <v>-0.17572900000000002</v>
      </c>
      <c r="G905">
        <f t="shared" si="29"/>
        <v>99.887856190213867</v>
      </c>
    </row>
    <row r="906" spans="2:7">
      <c r="B906" t="s">
        <v>2</v>
      </c>
      <c r="C906" s="2">
        <v>40763</v>
      </c>
      <c r="D906" t="s">
        <v>6</v>
      </c>
      <c r="E906">
        <v>2.5571950000000001</v>
      </c>
      <c r="F906">
        <f t="shared" si="28"/>
        <v>-0.16284199999999993</v>
      </c>
      <c r="G906">
        <f t="shared" si="29"/>
        <v>94.279293592792385</v>
      </c>
    </row>
    <row r="907" spans="2:7">
      <c r="B907" t="s">
        <v>2</v>
      </c>
      <c r="C907" s="2">
        <v>40760</v>
      </c>
      <c r="D907" t="s">
        <v>6</v>
      </c>
      <c r="E907">
        <v>2.720037</v>
      </c>
      <c r="F907">
        <f t="shared" si="28"/>
        <v>0.1215130000000002</v>
      </c>
      <c r="G907">
        <f t="shared" si="29"/>
        <v>89.751529766891366</v>
      </c>
    </row>
    <row r="908" spans="2:7">
      <c r="B908" t="s">
        <v>2</v>
      </c>
      <c r="C908" s="2">
        <v>40759</v>
      </c>
      <c r="D908" t="s">
        <v>6</v>
      </c>
      <c r="E908">
        <v>2.5985239999999998</v>
      </c>
      <c r="F908">
        <f t="shared" si="28"/>
        <v>-0.11523300000000036</v>
      </c>
      <c r="G908">
        <f t="shared" si="29"/>
        <v>85.7134940655381</v>
      </c>
    </row>
    <row r="909" spans="2:7">
      <c r="B909" t="s">
        <v>2</v>
      </c>
      <c r="C909" s="2">
        <v>40758</v>
      </c>
      <c r="D909" t="s">
        <v>6</v>
      </c>
      <c r="E909">
        <v>2.7137570000000002</v>
      </c>
      <c r="F909">
        <f t="shared" si="28"/>
        <v>-2.9055999999999749E-2</v>
      </c>
      <c r="G909">
        <f t="shared" si="29"/>
        <v>84.017784423385962</v>
      </c>
    </row>
    <row r="910" spans="2:7">
      <c r="B910" t="s">
        <v>2</v>
      </c>
      <c r="C910" s="2">
        <v>40757</v>
      </c>
      <c r="D910" t="s">
        <v>6</v>
      </c>
      <c r="E910">
        <v>2.7428129999999999</v>
      </c>
      <c r="F910">
        <f t="shared" si="28"/>
        <v>-0.11608300000000016</v>
      </c>
      <c r="G910">
        <f t="shared" si="29"/>
        <v>83.932052085008451</v>
      </c>
    </row>
    <row r="911" spans="2:7">
      <c r="B911" t="s">
        <v>2</v>
      </c>
      <c r="C911" s="2">
        <v>40756</v>
      </c>
      <c r="D911" t="s">
        <v>6</v>
      </c>
      <c r="E911">
        <v>2.8588960000000001</v>
      </c>
      <c r="F911">
        <f t="shared" si="28"/>
        <v>-5.6227999999999945E-2</v>
      </c>
      <c r="G911">
        <f t="shared" si="29"/>
        <v>80.89510923919525</v>
      </c>
    </row>
    <row r="912" spans="2:7">
      <c r="B912" t="s">
        <v>2</v>
      </c>
      <c r="C912" s="2">
        <v>40753</v>
      </c>
      <c r="D912" t="s">
        <v>6</v>
      </c>
      <c r="E912">
        <v>2.915124</v>
      </c>
      <c r="F912">
        <f t="shared" si="28"/>
        <v>-0.13880399999999993</v>
      </c>
      <c r="G912">
        <f t="shared" si="29"/>
        <v>80.718337792423327</v>
      </c>
    </row>
    <row r="913" spans="2:7">
      <c r="B913" t="s">
        <v>2</v>
      </c>
      <c r="C913" s="2">
        <v>40752</v>
      </c>
      <c r="D913" t="s">
        <v>6</v>
      </c>
      <c r="E913">
        <v>3.053928</v>
      </c>
      <c r="F913">
        <f t="shared" si="28"/>
        <v>-1.5343000000000107E-2</v>
      </c>
      <c r="G913">
        <f t="shared" si="29"/>
        <v>76.151667374283278</v>
      </c>
    </row>
    <row r="914" spans="2:7">
      <c r="B914" t="s">
        <v>2</v>
      </c>
      <c r="C914" s="2">
        <v>40751</v>
      </c>
      <c r="D914" t="s">
        <v>6</v>
      </c>
      <c r="E914">
        <v>3.0692710000000001</v>
      </c>
      <c r="F914">
        <f t="shared" si="28"/>
        <v>2.8674000000000088E-2</v>
      </c>
      <c r="G914">
        <f t="shared" si="29"/>
        <v>76.221430038581801</v>
      </c>
    </row>
    <row r="915" spans="2:7">
      <c r="B915" t="s">
        <v>2</v>
      </c>
      <c r="C915" s="2">
        <v>40750</v>
      </c>
      <c r="D915" t="s">
        <v>6</v>
      </c>
      <c r="E915">
        <v>3.040597</v>
      </c>
      <c r="F915">
        <f t="shared" si="28"/>
        <v>-4.8169000000000128E-2</v>
      </c>
      <c r="G915">
        <f t="shared" si="29"/>
        <v>75.905282334273465</v>
      </c>
    </row>
    <row r="916" spans="2:7">
      <c r="B916" t="s">
        <v>2</v>
      </c>
      <c r="C916" s="2">
        <v>40749</v>
      </c>
      <c r="D916" t="s">
        <v>6</v>
      </c>
      <c r="E916">
        <v>3.0887660000000001</v>
      </c>
      <c r="F916">
        <f t="shared" si="28"/>
        <v>3.2996999999999943E-2</v>
      </c>
      <c r="G916">
        <f t="shared" si="29"/>
        <v>75.396711881741879</v>
      </c>
    </row>
    <row r="917" spans="2:7">
      <c r="B917" t="s">
        <v>2</v>
      </c>
      <c r="C917" s="2">
        <v>40746</v>
      </c>
      <c r="D917" t="s">
        <v>6</v>
      </c>
      <c r="E917">
        <v>3.0557690000000002</v>
      </c>
      <c r="F917">
        <f t="shared" si="28"/>
        <v>-6.9165999999999617E-2</v>
      </c>
      <c r="G917">
        <f t="shared" si="29"/>
        <v>75.76662146467676</v>
      </c>
    </row>
    <row r="918" spans="2:7">
      <c r="B918" t="s">
        <v>2</v>
      </c>
      <c r="C918" s="2">
        <v>40745</v>
      </c>
      <c r="D918" t="s">
        <v>6</v>
      </c>
      <c r="E918">
        <v>3.1249349999999998</v>
      </c>
      <c r="F918">
        <f t="shared" si="28"/>
        <v>6.2979999999999592E-2</v>
      </c>
      <c r="G918">
        <f t="shared" si="29"/>
        <v>75.244066196119377</v>
      </c>
    </row>
    <row r="919" spans="2:7">
      <c r="B919" t="s">
        <v>2</v>
      </c>
      <c r="C919" s="2">
        <v>40744</v>
      </c>
      <c r="D919" t="s">
        <v>6</v>
      </c>
      <c r="E919">
        <v>3.0619550000000002</v>
      </c>
      <c r="F919">
        <f t="shared" si="28"/>
        <v>3.5062000000000371E-2</v>
      </c>
      <c r="G919">
        <f t="shared" si="29"/>
        <v>74.43194780178132</v>
      </c>
    </row>
    <row r="920" spans="2:7">
      <c r="B920" t="s">
        <v>2</v>
      </c>
      <c r="C920" s="2">
        <v>40743</v>
      </c>
      <c r="D920" t="s">
        <v>6</v>
      </c>
      <c r="E920">
        <v>3.0268929999999998</v>
      </c>
      <c r="F920">
        <f t="shared" si="28"/>
        <v>5.4319999999998814E-3</v>
      </c>
      <c r="G920">
        <f t="shared" si="29"/>
        <v>74.108556256749154</v>
      </c>
    </row>
    <row r="921" spans="2:7">
      <c r="B921" t="s">
        <v>2</v>
      </c>
      <c r="C921" s="2">
        <v>40742</v>
      </c>
      <c r="D921" t="s">
        <v>6</v>
      </c>
      <c r="E921">
        <v>3.021461</v>
      </c>
      <c r="F921">
        <f t="shared" si="28"/>
        <v>-1.8059000000000047E-2</v>
      </c>
      <c r="G921">
        <f t="shared" si="29"/>
        <v>74.069672535829255</v>
      </c>
    </row>
    <row r="922" spans="2:7">
      <c r="B922" t="s">
        <v>2</v>
      </c>
      <c r="C922" s="2">
        <v>40739</v>
      </c>
      <c r="D922" t="s">
        <v>6</v>
      </c>
      <c r="E922">
        <v>3.03952</v>
      </c>
      <c r="F922">
        <f t="shared" si="28"/>
        <v>-3.3609000000000222E-2</v>
      </c>
      <c r="G922">
        <f t="shared" si="29"/>
        <v>74.824207026893347</v>
      </c>
    </row>
    <row r="923" spans="2:7">
      <c r="B923" t="s">
        <v>2</v>
      </c>
      <c r="C923" s="2">
        <v>40738</v>
      </c>
      <c r="D923" t="s">
        <v>6</v>
      </c>
      <c r="E923">
        <v>3.0731290000000002</v>
      </c>
      <c r="F923">
        <f t="shared" si="28"/>
        <v>3.6925000000000097E-2</v>
      </c>
      <c r="G923">
        <f t="shared" si="29"/>
        <v>74.611765278257963</v>
      </c>
    </row>
    <row r="924" spans="2:7">
      <c r="B924" t="s">
        <v>2</v>
      </c>
      <c r="C924" s="2">
        <v>40737</v>
      </c>
      <c r="D924" t="s">
        <v>6</v>
      </c>
      <c r="E924">
        <v>3.0362040000000001</v>
      </c>
      <c r="F924">
        <f t="shared" si="28"/>
        <v>-2.5560999999999723E-2</v>
      </c>
      <c r="G924">
        <f t="shared" si="29"/>
        <v>74.779626015303862</v>
      </c>
    </row>
    <row r="925" spans="2:7">
      <c r="B925" t="s">
        <v>2</v>
      </c>
      <c r="C925" s="2">
        <v>40736</v>
      </c>
      <c r="D925" t="s">
        <v>6</v>
      </c>
      <c r="E925">
        <v>3.0617649999999998</v>
      </c>
      <c r="F925">
        <f t="shared" si="28"/>
        <v>-1.2249000000000176E-2</v>
      </c>
      <c r="G925">
        <f t="shared" si="29"/>
        <v>76.256971901416705</v>
      </c>
    </row>
    <row r="926" spans="2:7">
      <c r="B926" t="s">
        <v>2</v>
      </c>
      <c r="C926" s="2">
        <v>40735</v>
      </c>
      <c r="D926" t="s">
        <v>6</v>
      </c>
      <c r="E926">
        <v>3.074014</v>
      </c>
      <c r="F926">
        <f t="shared" si="28"/>
        <v>-7.5803000000000065E-2</v>
      </c>
      <c r="G926">
        <f t="shared" si="29"/>
        <v>76.625857999247032</v>
      </c>
    </row>
    <row r="927" spans="2:7">
      <c r="B927" t="s">
        <v>2</v>
      </c>
      <c r="C927" s="2">
        <v>40732</v>
      </c>
      <c r="D927" t="s">
        <v>6</v>
      </c>
      <c r="E927">
        <v>3.1498170000000001</v>
      </c>
      <c r="F927">
        <f t="shared" si="28"/>
        <v>-0.12756100000000004</v>
      </c>
      <c r="G927">
        <f t="shared" si="29"/>
        <v>75.666051920747861</v>
      </c>
    </row>
    <row r="928" spans="2:7">
      <c r="B928" t="s">
        <v>2</v>
      </c>
      <c r="C928" s="2">
        <v>40731</v>
      </c>
      <c r="D928" t="s">
        <v>6</v>
      </c>
      <c r="E928">
        <v>3.2773780000000001</v>
      </c>
      <c r="F928">
        <f t="shared" si="28"/>
        <v>5.0429000000000279E-2</v>
      </c>
      <c r="G928">
        <f t="shared" si="29"/>
        <v>72.849708512595029</v>
      </c>
    </row>
    <row r="929" spans="2:7">
      <c r="B929" t="s">
        <v>2</v>
      </c>
      <c r="C929" s="2">
        <v>40730</v>
      </c>
      <c r="D929" t="s">
        <v>6</v>
      </c>
      <c r="E929">
        <v>3.2269489999999998</v>
      </c>
      <c r="F929">
        <f t="shared" si="28"/>
        <v>-2.6245000000000296E-2</v>
      </c>
      <c r="G929">
        <f t="shared" si="29"/>
        <v>71.909550984706044</v>
      </c>
    </row>
    <row r="930" spans="2:7">
      <c r="B930" t="s">
        <v>2</v>
      </c>
      <c r="C930" s="2">
        <v>40729</v>
      </c>
      <c r="D930" t="s">
        <v>6</v>
      </c>
      <c r="E930">
        <v>3.2531940000000001</v>
      </c>
      <c r="F930">
        <f t="shared" si="28"/>
        <v>-5.4878999999999678E-2</v>
      </c>
      <c r="G930">
        <f t="shared" si="29"/>
        <v>71.934871805627722</v>
      </c>
    </row>
    <row r="931" spans="2:7">
      <c r="B931" t="s">
        <v>2</v>
      </c>
      <c r="C931" s="2">
        <v>40725</v>
      </c>
      <c r="D931" t="s">
        <v>6</v>
      </c>
      <c r="E931">
        <v>3.3080729999999998</v>
      </c>
      <c r="F931">
        <f t="shared" si="28"/>
        <v>5.1053000000000015E-2</v>
      </c>
      <c r="G931">
        <f t="shared" si="29"/>
        <v>71.245261027112065</v>
      </c>
    </row>
    <row r="932" spans="2:7">
      <c r="B932" t="s">
        <v>2</v>
      </c>
      <c r="C932" s="2">
        <v>40724</v>
      </c>
      <c r="D932" t="s">
        <v>6</v>
      </c>
      <c r="E932">
        <v>3.2570199999999998</v>
      </c>
      <c r="F932">
        <f t="shared" si="28"/>
        <v>3.8598999999999606E-2</v>
      </c>
      <c r="G932">
        <f t="shared" si="29"/>
        <v>71.385919106606181</v>
      </c>
    </row>
    <row r="933" spans="2:7">
      <c r="B933" t="s">
        <v>2</v>
      </c>
      <c r="C933" s="2">
        <v>40723</v>
      </c>
      <c r="D933" t="s">
        <v>6</v>
      </c>
      <c r="E933">
        <v>3.2184210000000002</v>
      </c>
      <c r="F933">
        <f t="shared" si="28"/>
        <v>5.8237000000000094E-2</v>
      </c>
      <c r="G933">
        <f t="shared" si="29"/>
        <v>72.15266920517567</v>
      </c>
    </row>
    <row r="934" spans="2:7">
      <c r="B934" t="s">
        <v>2</v>
      </c>
      <c r="C934" s="2">
        <v>40722</v>
      </c>
      <c r="D934" t="s">
        <v>6</v>
      </c>
      <c r="E934">
        <v>3.1601840000000001</v>
      </c>
      <c r="F934">
        <f t="shared" si="28"/>
        <v>0.10316800000000015</v>
      </c>
      <c r="G934">
        <f t="shared" si="29"/>
        <v>70.970294166636208</v>
      </c>
    </row>
    <row r="935" spans="2:7">
      <c r="B935" t="s">
        <v>2</v>
      </c>
      <c r="C935" s="2">
        <v>40721</v>
      </c>
      <c r="D935" t="s">
        <v>6</v>
      </c>
      <c r="E935">
        <v>3.057016</v>
      </c>
      <c r="F935">
        <f t="shared" si="28"/>
        <v>5.2506000000000164E-2</v>
      </c>
      <c r="G935">
        <f t="shared" si="29"/>
        <v>67.229384112059734</v>
      </c>
    </row>
    <row r="936" spans="2:7">
      <c r="B936" t="s">
        <v>2</v>
      </c>
      <c r="C936" s="2">
        <v>40718</v>
      </c>
      <c r="D936" t="s">
        <v>6</v>
      </c>
      <c r="E936">
        <v>3.0045099999999998</v>
      </c>
      <c r="F936">
        <f t="shared" si="28"/>
        <v>-2.7174000000000031E-2</v>
      </c>
      <c r="G936">
        <f t="shared" si="29"/>
        <v>66.051800649166097</v>
      </c>
    </row>
    <row r="937" spans="2:7">
      <c r="B937" t="s">
        <v>2</v>
      </c>
      <c r="C937" s="2">
        <v>40717</v>
      </c>
      <c r="D937" t="s">
        <v>6</v>
      </c>
      <c r="E937">
        <v>3.0316839999999998</v>
      </c>
      <c r="F937">
        <f t="shared" si="28"/>
        <v>-7.790800000000031E-2</v>
      </c>
      <c r="G937">
        <f t="shared" si="29"/>
        <v>66.332808041151836</v>
      </c>
    </row>
    <row r="938" spans="2:7">
      <c r="B938" t="s">
        <v>2</v>
      </c>
      <c r="C938" s="2">
        <v>40716</v>
      </c>
      <c r="D938" t="s">
        <v>6</v>
      </c>
      <c r="E938">
        <v>3.1095920000000001</v>
      </c>
      <c r="F938">
        <f t="shared" si="28"/>
        <v>-1.3850999999999836E-2</v>
      </c>
      <c r="G938">
        <f t="shared" si="29"/>
        <v>65.578352572395914</v>
      </c>
    </row>
    <row r="939" spans="2:7">
      <c r="B939" t="s">
        <v>2</v>
      </c>
      <c r="C939" s="2">
        <v>40715</v>
      </c>
      <c r="D939" t="s">
        <v>6</v>
      </c>
      <c r="E939">
        <v>3.123443</v>
      </c>
      <c r="F939">
        <f t="shared" si="28"/>
        <v>2.126399999999995E-2</v>
      </c>
      <c r="G939">
        <f t="shared" si="29"/>
        <v>65.625561109444092</v>
      </c>
    </row>
    <row r="940" spans="2:7">
      <c r="B940" t="s">
        <v>2</v>
      </c>
      <c r="C940" s="2">
        <v>40714</v>
      </c>
      <c r="D940" t="s">
        <v>6</v>
      </c>
      <c r="E940">
        <v>3.102179</v>
      </c>
      <c r="F940">
        <f t="shared" si="28"/>
        <v>1.9912999999999847E-2</v>
      </c>
      <c r="G940">
        <f t="shared" si="29"/>
        <v>66.031213162262034</v>
      </c>
    </row>
    <row r="941" spans="2:7">
      <c r="B941" t="s">
        <v>2</v>
      </c>
      <c r="C941" s="2">
        <v>40711</v>
      </c>
      <c r="D941" t="s">
        <v>6</v>
      </c>
      <c r="E941">
        <v>3.0822660000000002</v>
      </c>
      <c r="F941">
        <f t="shared" si="28"/>
        <v>2.5563000000000002E-2</v>
      </c>
      <c r="G941">
        <f t="shared" si="29"/>
        <v>66.925284201840924</v>
      </c>
    </row>
    <row r="942" spans="2:7">
      <c r="B942" t="s">
        <v>2</v>
      </c>
      <c r="C942" s="2">
        <v>40710</v>
      </c>
      <c r="D942" t="s">
        <v>6</v>
      </c>
      <c r="E942">
        <v>3.0567030000000002</v>
      </c>
      <c r="F942">
        <f t="shared" si="28"/>
        <v>-4.1992000000000029E-2</v>
      </c>
      <c r="G942">
        <f t="shared" si="29"/>
        <v>66.770630428012581</v>
      </c>
    </row>
    <row r="943" spans="2:7">
      <c r="B943" t="s">
        <v>2</v>
      </c>
      <c r="C943" s="2">
        <v>40709</v>
      </c>
      <c r="D943" t="s">
        <v>6</v>
      </c>
      <c r="E943">
        <v>3.0986950000000002</v>
      </c>
      <c r="F943">
        <f t="shared" si="28"/>
        <v>-0.10182899999999995</v>
      </c>
      <c r="G943">
        <f t="shared" si="29"/>
        <v>66.498321581612956</v>
      </c>
    </row>
    <row r="944" spans="2:7">
      <c r="B944" t="s">
        <v>2</v>
      </c>
      <c r="C944" s="2">
        <v>40708</v>
      </c>
      <c r="D944" t="s">
        <v>6</v>
      </c>
      <c r="E944">
        <v>3.2005240000000001</v>
      </c>
      <c r="F944">
        <f t="shared" si="28"/>
        <v>0.1035210000000002</v>
      </c>
      <c r="G944">
        <f t="shared" si="29"/>
        <v>64.582730771515671</v>
      </c>
    </row>
    <row r="945" spans="2:7">
      <c r="B945" t="s">
        <v>2</v>
      </c>
      <c r="C945" s="2">
        <v>40707</v>
      </c>
      <c r="D945" t="s">
        <v>6</v>
      </c>
      <c r="E945">
        <v>3.097003</v>
      </c>
      <c r="F945">
        <f t="shared" si="28"/>
        <v>2.506200000000014E-2</v>
      </c>
      <c r="G945">
        <f t="shared" si="29"/>
        <v>60.832337774209918</v>
      </c>
    </row>
    <row r="946" spans="2:7">
      <c r="B946" t="s">
        <v>2</v>
      </c>
      <c r="C946" s="2">
        <v>40704</v>
      </c>
      <c r="D946" t="s">
        <v>6</v>
      </c>
      <c r="E946">
        <v>3.0719409999999998</v>
      </c>
      <c r="F946">
        <f t="shared" si="28"/>
        <v>-2.5089000000000361E-2</v>
      </c>
      <c r="G946">
        <f t="shared" si="29"/>
        <v>61.060554845187255</v>
      </c>
    </row>
    <row r="947" spans="2:7">
      <c r="B947" t="s">
        <v>2</v>
      </c>
      <c r="C947" s="2">
        <v>40703</v>
      </c>
      <c r="D947" t="s">
        <v>6</v>
      </c>
      <c r="E947">
        <v>3.0970300000000002</v>
      </c>
      <c r="F947">
        <f t="shared" si="28"/>
        <v>2.2579000000000349E-2</v>
      </c>
      <c r="G947">
        <f t="shared" si="29"/>
        <v>65.035910260868533</v>
      </c>
    </row>
    <row r="948" spans="2:7">
      <c r="B948" t="s">
        <v>2</v>
      </c>
      <c r="C948" s="2">
        <v>40702</v>
      </c>
      <c r="D948" t="s">
        <v>6</v>
      </c>
      <c r="E948">
        <v>3.0744509999999998</v>
      </c>
      <c r="F948">
        <f t="shared" si="28"/>
        <v>-5.8394000000000279E-2</v>
      </c>
      <c r="G948">
        <f t="shared" si="29"/>
        <v>64.906646505149922</v>
      </c>
    </row>
    <row r="949" spans="2:7">
      <c r="B949" t="s">
        <v>2</v>
      </c>
      <c r="C949" s="2">
        <v>40701</v>
      </c>
      <c r="D949" t="s">
        <v>6</v>
      </c>
      <c r="E949">
        <v>3.1328450000000001</v>
      </c>
      <c r="F949">
        <f t="shared" si="28"/>
        <v>8.3880000000000621E-3</v>
      </c>
      <c r="G949">
        <f t="shared" si="29"/>
        <v>64.433764797899798</v>
      </c>
    </row>
    <row r="950" spans="2:7">
      <c r="B950" t="s">
        <v>2</v>
      </c>
      <c r="C950" s="2">
        <v>40700</v>
      </c>
      <c r="D950" t="s">
        <v>6</v>
      </c>
      <c r="E950">
        <v>3.124457</v>
      </c>
      <c r="F950">
        <f t="shared" si="28"/>
        <v>1.2988E-2</v>
      </c>
      <c r="G950">
        <f t="shared" si="29"/>
        <v>64.410426819015612</v>
      </c>
    </row>
    <row r="951" spans="2:7">
      <c r="B951" t="s">
        <v>2</v>
      </c>
      <c r="C951" s="2">
        <v>40697</v>
      </c>
      <c r="D951" t="s">
        <v>6</v>
      </c>
      <c r="E951">
        <v>3.111469</v>
      </c>
      <c r="F951">
        <f t="shared" si="28"/>
        <v>-2.7407999999999877E-2</v>
      </c>
      <c r="G951">
        <f t="shared" si="29"/>
        <v>65.592584139333653</v>
      </c>
    </row>
    <row r="952" spans="2:7">
      <c r="B952" t="s">
        <v>2</v>
      </c>
      <c r="C952" s="2">
        <v>40696</v>
      </c>
      <c r="D952" t="s">
        <v>6</v>
      </c>
      <c r="E952">
        <v>3.1388769999999999</v>
      </c>
      <c r="F952">
        <f t="shared" si="28"/>
        <v>6.1853999999999854E-2</v>
      </c>
      <c r="G952">
        <f t="shared" si="29"/>
        <v>66.888000342227144</v>
      </c>
    </row>
    <row r="953" spans="2:7">
      <c r="B953" t="s">
        <v>2</v>
      </c>
      <c r="C953" s="2">
        <v>40695</v>
      </c>
      <c r="D953" t="s">
        <v>6</v>
      </c>
      <c r="E953">
        <v>3.0770230000000001</v>
      </c>
      <c r="F953">
        <f t="shared" si="28"/>
        <v>-6.929699999999972E-2</v>
      </c>
      <c r="G953">
        <f t="shared" si="29"/>
        <v>66.011386435163715</v>
      </c>
    </row>
    <row r="954" spans="2:7">
      <c r="B954" t="s">
        <v>2</v>
      </c>
      <c r="C954" s="2">
        <v>40694</v>
      </c>
      <c r="D954" t="s">
        <v>6</v>
      </c>
      <c r="E954">
        <v>3.1463199999999998</v>
      </c>
      <c r="F954">
        <f t="shared" si="28"/>
        <v>-9.9880000000003299E-3</v>
      </c>
      <c r="G954">
        <f t="shared" si="29"/>
        <v>64.81466452321078</v>
      </c>
    </row>
    <row r="955" spans="2:7">
      <c r="B955" t="s">
        <v>2</v>
      </c>
      <c r="C955" s="2">
        <v>40690</v>
      </c>
      <c r="D955" t="s">
        <v>6</v>
      </c>
      <c r="E955">
        <v>3.1563080000000001</v>
      </c>
      <c r="F955">
        <f t="shared" si="28"/>
        <v>1.5695000000000014E-2</v>
      </c>
      <c r="G955">
        <f t="shared" si="29"/>
        <v>67.084588522194082</v>
      </c>
    </row>
    <row r="956" spans="2:7">
      <c r="B956" t="s">
        <v>2</v>
      </c>
      <c r="C956" s="2">
        <v>40689</v>
      </c>
      <c r="D956" t="s">
        <v>6</v>
      </c>
      <c r="E956">
        <v>3.1406130000000001</v>
      </c>
      <c r="F956">
        <f t="shared" si="28"/>
        <v>-7.417600000000002E-2</v>
      </c>
      <c r="G956">
        <f t="shared" si="29"/>
        <v>71.393196962711386</v>
      </c>
    </row>
    <row r="957" spans="2:7">
      <c r="B957" t="s">
        <v>2</v>
      </c>
      <c r="C957" s="2">
        <v>40688</v>
      </c>
      <c r="D957" t="s">
        <v>6</v>
      </c>
      <c r="E957">
        <v>3.2147890000000001</v>
      </c>
      <c r="F957">
        <f t="shared" si="28"/>
        <v>3.7180000000001101E-3</v>
      </c>
      <c r="G957">
        <f t="shared" si="29"/>
        <v>71.2752214586544</v>
      </c>
    </row>
    <row r="958" spans="2:7">
      <c r="B958" t="s">
        <v>2</v>
      </c>
      <c r="C958" s="2">
        <v>40687</v>
      </c>
      <c r="D958" t="s">
        <v>6</v>
      </c>
      <c r="E958">
        <v>3.211071</v>
      </c>
      <c r="F958">
        <f t="shared" si="28"/>
        <v>-1.2274000000000118E-2</v>
      </c>
      <c r="G958">
        <f t="shared" si="29"/>
        <v>71.263892765142103</v>
      </c>
    </row>
    <row r="959" spans="2:7">
      <c r="B959" t="s">
        <v>2</v>
      </c>
      <c r="C959" s="2">
        <v>40686</v>
      </c>
      <c r="D959" t="s">
        <v>6</v>
      </c>
      <c r="E959">
        <v>3.2233450000000001</v>
      </c>
      <c r="F959">
        <f t="shared" si="28"/>
        <v>-1.3125999999999749E-2</v>
      </c>
      <c r="G959">
        <f t="shared" si="29"/>
        <v>71.268358449899523</v>
      </c>
    </row>
    <row r="960" spans="2:7">
      <c r="B960" t="s">
        <v>2</v>
      </c>
      <c r="C960" s="2">
        <v>40683</v>
      </c>
      <c r="D960" t="s">
        <v>6</v>
      </c>
      <c r="E960">
        <v>3.2364709999999999</v>
      </c>
      <c r="F960">
        <f t="shared" si="28"/>
        <v>-1.7352000000000256E-2</v>
      </c>
      <c r="G960">
        <f t="shared" si="29"/>
        <v>71.262643869792385</v>
      </c>
    </row>
    <row r="961" spans="2:7">
      <c r="B961" t="s">
        <v>2</v>
      </c>
      <c r="C961" s="2">
        <v>40682</v>
      </c>
      <c r="D961" t="s">
        <v>6</v>
      </c>
      <c r="E961">
        <v>3.2538230000000001</v>
      </c>
      <c r="F961">
        <f t="shared" si="28"/>
        <v>4.1410000000001723E-3</v>
      </c>
      <c r="G961">
        <f t="shared" si="29"/>
        <v>71.698186622711546</v>
      </c>
    </row>
    <row r="962" spans="2:7">
      <c r="B962" t="s">
        <v>2</v>
      </c>
      <c r="C962" s="2">
        <v>40681</v>
      </c>
      <c r="D962" t="s">
        <v>6</v>
      </c>
      <c r="E962">
        <v>3.249682</v>
      </c>
      <c r="F962">
        <f t="shared" si="28"/>
        <v>6.1992000000000047E-2</v>
      </c>
      <c r="G962">
        <f t="shared" si="29"/>
        <v>71.859277163768482</v>
      </c>
    </row>
    <row r="963" spans="2:7">
      <c r="B963" t="s">
        <v>2</v>
      </c>
      <c r="C963" s="2">
        <v>40680</v>
      </c>
      <c r="D963" t="s">
        <v>6</v>
      </c>
      <c r="E963">
        <v>3.1876899999999999</v>
      </c>
      <c r="F963">
        <f t="shared" ref="F963:F1026" si="30">E963-E964</f>
        <v>-3.4219999999999917E-2</v>
      </c>
      <c r="G963">
        <f t="shared" ref="G963:G1026" si="31">STDEV(F963:F1022)*SQRT(250)*100</f>
        <v>73.285983573505803</v>
      </c>
    </row>
    <row r="964" spans="2:7">
      <c r="B964" t="s">
        <v>2</v>
      </c>
      <c r="C964" s="2">
        <v>40679</v>
      </c>
      <c r="D964" t="s">
        <v>6</v>
      </c>
      <c r="E964">
        <v>3.2219099999999998</v>
      </c>
      <c r="F964">
        <f t="shared" si="30"/>
        <v>-3.2864000000000004E-2</v>
      </c>
      <c r="G964">
        <f t="shared" si="31"/>
        <v>73.2351175339479</v>
      </c>
    </row>
    <row r="965" spans="2:7">
      <c r="B965" t="s">
        <v>2</v>
      </c>
      <c r="C965" s="2">
        <v>40676</v>
      </c>
      <c r="D965" t="s">
        <v>6</v>
      </c>
      <c r="E965">
        <v>3.2547739999999998</v>
      </c>
      <c r="F965">
        <f t="shared" si="30"/>
        <v>-3.8825000000000109E-2</v>
      </c>
      <c r="G965">
        <f t="shared" si="31"/>
        <v>73.667284538364513</v>
      </c>
    </row>
    <row r="966" spans="2:7">
      <c r="B966" t="s">
        <v>2</v>
      </c>
      <c r="C966" s="2">
        <v>40675</v>
      </c>
      <c r="D966" t="s">
        <v>6</v>
      </c>
      <c r="E966">
        <v>3.2935989999999999</v>
      </c>
      <c r="F966">
        <f t="shared" si="30"/>
        <v>4.8998000000000097E-2</v>
      </c>
      <c r="G966">
        <f t="shared" si="31"/>
        <v>73.445434433376107</v>
      </c>
    </row>
    <row r="967" spans="2:7">
      <c r="B967" t="s">
        <v>2</v>
      </c>
      <c r="C967" s="2">
        <v>40674</v>
      </c>
      <c r="D967" t="s">
        <v>6</v>
      </c>
      <c r="E967">
        <v>3.2446009999999998</v>
      </c>
      <c r="F967">
        <f t="shared" si="30"/>
        <v>-3.4226000000000312E-2</v>
      </c>
      <c r="G967">
        <f t="shared" si="31"/>
        <v>72.520244012009812</v>
      </c>
    </row>
    <row r="968" spans="2:7">
      <c r="B968" t="s">
        <v>2</v>
      </c>
      <c r="C968" s="2">
        <v>40673</v>
      </c>
      <c r="D968" t="s">
        <v>6</v>
      </c>
      <c r="E968">
        <v>3.2788270000000002</v>
      </c>
      <c r="F968">
        <f t="shared" si="30"/>
        <v>5.5657000000000068E-2</v>
      </c>
      <c r="G968">
        <f t="shared" si="31"/>
        <v>72.539232909345515</v>
      </c>
    </row>
    <row r="969" spans="2:7">
      <c r="B969" t="s">
        <v>2</v>
      </c>
      <c r="C969" s="2">
        <v>40672</v>
      </c>
      <c r="D969" t="s">
        <v>6</v>
      </c>
      <c r="E969">
        <v>3.2231700000000001</v>
      </c>
      <c r="F969">
        <f t="shared" si="30"/>
        <v>-1.7724999999999991E-2</v>
      </c>
      <c r="G969">
        <f t="shared" si="31"/>
        <v>72.044568361597541</v>
      </c>
    </row>
    <row r="970" spans="2:7">
      <c r="B970" t="s">
        <v>2</v>
      </c>
      <c r="C970" s="2">
        <v>40669</v>
      </c>
      <c r="D970" t="s">
        <v>6</v>
      </c>
      <c r="E970">
        <v>3.2408950000000001</v>
      </c>
      <c r="F970">
        <f t="shared" si="30"/>
        <v>-5.9139999999997528E-3</v>
      </c>
      <c r="G970">
        <f t="shared" si="31"/>
        <v>73.435321042389887</v>
      </c>
    </row>
    <row r="971" spans="2:7">
      <c r="B971" t="s">
        <v>2</v>
      </c>
      <c r="C971" s="2">
        <v>40668</v>
      </c>
      <c r="D971" t="s">
        <v>6</v>
      </c>
      <c r="E971">
        <v>3.2468089999999998</v>
      </c>
      <c r="F971">
        <f t="shared" si="30"/>
        <v>-4.8927000000000387E-2</v>
      </c>
      <c r="G971">
        <f t="shared" si="31"/>
        <v>74.497860672484009</v>
      </c>
    </row>
    <row r="972" spans="2:7">
      <c r="B972" t="s">
        <v>2</v>
      </c>
      <c r="C972" s="2">
        <v>40667</v>
      </c>
      <c r="D972" t="s">
        <v>6</v>
      </c>
      <c r="E972">
        <v>3.2957360000000002</v>
      </c>
      <c r="F972">
        <f t="shared" si="30"/>
        <v>-3.4962999999999855E-2</v>
      </c>
      <c r="G972">
        <f t="shared" si="31"/>
        <v>75.873257144960576</v>
      </c>
    </row>
    <row r="973" spans="2:7">
      <c r="B973" t="s">
        <v>2</v>
      </c>
      <c r="C973" s="2">
        <v>40666</v>
      </c>
      <c r="D973" t="s">
        <v>6</v>
      </c>
      <c r="E973">
        <v>3.3306990000000001</v>
      </c>
      <c r="F973">
        <f t="shared" si="30"/>
        <v>-2.3775000000000102E-2</v>
      </c>
      <c r="G973">
        <f t="shared" si="31"/>
        <v>75.716211276328849</v>
      </c>
    </row>
    <row r="974" spans="2:7">
      <c r="B974" t="s">
        <v>2</v>
      </c>
      <c r="C974" s="2">
        <v>40665</v>
      </c>
      <c r="D974" t="s">
        <v>6</v>
      </c>
      <c r="E974">
        <v>3.3544740000000002</v>
      </c>
      <c r="F974">
        <f t="shared" si="30"/>
        <v>-6.4689999999996139E-3</v>
      </c>
      <c r="G974">
        <f t="shared" si="31"/>
        <v>78.488025246698697</v>
      </c>
    </row>
    <row r="975" spans="2:7">
      <c r="B975" t="s">
        <v>2</v>
      </c>
      <c r="C975" s="2">
        <v>40662</v>
      </c>
      <c r="D975" t="s">
        <v>6</v>
      </c>
      <c r="E975">
        <v>3.3609429999999998</v>
      </c>
      <c r="F975">
        <f t="shared" si="30"/>
        <v>-1.1710000000000331E-2</v>
      </c>
      <c r="G975">
        <f t="shared" si="31"/>
        <v>79.429857270886785</v>
      </c>
    </row>
    <row r="976" spans="2:7">
      <c r="B976" t="s">
        <v>2</v>
      </c>
      <c r="C976" s="2">
        <v>40661</v>
      </c>
      <c r="D976" t="s">
        <v>6</v>
      </c>
      <c r="E976">
        <v>3.3726530000000001</v>
      </c>
      <c r="F976">
        <f t="shared" si="30"/>
        <v>-5.8418999999999777E-2</v>
      </c>
      <c r="G976">
        <f t="shared" si="31"/>
        <v>80.300636265512779</v>
      </c>
    </row>
    <row r="977" spans="2:7">
      <c r="B977" t="s">
        <v>2</v>
      </c>
      <c r="C977" s="2">
        <v>40660</v>
      </c>
      <c r="D977" t="s">
        <v>6</v>
      </c>
      <c r="E977">
        <v>3.4310719999999999</v>
      </c>
      <c r="F977">
        <f t="shared" si="30"/>
        <v>4.1706999999999717E-2</v>
      </c>
      <c r="G977">
        <f t="shared" si="31"/>
        <v>80.600907319653743</v>
      </c>
    </row>
    <row r="978" spans="2:7">
      <c r="B978" t="s">
        <v>2</v>
      </c>
      <c r="C978" s="2">
        <v>40659</v>
      </c>
      <c r="D978" t="s">
        <v>6</v>
      </c>
      <c r="E978">
        <v>3.3893650000000002</v>
      </c>
      <c r="F978">
        <f t="shared" si="30"/>
        <v>-4.7726999999999631E-2</v>
      </c>
      <c r="G978">
        <f t="shared" si="31"/>
        <v>81.034312418735695</v>
      </c>
    </row>
    <row r="979" spans="2:7">
      <c r="B979" t="s">
        <v>2</v>
      </c>
      <c r="C979" s="2">
        <v>40658</v>
      </c>
      <c r="D979" t="s">
        <v>6</v>
      </c>
      <c r="E979">
        <v>3.4370919999999998</v>
      </c>
      <c r="F979">
        <f t="shared" si="30"/>
        <v>-3.1698000000000004E-2</v>
      </c>
      <c r="G979">
        <f t="shared" si="31"/>
        <v>81.003315772197865</v>
      </c>
    </row>
    <row r="980" spans="2:7">
      <c r="B980" t="s">
        <v>2</v>
      </c>
      <c r="C980" s="2">
        <v>40654</v>
      </c>
      <c r="D980" t="s">
        <v>6</v>
      </c>
      <c r="E980">
        <v>3.4687899999999998</v>
      </c>
      <c r="F980">
        <f t="shared" si="30"/>
        <v>-2.0070000000003141E-3</v>
      </c>
      <c r="G980">
        <f t="shared" si="31"/>
        <v>81.282316727400485</v>
      </c>
    </row>
    <row r="981" spans="2:7">
      <c r="B981" t="s">
        <v>2</v>
      </c>
      <c r="C981" s="2">
        <v>40653</v>
      </c>
      <c r="D981" t="s">
        <v>6</v>
      </c>
      <c r="E981">
        <v>3.4707970000000001</v>
      </c>
      <c r="F981">
        <f t="shared" si="30"/>
        <v>4.571700000000023E-2</v>
      </c>
      <c r="G981">
        <f t="shared" si="31"/>
        <v>84.206490326905026</v>
      </c>
    </row>
    <row r="982" spans="2:7">
      <c r="B982" t="s">
        <v>2</v>
      </c>
      <c r="C982" s="2">
        <v>40652</v>
      </c>
      <c r="D982" t="s">
        <v>6</v>
      </c>
      <c r="E982">
        <v>3.4250799999999999</v>
      </c>
      <c r="F982">
        <f t="shared" si="30"/>
        <v>-7.4689999999999479E-3</v>
      </c>
      <c r="G982">
        <f t="shared" si="31"/>
        <v>85.271161396853429</v>
      </c>
    </row>
    <row r="983" spans="2:7">
      <c r="B983" t="s">
        <v>2</v>
      </c>
      <c r="C983" s="2">
        <v>40651</v>
      </c>
      <c r="D983" t="s">
        <v>6</v>
      </c>
      <c r="E983">
        <v>3.4325489999999999</v>
      </c>
      <c r="F983">
        <f t="shared" si="30"/>
        <v>-5.678300000000025E-2</v>
      </c>
      <c r="G983">
        <f t="shared" si="31"/>
        <v>85.267496268597341</v>
      </c>
    </row>
    <row r="984" spans="2:7">
      <c r="B984" t="s">
        <v>2</v>
      </c>
      <c r="C984" s="2">
        <v>40648</v>
      </c>
      <c r="D984" t="s">
        <v>6</v>
      </c>
      <c r="E984">
        <v>3.4893320000000001</v>
      </c>
      <c r="F984">
        <f t="shared" si="30"/>
        <v>-8.268299999999984E-2</v>
      </c>
      <c r="G984">
        <f t="shared" si="31"/>
        <v>84.913007965725924</v>
      </c>
    </row>
    <row r="985" spans="2:7">
      <c r="B985" t="s">
        <v>2</v>
      </c>
      <c r="C985" s="2">
        <v>40647</v>
      </c>
      <c r="D985" t="s">
        <v>6</v>
      </c>
      <c r="E985">
        <v>3.5720149999999999</v>
      </c>
      <c r="F985">
        <f t="shared" si="30"/>
        <v>2.854599999999996E-2</v>
      </c>
      <c r="G985">
        <f t="shared" si="31"/>
        <v>86.595408528857149</v>
      </c>
    </row>
    <row r="986" spans="2:7">
      <c r="B986" t="s">
        <v>2</v>
      </c>
      <c r="C986" s="2">
        <v>40646</v>
      </c>
      <c r="D986" t="s">
        <v>6</v>
      </c>
      <c r="E986">
        <v>3.543469</v>
      </c>
      <c r="F986">
        <f t="shared" si="30"/>
        <v>-4.2323000000000111E-2</v>
      </c>
      <c r="G986">
        <f t="shared" si="31"/>
        <v>86.648700538483396</v>
      </c>
    </row>
    <row r="987" spans="2:7">
      <c r="B987" t="s">
        <v>2</v>
      </c>
      <c r="C987" s="2">
        <v>40645</v>
      </c>
      <c r="D987" t="s">
        <v>6</v>
      </c>
      <c r="E987">
        <v>3.5857920000000001</v>
      </c>
      <c r="F987">
        <f t="shared" si="30"/>
        <v>-7.5419999999999821E-2</v>
      </c>
      <c r="G987">
        <f t="shared" si="31"/>
        <v>86.405558844376714</v>
      </c>
    </row>
    <row r="988" spans="2:7">
      <c r="B988" t="s">
        <v>2</v>
      </c>
      <c r="C988" s="2">
        <v>40644</v>
      </c>
      <c r="D988" t="s">
        <v>6</v>
      </c>
      <c r="E988">
        <v>3.6612119999999999</v>
      </c>
      <c r="F988">
        <f t="shared" si="30"/>
        <v>1.2010000000000076E-3</v>
      </c>
      <c r="G988">
        <f t="shared" si="31"/>
        <v>85.086300360580111</v>
      </c>
    </row>
    <row r="989" spans="2:7">
      <c r="B989" t="s">
        <v>2</v>
      </c>
      <c r="C989" s="2">
        <v>40641</v>
      </c>
      <c r="D989" t="s">
        <v>6</v>
      </c>
      <c r="E989">
        <v>3.6600109999999999</v>
      </c>
      <c r="F989">
        <f t="shared" si="30"/>
        <v>1.4594999999999914E-2</v>
      </c>
      <c r="G989">
        <f t="shared" si="31"/>
        <v>86.131966439545238</v>
      </c>
    </row>
    <row r="990" spans="2:7">
      <c r="B990" t="s">
        <v>2</v>
      </c>
      <c r="C990" s="2">
        <v>40640</v>
      </c>
      <c r="D990" t="s">
        <v>6</v>
      </c>
      <c r="E990">
        <v>3.645416</v>
      </c>
      <c r="F990">
        <f t="shared" si="30"/>
        <v>1.1459999999998693E-3</v>
      </c>
      <c r="G990">
        <f t="shared" si="31"/>
        <v>86.117269774175142</v>
      </c>
    </row>
    <row r="991" spans="2:7">
      <c r="B991" t="s">
        <v>2</v>
      </c>
      <c r="C991" s="2">
        <v>40639</v>
      </c>
      <c r="D991" t="s">
        <v>6</v>
      </c>
      <c r="E991">
        <v>3.6442700000000001</v>
      </c>
      <c r="F991">
        <f t="shared" si="30"/>
        <v>5.5090000000000305E-2</v>
      </c>
      <c r="G991">
        <f t="shared" si="31"/>
        <v>86.299527284987477</v>
      </c>
    </row>
    <row r="992" spans="2:7">
      <c r="B992" t="s">
        <v>2</v>
      </c>
      <c r="C992" s="2">
        <v>40638</v>
      </c>
      <c r="D992" t="s">
        <v>6</v>
      </c>
      <c r="E992">
        <v>3.5891799999999998</v>
      </c>
      <c r="F992">
        <f t="shared" si="30"/>
        <v>6.194999999999995E-2</v>
      </c>
      <c r="G992">
        <f t="shared" si="31"/>
        <v>85.828477399456688</v>
      </c>
    </row>
    <row r="993" spans="2:7">
      <c r="B993" t="s">
        <v>2</v>
      </c>
      <c r="C993" s="2">
        <v>40637</v>
      </c>
      <c r="D993" t="s">
        <v>6</v>
      </c>
      <c r="E993">
        <v>3.5272299999999999</v>
      </c>
      <c r="F993">
        <f t="shared" si="30"/>
        <v>-1.5888000000000346E-2</v>
      </c>
      <c r="G993">
        <f t="shared" si="31"/>
        <v>86.929486272245441</v>
      </c>
    </row>
    <row r="994" spans="2:7">
      <c r="B994" t="s">
        <v>2</v>
      </c>
      <c r="C994" s="2">
        <v>40634</v>
      </c>
      <c r="D994" t="s">
        <v>6</v>
      </c>
      <c r="E994">
        <v>3.5431180000000002</v>
      </c>
      <c r="F994">
        <f t="shared" si="30"/>
        <v>-6.3149999999998485E-3</v>
      </c>
      <c r="G994">
        <f t="shared" si="31"/>
        <v>88.21809741483689</v>
      </c>
    </row>
    <row r="995" spans="2:7">
      <c r="B995" t="s">
        <v>2</v>
      </c>
      <c r="C995" s="2">
        <v>40633</v>
      </c>
      <c r="D995" t="s">
        <v>6</v>
      </c>
      <c r="E995">
        <v>3.5494330000000001</v>
      </c>
      <c r="F995">
        <f t="shared" si="30"/>
        <v>-2.507000000000037E-3</v>
      </c>
      <c r="G995">
        <f t="shared" si="31"/>
        <v>93.842246928775353</v>
      </c>
    </row>
    <row r="996" spans="2:7">
      <c r="B996" t="s">
        <v>2</v>
      </c>
      <c r="C996" s="2">
        <v>40632</v>
      </c>
      <c r="D996" t="s">
        <v>6</v>
      </c>
      <c r="E996">
        <v>3.5519400000000001</v>
      </c>
      <c r="F996">
        <f t="shared" si="30"/>
        <v>-4.3886000000000092E-2</v>
      </c>
      <c r="G996">
        <f t="shared" si="31"/>
        <v>93.85128677264558</v>
      </c>
    </row>
    <row r="997" spans="2:7">
      <c r="B997" t="s">
        <v>2</v>
      </c>
      <c r="C997" s="2">
        <v>40631</v>
      </c>
      <c r="D997" t="s">
        <v>6</v>
      </c>
      <c r="E997">
        <v>3.5958260000000002</v>
      </c>
      <c r="F997">
        <f t="shared" si="30"/>
        <v>4.1406999999999972E-2</v>
      </c>
      <c r="G997">
        <f t="shared" si="31"/>
        <v>93.705872657265971</v>
      </c>
    </row>
    <row r="998" spans="2:7">
      <c r="B998" t="s">
        <v>2</v>
      </c>
      <c r="C998" s="2">
        <v>40630</v>
      </c>
      <c r="D998" t="s">
        <v>6</v>
      </c>
      <c r="E998">
        <v>3.5544190000000002</v>
      </c>
      <c r="F998">
        <f t="shared" si="30"/>
        <v>6.5340000000002618E-3</v>
      </c>
      <c r="G998">
        <f t="shared" si="31"/>
        <v>94.654736970770003</v>
      </c>
    </row>
    <row r="999" spans="2:7">
      <c r="B999" t="s">
        <v>2</v>
      </c>
      <c r="C999" s="2">
        <v>40627</v>
      </c>
      <c r="D999" t="s">
        <v>6</v>
      </c>
      <c r="E999">
        <v>3.547885</v>
      </c>
      <c r="F999">
        <f t="shared" si="30"/>
        <v>3.8405000000000022E-2</v>
      </c>
      <c r="G999">
        <f t="shared" si="31"/>
        <v>94.828347254792803</v>
      </c>
    </row>
    <row r="1000" spans="2:7">
      <c r="B1000" t="s">
        <v>2</v>
      </c>
      <c r="C1000" s="2">
        <v>40626</v>
      </c>
      <c r="D1000" t="s">
        <v>6</v>
      </c>
      <c r="E1000">
        <v>3.5094799999999999</v>
      </c>
      <c r="F1000">
        <f t="shared" si="30"/>
        <v>5.2677999999999781E-2</v>
      </c>
      <c r="G1000">
        <f t="shared" si="31"/>
        <v>98.701252076969382</v>
      </c>
    </row>
    <row r="1001" spans="2:7">
      <c r="B1001" t="s">
        <v>2</v>
      </c>
      <c r="C1001" s="2">
        <v>40625</v>
      </c>
      <c r="D1001" t="s">
        <v>6</v>
      </c>
      <c r="E1001">
        <v>3.4568020000000002</v>
      </c>
      <c r="F1001">
        <f t="shared" si="30"/>
        <v>1.6669000000000267E-2</v>
      </c>
      <c r="G1001">
        <f t="shared" si="31"/>
        <v>101.68663123950117</v>
      </c>
    </row>
    <row r="1002" spans="2:7">
      <c r="B1002" t="s">
        <v>2</v>
      </c>
      <c r="C1002" s="2">
        <v>40624</v>
      </c>
      <c r="D1002" t="s">
        <v>6</v>
      </c>
      <c r="E1002">
        <v>3.4401329999999999</v>
      </c>
      <c r="F1002">
        <f t="shared" si="30"/>
        <v>1.5184999999999782E-2</v>
      </c>
      <c r="G1002">
        <f t="shared" si="31"/>
        <v>102.18388930497575</v>
      </c>
    </row>
    <row r="1003" spans="2:7">
      <c r="B1003" t="s">
        <v>2</v>
      </c>
      <c r="C1003" s="2">
        <v>40623</v>
      </c>
      <c r="D1003" t="s">
        <v>6</v>
      </c>
      <c r="E1003">
        <v>3.4249480000000001</v>
      </c>
      <c r="F1003">
        <f t="shared" si="30"/>
        <v>5.6051000000000073E-2</v>
      </c>
      <c r="G1003">
        <f t="shared" si="31"/>
        <v>102.47449144150083</v>
      </c>
    </row>
    <row r="1004" spans="2:7">
      <c r="B1004" t="s">
        <v>2</v>
      </c>
      <c r="C1004" s="2">
        <v>40620</v>
      </c>
      <c r="D1004" t="s">
        <v>6</v>
      </c>
      <c r="E1004">
        <v>3.368897</v>
      </c>
      <c r="F1004">
        <f t="shared" si="30"/>
        <v>1.5477000000000185E-2</v>
      </c>
      <c r="G1004">
        <f t="shared" si="31"/>
        <v>101.95638112573617</v>
      </c>
    </row>
    <row r="1005" spans="2:7">
      <c r="B1005" t="s">
        <v>2</v>
      </c>
      <c r="C1005" s="2">
        <v>40619</v>
      </c>
      <c r="D1005" t="s">
        <v>6</v>
      </c>
      <c r="E1005">
        <v>3.3534199999999998</v>
      </c>
      <c r="F1005">
        <f t="shared" si="30"/>
        <v>3.4695999999999838E-2</v>
      </c>
      <c r="G1005">
        <f t="shared" si="31"/>
        <v>102.02439379600747</v>
      </c>
    </row>
    <row r="1006" spans="2:7">
      <c r="B1006" t="s">
        <v>2</v>
      </c>
      <c r="C1006" s="2">
        <v>40618</v>
      </c>
      <c r="D1006" t="s">
        <v>6</v>
      </c>
      <c r="E1006">
        <v>3.318724</v>
      </c>
      <c r="F1006">
        <f t="shared" si="30"/>
        <v>-0.11549699999999996</v>
      </c>
      <c r="G1006">
        <f t="shared" si="31"/>
        <v>101.81952052091718</v>
      </c>
    </row>
    <row r="1007" spans="2:7">
      <c r="B1007" t="s">
        <v>2</v>
      </c>
      <c r="C1007" s="2">
        <v>40617</v>
      </c>
      <c r="D1007" t="s">
        <v>6</v>
      </c>
      <c r="E1007">
        <v>3.434221</v>
      </c>
      <c r="F1007">
        <f t="shared" si="30"/>
        <v>-2.6572999999999958E-2</v>
      </c>
      <c r="G1007">
        <f t="shared" si="31"/>
        <v>106.41956130722083</v>
      </c>
    </row>
    <row r="1008" spans="2:7">
      <c r="B1008" t="s">
        <v>2</v>
      </c>
      <c r="C1008" s="2">
        <v>40616</v>
      </c>
      <c r="D1008" t="s">
        <v>6</v>
      </c>
      <c r="E1008">
        <v>3.4607939999999999</v>
      </c>
      <c r="F1008">
        <f t="shared" si="30"/>
        <v>-4.1941000000000006E-2</v>
      </c>
      <c r="G1008">
        <f t="shared" si="31"/>
        <v>106.52286035233975</v>
      </c>
    </row>
    <row r="1009" spans="2:7">
      <c r="B1009" t="s">
        <v>2</v>
      </c>
      <c r="C1009" s="2">
        <v>40613</v>
      </c>
      <c r="D1009" t="s">
        <v>6</v>
      </c>
      <c r="E1009">
        <v>3.5027349999999999</v>
      </c>
      <c r="F1009">
        <f t="shared" si="30"/>
        <v>5.7070000000001286E-3</v>
      </c>
      <c r="G1009">
        <f t="shared" si="31"/>
        <v>107.54549526118646</v>
      </c>
    </row>
    <row r="1010" spans="2:7">
      <c r="B1010" t="s">
        <v>2</v>
      </c>
      <c r="C1010" s="2">
        <v>40612</v>
      </c>
      <c r="D1010" t="s">
        <v>6</v>
      </c>
      <c r="E1010">
        <v>3.4970279999999998</v>
      </c>
      <c r="F1010">
        <f t="shared" si="30"/>
        <v>-7.032800000000039E-2</v>
      </c>
      <c r="G1010">
        <f t="shared" si="31"/>
        <v>113.61324423527013</v>
      </c>
    </row>
    <row r="1011" spans="2:7">
      <c r="B1011" t="s">
        <v>2</v>
      </c>
      <c r="C1011" s="2">
        <v>40611</v>
      </c>
      <c r="D1011" t="s">
        <v>6</v>
      </c>
      <c r="E1011">
        <v>3.5673560000000002</v>
      </c>
      <c r="F1011">
        <f t="shared" si="30"/>
        <v>-7.4527999999999928E-2</v>
      </c>
      <c r="G1011">
        <f t="shared" si="31"/>
        <v>112.6964829174226</v>
      </c>
    </row>
    <row r="1012" spans="2:7">
      <c r="B1012" t="s">
        <v>2</v>
      </c>
      <c r="C1012" s="2">
        <v>40610</v>
      </c>
      <c r="D1012" t="s">
        <v>6</v>
      </c>
      <c r="E1012">
        <v>3.6418840000000001</v>
      </c>
      <c r="F1012">
        <f t="shared" si="30"/>
        <v>3.844599999999998E-2</v>
      </c>
      <c r="G1012">
        <f t="shared" si="31"/>
        <v>112.91065694028065</v>
      </c>
    </row>
    <row r="1013" spans="2:7">
      <c r="B1013" t="s">
        <v>2</v>
      </c>
      <c r="C1013" s="2">
        <v>40609</v>
      </c>
      <c r="D1013" t="s">
        <v>6</v>
      </c>
      <c r="E1013">
        <v>3.6034380000000001</v>
      </c>
      <c r="F1013">
        <f t="shared" si="30"/>
        <v>-2.1969999999997825E-3</v>
      </c>
      <c r="G1013">
        <f t="shared" si="31"/>
        <v>113.44723976834565</v>
      </c>
    </row>
    <row r="1014" spans="2:7">
      <c r="B1014" t="s">
        <v>2</v>
      </c>
      <c r="C1014" s="2">
        <v>40606</v>
      </c>
      <c r="D1014" t="s">
        <v>6</v>
      </c>
      <c r="E1014">
        <v>3.6056349999999999</v>
      </c>
      <c r="F1014">
        <f t="shared" si="30"/>
        <v>-9.2417000000000193E-2</v>
      </c>
      <c r="G1014">
        <f t="shared" si="31"/>
        <v>113.90431668389922</v>
      </c>
    </row>
    <row r="1015" spans="2:7">
      <c r="B1015" t="s">
        <v>2</v>
      </c>
      <c r="C1015" s="2">
        <v>40605</v>
      </c>
      <c r="D1015" t="s">
        <v>6</v>
      </c>
      <c r="E1015">
        <v>3.6980520000000001</v>
      </c>
      <c r="F1015">
        <f t="shared" si="30"/>
        <v>0.11282900000000007</v>
      </c>
      <c r="G1015">
        <f t="shared" si="31"/>
        <v>120.2949982355523</v>
      </c>
    </row>
    <row r="1016" spans="2:7">
      <c r="B1016" t="s">
        <v>2</v>
      </c>
      <c r="C1016" s="2">
        <v>40604</v>
      </c>
      <c r="D1016" t="s">
        <v>6</v>
      </c>
      <c r="E1016">
        <v>3.585223</v>
      </c>
      <c r="F1016">
        <f t="shared" si="30"/>
        <v>5.8575999999999961E-2</v>
      </c>
      <c r="G1016">
        <f t="shared" si="31"/>
        <v>119.64426321229236</v>
      </c>
    </row>
    <row r="1017" spans="2:7">
      <c r="B1017" t="s">
        <v>2</v>
      </c>
      <c r="C1017" s="2">
        <v>40603</v>
      </c>
      <c r="D1017" t="s">
        <v>6</v>
      </c>
      <c r="E1017">
        <v>3.5266470000000001</v>
      </c>
      <c r="F1017">
        <f t="shared" si="30"/>
        <v>1.2430000000001051E-3</v>
      </c>
      <c r="G1017">
        <f t="shared" si="31"/>
        <v>119.1658221930027</v>
      </c>
    </row>
    <row r="1018" spans="2:7">
      <c r="B1018" t="s">
        <v>2</v>
      </c>
      <c r="C1018" s="2">
        <v>40602</v>
      </c>
      <c r="D1018" t="s">
        <v>6</v>
      </c>
      <c r="E1018">
        <v>3.525404</v>
      </c>
      <c r="F1018">
        <f t="shared" si="30"/>
        <v>-1.3272000000000173E-2</v>
      </c>
      <c r="G1018">
        <f t="shared" si="31"/>
        <v>119.47200450863266</v>
      </c>
    </row>
    <row r="1019" spans="2:7">
      <c r="B1019" t="s">
        <v>2</v>
      </c>
      <c r="C1019" s="2">
        <v>40599</v>
      </c>
      <c r="D1019" t="s">
        <v>6</v>
      </c>
      <c r="E1019">
        <v>3.5386760000000002</v>
      </c>
      <c r="F1019">
        <f t="shared" si="30"/>
        <v>-1.1793999999999638E-2</v>
      </c>
      <c r="G1019">
        <f t="shared" si="31"/>
        <v>123.60993015390207</v>
      </c>
    </row>
    <row r="1020" spans="2:7">
      <c r="B1020" t="s">
        <v>2</v>
      </c>
      <c r="C1020" s="2">
        <v>40598</v>
      </c>
      <c r="D1020" t="s">
        <v>6</v>
      </c>
      <c r="E1020">
        <v>3.5504699999999998</v>
      </c>
      <c r="F1020">
        <f t="shared" si="30"/>
        <v>-4.5602000000000142E-2</v>
      </c>
      <c r="G1020">
        <f t="shared" si="31"/>
        <v>123.64545154044788</v>
      </c>
    </row>
    <row r="1021" spans="2:7">
      <c r="B1021" t="s">
        <v>2</v>
      </c>
      <c r="C1021" s="2">
        <v>40597</v>
      </c>
      <c r="D1021" t="s">
        <v>6</v>
      </c>
      <c r="E1021">
        <v>3.5960719999999999</v>
      </c>
      <c r="F1021">
        <f t="shared" si="30"/>
        <v>1.972700000000005E-2</v>
      </c>
      <c r="G1021">
        <f t="shared" si="31"/>
        <v>123.56315256085382</v>
      </c>
    </row>
    <row r="1022" spans="2:7">
      <c r="B1022" t="s">
        <v>2</v>
      </c>
      <c r="C1022" s="2">
        <v>40596</v>
      </c>
      <c r="D1022" t="s">
        <v>6</v>
      </c>
      <c r="E1022">
        <v>3.5763449999999999</v>
      </c>
      <c r="F1022">
        <f t="shared" si="30"/>
        <v>-0.10493899999999989</v>
      </c>
      <c r="G1022">
        <f t="shared" si="31"/>
        <v>123.9276127226747</v>
      </c>
    </row>
    <row r="1023" spans="2:7">
      <c r="B1023" t="s">
        <v>2</v>
      </c>
      <c r="C1023" s="2">
        <v>40592</v>
      </c>
      <c r="D1023" t="s">
        <v>6</v>
      </c>
      <c r="E1023">
        <v>3.6812839999999998</v>
      </c>
      <c r="F1023">
        <f t="shared" si="30"/>
        <v>1.5015000000000001E-2</v>
      </c>
      <c r="G1023">
        <f t="shared" si="31"/>
        <v>125.07687941703168</v>
      </c>
    </row>
    <row r="1024" spans="2:7">
      <c r="B1024" t="s">
        <v>2</v>
      </c>
      <c r="C1024" s="2">
        <v>40591</v>
      </c>
      <c r="D1024" t="s">
        <v>6</v>
      </c>
      <c r="E1024">
        <v>3.6662689999999998</v>
      </c>
      <c r="F1024">
        <f t="shared" si="30"/>
        <v>-5.3814000000000028E-2</v>
      </c>
      <c r="G1024">
        <f t="shared" si="31"/>
        <v>126.02119162471892</v>
      </c>
    </row>
    <row r="1025" spans="2:7">
      <c r="B1025" t="s">
        <v>2</v>
      </c>
      <c r="C1025" s="2">
        <v>40590</v>
      </c>
      <c r="D1025" t="s">
        <v>6</v>
      </c>
      <c r="E1025">
        <v>3.7200829999999998</v>
      </c>
      <c r="F1025">
        <f t="shared" si="30"/>
        <v>7.4359999999997761E-3</v>
      </c>
      <c r="G1025">
        <f t="shared" si="31"/>
        <v>126.3929041800827</v>
      </c>
    </row>
    <row r="1026" spans="2:7">
      <c r="B1026" t="s">
        <v>2</v>
      </c>
      <c r="C1026" s="2">
        <v>40589</v>
      </c>
      <c r="D1026" t="s">
        <v>6</v>
      </c>
      <c r="E1026">
        <v>3.712647</v>
      </c>
      <c r="F1026">
        <f t="shared" si="30"/>
        <v>-8.1109999999999793E-3</v>
      </c>
      <c r="G1026">
        <f t="shared" si="31"/>
        <v>126.50139383484355</v>
      </c>
    </row>
    <row r="1027" spans="2:7">
      <c r="B1027" t="s">
        <v>2</v>
      </c>
      <c r="C1027" s="2">
        <v>40588</v>
      </c>
      <c r="D1027" t="s">
        <v>6</v>
      </c>
      <c r="E1027">
        <v>3.720758</v>
      </c>
      <c r="F1027">
        <f t="shared" ref="F1027:F1090" si="32">E1027-E1028</f>
        <v>-3.5435000000000105E-2</v>
      </c>
      <c r="G1027">
        <f t="shared" ref="G1027:G1090" si="33">STDEV(F1027:F1086)*SQRT(250)*100</f>
        <v>126.4434351908652</v>
      </c>
    </row>
    <row r="1028" spans="2:7">
      <c r="B1028" t="s">
        <v>2</v>
      </c>
      <c r="C1028" s="2">
        <v>40585</v>
      </c>
      <c r="D1028" t="s">
        <v>6</v>
      </c>
      <c r="E1028">
        <v>3.7561930000000001</v>
      </c>
      <c r="F1028">
        <f t="shared" si="32"/>
        <v>-5.8717999999999826E-2</v>
      </c>
      <c r="G1028">
        <f t="shared" si="33"/>
        <v>126.09782103500773</v>
      </c>
    </row>
    <row r="1029" spans="2:7">
      <c r="B1029" t="s">
        <v>2</v>
      </c>
      <c r="C1029" s="2">
        <v>40584</v>
      </c>
      <c r="D1029" t="s">
        <v>6</v>
      </c>
      <c r="E1029">
        <v>3.8149109999999999</v>
      </c>
      <c r="F1029">
        <f t="shared" si="32"/>
        <v>6.041199999999991E-2</v>
      </c>
      <c r="G1029">
        <f t="shared" si="33"/>
        <v>125.77808756830862</v>
      </c>
    </row>
    <row r="1030" spans="2:7">
      <c r="B1030" t="s">
        <v>2</v>
      </c>
      <c r="C1030" s="2">
        <v>40583</v>
      </c>
      <c r="D1030" t="s">
        <v>6</v>
      </c>
      <c r="E1030">
        <v>3.754499</v>
      </c>
      <c r="F1030">
        <f t="shared" si="32"/>
        <v>-7.0084000000000035E-2</v>
      </c>
      <c r="G1030">
        <f t="shared" si="33"/>
        <v>128.42362085465786</v>
      </c>
    </row>
    <row r="1031" spans="2:7">
      <c r="B1031" t="s">
        <v>2</v>
      </c>
      <c r="C1031" s="2">
        <v>40582</v>
      </c>
      <c r="D1031" t="s">
        <v>6</v>
      </c>
      <c r="E1031">
        <v>3.8245830000000001</v>
      </c>
      <c r="F1031">
        <f t="shared" si="32"/>
        <v>7.2035000000000071E-2</v>
      </c>
      <c r="G1031">
        <f t="shared" si="33"/>
        <v>127.99184352299389</v>
      </c>
    </row>
    <row r="1032" spans="2:7">
      <c r="B1032" t="s">
        <v>2</v>
      </c>
      <c r="C1032" s="2">
        <v>40581</v>
      </c>
      <c r="D1032" t="s">
        <v>6</v>
      </c>
      <c r="E1032">
        <v>3.752548</v>
      </c>
      <c r="F1032">
        <f t="shared" si="32"/>
        <v>7.0700000000001317E-3</v>
      </c>
      <c r="G1032">
        <f t="shared" si="33"/>
        <v>127.65793908072851</v>
      </c>
    </row>
    <row r="1033" spans="2:7">
      <c r="B1033" t="s">
        <v>2</v>
      </c>
      <c r="C1033" s="2">
        <v>40578</v>
      </c>
      <c r="D1033" t="s">
        <v>6</v>
      </c>
      <c r="E1033">
        <v>3.7454779999999999</v>
      </c>
      <c r="F1033">
        <f t="shared" si="32"/>
        <v>9.6096999999999877E-2</v>
      </c>
      <c r="G1033">
        <f t="shared" si="33"/>
        <v>129.72594601105547</v>
      </c>
    </row>
    <row r="1034" spans="2:7">
      <c r="B1034" t="s">
        <v>2</v>
      </c>
      <c r="C1034" s="2">
        <v>40577</v>
      </c>
      <c r="D1034" t="s">
        <v>6</v>
      </c>
      <c r="E1034">
        <v>3.649381</v>
      </c>
      <c r="F1034">
        <f t="shared" si="32"/>
        <v>5.4877999999999982E-2</v>
      </c>
      <c r="G1034">
        <f t="shared" si="33"/>
        <v>128.76308782801715</v>
      </c>
    </row>
    <row r="1035" spans="2:7">
      <c r="B1035" t="s">
        <v>2</v>
      </c>
      <c r="C1035" s="2">
        <v>40576</v>
      </c>
      <c r="D1035" t="s">
        <v>6</v>
      </c>
      <c r="E1035">
        <v>3.594503</v>
      </c>
      <c r="F1035">
        <f t="shared" si="32"/>
        <v>5.4561000000000082E-2</v>
      </c>
      <c r="G1035">
        <f t="shared" si="33"/>
        <v>128.6080355341563</v>
      </c>
    </row>
    <row r="1036" spans="2:7">
      <c r="B1036" t="s">
        <v>2</v>
      </c>
      <c r="C1036" s="2">
        <v>40575</v>
      </c>
      <c r="D1036" t="s">
        <v>6</v>
      </c>
      <c r="E1036">
        <v>3.5399419999999999</v>
      </c>
      <c r="F1036">
        <f t="shared" si="32"/>
        <v>6.4185999999999854E-2</v>
      </c>
      <c r="G1036">
        <f t="shared" si="33"/>
        <v>130.43600094137503</v>
      </c>
    </row>
    <row r="1037" spans="2:7">
      <c r="B1037" t="s">
        <v>2</v>
      </c>
      <c r="C1037" s="2">
        <v>40574</v>
      </c>
      <c r="D1037" t="s">
        <v>6</v>
      </c>
      <c r="E1037">
        <v>3.4757560000000001</v>
      </c>
      <c r="F1037">
        <f t="shared" si="32"/>
        <v>5.8076000000000239E-2</v>
      </c>
      <c r="G1037">
        <f t="shared" si="33"/>
        <v>130.03640916126724</v>
      </c>
    </row>
    <row r="1038" spans="2:7">
      <c r="B1038" t="s">
        <v>2</v>
      </c>
      <c r="C1038" s="2">
        <v>40571</v>
      </c>
      <c r="D1038" t="s">
        <v>6</v>
      </c>
      <c r="E1038">
        <v>3.4176799999999998</v>
      </c>
      <c r="F1038">
        <f t="shared" si="32"/>
        <v>-4.6456000000000053E-2</v>
      </c>
      <c r="G1038">
        <f t="shared" si="33"/>
        <v>129.83708720556203</v>
      </c>
    </row>
    <row r="1039" spans="2:7">
      <c r="B1039" t="s">
        <v>2</v>
      </c>
      <c r="C1039" s="2">
        <v>40570</v>
      </c>
      <c r="D1039" t="s">
        <v>6</v>
      </c>
      <c r="E1039">
        <v>3.4641359999999999</v>
      </c>
      <c r="F1039">
        <f t="shared" si="32"/>
        <v>-4.5708000000000304E-2</v>
      </c>
      <c r="G1039">
        <f t="shared" si="33"/>
        <v>129.2845330920189</v>
      </c>
    </row>
    <row r="1040" spans="2:7">
      <c r="B1040" t="s">
        <v>2</v>
      </c>
      <c r="C1040" s="2">
        <v>40569</v>
      </c>
      <c r="D1040" t="s">
        <v>6</v>
      </c>
      <c r="E1040">
        <v>3.5098440000000002</v>
      </c>
      <c r="F1040">
        <f t="shared" si="32"/>
        <v>0.10711500000000029</v>
      </c>
      <c r="G1040">
        <f t="shared" si="33"/>
        <v>129.28152081377962</v>
      </c>
    </row>
    <row r="1041" spans="2:7">
      <c r="B1041" t="s">
        <v>2</v>
      </c>
      <c r="C1041" s="2">
        <v>40568</v>
      </c>
      <c r="D1041" t="s">
        <v>6</v>
      </c>
      <c r="E1041">
        <v>3.4027289999999999</v>
      </c>
      <c r="F1041">
        <f t="shared" si="32"/>
        <v>-7.9534000000000216E-2</v>
      </c>
      <c r="G1041">
        <f t="shared" si="33"/>
        <v>128.61479981729033</v>
      </c>
    </row>
    <row r="1042" spans="2:7">
      <c r="B1042" t="s">
        <v>2</v>
      </c>
      <c r="C1042" s="2">
        <v>40567</v>
      </c>
      <c r="D1042" t="s">
        <v>6</v>
      </c>
      <c r="E1042">
        <v>3.4822630000000001</v>
      </c>
      <c r="F1042">
        <f t="shared" si="32"/>
        <v>4.534000000000038E-3</v>
      </c>
      <c r="G1042">
        <f t="shared" si="33"/>
        <v>127.96282251772459</v>
      </c>
    </row>
    <row r="1043" spans="2:7">
      <c r="B1043" t="s">
        <v>2</v>
      </c>
      <c r="C1043" s="2">
        <v>40564</v>
      </c>
      <c r="D1043" t="s">
        <v>6</v>
      </c>
      <c r="E1043">
        <v>3.4777290000000001</v>
      </c>
      <c r="F1043">
        <f t="shared" si="32"/>
        <v>-4.2215999999999809E-2</v>
      </c>
      <c r="G1043">
        <f t="shared" si="33"/>
        <v>128.96495209971553</v>
      </c>
    </row>
    <row r="1044" spans="2:7">
      <c r="B1044" t="s">
        <v>2</v>
      </c>
      <c r="C1044" s="2">
        <v>40563</v>
      </c>
      <c r="D1044" t="s">
        <v>6</v>
      </c>
      <c r="E1044">
        <v>3.5199449999999999</v>
      </c>
      <c r="F1044">
        <f t="shared" si="32"/>
        <v>0.11881599999999981</v>
      </c>
      <c r="G1044">
        <f t="shared" si="33"/>
        <v>128.47085722522294</v>
      </c>
    </row>
    <row r="1045" spans="2:7">
      <c r="B1045" t="s">
        <v>2</v>
      </c>
      <c r="C1045" s="2">
        <v>40562</v>
      </c>
      <c r="D1045" t="s">
        <v>6</v>
      </c>
      <c r="E1045">
        <v>3.4011290000000001</v>
      </c>
      <c r="F1045">
        <f t="shared" si="32"/>
        <v>-2.7662999999999993E-2</v>
      </c>
      <c r="G1045">
        <f t="shared" si="33"/>
        <v>126.75760675402393</v>
      </c>
    </row>
    <row r="1046" spans="2:7">
      <c r="B1046" t="s">
        <v>2</v>
      </c>
      <c r="C1046" s="2">
        <v>40561</v>
      </c>
      <c r="D1046" t="s">
        <v>6</v>
      </c>
      <c r="E1046">
        <v>3.4287920000000001</v>
      </c>
      <c r="F1046">
        <f t="shared" si="32"/>
        <v>3.4499999999999975E-2</v>
      </c>
      <c r="G1046">
        <f t="shared" si="33"/>
        <v>126.93313346180145</v>
      </c>
    </row>
    <row r="1047" spans="2:7">
      <c r="B1047" t="s">
        <v>2</v>
      </c>
      <c r="C1047" s="2">
        <v>40557</v>
      </c>
      <c r="D1047" t="s">
        <v>6</v>
      </c>
      <c r="E1047">
        <v>3.3942920000000001</v>
      </c>
      <c r="F1047">
        <f t="shared" si="32"/>
        <v>3.5528000000000226E-2</v>
      </c>
      <c r="G1047">
        <f t="shared" si="33"/>
        <v>126.98551250994117</v>
      </c>
    </row>
    <row r="1048" spans="2:7">
      <c r="B1048" t="s">
        <v>2</v>
      </c>
      <c r="C1048" s="2">
        <v>40556</v>
      </c>
      <c r="D1048" t="s">
        <v>6</v>
      </c>
      <c r="E1048">
        <v>3.3587639999999999</v>
      </c>
      <c r="F1048">
        <f t="shared" si="32"/>
        <v>-6.0561000000000309E-2</v>
      </c>
      <c r="G1048">
        <f t="shared" si="33"/>
        <v>127.1647669475395</v>
      </c>
    </row>
    <row r="1049" spans="2:7">
      <c r="B1049" t="s">
        <v>2</v>
      </c>
      <c r="C1049" s="2">
        <v>40555</v>
      </c>
      <c r="D1049" t="s">
        <v>6</v>
      </c>
      <c r="E1049">
        <v>3.4193250000000002</v>
      </c>
      <c r="F1049">
        <f t="shared" si="32"/>
        <v>1.1254000000000097E-2</v>
      </c>
      <c r="G1049">
        <f t="shared" si="33"/>
        <v>127.74908117496587</v>
      </c>
    </row>
    <row r="1050" spans="2:7">
      <c r="B1050" t="s">
        <v>2</v>
      </c>
      <c r="C1050" s="2">
        <v>40554</v>
      </c>
      <c r="D1050" t="s">
        <v>6</v>
      </c>
      <c r="E1050">
        <v>3.4080710000000001</v>
      </c>
      <c r="F1050">
        <f t="shared" si="32"/>
        <v>3.1614000000000253E-2</v>
      </c>
      <c r="G1050">
        <f t="shared" si="33"/>
        <v>128.11289944908518</v>
      </c>
    </row>
    <row r="1051" spans="2:7">
      <c r="B1051" t="s">
        <v>2</v>
      </c>
      <c r="C1051" s="2">
        <v>40553</v>
      </c>
      <c r="D1051" t="s">
        <v>6</v>
      </c>
      <c r="E1051">
        <v>3.3764569999999998</v>
      </c>
      <c r="F1051">
        <f t="shared" si="32"/>
        <v>-2.2941000000000322E-2</v>
      </c>
      <c r="G1051">
        <f t="shared" si="33"/>
        <v>128.63733977751568</v>
      </c>
    </row>
    <row r="1052" spans="2:7">
      <c r="B1052" t="s">
        <v>2</v>
      </c>
      <c r="C1052" s="2">
        <v>40550</v>
      </c>
      <c r="D1052" t="s">
        <v>6</v>
      </c>
      <c r="E1052">
        <v>3.3993980000000001</v>
      </c>
      <c r="F1052">
        <f t="shared" si="32"/>
        <v>-8.8049999999999962E-2</v>
      </c>
      <c r="G1052">
        <f t="shared" si="33"/>
        <v>128.44112474415849</v>
      </c>
    </row>
    <row r="1053" spans="2:7">
      <c r="B1053" t="s">
        <v>2</v>
      </c>
      <c r="C1053" s="2">
        <v>40549</v>
      </c>
      <c r="D1053" t="s">
        <v>6</v>
      </c>
      <c r="E1053">
        <v>3.4874480000000001</v>
      </c>
      <c r="F1053">
        <f t="shared" si="32"/>
        <v>-7.4554999999999705E-2</v>
      </c>
      <c r="G1053">
        <f t="shared" si="33"/>
        <v>126.65952017403788</v>
      </c>
    </row>
    <row r="1054" spans="2:7">
      <c r="B1054" t="s">
        <v>2</v>
      </c>
      <c r="C1054" s="2">
        <v>40548</v>
      </c>
      <c r="D1054" t="s">
        <v>6</v>
      </c>
      <c r="E1054">
        <v>3.5620029999999998</v>
      </c>
      <c r="F1054">
        <f t="shared" si="32"/>
        <v>0.15666799999999981</v>
      </c>
      <c r="G1054">
        <f t="shared" si="33"/>
        <v>125.33659425015546</v>
      </c>
    </row>
    <row r="1055" spans="2:7">
      <c r="B1055" t="s">
        <v>2</v>
      </c>
      <c r="C1055" s="2">
        <v>40547</v>
      </c>
      <c r="D1055" t="s">
        <v>6</v>
      </c>
      <c r="E1055">
        <v>3.405335</v>
      </c>
      <c r="F1055">
        <f t="shared" si="32"/>
        <v>-5.6169999999999831E-3</v>
      </c>
      <c r="G1055">
        <f t="shared" si="33"/>
        <v>122.12334885847544</v>
      </c>
    </row>
    <row r="1056" spans="2:7">
      <c r="B1056" t="s">
        <v>2</v>
      </c>
      <c r="C1056" s="2">
        <v>40546</v>
      </c>
      <c r="D1056" t="s">
        <v>6</v>
      </c>
      <c r="E1056">
        <v>3.410952</v>
      </c>
      <c r="F1056">
        <f t="shared" si="32"/>
        <v>4.2583000000000037E-2</v>
      </c>
      <c r="G1056">
        <f t="shared" si="33"/>
        <v>123.20419476174148</v>
      </c>
    </row>
    <row r="1057" spans="2:7">
      <c r="B1057" t="s">
        <v>2</v>
      </c>
      <c r="C1057" s="2">
        <v>40543</v>
      </c>
      <c r="D1057" t="s">
        <v>6</v>
      </c>
      <c r="E1057">
        <v>3.3683689999999999</v>
      </c>
      <c r="F1057">
        <f t="shared" si="32"/>
        <v>-7.2694000000000258E-2</v>
      </c>
      <c r="G1057">
        <f t="shared" si="33"/>
        <v>123.06683917886532</v>
      </c>
    </row>
    <row r="1058" spans="2:7">
      <c r="B1058" t="s">
        <v>2</v>
      </c>
      <c r="C1058" s="2">
        <v>40542</v>
      </c>
      <c r="D1058" t="s">
        <v>6</v>
      </c>
      <c r="E1058">
        <v>3.4410630000000002</v>
      </c>
      <c r="F1058">
        <f t="shared" si="32"/>
        <v>3.0303000000000413E-2</v>
      </c>
      <c r="G1058">
        <f t="shared" si="33"/>
        <v>122.28962848939172</v>
      </c>
    </row>
    <row r="1059" spans="2:7">
      <c r="B1059" t="s">
        <v>2</v>
      </c>
      <c r="C1059" s="2">
        <v>40541</v>
      </c>
      <c r="D1059" t="s">
        <v>6</v>
      </c>
      <c r="E1059">
        <v>3.4107599999999998</v>
      </c>
      <c r="F1059">
        <f t="shared" si="32"/>
        <v>-0.13738700000000037</v>
      </c>
      <c r="G1059">
        <f t="shared" si="33"/>
        <v>122.26500412130112</v>
      </c>
    </row>
    <row r="1060" spans="2:7">
      <c r="B1060" t="s">
        <v>2</v>
      </c>
      <c r="C1060" s="2">
        <v>40540</v>
      </c>
      <c r="D1060" t="s">
        <v>6</v>
      </c>
      <c r="E1060">
        <v>3.5481470000000002</v>
      </c>
      <c r="F1060">
        <f t="shared" si="32"/>
        <v>0.12997400000000026</v>
      </c>
      <c r="G1060">
        <f t="shared" si="33"/>
        <v>118.16570915801113</v>
      </c>
    </row>
    <row r="1061" spans="2:7">
      <c r="B1061" t="s">
        <v>2</v>
      </c>
      <c r="C1061" s="2">
        <v>40539</v>
      </c>
      <c r="D1061" t="s">
        <v>6</v>
      </c>
      <c r="E1061">
        <v>3.4181729999999999</v>
      </c>
      <c r="F1061">
        <f t="shared" si="32"/>
        <v>-5.1576000000000288E-2</v>
      </c>
      <c r="G1061">
        <f t="shared" si="33"/>
        <v>116.1739671819998</v>
      </c>
    </row>
    <row r="1062" spans="2:7">
      <c r="B1062" t="s">
        <v>2</v>
      </c>
      <c r="C1062" s="2">
        <v>40535</v>
      </c>
      <c r="D1062" t="s">
        <v>6</v>
      </c>
      <c r="E1062">
        <v>3.4697490000000002</v>
      </c>
      <c r="F1062">
        <f t="shared" si="32"/>
        <v>4.0248000000000062E-2</v>
      </c>
      <c r="G1062">
        <f t="shared" si="33"/>
        <v>116.62652478980932</v>
      </c>
    </row>
    <row r="1063" spans="2:7">
      <c r="B1063" t="s">
        <v>2</v>
      </c>
      <c r="C1063" s="2">
        <v>40534</v>
      </c>
      <c r="D1063" t="s">
        <v>6</v>
      </c>
      <c r="E1063">
        <v>3.4295010000000001</v>
      </c>
      <c r="F1063">
        <f t="shared" si="32"/>
        <v>2.5729000000000113E-2</v>
      </c>
      <c r="G1063">
        <f t="shared" si="33"/>
        <v>118.58771819302704</v>
      </c>
    </row>
    <row r="1064" spans="2:7">
      <c r="B1064" t="s">
        <v>2</v>
      </c>
      <c r="C1064" s="2">
        <v>40533</v>
      </c>
      <c r="D1064" t="s">
        <v>6</v>
      </c>
      <c r="E1064">
        <v>3.403772</v>
      </c>
      <c r="F1064">
        <f t="shared" si="32"/>
        <v>-2.5341000000000058E-2</v>
      </c>
      <c r="G1064">
        <f t="shared" si="33"/>
        <v>118.81153432011253</v>
      </c>
    </row>
    <row r="1065" spans="2:7">
      <c r="B1065" t="s">
        <v>2</v>
      </c>
      <c r="C1065" s="2">
        <v>40532</v>
      </c>
      <c r="D1065" t="s">
        <v>6</v>
      </c>
      <c r="E1065">
        <v>3.4291130000000001</v>
      </c>
      <c r="F1065">
        <f t="shared" si="32"/>
        <v>1.6427999999999887E-2</v>
      </c>
      <c r="G1065">
        <f t="shared" si="33"/>
        <v>118.55013452318548</v>
      </c>
    </row>
    <row r="1066" spans="2:7">
      <c r="B1066" t="s">
        <v>2</v>
      </c>
      <c r="C1066" s="2">
        <v>40529</v>
      </c>
      <c r="D1066" t="s">
        <v>6</v>
      </c>
      <c r="E1066">
        <v>3.4126850000000002</v>
      </c>
      <c r="F1066">
        <f t="shared" si="32"/>
        <v>-0.19045899999999971</v>
      </c>
      <c r="G1066">
        <f t="shared" si="33"/>
        <v>118.83474535719527</v>
      </c>
    </row>
    <row r="1067" spans="2:7">
      <c r="B1067" t="s">
        <v>2</v>
      </c>
      <c r="C1067" s="2">
        <v>40528</v>
      </c>
      <c r="D1067" t="s">
        <v>6</v>
      </c>
      <c r="E1067">
        <v>3.6031439999999999</v>
      </c>
      <c r="F1067">
        <f t="shared" si="32"/>
        <v>-3.5754000000000286E-2</v>
      </c>
      <c r="G1067">
        <f t="shared" si="33"/>
        <v>113.93150637163301</v>
      </c>
    </row>
    <row r="1068" spans="2:7">
      <c r="B1068" t="s">
        <v>2</v>
      </c>
      <c r="C1068" s="2">
        <v>40527</v>
      </c>
      <c r="D1068" t="s">
        <v>6</v>
      </c>
      <c r="E1068">
        <v>3.6388980000000002</v>
      </c>
      <c r="F1068">
        <f t="shared" si="32"/>
        <v>8.0304000000000375E-2</v>
      </c>
      <c r="G1068">
        <f t="shared" si="33"/>
        <v>113.98557611953476</v>
      </c>
    </row>
    <row r="1069" spans="2:7">
      <c r="B1069" t="s">
        <v>2</v>
      </c>
      <c r="C1069" s="2">
        <v>40526</v>
      </c>
      <c r="D1069" t="s">
        <v>6</v>
      </c>
      <c r="E1069">
        <v>3.5585939999999998</v>
      </c>
      <c r="F1069">
        <f t="shared" si="32"/>
        <v>0.17854499999999973</v>
      </c>
      <c r="G1069">
        <f t="shared" si="33"/>
        <v>113.24503562413047</v>
      </c>
    </row>
    <row r="1070" spans="2:7">
      <c r="B1070" t="s">
        <v>2</v>
      </c>
      <c r="C1070" s="2">
        <v>40525</v>
      </c>
      <c r="D1070" t="s">
        <v>6</v>
      </c>
      <c r="E1070">
        <v>3.3800490000000001</v>
      </c>
      <c r="F1070">
        <f t="shared" si="32"/>
        <v>-1.739999999999986E-2</v>
      </c>
      <c r="G1070">
        <f t="shared" si="33"/>
        <v>108.3129975738177</v>
      </c>
    </row>
    <row r="1071" spans="2:7">
      <c r="B1071" t="s">
        <v>2</v>
      </c>
      <c r="C1071" s="2">
        <v>40522</v>
      </c>
      <c r="D1071" t="s">
        <v>6</v>
      </c>
      <c r="E1071">
        <v>3.3974489999999999</v>
      </c>
      <c r="F1071">
        <f t="shared" si="32"/>
        <v>8.9868000000000059E-2</v>
      </c>
      <c r="G1071">
        <f t="shared" si="33"/>
        <v>108.77256804463804</v>
      </c>
    </row>
    <row r="1072" spans="2:7">
      <c r="B1072" t="s">
        <v>2</v>
      </c>
      <c r="C1072" s="2">
        <v>40521</v>
      </c>
      <c r="D1072" t="s">
        <v>6</v>
      </c>
      <c r="E1072">
        <v>3.3075809999999999</v>
      </c>
      <c r="F1072">
        <f t="shared" si="32"/>
        <v>-5.8489000000000235E-2</v>
      </c>
      <c r="G1072">
        <f t="shared" si="33"/>
        <v>109.40644176043783</v>
      </c>
    </row>
    <row r="1073" spans="2:7">
      <c r="B1073" t="s">
        <v>2</v>
      </c>
      <c r="C1073" s="2">
        <v>40520</v>
      </c>
      <c r="D1073" t="s">
        <v>6</v>
      </c>
      <c r="E1073">
        <v>3.3660700000000001</v>
      </c>
      <c r="F1073">
        <f t="shared" si="32"/>
        <v>5.43910000000003E-2</v>
      </c>
      <c r="G1073">
        <f t="shared" si="33"/>
        <v>109.18064253866</v>
      </c>
    </row>
    <row r="1074" spans="2:7">
      <c r="B1074" t="s">
        <v>2</v>
      </c>
      <c r="C1074" s="2">
        <v>40519</v>
      </c>
      <c r="D1074" t="s">
        <v>6</v>
      </c>
      <c r="E1074">
        <v>3.3116789999999998</v>
      </c>
      <c r="F1074">
        <f t="shared" si="32"/>
        <v>0.22035899999999975</v>
      </c>
      <c r="G1074">
        <f t="shared" si="33"/>
        <v>108.97281600160289</v>
      </c>
    </row>
    <row r="1075" spans="2:7">
      <c r="B1075" t="s">
        <v>2</v>
      </c>
      <c r="C1075" s="2">
        <v>40518</v>
      </c>
      <c r="D1075" t="s">
        <v>6</v>
      </c>
      <c r="E1075">
        <v>3.0913200000000001</v>
      </c>
      <c r="F1075">
        <f t="shared" si="32"/>
        <v>-7.627000000000006E-2</v>
      </c>
      <c r="G1075">
        <f t="shared" si="33"/>
        <v>102.38584328051412</v>
      </c>
    </row>
    <row r="1076" spans="2:7">
      <c r="B1076" t="s">
        <v>2</v>
      </c>
      <c r="C1076" s="2">
        <v>40515</v>
      </c>
      <c r="D1076" t="s">
        <v>6</v>
      </c>
      <c r="E1076">
        <v>3.1675900000000001</v>
      </c>
      <c r="F1076">
        <f t="shared" si="32"/>
        <v>2.4700000000001943E-3</v>
      </c>
      <c r="G1076">
        <f t="shared" si="33"/>
        <v>101.31148919925357</v>
      </c>
    </row>
    <row r="1077" spans="2:7">
      <c r="B1077" t="s">
        <v>2</v>
      </c>
      <c r="C1077" s="2">
        <v>40514</v>
      </c>
      <c r="D1077" t="s">
        <v>6</v>
      </c>
      <c r="E1077">
        <v>3.1651199999999999</v>
      </c>
      <c r="F1077">
        <f t="shared" si="32"/>
        <v>4.8264000000000085E-2</v>
      </c>
      <c r="G1077">
        <f t="shared" si="33"/>
        <v>104.62289788941833</v>
      </c>
    </row>
    <row r="1078" spans="2:7">
      <c r="B1078" t="s">
        <v>2</v>
      </c>
      <c r="C1078" s="2">
        <v>40513</v>
      </c>
      <c r="D1078" t="s">
        <v>6</v>
      </c>
      <c r="E1078">
        <v>3.1168559999999998</v>
      </c>
      <c r="F1078">
        <f t="shared" si="32"/>
        <v>0.16385799999999984</v>
      </c>
      <c r="G1078">
        <f t="shared" si="33"/>
        <v>104.83766336316562</v>
      </c>
    </row>
    <row r="1079" spans="2:7">
      <c r="B1079" t="s">
        <v>2</v>
      </c>
      <c r="C1079" s="2">
        <v>40512</v>
      </c>
      <c r="D1079" t="s">
        <v>6</v>
      </c>
      <c r="E1079">
        <v>2.952998</v>
      </c>
      <c r="F1079">
        <f t="shared" si="32"/>
        <v>-1.6166000000000125E-2</v>
      </c>
      <c r="G1079">
        <f t="shared" si="33"/>
        <v>99.984112756480272</v>
      </c>
    </row>
    <row r="1080" spans="2:7">
      <c r="B1080" t="s">
        <v>2</v>
      </c>
      <c r="C1080" s="2">
        <v>40511</v>
      </c>
      <c r="D1080" t="s">
        <v>6</v>
      </c>
      <c r="E1080">
        <v>2.9691640000000001</v>
      </c>
      <c r="F1080">
        <f t="shared" si="32"/>
        <v>-4.1077999999999726E-2</v>
      </c>
      <c r="G1080">
        <f t="shared" si="33"/>
        <v>101.66831130865262</v>
      </c>
    </row>
    <row r="1081" spans="2:7">
      <c r="B1081" t="s">
        <v>2</v>
      </c>
      <c r="C1081" s="2">
        <v>40508</v>
      </c>
      <c r="D1081" t="s">
        <v>6</v>
      </c>
      <c r="E1081">
        <v>3.0102419999999999</v>
      </c>
      <c r="F1081">
        <f t="shared" si="32"/>
        <v>-3.8022999999999918E-2</v>
      </c>
      <c r="G1081">
        <f t="shared" si="33"/>
        <v>102.52792662986541</v>
      </c>
    </row>
    <row r="1082" spans="2:7">
      <c r="B1082" t="s">
        <v>2</v>
      </c>
      <c r="C1082" s="2">
        <v>40506</v>
      </c>
      <c r="D1082" t="s">
        <v>6</v>
      </c>
      <c r="E1082">
        <v>3.0482649999999998</v>
      </c>
      <c r="F1082">
        <f t="shared" si="32"/>
        <v>0.15302199999999999</v>
      </c>
      <c r="G1082">
        <f t="shared" si="33"/>
        <v>105.5706950118211</v>
      </c>
    </row>
    <row r="1083" spans="2:7">
      <c r="B1083" t="s">
        <v>2</v>
      </c>
      <c r="C1083" s="2">
        <v>40505</v>
      </c>
      <c r="D1083" t="s">
        <v>6</v>
      </c>
      <c r="E1083">
        <v>2.8952429999999998</v>
      </c>
      <c r="F1083">
        <f t="shared" si="32"/>
        <v>-6.2394000000000283E-2</v>
      </c>
      <c r="G1083">
        <f t="shared" si="33"/>
        <v>106.81125926474057</v>
      </c>
    </row>
    <row r="1084" spans="2:7">
      <c r="B1084" t="s">
        <v>2</v>
      </c>
      <c r="C1084" s="2">
        <v>40504</v>
      </c>
      <c r="D1084" t="s">
        <v>6</v>
      </c>
      <c r="E1084">
        <v>2.9576370000000001</v>
      </c>
      <c r="F1084">
        <f t="shared" si="32"/>
        <v>-6.8964999999999943E-2</v>
      </c>
      <c r="G1084">
        <f t="shared" si="33"/>
        <v>106.426425469923</v>
      </c>
    </row>
    <row r="1085" spans="2:7">
      <c r="B1085" t="s">
        <v>2</v>
      </c>
      <c r="C1085" s="2">
        <v>40501</v>
      </c>
      <c r="D1085" t="s">
        <v>6</v>
      </c>
      <c r="E1085">
        <v>3.026602</v>
      </c>
      <c r="F1085">
        <f t="shared" si="32"/>
        <v>-1.4372999999999969E-2</v>
      </c>
      <c r="G1085">
        <f t="shared" si="33"/>
        <v>105.39673038795723</v>
      </c>
    </row>
    <row r="1086" spans="2:7">
      <c r="B1086" t="s">
        <v>2</v>
      </c>
      <c r="C1086" s="2">
        <v>40500</v>
      </c>
      <c r="D1086" t="s">
        <v>6</v>
      </c>
      <c r="E1086">
        <v>3.040975</v>
      </c>
      <c r="F1086">
        <f t="shared" si="32"/>
        <v>1.7317999999999945E-2</v>
      </c>
      <c r="G1086">
        <f t="shared" si="33"/>
        <v>107.56157800073625</v>
      </c>
    </row>
    <row r="1087" spans="2:7">
      <c r="B1087" t="s">
        <v>2</v>
      </c>
      <c r="C1087" s="2">
        <v>40499</v>
      </c>
      <c r="D1087" t="s">
        <v>6</v>
      </c>
      <c r="E1087">
        <v>3.023657</v>
      </c>
      <c r="F1087">
        <f t="shared" si="32"/>
        <v>2.6378000000000235E-2</v>
      </c>
      <c r="G1087">
        <f t="shared" si="33"/>
        <v>107.61383854070714</v>
      </c>
    </row>
    <row r="1088" spans="2:7">
      <c r="B1088" t="s">
        <v>2</v>
      </c>
      <c r="C1088" s="2">
        <v>40498</v>
      </c>
      <c r="D1088" t="s">
        <v>6</v>
      </c>
      <c r="E1088">
        <v>2.9972789999999998</v>
      </c>
      <c r="F1088">
        <f t="shared" si="32"/>
        <v>-4.3887000000000231E-2</v>
      </c>
      <c r="G1088">
        <f t="shared" si="33"/>
        <v>107.75800636618197</v>
      </c>
    </row>
    <row r="1089" spans="2:7">
      <c r="B1089" t="s">
        <v>2</v>
      </c>
      <c r="C1089" s="2">
        <v>40497</v>
      </c>
      <c r="D1089" t="s">
        <v>6</v>
      </c>
      <c r="E1089">
        <v>3.041166</v>
      </c>
      <c r="F1089">
        <f t="shared" si="32"/>
        <v>0.14801300000000017</v>
      </c>
      <c r="G1089">
        <f t="shared" si="33"/>
        <v>108.26514140492944</v>
      </c>
    </row>
    <row r="1090" spans="2:7">
      <c r="B1090" t="s">
        <v>2</v>
      </c>
      <c r="C1090" s="2">
        <v>40494</v>
      </c>
      <c r="D1090" t="s">
        <v>6</v>
      </c>
      <c r="E1090">
        <v>2.8931529999999999</v>
      </c>
      <c r="F1090">
        <f t="shared" si="32"/>
        <v>8.446499999999979E-2</v>
      </c>
      <c r="G1090">
        <f t="shared" si="33"/>
        <v>104.23676082118835</v>
      </c>
    </row>
    <row r="1091" spans="2:7">
      <c r="B1091" t="s">
        <v>2</v>
      </c>
      <c r="C1091" s="2">
        <v>40492</v>
      </c>
      <c r="D1091" t="s">
        <v>6</v>
      </c>
      <c r="E1091">
        <v>2.8086880000000001</v>
      </c>
      <c r="F1091">
        <f t="shared" ref="F1091:F1154" si="34">E1091-E1092</f>
        <v>-1.7039999999999722E-2</v>
      </c>
      <c r="G1091">
        <f t="shared" ref="G1091:G1154" si="35">STDEV(F1091:F1150)*SQRT(250)*100</f>
        <v>103.70212515404927</v>
      </c>
    </row>
    <row r="1092" spans="2:7">
      <c r="B1092" t="s">
        <v>2</v>
      </c>
      <c r="C1092" s="2">
        <v>40491</v>
      </c>
      <c r="D1092" t="s">
        <v>6</v>
      </c>
      <c r="E1092">
        <v>2.8257279999999998</v>
      </c>
      <c r="F1092">
        <f t="shared" si="34"/>
        <v>0.12893399999999966</v>
      </c>
      <c r="G1092">
        <f t="shared" si="35"/>
        <v>105.4540846617094</v>
      </c>
    </row>
    <row r="1093" spans="2:7">
      <c r="B1093" t="s">
        <v>2</v>
      </c>
      <c r="C1093" s="2">
        <v>40490</v>
      </c>
      <c r="D1093" t="s">
        <v>6</v>
      </c>
      <c r="E1093">
        <v>2.6967940000000001</v>
      </c>
      <c r="F1093">
        <f t="shared" si="34"/>
        <v>3.6613000000000007E-2</v>
      </c>
      <c r="G1093">
        <f t="shared" si="35"/>
        <v>103.03842895586132</v>
      </c>
    </row>
    <row r="1094" spans="2:7">
      <c r="B1094" t="s">
        <v>2</v>
      </c>
      <c r="C1094" s="2">
        <v>40487</v>
      </c>
      <c r="D1094" t="s">
        <v>6</v>
      </c>
      <c r="E1094">
        <v>2.6601810000000001</v>
      </c>
      <c r="F1094">
        <f t="shared" si="34"/>
        <v>3.9638000000000062E-2</v>
      </c>
      <c r="G1094">
        <f t="shared" si="35"/>
        <v>103.11343886352546</v>
      </c>
    </row>
    <row r="1095" spans="2:7">
      <c r="B1095" t="s">
        <v>2</v>
      </c>
      <c r="C1095" s="2">
        <v>40486</v>
      </c>
      <c r="D1095" t="s">
        <v>6</v>
      </c>
      <c r="E1095">
        <v>2.6205430000000001</v>
      </c>
      <c r="F1095">
        <f t="shared" si="34"/>
        <v>-9.79239999999999E-2</v>
      </c>
      <c r="G1095">
        <f t="shared" si="35"/>
        <v>104.0493077145975</v>
      </c>
    </row>
    <row r="1096" spans="2:7">
      <c r="B1096" t="s">
        <v>2</v>
      </c>
      <c r="C1096" s="2">
        <v>40485</v>
      </c>
      <c r="D1096" t="s">
        <v>6</v>
      </c>
      <c r="E1096">
        <v>2.718467</v>
      </c>
      <c r="F1096">
        <f t="shared" si="34"/>
        <v>2.4620999999999782E-2</v>
      </c>
      <c r="G1096">
        <f t="shared" si="35"/>
        <v>102.45943182684036</v>
      </c>
    </row>
    <row r="1097" spans="2:7">
      <c r="B1097" t="s">
        <v>2</v>
      </c>
      <c r="C1097" s="2">
        <v>40484</v>
      </c>
      <c r="D1097" t="s">
        <v>6</v>
      </c>
      <c r="E1097">
        <v>2.6938460000000002</v>
      </c>
      <c r="F1097">
        <f t="shared" si="34"/>
        <v>-1.6974999999999962E-2</v>
      </c>
      <c r="G1097">
        <f t="shared" si="35"/>
        <v>102.47229192894831</v>
      </c>
    </row>
    <row r="1098" spans="2:7">
      <c r="B1098" t="s">
        <v>2</v>
      </c>
      <c r="C1098" s="2">
        <v>40483</v>
      </c>
      <c r="D1098" t="s">
        <v>6</v>
      </c>
      <c r="E1098">
        <v>2.7108210000000001</v>
      </c>
      <c r="F1098">
        <f t="shared" si="34"/>
        <v>2.120600000000028E-2</v>
      </c>
      <c r="G1098">
        <f t="shared" si="35"/>
        <v>103.09248279404875</v>
      </c>
    </row>
    <row r="1099" spans="2:7">
      <c r="B1099" t="s">
        <v>2</v>
      </c>
      <c r="C1099" s="2">
        <v>40480</v>
      </c>
      <c r="D1099" t="s">
        <v>6</v>
      </c>
      <c r="E1099">
        <v>2.6896149999999999</v>
      </c>
      <c r="F1099">
        <f t="shared" si="34"/>
        <v>-4.5551000000000119E-2</v>
      </c>
      <c r="G1099">
        <f t="shared" si="35"/>
        <v>103.02269553226833</v>
      </c>
    </row>
    <row r="1100" spans="2:7">
      <c r="B1100" t="s">
        <v>2</v>
      </c>
      <c r="C1100" s="2">
        <v>40479</v>
      </c>
      <c r="D1100" t="s">
        <v>6</v>
      </c>
      <c r="E1100">
        <v>2.735166</v>
      </c>
      <c r="F1100">
        <f t="shared" si="34"/>
        <v>-5.9756000000000142E-2</v>
      </c>
      <c r="G1100">
        <f t="shared" si="35"/>
        <v>103.09297752615853</v>
      </c>
    </row>
    <row r="1101" spans="2:7">
      <c r="B1101" t="s">
        <v>2</v>
      </c>
      <c r="C1101" s="2">
        <v>40478</v>
      </c>
      <c r="D1101" t="s">
        <v>6</v>
      </c>
      <c r="E1101">
        <v>2.7949220000000001</v>
      </c>
      <c r="F1101">
        <f t="shared" si="34"/>
        <v>7.7222000000000346E-2</v>
      </c>
      <c r="G1101">
        <f t="shared" si="35"/>
        <v>102.94036681968714</v>
      </c>
    </row>
    <row r="1102" spans="2:7">
      <c r="B1102" t="s">
        <v>2</v>
      </c>
      <c r="C1102" s="2">
        <v>40477</v>
      </c>
      <c r="D1102" t="s">
        <v>6</v>
      </c>
      <c r="E1102">
        <v>2.7176999999999998</v>
      </c>
      <c r="F1102">
        <f t="shared" si="34"/>
        <v>9.1932999999999598E-2</v>
      </c>
      <c r="G1102">
        <f t="shared" si="35"/>
        <v>101.96392428531283</v>
      </c>
    </row>
    <row r="1103" spans="2:7">
      <c r="B1103" t="s">
        <v>2</v>
      </c>
      <c r="C1103" s="2">
        <v>40476</v>
      </c>
      <c r="D1103" t="s">
        <v>6</v>
      </c>
      <c r="E1103">
        <v>2.6257670000000002</v>
      </c>
      <c r="F1103">
        <f t="shared" si="34"/>
        <v>-2.9599999999962989E-4</v>
      </c>
      <c r="G1103">
        <f t="shared" si="35"/>
        <v>101.0801334741947</v>
      </c>
    </row>
    <row r="1104" spans="2:7">
      <c r="B1104" t="s">
        <v>2</v>
      </c>
      <c r="C1104" s="2">
        <v>40473</v>
      </c>
      <c r="D1104" t="s">
        <v>6</v>
      </c>
      <c r="E1104">
        <v>2.6260629999999998</v>
      </c>
      <c r="F1104">
        <f t="shared" si="34"/>
        <v>3.9090999999999987E-2</v>
      </c>
      <c r="G1104">
        <f t="shared" si="35"/>
        <v>101.08933239811722</v>
      </c>
    </row>
    <row r="1105" spans="2:7">
      <c r="B1105" t="s">
        <v>2</v>
      </c>
      <c r="C1105" s="2">
        <v>40472</v>
      </c>
      <c r="D1105" t="s">
        <v>6</v>
      </c>
      <c r="E1105">
        <v>2.5869719999999998</v>
      </c>
      <c r="F1105">
        <f t="shared" si="34"/>
        <v>6.7436999999999969E-2</v>
      </c>
      <c r="G1105">
        <f t="shared" si="35"/>
        <v>101.22296249705438</v>
      </c>
    </row>
    <row r="1106" spans="2:7">
      <c r="B1106" t="s">
        <v>2</v>
      </c>
      <c r="C1106" s="2">
        <v>40471</v>
      </c>
      <c r="D1106" t="s">
        <v>6</v>
      </c>
      <c r="E1106">
        <v>2.5195349999999999</v>
      </c>
      <c r="F1106">
        <f t="shared" si="34"/>
        <v>-1.1749000000000009E-2</v>
      </c>
      <c r="G1106">
        <f t="shared" si="35"/>
        <v>100.37125832239194</v>
      </c>
    </row>
    <row r="1107" spans="2:7">
      <c r="B1107" t="s">
        <v>2</v>
      </c>
      <c r="C1107" s="2">
        <v>40470</v>
      </c>
      <c r="D1107" t="s">
        <v>6</v>
      </c>
      <c r="E1107">
        <v>2.5312839999999999</v>
      </c>
      <c r="F1107">
        <f t="shared" si="34"/>
        <v>-2.5418000000000163E-2</v>
      </c>
      <c r="G1107">
        <f t="shared" si="35"/>
        <v>100.37668346786401</v>
      </c>
    </row>
    <row r="1108" spans="2:7">
      <c r="B1108" t="s">
        <v>2</v>
      </c>
      <c r="C1108" s="2">
        <v>40469</v>
      </c>
      <c r="D1108" t="s">
        <v>6</v>
      </c>
      <c r="E1108">
        <v>2.556702</v>
      </c>
      <c r="F1108">
        <f t="shared" si="34"/>
        <v>-8.143699999999976E-2</v>
      </c>
      <c r="G1108">
        <f t="shared" si="35"/>
        <v>101.70586563740048</v>
      </c>
    </row>
    <row r="1109" spans="2:7">
      <c r="B1109" t="s">
        <v>2</v>
      </c>
      <c r="C1109" s="2">
        <v>40466</v>
      </c>
      <c r="D1109" t="s">
        <v>6</v>
      </c>
      <c r="E1109">
        <v>2.6381389999999998</v>
      </c>
      <c r="F1109">
        <f t="shared" si="34"/>
        <v>6.0349999999999682E-2</v>
      </c>
      <c r="G1109">
        <f t="shared" si="35"/>
        <v>100.81208462997218</v>
      </c>
    </row>
    <row r="1110" spans="2:7">
      <c r="B1110" t="s">
        <v>2</v>
      </c>
      <c r="C1110" s="2">
        <v>40465</v>
      </c>
      <c r="D1110" t="s">
        <v>6</v>
      </c>
      <c r="E1110">
        <v>2.5777890000000001</v>
      </c>
      <c r="F1110">
        <f t="shared" si="34"/>
        <v>7.3189000000000171E-2</v>
      </c>
      <c r="G1110">
        <f t="shared" si="35"/>
        <v>100.5248826271941</v>
      </c>
    </row>
    <row r="1111" spans="2:7">
      <c r="B1111" t="s">
        <v>2</v>
      </c>
      <c r="C1111" s="2">
        <v>40464</v>
      </c>
      <c r="D1111" t="s">
        <v>6</v>
      </c>
      <c r="E1111">
        <v>2.5045999999999999</v>
      </c>
      <c r="F1111">
        <f t="shared" si="34"/>
        <v>-3.7500000000001421E-4</v>
      </c>
      <c r="G1111">
        <f t="shared" si="35"/>
        <v>99.308876032555972</v>
      </c>
    </row>
    <row r="1112" spans="2:7">
      <c r="B1112" t="s">
        <v>2</v>
      </c>
      <c r="C1112" s="2">
        <v>40463</v>
      </c>
      <c r="D1112" t="s">
        <v>6</v>
      </c>
      <c r="E1112">
        <v>2.504975</v>
      </c>
      <c r="F1112">
        <f t="shared" si="34"/>
        <v>2.405500000000016E-2</v>
      </c>
      <c r="G1112">
        <f t="shared" si="35"/>
        <v>99.609417075782815</v>
      </c>
    </row>
    <row r="1113" spans="2:7">
      <c r="B1113" t="s">
        <v>2</v>
      </c>
      <c r="C1113" s="2">
        <v>40459</v>
      </c>
      <c r="D1113" t="s">
        <v>6</v>
      </c>
      <c r="E1113">
        <v>2.4809199999999998</v>
      </c>
      <c r="F1113">
        <f t="shared" si="34"/>
        <v>-6.6860000000001918E-3</v>
      </c>
      <c r="G1113">
        <f t="shared" si="35"/>
        <v>99.508802264331948</v>
      </c>
    </row>
    <row r="1114" spans="2:7">
      <c r="B1114" t="s">
        <v>2</v>
      </c>
      <c r="C1114" s="2">
        <v>40458</v>
      </c>
      <c r="D1114" t="s">
        <v>6</v>
      </c>
      <c r="E1114">
        <v>2.487606</v>
      </c>
      <c r="F1114">
        <f t="shared" si="34"/>
        <v>-1.3243999999999811E-2</v>
      </c>
      <c r="G1114">
        <f t="shared" si="35"/>
        <v>101.0372629438132</v>
      </c>
    </row>
    <row r="1115" spans="2:7">
      <c r="B1115" t="s">
        <v>2</v>
      </c>
      <c r="C1115" s="2">
        <v>40457</v>
      </c>
      <c r="D1115" t="s">
        <v>6</v>
      </c>
      <c r="E1115">
        <v>2.5008499999999998</v>
      </c>
      <c r="F1115">
        <f t="shared" si="34"/>
        <v>-6.7077000000000275E-2</v>
      </c>
      <c r="G1115">
        <f t="shared" si="35"/>
        <v>101.60195374070999</v>
      </c>
    </row>
    <row r="1116" spans="2:7">
      <c r="B1116" t="s">
        <v>2</v>
      </c>
      <c r="C1116" s="2">
        <v>40456</v>
      </c>
      <c r="D1116" t="s">
        <v>6</v>
      </c>
      <c r="E1116">
        <v>2.5679270000000001</v>
      </c>
      <c r="F1116">
        <f t="shared" si="34"/>
        <v>1.9052999999999987E-2</v>
      </c>
      <c r="G1116">
        <f t="shared" si="35"/>
        <v>101.51073663476569</v>
      </c>
    </row>
    <row r="1117" spans="2:7">
      <c r="B1117" t="s">
        <v>2</v>
      </c>
      <c r="C1117" s="2">
        <v>40455</v>
      </c>
      <c r="D1117" t="s">
        <v>6</v>
      </c>
      <c r="E1117">
        <v>2.5488740000000001</v>
      </c>
      <c r="F1117">
        <f t="shared" si="34"/>
        <v>-4.0868999999999822E-2</v>
      </c>
      <c r="G1117">
        <f t="shared" si="35"/>
        <v>101.35642745654678</v>
      </c>
    </row>
    <row r="1118" spans="2:7">
      <c r="B1118" t="s">
        <v>2</v>
      </c>
      <c r="C1118" s="2">
        <v>40452</v>
      </c>
      <c r="D1118" t="s">
        <v>6</v>
      </c>
      <c r="E1118">
        <v>2.5897429999999999</v>
      </c>
      <c r="F1118">
        <f t="shared" si="34"/>
        <v>2.5052000000000074E-2</v>
      </c>
      <c r="G1118">
        <f t="shared" si="35"/>
        <v>101.80375566733215</v>
      </c>
    </row>
    <row r="1119" spans="2:7">
      <c r="B1119" t="s">
        <v>2</v>
      </c>
      <c r="C1119" s="2">
        <v>40451</v>
      </c>
      <c r="D1119" t="s">
        <v>6</v>
      </c>
      <c r="E1119">
        <v>2.5646909999999998</v>
      </c>
      <c r="F1119">
        <f t="shared" si="34"/>
        <v>2.5548999999999822E-2</v>
      </c>
      <c r="G1119">
        <f t="shared" si="35"/>
        <v>101.87344442146727</v>
      </c>
    </row>
    <row r="1120" spans="2:7">
      <c r="B1120" t="s">
        <v>2</v>
      </c>
      <c r="C1120" s="2">
        <v>40450</v>
      </c>
      <c r="D1120" t="s">
        <v>6</v>
      </c>
      <c r="E1120">
        <v>2.539142</v>
      </c>
      <c r="F1120">
        <f t="shared" si="34"/>
        <v>6.0070000000000068E-2</v>
      </c>
      <c r="G1120">
        <f t="shared" si="35"/>
        <v>101.7923871010302</v>
      </c>
    </row>
    <row r="1121" spans="2:7">
      <c r="B1121" t="s">
        <v>2</v>
      </c>
      <c r="C1121" s="2">
        <v>40449</v>
      </c>
      <c r="D1121" t="s">
        <v>6</v>
      </c>
      <c r="E1121">
        <v>2.4790719999999999</v>
      </c>
      <c r="F1121">
        <f t="shared" si="34"/>
        <v>-6.8077000000000165E-2</v>
      </c>
      <c r="G1121">
        <f t="shared" si="35"/>
        <v>101.11659377320765</v>
      </c>
    </row>
    <row r="1122" spans="2:7">
      <c r="B1122" t="s">
        <v>2</v>
      </c>
      <c r="C1122" s="2">
        <v>40448</v>
      </c>
      <c r="D1122" t="s">
        <v>6</v>
      </c>
      <c r="E1122">
        <v>2.5471490000000001</v>
      </c>
      <c r="F1122">
        <f t="shared" si="34"/>
        <v>-9.3261999999999734E-2</v>
      </c>
      <c r="G1122">
        <f t="shared" si="35"/>
        <v>101.30482827996212</v>
      </c>
    </row>
    <row r="1123" spans="2:7">
      <c r="B1123" t="s">
        <v>2</v>
      </c>
      <c r="C1123" s="2">
        <v>40445</v>
      </c>
      <c r="D1123" t="s">
        <v>6</v>
      </c>
      <c r="E1123">
        <v>2.6404109999999998</v>
      </c>
      <c r="F1123">
        <f t="shared" si="34"/>
        <v>5.0869999999999749E-2</v>
      </c>
      <c r="G1123">
        <f t="shared" si="35"/>
        <v>99.746112896279641</v>
      </c>
    </row>
    <row r="1124" spans="2:7">
      <c r="B1124" t="s">
        <v>2</v>
      </c>
      <c r="C1124" s="2">
        <v>40444</v>
      </c>
      <c r="D1124" t="s">
        <v>6</v>
      </c>
      <c r="E1124">
        <v>2.5895410000000001</v>
      </c>
      <c r="F1124">
        <f t="shared" si="34"/>
        <v>5.4690000000001682E-3</v>
      </c>
      <c r="G1124">
        <f t="shared" si="35"/>
        <v>99.040063549974775</v>
      </c>
    </row>
    <row r="1125" spans="2:7">
      <c r="B1125" t="s">
        <v>2</v>
      </c>
      <c r="C1125" s="2">
        <v>40443</v>
      </c>
      <c r="D1125" t="s">
        <v>6</v>
      </c>
      <c r="E1125">
        <v>2.5840719999999999</v>
      </c>
      <c r="F1125">
        <f t="shared" si="34"/>
        <v>-2.629400000000004E-2</v>
      </c>
      <c r="G1125">
        <f t="shared" si="35"/>
        <v>99.795397963323879</v>
      </c>
    </row>
    <row r="1126" spans="2:7">
      <c r="B1126" t="s">
        <v>2</v>
      </c>
      <c r="C1126" s="2">
        <v>40442</v>
      </c>
      <c r="D1126" t="s">
        <v>6</v>
      </c>
      <c r="E1126">
        <v>2.610366</v>
      </c>
      <c r="F1126">
        <f t="shared" si="34"/>
        <v>-0.10797699999999999</v>
      </c>
      <c r="G1126">
        <f t="shared" si="35"/>
        <v>101.08635580065439</v>
      </c>
    </row>
    <row r="1127" spans="2:7">
      <c r="B1127" t="s">
        <v>2</v>
      </c>
      <c r="C1127" s="2">
        <v>40441</v>
      </c>
      <c r="D1127" t="s">
        <v>6</v>
      </c>
      <c r="E1127">
        <v>2.718343</v>
      </c>
      <c r="F1127">
        <f t="shared" si="34"/>
        <v>-3.8556999999999952E-2</v>
      </c>
      <c r="G1127">
        <f t="shared" si="35"/>
        <v>98.99550472852188</v>
      </c>
    </row>
    <row r="1128" spans="2:7">
      <c r="B1128" t="s">
        <v>2</v>
      </c>
      <c r="C1128" s="2">
        <v>40438</v>
      </c>
      <c r="D1128" t="s">
        <v>6</v>
      </c>
      <c r="E1128">
        <v>2.7568999999999999</v>
      </c>
      <c r="F1128">
        <f t="shared" si="34"/>
        <v>-6.721000000000199E-3</v>
      </c>
      <c r="G1128">
        <f t="shared" si="35"/>
        <v>98.916173183640183</v>
      </c>
    </row>
    <row r="1129" spans="2:7">
      <c r="B1129" t="s">
        <v>2</v>
      </c>
      <c r="C1129" s="2">
        <v>40437</v>
      </c>
      <c r="D1129" t="s">
        <v>6</v>
      </c>
      <c r="E1129">
        <v>2.7636210000000001</v>
      </c>
      <c r="F1129">
        <f t="shared" si="34"/>
        <v>5.5515000000000203E-2</v>
      </c>
      <c r="G1129">
        <f t="shared" si="35"/>
        <v>99.171568318513167</v>
      </c>
    </row>
    <row r="1130" spans="2:7">
      <c r="B1130" t="s">
        <v>2</v>
      </c>
      <c r="C1130" s="2">
        <v>40436</v>
      </c>
      <c r="D1130" t="s">
        <v>6</v>
      </c>
      <c r="E1130">
        <v>2.7081059999999999</v>
      </c>
      <c r="F1130">
        <f t="shared" si="34"/>
        <v>6.8607000000000085E-2</v>
      </c>
      <c r="G1130">
        <f t="shared" si="35"/>
        <v>98.744458611349117</v>
      </c>
    </row>
    <row r="1131" spans="2:7">
      <c r="B1131" t="s">
        <v>2</v>
      </c>
      <c r="C1131" s="2">
        <v>40435</v>
      </c>
      <c r="D1131" t="s">
        <v>6</v>
      </c>
      <c r="E1131">
        <v>2.6394989999999998</v>
      </c>
      <c r="F1131">
        <f t="shared" si="34"/>
        <v>-8.6085000000000189E-2</v>
      </c>
      <c r="G1131">
        <f t="shared" si="35"/>
        <v>97.416088365830461</v>
      </c>
    </row>
    <row r="1132" spans="2:7">
      <c r="B1132" t="s">
        <v>2</v>
      </c>
      <c r="C1132" s="2">
        <v>40434</v>
      </c>
      <c r="D1132" t="s">
        <v>6</v>
      </c>
      <c r="E1132">
        <v>2.725584</v>
      </c>
      <c r="F1132">
        <f t="shared" si="34"/>
        <v>-4.9345000000000194E-2</v>
      </c>
      <c r="G1132">
        <f t="shared" si="35"/>
        <v>96.41159375102292</v>
      </c>
    </row>
    <row r="1133" spans="2:7">
      <c r="B1133" t="s">
        <v>2</v>
      </c>
      <c r="C1133" s="2">
        <v>40431</v>
      </c>
      <c r="D1133" t="s">
        <v>6</v>
      </c>
      <c r="E1133">
        <v>2.7749290000000002</v>
      </c>
      <c r="F1133">
        <f t="shared" si="34"/>
        <v>4.0136000000000394E-2</v>
      </c>
      <c r="G1133">
        <f t="shared" si="35"/>
        <v>97.888407356898227</v>
      </c>
    </row>
    <row r="1134" spans="2:7">
      <c r="B1134" t="s">
        <v>2</v>
      </c>
      <c r="C1134" s="2">
        <v>40430</v>
      </c>
      <c r="D1134" t="s">
        <v>6</v>
      </c>
      <c r="E1134">
        <v>2.7347929999999998</v>
      </c>
      <c r="F1134">
        <f t="shared" si="34"/>
        <v>0.11792799999999959</v>
      </c>
      <c r="G1134">
        <f t="shared" si="35"/>
        <v>97.452709251457676</v>
      </c>
    </row>
    <row r="1135" spans="2:7">
      <c r="B1135" t="s">
        <v>2</v>
      </c>
      <c r="C1135" s="2">
        <v>40429</v>
      </c>
      <c r="D1135" t="s">
        <v>6</v>
      </c>
      <c r="E1135">
        <v>2.6168650000000002</v>
      </c>
      <c r="F1135">
        <f t="shared" si="34"/>
        <v>5.4896000000000278E-2</v>
      </c>
      <c r="G1135">
        <f t="shared" si="35"/>
        <v>93.999107785103348</v>
      </c>
    </row>
    <row r="1136" spans="2:7">
      <c r="B1136" t="s">
        <v>2</v>
      </c>
      <c r="C1136" s="2">
        <v>40428</v>
      </c>
      <c r="D1136" t="s">
        <v>6</v>
      </c>
      <c r="E1136">
        <v>2.5619689999999999</v>
      </c>
      <c r="F1136">
        <f t="shared" si="34"/>
        <v>-0.11794299999999991</v>
      </c>
      <c r="G1136">
        <f t="shared" si="35"/>
        <v>93.699917560104993</v>
      </c>
    </row>
    <row r="1137" spans="2:7">
      <c r="B1137" t="s">
        <v>2</v>
      </c>
      <c r="C1137" s="2">
        <v>40424</v>
      </c>
      <c r="D1137" t="s">
        <v>6</v>
      </c>
      <c r="E1137">
        <v>2.6799119999999998</v>
      </c>
      <c r="F1137">
        <f t="shared" si="34"/>
        <v>5.9836999999999918E-2</v>
      </c>
      <c r="G1137">
        <f t="shared" si="35"/>
        <v>92.580455346690542</v>
      </c>
    </row>
    <row r="1138" spans="2:7">
      <c r="B1138" t="s">
        <v>2</v>
      </c>
      <c r="C1138" s="2">
        <v>40423</v>
      </c>
      <c r="D1138" t="s">
        <v>6</v>
      </c>
      <c r="E1138">
        <v>2.6200749999999999</v>
      </c>
      <c r="F1138">
        <f t="shared" si="34"/>
        <v>3.9896999999999849E-2</v>
      </c>
      <c r="G1138">
        <f t="shared" si="35"/>
        <v>95.301257136892843</v>
      </c>
    </row>
    <row r="1139" spans="2:7">
      <c r="B1139" t="s">
        <v>2</v>
      </c>
      <c r="C1139" s="2">
        <v>40422</v>
      </c>
      <c r="D1139" t="s">
        <v>6</v>
      </c>
      <c r="E1139">
        <v>2.5801780000000001</v>
      </c>
      <c r="F1139">
        <f t="shared" si="34"/>
        <v>9.96999999999999E-2</v>
      </c>
      <c r="G1139">
        <f t="shared" si="35"/>
        <v>94.800961288493554</v>
      </c>
    </row>
    <row r="1140" spans="2:7">
      <c r="B1140" t="s">
        <v>2</v>
      </c>
      <c r="C1140" s="2">
        <v>40421</v>
      </c>
      <c r="D1140" t="s">
        <v>6</v>
      </c>
      <c r="E1140">
        <v>2.4804780000000002</v>
      </c>
      <c r="F1140">
        <f t="shared" si="34"/>
        <v>-7.2986999999999913E-2</v>
      </c>
      <c r="G1140">
        <f t="shared" si="35"/>
        <v>91.9449288163391</v>
      </c>
    </row>
    <row r="1141" spans="2:7">
      <c r="B1141" t="s">
        <v>2</v>
      </c>
      <c r="C1141" s="2">
        <v>40420</v>
      </c>
      <c r="D1141" t="s">
        <v>6</v>
      </c>
      <c r="E1141">
        <v>2.5534650000000001</v>
      </c>
      <c r="F1141">
        <f t="shared" si="34"/>
        <v>-0.12333499999999997</v>
      </c>
      <c r="G1141">
        <f t="shared" si="35"/>
        <v>91.109774200862788</v>
      </c>
    </row>
    <row r="1142" spans="2:7">
      <c r="B1142" t="s">
        <v>2</v>
      </c>
      <c r="C1142" s="2">
        <v>40417</v>
      </c>
      <c r="D1142" t="s">
        <v>6</v>
      </c>
      <c r="E1142">
        <v>2.6768000000000001</v>
      </c>
      <c r="F1142">
        <f t="shared" si="34"/>
        <v>0.17287600000000003</v>
      </c>
      <c r="G1142">
        <f t="shared" si="35"/>
        <v>93.839484049056992</v>
      </c>
    </row>
    <row r="1143" spans="2:7">
      <c r="B1143" t="s">
        <v>2</v>
      </c>
      <c r="C1143" s="2">
        <v>40416</v>
      </c>
      <c r="D1143" t="s">
        <v>6</v>
      </c>
      <c r="E1143">
        <v>2.503924</v>
      </c>
      <c r="F1143">
        <f t="shared" si="34"/>
        <v>-4.6552999999999845E-2</v>
      </c>
      <c r="G1143">
        <f t="shared" si="35"/>
        <v>86.421381717214118</v>
      </c>
    </row>
    <row r="1144" spans="2:7">
      <c r="B1144" t="s">
        <v>2</v>
      </c>
      <c r="C1144" s="2">
        <v>40415</v>
      </c>
      <c r="D1144" t="s">
        <v>6</v>
      </c>
      <c r="E1144">
        <v>2.5504769999999999</v>
      </c>
      <c r="F1144">
        <f t="shared" si="34"/>
        <v>3.4520999999999802E-2</v>
      </c>
      <c r="G1144">
        <f t="shared" si="35"/>
        <v>86.800678207763355</v>
      </c>
    </row>
    <row r="1145" spans="2:7">
      <c r="B1145" t="s">
        <v>2</v>
      </c>
      <c r="C1145" s="2">
        <v>40414</v>
      </c>
      <c r="D1145" t="s">
        <v>6</v>
      </c>
      <c r="E1145">
        <v>2.5159560000000001</v>
      </c>
      <c r="F1145">
        <f t="shared" si="34"/>
        <v>-9.8832999999999949E-2</v>
      </c>
      <c r="G1145">
        <f t="shared" si="35"/>
        <v>86.363780203780266</v>
      </c>
    </row>
    <row r="1146" spans="2:7">
      <c r="B1146" t="s">
        <v>2</v>
      </c>
      <c r="C1146" s="2">
        <v>40413</v>
      </c>
      <c r="D1146" t="s">
        <v>6</v>
      </c>
      <c r="E1146">
        <v>2.614789</v>
      </c>
      <c r="F1146">
        <f t="shared" si="34"/>
        <v>-1.2506999999999824E-2</v>
      </c>
      <c r="G1146">
        <f t="shared" si="35"/>
        <v>84.815220638097315</v>
      </c>
    </row>
    <row r="1147" spans="2:7">
      <c r="B1147" t="s">
        <v>2</v>
      </c>
      <c r="C1147" s="2">
        <v>40410</v>
      </c>
      <c r="D1147" t="s">
        <v>6</v>
      </c>
      <c r="E1147">
        <v>2.6272959999999999</v>
      </c>
      <c r="F1147">
        <f t="shared" si="34"/>
        <v>4.0175000000000072E-2</v>
      </c>
      <c r="G1147">
        <f t="shared" si="35"/>
        <v>89.107399397187024</v>
      </c>
    </row>
    <row r="1148" spans="2:7">
      <c r="B1148" t="s">
        <v>2</v>
      </c>
      <c r="C1148" s="2">
        <v>40409</v>
      </c>
      <c r="D1148" t="s">
        <v>6</v>
      </c>
      <c r="E1148">
        <v>2.5871209999999998</v>
      </c>
      <c r="F1148">
        <f t="shared" si="34"/>
        <v>-6.5037000000000234E-2</v>
      </c>
      <c r="G1148">
        <f t="shared" si="35"/>
        <v>89.488047902264896</v>
      </c>
    </row>
    <row r="1149" spans="2:7">
      <c r="B1149" t="s">
        <v>2</v>
      </c>
      <c r="C1149" s="2">
        <v>40408</v>
      </c>
      <c r="D1149" t="s">
        <v>6</v>
      </c>
      <c r="E1149">
        <v>2.652158</v>
      </c>
      <c r="F1149">
        <f t="shared" si="34"/>
        <v>1.7139999999999933E-2</v>
      </c>
      <c r="G1149">
        <f t="shared" si="35"/>
        <v>88.953298482249537</v>
      </c>
    </row>
    <row r="1150" spans="2:7">
      <c r="B1150" t="s">
        <v>2</v>
      </c>
      <c r="C1150" s="2">
        <v>40407</v>
      </c>
      <c r="D1150" t="s">
        <v>6</v>
      </c>
      <c r="E1150">
        <v>2.6350180000000001</v>
      </c>
      <c r="F1150">
        <f t="shared" si="34"/>
        <v>6.6012000000000182E-2</v>
      </c>
      <c r="G1150">
        <f t="shared" si="35"/>
        <v>89.666737125674615</v>
      </c>
    </row>
    <row r="1151" spans="2:7">
      <c r="B1151" t="s">
        <v>2</v>
      </c>
      <c r="C1151" s="2">
        <v>40406</v>
      </c>
      <c r="D1151" t="s">
        <v>6</v>
      </c>
      <c r="E1151">
        <v>2.5690059999999999</v>
      </c>
      <c r="F1151">
        <f t="shared" si="34"/>
        <v>-9.1836000000000251E-2</v>
      </c>
      <c r="G1151">
        <f t="shared" si="35"/>
        <v>89.283787518790703</v>
      </c>
    </row>
    <row r="1152" spans="2:7">
      <c r="B1152" t="s">
        <v>2</v>
      </c>
      <c r="C1152" s="2">
        <v>40403</v>
      </c>
      <c r="D1152" t="s">
        <v>6</v>
      </c>
      <c r="E1152">
        <v>2.6608420000000002</v>
      </c>
      <c r="F1152">
        <f t="shared" si="34"/>
        <v>-6.5569999999999684E-2</v>
      </c>
      <c r="G1152">
        <f t="shared" si="35"/>
        <v>89.710310758844471</v>
      </c>
    </row>
    <row r="1153" spans="2:7">
      <c r="B1153" t="s">
        <v>2</v>
      </c>
      <c r="C1153" s="2">
        <v>40402</v>
      </c>
      <c r="D1153" t="s">
        <v>6</v>
      </c>
      <c r="E1153">
        <v>2.7264119999999998</v>
      </c>
      <c r="F1153">
        <f t="shared" si="34"/>
        <v>4.1245999999999672E-2</v>
      </c>
      <c r="G1153">
        <f t="shared" si="35"/>
        <v>89.057630100633403</v>
      </c>
    </row>
    <row r="1154" spans="2:7">
      <c r="B1154" t="s">
        <v>2</v>
      </c>
      <c r="C1154" s="2">
        <v>40401</v>
      </c>
      <c r="D1154" t="s">
        <v>6</v>
      </c>
      <c r="E1154">
        <v>2.6851660000000002</v>
      </c>
      <c r="F1154">
        <f t="shared" si="34"/>
        <v>-8.0544999999999867E-2</v>
      </c>
      <c r="G1154">
        <f t="shared" si="35"/>
        <v>89.113480485471257</v>
      </c>
    </row>
    <row r="1155" spans="2:7">
      <c r="B1155" t="s">
        <v>2</v>
      </c>
      <c r="C1155" s="2">
        <v>40400</v>
      </c>
      <c r="D1155" t="s">
        <v>6</v>
      </c>
      <c r="E1155">
        <v>2.765711</v>
      </c>
      <c r="F1155">
        <f t="shared" ref="F1155:F1218" si="36">E1155-E1156</f>
        <v>-4.0210999999999775E-2</v>
      </c>
      <c r="G1155">
        <f t="shared" ref="G1155:G1218" si="37">STDEV(F1155:F1214)*SQRT(250)*100</f>
        <v>88.272032647862559</v>
      </c>
    </row>
    <row r="1156" spans="2:7">
      <c r="B1156" t="s">
        <v>2</v>
      </c>
      <c r="C1156" s="2">
        <v>40399</v>
      </c>
      <c r="D1156" t="s">
        <v>6</v>
      </c>
      <c r="E1156">
        <v>2.8059219999999998</v>
      </c>
      <c r="F1156">
        <f t="shared" si="36"/>
        <v>-2.9587000000000252E-2</v>
      </c>
      <c r="G1156">
        <f t="shared" si="37"/>
        <v>90.437995025152432</v>
      </c>
    </row>
    <row r="1157" spans="2:7">
      <c r="B1157" t="s">
        <v>2</v>
      </c>
      <c r="C1157" s="2">
        <v>40396</v>
      </c>
      <c r="D1157" t="s">
        <v>6</v>
      </c>
      <c r="E1157">
        <v>2.8355090000000001</v>
      </c>
      <c r="F1157">
        <f t="shared" si="36"/>
        <v>-5.9390000000000054E-2</v>
      </c>
      <c r="G1157">
        <f t="shared" si="37"/>
        <v>90.384362483132833</v>
      </c>
    </row>
    <row r="1158" spans="2:7">
      <c r="B1158" t="s">
        <v>2</v>
      </c>
      <c r="C1158" s="2">
        <v>40395</v>
      </c>
      <c r="D1158" t="s">
        <v>6</v>
      </c>
      <c r="E1158">
        <v>2.8948990000000001</v>
      </c>
      <c r="F1158">
        <f t="shared" si="36"/>
        <v>-1.9731999999999861E-2</v>
      </c>
      <c r="G1158">
        <f t="shared" si="37"/>
        <v>90.10804800510472</v>
      </c>
    </row>
    <row r="1159" spans="2:7">
      <c r="B1159" t="s">
        <v>2</v>
      </c>
      <c r="C1159" s="2">
        <v>40394</v>
      </c>
      <c r="D1159" t="s">
        <v>6</v>
      </c>
      <c r="E1159">
        <v>2.914631</v>
      </c>
      <c r="F1159">
        <f t="shared" si="36"/>
        <v>4.3376999999999999E-2</v>
      </c>
      <c r="G1159">
        <f t="shared" si="37"/>
        <v>90.139548359998429</v>
      </c>
    </row>
    <row r="1160" spans="2:7">
      <c r="B1160" t="s">
        <v>2</v>
      </c>
      <c r="C1160" s="2">
        <v>40393</v>
      </c>
      <c r="D1160" t="s">
        <v>6</v>
      </c>
      <c r="E1160">
        <v>2.871254</v>
      </c>
      <c r="F1160">
        <f t="shared" si="36"/>
        <v>-5.2900000000000169E-2</v>
      </c>
      <c r="G1160">
        <f t="shared" si="37"/>
        <v>92.570318398946554</v>
      </c>
    </row>
    <row r="1161" spans="2:7">
      <c r="B1161" t="s">
        <v>2</v>
      </c>
      <c r="C1161" s="2">
        <v>40392</v>
      </c>
      <c r="D1161" t="s">
        <v>6</v>
      </c>
      <c r="E1161">
        <v>2.9241540000000001</v>
      </c>
      <c r="F1161">
        <f t="shared" si="36"/>
        <v>3.7902000000000324E-2</v>
      </c>
      <c r="G1161">
        <f t="shared" si="37"/>
        <v>92.369963854136856</v>
      </c>
    </row>
    <row r="1162" spans="2:7">
      <c r="B1162" t="s">
        <v>2</v>
      </c>
      <c r="C1162" s="2">
        <v>40389</v>
      </c>
      <c r="D1162" t="s">
        <v>6</v>
      </c>
      <c r="E1162">
        <v>2.8862519999999998</v>
      </c>
      <c r="F1162">
        <f t="shared" si="36"/>
        <v>-7.4957000000000384E-2</v>
      </c>
      <c r="G1162">
        <f t="shared" si="37"/>
        <v>94.031316878465034</v>
      </c>
    </row>
    <row r="1163" spans="2:7">
      <c r="B1163" t="s">
        <v>2</v>
      </c>
      <c r="C1163" s="2">
        <v>40388</v>
      </c>
      <c r="D1163" t="s">
        <v>6</v>
      </c>
      <c r="E1163">
        <v>2.9612090000000002</v>
      </c>
      <c r="F1163">
        <f t="shared" si="36"/>
        <v>-1.4260999999999857E-2</v>
      </c>
      <c r="G1163">
        <f t="shared" si="37"/>
        <v>93.816252394099081</v>
      </c>
    </row>
    <row r="1164" spans="2:7">
      <c r="B1164" t="s">
        <v>2</v>
      </c>
      <c r="C1164" s="2">
        <v>40387</v>
      </c>
      <c r="D1164" t="s">
        <v>6</v>
      </c>
      <c r="E1164">
        <v>2.9754700000000001</v>
      </c>
      <c r="F1164">
        <f t="shared" si="36"/>
        <v>-5.8882999999999797E-2</v>
      </c>
      <c r="G1164">
        <f t="shared" si="37"/>
        <v>95.062476758259052</v>
      </c>
    </row>
    <row r="1165" spans="2:7">
      <c r="B1165" t="s">
        <v>2</v>
      </c>
      <c r="C1165" s="2">
        <v>40386</v>
      </c>
      <c r="D1165" t="s">
        <v>6</v>
      </c>
      <c r="E1165">
        <v>3.0343529999999999</v>
      </c>
      <c r="F1165">
        <f t="shared" si="36"/>
        <v>3.2261999999999791E-2</v>
      </c>
      <c r="G1165">
        <f t="shared" si="37"/>
        <v>95.676524633818318</v>
      </c>
    </row>
    <row r="1166" spans="2:7">
      <c r="B1166" t="s">
        <v>2</v>
      </c>
      <c r="C1166" s="2">
        <v>40385</v>
      </c>
      <c r="D1166" t="s">
        <v>6</v>
      </c>
      <c r="E1166">
        <v>3.0020910000000001</v>
      </c>
      <c r="F1166">
        <f t="shared" si="36"/>
        <v>-1.6279999999997408E-3</v>
      </c>
      <c r="G1166">
        <f t="shared" si="37"/>
        <v>95.619295744117366</v>
      </c>
    </row>
    <row r="1167" spans="2:7">
      <c r="B1167" t="s">
        <v>2</v>
      </c>
      <c r="C1167" s="2">
        <v>40382</v>
      </c>
      <c r="D1167" t="s">
        <v>6</v>
      </c>
      <c r="E1167">
        <v>3.0037189999999998</v>
      </c>
      <c r="F1167">
        <f t="shared" si="36"/>
        <v>7.4671999999999628E-2</v>
      </c>
      <c r="G1167">
        <f t="shared" si="37"/>
        <v>96.177599358673916</v>
      </c>
    </row>
    <row r="1168" spans="2:7">
      <c r="B1168" t="s">
        <v>2</v>
      </c>
      <c r="C1168" s="2">
        <v>40381</v>
      </c>
      <c r="D1168" t="s">
        <v>6</v>
      </c>
      <c r="E1168">
        <v>2.9290470000000002</v>
      </c>
      <c r="F1168">
        <f t="shared" si="36"/>
        <v>3.3916000000000057E-2</v>
      </c>
      <c r="G1168">
        <f t="shared" si="37"/>
        <v>95.837353211966047</v>
      </c>
    </row>
    <row r="1169" spans="2:7">
      <c r="B1169" t="s">
        <v>2</v>
      </c>
      <c r="C1169" s="2">
        <v>40380</v>
      </c>
      <c r="D1169" t="s">
        <v>6</v>
      </c>
      <c r="E1169">
        <v>2.8951310000000001</v>
      </c>
      <c r="F1169">
        <f t="shared" si="36"/>
        <v>-5.9530999999999779E-2</v>
      </c>
      <c r="G1169">
        <f t="shared" si="37"/>
        <v>97.729282283855497</v>
      </c>
    </row>
    <row r="1170" spans="2:7">
      <c r="B1170" t="s">
        <v>2</v>
      </c>
      <c r="C1170" s="2">
        <v>40379</v>
      </c>
      <c r="D1170" t="s">
        <v>6</v>
      </c>
      <c r="E1170">
        <v>2.9546619999999999</v>
      </c>
      <c r="F1170">
        <f t="shared" si="36"/>
        <v>-3.4075000000000077E-2</v>
      </c>
      <c r="G1170">
        <f t="shared" si="37"/>
        <v>97.439692340041987</v>
      </c>
    </row>
    <row r="1171" spans="2:7">
      <c r="B1171" t="s">
        <v>2</v>
      </c>
      <c r="C1171" s="2">
        <v>40378</v>
      </c>
      <c r="D1171" t="s">
        <v>6</v>
      </c>
      <c r="E1171">
        <v>2.988737</v>
      </c>
      <c r="F1171">
        <f t="shared" si="36"/>
        <v>3.0479000000000145E-2</v>
      </c>
      <c r="G1171">
        <f t="shared" si="37"/>
        <v>98.106937432383361</v>
      </c>
    </row>
    <row r="1172" spans="2:7">
      <c r="B1172" t="s">
        <v>2</v>
      </c>
      <c r="C1172" s="2">
        <v>40375</v>
      </c>
      <c r="D1172" t="s">
        <v>6</v>
      </c>
      <c r="E1172">
        <v>2.9582579999999998</v>
      </c>
      <c r="F1172">
        <f t="shared" si="36"/>
        <v>-3.1595999999999957E-2</v>
      </c>
      <c r="G1172">
        <f t="shared" si="37"/>
        <v>98.384370047801212</v>
      </c>
    </row>
    <row r="1173" spans="2:7">
      <c r="B1173" t="s">
        <v>2</v>
      </c>
      <c r="C1173" s="2">
        <v>40374</v>
      </c>
      <c r="D1173" t="s">
        <v>6</v>
      </c>
      <c r="E1173">
        <v>2.9898539999999998</v>
      </c>
      <c r="F1173">
        <f t="shared" si="36"/>
        <v>-9.4303000000000026E-2</v>
      </c>
      <c r="G1173">
        <f t="shared" si="37"/>
        <v>98.857892481241095</v>
      </c>
    </row>
    <row r="1174" spans="2:7">
      <c r="B1174" t="s">
        <v>2</v>
      </c>
      <c r="C1174" s="2">
        <v>40373</v>
      </c>
      <c r="D1174" t="s">
        <v>6</v>
      </c>
      <c r="E1174">
        <v>3.0841569999999998</v>
      </c>
      <c r="F1174">
        <f t="shared" si="36"/>
        <v>-6.2399000000000093E-2</v>
      </c>
      <c r="G1174">
        <f t="shared" si="37"/>
        <v>97.427259729374498</v>
      </c>
    </row>
    <row r="1175" spans="2:7">
      <c r="B1175" t="s">
        <v>2</v>
      </c>
      <c r="C1175" s="2">
        <v>40372</v>
      </c>
      <c r="D1175" t="s">
        <v>6</v>
      </c>
      <c r="E1175">
        <v>3.1465559999999999</v>
      </c>
      <c r="F1175">
        <f t="shared" si="36"/>
        <v>4.3438999999999783E-2</v>
      </c>
      <c r="G1175">
        <f t="shared" si="37"/>
        <v>97.790472769586771</v>
      </c>
    </row>
    <row r="1176" spans="2:7">
      <c r="B1176" t="s">
        <v>2</v>
      </c>
      <c r="C1176" s="2">
        <v>40371</v>
      </c>
      <c r="D1176" t="s">
        <v>6</v>
      </c>
      <c r="E1176">
        <v>3.1031170000000001</v>
      </c>
      <c r="F1176">
        <f t="shared" si="36"/>
        <v>-1.7830000000000901E-3</v>
      </c>
      <c r="G1176">
        <f t="shared" si="37"/>
        <v>98.015334608523887</v>
      </c>
    </row>
    <row r="1177" spans="2:7">
      <c r="B1177" t="s">
        <v>2</v>
      </c>
      <c r="C1177" s="2">
        <v>40368</v>
      </c>
      <c r="D1177" t="s">
        <v>6</v>
      </c>
      <c r="E1177">
        <v>3.1049000000000002</v>
      </c>
      <c r="F1177">
        <f t="shared" si="36"/>
        <v>4.7960000000000225E-2</v>
      </c>
      <c r="G1177">
        <f t="shared" si="37"/>
        <v>98.000779568918816</v>
      </c>
    </row>
    <row r="1178" spans="2:7">
      <c r="B1178" t="s">
        <v>2</v>
      </c>
      <c r="C1178" s="2">
        <v>40367</v>
      </c>
      <c r="D1178" t="s">
        <v>6</v>
      </c>
      <c r="E1178">
        <v>3.05694</v>
      </c>
      <c r="F1178">
        <f t="shared" si="36"/>
        <v>2.9812999999999867E-2</v>
      </c>
      <c r="G1178">
        <f t="shared" si="37"/>
        <v>98.243170852796993</v>
      </c>
    </row>
    <row r="1179" spans="2:7">
      <c r="B1179" t="s">
        <v>2</v>
      </c>
      <c r="C1179" s="2">
        <v>40366</v>
      </c>
      <c r="D1179" t="s">
        <v>6</v>
      </c>
      <c r="E1179">
        <v>3.0271270000000001</v>
      </c>
      <c r="F1179">
        <f t="shared" si="36"/>
        <v>1.9071000000000282E-2</v>
      </c>
      <c r="G1179">
        <f t="shared" si="37"/>
        <v>98.156275190878432</v>
      </c>
    </row>
    <row r="1180" spans="2:7">
      <c r="B1180" t="s">
        <v>2</v>
      </c>
      <c r="C1180" s="2">
        <v>40365</v>
      </c>
      <c r="D1180" t="s">
        <v>6</v>
      </c>
      <c r="E1180">
        <v>3.0080559999999998</v>
      </c>
      <c r="F1180">
        <f t="shared" si="36"/>
        <v>-4.7371000000000052E-2</v>
      </c>
      <c r="G1180">
        <f t="shared" si="37"/>
        <v>98.389601803411608</v>
      </c>
    </row>
    <row r="1181" spans="2:7">
      <c r="B1181" t="s">
        <v>2</v>
      </c>
      <c r="C1181" s="2">
        <v>40361</v>
      </c>
      <c r="D1181" t="s">
        <v>6</v>
      </c>
      <c r="E1181">
        <v>3.0554269999999999</v>
      </c>
      <c r="F1181">
        <f t="shared" si="36"/>
        <v>5.8094999999999786E-2</v>
      </c>
      <c r="G1181">
        <f t="shared" si="37"/>
        <v>98.191102313726702</v>
      </c>
    </row>
    <row r="1182" spans="2:7">
      <c r="B1182" t="s">
        <v>2</v>
      </c>
      <c r="C1182" s="2">
        <v>40360</v>
      </c>
      <c r="D1182" t="s">
        <v>6</v>
      </c>
      <c r="E1182">
        <v>2.9973320000000001</v>
      </c>
      <c r="F1182">
        <f t="shared" si="36"/>
        <v>-1.5261999999999887E-2</v>
      </c>
      <c r="G1182">
        <f t="shared" si="37"/>
        <v>97.358013541740789</v>
      </c>
    </row>
    <row r="1183" spans="2:7">
      <c r="B1183" t="s">
        <v>2</v>
      </c>
      <c r="C1183" s="2">
        <v>40359</v>
      </c>
      <c r="D1183" t="s">
        <v>6</v>
      </c>
      <c r="E1183">
        <v>3.012594</v>
      </c>
      <c r="F1183">
        <f t="shared" si="36"/>
        <v>-6.7029999999999035E-3</v>
      </c>
      <c r="G1183">
        <f t="shared" si="37"/>
        <v>99.368101824080128</v>
      </c>
    </row>
    <row r="1184" spans="2:7">
      <c r="B1184" t="s">
        <v>2</v>
      </c>
      <c r="C1184" s="2">
        <v>40358</v>
      </c>
      <c r="D1184" t="s">
        <v>6</v>
      </c>
      <c r="E1184">
        <v>3.0192969999999999</v>
      </c>
      <c r="F1184">
        <f t="shared" si="36"/>
        <v>-6.8773000000000195E-2</v>
      </c>
      <c r="G1184">
        <f t="shared" si="37"/>
        <v>99.948134449385435</v>
      </c>
    </row>
    <row r="1185" spans="2:7">
      <c r="B1185" t="s">
        <v>2</v>
      </c>
      <c r="C1185" s="2">
        <v>40357</v>
      </c>
      <c r="D1185" t="s">
        <v>6</v>
      </c>
      <c r="E1185">
        <v>3.0880700000000001</v>
      </c>
      <c r="F1185">
        <f t="shared" si="36"/>
        <v>-8.9059999999999917E-2</v>
      </c>
      <c r="G1185">
        <f t="shared" si="37"/>
        <v>106.41121127418049</v>
      </c>
    </row>
    <row r="1186" spans="2:7">
      <c r="B1186" t="s">
        <v>2</v>
      </c>
      <c r="C1186" s="2">
        <v>40354</v>
      </c>
      <c r="D1186" t="s">
        <v>6</v>
      </c>
      <c r="E1186">
        <v>3.17713</v>
      </c>
      <c r="F1186">
        <f t="shared" si="36"/>
        <v>-7.5829999999998954E-3</v>
      </c>
      <c r="G1186">
        <f t="shared" si="37"/>
        <v>106.00288853869984</v>
      </c>
    </row>
    <row r="1187" spans="2:7">
      <c r="B1187" t="s">
        <v>2</v>
      </c>
      <c r="C1187" s="2">
        <v>40353</v>
      </c>
      <c r="D1187" t="s">
        <v>6</v>
      </c>
      <c r="E1187">
        <v>3.1847129999999999</v>
      </c>
      <c r="F1187">
        <f t="shared" si="36"/>
        <v>1.7309999999999715E-2</v>
      </c>
      <c r="G1187">
        <f t="shared" si="37"/>
        <v>106.01613989886869</v>
      </c>
    </row>
    <row r="1188" spans="2:7">
      <c r="B1188" t="s">
        <v>2</v>
      </c>
      <c r="C1188" s="2">
        <v>40352</v>
      </c>
      <c r="D1188" t="s">
        <v>6</v>
      </c>
      <c r="E1188">
        <v>3.1674030000000002</v>
      </c>
      <c r="F1188">
        <f t="shared" si="36"/>
        <v>-4.1688999999999865E-2</v>
      </c>
      <c r="G1188">
        <f t="shared" si="37"/>
        <v>105.91176504299509</v>
      </c>
    </row>
    <row r="1189" spans="2:7">
      <c r="B1189" t="s">
        <v>2</v>
      </c>
      <c r="C1189" s="2">
        <v>40351</v>
      </c>
      <c r="D1189" t="s">
        <v>6</v>
      </c>
      <c r="E1189">
        <v>3.2090920000000001</v>
      </c>
      <c r="F1189">
        <f t="shared" si="36"/>
        <v>-5.3967000000000098E-2</v>
      </c>
      <c r="G1189">
        <f t="shared" si="37"/>
        <v>106.03720993174737</v>
      </c>
    </row>
    <row r="1190" spans="2:7">
      <c r="B1190" t="s">
        <v>2</v>
      </c>
      <c r="C1190" s="2">
        <v>40350</v>
      </c>
      <c r="D1190" t="s">
        <v>6</v>
      </c>
      <c r="E1190">
        <v>3.2630590000000002</v>
      </c>
      <c r="F1190">
        <f t="shared" si="36"/>
        <v>-6.6910000000000025E-3</v>
      </c>
      <c r="G1190">
        <f t="shared" si="37"/>
        <v>105.7766723753506</v>
      </c>
    </row>
    <row r="1191" spans="2:7">
      <c r="B1191" t="s">
        <v>2</v>
      </c>
      <c r="C1191" s="2">
        <v>40347</v>
      </c>
      <c r="D1191" t="s">
        <v>6</v>
      </c>
      <c r="E1191">
        <v>3.2697500000000002</v>
      </c>
      <c r="F1191">
        <f t="shared" si="36"/>
        <v>2.5919000000000025E-2</v>
      </c>
      <c r="G1191">
        <f t="shared" si="37"/>
        <v>107.22255227693316</v>
      </c>
    </row>
    <row r="1192" spans="2:7">
      <c r="B1192" t="s">
        <v>2</v>
      </c>
      <c r="C1192" s="2">
        <v>40346</v>
      </c>
      <c r="D1192" t="s">
        <v>6</v>
      </c>
      <c r="E1192">
        <v>3.2438310000000001</v>
      </c>
      <c r="F1192">
        <f t="shared" si="36"/>
        <v>-0.10068600000000005</v>
      </c>
      <c r="G1192">
        <f t="shared" si="37"/>
        <v>108.95169768882371</v>
      </c>
    </row>
    <row r="1193" spans="2:7">
      <c r="B1193" t="s">
        <v>2</v>
      </c>
      <c r="C1193" s="2">
        <v>40345</v>
      </c>
      <c r="D1193" t="s">
        <v>6</v>
      </c>
      <c r="E1193">
        <v>3.3445170000000002</v>
      </c>
      <c r="F1193">
        <f t="shared" si="36"/>
        <v>-3.2797999999999661E-2</v>
      </c>
      <c r="G1193">
        <f t="shared" si="37"/>
        <v>107.40884134113475</v>
      </c>
    </row>
    <row r="1194" spans="2:7">
      <c r="B1194" t="s">
        <v>2</v>
      </c>
      <c r="C1194" s="2">
        <v>40344</v>
      </c>
      <c r="D1194" t="s">
        <v>6</v>
      </c>
      <c r="E1194">
        <v>3.3773149999999998</v>
      </c>
      <c r="F1194">
        <f t="shared" si="36"/>
        <v>2.2386000000000017E-2</v>
      </c>
      <c r="G1194">
        <f t="shared" si="37"/>
        <v>107.44931738525143</v>
      </c>
    </row>
    <row r="1195" spans="2:7">
      <c r="B1195" t="s">
        <v>2</v>
      </c>
      <c r="C1195" s="2">
        <v>40343</v>
      </c>
      <c r="D1195" t="s">
        <v>6</v>
      </c>
      <c r="E1195">
        <v>3.3549289999999998</v>
      </c>
      <c r="F1195">
        <f t="shared" si="36"/>
        <v>4.4197000000000042E-2</v>
      </c>
      <c r="G1195">
        <f t="shared" si="37"/>
        <v>107.45131252695255</v>
      </c>
    </row>
    <row r="1196" spans="2:7">
      <c r="B1196" t="s">
        <v>2</v>
      </c>
      <c r="C1196" s="2">
        <v>40340</v>
      </c>
      <c r="D1196" t="s">
        <v>6</v>
      </c>
      <c r="E1196">
        <v>3.3107319999999998</v>
      </c>
      <c r="F1196">
        <f t="shared" si="36"/>
        <v>-9.1302000000000216E-2</v>
      </c>
      <c r="G1196">
        <f t="shared" si="37"/>
        <v>107.20297292689087</v>
      </c>
    </row>
    <row r="1197" spans="2:7">
      <c r="B1197" t="s">
        <v>2</v>
      </c>
      <c r="C1197" s="2">
        <v>40339</v>
      </c>
      <c r="D1197" t="s">
        <v>6</v>
      </c>
      <c r="E1197">
        <v>3.402034</v>
      </c>
      <c r="F1197">
        <f t="shared" si="36"/>
        <v>0.11945199999999989</v>
      </c>
      <c r="G1197">
        <f t="shared" si="37"/>
        <v>105.77070619789626</v>
      </c>
    </row>
    <row r="1198" spans="2:7">
      <c r="B1198" t="s">
        <v>2</v>
      </c>
      <c r="C1198" s="2">
        <v>40338</v>
      </c>
      <c r="D1198" t="s">
        <v>6</v>
      </c>
      <c r="E1198">
        <v>3.2825820000000001</v>
      </c>
      <c r="F1198">
        <f t="shared" si="36"/>
        <v>8.1169999999999298E-3</v>
      </c>
      <c r="G1198">
        <f t="shared" si="37"/>
        <v>102.89594111078164</v>
      </c>
    </row>
    <row r="1199" spans="2:7">
      <c r="B1199" t="s">
        <v>2</v>
      </c>
      <c r="C1199" s="2">
        <v>40337</v>
      </c>
      <c r="D1199" t="s">
        <v>6</v>
      </c>
      <c r="E1199">
        <v>3.2744650000000002</v>
      </c>
      <c r="F1199">
        <f t="shared" si="36"/>
        <v>-1.1421999999999599E-2</v>
      </c>
      <c r="G1199">
        <f t="shared" si="37"/>
        <v>102.84605474038919</v>
      </c>
    </row>
    <row r="1200" spans="2:7">
      <c r="B1200" t="s">
        <v>2</v>
      </c>
      <c r="C1200" s="2">
        <v>40336</v>
      </c>
      <c r="D1200" t="s">
        <v>6</v>
      </c>
      <c r="E1200">
        <v>3.2858869999999998</v>
      </c>
      <c r="F1200">
        <f t="shared" si="36"/>
        <v>-1.2382000000000115E-2</v>
      </c>
      <c r="G1200">
        <f t="shared" si="37"/>
        <v>102.85906266689319</v>
      </c>
    </row>
    <row r="1201" spans="2:7">
      <c r="B1201" t="s">
        <v>2</v>
      </c>
      <c r="C1201" s="2">
        <v>40333</v>
      </c>
      <c r="D1201" t="s">
        <v>6</v>
      </c>
      <c r="E1201">
        <v>3.2982689999999999</v>
      </c>
      <c r="F1201">
        <f t="shared" si="36"/>
        <v>-0.16814300000000015</v>
      </c>
      <c r="G1201">
        <f t="shared" si="37"/>
        <v>102.88521320404777</v>
      </c>
    </row>
    <row r="1202" spans="2:7">
      <c r="B1202" t="s">
        <v>2</v>
      </c>
      <c r="C1202" s="2">
        <v>40332</v>
      </c>
      <c r="D1202" t="s">
        <v>6</v>
      </c>
      <c r="E1202">
        <v>3.466412</v>
      </c>
      <c r="F1202">
        <f t="shared" si="36"/>
        <v>4.4513999999999943E-2</v>
      </c>
      <c r="G1202">
        <f t="shared" si="37"/>
        <v>97.343826406707961</v>
      </c>
    </row>
    <row r="1203" spans="2:7">
      <c r="B1203" t="s">
        <v>2</v>
      </c>
      <c r="C1203" s="2">
        <v>40331</v>
      </c>
      <c r="D1203" t="s">
        <v>6</v>
      </c>
      <c r="E1203">
        <v>3.4218980000000001</v>
      </c>
      <c r="F1203">
        <f t="shared" si="36"/>
        <v>3.6093000000000153E-2</v>
      </c>
      <c r="G1203">
        <f t="shared" si="37"/>
        <v>96.817329914256504</v>
      </c>
    </row>
    <row r="1204" spans="2:7">
      <c r="B1204" t="s">
        <v>2</v>
      </c>
      <c r="C1204" s="2">
        <v>40330</v>
      </c>
      <c r="D1204" t="s">
        <v>6</v>
      </c>
      <c r="E1204">
        <v>3.385805</v>
      </c>
      <c r="F1204">
        <f t="shared" si="36"/>
        <v>9.9800000000000999E-3</v>
      </c>
      <c r="G1204">
        <f t="shared" si="37"/>
        <v>96.767296593775924</v>
      </c>
    </row>
    <row r="1205" spans="2:7">
      <c r="B1205" t="s">
        <v>2</v>
      </c>
      <c r="C1205" s="2">
        <v>40326</v>
      </c>
      <c r="D1205" t="s">
        <v>6</v>
      </c>
      <c r="E1205">
        <v>3.3758249999999999</v>
      </c>
      <c r="F1205">
        <f t="shared" si="36"/>
        <v>-4.4879000000000335E-2</v>
      </c>
      <c r="G1205">
        <f t="shared" si="37"/>
        <v>98.478583371230428</v>
      </c>
    </row>
    <row r="1206" spans="2:7">
      <c r="B1206" t="s">
        <v>2</v>
      </c>
      <c r="C1206" s="2">
        <v>40325</v>
      </c>
      <c r="D1206" t="s">
        <v>6</v>
      </c>
      <c r="E1206">
        <v>3.4207040000000002</v>
      </c>
      <c r="F1206">
        <f t="shared" si="36"/>
        <v>0.12040700000000015</v>
      </c>
      <c r="G1206">
        <f t="shared" si="37"/>
        <v>98.274861577784833</v>
      </c>
    </row>
    <row r="1207" spans="2:7">
      <c r="B1207" t="s">
        <v>2</v>
      </c>
      <c r="C1207" s="2">
        <v>40324</v>
      </c>
      <c r="D1207" t="s">
        <v>6</v>
      </c>
      <c r="E1207">
        <v>3.300297</v>
      </c>
      <c r="F1207">
        <f t="shared" si="36"/>
        <v>5.3964999999999819E-2</v>
      </c>
      <c r="G1207">
        <f t="shared" si="37"/>
        <v>94.822757217921591</v>
      </c>
    </row>
    <row r="1208" spans="2:7">
      <c r="B1208" t="s">
        <v>2</v>
      </c>
      <c r="C1208" s="2">
        <v>40323</v>
      </c>
      <c r="D1208" t="s">
        <v>6</v>
      </c>
      <c r="E1208">
        <v>3.2463320000000002</v>
      </c>
      <c r="F1208">
        <f t="shared" si="36"/>
        <v>-3.7110999999999894E-2</v>
      </c>
      <c r="G1208">
        <f t="shared" si="37"/>
        <v>93.997832508138785</v>
      </c>
    </row>
    <row r="1209" spans="2:7">
      <c r="B1209" t="s">
        <v>2</v>
      </c>
      <c r="C1209" s="2">
        <v>40322</v>
      </c>
      <c r="D1209" t="s">
        <v>6</v>
      </c>
      <c r="E1209">
        <v>3.2834430000000001</v>
      </c>
      <c r="F1209">
        <f t="shared" si="36"/>
        <v>5.105599999999999E-2</v>
      </c>
      <c r="G1209">
        <f t="shared" si="37"/>
        <v>93.87732104715613</v>
      </c>
    </row>
    <row r="1210" spans="2:7">
      <c r="B1210" t="s">
        <v>2</v>
      </c>
      <c r="C1210" s="2">
        <v>40319</v>
      </c>
      <c r="D1210" t="s">
        <v>6</v>
      </c>
      <c r="E1210">
        <v>3.2323870000000001</v>
      </c>
      <c r="F1210">
        <f t="shared" si="36"/>
        <v>-7.6998999999999818E-2</v>
      </c>
      <c r="G1210">
        <f t="shared" si="37"/>
        <v>93.530590535327036</v>
      </c>
    </row>
    <row r="1211" spans="2:7">
      <c r="B1211" t="s">
        <v>2</v>
      </c>
      <c r="C1211" s="2">
        <v>40318</v>
      </c>
      <c r="D1211" t="s">
        <v>6</v>
      </c>
      <c r="E1211">
        <v>3.3093859999999999</v>
      </c>
      <c r="F1211">
        <f t="shared" si="36"/>
        <v>-0.10246900000000014</v>
      </c>
      <c r="G1211">
        <f t="shared" si="37"/>
        <v>93.143547333795624</v>
      </c>
    </row>
    <row r="1212" spans="2:7">
      <c r="B1212" t="s">
        <v>2</v>
      </c>
      <c r="C1212" s="2">
        <v>40317</v>
      </c>
      <c r="D1212" t="s">
        <v>6</v>
      </c>
      <c r="E1212">
        <v>3.4118550000000001</v>
      </c>
      <c r="F1212">
        <f t="shared" si="36"/>
        <v>-2.2132999999999736E-2</v>
      </c>
      <c r="G1212">
        <f t="shared" si="37"/>
        <v>91.047321126845929</v>
      </c>
    </row>
    <row r="1213" spans="2:7">
      <c r="B1213" t="s">
        <v>2</v>
      </c>
      <c r="C1213" s="2">
        <v>40316</v>
      </c>
      <c r="D1213" t="s">
        <v>6</v>
      </c>
      <c r="E1213">
        <v>3.4339879999999998</v>
      </c>
      <c r="F1213">
        <f t="shared" si="36"/>
        <v>-6.8799999999999972E-2</v>
      </c>
      <c r="G1213">
        <f t="shared" si="37"/>
        <v>93.358685285350091</v>
      </c>
    </row>
    <row r="1214" spans="2:7">
      <c r="B1214" t="s">
        <v>2</v>
      </c>
      <c r="C1214" s="2">
        <v>40315</v>
      </c>
      <c r="D1214" t="s">
        <v>6</v>
      </c>
      <c r="E1214">
        <v>3.5027879999999998</v>
      </c>
      <c r="F1214">
        <f t="shared" si="36"/>
        <v>1.9892999999999716E-2</v>
      </c>
      <c r="G1214">
        <f t="shared" si="37"/>
        <v>92.539314152125471</v>
      </c>
    </row>
    <row r="1215" spans="2:7">
      <c r="B1215" t="s">
        <v>2</v>
      </c>
      <c r="C1215" s="2">
        <v>40312</v>
      </c>
      <c r="D1215" t="s">
        <v>6</v>
      </c>
      <c r="E1215">
        <v>3.4828950000000001</v>
      </c>
      <c r="F1215">
        <f t="shared" si="36"/>
        <v>-0.11205100000000012</v>
      </c>
      <c r="G1215">
        <f t="shared" si="37"/>
        <v>92.381201010413463</v>
      </c>
    </row>
    <row r="1216" spans="2:7">
      <c r="B1216" t="s">
        <v>2</v>
      </c>
      <c r="C1216" s="2">
        <v>40311</v>
      </c>
      <c r="D1216" t="s">
        <v>6</v>
      </c>
      <c r="E1216">
        <v>3.5949460000000002</v>
      </c>
      <c r="F1216">
        <f t="shared" si="36"/>
        <v>-6.0419999999998808E-3</v>
      </c>
      <c r="G1216">
        <f t="shared" si="37"/>
        <v>90.456753160820455</v>
      </c>
    </row>
    <row r="1217" spans="2:7">
      <c r="B1217" t="s">
        <v>2</v>
      </c>
      <c r="C1217" s="2">
        <v>40310</v>
      </c>
      <c r="D1217" t="s">
        <v>6</v>
      </c>
      <c r="E1217">
        <v>3.6009880000000001</v>
      </c>
      <c r="F1217">
        <f t="shared" si="36"/>
        <v>2.0465999999999873E-2</v>
      </c>
      <c r="G1217">
        <f t="shared" si="37"/>
        <v>91.975948975513873</v>
      </c>
    </row>
    <row r="1218" spans="2:7">
      <c r="B1218" t="s">
        <v>2</v>
      </c>
      <c r="C1218" s="2">
        <v>40309</v>
      </c>
      <c r="D1218" t="s">
        <v>6</v>
      </c>
      <c r="E1218">
        <v>3.5805220000000002</v>
      </c>
      <c r="F1218">
        <f t="shared" si="36"/>
        <v>3.1220000000002912E-3</v>
      </c>
      <c r="G1218">
        <f t="shared" si="37"/>
        <v>91.938354359451935</v>
      </c>
    </row>
    <row r="1219" spans="2:7">
      <c r="B1219" t="s">
        <v>2</v>
      </c>
      <c r="C1219" s="2">
        <v>40308</v>
      </c>
      <c r="D1219" t="s">
        <v>6</v>
      </c>
      <c r="E1219">
        <v>3.5773999999999999</v>
      </c>
      <c r="F1219">
        <f t="shared" ref="F1219:F1282" si="38">E1219-E1220</f>
        <v>0.10517299999999974</v>
      </c>
      <c r="G1219">
        <f t="shared" ref="G1219:G1282" si="39">STDEV(F1219:F1278)*SQRT(250)*100</f>
        <v>92.24247686744566</v>
      </c>
    </row>
    <row r="1220" spans="2:7">
      <c r="B1220" t="s">
        <v>2</v>
      </c>
      <c r="C1220" s="2">
        <v>40305</v>
      </c>
      <c r="D1220" t="s">
        <v>6</v>
      </c>
      <c r="E1220">
        <v>3.4722270000000002</v>
      </c>
      <c r="F1220">
        <f t="shared" si="38"/>
        <v>2.2531999999999996E-2</v>
      </c>
      <c r="G1220">
        <f t="shared" si="39"/>
        <v>89.779435761102491</v>
      </c>
    </row>
    <row r="1221" spans="2:7">
      <c r="B1221" t="s">
        <v>2</v>
      </c>
      <c r="C1221" s="2">
        <v>40304</v>
      </c>
      <c r="D1221" t="s">
        <v>6</v>
      </c>
      <c r="E1221">
        <v>3.4496950000000002</v>
      </c>
      <c r="F1221">
        <f t="shared" si="38"/>
        <v>-0.10795699999999986</v>
      </c>
      <c r="G1221">
        <f t="shared" si="39"/>
        <v>90.493865145760438</v>
      </c>
    </row>
    <row r="1222" spans="2:7">
      <c r="B1222" t="s">
        <v>2</v>
      </c>
      <c r="C1222" s="2">
        <v>40303</v>
      </c>
      <c r="D1222" t="s">
        <v>6</v>
      </c>
      <c r="E1222">
        <v>3.557652</v>
      </c>
      <c r="F1222">
        <f t="shared" si="38"/>
        <v>-6.699199999999994E-2</v>
      </c>
      <c r="G1222">
        <f t="shared" si="39"/>
        <v>88.448957110815186</v>
      </c>
    </row>
    <row r="1223" spans="2:7">
      <c r="B1223" t="s">
        <v>2</v>
      </c>
      <c r="C1223" s="2">
        <v>40302</v>
      </c>
      <c r="D1223" t="s">
        <v>6</v>
      </c>
      <c r="E1223">
        <v>3.624644</v>
      </c>
      <c r="F1223">
        <f t="shared" si="38"/>
        <v>-8.623499999999984E-2</v>
      </c>
      <c r="G1223">
        <f t="shared" si="39"/>
        <v>87.925844631619114</v>
      </c>
    </row>
    <row r="1224" spans="2:7">
      <c r="B1224" t="s">
        <v>2</v>
      </c>
      <c r="C1224" s="2">
        <v>40301</v>
      </c>
      <c r="D1224" t="s">
        <v>6</v>
      </c>
      <c r="E1224">
        <v>3.7108789999999998</v>
      </c>
      <c r="F1224">
        <f t="shared" si="38"/>
        <v>5.9661999999999882E-2</v>
      </c>
      <c r="G1224">
        <f t="shared" si="39"/>
        <v>87.270830180024888</v>
      </c>
    </row>
    <row r="1225" spans="2:7">
      <c r="B1225" t="s">
        <v>2</v>
      </c>
      <c r="C1225" s="2">
        <v>40298</v>
      </c>
      <c r="D1225" t="s">
        <v>6</v>
      </c>
      <c r="E1225">
        <v>3.6512169999999999</v>
      </c>
      <c r="F1225">
        <f t="shared" si="38"/>
        <v>-5.1115000000000244E-2</v>
      </c>
      <c r="G1225">
        <f t="shared" si="39"/>
        <v>88.667024241952717</v>
      </c>
    </row>
    <row r="1226" spans="2:7">
      <c r="B1226" t="s">
        <v>2</v>
      </c>
      <c r="C1226" s="2">
        <v>40297</v>
      </c>
      <c r="D1226" t="s">
        <v>6</v>
      </c>
      <c r="E1226">
        <v>3.7023320000000002</v>
      </c>
      <c r="F1226">
        <f t="shared" si="38"/>
        <v>-6.3553999999999888E-2</v>
      </c>
      <c r="G1226">
        <f t="shared" si="39"/>
        <v>88.832604710785617</v>
      </c>
    </row>
    <row r="1227" spans="2:7">
      <c r="B1227" t="s">
        <v>2</v>
      </c>
      <c r="C1227" s="2">
        <v>40296</v>
      </c>
      <c r="D1227" t="s">
        <v>6</v>
      </c>
      <c r="E1227">
        <v>3.7658860000000001</v>
      </c>
      <c r="F1227">
        <f t="shared" si="38"/>
        <v>6.5361000000000224E-2</v>
      </c>
      <c r="G1227">
        <f t="shared" si="39"/>
        <v>87.949002068558087</v>
      </c>
    </row>
    <row r="1228" spans="2:7">
      <c r="B1228" t="s">
        <v>2</v>
      </c>
      <c r="C1228" s="2">
        <v>40295</v>
      </c>
      <c r="D1228" t="s">
        <v>6</v>
      </c>
      <c r="E1228">
        <v>3.7005249999999998</v>
      </c>
      <c r="F1228">
        <f t="shared" si="38"/>
        <v>-0.11877800000000027</v>
      </c>
      <c r="G1228">
        <f t="shared" si="39"/>
        <v>87.442265812482887</v>
      </c>
    </row>
    <row r="1229" spans="2:7">
      <c r="B1229" t="s">
        <v>2</v>
      </c>
      <c r="C1229" s="2">
        <v>40294</v>
      </c>
      <c r="D1229" t="s">
        <v>6</v>
      </c>
      <c r="E1229">
        <v>3.8193030000000001</v>
      </c>
      <c r="F1229">
        <f t="shared" si="38"/>
        <v>1.0985000000000245E-2</v>
      </c>
      <c r="G1229">
        <f t="shared" si="39"/>
        <v>84.451835488021871</v>
      </c>
    </row>
    <row r="1230" spans="2:7">
      <c r="B1230" t="s">
        <v>2</v>
      </c>
      <c r="C1230" s="2">
        <v>40291</v>
      </c>
      <c r="D1230" t="s">
        <v>6</v>
      </c>
      <c r="E1230">
        <v>3.8083179999999999</v>
      </c>
      <c r="F1230">
        <f t="shared" si="38"/>
        <v>4.5596999999999888E-2</v>
      </c>
      <c r="G1230">
        <f t="shared" si="39"/>
        <v>84.433887698637193</v>
      </c>
    </row>
    <row r="1231" spans="2:7">
      <c r="B1231" t="s">
        <v>2</v>
      </c>
      <c r="C1231" s="2">
        <v>40290</v>
      </c>
      <c r="D1231" t="s">
        <v>6</v>
      </c>
      <c r="E1231">
        <v>3.762721</v>
      </c>
      <c r="F1231">
        <f t="shared" si="38"/>
        <v>4.3412000000000006E-2</v>
      </c>
      <c r="G1231">
        <f t="shared" si="39"/>
        <v>84.036416516733226</v>
      </c>
    </row>
    <row r="1232" spans="2:7">
      <c r="B1232" t="s">
        <v>2</v>
      </c>
      <c r="C1232" s="2">
        <v>40289</v>
      </c>
      <c r="D1232" t="s">
        <v>6</v>
      </c>
      <c r="E1232">
        <v>3.719309</v>
      </c>
      <c r="F1232">
        <f t="shared" si="38"/>
        <v>-6.3466000000000022E-2</v>
      </c>
      <c r="G1232">
        <f t="shared" si="39"/>
        <v>83.55951129822148</v>
      </c>
    </row>
    <row r="1233" spans="2:7">
      <c r="B1233" t="s">
        <v>2</v>
      </c>
      <c r="C1233" s="2">
        <v>40288</v>
      </c>
      <c r="D1233" t="s">
        <v>6</v>
      </c>
      <c r="E1233">
        <v>3.782775</v>
      </c>
      <c r="F1233">
        <f t="shared" si="38"/>
        <v>-4.0629999999999278E-3</v>
      </c>
      <c r="G1233">
        <f t="shared" si="39"/>
        <v>82.723924957505517</v>
      </c>
    </row>
    <row r="1234" spans="2:7">
      <c r="B1234" t="s">
        <v>2</v>
      </c>
      <c r="C1234" s="2">
        <v>40287</v>
      </c>
      <c r="D1234" t="s">
        <v>6</v>
      </c>
      <c r="E1234">
        <v>3.7868379999999999</v>
      </c>
      <c r="F1234">
        <f t="shared" si="38"/>
        <v>5.5168999999999802E-2</v>
      </c>
      <c r="G1234">
        <f t="shared" si="39"/>
        <v>82.717458422225661</v>
      </c>
    </row>
    <row r="1235" spans="2:7">
      <c r="B1235" t="s">
        <v>2</v>
      </c>
      <c r="C1235" s="2">
        <v>40284</v>
      </c>
      <c r="D1235" t="s">
        <v>6</v>
      </c>
      <c r="E1235">
        <v>3.7316690000000001</v>
      </c>
      <c r="F1235">
        <f t="shared" si="38"/>
        <v>-7.3761999999999883E-2</v>
      </c>
      <c r="G1235">
        <f t="shared" si="39"/>
        <v>82.514124606029114</v>
      </c>
    </row>
    <row r="1236" spans="2:7">
      <c r="B1236" t="s">
        <v>2</v>
      </c>
      <c r="C1236" s="2">
        <v>40283</v>
      </c>
      <c r="D1236" t="s">
        <v>6</v>
      </c>
      <c r="E1236">
        <v>3.805431</v>
      </c>
      <c r="F1236">
        <f t="shared" si="38"/>
        <v>-6.0989999999998545E-3</v>
      </c>
      <c r="G1236">
        <f t="shared" si="39"/>
        <v>81.773085713270731</v>
      </c>
    </row>
    <row r="1237" spans="2:7">
      <c r="B1237" t="s">
        <v>2</v>
      </c>
      <c r="C1237" s="2">
        <v>40282</v>
      </c>
      <c r="D1237" t="s">
        <v>6</v>
      </c>
      <c r="E1237">
        <v>3.8115299999999999</v>
      </c>
      <c r="F1237">
        <f t="shared" si="38"/>
        <v>5.6723999999999997E-2</v>
      </c>
      <c r="G1237">
        <f t="shared" si="39"/>
        <v>82.080290166733889</v>
      </c>
    </row>
    <row r="1238" spans="2:7">
      <c r="B1238" t="s">
        <v>2</v>
      </c>
      <c r="C1238" s="2">
        <v>40281</v>
      </c>
      <c r="D1238" t="s">
        <v>6</v>
      </c>
      <c r="E1238">
        <v>3.7548059999999999</v>
      </c>
      <c r="F1238">
        <f t="shared" si="38"/>
        <v>-4.9303000000000097E-2</v>
      </c>
      <c r="G1238">
        <f t="shared" si="39"/>
        <v>81.918820713925797</v>
      </c>
    </row>
    <row r="1239" spans="2:7">
      <c r="B1239" t="s">
        <v>2</v>
      </c>
      <c r="C1239" s="2">
        <v>40280</v>
      </c>
      <c r="D1239" t="s">
        <v>6</v>
      </c>
      <c r="E1239">
        <v>3.804109</v>
      </c>
      <c r="F1239">
        <f t="shared" si="38"/>
        <v>-5.9979000000000227E-2</v>
      </c>
      <c r="G1239">
        <f t="shared" si="39"/>
        <v>82.188875992266645</v>
      </c>
    </row>
    <row r="1240" spans="2:7">
      <c r="B1240" t="s">
        <v>2</v>
      </c>
      <c r="C1240" s="2">
        <v>40277</v>
      </c>
      <c r="D1240" t="s">
        <v>6</v>
      </c>
      <c r="E1240">
        <v>3.8640880000000002</v>
      </c>
      <c r="F1240">
        <f t="shared" si="38"/>
        <v>3.2300000000029527E-4</v>
      </c>
      <c r="G1240">
        <f t="shared" si="39"/>
        <v>82.513870766406512</v>
      </c>
    </row>
    <row r="1241" spans="2:7">
      <c r="B1241" t="s">
        <v>2</v>
      </c>
      <c r="C1241" s="2">
        <v>40276</v>
      </c>
      <c r="D1241" t="s">
        <v>6</v>
      </c>
      <c r="E1241">
        <v>3.8637649999999999</v>
      </c>
      <c r="F1241">
        <f t="shared" si="38"/>
        <v>2.2558999999999774E-2</v>
      </c>
      <c r="G1241">
        <f t="shared" si="39"/>
        <v>84.989943989050943</v>
      </c>
    </row>
    <row r="1242" spans="2:7">
      <c r="B1242" t="s">
        <v>2</v>
      </c>
      <c r="C1242" s="2">
        <v>40275</v>
      </c>
      <c r="D1242" t="s">
        <v>6</v>
      </c>
      <c r="E1242">
        <v>3.8412060000000001</v>
      </c>
      <c r="F1242">
        <f t="shared" si="38"/>
        <v>-0.11147099999999988</v>
      </c>
      <c r="G1242">
        <f t="shared" si="39"/>
        <v>84.871193200052133</v>
      </c>
    </row>
    <row r="1243" spans="2:7">
      <c r="B1243" t="s">
        <v>2</v>
      </c>
      <c r="C1243" s="2">
        <v>40274</v>
      </c>
      <c r="D1243" t="s">
        <v>6</v>
      </c>
      <c r="E1243">
        <v>3.952677</v>
      </c>
      <c r="F1243">
        <f t="shared" si="38"/>
        <v>-6.9278000000000173E-2</v>
      </c>
      <c r="G1243">
        <f t="shared" si="39"/>
        <v>81.864594740800953</v>
      </c>
    </row>
    <row r="1244" spans="2:7">
      <c r="B1244" t="s">
        <v>2</v>
      </c>
      <c r="C1244" s="2">
        <v>40273</v>
      </c>
      <c r="D1244" t="s">
        <v>6</v>
      </c>
      <c r="E1244">
        <v>4.0219550000000002</v>
      </c>
      <c r="F1244">
        <f t="shared" si="38"/>
        <v>0.17075200000000024</v>
      </c>
      <c r="G1244">
        <f t="shared" si="39"/>
        <v>80.730884893633174</v>
      </c>
    </row>
    <row r="1245" spans="2:7">
      <c r="B1245" t="s">
        <v>2</v>
      </c>
      <c r="C1245" s="2">
        <v>40269</v>
      </c>
      <c r="D1245" t="s">
        <v>6</v>
      </c>
      <c r="E1245">
        <v>3.8512029999999999</v>
      </c>
      <c r="F1245">
        <f t="shared" si="38"/>
        <v>5.1388999999999907E-2</v>
      </c>
      <c r="G1245">
        <f t="shared" si="39"/>
        <v>73.620501004090045</v>
      </c>
    </row>
    <row r="1246" spans="2:7">
      <c r="B1246" t="s">
        <v>2</v>
      </c>
      <c r="C1246" s="2">
        <v>40268</v>
      </c>
      <c r="D1246" t="s">
        <v>6</v>
      </c>
      <c r="E1246">
        <v>3.799814</v>
      </c>
      <c r="F1246">
        <f t="shared" si="38"/>
        <v>-1.9114999999999771E-2</v>
      </c>
      <c r="G1246">
        <f t="shared" si="39"/>
        <v>75.776664480257594</v>
      </c>
    </row>
    <row r="1247" spans="2:7">
      <c r="B1247" t="s">
        <v>2</v>
      </c>
      <c r="C1247" s="2">
        <v>40267</v>
      </c>
      <c r="D1247" t="s">
        <v>6</v>
      </c>
      <c r="E1247">
        <v>3.8189289999999998</v>
      </c>
      <c r="F1247">
        <f t="shared" si="38"/>
        <v>5.4799999999999294E-3</v>
      </c>
      <c r="G1247">
        <f t="shared" si="39"/>
        <v>75.73176912329788</v>
      </c>
    </row>
    <row r="1248" spans="2:7">
      <c r="B1248" t="s">
        <v>2</v>
      </c>
      <c r="C1248" s="2">
        <v>40266</v>
      </c>
      <c r="D1248" t="s">
        <v>6</v>
      </c>
      <c r="E1248">
        <v>3.8134489999999999</v>
      </c>
      <c r="F1248">
        <f t="shared" si="38"/>
        <v>3.0091999999999786E-2</v>
      </c>
      <c r="G1248">
        <f t="shared" si="39"/>
        <v>76.455568278535395</v>
      </c>
    </row>
    <row r="1249" spans="2:7">
      <c r="B1249" t="s">
        <v>2</v>
      </c>
      <c r="C1249" s="2">
        <v>40263</v>
      </c>
      <c r="D1249" t="s">
        <v>6</v>
      </c>
      <c r="E1249">
        <v>3.7833570000000001</v>
      </c>
      <c r="F1249">
        <f t="shared" si="38"/>
        <v>-3.5537999999999847E-2</v>
      </c>
      <c r="G1249">
        <f t="shared" si="39"/>
        <v>76.788186611013103</v>
      </c>
    </row>
    <row r="1250" spans="2:7">
      <c r="B1250" t="s">
        <v>2</v>
      </c>
      <c r="C1250" s="2">
        <v>40262</v>
      </c>
      <c r="D1250" t="s">
        <v>6</v>
      </c>
      <c r="E1250">
        <v>3.8188949999999999</v>
      </c>
      <c r="F1250">
        <f t="shared" si="38"/>
        <v>7.6705000000000023E-2</v>
      </c>
      <c r="G1250">
        <f t="shared" si="39"/>
        <v>76.779280851807712</v>
      </c>
    </row>
    <row r="1251" spans="2:7">
      <c r="B1251" t="s">
        <v>2</v>
      </c>
      <c r="C1251" s="2">
        <v>40261</v>
      </c>
      <c r="D1251" t="s">
        <v>6</v>
      </c>
      <c r="E1251">
        <v>3.7421899999999999</v>
      </c>
      <c r="F1251">
        <f t="shared" si="38"/>
        <v>9.2311000000000032E-2</v>
      </c>
      <c r="G1251">
        <f t="shared" si="39"/>
        <v>76.075197769464509</v>
      </c>
    </row>
    <row r="1252" spans="2:7">
      <c r="B1252" t="s">
        <v>2</v>
      </c>
      <c r="C1252" s="2">
        <v>40260</v>
      </c>
      <c r="D1252" t="s">
        <v>6</v>
      </c>
      <c r="E1252">
        <v>3.6498789999999999</v>
      </c>
      <c r="F1252">
        <f t="shared" si="38"/>
        <v>-3.8502999999999954E-2</v>
      </c>
      <c r="G1252">
        <f t="shared" si="39"/>
        <v>74.082527274471971</v>
      </c>
    </row>
    <row r="1253" spans="2:7">
      <c r="B1253" t="s">
        <v>2</v>
      </c>
      <c r="C1253" s="2">
        <v>40259</v>
      </c>
      <c r="D1253" t="s">
        <v>6</v>
      </c>
      <c r="E1253">
        <v>3.6883819999999998</v>
      </c>
      <c r="F1253">
        <f t="shared" si="38"/>
        <v>-3.635900000000003E-2</v>
      </c>
      <c r="G1253">
        <f t="shared" si="39"/>
        <v>73.746677668052058</v>
      </c>
    </row>
    <row r="1254" spans="2:7">
      <c r="B1254" t="s">
        <v>2</v>
      </c>
      <c r="C1254" s="2">
        <v>40256</v>
      </c>
      <c r="D1254" t="s">
        <v>6</v>
      </c>
      <c r="E1254">
        <v>3.7247409999999999</v>
      </c>
      <c r="F1254">
        <f t="shared" si="38"/>
        <v>2.2564999999999724E-2</v>
      </c>
      <c r="G1254">
        <f t="shared" si="39"/>
        <v>75.107447093521131</v>
      </c>
    </row>
    <row r="1255" spans="2:7">
      <c r="B1255" t="s">
        <v>2</v>
      </c>
      <c r="C1255" s="2">
        <v>40255</v>
      </c>
      <c r="D1255" t="s">
        <v>6</v>
      </c>
      <c r="E1255">
        <v>3.7021760000000001</v>
      </c>
      <c r="F1255">
        <f t="shared" si="38"/>
        <v>2.9482999999999926E-2</v>
      </c>
      <c r="G1255">
        <f t="shared" si="39"/>
        <v>82.101607235587466</v>
      </c>
    </row>
    <row r="1256" spans="2:7">
      <c r="B1256" t="s">
        <v>2</v>
      </c>
      <c r="C1256" s="2">
        <v>40254</v>
      </c>
      <c r="D1256" t="s">
        <v>6</v>
      </c>
      <c r="E1256">
        <v>3.6726930000000002</v>
      </c>
      <c r="F1256">
        <f t="shared" si="38"/>
        <v>-1.8678999999999668E-2</v>
      </c>
      <c r="G1256">
        <f t="shared" si="39"/>
        <v>82.442640004021143</v>
      </c>
    </row>
    <row r="1257" spans="2:7">
      <c r="B1257" t="s">
        <v>2</v>
      </c>
      <c r="C1257" s="2">
        <v>40253</v>
      </c>
      <c r="D1257" t="s">
        <v>6</v>
      </c>
      <c r="E1257">
        <v>3.6913719999999999</v>
      </c>
      <c r="F1257">
        <f t="shared" si="38"/>
        <v>-4.6618000000000048E-2</v>
      </c>
      <c r="G1257">
        <f t="shared" si="39"/>
        <v>85.416032608185461</v>
      </c>
    </row>
    <row r="1258" spans="2:7">
      <c r="B1258" t="s">
        <v>2</v>
      </c>
      <c r="C1258" s="2">
        <v>40252</v>
      </c>
      <c r="D1258" t="s">
        <v>6</v>
      </c>
      <c r="E1258">
        <v>3.7379899999999999</v>
      </c>
      <c r="F1258">
        <f t="shared" si="38"/>
        <v>-1.0826000000000224E-2</v>
      </c>
      <c r="G1258">
        <f t="shared" si="39"/>
        <v>84.920549225496003</v>
      </c>
    </row>
    <row r="1259" spans="2:7">
      <c r="B1259" t="s">
        <v>2</v>
      </c>
      <c r="C1259" s="2">
        <v>40249</v>
      </c>
      <c r="D1259" t="s">
        <v>6</v>
      </c>
      <c r="E1259">
        <v>3.7488160000000001</v>
      </c>
      <c r="F1259">
        <f t="shared" si="38"/>
        <v>9.2900000000017968E-4</v>
      </c>
      <c r="G1259">
        <f t="shared" si="39"/>
        <v>86.111900352255859</v>
      </c>
    </row>
    <row r="1260" spans="2:7">
      <c r="B1260" t="s">
        <v>2</v>
      </c>
      <c r="C1260" s="2">
        <v>40248</v>
      </c>
      <c r="D1260" t="s">
        <v>6</v>
      </c>
      <c r="E1260">
        <v>3.747887</v>
      </c>
      <c r="F1260">
        <f t="shared" si="38"/>
        <v>4.7000000000001485E-3</v>
      </c>
      <c r="G1260">
        <f t="shared" si="39"/>
        <v>86.217959021923491</v>
      </c>
    </row>
    <row r="1261" spans="2:7">
      <c r="B1261" t="s">
        <v>2</v>
      </c>
      <c r="C1261" s="2">
        <v>40247</v>
      </c>
      <c r="D1261" t="s">
        <v>6</v>
      </c>
      <c r="E1261">
        <v>3.7431869999999998</v>
      </c>
      <c r="F1261">
        <f t="shared" si="38"/>
        <v>4.6579999999996069E-3</v>
      </c>
      <c r="G1261">
        <f t="shared" si="39"/>
        <v>87.026951725286494</v>
      </c>
    </row>
    <row r="1262" spans="2:7">
      <c r="B1262" t="s">
        <v>2</v>
      </c>
      <c r="C1262" s="2">
        <v>40246</v>
      </c>
      <c r="D1262" t="s">
        <v>6</v>
      </c>
      <c r="E1262">
        <v>3.7385290000000002</v>
      </c>
      <c r="F1262">
        <f t="shared" si="38"/>
        <v>-1.1254999999999793E-2</v>
      </c>
      <c r="G1262">
        <f t="shared" si="39"/>
        <v>87.555536441127757</v>
      </c>
    </row>
    <row r="1263" spans="2:7">
      <c r="B1263" t="s">
        <v>2</v>
      </c>
      <c r="C1263" s="2">
        <v>40245</v>
      </c>
      <c r="D1263" t="s">
        <v>6</v>
      </c>
      <c r="E1263">
        <v>3.749784</v>
      </c>
      <c r="F1263">
        <f t="shared" si="38"/>
        <v>3.3246999999999804E-2</v>
      </c>
      <c r="G1263">
        <f t="shared" si="39"/>
        <v>87.583366179549799</v>
      </c>
    </row>
    <row r="1264" spans="2:7">
      <c r="B1264" t="s">
        <v>2</v>
      </c>
      <c r="C1264" s="2">
        <v>40242</v>
      </c>
      <c r="D1264" t="s">
        <v>6</v>
      </c>
      <c r="E1264">
        <v>3.7165370000000002</v>
      </c>
      <c r="F1264">
        <f t="shared" si="38"/>
        <v>8.5149000000000363E-2</v>
      </c>
      <c r="G1264">
        <f t="shared" si="39"/>
        <v>88.700762129541971</v>
      </c>
    </row>
    <row r="1265" spans="2:7">
      <c r="B1265" t="s">
        <v>2</v>
      </c>
      <c r="C1265" s="2">
        <v>40241</v>
      </c>
      <c r="D1265" t="s">
        <v>6</v>
      </c>
      <c r="E1265">
        <v>3.6313879999999998</v>
      </c>
      <c r="F1265">
        <f t="shared" si="38"/>
        <v>-3.0854000000000159E-2</v>
      </c>
      <c r="G1265">
        <f t="shared" si="39"/>
        <v>87.196942800681455</v>
      </c>
    </row>
    <row r="1266" spans="2:7">
      <c r="B1266" t="s">
        <v>2</v>
      </c>
      <c r="C1266" s="2">
        <v>40240</v>
      </c>
      <c r="D1266" t="s">
        <v>6</v>
      </c>
      <c r="E1266">
        <v>3.662242</v>
      </c>
      <c r="F1266">
        <f t="shared" si="38"/>
        <v>-9.9499999999999034E-3</v>
      </c>
      <c r="G1266">
        <f t="shared" si="39"/>
        <v>90.519749693887647</v>
      </c>
    </row>
    <row r="1267" spans="2:7">
      <c r="B1267" t="s">
        <v>2</v>
      </c>
      <c r="C1267" s="2">
        <v>40239</v>
      </c>
      <c r="D1267" t="s">
        <v>6</v>
      </c>
      <c r="E1267">
        <v>3.6721919999999999</v>
      </c>
      <c r="F1267">
        <f t="shared" si="38"/>
        <v>-4.9710000000002807E-3</v>
      </c>
      <c r="G1267">
        <f t="shared" si="39"/>
        <v>91.482890818721657</v>
      </c>
    </row>
    <row r="1268" spans="2:7">
      <c r="B1268" t="s">
        <v>2</v>
      </c>
      <c r="C1268" s="2">
        <v>40238</v>
      </c>
      <c r="D1268" t="s">
        <v>6</v>
      </c>
      <c r="E1268">
        <v>3.6771630000000002</v>
      </c>
      <c r="F1268">
        <f t="shared" si="38"/>
        <v>1.2898999999999994E-2</v>
      </c>
      <c r="G1268">
        <f t="shared" si="39"/>
        <v>91.923328155833545</v>
      </c>
    </row>
    <row r="1269" spans="2:7">
      <c r="B1269" t="s">
        <v>2</v>
      </c>
      <c r="C1269" s="2">
        <v>40235</v>
      </c>
      <c r="D1269" t="s">
        <v>6</v>
      </c>
      <c r="E1269">
        <v>3.6642640000000002</v>
      </c>
      <c r="F1269">
        <f t="shared" si="38"/>
        <v>-5.0310999999999773E-2</v>
      </c>
      <c r="G1269">
        <f t="shared" si="39"/>
        <v>93.317953011336428</v>
      </c>
    </row>
    <row r="1270" spans="2:7">
      <c r="B1270" t="s">
        <v>2</v>
      </c>
      <c r="C1270" s="2">
        <v>40234</v>
      </c>
      <c r="D1270" t="s">
        <v>6</v>
      </c>
      <c r="E1270">
        <v>3.714575</v>
      </c>
      <c r="F1270">
        <f t="shared" si="38"/>
        <v>-6.3298000000000076E-2</v>
      </c>
      <c r="G1270">
        <f t="shared" si="39"/>
        <v>92.599970894173083</v>
      </c>
    </row>
    <row r="1271" spans="2:7">
      <c r="B1271" t="s">
        <v>2</v>
      </c>
      <c r="C1271" s="2">
        <v>40233</v>
      </c>
      <c r="D1271" t="s">
        <v>6</v>
      </c>
      <c r="E1271">
        <v>3.777873</v>
      </c>
      <c r="F1271">
        <f t="shared" si="38"/>
        <v>-5.5169999999997721E-3</v>
      </c>
      <c r="G1271">
        <f t="shared" si="39"/>
        <v>92.726874165380721</v>
      </c>
    </row>
    <row r="1272" spans="2:7">
      <c r="B1272" t="s">
        <v>2</v>
      </c>
      <c r="C1272" s="2">
        <v>40232</v>
      </c>
      <c r="D1272" t="s">
        <v>6</v>
      </c>
      <c r="E1272">
        <v>3.7833899999999998</v>
      </c>
      <c r="F1272">
        <f t="shared" si="38"/>
        <v>-0.10835400000000028</v>
      </c>
      <c r="G1272">
        <f t="shared" si="39"/>
        <v>93.603513311082352</v>
      </c>
    </row>
    <row r="1273" spans="2:7">
      <c r="B1273" t="s">
        <v>2</v>
      </c>
      <c r="C1273" s="2">
        <v>40231</v>
      </c>
      <c r="D1273" t="s">
        <v>6</v>
      </c>
      <c r="E1273">
        <v>3.8917440000000001</v>
      </c>
      <c r="F1273">
        <f t="shared" si="38"/>
        <v>8.0400000000002692E-3</v>
      </c>
      <c r="G1273">
        <f t="shared" si="39"/>
        <v>91.26309724325327</v>
      </c>
    </row>
    <row r="1274" spans="2:7">
      <c r="B1274" t="s">
        <v>2</v>
      </c>
      <c r="C1274" s="2">
        <v>40228</v>
      </c>
      <c r="D1274" t="s">
        <v>6</v>
      </c>
      <c r="E1274">
        <v>3.8837039999999998</v>
      </c>
      <c r="F1274">
        <f t="shared" si="38"/>
        <v>-3.5620000000000651E-3</v>
      </c>
      <c r="G1274">
        <f t="shared" si="39"/>
        <v>91.274541219791828</v>
      </c>
    </row>
    <row r="1275" spans="2:7">
      <c r="B1275" t="s">
        <v>2</v>
      </c>
      <c r="C1275" s="2">
        <v>40227</v>
      </c>
      <c r="D1275" t="s">
        <v>6</v>
      </c>
      <c r="E1275">
        <v>3.8872659999999999</v>
      </c>
      <c r="F1275">
        <f t="shared" si="38"/>
        <v>5.0044999999999895E-2</v>
      </c>
      <c r="G1275">
        <f t="shared" si="39"/>
        <v>91.263059591955113</v>
      </c>
    </row>
    <row r="1276" spans="2:7">
      <c r="B1276" t="s">
        <v>2</v>
      </c>
      <c r="C1276" s="2">
        <v>40226</v>
      </c>
      <c r="D1276" t="s">
        <v>6</v>
      </c>
      <c r="E1276">
        <v>3.837221</v>
      </c>
      <c r="F1276">
        <f t="shared" si="38"/>
        <v>7.7579000000000065E-2</v>
      </c>
      <c r="G1276">
        <f t="shared" si="39"/>
        <v>90.840708941542971</v>
      </c>
    </row>
    <row r="1277" spans="2:7">
      <c r="B1277" t="s">
        <v>2</v>
      </c>
      <c r="C1277" s="2">
        <v>40225</v>
      </c>
      <c r="D1277" t="s">
        <v>6</v>
      </c>
      <c r="E1277">
        <v>3.7596419999999999</v>
      </c>
      <c r="F1277">
        <f t="shared" si="38"/>
        <v>-2.2692999999999852E-2</v>
      </c>
      <c r="G1277">
        <f t="shared" si="39"/>
        <v>90.16171803382376</v>
      </c>
    </row>
    <row r="1278" spans="2:7">
      <c r="B1278" t="s">
        <v>2</v>
      </c>
      <c r="C1278" s="2">
        <v>40221</v>
      </c>
      <c r="D1278" t="s">
        <v>6</v>
      </c>
      <c r="E1278">
        <v>3.7823349999999998</v>
      </c>
      <c r="F1278">
        <f t="shared" si="38"/>
        <v>-4.0727000000000402E-2</v>
      </c>
      <c r="G1278">
        <f t="shared" si="39"/>
        <v>90.102760554081286</v>
      </c>
    </row>
    <row r="1279" spans="2:7">
      <c r="B1279" t="s">
        <v>2</v>
      </c>
      <c r="C1279" s="2">
        <v>40220</v>
      </c>
      <c r="D1279" t="s">
        <v>6</v>
      </c>
      <c r="E1279">
        <v>3.8230620000000002</v>
      </c>
      <c r="F1279">
        <f t="shared" si="38"/>
        <v>3.3899000000000346E-2</v>
      </c>
      <c r="G1279">
        <f t="shared" si="39"/>
        <v>93.300251385507408</v>
      </c>
    </row>
    <row r="1280" spans="2:7">
      <c r="B1280" t="s">
        <v>2</v>
      </c>
      <c r="C1280" s="2">
        <v>40219</v>
      </c>
      <c r="D1280" t="s">
        <v>6</v>
      </c>
      <c r="E1280">
        <v>3.7891629999999998</v>
      </c>
      <c r="F1280">
        <f t="shared" si="38"/>
        <v>5.6624999999999925E-2</v>
      </c>
      <c r="G1280">
        <f t="shared" si="39"/>
        <v>93.157422679945682</v>
      </c>
    </row>
    <row r="1281" spans="2:7">
      <c r="B1281" t="s">
        <v>2</v>
      </c>
      <c r="C1281" s="2">
        <v>40218</v>
      </c>
      <c r="D1281" t="s">
        <v>6</v>
      </c>
      <c r="E1281">
        <v>3.7325379999999999</v>
      </c>
      <c r="F1281">
        <f t="shared" si="38"/>
        <v>4.4378999999999724E-2</v>
      </c>
      <c r="G1281">
        <f t="shared" si="39"/>
        <v>93.54943387199728</v>
      </c>
    </row>
    <row r="1282" spans="2:7">
      <c r="B1282" t="s">
        <v>2</v>
      </c>
      <c r="C1282" s="2">
        <v>40217</v>
      </c>
      <c r="D1282" t="s">
        <v>6</v>
      </c>
      <c r="E1282">
        <v>3.6881590000000002</v>
      </c>
      <c r="F1282">
        <f t="shared" si="38"/>
        <v>4.5081000000000149E-2</v>
      </c>
      <c r="G1282">
        <f t="shared" si="39"/>
        <v>93.179101177797733</v>
      </c>
    </row>
    <row r="1283" spans="2:7">
      <c r="B1283" t="s">
        <v>2</v>
      </c>
      <c r="C1283" s="2">
        <v>40214</v>
      </c>
      <c r="D1283" t="s">
        <v>6</v>
      </c>
      <c r="E1283">
        <v>3.643078</v>
      </c>
      <c r="F1283">
        <f t="shared" ref="F1283:F1346" si="40">E1283-E1284</f>
        <v>-6.8721000000000032E-2</v>
      </c>
      <c r="G1283">
        <f t="shared" ref="G1283:G1346" si="41">STDEV(F1283:F1342)*SQRT(250)*100</f>
        <v>92.942035920377393</v>
      </c>
    </row>
    <row r="1284" spans="2:7">
      <c r="B1284" t="s">
        <v>2</v>
      </c>
      <c r="C1284" s="2">
        <v>40213</v>
      </c>
      <c r="D1284" t="s">
        <v>6</v>
      </c>
      <c r="E1284">
        <v>3.7117990000000001</v>
      </c>
      <c r="F1284">
        <f t="shared" si="40"/>
        <v>-9.8897000000000013E-2</v>
      </c>
      <c r="G1284">
        <f t="shared" si="41"/>
        <v>92.112763269766745</v>
      </c>
    </row>
    <row r="1285" spans="2:7">
      <c r="B1285" t="s">
        <v>2</v>
      </c>
      <c r="C1285" s="2">
        <v>40212</v>
      </c>
      <c r="D1285" t="s">
        <v>6</v>
      </c>
      <c r="E1285">
        <v>3.8106960000000001</v>
      </c>
      <c r="F1285">
        <f t="shared" si="40"/>
        <v>5.4143000000000274E-2</v>
      </c>
      <c r="G1285">
        <f t="shared" si="41"/>
        <v>89.874310019447449</v>
      </c>
    </row>
    <row r="1286" spans="2:7">
      <c r="B1286" t="s">
        <v>2</v>
      </c>
      <c r="C1286" s="2">
        <v>40211</v>
      </c>
      <c r="D1286" t="s">
        <v>6</v>
      </c>
      <c r="E1286">
        <v>3.7565529999999998</v>
      </c>
      <c r="F1286">
        <f t="shared" si="40"/>
        <v>-1.7457999999999974E-2</v>
      </c>
      <c r="G1286">
        <f t="shared" si="41"/>
        <v>90.0738716055086</v>
      </c>
    </row>
    <row r="1287" spans="2:7">
      <c r="B1287" t="s">
        <v>2</v>
      </c>
      <c r="C1287" s="2">
        <v>40210</v>
      </c>
      <c r="D1287" t="s">
        <v>6</v>
      </c>
      <c r="E1287">
        <v>3.7740109999999998</v>
      </c>
      <c r="F1287">
        <f t="shared" si="40"/>
        <v>4.6747999999999568E-2</v>
      </c>
      <c r="G1287">
        <f t="shared" si="41"/>
        <v>90.487492732967624</v>
      </c>
    </row>
    <row r="1288" spans="2:7">
      <c r="B1288" t="s">
        <v>2</v>
      </c>
      <c r="C1288" s="2">
        <v>40207</v>
      </c>
      <c r="D1288" t="s">
        <v>6</v>
      </c>
      <c r="E1288">
        <v>3.7272630000000002</v>
      </c>
      <c r="F1288">
        <f t="shared" si="40"/>
        <v>-4.4746999999999648E-2</v>
      </c>
      <c r="G1288">
        <f t="shared" si="41"/>
        <v>90.385530053711577</v>
      </c>
    </row>
    <row r="1289" spans="2:7">
      <c r="B1289" t="s">
        <v>2</v>
      </c>
      <c r="C1289" s="2">
        <v>40206</v>
      </c>
      <c r="D1289" t="s">
        <v>6</v>
      </c>
      <c r="E1289">
        <v>3.7720099999999999</v>
      </c>
      <c r="F1289">
        <f t="shared" si="40"/>
        <v>6.512999999999991E-3</v>
      </c>
      <c r="G1289">
        <f t="shared" si="41"/>
        <v>92.556295594355547</v>
      </c>
    </row>
    <row r="1290" spans="2:7">
      <c r="B1290" t="s">
        <v>2</v>
      </c>
      <c r="C1290" s="2">
        <v>40205</v>
      </c>
      <c r="D1290" t="s">
        <v>6</v>
      </c>
      <c r="E1290">
        <v>3.7654969999999999</v>
      </c>
      <c r="F1290">
        <f t="shared" si="40"/>
        <v>2.1776999999999713E-2</v>
      </c>
      <c r="G1290">
        <f t="shared" si="41"/>
        <v>94.039559351776376</v>
      </c>
    </row>
    <row r="1291" spans="2:7">
      <c r="B1291" t="s">
        <v>2</v>
      </c>
      <c r="C1291" s="2">
        <v>40204</v>
      </c>
      <c r="D1291" t="s">
        <v>6</v>
      </c>
      <c r="E1291">
        <v>3.7437200000000002</v>
      </c>
      <c r="F1291">
        <f t="shared" si="40"/>
        <v>1.1480000000001489E-3</v>
      </c>
      <c r="G1291">
        <f t="shared" si="41"/>
        <v>94.760332107603801</v>
      </c>
    </row>
    <row r="1292" spans="2:7">
      <c r="B1292" t="s">
        <v>2</v>
      </c>
      <c r="C1292" s="2">
        <v>40203</v>
      </c>
      <c r="D1292" t="s">
        <v>6</v>
      </c>
      <c r="E1292">
        <v>3.742572</v>
      </c>
      <c r="F1292">
        <f t="shared" si="40"/>
        <v>2.8614000000000139E-2</v>
      </c>
      <c r="G1292">
        <f t="shared" si="41"/>
        <v>96.863475495280056</v>
      </c>
    </row>
    <row r="1293" spans="2:7">
      <c r="B1293" t="s">
        <v>2</v>
      </c>
      <c r="C1293" s="2">
        <v>40200</v>
      </c>
      <c r="D1293" t="s">
        <v>6</v>
      </c>
      <c r="E1293">
        <v>3.7139579999999999</v>
      </c>
      <c r="F1293">
        <f t="shared" si="40"/>
        <v>2.7829999999999799E-3</v>
      </c>
      <c r="G1293">
        <f t="shared" si="41"/>
        <v>98.388579487064177</v>
      </c>
    </row>
    <row r="1294" spans="2:7">
      <c r="B1294" t="s">
        <v>2</v>
      </c>
      <c r="C1294" s="2">
        <v>40199</v>
      </c>
      <c r="D1294" t="s">
        <v>6</v>
      </c>
      <c r="E1294">
        <v>3.7111749999999999</v>
      </c>
      <c r="F1294">
        <f t="shared" si="40"/>
        <v>-4.6546999999999894E-2</v>
      </c>
      <c r="G1294">
        <f t="shared" si="41"/>
        <v>98.857595771548773</v>
      </c>
    </row>
    <row r="1295" spans="2:7">
      <c r="B1295" t="s">
        <v>2</v>
      </c>
      <c r="C1295" s="2">
        <v>40198</v>
      </c>
      <c r="D1295" t="s">
        <v>6</v>
      </c>
      <c r="E1295">
        <v>3.7577219999999998</v>
      </c>
      <c r="F1295">
        <f t="shared" si="40"/>
        <v>-5.0562000000000218E-2</v>
      </c>
      <c r="G1295">
        <f t="shared" si="41"/>
        <v>98.378054931984536</v>
      </c>
    </row>
    <row r="1296" spans="2:7">
      <c r="B1296" t="s">
        <v>2</v>
      </c>
      <c r="C1296" s="2">
        <v>40197</v>
      </c>
      <c r="D1296" t="s">
        <v>6</v>
      </c>
      <c r="E1296">
        <v>3.808284</v>
      </c>
      <c r="F1296">
        <f t="shared" si="40"/>
        <v>3.535300000000019E-2</v>
      </c>
      <c r="G1296">
        <f t="shared" si="41"/>
        <v>98.823225435580312</v>
      </c>
    </row>
    <row r="1297" spans="2:7">
      <c r="B1297" t="s">
        <v>2</v>
      </c>
      <c r="C1297" s="2">
        <v>40193</v>
      </c>
      <c r="D1297" t="s">
        <v>6</v>
      </c>
      <c r="E1297">
        <v>3.7729309999999998</v>
      </c>
      <c r="F1297">
        <f t="shared" si="40"/>
        <v>-5.1464000000000176E-2</v>
      </c>
      <c r="G1297">
        <f t="shared" si="41"/>
        <v>99.593287303006562</v>
      </c>
    </row>
    <row r="1298" spans="2:7">
      <c r="B1298" t="s">
        <v>2</v>
      </c>
      <c r="C1298" s="2">
        <v>40192</v>
      </c>
      <c r="D1298" t="s">
        <v>6</v>
      </c>
      <c r="E1298">
        <v>3.824395</v>
      </c>
      <c r="F1298">
        <f t="shared" si="40"/>
        <v>-5.9171000000000085E-2</v>
      </c>
      <c r="G1298">
        <f t="shared" si="41"/>
        <v>99.172280481427904</v>
      </c>
    </row>
    <row r="1299" spans="2:7">
      <c r="B1299" t="s">
        <v>2</v>
      </c>
      <c r="C1299" s="2">
        <v>40191</v>
      </c>
      <c r="D1299" t="s">
        <v>6</v>
      </c>
      <c r="E1299">
        <v>3.8835660000000001</v>
      </c>
      <c r="F1299">
        <f t="shared" si="40"/>
        <v>6.9259000000000182E-2</v>
      </c>
      <c r="G1299">
        <f t="shared" si="41"/>
        <v>98.812247286565267</v>
      </c>
    </row>
    <row r="1300" spans="2:7">
      <c r="B1300" t="s">
        <v>2</v>
      </c>
      <c r="C1300" s="2">
        <v>40190</v>
      </c>
      <c r="D1300" t="s">
        <v>6</v>
      </c>
      <c r="E1300">
        <v>3.8143069999999999</v>
      </c>
      <c r="F1300">
        <f t="shared" si="40"/>
        <v>-9.893300000000016E-2</v>
      </c>
      <c r="G1300">
        <f t="shared" si="41"/>
        <v>98.464888864502683</v>
      </c>
    </row>
    <row r="1301" spans="2:7">
      <c r="B1301" t="s">
        <v>2</v>
      </c>
      <c r="C1301" s="2">
        <v>40189</v>
      </c>
      <c r="D1301" t="s">
        <v>6</v>
      </c>
      <c r="E1301">
        <v>3.9132400000000001</v>
      </c>
      <c r="F1301">
        <f t="shared" si="40"/>
        <v>7.8000000000000291E-3</v>
      </c>
      <c r="G1301">
        <f t="shared" si="41"/>
        <v>98.444408856576302</v>
      </c>
    </row>
    <row r="1302" spans="2:7">
      <c r="B1302" t="s">
        <v>2</v>
      </c>
      <c r="C1302" s="2">
        <v>40186</v>
      </c>
      <c r="D1302" t="s">
        <v>6</v>
      </c>
      <c r="E1302">
        <v>3.90544</v>
      </c>
      <c r="F1302">
        <f t="shared" si="40"/>
        <v>-2.3147999999999946E-2</v>
      </c>
      <c r="G1302">
        <f t="shared" si="41"/>
        <v>99.738153054345688</v>
      </c>
    </row>
    <row r="1303" spans="2:7">
      <c r="B1303" t="s">
        <v>2</v>
      </c>
      <c r="C1303" s="2">
        <v>40185</v>
      </c>
      <c r="D1303" t="s">
        <v>6</v>
      </c>
      <c r="E1303">
        <v>3.928588</v>
      </c>
      <c r="F1303">
        <f t="shared" si="40"/>
        <v>2.6018999999999792E-2</v>
      </c>
      <c r="G1303">
        <f t="shared" si="41"/>
        <v>103.67500245177229</v>
      </c>
    </row>
    <row r="1304" spans="2:7">
      <c r="B1304" t="s">
        <v>2</v>
      </c>
      <c r="C1304" s="2">
        <v>40184</v>
      </c>
      <c r="D1304" t="s">
        <v>6</v>
      </c>
      <c r="E1304">
        <v>3.9025690000000002</v>
      </c>
      <c r="F1304">
        <f t="shared" si="40"/>
        <v>5.4936000000000096E-2</v>
      </c>
      <c r="G1304">
        <f t="shared" si="41"/>
        <v>104.18724226338097</v>
      </c>
    </row>
    <row r="1305" spans="2:7">
      <c r="B1305" t="s">
        <v>2</v>
      </c>
      <c r="C1305" s="2">
        <v>40183</v>
      </c>
      <c r="D1305" t="s">
        <v>6</v>
      </c>
      <c r="E1305">
        <v>3.8476330000000001</v>
      </c>
      <c r="F1305">
        <f t="shared" si="40"/>
        <v>-0.10306399999999982</v>
      </c>
      <c r="G1305">
        <f t="shared" si="41"/>
        <v>105.12960794102017</v>
      </c>
    </row>
    <row r="1306" spans="2:7">
      <c r="B1306" t="s">
        <v>2</v>
      </c>
      <c r="C1306" s="2">
        <v>40182</v>
      </c>
      <c r="D1306" t="s">
        <v>6</v>
      </c>
      <c r="E1306">
        <v>3.9506969999999999</v>
      </c>
      <c r="F1306">
        <f t="shared" si="40"/>
        <v>-1.3266999999999918E-2</v>
      </c>
      <c r="G1306">
        <f t="shared" si="41"/>
        <v>102.65841253998038</v>
      </c>
    </row>
    <row r="1307" spans="2:7">
      <c r="B1307" t="s">
        <v>2</v>
      </c>
      <c r="C1307" s="2">
        <v>40178</v>
      </c>
      <c r="D1307" t="s">
        <v>6</v>
      </c>
      <c r="E1307">
        <v>3.9639639999999998</v>
      </c>
      <c r="F1307">
        <f t="shared" si="40"/>
        <v>4.9488999999999894E-2</v>
      </c>
      <c r="G1307">
        <f t="shared" si="41"/>
        <v>102.55504789041041</v>
      </c>
    </row>
    <row r="1308" spans="2:7">
      <c r="B1308" t="s">
        <v>2</v>
      </c>
      <c r="C1308" s="2">
        <v>40177</v>
      </c>
      <c r="D1308" t="s">
        <v>6</v>
      </c>
      <c r="E1308">
        <v>3.9144749999999999</v>
      </c>
      <c r="F1308">
        <f t="shared" si="40"/>
        <v>-4.9841000000000246E-2</v>
      </c>
      <c r="G1308">
        <f t="shared" si="41"/>
        <v>102.44462572510533</v>
      </c>
    </row>
    <row r="1309" spans="2:7">
      <c r="B1309" t="s">
        <v>2</v>
      </c>
      <c r="C1309" s="2">
        <v>40176</v>
      </c>
      <c r="D1309" t="s">
        <v>6</v>
      </c>
      <c r="E1309">
        <v>3.9643160000000002</v>
      </c>
      <c r="F1309">
        <f t="shared" si="40"/>
        <v>-3.5037999999999681E-2</v>
      </c>
      <c r="G1309">
        <f t="shared" si="41"/>
        <v>104.7864158181191</v>
      </c>
    </row>
    <row r="1310" spans="2:7">
      <c r="B1310" t="s">
        <v>2</v>
      </c>
      <c r="C1310" s="2">
        <v>40175</v>
      </c>
      <c r="D1310" t="s">
        <v>6</v>
      </c>
      <c r="E1310">
        <v>3.9993539999999999</v>
      </c>
      <c r="F1310">
        <f t="shared" si="40"/>
        <v>5.8794999999999931E-2</v>
      </c>
      <c r="G1310">
        <f t="shared" si="41"/>
        <v>104.39941630758479</v>
      </c>
    </row>
    <row r="1311" spans="2:7">
      <c r="B1311" t="s">
        <v>2</v>
      </c>
      <c r="C1311" s="2">
        <v>40171</v>
      </c>
      <c r="D1311" t="s">
        <v>6</v>
      </c>
      <c r="E1311">
        <v>3.9405589999999999</v>
      </c>
      <c r="F1311">
        <f t="shared" si="40"/>
        <v>4.2759999999999909E-2</v>
      </c>
      <c r="G1311">
        <f t="shared" si="41"/>
        <v>103.95715186321037</v>
      </c>
    </row>
    <row r="1312" spans="2:7">
      <c r="B1312" t="s">
        <v>2</v>
      </c>
      <c r="C1312" s="2">
        <v>40170</v>
      </c>
      <c r="D1312" t="s">
        <v>6</v>
      </c>
      <c r="E1312">
        <v>3.897799</v>
      </c>
      <c r="F1312">
        <f t="shared" si="40"/>
        <v>-9.04399999999983E-3</v>
      </c>
      <c r="G1312">
        <f t="shared" si="41"/>
        <v>104.34531320762612</v>
      </c>
    </row>
    <row r="1313" spans="2:7">
      <c r="B1313" t="s">
        <v>2</v>
      </c>
      <c r="C1313" s="2">
        <v>40169</v>
      </c>
      <c r="D1313" t="s">
        <v>6</v>
      </c>
      <c r="E1313">
        <v>3.9068429999999998</v>
      </c>
      <c r="F1313">
        <f t="shared" si="40"/>
        <v>7.4168999999999929E-2</v>
      </c>
      <c r="G1313">
        <f t="shared" si="41"/>
        <v>105.43037217860716</v>
      </c>
    </row>
    <row r="1314" spans="2:7">
      <c r="B1314" t="s">
        <v>2</v>
      </c>
      <c r="C1314" s="2">
        <v>40168</v>
      </c>
      <c r="D1314" t="s">
        <v>6</v>
      </c>
      <c r="E1314">
        <v>3.8326739999999999</v>
      </c>
      <c r="F1314">
        <f t="shared" si="40"/>
        <v>0.16211399999999987</v>
      </c>
      <c r="G1314">
        <f t="shared" si="41"/>
        <v>104.99826826633556</v>
      </c>
    </row>
    <row r="1315" spans="2:7">
      <c r="B1315" t="s">
        <v>2</v>
      </c>
      <c r="C1315" s="2">
        <v>40165</v>
      </c>
      <c r="D1315" t="s">
        <v>6</v>
      </c>
      <c r="E1315">
        <v>3.67056</v>
      </c>
      <c r="F1315">
        <f t="shared" si="40"/>
        <v>4.7088000000000019E-2</v>
      </c>
      <c r="G1315">
        <f t="shared" si="41"/>
        <v>100.55511217617286</v>
      </c>
    </row>
    <row r="1316" spans="2:7">
      <c r="B1316" t="s">
        <v>2</v>
      </c>
      <c r="C1316" s="2">
        <v>40164</v>
      </c>
      <c r="D1316" t="s">
        <v>6</v>
      </c>
      <c r="E1316">
        <v>3.623472</v>
      </c>
      <c r="F1316">
        <f t="shared" si="40"/>
        <v>-0.11007800000000012</v>
      </c>
      <c r="G1316">
        <f t="shared" si="41"/>
        <v>100.26456748398911</v>
      </c>
    </row>
    <row r="1317" spans="2:7">
      <c r="B1317" t="s">
        <v>2</v>
      </c>
      <c r="C1317" s="2">
        <v>40163</v>
      </c>
      <c r="D1317" t="s">
        <v>6</v>
      </c>
      <c r="E1317">
        <v>3.7335500000000001</v>
      </c>
      <c r="F1317">
        <f t="shared" si="40"/>
        <v>-1.2361999999999984E-2</v>
      </c>
      <c r="G1317">
        <f t="shared" si="41"/>
        <v>97.799735741240582</v>
      </c>
    </row>
    <row r="1318" spans="2:7">
      <c r="B1318" t="s">
        <v>2</v>
      </c>
      <c r="C1318" s="2">
        <v>40162</v>
      </c>
      <c r="D1318" t="s">
        <v>6</v>
      </c>
      <c r="E1318">
        <v>3.7459120000000001</v>
      </c>
      <c r="F1318">
        <f t="shared" si="40"/>
        <v>7.0820000000000327E-2</v>
      </c>
      <c r="G1318">
        <f t="shared" si="41"/>
        <v>99.400685612635471</v>
      </c>
    </row>
    <row r="1319" spans="2:7">
      <c r="B1319" t="s">
        <v>2</v>
      </c>
      <c r="C1319" s="2">
        <v>40161</v>
      </c>
      <c r="D1319" t="s">
        <v>6</v>
      </c>
      <c r="E1319">
        <v>3.6750919999999998</v>
      </c>
      <c r="F1319">
        <f t="shared" si="40"/>
        <v>2.2179999999999644E-2</v>
      </c>
      <c r="G1319">
        <f t="shared" si="41"/>
        <v>99.965361120863804</v>
      </c>
    </row>
    <row r="1320" spans="2:7">
      <c r="B1320" t="s">
        <v>2</v>
      </c>
      <c r="C1320" s="2">
        <v>40158</v>
      </c>
      <c r="D1320" t="s">
        <v>6</v>
      </c>
      <c r="E1320">
        <v>3.6529120000000002</v>
      </c>
      <c r="F1320">
        <f t="shared" si="40"/>
        <v>5.9614000000000278E-2</v>
      </c>
      <c r="G1320">
        <f t="shared" si="41"/>
        <v>99.904785961614522</v>
      </c>
    </row>
    <row r="1321" spans="2:7">
      <c r="B1321" t="s">
        <v>2</v>
      </c>
      <c r="C1321" s="2">
        <v>40157</v>
      </c>
      <c r="D1321" t="s">
        <v>6</v>
      </c>
      <c r="E1321">
        <v>3.5932979999999999</v>
      </c>
      <c r="F1321">
        <f t="shared" si="40"/>
        <v>4.9573999999999785E-2</v>
      </c>
      <c r="G1321">
        <f t="shared" si="41"/>
        <v>100.10054907420295</v>
      </c>
    </row>
    <row r="1322" spans="2:7">
      <c r="B1322" t="s">
        <v>2</v>
      </c>
      <c r="C1322" s="2">
        <v>40156</v>
      </c>
      <c r="D1322" t="s">
        <v>6</v>
      </c>
      <c r="E1322">
        <v>3.5437240000000001</v>
      </c>
      <c r="F1322">
        <f t="shared" si="40"/>
        <v>2.1781000000000272E-2</v>
      </c>
      <c r="G1322">
        <f t="shared" si="41"/>
        <v>101.09344435566572</v>
      </c>
    </row>
    <row r="1323" spans="2:7">
      <c r="B1323" t="s">
        <v>2</v>
      </c>
      <c r="C1323" s="2">
        <v>40155</v>
      </c>
      <c r="D1323" t="s">
        <v>6</v>
      </c>
      <c r="E1323">
        <v>3.5219429999999998</v>
      </c>
      <c r="F1323">
        <f t="shared" si="40"/>
        <v>-7.1698000000000039E-2</v>
      </c>
      <c r="G1323">
        <f t="shared" si="41"/>
        <v>100.99847718619014</v>
      </c>
    </row>
    <row r="1324" spans="2:7">
      <c r="B1324" t="s">
        <v>2</v>
      </c>
      <c r="C1324" s="2">
        <v>40154</v>
      </c>
      <c r="D1324" t="s">
        <v>6</v>
      </c>
      <c r="E1324">
        <v>3.5936409999999999</v>
      </c>
      <c r="F1324">
        <f t="shared" si="40"/>
        <v>-2.7527000000000079E-2</v>
      </c>
      <c r="G1324">
        <f t="shared" si="41"/>
        <v>104.09153768243225</v>
      </c>
    </row>
    <row r="1325" spans="2:7">
      <c r="B1325" t="s">
        <v>2</v>
      </c>
      <c r="C1325" s="2">
        <v>40151</v>
      </c>
      <c r="D1325" t="s">
        <v>6</v>
      </c>
      <c r="E1325">
        <v>3.6211679999999999</v>
      </c>
      <c r="F1325">
        <f t="shared" si="40"/>
        <v>0.12385400000000013</v>
      </c>
      <c r="G1325">
        <f t="shared" si="41"/>
        <v>103.96373832601262</v>
      </c>
    </row>
    <row r="1326" spans="2:7">
      <c r="B1326" t="s">
        <v>2</v>
      </c>
      <c r="C1326" s="2">
        <v>40150</v>
      </c>
      <c r="D1326" t="s">
        <v>6</v>
      </c>
      <c r="E1326">
        <v>3.4973139999999998</v>
      </c>
      <c r="F1326">
        <f t="shared" si="40"/>
        <v>6.9099000000000022E-2</v>
      </c>
      <c r="G1326">
        <f t="shared" si="41"/>
        <v>100.80201706511369</v>
      </c>
    </row>
    <row r="1327" spans="2:7">
      <c r="B1327" t="s">
        <v>2</v>
      </c>
      <c r="C1327" s="2">
        <v>40149</v>
      </c>
      <c r="D1327" t="s">
        <v>6</v>
      </c>
      <c r="E1327">
        <v>3.4282149999999998</v>
      </c>
      <c r="F1327">
        <f t="shared" si="40"/>
        <v>4.9198999999999771E-2</v>
      </c>
      <c r="G1327">
        <f t="shared" si="41"/>
        <v>102.94811797009227</v>
      </c>
    </row>
    <row r="1328" spans="2:7">
      <c r="B1328" t="s">
        <v>2</v>
      </c>
      <c r="C1328" s="2">
        <v>40148</v>
      </c>
      <c r="D1328" t="s">
        <v>6</v>
      </c>
      <c r="E1328">
        <v>3.379016</v>
      </c>
      <c r="F1328">
        <f t="shared" si="40"/>
        <v>8.3988000000000174E-2</v>
      </c>
      <c r="G1328">
        <f t="shared" si="41"/>
        <v>102.61008302549652</v>
      </c>
    </row>
    <row r="1329" spans="2:7">
      <c r="B1329" t="s">
        <v>2</v>
      </c>
      <c r="C1329" s="2">
        <v>40147</v>
      </c>
      <c r="D1329" t="s">
        <v>6</v>
      </c>
      <c r="E1329">
        <v>3.2950279999999998</v>
      </c>
      <c r="F1329">
        <f t="shared" si="40"/>
        <v>-2.5650000000001505E-3</v>
      </c>
      <c r="G1329">
        <f t="shared" si="41"/>
        <v>103.0340795777681</v>
      </c>
    </row>
    <row r="1330" spans="2:7">
      <c r="B1330" t="s">
        <v>2</v>
      </c>
      <c r="C1330" s="2">
        <v>40144</v>
      </c>
      <c r="D1330" t="s">
        <v>6</v>
      </c>
      <c r="E1330">
        <v>3.297593</v>
      </c>
      <c r="F1330">
        <f t="shared" si="40"/>
        <v>-6.714500000000001E-2</v>
      </c>
      <c r="G1330">
        <f t="shared" si="41"/>
        <v>103.04863876044479</v>
      </c>
    </row>
    <row r="1331" spans="2:7">
      <c r="B1331" t="s">
        <v>2</v>
      </c>
      <c r="C1331" s="2">
        <v>40142</v>
      </c>
      <c r="D1331" t="s">
        <v>6</v>
      </c>
      <c r="E1331">
        <v>3.364738</v>
      </c>
      <c r="F1331">
        <f t="shared" si="40"/>
        <v>-5.677399999999988E-2</v>
      </c>
      <c r="G1331">
        <f t="shared" si="41"/>
        <v>103.14760829853998</v>
      </c>
    </row>
    <row r="1332" spans="2:7">
      <c r="B1332" t="s">
        <v>2</v>
      </c>
      <c r="C1332" s="2">
        <v>40141</v>
      </c>
      <c r="D1332" t="s">
        <v>6</v>
      </c>
      <c r="E1332">
        <v>3.4215119999999999</v>
      </c>
      <c r="F1332">
        <f t="shared" si="40"/>
        <v>-4.8131000000000146E-2</v>
      </c>
      <c r="G1332">
        <f t="shared" si="41"/>
        <v>102.59517859020919</v>
      </c>
    </row>
    <row r="1333" spans="2:7">
      <c r="B1333" t="s">
        <v>2</v>
      </c>
      <c r="C1333" s="2">
        <v>40140</v>
      </c>
      <c r="D1333" t="s">
        <v>6</v>
      </c>
      <c r="E1333">
        <v>3.469643</v>
      </c>
      <c r="F1333">
        <f t="shared" si="40"/>
        <v>-1.3599999999991397E-4</v>
      </c>
      <c r="G1333">
        <f t="shared" si="41"/>
        <v>102.22497082883864</v>
      </c>
    </row>
    <row r="1334" spans="2:7">
      <c r="B1334" t="s">
        <v>2</v>
      </c>
      <c r="C1334" s="2">
        <v>40137</v>
      </c>
      <c r="D1334" t="s">
        <v>6</v>
      </c>
      <c r="E1334">
        <v>3.4697789999999999</v>
      </c>
      <c r="F1334">
        <f t="shared" si="40"/>
        <v>1.5004999999999935E-2</v>
      </c>
      <c r="G1334">
        <f t="shared" si="41"/>
        <v>102.29426328178768</v>
      </c>
    </row>
    <row r="1335" spans="2:7">
      <c r="B1335" t="s">
        <v>2</v>
      </c>
      <c r="C1335" s="2">
        <v>40136</v>
      </c>
      <c r="D1335" t="s">
        <v>6</v>
      </c>
      <c r="E1335">
        <v>3.454774</v>
      </c>
      <c r="F1335">
        <f t="shared" si="40"/>
        <v>-7.1799999999999642E-4</v>
      </c>
      <c r="G1335">
        <f t="shared" si="41"/>
        <v>102.67880061422738</v>
      </c>
    </row>
    <row r="1336" spans="2:7">
      <c r="B1336" t="s">
        <v>2</v>
      </c>
      <c r="C1336" s="2">
        <v>40135</v>
      </c>
      <c r="D1336" t="s">
        <v>6</v>
      </c>
      <c r="E1336">
        <v>3.455492</v>
      </c>
      <c r="F1336">
        <f t="shared" si="40"/>
        <v>5.3068000000000115E-2</v>
      </c>
      <c r="G1336">
        <f t="shared" si="41"/>
        <v>103.23860802155413</v>
      </c>
    </row>
    <row r="1337" spans="2:7">
      <c r="B1337" t="s">
        <v>2</v>
      </c>
      <c r="C1337" s="2">
        <v>40134</v>
      </c>
      <c r="D1337" t="s">
        <v>6</v>
      </c>
      <c r="E1337">
        <v>3.4024239999999999</v>
      </c>
      <c r="F1337">
        <f t="shared" si="40"/>
        <v>-1.7924999999999969E-2</v>
      </c>
      <c r="G1337">
        <f t="shared" si="41"/>
        <v>106.51971925023889</v>
      </c>
    </row>
    <row r="1338" spans="2:7">
      <c r="B1338" t="s">
        <v>2</v>
      </c>
      <c r="C1338" s="2">
        <v>40133</v>
      </c>
      <c r="D1338" t="s">
        <v>6</v>
      </c>
      <c r="E1338">
        <v>3.4203489999999999</v>
      </c>
      <c r="F1338">
        <f t="shared" si="40"/>
        <v>-0.12098500000000012</v>
      </c>
      <c r="G1338">
        <f t="shared" si="41"/>
        <v>106.72391468309858</v>
      </c>
    </row>
    <row r="1339" spans="2:7">
      <c r="B1339" t="s">
        <v>2</v>
      </c>
      <c r="C1339" s="2">
        <v>40130</v>
      </c>
      <c r="D1339" t="s">
        <v>6</v>
      </c>
      <c r="E1339">
        <v>3.541334</v>
      </c>
      <c r="F1339">
        <f t="shared" si="40"/>
        <v>-1.1382999999999921E-2</v>
      </c>
      <c r="G1339">
        <f t="shared" si="41"/>
        <v>104.67204324213002</v>
      </c>
    </row>
    <row r="1340" spans="2:7">
      <c r="B1340" t="s">
        <v>2</v>
      </c>
      <c r="C1340" s="2">
        <v>40129</v>
      </c>
      <c r="D1340" t="s">
        <v>6</v>
      </c>
      <c r="E1340">
        <v>3.5527169999999999</v>
      </c>
      <c r="F1340">
        <f t="shared" si="40"/>
        <v>-6.4975000000000005E-2</v>
      </c>
      <c r="G1340">
        <f t="shared" si="41"/>
        <v>105.94995200910154</v>
      </c>
    </row>
    <row r="1341" spans="2:7">
      <c r="B1341" t="s">
        <v>2</v>
      </c>
      <c r="C1341" s="2">
        <v>40127</v>
      </c>
      <c r="D1341" t="s">
        <v>6</v>
      </c>
      <c r="E1341">
        <v>3.6176919999999999</v>
      </c>
      <c r="F1341">
        <f t="shared" si="40"/>
        <v>-1.3133000000000283E-2</v>
      </c>
      <c r="G1341">
        <f t="shared" si="41"/>
        <v>106.04607097501196</v>
      </c>
    </row>
    <row r="1342" spans="2:7">
      <c r="B1342" t="s">
        <v>2</v>
      </c>
      <c r="C1342" s="2">
        <v>40126</v>
      </c>
      <c r="D1342" t="s">
        <v>6</v>
      </c>
      <c r="E1342">
        <v>3.6308250000000002</v>
      </c>
      <c r="F1342">
        <f t="shared" si="40"/>
        <v>-3.0689999999999884E-2</v>
      </c>
      <c r="G1342">
        <f t="shared" si="41"/>
        <v>106.27612005405037</v>
      </c>
    </row>
    <row r="1343" spans="2:7">
      <c r="B1343" t="s">
        <v>2</v>
      </c>
      <c r="C1343" s="2">
        <v>40123</v>
      </c>
      <c r="D1343" t="s">
        <v>6</v>
      </c>
      <c r="E1343">
        <v>3.6615150000000001</v>
      </c>
      <c r="F1343">
        <f t="shared" si="40"/>
        <v>-3.3167999999999864E-2</v>
      </c>
      <c r="G1343">
        <f t="shared" si="41"/>
        <v>109.99885198492805</v>
      </c>
    </row>
    <row r="1344" spans="2:7">
      <c r="B1344" t="s">
        <v>2</v>
      </c>
      <c r="C1344" s="2">
        <v>40122</v>
      </c>
      <c r="D1344" t="s">
        <v>6</v>
      </c>
      <c r="E1344">
        <v>3.6946829999999999</v>
      </c>
      <c r="F1344">
        <f t="shared" si="40"/>
        <v>-1.7946999999999935E-2</v>
      </c>
      <c r="G1344">
        <f t="shared" si="41"/>
        <v>109.89360652886451</v>
      </c>
    </row>
    <row r="1345" spans="2:7">
      <c r="B1345" t="s">
        <v>2</v>
      </c>
      <c r="C1345" s="2">
        <v>40121</v>
      </c>
      <c r="D1345" t="s">
        <v>6</v>
      </c>
      <c r="E1345">
        <v>3.7126299999999999</v>
      </c>
      <c r="F1345">
        <f t="shared" si="40"/>
        <v>6.1680999999999653E-2</v>
      </c>
      <c r="G1345">
        <f t="shared" si="41"/>
        <v>111.82494839486455</v>
      </c>
    </row>
    <row r="1346" spans="2:7">
      <c r="B1346" t="s">
        <v>2</v>
      </c>
      <c r="C1346" s="2">
        <v>40120</v>
      </c>
      <c r="D1346" t="s">
        <v>6</v>
      </c>
      <c r="E1346">
        <v>3.6509490000000002</v>
      </c>
      <c r="F1346">
        <f t="shared" si="40"/>
        <v>4.8716000000000204E-2</v>
      </c>
      <c r="G1346">
        <f t="shared" si="41"/>
        <v>112.49496372886227</v>
      </c>
    </row>
    <row r="1347" spans="2:7">
      <c r="B1347" t="s">
        <v>2</v>
      </c>
      <c r="C1347" s="2">
        <v>40119</v>
      </c>
      <c r="D1347" t="s">
        <v>6</v>
      </c>
      <c r="E1347">
        <v>3.602233</v>
      </c>
      <c r="F1347">
        <f t="shared" ref="F1347:F1410" si="42">E1347-E1348</f>
        <v>4.1478000000000126E-2</v>
      </c>
      <c r="G1347">
        <f t="shared" ref="G1347:G1410" si="43">STDEV(F1347:F1406)*SQRT(250)*100</f>
        <v>116.39037044451376</v>
      </c>
    </row>
    <row r="1348" spans="2:7">
      <c r="B1348" t="s">
        <v>2</v>
      </c>
      <c r="C1348" s="2">
        <v>40116</v>
      </c>
      <c r="D1348" t="s">
        <v>6</v>
      </c>
      <c r="E1348">
        <v>3.5607549999999999</v>
      </c>
      <c r="F1348">
        <f t="shared" si="42"/>
        <v>-0.10535300000000003</v>
      </c>
      <c r="G1348">
        <f t="shared" si="43"/>
        <v>115.97872296420047</v>
      </c>
    </row>
    <row r="1349" spans="2:7">
      <c r="B1349" t="s">
        <v>2</v>
      </c>
      <c r="C1349" s="2">
        <v>40115</v>
      </c>
      <c r="D1349" t="s">
        <v>6</v>
      </c>
      <c r="E1349">
        <v>3.6661079999999999</v>
      </c>
      <c r="F1349">
        <f t="shared" si="42"/>
        <v>8.3328999999999986E-2</v>
      </c>
      <c r="G1349">
        <f t="shared" si="43"/>
        <v>116.45232262319266</v>
      </c>
    </row>
    <row r="1350" spans="2:7">
      <c r="B1350" t="s">
        <v>2</v>
      </c>
      <c r="C1350" s="2">
        <v>40114</v>
      </c>
      <c r="D1350" t="s">
        <v>6</v>
      </c>
      <c r="E1350">
        <v>3.5827789999999999</v>
      </c>
      <c r="F1350">
        <f t="shared" si="42"/>
        <v>-5.7512000000000008E-2</v>
      </c>
      <c r="G1350">
        <f t="shared" si="43"/>
        <v>115.21556686308455</v>
      </c>
    </row>
    <row r="1351" spans="2:7">
      <c r="B1351" t="s">
        <v>2</v>
      </c>
      <c r="C1351" s="2">
        <v>40113</v>
      </c>
      <c r="D1351" t="s">
        <v>6</v>
      </c>
      <c r="E1351">
        <v>3.6402909999999999</v>
      </c>
      <c r="F1351">
        <f t="shared" si="42"/>
        <v>-9.6616000000000035E-2</v>
      </c>
      <c r="G1351">
        <f t="shared" si="43"/>
        <v>119.4900128471018</v>
      </c>
    </row>
    <row r="1352" spans="2:7">
      <c r="B1352" t="s">
        <v>2</v>
      </c>
      <c r="C1352" s="2">
        <v>40112</v>
      </c>
      <c r="D1352" t="s">
        <v>6</v>
      </c>
      <c r="E1352">
        <v>3.736907</v>
      </c>
      <c r="F1352">
        <f t="shared" si="42"/>
        <v>8.8985999999999787E-2</v>
      </c>
      <c r="G1352">
        <f t="shared" si="43"/>
        <v>121.77856519703467</v>
      </c>
    </row>
    <row r="1353" spans="2:7">
      <c r="B1353" t="s">
        <v>2</v>
      </c>
      <c r="C1353" s="2">
        <v>40109</v>
      </c>
      <c r="D1353" t="s">
        <v>6</v>
      </c>
      <c r="E1353">
        <v>3.6479210000000002</v>
      </c>
      <c r="F1353">
        <f t="shared" si="42"/>
        <v>4.8223000000000127E-2</v>
      </c>
      <c r="G1353">
        <f t="shared" si="43"/>
        <v>120.35896178610088</v>
      </c>
    </row>
    <row r="1354" spans="2:7">
      <c r="B1354" t="s">
        <v>2</v>
      </c>
      <c r="C1354" s="2">
        <v>40108</v>
      </c>
      <c r="D1354" t="s">
        <v>6</v>
      </c>
      <c r="E1354">
        <v>3.5996980000000001</v>
      </c>
      <c r="F1354">
        <f t="shared" si="42"/>
        <v>1.5054000000000123E-2</v>
      </c>
      <c r="G1354">
        <f t="shared" si="43"/>
        <v>119.8664598136604</v>
      </c>
    </row>
    <row r="1355" spans="2:7">
      <c r="B1355" t="s">
        <v>2</v>
      </c>
      <c r="C1355" s="2">
        <v>40107</v>
      </c>
      <c r="D1355" t="s">
        <v>6</v>
      </c>
      <c r="E1355">
        <v>3.5846439999999999</v>
      </c>
      <c r="F1355">
        <f t="shared" si="42"/>
        <v>7.4931999999999999E-2</v>
      </c>
      <c r="G1355">
        <f t="shared" si="43"/>
        <v>119.91677599637043</v>
      </c>
    </row>
    <row r="1356" spans="2:7">
      <c r="B1356" t="s">
        <v>2</v>
      </c>
      <c r="C1356" s="2">
        <v>40106</v>
      </c>
      <c r="D1356" t="s">
        <v>6</v>
      </c>
      <c r="E1356">
        <v>3.5097119999999999</v>
      </c>
      <c r="F1356">
        <f t="shared" si="42"/>
        <v>-6.3518999999999881E-2</v>
      </c>
      <c r="G1356">
        <f t="shared" si="43"/>
        <v>119.27387837771516</v>
      </c>
    </row>
    <row r="1357" spans="2:7">
      <c r="B1357" t="s">
        <v>2</v>
      </c>
      <c r="C1357" s="2">
        <v>40105</v>
      </c>
      <c r="D1357" t="s">
        <v>6</v>
      </c>
      <c r="E1357">
        <v>3.5732309999999998</v>
      </c>
      <c r="F1357">
        <f t="shared" si="42"/>
        <v>-2.8856000000000215E-2</v>
      </c>
      <c r="G1357">
        <f t="shared" si="43"/>
        <v>119.17837701757125</v>
      </c>
    </row>
    <row r="1358" spans="2:7">
      <c r="B1358" t="s">
        <v>2</v>
      </c>
      <c r="C1358" s="2">
        <v>40102</v>
      </c>
      <c r="D1358" t="s">
        <v>6</v>
      </c>
      <c r="E1358">
        <v>3.602087</v>
      </c>
      <c r="F1358">
        <f t="shared" si="42"/>
        <v>-4.3991999999999809E-2</v>
      </c>
      <c r="G1358">
        <f t="shared" si="43"/>
        <v>126.03741779149557</v>
      </c>
    </row>
    <row r="1359" spans="2:7">
      <c r="B1359" t="s">
        <v>2</v>
      </c>
      <c r="C1359" s="2">
        <v>40101</v>
      </c>
      <c r="D1359" t="s">
        <v>6</v>
      </c>
      <c r="E1359">
        <v>3.6460789999999998</v>
      </c>
      <c r="F1359">
        <f t="shared" si="42"/>
        <v>5.5437999999999654E-2</v>
      </c>
      <c r="G1359">
        <f t="shared" si="43"/>
        <v>126.81549751812855</v>
      </c>
    </row>
    <row r="1360" spans="2:7">
      <c r="B1360" t="s">
        <v>2</v>
      </c>
      <c r="C1360" s="2">
        <v>40100</v>
      </c>
      <c r="D1360" t="s">
        <v>6</v>
      </c>
      <c r="E1360">
        <v>3.5906410000000002</v>
      </c>
      <c r="F1360">
        <f t="shared" si="42"/>
        <v>0.10940400000000006</v>
      </c>
      <c r="G1360">
        <f t="shared" si="43"/>
        <v>129.61698292815481</v>
      </c>
    </row>
    <row r="1361" spans="2:7">
      <c r="B1361" t="s">
        <v>2</v>
      </c>
      <c r="C1361" s="2">
        <v>40099</v>
      </c>
      <c r="D1361" t="s">
        <v>6</v>
      </c>
      <c r="E1361">
        <v>3.4812370000000001</v>
      </c>
      <c r="F1361">
        <f t="shared" si="42"/>
        <v>-7.1256999999999682E-2</v>
      </c>
      <c r="G1361">
        <f t="shared" si="43"/>
        <v>127.97644036121466</v>
      </c>
    </row>
    <row r="1362" spans="2:7">
      <c r="B1362" t="s">
        <v>2</v>
      </c>
      <c r="C1362" s="2">
        <v>40095</v>
      </c>
      <c r="D1362" t="s">
        <v>6</v>
      </c>
      <c r="E1362">
        <v>3.5524939999999998</v>
      </c>
      <c r="F1362">
        <f t="shared" si="42"/>
        <v>0.14811699999999961</v>
      </c>
      <c r="G1362">
        <f t="shared" si="43"/>
        <v>129.32574854350921</v>
      </c>
    </row>
    <row r="1363" spans="2:7">
      <c r="B1363" t="s">
        <v>2</v>
      </c>
      <c r="C1363" s="2">
        <v>40094</v>
      </c>
      <c r="D1363" t="s">
        <v>6</v>
      </c>
      <c r="E1363">
        <v>3.4043770000000002</v>
      </c>
      <c r="F1363">
        <f t="shared" si="42"/>
        <v>6.196299999999999E-2</v>
      </c>
      <c r="G1363">
        <f t="shared" si="43"/>
        <v>125.98169606231124</v>
      </c>
    </row>
    <row r="1364" spans="2:7">
      <c r="B1364" t="s">
        <v>2</v>
      </c>
      <c r="C1364" s="2">
        <v>40093</v>
      </c>
      <c r="D1364" t="s">
        <v>6</v>
      </c>
      <c r="E1364">
        <v>3.3424140000000002</v>
      </c>
      <c r="F1364">
        <f t="shared" si="42"/>
        <v>-7.4409999999999865E-2</v>
      </c>
      <c r="G1364">
        <f t="shared" si="43"/>
        <v>130.78839223784465</v>
      </c>
    </row>
    <row r="1365" spans="2:7">
      <c r="B1365" t="s">
        <v>2</v>
      </c>
      <c r="C1365" s="2">
        <v>40092</v>
      </c>
      <c r="D1365" t="s">
        <v>6</v>
      </c>
      <c r="E1365">
        <v>3.4168240000000001</v>
      </c>
      <c r="F1365">
        <f t="shared" si="42"/>
        <v>2.4720999999999993E-2</v>
      </c>
      <c r="G1365">
        <f t="shared" si="43"/>
        <v>132.50792841219118</v>
      </c>
    </row>
    <row r="1366" spans="2:7">
      <c r="B1366" t="s">
        <v>2</v>
      </c>
      <c r="C1366" s="2">
        <v>40091</v>
      </c>
      <c r="D1366" t="s">
        <v>6</v>
      </c>
      <c r="E1366">
        <v>3.3921030000000001</v>
      </c>
      <c r="F1366">
        <f t="shared" si="42"/>
        <v>1.3942000000000121E-2</v>
      </c>
      <c r="G1366">
        <f t="shared" si="43"/>
        <v>133.24763194651189</v>
      </c>
    </row>
    <row r="1367" spans="2:7">
      <c r="B1367" t="s">
        <v>2</v>
      </c>
      <c r="C1367" s="2">
        <v>40088</v>
      </c>
      <c r="D1367" t="s">
        <v>6</v>
      </c>
      <c r="E1367">
        <v>3.378161</v>
      </c>
      <c r="F1367">
        <f t="shared" si="42"/>
        <v>4.2086999999999986E-2</v>
      </c>
      <c r="G1367">
        <f t="shared" si="43"/>
        <v>135.03487479934785</v>
      </c>
    </row>
    <row r="1368" spans="2:7">
      <c r="B1368" t="s">
        <v>2</v>
      </c>
      <c r="C1368" s="2">
        <v>40087</v>
      </c>
      <c r="D1368" t="s">
        <v>6</v>
      </c>
      <c r="E1368">
        <v>3.336074</v>
      </c>
      <c r="F1368">
        <f t="shared" si="42"/>
        <v>-0.11306899999999986</v>
      </c>
      <c r="G1368">
        <f t="shared" si="43"/>
        <v>137.20063269133982</v>
      </c>
    </row>
    <row r="1369" spans="2:7">
      <c r="B1369" t="s">
        <v>2</v>
      </c>
      <c r="C1369" s="2">
        <v>40086</v>
      </c>
      <c r="D1369" t="s">
        <v>6</v>
      </c>
      <c r="E1369">
        <v>3.4491429999999998</v>
      </c>
      <c r="F1369">
        <f t="shared" si="42"/>
        <v>1.4346999999999888E-2</v>
      </c>
      <c r="G1369">
        <f t="shared" si="43"/>
        <v>140.89769173698596</v>
      </c>
    </row>
    <row r="1370" spans="2:7">
      <c r="B1370" t="s">
        <v>2</v>
      </c>
      <c r="C1370" s="2">
        <v>40085</v>
      </c>
      <c r="D1370" t="s">
        <v>6</v>
      </c>
      <c r="E1370">
        <v>3.434796</v>
      </c>
      <c r="F1370">
        <f t="shared" si="42"/>
        <v>-9.056000000000175E-3</v>
      </c>
      <c r="G1370">
        <f t="shared" si="43"/>
        <v>141.28602660869248</v>
      </c>
    </row>
    <row r="1371" spans="2:7">
      <c r="B1371" t="s">
        <v>2</v>
      </c>
      <c r="C1371" s="2">
        <v>40084</v>
      </c>
      <c r="D1371" t="s">
        <v>6</v>
      </c>
      <c r="E1371">
        <v>3.4438520000000001</v>
      </c>
      <c r="F1371">
        <f t="shared" si="42"/>
        <v>-4.8610000000000042E-2</v>
      </c>
      <c r="G1371">
        <f t="shared" si="43"/>
        <v>141.28348476103795</v>
      </c>
    </row>
    <row r="1372" spans="2:7">
      <c r="B1372" t="s">
        <v>2</v>
      </c>
      <c r="C1372" s="2">
        <v>40081</v>
      </c>
      <c r="D1372" t="s">
        <v>6</v>
      </c>
      <c r="E1372">
        <v>3.4924620000000002</v>
      </c>
      <c r="F1372">
        <f t="shared" si="42"/>
        <v>-6.8613999999999731E-2</v>
      </c>
      <c r="G1372">
        <f t="shared" si="43"/>
        <v>141.56303442716242</v>
      </c>
    </row>
    <row r="1373" spans="2:7">
      <c r="B1373" t="s">
        <v>2</v>
      </c>
      <c r="C1373" s="2">
        <v>40080</v>
      </c>
      <c r="D1373" t="s">
        <v>6</v>
      </c>
      <c r="E1373">
        <v>3.5610759999999999</v>
      </c>
      <c r="F1373">
        <f t="shared" si="42"/>
        <v>-4.6943999999999875E-2</v>
      </c>
      <c r="G1373">
        <f t="shared" si="43"/>
        <v>140.96777156158615</v>
      </c>
    </row>
    <row r="1374" spans="2:7">
      <c r="B1374" t="s">
        <v>2</v>
      </c>
      <c r="C1374" s="2">
        <v>40079</v>
      </c>
      <c r="D1374" t="s">
        <v>6</v>
      </c>
      <c r="E1374">
        <v>3.6080199999999998</v>
      </c>
      <c r="F1374">
        <f t="shared" si="42"/>
        <v>-6.2336000000000169E-2</v>
      </c>
      <c r="G1374">
        <f t="shared" si="43"/>
        <v>141.29082671902771</v>
      </c>
    </row>
    <row r="1375" spans="2:7">
      <c r="B1375" t="s">
        <v>2</v>
      </c>
      <c r="C1375" s="2">
        <v>40078</v>
      </c>
      <c r="D1375" t="s">
        <v>6</v>
      </c>
      <c r="E1375">
        <v>3.670356</v>
      </c>
      <c r="F1375">
        <f t="shared" si="42"/>
        <v>-3.0667999999999918E-2</v>
      </c>
      <c r="G1375">
        <f t="shared" si="43"/>
        <v>140.73019179654557</v>
      </c>
    </row>
    <row r="1376" spans="2:7">
      <c r="B1376" t="s">
        <v>2</v>
      </c>
      <c r="C1376" s="2">
        <v>40077</v>
      </c>
      <c r="D1376" t="s">
        <v>6</v>
      </c>
      <c r="E1376">
        <v>3.7010239999999999</v>
      </c>
      <c r="F1376">
        <f t="shared" si="42"/>
        <v>2.3401999999999923E-2</v>
      </c>
      <c r="G1376">
        <f t="shared" si="43"/>
        <v>141.120054746851</v>
      </c>
    </row>
    <row r="1377" spans="2:7">
      <c r="B1377" t="s">
        <v>2</v>
      </c>
      <c r="C1377" s="2">
        <v>40074</v>
      </c>
      <c r="D1377" t="s">
        <v>6</v>
      </c>
      <c r="E1377">
        <v>3.6776219999999999</v>
      </c>
      <c r="F1377">
        <f t="shared" si="42"/>
        <v>8.9246999999999854E-2</v>
      </c>
      <c r="G1377">
        <f t="shared" si="43"/>
        <v>144.78674219499749</v>
      </c>
    </row>
    <row r="1378" spans="2:7">
      <c r="B1378" t="s">
        <v>2</v>
      </c>
      <c r="C1378" s="2">
        <v>40073</v>
      </c>
      <c r="D1378" t="s">
        <v>6</v>
      </c>
      <c r="E1378">
        <v>3.5883750000000001</v>
      </c>
      <c r="F1378">
        <f t="shared" si="42"/>
        <v>-8.5198000000000107E-2</v>
      </c>
      <c r="G1378">
        <f t="shared" si="43"/>
        <v>143.79011593411676</v>
      </c>
    </row>
    <row r="1379" spans="2:7">
      <c r="B1379" t="s">
        <v>2</v>
      </c>
      <c r="C1379" s="2">
        <v>40072</v>
      </c>
      <c r="D1379" t="s">
        <v>6</v>
      </c>
      <c r="E1379">
        <v>3.6735730000000002</v>
      </c>
      <c r="F1379">
        <f t="shared" si="42"/>
        <v>1.4382000000000339E-2</v>
      </c>
      <c r="G1379">
        <f t="shared" si="43"/>
        <v>143.20840361378993</v>
      </c>
    </row>
    <row r="1380" spans="2:7">
      <c r="B1380" t="s">
        <v>2</v>
      </c>
      <c r="C1380" s="2">
        <v>40071</v>
      </c>
      <c r="D1380" t="s">
        <v>6</v>
      </c>
      <c r="E1380">
        <v>3.6591909999999999</v>
      </c>
      <c r="F1380">
        <f t="shared" si="42"/>
        <v>6.691199999999986E-2</v>
      </c>
      <c r="G1380">
        <f t="shared" si="43"/>
        <v>144.64404147968298</v>
      </c>
    </row>
    <row r="1381" spans="2:7">
      <c r="B1381" t="s">
        <v>2</v>
      </c>
      <c r="C1381" s="2">
        <v>40070</v>
      </c>
      <c r="D1381" t="s">
        <v>6</v>
      </c>
      <c r="E1381">
        <v>3.592279</v>
      </c>
      <c r="F1381">
        <f t="shared" si="42"/>
        <v>8.4817000000000142E-2</v>
      </c>
      <c r="G1381">
        <f t="shared" si="43"/>
        <v>143.93194299557069</v>
      </c>
    </row>
    <row r="1382" spans="2:7">
      <c r="B1382" t="s">
        <v>2</v>
      </c>
      <c r="C1382" s="2">
        <v>40067</v>
      </c>
      <c r="D1382" t="s">
        <v>6</v>
      </c>
      <c r="E1382">
        <v>3.5074619999999999</v>
      </c>
      <c r="F1382">
        <f t="shared" si="42"/>
        <v>-1.5350000000000641E-3</v>
      </c>
      <c r="G1382">
        <f t="shared" si="43"/>
        <v>151.49822940907501</v>
      </c>
    </row>
    <row r="1383" spans="2:7">
      <c r="B1383" t="s">
        <v>2</v>
      </c>
      <c r="C1383" s="2">
        <v>40066</v>
      </c>
      <c r="D1383" t="s">
        <v>6</v>
      </c>
      <c r="E1383">
        <v>3.5089969999999999</v>
      </c>
      <c r="F1383">
        <f t="shared" si="42"/>
        <v>-0.14199800000000007</v>
      </c>
      <c r="G1383">
        <f t="shared" si="43"/>
        <v>151.81411672330299</v>
      </c>
    </row>
    <row r="1384" spans="2:7">
      <c r="B1384" t="s">
        <v>2</v>
      </c>
      <c r="C1384" s="2">
        <v>40065</v>
      </c>
      <c r="D1384" t="s">
        <v>6</v>
      </c>
      <c r="E1384">
        <v>3.650995</v>
      </c>
      <c r="F1384">
        <f t="shared" si="42"/>
        <v>-1.0098000000000162E-2</v>
      </c>
      <c r="G1384">
        <f t="shared" si="43"/>
        <v>149.65054000041067</v>
      </c>
    </row>
    <row r="1385" spans="2:7">
      <c r="B1385" t="s">
        <v>2</v>
      </c>
      <c r="C1385" s="2">
        <v>40064</v>
      </c>
      <c r="D1385" t="s">
        <v>6</v>
      </c>
      <c r="E1385">
        <v>3.6610930000000002</v>
      </c>
      <c r="F1385">
        <f t="shared" si="42"/>
        <v>1.9522999999999957E-2</v>
      </c>
      <c r="G1385">
        <f t="shared" si="43"/>
        <v>151.3754986451965</v>
      </c>
    </row>
    <row r="1386" spans="2:7">
      <c r="B1386" t="s">
        <v>2</v>
      </c>
      <c r="C1386" s="2">
        <v>40060</v>
      </c>
      <c r="D1386" t="s">
        <v>6</v>
      </c>
      <c r="E1386">
        <v>3.6415700000000002</v>
      </c>
      <c r="F1386">
        <f t="shared" si="42"/>
        <v>0.1220100000000004</v>
      </c>
      <c r="G1386">
        <f t="shared" si="43"/>
        <v>153.75712992521107</v>
      </c>
    </row>
    <row r="1387" spans="2:7">
      <c r="B1387" t="s">
        <v>2</v>
      </c>
      <c r="C1387" s="2">
        <v>40059</v>
      </c>
      <c r="D1387" t="s">
        <v>6</v>
      </c>
      <c r="E1387">
        <v>3.5195599999999998</v>
      </c>
      <c r="F1387">
        <f t="shared" si="42"/>
        <v>2.9128999999999738E-2</v>
      </c>
      <c r="G1387">
        <f t="shared" si="43"/>
        <v>152.895757792382</v>
      </c>
    </row>
    <row r="1388" spans="2:7">
      <c r="B1388" t="s">
        <v>2</v>
      </c>
      <c r="C1388" s="2">
        <v>40058</v>
      </c>
      <c r="D1388" t="s">
        <v>6</v>
      </c>
      <c r="E1388">
        <v>3.4904310000000001</v>
      </c>
      <c r="F1388">
        <f t="shared" si="42"/>
        <v>-0.10187100000000004</v>
      </c>
      <c r="G1388">
        <f t="shared" si="43"/>
        <v>154.75239226347463</v>
      </c>
    </row>
    <row r="1389" spans="2:7">
      <c r="B1389" t="s">
        <v>2</v>
      </c>
      <c r="C1389" s="2">
        <v>40057</v>
      </c>
      <c r="D1389" t="s">
        <v>6</v>
      </c>
      <c r="E1389">
        <v>3.5923020000000001</v>
      </c>
      <c r="F1389">
        <f t="shared" si="42"/>
        <v>-1.3821999999999779E-2</v>
      </c>
      <c r="G1389">
        <f t="shared" si="43"/>
        <v>154.93069670522021</v>
      </c>
    </row>
    <row r="1390" spans="2:7">
      <c r="B1390" t="s">
        <v>2</v>
      </c>
      <c r="C1390" s="2">
        <v>40056</v>
      </c>
      <c r="D1390" t="s">
        <v>6</v>
      </c>
      <c r="E1390">
        <v>3.6061239999999999</v>
      </c>
      <c r="F1390">
        <f t="shared" si="42"/>
        <v>-7.0915999999999979E-2</v>
      </c>
      <c r="G1390">
        <f t="shared" si="43"/>
        <v>156.61920000063515</v>
      </c>
    </row>
    <row r="1391" spans="2:7">
      <c r="B1391" t="s">
        <v>2</v>
      </c>
      <c r="C1391" s="2">
        <v>40053</v>
      </c>
      <c r="D1391" t="s">
        <v>6</v>
      </c>
      <c r="E1391">
        <v>3.6770399999999999</v>
      </c>
      <c r="F1391">
        <f t="shared" si="42"/>
        <v>-9.0710000000000512E-3</v>
      </c>
      <c r="G1391">
        <f t="shared" si="43"/>
        <v>160.88058412229563</v>
      </c>
    </row>
    <row r="1392" spans="2:7">
      <c r="B1392" t="s">
        <v>2</v>
      </c>
      <c r="C1392" s="2">
        <v>40052</v>
      </c>
      <c r="D1392" t="s">
        <v>6</v>
      </c>
      <c r="E1392">
        <v>3.6861109999999999</v>
      </c>
      <c r="F1392">
        <f t="shared" si="42"/>
        <v>8.8629999999998432E-3</v>
      </c>
      <c r="G1392">
        <f t="shared" si="43"/>
        <v>166.84416611725314</v>
      </c>
    </row>
    <row r="1393" spans="2:7">
      <c r="B1393" t="s">
        <v>2</v>
      </c>
      <c r="C1393" s="2">
        <v>40051</v>
      </c>
      <c r="D1393" t="s">
        <v>6</v>
      </c>
      <c r="E1393">
        <v>3.6772480000000001</v>
      </c>
      <c r="F1393">
        <f t="shared" si="42"/>
        <v>-2.2266000000000119E-2</v>
      </c>
      <c r="G1393">
        <f t="shared" si="43"/>
        <v>168.9042131009821</v>
      </c>
    </row>
    <row r="1394" spans="2:7">
      <c r="B1394" t="s">
        <v>2</v>
      </c>
      <c r="C1394" s="2">
        <v>40050</v>
      </c>
      <c r="D1394" t="s">
        <v>6</v>
      </c>
      <c r="E1394">
        <v>3.6995140000000002</v>
      </c>
      <c r="F1394">
        <f t="shared" si="42"/>
        <v>-5.167199999999994E-2</v>
      </c>
      <c r="G1394">
        <f t="shared" si="43"/>
        <v>169.31118030445256</v>
      </c>
    </row>
    <row r="1395" spans="2:7">
      <c r="B1395" t="s">
        <v>2</v>
      </c>
      <c r="C1395" s="2">
        <v>40049</v>
      </c>
      <c r="D1395" t="s">
        <v>6</v>
      </c>
      <c r="E1395">
        <v>3.7511860000000001</v>
      </c>
      <c r="F1395">
        <f t="shared" si="42"/>
        <v>-5.7784999999999975E-2</v>
      </c>
      <c r="G1395">
        <f t="shared" si="43"/>
        <v>186.43957254981166</v>
      </c>
    </row>
    <row r="1396" spans="2:7">
      <c r="B1396" t="s">
        <v>2</v>
      </c>
      <c r="C1396" s="2">
        <v>40046</v>
      </c>
      <c r="D1396" t="s">
        <v>6</v>
      </c>
      <c r="E1396">
        <v>3.8089710000000001</v>
      </c>
      <c r="F1396">
        <f t="shared" si="42"/>
        <v>0.13492900000000008</v>
      </c>
      <c r="G1396">
        <f t="shared" si="43"/>
        <v>196.82942613564953</v>
      </c>
    </row>
    <row r="1397" spans="2:7">
      <c r="B1397" t="s">
        <v>2</v>
      </c>
      <c r="C1397" s="2">
        <v>40045</v>
      </c>
      <c r="D1397" t="s">
        <v>6</v>
      </c>
      <c r="E1397">
        <v>3.674042</v>
      </c>
      <c r="F1397">
        <f t="shared" si="42"/>
        <v>-3.938100000000011E-2</v>
      </c>
      <c r="G1397">
        <f t="shared" si="43"/>
        <v>194.80823057067062</v>
      </c>
    </row>
    <row r="1398" spans="2:7">
      <c r="B1398" t="s">
        <v>2</v>
      </c>
      <c r="C1398" s="2">
        <v>40044</v>
      </c>
      <c r="D1398" t="s">
        <v>6</v>
      </c>
      <c r="E1398">
        <v>3.7134230000000001</v>
      </c>
      <c r="F1398">
        <f t="shared" si="42"/>
        <v>-6.2329999999999774E-2</v>
      </c>
      <c r="G1398">
        <f t="shared" si="43"/>
        <v>206.75021141376271</v>
      </c>
    </row>
    <row r="1399" spans="2:7">
      <c r="B1399" t="s">
        <v>2</v>
      </c>
      <c r="C1399" s="2">
        <v>40043</v>
      </c>
      <c r="D1399" t="s">
        <v>6</v>
      </c>
      <c r="E1399">
        <v>3.7757529999999999</v>
      </c>
      <c r="F1399">
        <f t="shared" si="42"/>
        <v>7.695099999999977E-2</v>
      </c>
      <c r="G1399">
        <f t="shared" si="43"/>
        <v>206.67173574289984</v>
      </c>
    </row>
    <row r="1400" spans="2:7">
      <c r="B1400" t="s">
        <v>2</v>
      </c>
      <c r="C1400" s="2">
        <v>40042</v>
      </c>
      <c r="D1400" t="s">
        <v>6</v>
      </c>
      <c r="E1400">
        <v>3.6988020000000001</v>
      </c>
      <c r="F1400">
        <f t="shared" si="42"/>
        <v>-6.8709999999999827E-2</v>
      </c>
      <c r="G1400">
        <f t="shared" si="43"/>
        <v>207.98829137638683</v>
      </c>
    </row>
    <row r="1401" spans="2:7">
      <c r="B1401" t="s">
        <v>2</v>
      </c>
      <c r="C1401" s="2">
        <v>40039</v>
      </c>
      <c r="D1401" t="s">
        <v>6</v>
      </c>
      <c r="E1401">
        <v>3.767512</v>
      </c>
      <c r="F1401">
        <f t="shared" si="42"/>
        <v>-3.8222999999999896E-2</v>
      </c>
      <c r="G1401">
        <f t="shared" si="43"/>
        <v>209.93401079456797</v>
      </c>
    </row>
    <row r="1402" spans="2:7">
      <c r="B1402" t="s">
        <v>2</v>
      </c>
      <c r="C1402" s="2">
        <v>40038</v>
      </c>
      <c r="D1402" t="s">
        <v>6</v>
      </c>
      <c r="E1402">
        <v>3.8057349999999999</v>
      </c>
      <c r="F1402">
        <f t="shared" si="42"/>
        <v>-0.14429300000000023</v>
      </c>
      <c r="G1402">
        <f t="shared" si="43"/>
        <v>209.84635158643505</v>
      </c>
    </row>
    <row r="1403" spans="2:7">
      <c r="B1403" t="s">
        <v>2</v>
      </c>
      <c r="C1403" s="2">
        <v>40037</v>
      </c>
      <c r="D1403" t="s">
        <v>6</v>
      </c>
      <c r="E1403">
        <v>3.9500280000000001</v>
      </c>
      <c r="F1403">
        <f t="shared" si="42"/>
        <v>-2.095099999999972E-2</v>
      </c>
      <c r="G1403">
        <f t="shared" si="43"/>
        <v>207.47905341474481</v>
      </c>
    </row>
    <row r="1404" spans="2:7">
      <c r="B1404" t="s">
        <v>2</v>
      </c>
      <c r="C1404" s="2">
        <v>40036</v>
      </c>
      <c r="D1404" t="s">
        <v>6</v>
      </c>
      <c r="E1404">
        <v>3.9709789999999998</v>
      </c>
      <c r="F1404">
        <f t="shared" si="42"/>
        <v>-0.1066590000000005</v>
      </c>
      <c r="G1404">
        <f t="shared" si="43"/>
        <v>207.76450775191483</v>
      </c>
    </row>
    <row r="1405" spans="2:7">
      <c r="B1405" t="s">
        <v>2</v>
      </c>
      <c r="C1405" s="2">
        <v>40035</v>
      </c>
      <c r="D1405" t="s">
        <v>6</v>
      </c>
      <c r="E1405">
        <v>4.0776380000000003</v>
      </c>
      <c r="F1405">
        <f t="shared" si="42"/>
        <v>-9.8643999999999288E-2</v>
      </c>
      <c r="G1405">
        <f t="shared" si="43"/>
        <v>206.28755930541143</v>
      </c>
    </row>
    <row r="1406" spans="2:7">
      <c r="B1406" t="s">
        <v>2</v>
      </c>
      <c r="C1406" s="2">
        <v>40032</v>
      </c>
      <c r="D1406" t="s">
        <v>6</v>
      </c>
      <c r="E1406">
        <v>4.1762819999999996</v>
      </c>
      <c r="F1406">
        <f t="shared" si="42"/>
        <v>0.14779599999999959</v>
      </c>
      <c r="G1406">
        <f t="shared" si="43"/>
        <v>204.94597047155514</v>
      </c>
    </row>
    <row r="1407" spans="2:7">
      <c r="B1407" t="s">
        <v>2</v>
      </c>
      <c r="C1407" s="2">
        <v>40031</v>
      </c>
      <c r="D1407" t="s">
        <v>6</v>
      </c>
      <c r="E1407">
        <v>4.028486</v>
      </c>
      <c r="F1407">
        <f t="shared" si="42"/>
        <v>4.1229999999998768E-3</v>
      </c>
      <c r="G1407">
        <f t="shared" si="43"/>
        <v>204.02321187818927</v>
      </c>
    </row>
    <row r="1408" spans="2:7">
      <c r="B1408" t="s">
        <v>2</v>
      </c>
      <c r="C1408" s="2">
        <v>40030</v>
      </c>
      <c r="D1408" t="s">
        <v>6</v>
      </c>
      <c r="E1408">
        <v>4.0243630000000001</v>
      </c>
      <c r="F1408">
        <f t="shared" si="42"/>
        <v>0.10572500000000007</v>
      </c>
      <c r="G1408">
        <f t="shared" si="43"/>
        <v>204.11578625297159</v>
      </c>
    </row>
    <row r="1409" spans="2:7">
      <c r="B1409" t="s">
        <v>2</v>
      </c>
      <c r="C1409" s="2">
        <v>40029</v>
      </c>
      <c r="D1409" t="s">
        <v>6</v>
      </c>
      <c r="E1409">
        <v>3.9186380000000001</v>
      </c>
      <c r="F1409">
        <f t="shared" si="42"/>
        <v>2.6686999999999905E-2</v>
      </c>
      <c r="G1409">
        <f t="shared" si="43"/>
        <v>204.93139279057974</v>
      </c>
    </row>
    <row r="1410" spans="2:7">
      <c r="B1410" t="s">
        <v>2</v>
      </c>
      <c r="C1410" s="2">
        <v>40028</v>
      </c>
      <c r="D1410" t="s">
        <v>6</v>
      </c>
      <c r="E1410">
        <v>3.8919510000000002</v>
      </c>
      <c r="F1410">
        <f t="shared" si="42"/>
        <v>0.15978599999999998</v>
      </c>
      <c r="G1410">
        <f t="shared" si="43"/>
        <v>204.8999533356855</v>
      </c>
    </row>
    <row r="1411" spans="2:7">
      <c r="B1411" t="s">
        <v>2</v>
      </c>
      <c r="C1411" s="2">
        <v>40025</v>
      </c>
      <c r="D1411" t="s">
        <v>6</v>
      </c>
      <c r="E1411">
        <v>3.7321650000000002</v>
      </c>
      <c r="F1411">
        <f t="shared" ref="F1411:F1474" si="44">E1411-E1412</f>
        <v>-0.1502589999999997</v>
      </c>
      <c r="G1411">
        <f t="shared" ref="G1411:G1474" si="45">STDEV(F1411:F1470)*SQRT(250)*100</f>
        <v>204.29039964677312</v>
      </c>
    </row>
    <row r="1412" spans="2:7">
      <c r="B1412" t="s">
        <v>2</v>
      </c>
      <c r="C1412" s="2">
        <v>40024</v>
      </c>
      <c r="D1412" t="s">
        <v>6</v>
      </c>
      <c r="E1412">
        <v>3.8824239999999999</v>
      </c>
      <c r="F1412">
        <f t="shared" si="44"/>
        <v>-2.3772000000000126E-2</v>
      </c>
      <c r="G1412">
        <f t="shared" si="45"/>
        <v>201.75545994226312</v>
      </c>
    </row>
    <row r="1413" spans="2:7">
      <c r="B1413" t="s">
        <v>2</v>
      </c>
      <c r="C1413" s="2">
        <v>40023</v>
      </c>
      <c r="D1413" t="s">
        <v>6</v>
      </c>
      <c r="E1413">
        <v>3.906196</v>
      </c>
      <c r="F1413">
        <f t="shared" si="44"/>
        <v>-1.4539999999998443E-3</v>
      </c>
      <c r="G1413">
        <f t="shared" si="45"/>
        <v>201.72749462463236</v>
      </c>
    </row>
    <row r="1414" spans="2:7">
      <c r="B1414" t="s">
        <v>2</v>
      </c>
      <c r="C1414" s="2">
        <v>40022</v>
      </c>
      <c r="D1414" t="s">
        <v>6</v>
      </c>
      <c r="E1414">
        <v>3.9076499999999998</v>
      </c>
      <c r="F1414">
        <f t="shared" si="44"/>
        <v>-3.2139000000000362E-2</v>
      </c>
      <c r="G1414">
        <f t="shared" si="45"/>
        <v>201.7352253415377</v>
      </c>
    </row>
    <row r="1415" spans="2:7">
      <c r="B1415" t="s">
        <v>2</v>
      </c>
      <c r="C1415" s="2">
        <v>40021</v>
      </c>
      <c r="D1415" t="s">
        <v>6</v>
      </c>
      <c r="E1415">
        <v>3.9397890000000002</v>
      </c>
      <c r="F1415">
        <f t="shared" si="44"/>
        <v>4.811600000000027E-2</v>
      </c>
      <c r="G1415">
        <f t="shared" si="45"/>
        <v>202.11039445767818</v>
      </c>
    </row>
    <row r="1416" spans="2:7">
      <c r="B1416" t="s">
        <v>2</v>
      </c>
      <c r="C1416" s="2">
        <v>40018</v>
      </c>
      <c r="D1416" t="s">
        <v>6</v>
      </c>
      <c r="E1416">
        <v>3.8916729999999999</v>
      </c>
      <c r="F1416">
        <f t="shared" si="44"/>
        <v>-5.8610000000000273E-2</v>
      </c>
      <c r="G1416">
        <f t="shared" si="45"/>
        <v>202.00889086334365</v>
      </c>
    </row>
    <row r="1417" spans="2:7">
      <c r="B1417" t="s">
        <v>2</v>
      </c>
      <c r="C1417" s="2">
        <v>40017</v>
      </c>
      <c r="D1417" t="s">
        <v>6</v>
      </c>
      <c r="E1417">
        <v>3.9502830000000002</v>
      </c>
      <c r="F1417">
        <f t="shared" si="44"/>
        <v>0.19632000000000005</v>
      </c>
      <c r="G1417">
        <f t="shared" si="45"/>
        <v>202.13462913143761</v>
      </c>
    </row>
    <row r="1418" spans="2:7">
      <c r="B1418" t="s">
        <v>2</v>
      </c>
      <c r="C1418" s="2">
        <v>40016</v>
      </c>
      <c r="D1418" t="s">
        <v>6</v>
      </c>
      <c r="E1418">
        <v>3.7539630000000002</v>
      </c>
      <c r="F1418">
        <f t="shared" si="44"/>
        <v>7.8791000000000277E-2</v>
      </c>
      <c r="G1418">
        <f t="shared" si="45"/>
        <v>198.73485293746609</v>
      </c>
    </row>
    <row r="1419" spans="2:7">
      <c r="B1419" t="s">
        <v>2</v>
      </c>
      <c r="C1419" s="2">
        <v>40015</v>
      </c>
      <c r="D1419" t="s">
        <v>6</v>
      </c>
      <c r="E1419">
        <v>3.6751719999999999</v>
      </c>
      <c r="F1419">
        <f t="shared" si="44"/>
        <v>-0.14452599999999993</v>
      </c>
      <c r="G1419">
        <f t="shared" si="45"/>
        <v>199.22326216717531</v>
      </c>
    </row>
    <row r="1420" spans="2:7">
      <c r="B1420" t="s">
        <v>2</v>
      </c>
      <c r="C1420" s="2">
        <v>40014</v>
      </c>
      <c r="D1420" t="s">
        <v>6</v>
      </c>
      <c r="E1420">
        <v>3.8196979999999998</v>
      </c>
      <c r="F1420">
        <f t="shared" si="44"/>
        <v>-6.1549999999999994E-2</v>
      </c>
      <c r="G1420">
        <f t="shared" si="45"/>
        <v>197.17732501653211</v>
      </c>
    </row>
    <row r="1421" spans="2:7">
      <c r="B1421" t="s">
        <v>2</v>
      </c>
      <c r="C1421" s="2">
        <v>40011</v>
      </c>
      <c r="D1421" t="s">
        <v>6</v>
      </c>
      <c r="E1421">
        <v>3.8812479999999998</v>
      </c>
      <c r="F1421">
        <f t="shared" si="44"/>
        <v>0.10688599999999981</v>
      </c>
      <c r="G1421">
        <f t="shared" si="45"/>
        <v>196.93787289522851</v>
      </c>
    </row>
    <row r="1422" spans="2:7">
      <c r="B1422" t="s">
        <v>2</v>
      </c>
      <c r="C1422" s="2">
        <v>40010</v>
      </c>
      <c r="D1422" t="s">
        <v>6</v>
      </c>
      <c r="E1422">
        <v>3.774362</v>
      </c>
      <c r="F1422">
        <f t="shared" si="44"/>
        <v>-6.4109999999999889E-2</v>
      </c>
      <c r="G1422">
        <f t="shared" si="45"/>
        <v>196.09583250753201</v>
      </c>
    </row>
    <row r="1423" spans="2:7">
      <c r="B1423" t="s">
        <v>2</v>
      </c>
      <c r="C1423" s="2">
        <v>40009</v>
      </c>
      <c r="D1423" t="s">
        <v>6</v>
      </c>
      <c r="E1423">
        <v>3.8384719999999999</v>
      </c>
      <c r="F1423">
        <f t="shared" si="44"/>
        <v>0.17753100000000011</v>
      </c>
      <c r="G1423">
        <f t="shared" si="45"/>
        <v>195.50212891535955</v>
      </c>
    </row>
    <row r="1424" spans="2:7">
      <c r="B1424" t="s">
        <v>2</v>
      </c>
      <c r="C1424" s="2">
        <v>40008</v>
      </c>
      <c r="D1424" t="s">
        <v>6</v>
      </c>
      <c r="E1424">
        <v>3.6609409999999998</v>
      </c>
      <c r="F1424">
        <f t="shared" si="44"/>
        <v>0.12157699999999982</v>
      </c>
      <c r="G1424">
        <f t="shared" si="45"/>
        <v>193.31263916741756</v>
      </c>
    </row>
    <row r="1425" spans="2:7">
      <c r="B1425" t="s">
        <v>2</v>
      </c>
      <c r="C1425" s="2">
        <v>40007</v>
      </c>
      <c r="D1425" t="s">
        <v>6</v>
      </c>
      <c r="E1425">
        <v>3.539364</v>
      </c>
      <c r="F1425">
        <f t="shared" si="44"/>
        <v>7.1387000000000089E-2</v>
      </c>
      <c r="G1425">
        <f t="shared" si="45"/>
        <v>193.50669613002592</v>
      </c>
    </row>
    <row r="1426" spans="2:7">
      <c r="B1426" t="s">
        <v>2</v>
      </c>
      <c r="C1426" s="2">
        <v>40004</v>
      </c>
      <c r="D1426" t="s">
        <v>6</v>
      </c>
      <c r="E1426">
        <v>3.4679769999999999</v>
      </c>
      <c r="F1426">
        <f t="shared" si="44"/>
        <v>-0.10990499999999992</v>
      </c>
      <c r="G1426">
        <f t="shared" si="45"/>
        <v>193.27166782126798</v>
      </c>
    </row>
    <row r="1427" spans="2:7">
      <c r="B1427" t="s">
        <v>2</v>
      </c>
      <c r="C1427" s="2">
        <v>40003</v>
      </c>
      <c r="D1427" t="s">
        <v>6</v>
      </c>
      <c r="E1427">
        <v>3.5778819999999998</v>
      </c>
      <c r="F1427">
        <f t="shared" si="44"/>
        <v>0.12350799999999973</v>
      </c>
      <c r="G1427">
        <f t="shared" si="45"/>
        <v>192.04343410553776</v>
      </c>
    </row>
    <row r="1428" spans="2:7">
      <c r="B1428" t="s">
        <v>2</v>
      </c>
      <c r="C1428" s="2">
        <v>40002</v>
      </c>
      <c r="D1428" t="s">
        <v>6</v>
      </c>
      <c r="E1428">
        <v>3.4543740000000001</v>
      </c>
      <c r="F1428">
        <f t="shared" si="44"/>
        <v>-0.19358299999999984</v>
      </c>
      <c r="G1428">
        <f t="shared" si="45"/>
        <v>191.36002696470391</v>
      </c>
    </row>
    <row r="1429" spans="2:7">
      <c r="B1429" t="s">
        <v>2</v>
      </c>
      <c r="C1429" s="2">
        <v>40001</v>
      </c>
      <c r="D1429" t="s">
        <v>6</v>
      </c>
      <c r="E1429">
        <v>3.6479569999999999</v>
      </c>
      <c r="F1429">
        <f t="shared" si="44"/>
        <v>-5.7949999999999946E-2</v>
      </c>
      <c r="G1429">
        <f t="shared" si="45"/>
        <v>187.49831620212692</v>
      </c>
    </row>
    <row r="1430" spans="2:7">
      <c r="B1430" t="s">
        <v>2</v>
      </c>
      <c r="C1430" s="2">
        <v>40000</v>
      </c>
      <c r="D1430" t="s">
        <v>6</v>
      </c>
      <c r="E1430">
        <v>3.7059069999999998</v>
      </c>
      <c r="F1430">
        <f t="shared" si="44"/>
        <v>-2.4280000000000967E-3</v>
      </c>
      <c r="G1430">
        <f t="shared" si="45"/>
        <v>187.23754226883071</v>
      </c>
    </row>
    <row r="1431" spans="2:7">
      <c r="B1431" t="s">
        <v>2</v>
      </c>
      <c r="C1431" s="2">
        <v>39996</v>
      </c>
      <c r="D1431" t="s">
        <v>6</v>
      </c>
      <c r="E1431">
        <v>3.7083349999999999</v>
      </c>
      <c r="F1431">
        <f t="shared" si="44"/>
        <v>-6.6254999999999953E-2</v>
      </c>
      <c r="G1431">
        <f t="shared" si="45"/>
        <v>187.94982174318173</v>
      </c>
    </row>
    <row r="1432" spans="2:7">
      <c r="B1432" t="s">
        <v>2</v>
      </c>
      <c r="C1432" s="2">
        <v>39995</v>
      </c>
      <c r="D1432" t="s">
        <v>6</v>
      </c>
      <c r="E1432">
        <v>3.7745899999999999</v>
      </c>
      <c r="F1432">
        <f t="shared" si="44"/>
        <v>1.0094000000000047E-2</v>
      </c>
      <c r="G1432">
        <f t="shared" si="45"/>
        <v>187.42836636518504</v>
      </c>
    </row>
    <row r="1433" spans="2:7">
      <c r="B1433" t="s">
        <v>2</v>
      </c>
      <c r="C1433" s="2">
        <v>39994</v>
      </c>
      <c r="D1433" t="s">
        <v>6</v>
      </c>
      <c r="E1433">
        <v>3.7644959999999998</v>
      </c>
      <c r="F1433">
        <f t="shared" si="44"/>
        <v>6.1769999999999659E-2</v>
      </c>
      <c r="G1433">
        <f t="shared" si="45"/>
        <v>187.70840798046697</v>
      </c>
    </row>
    <row r="1434" spans="2:7">
      <c r="B1434" t="s">
        <v>2</v>
      </c>
      <c r="C1434" s="2">
        <v>39993</v>
      </c>
      <c r="D1434" t="s">
        <v>6</v>
      </c>
      <c r="E1434">
        <v>3.7027260000000002</v>
      </c>
      <c r="F1434">
        <f t="shared" si="44"/>
        <v>4.2490000000001693E-3</v>
      </c>
      <c r="G1434">
        <f t="shared" si="45"/>
        <v>189.85844288820078</v>
      </c>
    </row>
    <row r="1435" spans="2:7">
      <c r="B1435" t="s">
        <v>2</v>
      </c>
      <c r="C1435" s="2">
        <v>39990</v>
      </c>
      <c r="D1435" t="s">
        <v>6</v>
      </c>
      <c r="E1435">
        <v>3.698477</v>
      </c>
      <c r="F1435">
        <f t="shared" si="44"/>
        <v>-5.9792999999999985E-2</v>
      </c>
      <c r="G1435">
        <f t="shared" si="45"/>
        <v>190.2385085625381</v>
      </c>
    </row>
    <row r="1436" spans="2:7">
      <c r="B1436" t="s">
        <v>2</v>
      </c>
      <c r="C1436" s="2">
        <v>39989</v>
      </c>
      <c r="D1436" t="s">
        <v>6</v>
      </c>
      <c r="E1436">
        <v>3.75827</v>
      </c>
      <c r="F1436">
        <f t="shared" si="44"/>
        <v>-0.16190799999999994</v>
      </c>
      <c r="G1436">
        <f t="shared" si="45"/>
        <v>189.70256422364307</v>
      </c>
    </row>
    <row r="1437" spans="2:7">
      <c r="B1437" t="s">
        <v>2</v>
      </c>
      <c r="C1437" s="2">
        <v>39988</v>
      </c>
      <c r="D1437" t="s">
        <v>6</v>
      </c>
      <c r="E1437">
        <v>3.9201779999999999</v>
      </c>
      <c r="F1437">
        <f t="shared" si="44"/>
        <v>4.0179999999999882E-2</v>
      </c>
      <c r="G1437">
        <f t="shared" si="45"/>
        <v>186.32076083019064</v>
      </c>
    </row>
    <row r="1438" spans="2:7">
      <c r="B1438" t="s">
        <v>2</v>
      </c>
      <c r="C1438" s="2">
        <v>39987</v>
      </c>
      <c r="D1438" t="s">
        <v>6</v>
      </c>
      <c r="E1438">
        <v>3.8799980000000001</v>
      </c>
      <c r="F1438">
        <f t="shared" si="44"/>
        <v>-5.515099999999995E-2</v>
      </c>
      <c r="G1438">
        <f t="shared" si="45"/>
        <v>186.72751372289187</v>
      </c>
    </row>
    <row r="1439" spans="2:7">
      <c r="B1439" t="s">
        <v>2</v>
      </c>
      <c r="C1439" s="2">
        <v>39986</v>
      </c>
      <c r="D1439" t="s">
        <v>6</v>
      </c>
      <c r="E1439">
        <v>3.935149</v>
      </c>
      <c r="F1439">
        <f t="shared" si="44"/>
        <v>-0.10607399999999956</v>
      </c>
      <c r="G1439">
        <f t="shared" si="45"/>
        <v>186.15166035672928</v>
      </c>
    </row>
    <row r="1440" spans="2:7">
      <c r="B1440" t="s">
        <v>2</v>
      </c>
      <c r="C1440" s="2">
        <v>39983</v>
      </c>
      <c r="D1440" t="s">
        <v>6</v>
      </c>
      <c r="E1440">
        <v>4.0412229999999996</v>
      </c>
      <c r="F1440">
        <f t="shared" si="44"/>
        <v>-3.2540000000000013E-2</v>
      </c>
      <c r="G1440">
        <f t="shared" si="45"/>
        <v>185.23033379238672</v>
      </c>
    </row>
    <row r="1441" spans="2:7">
      <c r="B1441" t="s">
        <v>2</v>
      </c>
      <c r="C1441" s="2">
        <v>39982</v>
      </c>
      <c r="D1441" t="s">
        <v>6</v>
      </c>
      <c r="E1441">
        <v>4.0737629999999996</v>
      </c>
      <c r="F1441">
        <f t="shared" si="44"/>
        <v>0.24052499999999943</v>
      </c>
      <c r="G1441">
        <f t="shared" si="45"/>
        <v>185.45195152542993</v>
      </c>
    </row>
    <row r="1442" spans="2:7">
      <c r="B1442" t="s">
        <v>2</v>
      </c>
      <c r="C1442" s="2">
        <v>39981</v>
      </c>
      <c r="D1442" t="s">
        <v>6</v>
      </c>
      <c r="E1442">
        <v>3.8332380000000001</v>
      </c>
      <c r="F1442">
        <f t="shared" si="44"/>
        <v>-5.3611999999999771E-2</v>
      </c>
      <c r="G1442">
        <f t="shared" si="45"/>
        <v>179.83736219862476</v>
      </c>
    </row>
    <row r="1443" spans="2:7">
      <c r="B1443" t="s">
        <v>2</v>
      </c>
      <c r="C1443" s="2">
        <v>39980</v>
      </c>
      <c r="D1443" t="s">
        <v>6</v>
      </c>
      <c r="E1443">
        <v>3.8868499999999999</v>
      </c>
      <c r="F1443">
        <f t="shared" si="44"/>
        <v>-6.2224000000000057E-2</v>
      </c>
      <c r="G1443">
        <f t="shared" si="45"/>
        <v>179.36938100940489</v>
      </c>
    </row>
    <row r="1444" spans="2:7">
      <c r="B1444" t="s">
        <v>2</v>
      </c>
      <c r="C1444" s="2">
        <v>39979</v>
      </c>
      <c r="D1444" t="s">
        <v>6</v>
      </c>
      <c r="E1444">
        <v>3.949074</v>
      </c>
      <c r="F1444">
        <f t="shared" si="44"/>
        <v>-0.11663700000000032</v>
      </c>
      <c r="G1444">
        <f t="shared" si="45"/>
        <v>178.79567795840975</v>
      </c>
    </row>
    <row r="1445" spans="2:7">
      <c r="B1445" t="s">
        <v>2</v>
      </c>
      <c r="C1445" s="2">
        <v>39976</v>
      </c>
      <c r="D1445" t="s">
        <v>6</v>
      </c>
      <c r="E1445">
        <v>4.0657110000000003</v>
      </c>
      <c r="F1445">
        <f t="shared" si="44"/>
        <v>-0.14192800000000005</v>
      </c>
      <c r="G1445">
        <f t="shared" si="45"/>
        <v>176.8598430626449</v>
      </c>
    </row>
    <row r="1446" spans="2:7">
      <c r="B1446" t="s">
        <v>2</v>
      </c>
      <c r="C1446" s="2">
        <v>39975</v>
      </c>
      <c r="D1446" t="s">
        <v>6</v>
      </c>
      <c r="E1446">
        <v>4.2076390000000004</v>
      </c>
      <c r="F1446">
        <f t="shared" si="44"/>
        <v>-0.11903499999999934</v>
      </c>
      <c r="G1446">
        <f t="shared" si="45"/>
        <v>185.52819347141926</v>
      </c>
    </row>
    <row r="1447" spans="2:7">
      <c r="B1447" t="s">
        <v>2</v>
      </c>
      <c r="C1447" s="2">
        <v>39974</v>
      </c>
      <c r="D1447" t="s">
        <v>6</v>
      </c>
      <c r="E1447">
        <v>4.3266739999999997</v>
      </c>
      <c r="F1447">
        <f t="shared" si="44"/>
        <v>0.11066099999999945</v>
      </c>
      <c r="G1447">
        <f t="shared" si="45"/>
        <v>183.53082856180885</v>
      </c>
    </row>
    <row r="1448" spans="2:7">
      <c r="B1448" t="s">
        <v>2</v>
      </c>
      <c r="C1448" s="2">
        <v>39973</v>
      </c>
      <c r="D1448" t="s">
        <v>6</v>
      </c>
      <c r="E1448">
        <v>4.2160130000000002</v>
      </c>
      <c r="F1448">
        <f t="shared" si="44"/>
        <v>-0.1088610000000001</v>
      </c>
      <c r="G1448">
        <f t="shared" si="45"/>
        <v>182.67982560542404</v>
      </c>
    </row>
    <row r="1449" spans="2:7">
      <c r="B1449" t="s">
        <v>2</v>
      </c>
      <c r="C1449" s="2">
        <v>39972</v>
      </c>
      <c r="D1449" t="s">
        <v>6</v>
      </c>
      <c r="E1449">
        <v>4.3248740000000003</v>
      </c>
      <c r="F1449">
        <f t="shared" si="44"/>
        <v>0.10019200000000072</v>
      </c>
      <c r="G1449">
        <f t="shared" si="45"/>
        <v>180.82047479702641</v>
      </c>
    </row>
    <row r="1450" spans="2:7">
      <c r="B1450" t="s">
        <v>2</v>
      </c>
      <c r="C1450" s="2">
        <v>39969</v>
      </c>
      <c r="D1450" t="s">
        <v>6</v>
      </c>
      <c r="E1450">
        <v>4.2246819999999996</v>
      </c>
      <c r="F1450">
        <f t="shared" si="44"/>
        <v>0.18116599999999927</v>
      </c>
      <c r="G1450">
        <f t="shared" si="45"/>
        <v>180.68803593535819</v>
      </c>
    </row>
    <row r="1451" spans="2:7">
      <c r="B1451" t="s">
        <v>2</v>
      </c>
      <c r="C1451" s="2">
        <v>39968</v>
      </c>
      <c r="D1451" t="s">
        <v>6</v>
      </c>
      <c r="E1451">
        <v>4.0435160000000003</v>
      </c>
      <c r="F1451">
        <f t="shared" si="44"/>
        <v>0.21054100000000053</v>
      </c>
      <c r="G1451">
        <f t="shared" si="45"/>
        <v>178.75902806946291</v>
      </c>
    </row>
    <row r="1452" spans="2:7">
      <c r="B1452" t="s">
        <v>2</v>
      </c>
      <c r="C1452" s="2">
        <v>39967</v>
      </c>
      <c r="D1452" t="s">
        <v>6</v>
      </c>
      <c r="E1452">
        <v>3.8329749999999998</v>
      </c>
      <c r="F1452">
        <f t="shared" si="44"/>
        <v>-0.13199200000000033</v>
      </c>
      <c r="G1452">
        <f t="shared" si="45"/>
        <v>174.5695696699012</v>
      </c>
    </row>
    <row r="1453" spans="2:7">
      <c r="B1453" t="s">
        <v>2</v>
      </c>
      <c r="C1453" s="2">
        <v>39966</v>
      </c>
      <c r="D1453" t="s">
        <v>6</v>
      </c>
      <c r="E1453">
        <v>3.9649670000000001</v>
      </c>
      <c r="F1453">
        <f t="shared" si="44"/>
        <v>-6.4658000000000104E-2</v>
      </c>
      <c r="G1453">
        <f t="shared" si="45"/>
        <v>172.17070117249372</v>
      </c>
    </row>
    <row r="1454" spans="2:7">
      <c r="B1454" t="s">
        <v>2</v>
      </c>
      <c r="C1454" s="2">
        <v>39965</v>
      </c>
      <c r="D1454" t="s">
        <v>6</v>
      </c>
      <c r="E1454">
        <v>4.0296250000000002</v>
      </c>
      <c r="F1454">
        <f t="shared" si="44"/>
        <v>0.38056900000000038</v>
      </c>
      <c r="G1454">
        <f t="shared" si="45"/>
        <v>171.46067598992175</v>
      </c>
    </row>
    <row r="1455" spans="2:7">
      <c r="B1455" t="s">
        <v>2</v>
      </c>
      <c r="C1455" s="2">
        <v>39962</v>
      </c>
      <c r="D1455" t="s">
        <v>6</v>
      </c>
      <c r="E1455">
        <v>3.6490559999999999</v>
      </c>
      <c r="F1455">
        <f t="shared" si="44"/>
        <v>-0.31229800000000019</v>
      </c>
      <c r="G1455">
        <f t="shared" si="45"/>
        <v>161.14478766630668</v>
      </c>
    </row>
    <row r="1456" spans="2:7">
      <c r="B1456" t="s">
        <v>2</v>
      </c>
      <c r="C1456" s="2">
        <v>39961</v>
      </c>
      <c r="D1456" t="s">
        <v>6</v>
      </c>
      <c r="E1456">
        <v>3.961354</v>
      </c>
      <c r="F1456">
        <f t="shared" si="44"/>
        <v>-2.8233000000000175E-2</v>
      </c>
      <c r="G1456">
        <f t="shared" si="45"/>
        <v>147.54235264750216</v>
      </c>
    </row>
    <row r="1457" spans="2:7">
      <c r="B1457" t="s">
        <v>2</v>
      </c>
      <c r="C1457" s="2">
        <v>39960</v>
      </c>
      <c r="D1457" t="s">
        <v>6</v>
      </c>
      <c r="E1457">
        <v>3.9895870000000002</v>
      </c>
      <c r="F1457">
        <f t="shared" si="44"/>
        <v>0.33633800000000003</v>
      </c>
      <c r="G1457">
        <f t="shared" si="45"/>
        <v>147.30805791601725</v>
      </c>
    </row>
    <row r="1458" spans="2:7">
      <c r="B1458" t="s">
        <v>2</v>
      </c>
      <c r="C1458" s="2">
        <v>39959</v>
      </c>
      <c r="D1458" t="s">
        <v>6</v>
      </c>
      <c r="E1458">
        <v>3.6532490000000002</v>
      </c>
      <c r="F1458">
        <f t="shared" si="44"/>
        <v>6.0124000000000066E-2</v>
      </c>
      <c r="G1458">
        <f t="shared" si="45"/>
        <v>133.10448094221127</v>
      </c>
    </row>
    <row r="1459" spans="2:7">
      <c r="B1459" t="s">
        <v>2</v>
      </c>
      <c r="C1459" s="2">
        <v>39955</v>
      </c>
      <c r="D1459" t="s">
        <v>6</v>
      </c>
      <c r="E1459">
        <v>3.5931250000000001</v>
      </c>
      <c r="F1459">
        <f t="shared" si="44"/>
        <v>0.13872600000000013</v>
      </c>
      <c r="G1459">
        <f t="shared" si="45"/>
        <v>133.13458991813053</v>
      </c>
    </row>
    <row r="1460" spans="2:7">
      <c r="B1460" t="s">
        <v>2</v>
      </c>
      <c r="C1460" s="2">
        <v>39954</v>
      </c>
      <c r="D1460" t="s">
        <v>6</v>
      </c>
      <c r="E1460">
        <v>3.454399</v>
      </c>
      <c r="F1460">
        <f t="shared" si="44"/>
        <v>0.16340300000000019</v>
      </c>
      <c r="G1460">
        <f t="shared" si="45"/>
        <v>130.36170265368722</v>
      </c>
    </row>
    <row r="1461" spans="2:7">
      <c r="B1461" t="s">
        <v>2</v>
      </c>
      <c r="C1461" s="2">
        <v>39953</v>
      </c>
      <c r="D1461" t="s">
        <v>6</v>
      </c>
      <c r="E1461">
        <v>3.2909959999999998</v>
      </c>
      <c r="F1461">
        <f t="shared" si="44"/>
        <v>-2.76200000000002E-2</v>
      </c>
      <c r="G1461">
        <f t="shared" si="45"/>
        <v>131.90166682567715</v>
      </c>
    </row>
    <row r="1462" spans="2:7">
      <c r="B1462" t="s">
        <v>2</v>
      </c>
      <c r="C1462" s="2">
        <v>39952</v>
      </c>
      <c r="D1462" t="s">
        <v>6</v>
      </c>
      <c r="E1462">
        <v>3.318616</v>
      </c>
      <c r="F1462">
        <f t="shared" si="44"/>
        <v>2.839400000000003E-2</v>
      </c>
      <c r="G1462">
        <f t="shared" si="45"/>
        <v>131.90286827632897</v>
      </c>
    </row>
    <row r="1463" spans="2:7">
      <c r="B1463" t="s">
        <v>2</v>
      </c>
      <c r="C1463" s="2">
        <v>39951</v>
      </c>
      <c r="D1463" t="s">
        <v>6</v>
      </c>
      <c r="E1463">
        <v>3.290222</v>
      </c>
      <c r="F1463">
        <f t="shared" si="44"/>
        <v>7.3990999999999918E-2</v>
      </c>
      <c r="G1463">
        <f t="shared" si="45"/>
        <v>131.84117335382314</v>
      </c>
    </row>
    <row r="1464" spans="2:7">
      <c r="B1464" t="s">
        <v>2</v>
      </c>
      <c r="C1464" s="2">
        <v>39948</v>
      </c>
      <c r="D1464" t="s">
        <v>6</v>
      </c>
      <c r="E1464">
        <v>3.2162310000000001</v>
      </c>
      <c r="F1464">
        <f t="shared" si="44"/>
        <v>9.4069999999999432E-3</v>
      </c>
      <c r="G1464">
        <f t="shared" si="45"/>
        <v>132.15268049502086</v>
      </c>
    </row>
    <row r="1465" spans="2:7">
      <c r="B1465" t="s">
        <v>2</v>
      </c>
      <c r="C1465" s="2">
        <v>39947</v>
      </c>
      <c r="D1465" t="s">
        <v>6</v>
      </c>
      <c r="E1465">
        <v>3.2068240000000001</v>
      </c>
      <c r="F1465">
        <f t="shared" si="44"/>
        <v>1.524100000000006E-2</v>
      </c>
      <c r="G1465">
        <f t="shared" si="45"/>
        <v>133.52403477578252</v>
      </c>
    </row>
    <row r="1466" spans="2:7">
      <c r="B1466" t="s">
        <v>2</v>
      </c>
      <c r="C1466" s="2">
        <v>39946</v>
      </c>
      <c r="D1466" t="s">
        <v>6</v>
      </c>
      <c r="E1466">
        <v>3.1915830000000001</v>
      </c>
      <c r="F1466">
        <f t="shared" si="44"/>
        <v>-7.9596E-2</v>
      </c>
      <c r="G1466">
        <f t="shared" si="45"/>
        <v>134.07258468413096</v>
      </c>
    </row>
    <row r="1467" spans="2:7">
      <c r="B1467" t="s">
        <v>2</v>
      </c>
      <c r="C1467" s="2">
        <v>39945</v>
      </c>
      <c r="D1467" t="s">
        <v>6</v>
      </c>
      <c r="E1467">
        <v>3.2711790000000001</v>
      </c>
      <c r="F1467">
        <f t="shared" si="44"/>
        <v>-1.8562999999999885E-2</v>
      </c>
      <c r="G1467">
        <f t="shared" si="45"/>
        <v>137.88004105676671</v>
      </c>
    </row>
    <row r="1468" spans="2:7">
      <c r="B1468" t="s">
        <v>2</v>
      </c>
      <c r="C1468" s="2">
        <v>39944</v>
      </c>
      <c r="D1468" t="s">
        <v>6</v>
      </c>
      <c r="E1468">
        <v>3.2897419999999999</v>
      </c>
      <c r="F1468">
        <f t="shared" si="44"/>
        <v>-0.11989500000000008</v>
      </c>
      <c r="G1468">
        <f t="shared" si="45"/>
        <v>142.12603822730219</v>
      </c>
    </row>
    <row r="1469" spans="2:7">
      <c r="B1469" t="s">
        <v>2</v>
      </c>
      <c r="C1469" s="2">
        <v>39941</v>
      </c>
      <c r="D1469" t="s">
        <v>6</v>
      </c>
      <c r="E1469">
        <v>3.409637</v>
      </c>
      <c r="F1469">
        <f t="shared" si="44"/>
        <v>2.3900000000001143E-3</v>
      </c>
      <c r="G1469">
        <f t="shared" si="45"/>
        <v>140.39377872373763</v>
      </c>
    </row>
    <row r="1470" spans="2:7">
      <c r="B1470" t="s">
        <v>2</v>
      </c>
      <c r="C1470" s="2">
        <v>39940</v>
      </c>
      <c r="D1470" t="s">
        <v>6</v>
      </c>
      <c r="E1470">
        <v>3.4072469999999999</v>
      </c>
      <c r="F1470">
        <f t="shared" si="44"/>
        <v>0.13898300000000008</v>
      </c>
      <c r="G1470">
        <f t="shared" si="45"/>
        <v>142.15520641562838</v>
      </c>
    </row>
    <row r="1471" spans="2:7">
      <c r="B1471" t="s">
        <v>2</v>
      </c>
      <c r="C1471" s="2">
        <v>39939</v>
      </c>
      <c r="D1471" t="s">
        <v>6</v>
      </c>
      <c r="E1471">
        <v>3.2682639999999998</v>
      </c>
      <c r="F1471">
        <f t="shared" si="44"/>
        <v>-2.2924000000000166E-2</v>
      </c>
      <c r="G1471">
        <f t="shared" si="45"/>
        <v>142.65716405376065</v>
      </c>
    </row>
    <row r="1472" spans="2:7">
      <c r="B1472" t="s">
        <v>2</v>
      </c>
      <c r="C1472" s="2">
        <v>39938</v>
      </c>
      <c r="D1472" t="s">
        <v>6</v>
      </c>
      <c r="E1472">
        <v>3.291188</v>
      </c>
      <c r="F1472">
        <f t="shared" si="44"/>
        <v>-1.9552000000000014E-2</v>
      </c>
      <c r="G1472">
        <f t="shared" si="45"/>
        <v>142.94760364051959</v>
      </c>
    </row>
    <row r="1473" spans="2:7">
      <c r="B1473" t="s">
        <v>2</v>
      </c>
      <c r="C1473" s="2">
        <v>39937</v>
      </c>
      <c r="D1473" t="s">
        <v>6</v>
      </c>
      <c r="E1473">
        <v>3.31074</v>
      </c>
      <c r="F1473">
        <f t="shared" si="44"/>
        <v>-4.3310000000000848E-3</v>
      </c>
      <c r="G1473">
        <f t="shared" si="45"/>
        <v>143.59323097196548</v>
      </c>
    </row>
    <row r="1474" spans="2:7">
      <c r="B1474" t="s">
        <v>2</v>
      </c>
      <c r="C1474" s="2">
        <v>39934</v>
      </c>
      <c r="D1474" t="s">
        <v>6</v>
      </c>
      <c r="E1474">
        <v>3.3150710000000001</v>
      </c>
      <c r="F1474">
        <f t="shared" si="44"/>
        <v>8.4493000000000151E-2</v>
      </c>
      <c r="G1474">
        <f t="shared" si="45"/>
        <v>143.58739821773307</v>
      </c>
    </row>
    <row r="1475" spans="2:7">
      <c r="B1475" t="s">
        <v>2</v>
      </c>
      <c r="C1475" s="2">
        <v>39933</v>
      </c>
      <c r="D1475" t="s">
        <v>6</v>
      </c>
      <c r="E1475">
        <v>3.2305779999999999</v>
      </c>
      <c r="F1475">
        <f t="shared" ref="F1475:F1538" si="46">E1475-E1476</f>
        <v>3.0645999999999951E-2</v>
      </c>
      <c r="G1475">
        <f t="shared" ref="G1475:G1538" si="47">STDEV(F1475:F1534)*SQRT(250)*100</f>
        <v>143.47730074599974</v>
      </c>
    </row>
    <row r="1476" spans="2:7">
      <c r="B1476" t="s">
        <v>2</v>
      </c>
      <c r="C1476" s="2">
        <v>39932</v>
      </c>
      <c r="D1476" t="s">
        <v>6</v>
      </c>
      <c r="E1476">
        <v>3.199932</v>
      </c>
      <c r="F1476">
        <f t="shared" si="46"/>
        <v>9.2135999999999996E-2</v>
      </c>
      <c r="G1476">
        <f t="shared" si="47"/>
        <v>144.97923119287407</v>
      </c>
    </row>
    <row r="1477" spans="2:7">
      <c r="B1477" t="s">
        <v>2</v>
      </c>
      <c r="C1477" s="2">
        <v>39931</v>
      </c>
      <c r="D1477" t="s">
        <v>6</v>
      </c>
      <c r="E1477">
        <v>3.107796</v>
      </c>
      <c r="F1477">
        <f t="shared" si="46"/>
        <v>5.1603000000000065E-2</v>
      </c>
      <c r="G1477">
        <f t="shared" si="47"/>
        <v>146.11528162492039</v>
      </c>
    </row>
    <row r="1478" spans="2:7">
      <c r="B1478" t="s">
        <v>2</v>
      </c>
      <c r="C1478" s="2">
        <v>39930</v>
      </c>
      <c r="D1478" t="s">
        <v>6</v>
      </c>
      <c r="E1478">
        <v>3.0561929999999999</v>
      </c>
      <c r="F1478">
        <f t="shared" si="46"/>
        <v>-8.6098999999999926E-2</v>
      </c>
      <c r="G1478">
        <f t="shared" si="47"/>
        <v>145.99911127431264</v>
      </c>
    </row>
    <row r="1479" spans="2:7">
      <c r="B1479" t="s">
        <v>2</v>
      </c>
      <c r="C1479" s="2">
        <v>39927</v>
      </c>
      <c r="D1479" t="s">
        <v>6</v>
      </c>
      <c r="E1479">
        <v>3.1422919999999999</v>
      </c>
      <c r="F1479">
        <f t="shared" si="46"/>
        <v>8.1296000000000035E-2</v>
      </c>
      <c r="G1479">
        <f t="shared" si="47"/>
        <v>148.67245616166176</v>
      </c>
    </row>
    <row r="1480" spans="2:7">
      <c r="B1480" t="s">
        <v>2</v>
      </c>
      <c r="C1480" s="2">
        <v>39926</v>
      </c>
      <c r="D1480" t="s">
        <v>6</v>
      </c>
      <c r="E1480">
        <v>3.0609959999999998</v>
      </c>
      <c r="F1480">
        <f t="shared" si="46"/>
        <v>-4.4648000000000021E-2</v>
      </c>
      <c r="G1480">
        <f t="shared" si="47"/>
        <v>150.14600933291192</v>
      </c>
    </row>
    <row r="1481" spans="2:7">
      <c r="B1481" t="s">
        <v>2</v>
      </c>
      <c r="C1481" s="2">
        <v>39925</v>
      </c>
      <c r="D1481" t="s">
        <v>6</v>
      </c>
      <c r="E1481">
        <v>3.1056439999999998</v>
      </c>
      <c r="F1481">
        <f t="shared" si="46"/>
        <v>4.5792000000000055E-2</v>
      </c>
      <c r="G1481">
        <f t="shared" si="47"/>
        <v>151.33657295595461</v>
      </c>
    </row>
    <row r="1482" spans="2:7">
      <c r="B1482" t="s">
        <v>2</v>
      </c>
      <c r="C1482" s="2">
        <v>39924</v>
      </c>
      <c r="D1482" t="s">
        <v>6</v>
      </c>
      <c r="E1482">
        <v>3.0598519999999998</v>
      </c>
      <c r="F1482">
        <f t="shared" si="46"/>
        <v>3.3109999999999751E-2</v>
      </c>
      <c r="G1482">
        <f t="shared" si="47"/>
        <v>151.35037952866773</v>
      </c>
    </row>
    <row r="1483" spans="2:7">
      <c r="B1483" t="s">
        <v>2</v>
      </c>
      <c r="C1483" s="2">
        <v>39923</v>
      </c>
      <c r="D1483" t="s">
        <v>6</v>
      </c>
      <c r="E1483">
        <v>3.026742</v>
      </c>
      <c r="F1483">
        <f t="shared" si="46"/>
        <v>-7.5185999999999975E-2</v>
      </c>
      <c r="G1483">
        <f t="shared" si="47"/>
        <v>151.59382121085019</v>
      </c>
    </row>
    <row r="1484" spans="2:7">
      <c r="B1484" t="s">
        <v>2</v>
      </c>
      <c r="C1484" s="2">
        <v>39920</v>
      </c>
      <c r="D1484" t="s">
        <v>6</v>
      </c>
      <c r="E1484">
        <v>3.101928</v>
      </c>
      <c r="F1484">
        <f t="shared" si="46"/>
        <v>0.12921199999999988</v>
      </c>
      <c r="G1484">
        <f t="shared" si="47"/>
        <v>151.49031773176714</v>
      </c>
    </row>
    <row r="1485" spans="2:7">
      <c r="B1485" t="s">
        <v>2</v>
      </c>
      <c r="C1485" s="2">
        <v>39919</v>
      </c>
      <c r="D1485" t="s">
        <v>6</v>
      </c>
      <c r="E1485">
        <v>2.9727160000000001</v>
      </c>
      <c r="F1485">
        <f t="shared" si="46"/>
        <v>5.0660000000000149E-2</v>
      </c>
      <c r="G1485">
        <f t="shared" si="47"/>
        <v>153.93620840324672</v>
      </c>
    </row>
    <row r="1486" spans="2:7">
      <c r="B1486" t="s">
        <v>2</v>
      </c>
      <c r="C1486" s="2">
        <v>39918</v>
      </c>
      <c r="D1486" t="s">
        <v>6</v>
      </c>
      <c r="E1486">
        <v>2.922056</v>
      </c>
      <c r="F1486">
        <f t="shared" si="46"/>
        <v>-4.6224000000000043E-2</v>
      </c>
      <c r="G1486">
        <f t="shared" si="47"/>
        <v>153.77317028582567</v>
      </c>
    </row>
    <row r="1487" spans="2:7">
      <c r="B1487" t="s">
        <v>2</v>
      </c>
      <c r="C1487" s="2">
        <v>39917</v>
      </c>
      <c r="D1487" t="s">
        <v>6</v>
      </c>
      <c r="E1487">
        <v>2.96828</v>
      </c>
      <c r="F1487">
        <f t="shared" si="46"/>
        <v>-7.5417999999999985E-2</v>
      </c>
      <c r="G1487">
        <f t="shared" si="47"/>
        <v>153.63139736937455</v>
      </c>
    </row>
    <row r="1488" spans="2:7">
      <c r="B1488" t="s">
        <v>2</v>
      </c>
      <c r="C1488" s="2">
        <v>39916</v>
      </c>
      <c r="D1488" t="s">
        <v>6</v>
      </c>
      <c r="E1488">
        <v>3.043698</v>
      </c>
      <c r="F1488">
        <f t="shared" si="46"/>
        <v>-6.9954999999999767E-2</v>
      </c>
      <c r="G1488">
        <f t="shared" si="47"/>
        <v>152.62262827005475</v>
      </c>
    </row>
    <row r="1489" spans="2:7">
      <c r="B1489" t="s">
        <v>2</v>
      </c>
      <c r="C1489" s="2">
        <v>39912</v>
      </c>
      <c r="D1489" t="s">
        <v>6</v>
      </c>
      <c r="E1489">
        <v>3.1136529999999998</v>
      </c>
      <c r="F1489">
        <f t="shared" si="46"/>
        <v>5.7756999999999614E-2</v>
      </c>
      <c r="G1489">
        <f t="shared" si="47"/>
        <v>153.33371353875194</v>
      </c>
    </row>
    <row r="1490" spans="2:7">
      <c r="B1490" t="s">
        <v>2</v>
      </c>
      <c r="C1490" s="2">
        <v>39911</v>
      </c>
      <c r="D1490" t="s">
        <v>6</v>
      </c>
      <c r="E1490">
        <v>3.0558960000000002</v>
      </c>
      <c r="F1490">
        <f t="shared" si="46"/>
        <v>-7.0154999999999745E-2</v>
      </c>
      <c r="G1490">
        <f t="shared" si="47"/>
        <v>153.06319386848145</v>
      </c>
    </row>
    <row r="1491" spans="2:7">
      <c r="B1491" t="s">
        <v>2</v>
      </c>
      <c r="C1491" s="2">
        <v>39910</v>
      </c>
      <c r="D1491" t="s">
        <v>6</v>
      </c>
      <c r="E1491">
        <v>3.1260509999999999</v>
      </c>
      <c r="F1491">
        <f t="shared" si="46"/>
        <v>-2.4634999999999962E-2</v>
      </c>
      <c r="G1491">
        <f t="shared" si="47"/>
        <v>153.80881427777112</v>
      </c>
    </row>
    <row r="1492" spans="2:7">
      <c r="B1492" t="s">
        <v>2</v>
      </c>
      <c r="C1492" s="2">
        <v>39909</v>
      </c>
      <c r="D1492" t="s">
        <v>6</v>
      </c>
      <c r="E1492">
        <v>3.1506859999999999</v>
      </c>
      <c r="F1492">
        <f t="shared" si="46"/>
        <v>6.0616999999999699E-2</v>
      </c>
      <c r="G1492">
        <f t="shared" si="47"/>
        <v>154.13142429149315</v>
      </c>
    </row>
    <row r="1493" spans="2:7">
      <c r="B1493" t="s">
        <v>2</v>
      </c>
      <c r="C1493" s="2">
        <v>39906</v>
      </c>
      <c r="D1493" t="s">
        <v>6</v>
      </c>
      <c r="E1493">
        <v>3.0900690000000002</v>
      </c>
      <c r="F1493">
        <f t="shared" si="46"/>
        <v>0.15912300000000013</v>
      </c>
      <c r="G1493">
        <f t="shared" si="47"/>
        <v>155.46172214947345</v>
      </c>
    </row>
    <row r="1494" spans="2:7">
      <c r="B1494" t="s">
        <v>2</v>
      </c>
      <c r="C1494" s="2">
        <v>39905</v>
      </c>
      <c r="D1494" t="s">
        <v>6</v>
      </c>
      <c r="E1494">
        <v>2.9309460000000001</v>
      </c>
      <c r="F1494">
        <f t="shared" si="46"/>
        <v>7.2538999999999909E-2</v>
      </c>
      <c r="G1494">
        <f t="shared" si="47"/>
        <v>153.24810447591102</v>
      </c>
    </row>
    <row r="1495" spans="2:7">
      <c r="B1495" t="s">
        <v>2</v>
      </c>
      <c r="C1495" s="2">
        <v>39904</v>
      </c>
      <c r="D1495" t="s">
        <v>6</v>
      </c>
      <c r="E1495">
        <v>2.8584070000000001</v>
      </c>
      <c r="F1495">
        <f t="shared" si="46"/>
        <v>-1.2036999999999853E-2</v>
      </c>
      <c r="G1495">
        <f t="shared" si="47"/>
        <v>153.2360620554993</v>
      </c>
    </row>
    <row r="1496" spans="2:7">
      <c r="B1496" t="s">
        <v>2</v>
      </c>
      <c r="C1496" s="2">
        <v>39903</v>
      </c>
      <c r="D1496" t="s">
        <v>6</v>
      </c>
      <c r="E1496">
        <v>2.870444</v>
      </c>
      <c r="F1496">
        <f t="shared" si="46"/>
        <v>-2.4312999999999807E-2</v>
      </c>
      <c r="G1496">
        <f t="shared" si="47"/>
        <v>153.58242921313547</v>
      </c>
    </row>
    <row r="1497" spans="2:7">
      <c r="B1497" t="s">
        <v>2</v>
      </c>
      <c r="C1497" s="2">
        <v>39902</v>
      </c>
      <c r="D1497" t="s">
        <v>6</v>
      </c>
      <c r="E1497">
        <v>2.8947569999999998</v>
      </c>
      <c r="F1497">
        <f t="shared" si="46"/>
        <v>-4.8055000000000181E-2</v>
      </c>
      <c r="G1497">
        <f t="shared" si="47"/>
        <v>160.33022567635678</v>
      </c>
    </row>
    <row r="1498" spans="2:7">
      <c r="B1498" t="s">
        <v>2</v>
      </c>
      <c r="C1498" s="2">
        <v>39899</v>
      </c>
      <c r="D1498" t="s">
        <v>6</v>
      </c>
      <c r="E1498">
        <v>2.942812</v>
      </c>
      <c r="F1498">
        <f t="shared" si="46"/>
        <v>1.1686000000000085E-2</v>
      </c>
      <c r="G1498">
        <f t="shared" si="47"/>
        <v>161.0637940587373</v>
      </c>
    </row>
    <row r="1499" spans="2:7">
      <c r="B1499" t="s">
        <v>2</v>
      </c>
      <c r="C1499" s="2">
        <v>39898</v>
      </c>
      <c r="D1499" t="s">
        <v>6</v>
      </c>
      <c r="E1499">
        <v>2.9311259999999999</v>
      </c>
      <c r="F1499">
        <f t="shared" si="46"/>
        <v>-6.7123000000000044E-2</v>
      </c>
      <c r="G1499">
        <f t="shared" si="47"/>
        <v>161.0666191685246</v>
      </c>
    </row>
    <row r="1500" spans="2:7">
      <c r="B1500" t="s">
        <v>2</v>
      </c>
      <c r="C1500" s="2">
        <v>39897</v>
      </c>
      <c r="D1500" t="s">
        <v>6</v>
      </c>
      <c r="E1500">
        <v>2.9982489999999999</v>
      </c>
      <c r="F1500">
        <f t="shared" si="46"/>
        <v>8.5675999999999863E-2</v>
      </c>
      <c r="G1500">
        <f t="shared" si="47"/>
        <v>160.45396008715969</v>
      </c>
    </row>
    <row r="1501" spans="2:7">
      <c r="B1501" t="s">
        <v>2</v>
      </c>
      <c r="C1501" s="2">
        <v>39896</v>
      </c>
      <c r="D1501" t="s">
        <v>6</v>
      </c>
      <c r="E1501">
        <v>2.9125730000000001</v>
      </c>
      <c r="F1501">
        <f t="shared" si="46"/>
        <v>-2.1360999999999741E-2</v>
      </c>
      <c r="G1501">
        <f t="shared" si="47"/>
        <v>160.28456325844752</v>
      </c>
    </row>
    <row r="1502" spans="2:7">
      <c r="B1502" t="s">
        <v>2</v>
      </c>
      <c r="C1502" s="2">
        <v>39895</v>
      </c>
      <c r="D1502" t="s">
        <v>6</v>
      </c>
      <c r="E1502">
        <v>2.9339339999999998</v>
      </c>
      <c r="F1502">
        <f t="shared" si="46"/>
        <v>-1.2701000000000295E-2</v>
      </c>
      <c r="G1502">
        <f t="shared" si="47"/>
        <v>160.56643762151975</v>
      </c>
    </row>
    <row r="1503" spans="2:7">
      <c r="B1503" t="s">
        <v>2</v>
      </c>
      <c r="C1503" s="2">
        <v>39892</v>
      </c>
      <c r="D1503" t="s">
        <v>6</v>
      </c>
      <c r="E1503">
        <v>2.9466350000000001</v>
      </c>
      <c r="F1503">
        <f t="shared" si="46"/>
        <v>5.3643000000000107E-2</v>
      </c>
      <c r="G1503">
        <f t="shared" si="47"/>
        <v>160.62150770540194</v>
      </c>
    </row>
    <row r="1504" spans="2:7">
      <c r="B1504" t="s">
        <v>2</v>
      </c>
      <c r="C1504" s="2">
        <v>39891</v>
      </c>
      <c r="D1504" t="s">
        <v>6</v>
      </c>
      <c r="E1504">
        <v>2.892992</v>
      </c>
      <c r="F1504">
        <f t="shared" si="46"/>
        <v>-2.6082000000000161E-2</v>
      </c>
      <c r="G1504">
        <f t="shared" si="47"/>
        <v>160.5233194388025</v>
      </c>
    </row>
    <row r="1505" spans="2:7">
      <c r="B1505" t="s">
        <v>2</v>
      </c>
      <c r="C1505" s="2">
        <v>39890</v>
      </c>
      <c r="D1505" t="s">
        <v>6</v>
      </c>
      <c r="E1505">
        <v>2.9190740000000002</v>
      </c>
      <c r="F1505">
        <f t="shared" si="46"/>
        <v>-0.29786499999999982</v>
      </c>
      <c r="G1505">
        <f t="shared" si="47"/>
        <v>161.86936561499522</v>
      </c>
    </row>
    <row r="1506" spans="2:7">
      <c r="B1506" t="s">
        <v>2</v>
      </c>
      <c r="C1506" s="2">
        <v>39889</v>
      </c>
      <c r="D1506" t="s">
        <v>6</v>
      </c>
      <c r="E1506">
        <v>3.216939</v>
      </c>
      <c r="F1506">
        <f t="shared" si="46"/>
        <v>5.4996000000000045E-2</v>
      </c>
      <c r="G1506">
        <f t="shared" si="47"/>
        <v>149.65198129265005</v>
      </c>
    </row>
    <row r="1507" spans="2:7">
      <c r="B1507" t="s">
        <v>2</v>
      </c>
      <c r="C1507" s="2">
        <v>39888</v>
      </c>
      <c r="D1507" t="s">
        <v>6</v>
      </c>
      <c r="E1507">
        <v>3.1619429999999999</v>
      </c>
      <c r="F1507">
        <f t="shared" si="46"/>
        <v>5.1502999999999854E-2</v>
      </c>
      <c r="G1507">
        <f t="shared" si="47"/>
        <v>154.21357997050458</v>
      </c>
    </row>
    <row r="1508" spans="2:7">
      <c r="B1508" t="s">
        <v>2</v>
      </c>
      <c r="C1508" s="2">
        <v>39885</v>
      </c>
      <c r="D1508" t="s">
        <v>6</v>
      </c>
      <c r="E1508">
        <v>3.1104400000000001</v>
      </c>
      <c r="F1508">
        <f t="shared" si="46"/>
        <v>4.3712000000000195E-2</v>
      </c>
      <c r="G1508">
        <f t="shared" si="47"/>
        <v>160.73958981036361</v>
      </c>
    </row>
    <row r="1509" spans="2:7">
      <c r="B1509" t="s">
        <v>2</v>
      </c>
      <c r="C1509" s="2">
        <v>39884</v>
      </c>
      <c r="D1509" t="s">
        <v>6</v>
      </c>
      <c r="E1509">
        <v>3.0667279999999999</v>
      </c>
      <c r="F1509">
        <f t="shared" si="46"/>
        <v>-5.3460999999999981E-2</v>
      </c>
      <c r="G1509">
        <f t="shared" si="47"/>
        <v>161.035034238919</v>
      </c>
    </row>
    <row r="1510" spans="2:7">
      <c r="B1510" t="s">
        <v>2</v>
      </c>
      <c r="C1510" s="2">
        <v>39883</v>
      </c>
      <c r="D1510" t="s">
        <v>6</v>
      </c>
      <c r="E1510">
        <v>3.1201889999999999</v>
      </c>
      <c r="F1510">
        <f t="shared" si="46"/>
        <v>-8.8055000000000216E-2</v>
      </c>
      <c r="G1510">
        <f t="shared" si="47"/>
        <v>161.04673495036036</v>
      </c>
    </row>
    <row r="1511" spans="2:7">
      <c r="B1511" t="s">
        <v>2</v>
      </c>
      <c r="C1511" s="2">
        <v>39882</v>
      </c>
      <c r="D1511" t="s">
        <v>6</v>
      </c>
      <c r="E1511">
        <v>3.2082440000000001</v>
      </c>
      <c r="F1511">
        <f t="shared" si="46"/>
        <v>7.7332999999999874E-2</v>
      </c>
      <c r="G1511">
        <f t="shared" si="47"/>
        <v>160.71836463559862</v>
      </c>
    </row>
    <row r="1512" spans="2:7">
      <c r="B1512" t="s">
        <v>2</v>
      </c>
      <c r="C1512" s="2">
        <v>39881</v>
      </c>
      <c r="D1512" t="s">
        <v>6</v>
      </c>
      <c r="E1512">
        <v>3.1309110000000002</v>
      </c>
      <c r="F1512">
        <f t="shared" si="46"/>
        <v>5.1429000000000169E-2</v>
      </c>
      <c r="G1512">
        <f t="shared" si="47"/>
        <v>160.10552192900877</v>
      </c>
    </row>
    <row r="1513" spans="2:7">
      <c r="B1513" t="s">
        <v>2</v>
      </c>
      <c r="C1513" s="2">
        <v>39878</v>
      </c>
      <c r="D1513" t="s">
        <v>6</v>
      </c>
      <c r="E1513">
        <v>3.0794820000000001</v>
      </c>
      <c r="F1513">
        <f t="shared" si="46"/>
        <v>-9.7190000000000332E-3</v>
      </c>
      <c r="G1513">
        <f t="shared" si="47"/>
        <v>159.87198033911426</v>
      </c>
    </row>
    <row r="1514" spans="2:7">
      <c r="B1514" t="s">
        <v>2</v>
      </c>
      <c r="C1514" s="2">
        <v>39877</v>
      </c>
      <c r="D1514" t="s">
        <v>6</v>
      </c>
      <c r="E1514">
        <v>3.0892010000000001</v>
      </c>
      <c r="F1514">
        <f t="shared" si="46"/>
        <v>-0.22578399999999998</v>
      </c>
      <c r="G1514">
        <f t="shared" si="47"/>
        <v>160.16732817203498</v>
      </c>
    </row>
    <row r="1515" spans="2:7">
      <c r="B1515" t="s">
        <v>2</v>
      </c>
      <c r="C1515" s="2">
        <v>39876</v>
      </c>
      <c r="D1515" t="s">
        <v>6</v>
      </c>
      <c r="E1515">
        <v>3.3149850000000001</v>
      </c>
      <c r="F1515">
        <f t="shared" si="46"/>
        <v>7.1941000000000255E-2</v>
      </c>
      <c r="G1515">
        <f t="shared" si="47"/>
        <v>153.23067135318158</v>
      </c>
    </row>
    <row r="1516" spans="2:7">
      <c r="B1516" t="s">
        <v>2</v>
      </c>
      <c r="C1516" s="2">
        <v>39875</v>
      </c>
      <c r="D1516" t="s">
        <v>6</v>
      </c>
      <c r="E1516">
        <v>3.2430439999999998</v>
      </c>
      <c r="F1516">
        <f t="shared" si="46"/>
        <v>8.9489999999998737E-3</v>
      </c>
      <c r="G1516">
        <f t="shared" si="47"/>
        <v>153.19952064142598</v>
      </c>
    </row>
    <row r="1517" spans="2:7">
      <c r="B1517" t="s">
        <v>2</v>
      </c>
      <c r="C1517" s="2">
        <v>39874</v>
      </c>
      <c r="D1517" t="s">
        <v>6</v>
      </c>
      <c r="E1517">
        <v>3.2340949999999999</v>
      </c>
      <c r="F1517">
        <f t="shared" si="46"/>
        <v>-0.10606000000000027</v>
      </c>
      <c r="G1517">
        <f t="shared" si="47"/>
        <v>153.26949465713909</v>
      </c>
    </row>
    <row r="1518" spans="2:7">
      <c r="B1518" t="s">
        <v>2</v>
      </c>
      <c r="C1518" s="2">
        <v>39871</v>
      </c>
      <c r="D1518" t="s">
        <v>6</v>
      </c>
      <c r="E1518">
        <v>3.3401550000000002</v>
      </c>
      <c r="F1518">
        <f t="shared" si="46"/>
        <v>6.1821000000000126E-2</v>
      </c>
      <c r="G1518">
        <f t="shared" si="47"/>
        <v>151.53636819378934</v>
      </c>
    </row>
    <row r="1519" spans="2:7">
      <c r="B1519" t="s">
        <v>2</v>
      </c>
      <c r="C1519" s="2">
        <v>39870</v>
      </c>
      <c r="D1519" t="s">
        <v>6</v>
      </c>
      <c r="E1519">
        <v>3.2783340000000001</v>
      </c>
      <c r="F1519">
        <f t="shared" si="46"/>
        <v>3.2823000000000047E-2</v>
      </c>
      <c r="G1519">
        <f t="shared" si="47"/>
        <v>158.32313508911551</v>
      </c>
    </row>
    <row r="1520" spans="2:7">
      <c r="B1520" t="s">
        <v>2</v>
      </c>
      <c r="C1520" s="2">
        <v>39869</v>
      </c>
      <c r="D1520" t="s">
        <v>6</v>
      </c>
      <c r="E1520">
        <v>3.245511</v>
      </c>
      <c r="F1520">
        <f t="shared" si="46"/>
        <v>0.19088200000000022</v>
      </c>
      <c r="G1520">
        <f t="shared" si="47"/>
        <v>158.42252902088413</v>
      </c>
    </row>
    <row r="1521" spans="2:7">
      <c r="B1521" t="s">
        <v>2</v>
      </c>
      <c r="C1521" s="2">
        <v>39868</v>
      </c>
      <c r="D1521" t="s">
        <v>6</v>
      </c>
      <c r="E1521">
        <v>3.0546289999999998</v>
      </c>
      <c r="F1521">
        <f t="shared" si="46"/>
        <v>3.6686999999999692E-2</v>
      </c>
      <c r="G1521">
        <f t="shared" si="47"/>
        <v>153.71341505995977</v>
      </c>
    </row>
    <row r="1522" spans="2:7">
      <c r="B1522" t="s">
        <v>2</v>
      </c>
      <c r="C1522" s="2">
        <v>39867</v>
      </c>
      <c r="D1522" t="s">
        <v>6</v>
      </c>
      <c r="E1522">
        <v>3.0179420000000001</v>
      </c>
      <c r="F1522">
        <f t="shared" si="46"/>
        <v>-8.6109999999997022E-3</v>
      </c>
      <c r="G1522">
        <f t="shared" si="47"/>
        <v>167.200871151249</v>
      </c>
    </row>
    <row r="1523" spans="2:7">
      <c r="B1523" t="s">
        <v>2</v>
      </c>
      <c r="C1523" s="2">
        <v>39864</v>
      </c>
      <c r="D1523" t="s">
        <v>6</v>
      </c>
      <c r="E1523">
        <v>3.0265529999999998</v>
      </c>
      <c r="F1523">
        <f t="shared" si="46"/>
        <v>-8.0349000000000004E-2</v>
      </c>
      <c r="G1523">
        <f t="shared" si="47"/>
        <v>170.63247877951835</v>
      </c>
    </row>
    <row r="1524" spans="2:7">
      <c r="B1524" t="s">
        <v>2</v>
      </c>
      <c r="C1524" s="2">
        <v>39863</v>
      </c>
      <c r="D1524" t="s">
        <v>6</v>
      </c>
      <c r="E1524">
        <v>3.1069019999999998</v>
      </c>
      <c r="F1524">
        <f t="shared" si="46"/>
        <v>9.5520999999999745E-2</v>
      </c>
      <c r="G1524">
        <f t="shared" si="47"/>
        <v>172.0900925884265</v>
      </c>
    </row>
    <row r="1525" spans="2:7">
      <c r="B1525" t="s">
        <v>2</v>
      </c>
      <c r="C1525" s="2">
        <v>39862</v>
      </c>
      <c r="D1525" t="s">
        <v>6</v>
      </c>
      <c r="E1525">
        <v>3.0113810000000001</v>
      </c>
      <c r="F1525">
        <f t="shared" si="46"/>
        <v>6.3647000000000009E-2</v>
      </c>
      <c r="G1525">
        <f t="shared" si="47"/>
        <v>185.83883567584334</v>
      </c>
    </row>
    <row r="1526" spans="2:7">
      <c r="B1526" t="s">
        <v>2</v>
      </c>
      <c r="C1526" s="2">
        <v>39861</v>
      </c>
      <c r="D1526" t="s">
        <v>6</v>
      </c>
      <c r="E1526">
        <v>2.9477340000000001</v>
      </c>
      <c r="F1526">
        <f t="shared" si="46"/>
        <v>-0.17365200000000014</v>
      </c>
      <c r="G1526">
        <f t="shared" si="47"/>
        <v>188.43290534154272</v>
      </c>
    </row>
    <row r="1527" spans="2:7">
      <c r="B1527" t="s">
        <v>2</v>
      </c>
      <c r="C1527" s="2">
        <v>39857</v>
      </c>
      <c r="D1527" t="s">
        <v>6</v>
      </c>
      <c r="E1527">
        <v>3.1213860000000002</v>
      </c>
      <c r="F1527">
        <f t="shared" si="46"/>
        <v>0.1731250000000002</v>
      </c>
      <c r="G1527">
        <f t="shared" si="47"/>
        <v>188.80502034976936</v>
      </c>
    </row>
    <row r="1528" spans="2:7">
      <c r="B1528" t="s">
        <v>2</v>
      </c>
      <c r="C1528" s="2">
        <v>39856</v>
      </c>
      <c r="D1528" t="s">
        <v>6</v>
      </c>
      <c r="E1528">
        <v>2.948261</v>
      </c>
      <c r="F1528">
        <f t="shared" si="46"/>
        <v>-5.9749000000000052E-2</v>
      </c>
      <c r="G1528">
        <f t="shared" si="47"/>
        <v>184.97778871430722</v>
      </c>
    </row>
    <row r="1529" spans="2:7">
      <c r="B1529" t="s">
        <v>2</v>
      </c>
      <c r="C1529" s="2">
        <v>39855</v>
      </c>
      <c r="D1529" t="s">
        <v>6</v>
      </c>
      <c r="E1529">
        <v>3.0080100000000001</v>
      </c>
      <c r="F1529">
        <f t="shared" si="46"/>
        <v>-0.10261200000000015</v>
      </c>
      <c r="G1529">
        <f t="shared" si="47"/>
        <v>185.02098479574533</v>
      </c>
    </row>
    <row r="1530" spans="2:7">
      <c r="B1530" t="s">
        <v>2</v>
      </c>
      <c r="C1530" s="2">
        <v>39854</v>
      </c>
      <c r="D1530" t="s">
        <v>6</v>
      </c>
      <c r="E1530">
        <v>3.1106220000000002</v>
      </c>
      <c r="F1530">
        <f t="shared" si="46"/>
        <v>-0.14569199999999993</v>
      </c>
      <c r="G1530">
        <f t="shared" si="47"/>
        <v>185.90559357172754</v>
      </c>
    </row>
    <row r="1531" spans="2:7">
      <c r="B1531" t="s">
        <v>2</v>
      </c>
      <c r="C1531" s="2">
        <v>39853</v>
      </c>
      <c r="D1531" t="s">
        <v>6</v>
      </c>
      <c r="E1531">
        <v>3.2563140000000002</v>
      </c>
      <c r="F1531">
        <f t="shared" si="46"/>
        <v>5.1026999999999934E-2</v>
      </c>
      <c r="G1531">
        <f t="shared" si="47"/>
        <v>185.61051379084824</v>
      </c>
    </row>
    <row r="1532" spans="2:7">
      <c r="B1532" t="s">
        <v>2</v>
      </c>
      <c r="C1532" s="2">
        <v>39850</v>
      </c>
      <c r="D1532" t="s">
        <v>6</v>
      </c>
      <c r="E1532">
        <v>3.2052870000000002</v>
      </c>
      <c r="F1532">
        <f t="shared" si="46"/>
        <v>7.1754000000000318E-2</v>
      </c>
      <c r="G1532">
        <f t="shared" si="47"/>
        <v>185.10258305605953</v>
      </c>
    </row>
    <row r="1533" spans="2:7">
      <c r="B1533" t="s">
        <v>2</v>
      </c>
      <c r="C1533" s="2">
        <v>39849</v>
      </c>
      <c r="D1533" t="s">
        <v>6</v>
      </c>
      <c r="E1533">
        <v>3.1335329999999999</v>
      </c>
      <c r="F1533">
        <f t="shared" si="46"/>
        <v>-7.5400000000014344E-4</v>
      </c>
      <c r="G1533">
        <f t="shared" si="47"/>
        <v>184.8419144686099</v>
      </c>
    </row>
    <row r="1534" spans="2:7">
      <c r="B1534" t="s">
        <v>2</v>
      </c>
      <c r="C1534" s="2">
        <v>39848</v>
      </c>
      <c r="D1534" t="s">
        <v>6</v>
      </c>
      <c r="E1534">
        <v>3.134287</v>
      </c>
      <c r="F1534">
        <f t="shared" si="46"/>
        <v>7.9782000000000242E-2</v>
      </c>
      <c r="G1534">
        <f t="shared" si="47"/>
        <v>185.16563948202545</v>
      </c>
    </row>
    <row r="1535" spans="2:7">
      <c r="B1535" t="s">
        <v>2</v>
      </c>
      <c r="C1535" s="2">
        <v>39847</v>
      </c>
      <c r="D1535" t="s">
        <v>6</v>
      </c>
      <c r="E1535">
        <v>3.0545049999999998</v>
      </c>
      <c r="F1535">
        <f t="shared" si="46"/>
        <v>0.1082569999999996</v>
      </c>
      <c r="G1535">
        <f t="shared" si="47"/>
        <v>186.40869932443516</v>
      </c>
    </row>
    <row r="1536" spans="2:7">
      <c r="B1536" t="s">
        <v>2</v>
      </c>
      <c r="C1536" s="2">
        <v>39846</v>
      </c>
      <c r="D1536" t="s">
        <v>6</v>
      </c>
      <c r="E1536">
        <v>2.9462480000000002</v>
      </c>
      <c r="F1536">
        <f t="shared" si="46"/>
        <v>-0.12347099999999989</v>
      </c>
      <c r="G1536">
        <f t="shared" si="47"/>
        <v>187.07604422138763</v>
      </c>
    </row>
    <row r="1537" spans="2:7">
      <c r="B1537" t="s">
        <v>2</v>
      </c>
      <c r="C1537" s="2">
        <v>39843</v>
      </c>
      <c r="D1537" t="s">
        <v>6</v>
      </c>
      <c r="E1537">
        <v>3.0697190000000001</v>
      </c>
      <c r="F1537">
        <f t="shared" si="46"/>
        <v>4.3039000000000271E-2</v>
      </c>
      <c r="G1537">
        <f t="shared" si="47"/>
        <v>185.94911369362944</v>
      </c>
    </row>
    <row r="1538" spans="2:7">
      <c r="B1538" t="s">
        <v>2</v>
      </c>
      <c r="C1538" s="2">
        <v>39842</v>
      </c>
      <c r="D1538" t="s">
        <v>6</v>
      </c>
      <c r="E1538">
        <v>3.0266799999999998</v>
      </c>
      <c r="F1538">
        <f t="shared" si="46"/>
        <v>0.16523999999999983</v>
      </c>
      <c r="G1538">
        <f t="shared" si="47"/>
        <v>185.83078577103322</v>
      </c>
    </row>
    <row r="1539" spans="2:7">
      <c r="B1539" t="s">
        <v>2</v>
      </c>
      <c r="C1539" s="2">
        <v>39841</v>
      </c>
      <c r="D1539" t="s">
        <v>6</v>
      </c>
      <c r="E1539">
        <v>2.86144</v>
      </c>
      <c r="F1539">
        <f t="shared" ref="F1539:F1602" si="48">E1539-E1540</f>
        <v>0.13237200000000016</v>
      </c>
      <c r="G1539">
        <f t="shared" ref="G1539:G1602" si="49">STDEV(F1539:F1598)*SQRT(250)*100</f>
        <v>182.41876748952558</v>
      </c>
    </row>
    <row r="1540" spans="2:7">
      <c r="B1540" t="s">
        <v>2</v>
      </c>
      <c r="C1540" s="2">
        <v>39840</v>
      </c>
      <c r="D1540" t="s">
        <v>6</v>
      </c>
      <c r="E1540">
        <v>2.7290679999999998</v>
      </c>
      <c r="F1540">
        <f t="shared" si="48"/>
        <v>-9.9535000000000373E-2</v>
      </c>
      <c r="G1540">
        <f t="shared" si="49"/>
        <v>179.62745896441922</v>
      </c>
    </row>
    <row r="1541" spans="2:7">
      <c r="B1541" t="s">
        <v>2</v>
      </c>
      <c r="C1541" s="2">
        <v>39839</v>
      </c>
      <c r="D1541" t="s">
        <v>6</v>
      </c>
      <c r="E1541">
        <v>2.8286030000000002</v>
      </c>
      <c r="F1541">
        <f t="shared" si="48"/>
        <v>4.6973000000000376E-2</v>
      </c>
      <c r="G1541">
        <f t="shared" si="49"/>
        <v>182.1301327333689</v>
      </c>
    </row>
    <row r="1542" spans="2:7">
      <c r="B1542" t="s">
        <v>2</v>
      </c>
      <c r="C1542" s="2">
        <v>39836</v>
      </c>
      <c r="D1542" t="s">
        <v>6</v>
      </c>
      <c r="E1542">
        <v>2.7816299999999998</v>
      </c>
      <c r="F1542">
        <f t="shared" si="48"/>
        <v>5.5226999999999915E-2</v>
      </c>
      <c r="G1542">
        <f t="shared" si="49"/>
        <v>182.10082231146183</v>
      </c>
    </row>
    <row r="1543" spans="2:7">
      <c r="B1543" t="s">
        <v>2</v>
      </c>
      <c r="C1543" s="2">
        <v>39835</v>
      </c>
      <c r="D1543" t="s">
        <v>6</v>
      </c>
      <c r="E1543">
        <v>2.7264029999999999</v>
      </c>
      <c r="F1543">
        <f t="shared" si="48"/>
        <v>8.316100000000004E-2</v>
      </c>
      <c r="G1543">
        <f t="shared" si="49"/>
        <v>189.10110785485713</v>
      </c>
    </row>
    <row r="1544" spans="2:7">
      <c r="B1544" t="s">
        <v>2</v>
      </c>
      <c r="C1544" s="2">
        <v>39834</v>
      </c>
      <c r="D1544" t="s">
        <v>6</v>
      </c>
      <c r="E1544">
        <v>2.6432419999999999</v>
      </c>
      <c r="F1544">
        <f t="shared" si="48"/>
        <v>0.18782799999999966</v>
      </c>
      <c r="G1544">
        <f t="shared" si="49"/>
        <v>188.42301180725309</v>
      </c>
    </row>
    <row r="1545" spans="2:7">
      <c r="B1545" t="s">
        <v>2</v>
      </c>
      <c r="C1545" s="2">
        <v>39833</v>
      </c>
      <c r="D1545" t="s">
        <v>6</v>
      </c>
      <c r="E1545">
        <v>2.4554140000000002</v>
      </c>
      <c r="F1545">
        <f t="shared" si="48"/>
        <v>3.288100000000016E-2</v>
      </c>
      <c r="G1545">
        <f t="shared" si="49"/>
        <v>183.43834692393636</v>
      </c>
    </row>
    <row r="1546" spans="2:7">
      <c r="B1546" t="s">
        <v>2</v>
      </c>
      <c r="C1546" s="2">
        <v>39829</v>
      </c>
      <c r="D1546" t="s">
        <v>6</v>
      </c>
      <c r="E1546">
        <v>2.422533</v>
      </c>
      <c r="F1546">
        <f t="shared" si="48"/>
        <v>5.4320999999999842E-2</v>
      </c>
      <c r="G1546">
        <f t="shared" si="49"/>
        <v>188.91641927192416</v>
      </c>
    </row>
    <row r="1547" spans="2:7">
      <c r="B1547" t="s">
        <v>2</v>
      </c>
      <c r="C1547" s="2">
        <v>39828</v>
      </c>
      <c r="D1547" t="s">
        <v>6</v>
      </c>
      <c r="E1547">
        <v>2.3682120000000002</v>
      </c>
      <c r="F1547">
        <f t="shared" si="48"/>
        <v>2.290800000000015E-2</v>
      </c>
      <c r="G1547">
        <f t="shared" si="49"/>
        <v>189.17930806311057</v>
      </c>
    </row>
    <row r="1548" spans="2:7">
      <c r="B1548" t="s">
        <v>2</v>
      </c>
      <c r="C1548" s="2">
        <v>39827</v>
      </c>
      <c r="D1548" t="s">
        <v>6</v>
      </c>
      <c r="E1548">
        <v>2.3453040000000001</v>
      </c>
      <c r="F1548">
        <f t="shared" si="48"/>
        <v>-9.7007999999999761E-2</v>
      </c>
      <c r="G1548">
        <f t="shared" si="49"/>
        <v>188.79435495173379</v>
      </c>
    </row>
    <row r="1549" spans="2:7">
      <c r="B1549" t="s">
        <v>2</v>
      </c>
      <c r="C1549" s="2">
        <v>39826</v>
      </c>
      <c r="D1549" t="s">
        <v>6</v>
      </c>
      <c r="E1549">
        <v>2.4423119999999998</v>
      </c>
      <c r="F1549">
        <f t="shared" si="48"/>
        <v>-5.5200000000001914E-3</v>
      </c>
      <c r="G1549">
        <f t="shared" si="49"/>
        <v>188.62171489403065</v>
      </c>
    </row>
    <row r="1550" spans="2:7">
      <c r="B1550" t="s">
        <v>2</v>
      </c>
      <c r="C1550" s="2">
        <v>39825</v>
      </c>
      <c r="D1550" t="s">
        <v>6</v>
      </c>
      <c r="E1550">
        <v>2.447832</v>
      </c>
      <c r="F1550">
        <f t="shared" si="48"/>
        <v>-9.8768999999999885E-2</v>
      </c>
      <c r="G1550">
        <f t="shared" si="49"/>
        <v>188.60952076106776</v>
      </c>
    </row>
    <row r="1551" spans="2:7">
      <c r="B1551" t="s">
        <v>2</v>
      </c>
      <c r="C1551" s="2">
        <v>39822</v>
      </c>
      <c r="D1551" t="s">
        <v>6</v>
      </c>
      <c r="E1551">
        <v>2.5466009999999999</v>
      </c>
      <c r="F1551">
        <f t="shared" si="48"/>
        <v>-4.9765000000000281E-2</v>
      </c>
      <c r="G1551">
        <f t="shared" si="49"/>
        <v>191.47360144261134</v>
      </c>
    </row>
    <row r="1552" spans="2:7">
      <c r="B1552" t="s">
        <v>2</v>
      </c>
      <c r="C1552" s="2">
        <v>39821</v>
      </c>
      <c r="D1552" t="s">
        <v>6</v>
      </c>
      <c r="E1552">
        <v>2.5963660000000002</v>
      </c>
      <c r="F1552">
        <f t="shared" si="48"/>
        <v>-0.10394599999999965</v>
      </c>
      <c r="G1552">
        <f t="shared" si="49"/>
        <v>192.25347543980479</v>
      </c>
    </row>
    <row r="1553" spans="2:7">
      <c r="B1553" t="s">
        <v>2</v>
      </c>
      <c r="C1553" s="2">
        <v>39820</v>
      </c>
      <c r="D1553" t="s">
        <v>6</v>
      </c>
      <c r="E1553">
        <v>2.7003119999999998</v>
      </c>
      <c r="F1553">
        <f t="shared" si="48"/>
        <v>-8.3787000000000056E-2</v>
      </c>
      <c r="G1553">
        <f t="shared" si="49"/>
        <v>196.62131383597264</v>
      </c>
    </row>
    <row r="1554" spans="2:7">
      <c r="B1554" t="s">
        <v>2</v>
      </c>
      <c r="C1554" s="2">
        <v>39819</v>
      </c>
      <c r="D1554" t="s">
        <v>6</v>
      </c>
      <c r="E1554">
        <v>2.7840989999999999</v>
      </c>
      <c r="F1554">
        <f t="shared" si="48"/>
        <v>-6.9396000000000235E-2</v>
      </c>
      <c r="G1554">
        <f t="shared" si="49"/>
        <v>198.19128615815228</v>
      </c>
    </row>
    <row r="1555" spans="2:7">
      <c r="B1555" t="s">
        <v>2</v>
      </c>
      <c r="C1555" s="2">
        <v>39818</v>
      </c>
      <c r="D1555" t="s">
        <v>6</v>
      </c>
      <c r="E1555">
        <v>2.8534950000000001</v>
      </c>
      <c r="F1555">
        <f t="shared" si="48"/>
        <v>5.2272000000000318E-2</v>
      </c>
      <c r="G1555">
        <f t="shared" si="49"/>
        <v>198.6072025402442</v>
      </c>
    </row>
    <row r="1556" spans="2:7">
      <c r="B1556" t="s">
        <v>2</v>
      </c>
      <c r="C1556" s="2">
        <v>39815</v>
      </c>
      <c r="D1556" t="s">
        <v>6</v>
      </c>
      <c r="E1556">
        <v>2.8012229999999998</v>
      </c>
      <c r="F1556">
        <f t="shared" si="48"/>
        <v>0.2285389999999996</v>
      </c>
      <c r="G1556">
        <f t="shared" si="49"/>
        <v>203.33250993791566</v>
      </c>
    </row>
    <row r="1557" spans="2:7">
      <c r="B1557" t="s">
        <v>2</v>
      </c>
      <c r="C1557" s="2">
        <v>39813</v>
      </c>
      <c r="D1557" t="s">
        <v>6</v>
      </c>
      <c r="E1557">
        <v>2.5726840000000002</v>
      </c>
      <c r="F1557">
        <f t="shared" si="48"/>
        <v>9.9063000000000123E-2</v>
      </c>
      <c r="G1557">
        <f t="shared" si="49"/>
        <v>196.40468027952568</v>
      </c>
    </row>
    <row r="1558" spans="2:7">
      <c r="B1558" t="s">
        <v>2</v>
      </c>
      <c r="C1558" s="2">
        <v>39812</v>
      </c>
      <c r="D1558" t="s">
        <v>6</v>
      </c>
      <c r="E1558">
        <v>2.4736210000000001</v>
      </c>
      <c r="F1558">
        <f t="shared" si="48"/>
        <v>1.6470000000001761E-3</v>
      </c>
      <c r="G1558">
        <f t="shared" si="49"/>
        <v>194.86972109854503</v>
      </c>
    </row>
    <row r="1559" spans="2:7">
      <c r="B1559" t="s">
        <v>2</v>
      </c>
      <c r="C1559" s="2">
        <v>39811</v>
      </c>
      <c r="D1559" t="s">
        <v>6</v>
      </c>
      <c r="E1559">
        <v>2.4719739999999999</v>
      </c>
      <c r="F1559">
        <f t="shared" si="48"/>
        <v>-2.3560000000000247E-2</v>
      </c>
      <c r="G1559">
        <f t="shared" si="49"/>
        <v>194.83384240865254</v>
      </c>
    </row>
    <row r="1560" spans="2:7">
      <c r="B1560" t="s">
        <v>2</v>
      </c>
      <c r="C1560" s="2">
        <v>39808</v>
      </c>
      <c r="D1560" t="s">
        <v>6</v>
      </c>
      <c r="E1560">
        <v>2.4955340000000001</v>
      </c>
      <c r="F1560">
        <f t="shared" si="48"/>
        <v>-6.2753999999999976E-2</v>
      </c>
      <c r="G1560">
        <f t="shared" si="49"/>
        <v>201.59450497477533</v>
      </c>
    </row>
    <row r="1561" spans="2:7">
      <c r="B1561" t="s">
        <v>2</v>
      </c>
      <c r="C1561" s="2">
        <v>39806</v>
      </c>
      <c r="D1561" t="s">
        <v>6</v>
      </c>
      <c r="E1561">
        <v>2.5582880000000001</v>
      </c>
      <c r="F1561">
        <f t="shared" si="48"/>
        <v>6.0583000000000276E-2</v>
      </c>
      <c r="G1561">
        <f t="shared" si="49"/>
        <v>205.89942337297634</v>
      </c>
    </row>
    <row r="1562" spans="2:7">
      <c r="B1562" t="s">
        <v>2</v>
      </c>
      <c r="C1562" s="2">
        <v>39805</v>
      </c>
      <c r="D1562" t="s">
        <v>6</v>
      </c>
      <c r="E1562">
        <v>2.4977049999999998</v>
      </c>
      <c r="F1562">
        <f t="shared" si="48"/>
        <v>3.6540000000000017E-2</v>
      </c>
      <c r="G1562">
        <f t="shared" si="49"/>
        <v>205.09247704005585</v>
      </c>
    </row>
    <row r="1563" spans="2:7">
      <c r="B1563" t="s">
        <v>2</v>
      </c>
      <c r="C1563" s="2">
        <v>39804</v>
      </c>
      <c r="D1563" t="s">
        <v>6</v>
      </c>
      <c r="E1563">
        <v>2.4611649999999998</v>
      </c>
      <c r="F1563">
        <f t="shared" si="48"/>
        <v>4.4589999999999907E-2</v>
      </c>
      <c r="G1563">
        <f t="shared" si="49"/>
        <v>205.20705445213358</v>
      </c>
    </row>
    <row r="1564" spans="2:7">
      <c r="B1564" t="s">
        <v>2</v>
      </c>
      <c r="C1564" s="2">
        <v>39801</v>
      </c>
      <c r="D1564" t="s">
        <v>6</v>
      </c>
      <c r="E1564">
        <v>2.4165749999999999</v>
      </c>
      <c r="F1564">
        <f t="shared" si="48"/>
        <v>0.11627600000000005</v>
      </c>
      <c r="G1564">
        <f t="shared" si="49"/>
        <v>204.55775796667578</v>
      </c>
    </row>
    <row r="1565" spans="2:7">
      <c r="B1565" t="s">
        <v>2</v>
      </c>
      <c r="C1565" s="2">
        <v>39800</v>
      </c>
      <c r="D1565" t="s">
        <v>6</v>
      </c>
      <c r="E1565">
        <v>2.3002989999999999</v>
      </c>
      <c r="F1565">
        <f t="shared" si="48"/>
        <v>-6.7391000000000201E-2</v>
      </c>
      <c r="G1565">
        <f t="shared" si="49"/>
        <v>202.85421144311755</v>
      </c>
    </row>
    <row r="1566" spans="2:7">
      <c r="B1566" t="s">
        <v>2</v>
      </c>
      <c r="C1566" s="2">
        <v>39799</v>
      </c>
      <c r="D1566" t="s">
        <v>6</v>
      </c>
      <c r="E1566">
        <v>2.3676900000000001</v>
      </c>
      <c r="F1566">
        <f t="shared" si="48"/>
        <v>-0.17359899999999984</v>
      </c>
      <c r="G1566">
        <f t="shared" si="49"/>
        <v>203.82287890910732</v>
      </c>
    </row>
    <row r="1567" spans="2:7">
      <c r="B1567" t="s">
        <v>2</v>
      </c>
      <c r="C1567" s="2">
        <v>39798</v>
      </c>
      <c r="D1567" t="s">
        <v>6</v>
      </c>
      <c r="E1567">
        <v>2.5412889999999999</v>
      </c>
      <c r="F1567">
        <f t="shared" si="48"/>
        <v>-0.21636500000000014</v>
      </c>
      <c r="G1567">
        <f t="shared" si="49"/>
        <v>215.63350536904733</v>
      </c>
    </row>
    <row r="1568" spans="2:7">
      <c r="B1568" t="s">
        <v>2</v>
      </c>
      <c r="C1568" s="2">
        <v>39797</v>
      </c>
      <c r="D1568" t="s">
        <v>6</v>
      </c>
      <c r="E1568">
        <v>2.757654</v>
      </c>
      <c r="F1568">
        <f t="shared" si="48"/>
        <v>-5.6095000000000006E-2</v>
      </c>
      <c r="G1568">
        <f t="shared" si="49"/>
        <v>212.16239426256948</v>
      </c>
    </row>
    <row r="1569" spans="2:7">
      <c r="B1569" t="s">
        <v>2</v>
      </c>
      <c r="C1569" s="2">
        <v>39794</v>
      </c>
      <c r="D1569" t="s">
        <v>6</v>
      </c>
      <c r="E1569">
        <v>2.8137490000000001</v>
      </c>
      <c r="F1569">
        <f t="shared" si="48"/>
        <v>-5.4227000000000025E-2</v>
      </c>
      <c r="G1569">
        <f t="shared" si="49"/>
        <v>212.11290394292109</v>
      </c>
    </row>
    <row r="1570" spans="2:7">
      <c r="B1570" t="s">
        <v>2</v>
      </c>
      <c r="C1570" s="2">
        <v>39793</v>
      </c>
      <c r="D1570" t="s">
        <v>6</v>
      </c>
      <c r="E1570">
        <v>2.8679760000000001</v>
      </c>
      <c r="F1570">
        <f t="shared" si="48"/>
        <v>-7.3395999999999795E-2</v>
      </c>
      <c r="G1570">
        <f t="shared" si="49"/>
        <v>212.3075449579801</v>
      </c>
    </row>
    <row r="1571" spans="2:7">
      <c r="B1571" t="s">
        <v>2</v>
      </c>
      <c r="C1571" s="2">
        <v>39792</v>
      </c>
      <c r="D1571" t="s">
        <v>6</v>
      </c>
      <c r="E1571">
        <v>2.9413719999999999</v>
      </c>
      <c r="F1571">
        <f t="shared" si="48"/>
        <v>-2.4628000000000316E-2</v>
      </c>
      <c r="G1571">
        <f t="shared" si="49"/>
        <v>217.1875395200972</v>
      </c>
    </row>
    <row r="1572" spans="2:7">
      <c r="B1572" t="s">
        <v>2</v>
      </c>
      <c r="C1572" s="2">
        <v>39791</v>
      </c>
      <c r="D1572" t="s">
        <v>6</v>
      </c>
      <c r="E1572">
        <v>2.9660000000000002</v>
      </c>
      <c r="F1572">
        <f t="shared" si="48"/>
        <v>-2.3714999999999709E-2</v>
      </c>
      <c r="G1572">
        <f t="shared" si="49"/>
        <v>219.17494033470075</v>
      </c>
    </row>
    <row r="1573" spans="2:7">
      <c r="B1573" t="s">
        <v>2</v>
      </c>
      <c r="C1573" s="2">
        <v>39790</v>
      </c>
      <c r="D1573" t="s">
        <v>6</v>
      </c>
      <c r="E1573">
        <v>2.9897149999999999</v>
      </c>
      <c r="F1573">
        <f t="shared" si="48"/>
        <v>5.0661999999999985E-2</v>
      </c>
      <c r="G1573">
        <f t="shared" si="49"/>
        <v>219.1886831539243</v>
      </c>
    </row>
    <row r="1574" spans="2:7">
      <c r="B1574" t="s">
        <v>2</v>
      </c>
      <c r="C1574" s="2">
        <v>39787</v>
      </c>
      <c r="D1574" t="s">
        <v>6</v>
      </c>
      <c r="E1574">
        <v>2.9390529999999999</v>
      </c>
      <c r="F1574">
        <f t="shared" si="48"/>
        <v>4.7867000000000104E-2</v>
      </c>
      <c r="G1574">
        <f t="shared" si="49"/>
        <v>218.94585455710947</v>
      </c>
    </row>
    <row r="1575" spans="2:7">
      <c r="B1575" t="s">
        <v>2</v>
      </c>
      <c r="C1575" s="2">
        <v>39786</v>
      </c>
      <c r="D1575" t="s">
        <v>6</v>
      </c>
      <c r="E1575">
        <v>2.8911859999999998</v>
      </c>
      <c r="F1575">
        <f t="shared" si="48"/>
        <v>-5.825400000000025E-2</v>
      </c>
      <c r="G1575">
        <f t="shared" si="49"/>
        <v>218.5091959097731</v>
      </c>
    </row>
    <row r="1576" spans="2:7">
      <c r="B1576" t="s">
        <v>2</v>
      </c>
      <c r="C1576" s="2">
        <v>39785</v>
      </c>
      <c r="D1576" t="s">
        <v>6</v>
      </c>
      <c r="E1576">
        <v>2.9494400000000001</v>
      </c>
      <c r="F1576">
        <f t="shared" si="48"/>
        <v>2.7883000000000102E-2</v>
      </c>
      <c r="G1576">
        <f t="shared" si="49"/>
        <v>218.62643178232139</v>
      </c>
    </row>
    <row r="1577" spans="2:7">
      <c r="B1577" t="s">
        <v>2</v>
      </c>
      <c r="C1577" s="2">
        <v>39784</v>
      </c>
      <c r="D1577" t="s">
        <v>6</v>
      </c>
      <c r="E1577">
        <v>2.921557</v>
      </c>
      <c r="F1577">
        <f t="shared" si="48"/>
        <v>-4.1130000000002553E-3</v>
      </c>
      <c r="G1577">
        <f t="shared" si="49"/>
        <v>218.53652806668916</v>
      </c>
    </row>
    <row r="1578" spans="2:7">
      <c r="B1578" t="s">
        <v>2</v>
      </c>
      <c r="C1578" s="2">
        <v>39783</v>
      </c>
      <c r="D1578" t="s">
        <v>6</v>
      </c>
      <c r="E1578">
        <v>2.9256700000000002</v>
      </c>
      <c r="F1578">
        <f t="shared" si="48"/>
        <v>-0.22551599999999983</v>
      </c>
      <c r="G1578">
        <f t="shared" si="49"/>
        <v>218.68848410184935</v>
      </c>
    </row>
    <row r="1579" spans="2:7">
      <c r="B1579" t="s">
        <v>2</v>
      </c>
      <c r="C1579" s="2">
        <v>39780</v>
      </c>
      <c r="D1579" t="s">
        <v>6</v>
      </c>
      <c r="E1579">
        <v>3.151186</v>
      </c>
      <c r="F1579">
        <f t="shared" si="48"/>
        <v>-4.0001000000000175E-2</v>
      </c>
      <c r="G1579">
        <f t="shared" si="49"/>
        <v>214.7226655767617</v>
      </c>
    </row>
    <row r="1580" spans="2:7">
      <c r="B1580" t="s">
        <v>2</v>
      </c>
      <c r="C1580" s="2">
        <v>39778</v>
      </c>
      <c r="D1580" t="s">
        <v>6</v>
      </c>
      <c r="E1580">
        <v>3.1911870000000002</v>
      </c>
      <c r="F1580">
        <f t="shared" si="48"/>
        <v>-4.7565999999999775E-2</v>
      </c>
      <c r="G1580">
        <f t="shared" si="49"/>
        <v>214.75701623807856</v>
      </c>
    </row>
    <row r="1581" spans="2:7">
      <c r="B1581" t="s">
        <v>2</v>
      </c>
      <c r="C1581" s="2">
        <v>39777</v>
      </c>
      <c r="D1581" t="s">
        <v>6</v>
      </c>
      <c r="E1581">
        <v>3.238753</v>
      </c>
      <c r="F1581">
        <f t="shared" si="48"/>
        <v>-0.32857199999999986</v>
      </c>
      <c r="G1581">
        <f t="shared" si="49"/>
        <v>214.73694364639567</v>
      </c>
    </row>
    <row r="1582" spans="2:7">
      <c r="B1582" t="s">
        <v>2</v>
      </c>
      <c r="C1582" s="2">
        <v>39776</v>
      </c>
      <c r="D1582" t="s">
        <v>6</v>
      </c>
      <c r="E1582">
        <v>3.5673249999999999</v>
      </c>
      <c r="F1582">
        <f t="shared" si="48"/>
        <v>0.15763899999999964</v>
      </c>
      <c r="G1582">
        <f t="shared" si="49"/>
        <v>205.03007453537211</v>
      </c>
    </row>
    <row r="1583" spans="2:7">
      <c r="B1583" t="s">
        <v>2</v>
      </c>
      <c r="C1583" s="2">
        <v>39773</v>
      </c>
      <c r="D1583" t="s">
        <v>6</v>
      </c>
      <c r="E1583">
        <v>3.4096860000000002</v>
      </c>
      <c r="F1583">
        <f t="shared" si="48"/>
        <v>0.12771000000000043</v>
      </c>
      <c r="G1583">
        <f t="shared" si="49"/>
        <v>201.86587311704054</v>
      </c>
    </row>
    <row r="1584" spans="2:7">
      <c r="B1584" t="s">
        <v>2</v>
      </c>
      <c r="C1584" s="2">
        <v>39772</v>
      </c>
      <c r="D1584" t="s">
        <v>6</v>
      </c>
      <c r="E1584">
        <v>3.2819759999999998</v>
      </c>
      <c r="F1584">
        <f t="shared" si="48"/>
        <v>-0.36253500000000027</v>
      </c>
      <c r="G1584">
        <f t="shared" si="49"/>
        <v>199.58266917096481</v>
      </c>
    </row>
    <row r="1585" spans="2:7">
      <c r="B1585" t="s">
        <v>2</v>
      </c>
      <c r="C1585" s="2">
        <v>39771</v>
      </c>
      <c r="D1585" t="s">
        <v>6</v>
      </c>
      <c r="E1585">
        <v>3.6445110000000001</v>
      </c>
      <c r="F1585">
        <f t="shared" si="48"/>
        <v>-0.18208899999999995</v>
      </c>
      <c r="G1585">
        <f t="shared" si="49"/>
        <v>186.71611562050265</v>
      </c>
    </row>
    <row r="1586" spans="2:7">
      <c r="B1586" t="s">
        <v>2</v>
      </c>
      <c r="C1586" s="2">
        <v>39770</v>
      </c>
      <c r="D1586" t="s">
        <v>6</v>
      </c>
      <c r="E1586">
        <v>3.8266</v>
      </c>
      <c r="F1586">
        <f t="shared" si="48"/>
        <v>-0.18375400000000042</v>
      </c>
      <c r="G1586">
        <f t="shared" si="49"/>
        <v>183.79963679241786</v>
      </c>
    </row>
    <row r="1587" spans="2:7">
      <c r="B1587" t="s">
        <v>2</v>
      </c>
      <c r="C1587" s="2">
        <v>39769</v>
      </c>
      <c r="D1587" t="s">
        <v>6</v>
      </c>
      <c r="E1587">
        <v>4.0103540000000004</v>
      </c>
      <c r="F1587">
        <f t="shared" si="48"/>
        <v>-6.4863999999999145E-2</v>
      </c>
      <c r="G1587">
        <f t="shared" si="49"/>
        <v>180.46369149453906</v>
      </c>
    </row>
    <row r="1588" spans="2:7">
      <c r="B1588" t="s">
        <v>2</v>
      </c>
      <c r="C1588" s="2">
        <v>39766</v>
      </c>
      <c r="D1588" t="s">
        <v>6</v>
      </c>
      <c r="E1588">
        <v>4.0752179999999996</v>
      </c>
      <c r="F1588">
        <f t="shared" si="48"/>
        <v>-6.4123000000000374E-2</v>
      </c>
      <c r="G1588">
        <f t="shared" si="49"/>
        <v>180.63670618153949</v>
      </c>
    </row>
    <row r="1589" spans="2:7">
      <c r="B1589" t="s">
        <v>2</v>
      </c>
      <c r="C1589" s="2">
        <v>39765</v>
      </c>
      <c r="D1589" t="s">
        <v>6</v>
      </c>
      <c r="E1589">
        <v>4.1393409999999999</v>
      </c>
      <c r="F1589">
        <f t="shared" si="48"/>
        <v>0.10556799999999988</v>
      </c>
      <c r="G1589">
        <f t="shared" si="49"/>
        <v>180.28139951924001</v>
      </c>
    </row>
    <row r="1590" spans="2:7">
      <c r="B1590" t="s">
        <v>2</v>
      </c>
      <c r="C1590" s="2">
        <v>39764</v>
      </c>
      <c r="D1590" t="s">
        <v>6</v>
      </c>
      <c r="E1590">
        <v>4.0337730000000001</v>
      </c>
      <c r="F1590">
        <f t="shared" si="48"/>
        <v>-0.13536199999999976</v>
      </c>
      <c r="G1590">
        <f t="shared" si="49"/>
        <v>178.7508108978802</v>
      </c>
    </row>
    <row r="1591" spans="2:7">
      <c r="B1591" t="s">
        <v>2</v>
      </c>
      <c r="C1591" s="2">
        <v>39762</v>
      </c>
      <c r="D1591" t="s">
        <v>6</v>
      </c>
      <c r="E1591">
        <v>4.1691349999999998</v>
      </c>
      <c r="F1591">
        <f t="shared" si="48"/>
        <v>-2.0662000000000624E-2</v>
      </c>
      <c r="G1591">
        <f t="shared" si="49"/>
        <v>176.85235949348987</v>
      </c>
    </row>
    <row r="1592" spans="2:7">
      <c r="B1592" t="s">
        <v>2</v>
      </c>
      <c r="C1592" s="2">
        <v>39759</v>
      </c>
      <c r="D1592" t="s">
        <v>6</v>
      </c>
      <c r="E1592">
        <v>4.1897970000000004</v>
      </c>
      <c r="F1592">
        <f t="shared" si="48"/>
        <v>5.7754000000000083E-2</v>
      </c>
      <c r="G1592">
        <f t="shared" si="49"/>
        <v>176.95029405330231</v>
      </c>
    </row>
    <row r="1593" spans="2:7">
      <c r="B1593" t="s">
        <v>2</v>
      </c>
      <c r="C1593" s="2">
        <v>39758</v>
      </c>
      <c r="D1593" t="s">
        <v>6</v>
      </c>
      <c r="E1593">
        <v>4.1320430000000004</v>
      </c>
      <c r="F1593">
        <f t="shared" si="48"/>
        <v>3.9087000000000316E-2</v>
      </c>
      <c r="G1593">
        <f t="shared" si="49"/>
        <v>176.48289124888882</v>
      </c>
    </row>
    <row r="1594" spans="2:7">
      <c r="B1594" t="s">
        <v>2</v>
      </c>
      <c r="C1594" s="2">
        <v>39757</v>
      </c>
      <c r="D1594" t="s">
        <v>6</v>
      </c>
      <c r="E1594">
        <v>4.092956</v>
      </c>
      <c r="F1594">
        <f t="shared" si="48"/>
        <v>-0.16101899999999958</v>
      </c>
      <c r="G1594">
        <f t="shared" si="49"/>
        <v>177.08448907815142</v>
      </c>
    </row>
    <row r="1595" spans="2:7">
      <c r="B1595" t="s">
        <v>2</v>
      </c>
      <c r="C1595" s="2">
        <v>39756</v>
      </c>
      <c r="D1595" t="s">
        <v>6</v>
      </c>
      <c r="E1595">
        <v>4.2539749999999996</v>
      </c>
      <c r="F1595">
        <f t="shared" si="48"/>
        <v>-0.17379500000000014</v>
      </c>
      <c r="G1595">
        <f t="shared" si="49"/>
        <v>174.63559954666351</v>
      </c>
    </row>
    <row r="1596" spans="2:7">
      <c r="B1596" t="s">
        <v>2</v>
      </c>
      <c r="C1596" s="2">
        <v>39755</v>
      </c>
      <c r="D1596" t="s">
        <v>6</v>
      </c>
      <c r="E1596">
        <v>4.4277699999999998</v>
      </c>
      <c r="F1596">
        <f t="shared" si="48"/>
        <v>-2.4389000000000216E-2</v>
      </c>
      <c r="G1596">
        <f t="shared" si="49"/>
        <v>171.21210900925675</v>
      </c>
    </row>
    <row r="1597" spans="2:7">
      <c r="B1597" t="s">
        <v>2</v>
      </c>
      <c r="C1597" s="2">
        <v>39752</v>
      </c>
      <c r="D1597" t="s">
        <v>6</v>
      </c>
      <c r="E1597">
        <v>4.452159</v>
      </c>
      <c r="F1597">
        <f t="shared" si="48"/>
        <v>3.4660999999999831E-2</v>
      </c>
      <c r="G1597">
        <f t="shared" si="49"/>
        <v>172.22380190843725</v>
      </c>
    </row>
    <row r="1598" spans="2:7">
      <c r="B1598" t="s">
        <v>2</v>
      </c>
      <c r="C1598" s="2">
        <v>39751</v>
      </c>
      <c r="D1598" t="s">
        <v>6</v>
      </c>
      <c r="E1598">
        <v>4.4174980000000001</v>
      </c>
      <c r="F1598">
        <f t="shared" si="48"/>
        <v>5.462300000000031E-2</v>
      </c>
      <c r="G1598">
        <f t="shared" si="49"/>
        <v>172.38009538371685</v>
      </c>
    </row>
    <row r="1599" spans="2:7">
      <c r="B1599" t="s">
        <v>2</v>
      </c>
      <c r="C1599" s="2">
        <v>39750</v>
      </c>
      <c r="D1599" t="s">
        <v>6</v>
      </c>
      <c r="E1599">
        <v>4.3628749999999998</v>
      </c>
      <c r="F1599">
        <f t="shared" si="48"/>
        <v>9.2729999999994206E-3</v>
      </c>
      <c r="G1599">
        <f t="shared" si="49"/>
        <v>172.00834246412694</v>
      </c>
    </row>
    <row r="1600" spans="2:7">
      <c r="B1600" t="s">
        <v>2</v>
      </c>
      <c r="C1600" s="2">
        <v>39749</v>
      </c>
      <c r="D1600" t="s">
        <v>6</v>
      </c>
      <c r="E1600">
        <v>4.3536020000000004</v>
      </c>
      <c r="F1600">
        <f t="shared" si="48"/>
        <v>0.13895100000000049</v>
      </c>
      <c r="G1600">
        <f t="shared" si="49"/>
        <v>172.37682296286386</v>
      </c>
    </row>
    <row r="1601" spans="2:7">
      <c r="B1601" t="s">
        <v>2</v>
      </c>
      <c r="C1601" s="2">
        <v>39748</v>
      </c>
      <c r="D1601" t="s">
        <v>6</v>
      </c>
      <c r="E1601">
        <v>4.2146509999999999</v>
      </c>
      <c r="F1601">
        <f t="shared" si="48"/>
        <v>4.5151999999999859E-2</v>
      </c>
      <c r="G1601">
        <f t="shared" si="49"/>
        <v>169.76081527871068</v>
      </c>
    </row>
    <row r="1602" spans="2:7">
      <c r="B1602" t="s">
        <v>2</v>
      </c>
      <c r="C1602" s="2">
        <v>39745</v>
      </c>
      <c r="D1602" t="s">
        <v>6</v>
      </c>
      <c r="E1602">
        <v>4.1694990000000001</v>
      </c>
      <c r="F1602">
        <f t="shared" si="48"/>
        <v>0.23767499999999986</v>
      </c>
      <c r="G1602">
        <f t="shared" si="49"/>
        <v>169.59983702379935</v>
      </c>
    </row>
    <row r="1603" spans="2:7">
      <c r="B1603" t="s">
        <v>2</v>
      </c>
      <c r="C1603" s="2">
        <v>39744</v>
      </c>
      <c r="D1603" t="s">
        <v>6</v>
      </c>
      <c r="E1603">
        <v>3.9318240000000002</v>
      </c>
      <c r="F1603">
        <f t="shared" ref="F1603:F1666" si="50">E1603-E1604</f>
        <v>-9.1706999999999983E-2</v>
      </c>
      <c r="G1603">
        <f t="shared" ref="G1603:G1666" si="51">STDEV(F1603:F1662)*SQRT(250)*100</f>
        <v>161.67108158560279</v>
      </c>
    </row>
    <row r="1604" spans="2:7">
      <c r="B1604" t="s">
        <v>2</v>
      </c>
      <c r="C1604" s="2">
        <v>39743</v>
      </c>
      <c r="D1604" t="s">
        <v>6</v>
      </c>
      <c r="E1604">
        <v>4.0235310000000002</v>
      </c>
      <c r="F1604">
        <f t="shared" si="50"/>
        <v>-6.5094999999999459E-2</v>
      </c>
      <c r="G1604">
        <f t="shared" si="51"/>
        <v>161.08578680650237</v>
      </c>
    </row>
    <row r="1605" spans="2:7">
      <c r="B1605" t="s">
        <v>2</v>
      </c>
      <c r="C1605" s="2">
        <v>39742</v>
      </c>
      <c r="D1605" t="s">
        <v>6</v>
      </c>
      <c r="E1605">
        <v>4.0886259999999996</v>
      </c>
      <c r="F1605">
        <f t="shared" si="50"/>
        <v>-0.25778300000000076</v>
      </c>
      <c r="G1605">
        <f t="shared" si="51"/>
        <v>161.45025383214926</v>
      </c>
    </row>
    <row r="1606" spans="2:7">
      <c r="B1606" t="s">
        <v>2</v>
      </c>
      <c r="C1606" s="2">
        <v>39741</v>
      </c>
      <c r="D1606" t="s">
        <v>6</v>
      </c>
      <c r="E1606">
        <v>4.3464090000000004</v>
      </c>
      <c r="F1606">
        <f t="shared" si="50"/>
        <v>-0.13404299999999925</v>
      </c>
      <c r="G1606">
        <f t="shared" si="51"/>
        <v>154.66688061741928</v>
      </c>
    </row>
    <row r="1607" spans="2:7">
      <c r="B1607" t="s">
        <v>2</v>
      </c>
      <c r="C1607" s="2">
        <v>39738</v>
      </c>
      <c r="D1607" t="s">
        <v>6</v>
      </c>
      <c r="E1607">
        <v>4.4804519999999997</v>
      </c>
      <c r="F1607">
        <f t="shared" si="50"/>
        <v>-3.5557999999999979E-2</v>
      </c>
      <c r="G1607">
        <f t="shared" si="51"/>
        <v>155.24230572311177</v>
      </c>
    </row>
    <row r="1608" spans="2:7">
      <c r="B1608" t="s">
        <v>2</v>
      </c>
      <c r="C1608" s="2">
        <v>39737</v>
      </c>
      <c r="D1608" t="s">
        <v>6</v>
      </c>
      <c r="E1608">
        <v>4.5160099999999996</v>
      </c>
      <c r="F1608">
        <f t="shared" si="50"/>
        <v>-8.2718000000000735E-2</v>
      </c>
      <c r="G1608">
        <f t="shared" si="51"/>
        <v>155.25078583635056</v>
      </c>
    </row>
    <row r="1609" spans="2:7">
      <c r="B1609" t="s">
        <v>2</v>
      </c>
      <c r="C1609" s="2">
        <v>39736</v>
      </c>
      <c r="D1609" t="s">
        <v>6</v>
      </c>
      <c r="E1609">
        <v>4.5987280000000004</v>
      </c>
      <c r="F1609">
        <f t="shared" si="50"/>
        <v>-7.3589999999992273E-3</v>
      </c>
      <c r="G1609">
        <f t="shared" si="51"/>
        <v>154.46615903986071</v>
      </c>
    </row>
    <row r="1610" spans="2:7">
      <c r="B1610" t="s">
        <v>2</v>
      </c>
      <c r="C1610" s="2">
        <v>39735</v>
      </c>
      <c r="D1610" t="s">
        <v>6</v>
      </c>
      <c r="E1610">
        <v>4.6060869999999996</v>
      </c>
      <c r="F1610">
        <f t="shared" si="50"/>
        <v>0.13888799999999968</v>
      </c>
      <c r="G1610">
        <f t="shared" si="51"/>
        <v>154.61630908157059</v>
      </c>
    </row>
    <row r="1611" spans="2:7">
      <c r="B1611" t="s">
        <v>2</v>
      </c>
      <c r="C1611" s="2">
        <v>39731</v>
      </c>
      <c r="D1611" t="s">
        <v>6</v>
      </c>
      <c r="E1611">
        <v>4.4671989999999999</v>
      </c>
      <c r="F1611">
        <f t="shared" si="50"/>
        <v>5.4941000000000351E-2</v>
      </c>
      <c r="G1611">
        <f t="shared" si="51"/>
        <v>152.2876238146614</v>
      </c>
    </row>
    <row r="1612" spans="2:7">
      <c r="B1612" t="s">
        <v>2</v>
      </c>
      <c r="C1612" s="2">
        <v>39730</v>
      </c>
      <c r="D1612" t="s">
        <v>6</v>
      </c>
      <c r="E1612">
        <v>4.4122579999999996</v>
      </c>
      <c r="F1612">
        <f t="shared" si="50"/>
        <v>0.18634299999999993</v>
      </c>
      <c r="G1612">
        <f t="shared" si="51"/>
        <v>155.88931536925773</v>
      </c>
    </row>
    <row r="1613" spans="2:7">
      <c r="B1613" t="s">
        <v>2</v>
      </c>
      <c r="C1613" s="2">
        <v>39729</v>
      </c>
      <c r="D1613" t="s">
        <v>6</v>
      </c>
      <c r="E1613">
        <v>4.2259149999999996</v>
      </c>
      <c r="F1613">
        <f t="shared" si="50"/>
        <v>0.11120399999999986</v>
      </c>
      <c r="G1613">
        <f t="shared" si="51"/>
        <v>152.18034516737694</v>
      </c>
    </row>
    <row r="1614" spans="2:7">
      <c r="B1614" t="s">
        <v>2</v>
      </c>
      <c r="C1614" s="2">
        <v>39728</v>
      </c>
      <c r="D1614" t="s">
        <v>6</v>
      </c>
      <c r="E1614">
        <v>4.1147109999999998</v>
      </c>
      <c r="F1614">
        <f t="shared" si="50"/>
        <v>5.7786000000000115E-2</v>
      </c>
      <c r="G1614">
        <f t="shared" si="51"/>
        <v>150.41009300657007</v>
      </c>
    </row>
    <row r="1615" spans="2:7">
      <c r="B1615" t="s">
        <v>2</v>
      </c>
      <c r="C1615" s="2">
        <v>39727</v>
      </c>
      <c r="D1615" t="s">
        <v>6</v>
      </c>
      <c r="E1615">
        <v>4.0569249999999997</v>
      </c>
      <c r="F1615">
        <f t="shared" si="50"/>
        <v>-0.24710000000000054</v>
      </c>
      <c r="G1615">
        <f t="shared" si="51"/>
        <v>150.07834527274443</v>
      </c>
    </row>
    <row r="1616" spans="2:7">
      <c r="B1616" t="s">
        <v>2</v>
      </c>
      <c r="C1616" s="2">
        <v>39724</v>
      </c>
      <c r="D1616" t="s">
        <v>6</v>
      </c>
      <c r="E1616">
        <v>4.3040250000000002</v>
      </c>
      <c r="F1616">
        <f t="shared" si="50"/>
        <v>-3.5713999999999579E-2</v>
      </c>
      <c r="G1616">
        <f t="shared" si="51"/>
        <v>143.51761347888674</v>
      </c>
    </row>
    <row r="1617" spans="2:7">
      <c r="B1617" t="s">
        <v>2</v>
      </c>
      <c r="C1617" s="2">
        <v>39723</v>
      </c>
      <c r="D1617" t="s">
        <v>6</v>
      </c>
      <c r="E1617">
        <v>4.3397389999999998</v>
      </c>
      <c r="F1617">
        <f t="shared" si="50"/>
        <v>-8.3264999999999922E-2</v>
      </c>
      <c r="G1617">
        <f t="shared" si="51"/>
        <v>143.36755717976115</v>
      </c>
    </row>
    <row r="1618" spans="2:7">
      <c r="B1618" t="s">
        <v>2</v>
      </c>
      <c r="C1618" s="2">
        <v>39722</v>
      </c>
      <c r="D1618" t="s">
        <v>6</v>
      </c>
      <c r="E1618">
        <v>4.4230039999999997</v>
      </c>
      <c r="F1618">
        <f t="shared" si="50"/>
        <v>-6.2556999999999974E-2</v>
      </c>
      <c r="G1618">
        <f t="shared" si="51"/>
        <v>143.5572651799273</v>
      </c>
    </row>
    <row r="1619" spans="2:7">
      <c r="B1619" t="s">
        <v>2</v>
      </c>
      <c r="C1619" s="2">
        <v>39721</v>
      </c>
      <c r="D1619" t="s">
        <v>6</v>
      </c>
      <c r="E1619">
        <v>4.4855609999999997</v>
      </c>
      <c r="F1619">
        <f t="shared" si="50"/>
        <v>0.22009399999999957</v>
      </c>
      <c r="G1619">
        <f t="shared" si="51"/>
        <v>144.09305805677292</v>
      </c>
    </row>
    <row r="1620" spans="2:7">
      <c r="B1620" t="s">
        <v>2</v>
      </c>
      <c r="C1620" s="2">
        <v>39720</v>
      </c>
      <c r="D1620" t="s">
        <v>6</v>
      </c>
      <c r="E1620">
        <v>4.2654670000000001</v>
      </c>
      <c r="F1620">
        <f t="shared" si="50"/>
        <v>-0.23688999999999982</v>
      </c>
      <c r="G1620">
        <f t="shared" si="51"/>
        <v>136.41099738732765</v>
      </c>
    </row>
    <row r="1621" spans="2:7">
      <c r="B1621" t="s">
        <v>2</v>
      </c>
      <c r="C1621" s="2">
        <v>39717</v>
      </c>
      <c r="D1621" t="s">
        <v>6</v>
      </c>
      <c r="E1621">
        <v>4.5023569999999999</v>
      </c>
      <c r="F1621">
        <f t="shared" si="50"/>
        <v>-6.5315000000000012E-2</v>
      </c>
      <c r="G1621">
        <f t="shared" si="51"/>
        <v>128.13010474111161</v>
      </c>
    </row>
    <row r="1622" spans="2:7">
      <c r="B1622" t="s">
        <v>2</v>
      </c>
      <c r="C1622" s="2">
        <v>39716</v>
      </c>
      <c r="D1622" t="s">
        <v>6</v>
      </c>
      <c r="E1622">
        <v>4.567672</v>
      </c>
      <c r="F1622">
        <f t="shared" si="50"/>
        <v>4.3967000000000311E-2</v>
      </c>
      <c r="G1622">
        <f t="shared" si="51"/>
        <v>127.52777195877958</v>
      </c>
    </row>
    <row r="1623" spans="2:7">
      <c r="B1623" t="s">
        <v>2</v>
      </c>
      <c r="C1623" s="2">
        <v>39715</v>
      </c>
      <c r="D1623" t="s">
        <v>6</v>
      </c>
      <c r="E1623">
        <v>4.5237049999999996</v>
      </c>
      <c r="F1623">
        <f t="shared" si="50"/>
        <v>-2.7756000000000114E-2</v>
      </c>
      <c r="G1623">
        <f t="shared" si="51"/>
        <v>127.40657061325959</v>
      </c>
    </row>
    <row r="1624" spans="2:7">
      <c r="B1624" t="s">
        <v>2</v>
      </c>
      <c r="C1624" s="2">
        <v>39714</v>
      </c>
      <c r="D1624" t="s">
        <v>6</v>
      </c>
      <c r="E1624">
        <v>4.5514609999999998</v>
      </c>
      <c r="F1624">
        <f t="shared" si="50"/>
        <v>4.6649999999999636E-2</v>
      </c>
      <c r="G1624">
        <f t="shared" si="51"/>
        <v>127.39879279571053</v>
      </c>
    </row>
    <row r="1625" spans="2:7">
      <c r="B1625" t="s">
        <v>2</v>
      </c>
      <c r="C1625" s="2">
        <v>39713</v>
      </c>
      <c r="D1625" t="s">
        <v>6</v>
      </c>
      <c r="E1625">
        <v>4.5048110000000001</v>
      </c>
      <c r="F1625">
        <f t="shared" si="50"/>
        <v>6.5884999999999749E-2</v>
      </c>
      <c r="G1625">
        <f t="shared" si="51"/>
        <v>127.20798330194489</v>
      </c>
    </row>
    <row r="1626" spans="2:7">
      <c r="B1626" t="s">
        <v>2</v>
      </c>
      <c r="C1626" s="2">
        <v>39710</v>
      </c>
      <c r="D1626" t="s">
        <v>6</v>
      </c>
      <c r="E1626">
        <v>4.4389260000000004</v>
      </c>
      <c r="F1626">
        <f t="shared" si="50"/>
        <v>0.34053100000000036</v>
      </c>
      <c r="G1626">
        <f t="shared" si="51"/>
        <v>127.14161513455227</v>
      </c>
    </row>
    <row r="1627" spans="2:7">
      <c r="B1627" t="s">
        <v>2</v>
      </c>
      <c r="C1627" s="2">
        <v>39709</v>
      </c>
      <c r="D1627" t="s">
        <v>6</v>
      </c>
      <c r="E1627">
        <v>4.098395</v>
      </c>
      <c r="F1627">
        <f t="shared" si="50"/>
        <v>2.0385000000000097E-2</v>
      </c>
      <c r="G1627">
        <f t="shared" si="51"/>
        <v>104.8509393184999</v>
      </c>
    </row>
    <row r="1628" spans="2:7">
      <c r="B1628" t="s">
        <v>2</v>
      </c>
      <c r="C1628" s="2">
        <v>39708</v>
      </c>
      <c r="D1628" t="s">
        <v>6</v>
      </c>
      <c r="E1628">
        <v>4.0780099999999999</v>
      </c>
      <c r="F1628">
        <f t="shared" si="50"/>
        <v>-4.7844999999999693E-2</v>
      </c>
      <c r="G1628">
        <f t="shared" si="51"/>
        <v>105.17367720483783</v>
      </c>
    </row>
    <row r="1629" spans="2:7">
      <c r="B1629" t="s">
        <v>2</v>
      </c>
      <c r="C1629" s="2">
        <v>39707</v>
      </c>
      <c r="D1629" t="s">
        <v>6</v>
      </c>
      <c r="E1629">
        <v>4.1258549999999996</v>
      </c>
      <c r="F1629">
        <f t="shared" si="50"/>
        <v>3.4046999999999272E-2</v>
      </c>
      <c r="G1629">
        <f t="shared" si="51"/>
        <v>105.66218666106231</v>
      </c>
    </row>
    <row r="1630" spans="2:7">
      <c r="B1630" t="s">
        <v>2</v>
      </c>
      <c r="C1630" s="2">
        <v>39706</v>
      </c>
      <c r="D1630" t="s">
        <v>6</v>
      </c>
      <c r="E1630">
        <v>4.0918080000000003</v>
      </c>
      <c r="F1630">
        <f t="shared" si="50"/>
        <v>-0.25016600000000011</v>
      </c>
      <c r="G1630">
        <f t="shared" si="51"/>
        <v>105.24963575798523</v>
      </c>
    </row>
    <row r="1631" spans="2:7">
      <c r="B1631" t="s">
        <v>2</v>
      </c>
      <c r="C1631" s="2">
        <v>39703</v>
      </c>
      <c r="D1631" t="s">
        <v>6</v>
      </c>
      <c r="E1631">
        <v>4.3419740000000004</v>
      </c>
      <c r="F1631">
        <f t="shared" si="50"/>
        <v>0.12095300000000009</v>
      </c>
      <c r="G1631">
        <f t="shared" si="51"/>
        <v>93.502334790798159</v>
      </c>
    </row>
    <row r="1632" spans="2:7">
      <c r="B1632" t="s">
        <v>2</v>
      </c>
      <c r="C1632" s="2">
        <v>39702</v>
      </c>
      <c r="D1632" t="s">
        <v>6</v>
      </c>
      <c r="E1632">
        <v>4.2210210000000004</v>
      </c>
      <c r="F1632">
        <f t="shared" si="50"/>
        <v>-3.3225999999999978E-2</v>
      </c>
      <c r="G1632">
        <f t="shared" si="51"/>
        <v>91.586404900564617</v>
      </c>
    </row>
    <row r="1633" spans="2:7">
      <c r="B1633" t="s">
        <v>2</v>
      </c>
      <c r="C1633" s="2">
        <v>39701</v>
      </c>
      <c r="D1633" t="s">
        <v>6</v>
      </c>
      <c r="E1633">
        <v>4.2542470000000003</v>
      </c>
      <c r="F1633">
        <f t="shared" si="50"/>
        <v>3.0327999999999911E-2</v>
      </c>
      <c r="G1633">
        <f t="shared" si="51"/>
        <v>91.814436076631807</v>
      </c>
    </row>
    <row r="1634" spans="2:7">
      <c r="B1634" t="s">
        <v>2</v>
      </c>
      <c r="C1634" s="2">
        <v>39700</v>
      </c>
      <c r="D1634" t="s">
        <v>6</v>
      </c>
      <c r="E1634">
        <v>4.2239190000000004</v>
      </c>
      <c r="F1634">
        <f t="shared" si="50"/>
        <v>-4.207099999999997E-2</v>
      </c>
      <c r="G1634">
        <f t="shared" si="51"/>
        <v>91.398905916611085</v>
      </c>
    </row>
    <row r="1635" spans="2:7">
      <c r="B1635" t="s">
        <v>2</v>
      </c>
      <c r="C1635" s="2">
        <v>39699</v>
      </c>
      <c r="D1635" t="s">
        <v>6</v>
      </c>
      <c r="E1635">
        <v>4.2659900000000004</v>
      </c>
      <c r="F1635">
        <f t="shared" si="50"/>
        <v>-7.2529999999999539E-2</v>
      </c>
      <c r="G1635">
        <f t="shared" si="51"/>
        <v>92.44987183539331</v>
      </c>
    </row>
    <row r="1636" spans="2:7">
      <c r="B1636" t="s">
        <v>2</v>
      </c>
      <c r="C1636" s="2">
        <v>39696</v>
      </c>
      <c r="D1636" t="s">
        <v>6</v>
      </c>
      <c r="E1636">
        <v>4.3385199999999999</v>
      </c>
      <c r="F1636">
        <f t="shared" si="50"/>
        <v>1.7819999999999503E-2</v>
      </c>
      <c r="G1636">
        <f t="shared" si="51"/>
        <v>95.459002344012205</v>
      </c>
    </row>
    <row r="1637" spans="2:7">
      <c r="B1637" t="s">
        <v>2</v>
      </c>
      <c r="C1637" s="2">
        <v>39695</v>
      </c>
      <c r="D1637" t="s">
        <v>6</v>
      </c>
      <c r="E1637">
        <v>4.3207000000000004</v>
      </c>
      <c r="F1637">
        <f t="shared" si="50"/>
        <v>-6.8096999999999852E-2</v>
      </c>
      <c r="G1637">
        <f t="shared" si="51"/>
        <v>96.164260916113633</v>
      </c>
    </row>
    <row r="1638" spans="2:7">
      <c r="B1638" t="s">
        <v>2</v>
      </c>
      <c r="C1638" s="2">
        <v>39694</v>
      </c>
      <c r="D1638" t="s">
        <v>6</v>
      </c>
      <c r="E1638">
        <v>4.3887970000000003</v>
      </c>
      <c r="F1638">
        <f t="shared" si="50"/>
        <v>-4.5152999999999999E-2</v>
      </c>
      <c r="G1638">
        <f t="shared" si="51"/>
        <v>98.663194283812444</v>
      </c>
    </row>
    <row r="1639" spans="2:7">
      <c r="B1639" t="s">
        <v>2</v>
      </c>
      <c r="C1639" s="2">
        <v>39693</v>
      </c>
      <c r="D1639" t="s">
        <v>6</v>
      </c>
      <c r="E1639">
        <v>4.4339500000000003</v>
      </c>
      <c r="F1639">
        <f t="shared" si="50"/>
        <v>-4.7759999999999359E-2</v>
      </c>
      <c r="G1639">
        <f t="shared" si="51"/>
        <v>98.947981162973292</v>
      </c>
    </row>
    <row r="1640" spans="2:7">
      <c r="B1640" t="s">
        <v>2</v>
      </c>
      <c r="C1640" s="2">
        <v>39689</v>
      </c>
      <c r="D1640" t="s">
        <v>6</v>
      </c>
      <c r="E1640">
        <v>4.4817099999999996</v>
      </c>
      <c r="F1640">
        <f t="shared" si="50"/>
        <v>1.1879999999999669E-3</v>
      </c>
      <c r="G1640">
        <f t="shared" si="51"/>
        <v>99.441537201211759</v>
      </c>
    </row>
    <row r="1641" spans="2:7">
      <c r="B1641" t="s">
        <v>2</v>
      </c>
      <c r="C1641" s="2">
        <v>39688</v>
      </c>
      <c r="D1641" t="s">
        <v>6</v>
      </c>
      <c r="E1641">
        <v>4.4805219999999997</v>
      </c>
      <c r="F1641">
        <f t="shared" si="50"/>
        <v>-8.5000000000334808E-5</v>
      </c>
      <c r="G1641">
        <f t="shared" si="51"/>
        <v>103.76391645424256</v>
      </c>
    </row>
    <row r="1642" spans="2:7">
      <c r="B1642" t="s">
        <v>2</v>
      </c>
      <c r="C1642" s="2">
        <v>39687</v>
      </c>
      <c r="D1642" t="s">
        <v>6</v>
      </c>
      <c r="E1642">
        <v>4.480607</v>
      </c>
      <c r="F1642">
        <f t="shared" si="50"/>
        <v>-1.9626999999999839E-2</v>
      </c>
      <c r="G1642">
        <f t="shared" si="51"/>
        <v>104.70556037316561</v>
      </c>
    </row>
    <row r="1643" spans="2:7">
      <c r="B1643" t="s">
        <v>2</v>
      </c>
      <c r="C1643" s="2">
        <v>39686</v>
      </c>
      <c r="D1643" t="s">
        <v>6</v>
      </c>
      <c r="E1643">
        <v>4.5002339999999998</v>
      </c>
      <c r="F1643">
        <f t="shared" si="50"/>
        <v>-2.412599999999987E-2</v>
      </c>
      <c r="G1643">
        <f t="shared" si="51"/>
        <v>105.53745965192545</v>
      </c>
    </row>
    <row r="1644" spans="2:7">
      <c r="B1644" t="s">
        <v>2</v>
      </c>
      <c r="C1644" s="2">
        <v>39685</v>
      </c>
      <c r="D1644" t="s">
        <v>6</v>
      </c>
      <c r="E1644">
        <v>4.5243599999999997</v>
      </c>
      <c r="F1644">
        <f t="shared" si="50"/>
        <v>-5.4324000000000261E-2</v>
      </c>
      <c r="G1644">
        <f t="shared" si="51"/>
        <v>106.41700467327946</v>
      </c>
    </row>
    <row r="1645" spans="2:7">
      <c r="B1645" t="s">
        <v>2</v>
      </c>
      <c r="C1645" s="2">
        <v>39682</v>
      </c>
      <c r="D1645" t="s">
        <v>6</v>
      </c>
      <c r="E1645">
        <v>4.578684</v>
      </c>
      <c r="F1645">
        <f t="shared" si="50"/>
        <v>3.9619000000000071E-2</v>
      </c>
      <c r="G1645">
        <f t="shared" si="51"/>
        <v>106.20476984971307</v>
      </c>
    </row>
    <row r="1646" spans="2:7">
      <c r="B1646" t="s">
        <v>2</v>
      </c>
      <c r="C1646" s="2">
        <v>39681</v>
      </c>
      <c r="D1646" t="s">
        <v>6</v>
      </c>
      <c r="E1646">
        <v>4.5390649999999999</v>
      </c>
      <c r="F1646">
        <f t="shared" si="50"/>
        <v>2.8303000000000189E-2</v>
      </c>
      <c r="G1646">
        <f t="shared" si="51"/>
        <v>107.18547364846498</v>
      </c>
    </row>
    <row r="1647" spans="2:7">
      <c r="B1647" t="s">
        <v>2</v>
      </c>
      <c r="C1647" s="2">
        <v>39680</v>
      </c>
      <c r="D1647" t="s">
        <v>6</v>
      </c>
      <c r="E1647">
        <v>4.5107619999999997</v>
      </c>
      <c r="F1647">
        <f t="shared" si="50"/>
        <v>-7.6690000000000147E-2</v>
      </c>
      <c r="G1647">
        <f t="shared" si="51"/>
        <v>108.7961218948714</v>
      </c>
    </row>
    <row r="1648" spans="2:7">
      <c r="B1648" t="s">
        <v>2</v>
      </c>
      <c r="C1648" s="2">
        <v>39679</v>
      </c>
      <c r="D1648" t="s">
        <v>6</v>
      </c>
      <c r="E1648">
        <v>4.5874519999999999</v>
      </c>
      <c r="F1648">
        <f t="shared" si="50"/>
        <v>3.2550000000002299E-3</v>
      </c>
      <c r="G1648">
        <f t="shared" si="51"/>
        <v>109.8699153790827</v>
      </c>
    </row>
    <row r="1649" spans="2:7">
      <c r="B1649" t="s">
        <v>2</v>
      </c>
      <c r="C1649" s="2">
        <v>39678</v>
      </c>
      <c r="D1649" t="s">
        <v>6</v>
      </c>
      <c r="E1649">
        <v>4.5841969999999996</v>
      </c>
      <c r="F1649">
        <f t="shared" si="50"/>
        <v>-1.2884000000000562E-2</v>
      </c>
      <c r="G1649">
        <f t="shared" si="51"/>
        <v>111.05954389787667</v>
      </c>
    </row>
    <row r="1650" spans="2:7">
      <c r="B1650" t="s">
        <v>2</v>
      </c>
      <c r="C1650" s="2">
        <v>39675</v>
      </c>
      <c r="D1650" t="s">
        <v>6</v>
      </c>
      <c r="E1650">
        <v>4.5970810000000002</v>
      </c>
      <c r="F1650">
        <f t="shared" si="50"/>
        <v>-2.1728999999999665E-2</v>
      </c>
      <c r="G1650">
        <f t="shared" si="51"/>
        <v>113.32584325248595</v>
      </c>
    </row>
    <row r="1651" spans="2:7">
      <c r="B1651" t="s">
        <v>2</v>
      </c>
      <c r="C1651" s="2">
        <v>39674</v>
      </c>
      <c r="D1651" t="s">
        <v>6</v>
      </c>
      <c r="E1651">
        <v>4.6188099999999999</v>
      </c>
      <c r="F1651">
        <f t="shared" si="50"/>
        <v>-3.9066000000000045E-2</v>
      </c>
      <c r="G1651">
        <f t="shared" si="51"/>
        <v>113.6363194124953</v>
      </c>
    </row>
    <row r="1652" spans="2:7">
      <c r="B1652" t="s">
        <v>2</v>
      </c>
      <c r="C1652" s="2">
        <v>39673</v>
      </c>
      <c r="D1652" t="s">
        <v>6</v>
      </c>
      <c r="E1652">
        <v>4.6578759999999999</v>
      </c>
      <c r="F1652">
        <f t="shared" si="50"/>
        <v>1.2990000000000279E-2</v>
      </c>
      <c r="G1652">
        <f t="shared" si="51"/>
        <v>113.78350667742114</v>
      </c>
    </row>
    <row r="1653" spans="2:7">
      <c r="B1653" t="s">
        <v>2</v>
      </c>
      <c r="C1653" s="2">
        <v>39672</v>
      </c>
      <c r="D1653" t="s">
        <v>6</v>
      </c>
      <c r="E1653">
        <v>4.6448859999999996</v>
      </c>
      <c r="F1653">
        <f t="shared" si="50"/>
        <v>-9.5677000000000234E-2</v>
      </c>
      <c r="G1653">
        <f t="shared" si="51"/>
        <v>113.92308907927186</v>
      </c>
    </row>
    <row r="1654" spans="2:7">
      <c r="B1654" t="s">
        <v>2</v>
      </c>
      <c r="C1654" s="2">
        <v>39671</v>
      </c>
      <c r="D1654" t="s">
        <v>6</v>
      </c>
      <c r="E1654">
        <v>4.7405629999999999</v>
      </c>
      <c r="F1654">
        <f t="shared" si="50"/>
        <v>4.3400000000000105E-2</v>
      </c>
      <c r="G1654">
        <f t="shared" si="51"/>
        <v>112.0548211563364</v>
      </c>
    </row>
    <row r="1655" spans="2:7">
      <c r="B1655" t="s">
        <v>2</v>
      </c>
      <c r="C1655" s="2">
        <v>39668</v>
      </c>
      <c r="D1655" t="s">
        <v>6</v>
      </c>
      <c r="E1655">
        <v>4.6971629999999998</v>
      </c>
      <c r="F1655">
        <f t="shared" si="50"/>
        <v>1.0343999999999909E-2</v>
      </c>
      <c r="G1655">
        <f t="shared" si="51"/>
        <v>115.03959595511866</v>
      </c>
    </row>
    <row r="1656" spans="2:7">
      <c r="B1656" t="s">
        <v>2</v>
      </c>
      <c r="C1656" s="2">
        <v>39667</v>
      </c>
      <c r="D1656" t="s">
        <v>6</v>
      </c>
      <c r="E1656">
        <v>4.6868189999999998</v>
      </c>
      <c r="F1656">
        <f t="shared" si="50"/>
        <v>-9.7547999999999746E-2</v>
      </c>
      <c r="G1656">
        <f t="shared" si="51"/>
        <v>115.07320912619798</v>
      </c>
    </row>
    <row r="1657" spans="2:7">
      <c r="B1657" t="s">
        <v>2</v>
      </c>
      <c r="C1657" s="2">
        <v>39666</v>
      </c>
      <c r="D1657" t="s">
        <v>6</v>
      </c>
      <c r="E1657">
        <v>4.7843669999999996</v>
      </c>
      <c r="F1657">
        <f t="shared" si="50"/>
        <v>4.8221999999999987E-2</v>
      </c>
      <c r="G1657">
        <f t="shared" si="51"/>
        <v>118.23897033696053</v>
      </c>
    </row>
    <row r="1658" spans="2:7">
      <c r="B1658" t="s">
        <v>2</v>
      </c>
      <c r="C1658" s="2">
        <v>39665</v>
      </c>
      <c r="D1658" t="s">
        <v>6</v>
      </c>
      <c r="E1658">
        <v>4.7361449999999996</v>
      </c>
      <c r="F1658">
        <f t="shared" si="50"/>
        <v>1.901499999999956E-2</v>
      </c>
      <c r="G1658">
        <f t="shared" si="51"/>
        <v>117.92567182669276</v>
      </c>
    </row>
    <row r="1659" spans="2:7">
      <c r="B1659" t="s">
        <v>2</v>
      </c>
      <c r="C1659" s="2">
        <v>39664</v>
      </c>
      <c r="D1659" t="s">
        <v>6</v>
      </c>
      <c r="E1659">
        <v>4.71713</v>
      </c>
      <c r="F1659">
        <f t="shared" si="50"/>
        <v>5.1142999999999716E-2</v>
      </c>
      <c r="G1659">
        <f t="shared" si="51"/>
        <v>118.02229327887628</v>
      </c>
    </row>
    <row r="1660" spans="2:7">
      <c r="B1660" t="s">
        <v>2</v>
      </c>
      <c r="C1660" s="2">
        <v>39661</v>
      </c>
      <c r="D1660" t="s">
        <v>6</v>
      </c>
      <c r="E1660">
        <v>4.6659870000000003</v>
      </c>
      <c r="F1660">
        <f t="shared" si="50"/>
        <v>-1.0958999999999719E-2</v>
      </c>
      <c r="G1660">
        <f t="shared" si="51"/>
        <v>119.15666300462431</v>
      </c>
    </row>
    <row r="1661" spans="2:7">
      <c r="B1661" t="s">
        <v>2</v>
      </c>
      <c r="C1661" s="2">
        <v>39660</v>
      </c>
      <c r="D1661" t="s">
        <v>6</v>
      </c>
      <c r="E1661">
        <v>4.676946</v>
      </c>
      <c r="F1661">
        <f t="shared" si="50"/>
        <v>-4.8327999999999705E-2</v>
      </c>
      <c r="G1661">
        <f t="shared" si="51"/>
        <v>119.41359411081839</v>
      </c>
    </row>
    <row r="1662" spans="2:7">
      <c r="B1662" t="s">
        <v>2</v>
      </c>
      <c r="C1662" s="2">
        <v>39659</v>
      </c>
      <c r="D1662" t="s">
        <v>6</v>
      </c>
      <c r="E1662">
        <v>4.7252739999999998</v>
      </c>
      <c r="F1662">
        <f t="shared" si="50"/>
        <v>-1.8481000000000414E-2</v>
      </c>
      <c r="G1662">
        <f t="shared" si="51"/>
        <v>119.45485805166769</v>
      </c>
    </row>
    <row r="1663" spans="2:7">
      <c r="B1663" t="s">
        <v>2</v>
      </c>
      <c r="C1663" s="2">
        <v>39658</v>
      </c>
      <c r="D1663" t="s">
        <v>6</v>
      </c>
      <c r="E1663">
        <v>4.7437550000000002</v>
      </c>
      <c r="F1663">
        <f t="shared" si="50"/>
        <v>3.0059000000000502E-2</v>
      </c>
      <c r="G1663">
        <f t="shared" si="51"/>
        <v>119.36054688509535</v>
      </c>
    </row>
    <row r="1664" spans="2:7">
      <c r="B1664" t="s">
        <v>2</v>
      </c>
      <c r="C1664" s="2">
        <v>39657</v>
      </c>
      <c r="D1664" t="s">
        <v>6</v>
      </c>
      <c r="E1664">
        <v>4.7136959999999997</v>
      </c>
      <c r="F1664">
        <f t="shared" si="50"/>
        <v>-8.6697000000000024E-2</v>
      </c>
      <c r="G1664">
        <f t="shared" si="51"/>
        <v>120.58357125541205</v>
      </c>
    </row>
    <row r="1665" spans="2:7">
      <c r="B1665" t="s">
        <v>2</v>
      </c>
      <c r="C1665" s="2">
        <v>39654</v>
      </c>
      <c r="D1665" t="s">
        <v>6</v>
      </c>
      <c r="E1665">
        <v>4.8003929999999997</v>
      </c>
      <c r="F1665">
        <f t="shared" si="50"/>
        <v>9.7566999999999737E-2</v>
      </c>
      <c r="G1665">
        <f t="shared" si="51"/>
        <v>119.08577878933144</v>
      </c>
    </row>
    <row r="1666" spans="2:7">
      <c r="B1666" t="s">
        <v>2</v>
      </c>
      <c r="C1666" s="2">
        <v>39653</v>
      </c>
      <c r="D1666" t="s">
        <v>6</v>
      </c>
      <c r="E1666">
        <v>4.702826</v>
      </c>
      <c r="F1666">
        <f t="shared" si="50"/>
        <v>-0.1495470000000001</v>
      </c>
      <c r="G1666">
        <f t="shared" si="51"/>
        <v>118.89306642167877</v>
      </c>
    </row>
    <row r="1667" spans="2:7">
      <c r="B1667" t="s">
        <v>2</v>
      </c>
      <c r="C1667" s="2">
        <v>39652</v>
      </c>
      <c r="D1667" t="s">
        <v>6</v>
      </c>
      <c r="E1667">
        <v>4.852373</v>
      </c>
      <c r="F1667">
        <f t="shared" ref="F1667:F1730" si="52">E1667-E1668</f>
        <v>2.5196000000000218E-2</v>
      </c>
      <c r="G1667">
        <f t="shared" ref="G1667:G1730" si="53">STDEV(F1667:F1726)*SQRT(250)*100</f>
        <v>114.6379543020857</v>
      </c>
    </row>
    <row r="1668" spans="2:7">
      <c r="B1668" t="s">
        <v>2</v>
      </c>
      <c r="C1668" s="2">
        <v>39651</v>
      </c>
      <c r="D1668" t="s">
        <v>6</v>
      </c>
      <c r="E1668">
        <v>4.8271769999999998</v>
      </c>
      <c r="F1668">
        <f t="shared" si="52"/>
        <v>1.5734000000000137E-2</v>
      </c>
      <c r="G1668">
        <f t="shared" si="53"/>
        <v>115.05021858359403</v>
      </c>
    </row>
    <row r="1669" spans="2:7">
      <c r="B1669" t="s">
        <v>2</v>
      </c>
      <c r="C1669" s="2">
        <v>39650</v>
      </c>
      <c r="D1669" t="s">
        <v>6</v>
      </c>
      <c r="E1669">
        <v>4.8114429999999997</v>
      </c>
      <c r="F1669">
        <f t="shared" si="52"/>
        <v>-3.7079000000000306E-2</v>
      </c>
      <c r="G1669">
        <f t="shared" si="53"/>
        <v>115.15072760202966</v>
      </c>
    </row>
    <row r="1670" spans="2:7">
      <c r="B1670" t="s">
        <v>2</v>
      </c>
      <c r="C1670" s="2">
        <v>39647</v>
      </c>
      <c r="D1670" t="s">
        <v>6</v>
      </c>
      <c r="E1670">
        <v>4.848522</v>
      </c>
      <c r="F1670">
        <f t="shared" si="52"/>
        <v>5.6581000000000437E-2</v>
      </c>
      <c r="G1670">
        <f t="shared" si="53"/>
        <v>116.83059036648169</v>
      </c>
    </row>
    <row r="1671" spans="2:7">
      <c r="B1671" t="s">
        <v>2</v>
      </c>
      <c r="C1671" s="2">
        <v>39646</v>
      </c>
      <c r="D1671" t="s">
        <v>6</v>
      </c>
      <c r="E1671">
        <v>4.7919409999999996</v>
      </c>
      <c r="F1671">
        <f t="shared" si="52"/>
        <v>0.16793799999999948</v>
      </c>
      <c r="G1671">
        <f t="shared" si="53"/>
        <v>116.41963436424993</v>
      </c>
    </row>
    <row r="1672" spans="2:7">
      <c r="B1672" t="s">
        <v>2</v>
      </c>
      <c r="C1672" s="2">
        <v>39645</v>
      </c>
      <c r="D1672" t="s">
        <v>6</v>
      </c>
      <c r="E1672">
        <v>4.6240030000000001</v>
      </c>
      <c r="F1672">
        <f t="shared" si="52"/>
        <v>9.2554999999999943E-2</v>
      </c>
      <c r="G1672">
        <f t="shared" si="53"/>
        <v>111.58283593790905</v>
      </c>
    </row>
    <row r="1673" spans="2:7">
      <c r="B1673" t="s">
        <v>2</v>
      </c>
      <c r="C1673" s="2">
        <v>39644</v>
      </c>
      <c r="D1673" t="s">
        <v>6</v>
      </c>
      <c r="E1673">
        <v>4.5314480000000001</v>
      </c>
      <c r="F1673">
        <f t="shared" si="52"/>
        <v>-4.0697999999999901E-2</v>
      </c>
      <c r="G1673">
        <f t="shared" si="53"/>
        <v>110.55620365773764</v>
      </c>
    </row>
    <row r="1674" spans="2:7">
      <c r="B1674" t="s">
        <v>2</v>
      </c>
      <c r="C1674" s="2">
        <v>39643</v>
      </c>
      <c r="D1674" t="s">
        <v>6</v>
      </c>
      <c r="E1674">
        <v>4.572146</v>
      </c>
      <c r="F1674">
        <f t="shared" si="52"/>
        <v>-5.3812999999999889E-2</v>
      </c>
      <c r="G1674">
        <f t="shared" si="53"/>
        <v>110.30288596163476</v>
      </c>
    </row>
    <row r="1675" spans="2:7">
      <c r="B1675" t="s">
        <v>2</v>
      </c>
      <c r="C1675" s="2">
        <v>39640</v>
      </c>
      <c r="D1675" t="s">
        <v>6</v>
      </c>
      <c r="E1675">
        <v>4.6259589999999999</v>
      </c>
      <c r="F1675">
        <f t="shared" si="52"/>
        <v>0.10482800000000037</v>
      </c>
      <c r="G1675">
        <f t="shared" si="53"/>
        <v>109.69005070738443</v>
      </c>
    </row>
    <row r="1676" spans="2:7">
      <c r="B1676" t="s">
        <v>2</v>
      </c>
      <c r="C1676" s="2">
        <v>39639</v>
      </c>
      <c r="D1676" t="s">
        <v>6</v>
      </c>
      <c r="E1676">
        <v>4.5211309999999996</v>
      </c>
      <c r="F1676">
        <f t="shared" si="52"/>
        <v>-8.7460000000003646E-3</v>
      </c>
      <c r="G1676">
        <f t="shared" si="53"/>
        <v>111.94098353898423</v>
      </c>
    </row>
    <row r="1677" spans="2:7">
      <c r="B1677" t="s">
        <v>2</v>
      </c>
      <c r="C1677" s="2">
        <v>39638</v>
      </c>
      <c r="D1677" t="s">
        <v>6</v>
      </c>
      <c r="E1677">
        <v>4.5298769999999999</v>
      </c>
      <c r="F1677">
        <f t="shared" si="52"/>
        <v>-9.0924000000000227E-2</v>
      </c>
      <c r="G1677">
        <f t="shared" si="53"/>
        <v>113.19303563689293</v>
      </c>
    </row>
    <row r="1678" spans="2:7">
      <c r="B1678" t="s">
        <v>2</v>
      </c>
      <c r="C1678" s="2">
        <v>39637</v>
      </c>
      <c r="D1678" t="s">
        <v>6</v>
      </c>
      <c r="E1678">
        <v>4.6208010000000002</v>
      </c>
      <c r="F1678">
        <f t="shared" si="52"/>
        <v>-8.7912000000000212E-2</v>
      </c>
      <c r="G1678">
        <f t="shared" si="53"/>
        <v>112.0636266195806</v>
      </c>
    </row>
    <row r="1679" spans="2:7">
      <c r="B1679" t="s">
        <v>2</v>
      </c>
      <c r="C1679" s="2">
        <v>39636</v>
      </c>
      <c r="D1679" t="s">
        <v>6</v>
      </c>
      <c r="E1679">
        <v>4.7087130000000004</v>
      </c>
      <c r="F1679">
        <f t="shared" si="52"/>
        <v>-1.6915000000000013E-2</v>
      </c>
      <c r="G1679">
        <f t="shared" si="53"/>
        <v>111.09493556951287</v>
      </c>
    </row>
    <row r="1680" spans="2:7">
      <c r="B1680" t="s">
        <v>2</v>
      </c>
      <c r="C1680" s="2">
        <v>39632</v>
      </c>
      <c r="D1680" t="s">
        <v>6</v>
      </c>
      <c r="E1680">
        <v>4.7256280000000004</v>
      </c>
      <c r="F1680">
        <f t="shared" si="52"/>
        <v>3.8204000000000349E-2</v>
      </c>
      <c r="G1680">
        <f t="shared" si="53"/>
        <v>111.30457909206424</v>
      </c>
    </row>
    <row r="1681" spans="2:7">
      <c r="B1681" t="s">
        <v>2</v>
      </c>
      <c r="C1681" s="2">
        <v>39631</v>
      </c>
      <c r="D1681" t="s">
        <v>6</v>
      </c>
      <c r="E1681">
        <v>4.687424</v>
      </c>
      <c r="F1681">
        <f t="shared" si="52"/>
        <v>-1.9614999999999938E-2</v>
      </c>
      <c r="G1681">
        <f t="shared" si="53"/>
        <v>112.9253904811675</v>
      </c>
    </row>
    <row r="1682" spans="2:7">
      <c r="B1682" t="s">
        <v>2</v>
      </c>
      <c r="C1682" s="2">
        <v>39630</v>
      </c>
      <c r="D1682" t="s">
        <v>6</v>
      </c>
      <c r="E1682">
        <v>4.707039</v>
      </c>
      <c r="F1682">
        <f t="shared" si="52"/>
        <v>3.5290999999999961E-2</v>
      </c>
      <c r="G1682">
        <f t="shared" si="53"/>
        <v>112.84244171442519</v>
      </c>
    </row>
    <row r="1683" spans="2:7">
      <c r="B1683" t="s">
        <v>2</v>
      </c>
      <c r="C1683" s="2">
        <v>39629</v>
      </c>
      <c r="D1683" t="s">
        <v>6</v>
      </c>
      <c r="E1683">
        <v>4.671748</v>
      </c>
      <c r="F1683">
        <f t="shared" si="52"/>
        <v>-2.6813999999999893E-2</v>
      </c>
      <c r="G1683">
        <f t="shared" si="53"/>
        <v>113.39907346589312</v>
      </c>
    </row>
    <row r="1684" spans="2:7">
      <c r="B1684" t="s">
        <v>2</v>
      </c>
      <c r="C1684" s="2">
        <v>39626</v>
      </c>
      <c r="D1684" t="s">
        <v>6</v>
      </c>
      <c r="E1684">
        <v>4.6985619999999999</v>
      </c>
      <c r="F1684">
        <f t="shared" si="52"/>
        <v>-3.9717999999999698E-2</v>
      </c>
      <c r="G1684">
        <f t="shared" si="53"/>
        <v>118.51751392345074</v>
      </c>
    </row>
    <row r="1685" spans="2:7">
      <c r="B1685" t="s">
        <v>2</v>
      </c>
      <c r="C1685" s="2">
        <v>39625</v>
      </c>
      <c r="D1685" t="s">
        <v>6</v>
      </c>
      <c r="E1685">
        <v>4.7382799999999996</v>
      </c>
      <c r="F1685">
        <f t="shared" si="52"/>
        <v>-7.3118000000000016E-2</v>
      </c>
      <c r="G1685">
        <f t="shared" si="53"/>
        <v>118.15676553004741</v>
      </c>
    </row>
    <row r="1686" spans="2:7">
      <c r="B1686" t="s">
        <v>2</v>
      </c>
      <c r="C1686" s="2">
        <v>39624</v>
      </c>
      <c r="D1686" t="s">
        <v>6</v>
      </c>
      <c r="E1686">
        <v>4.8113979999999996</v>
      </c>
      <c r="F1686">
        <f t="shared" si="52"/>
        <v>2.9949999999994148E-3</v>
      </c>
      <c r="G1686">
        <f t="shared" si="53"/>
        <v>117.48166333708613</v>
      </c>
    </row>
    <row r="1687" spans="2:7">
      <c r="B1687" t="s">
        <v>2</v>
      </c>
      <c r="C1687" s="2">
        <v>39623</v>
      </c>
      <c r="D1687" t="s">
        <v>6</v>
      </c>
      <c r="E1687">
        <v>4.8084030000000002</v>
      </c>
      <c r="F1687">
        <f t="shared" si="52"/>
        <v>-6.4344000000000179E-2</v>
      </c>
      <c r="G1687">
        <f t="shared" si="53"/>
        <v>119.06658278623752</v>
      </c>
    </row>
    <row r="1688" spans="2:7">
      <c r="B1688" t="s">
        <v>2</v>
      </c>
      <c r="C1688" s="2">
        <v>39622</v>
      </c>
      <c r="D1688" t="s">
        <v>6</v>
      </c>
      <c r="E1688">
        <v>4.8727470000000004</v>
      </c>
      <c r="F1688">
        <f t="shared" si="52"/>
        <v>4.8250000000000348E-2</v>
      </c>
      <c r="G1688">
        <f t="shared" si="53"/>
        <v>119.12244969636552</v>
      </c>
    </row>
    <row r="1689" spans="2:7">
      <c r="B1689" t="s">
        <v>2</v>
      </c>
      <c r="C1689" s="2">
        <v>39619</v>
      </c>
      <c r="D1689" t="s">
        <v>6</v>
      </c>
      <c r="E1689">
        <v>4.824497</v>
      </c>
      <c r="F1689">
        <f t="shared" si="52"/>
        <v>-2.0830000000000126E-2</v>
      </c>
      <c r="G1689">
        <f t="shared" si="53"/>
        <v>119.6431679110587</v>
      </c>
    </row>
    <row r="1690" spans="2:7">
      <c r="B1690" t="s">
        <v>2</v>
      </c>
      <c r="C1690" s="2">
        <v>39618</v>
      </c>
      <c r="D1690" t="s">
        <v>6</v>
      </c>
      <c r="E1690">
        <v>4.8453270000000002</v>
      </c>
      <c r="F1690">
        <f t="shared" si="52"/>
        <v>3.9966999999999864E-2</v>
      </c>
      <c r="G1690">
        <f t="shared" si="53"/>
        <v>119.86088767740573</v>
      </c>
    </row>
    <row r="1691" spans="2:7">
      <c r="B1691" t="s">
        <v>2</v>
      </c>
      <c r="C1691" s="2">
        <v>39617</v>
      </c>
      <c r="D1691" t="s">
        <v>6</v>
      </c>
      <c r="E1691">
        <v>4.8053600000000003</v>
      </c>
      <c r="F1691">
        <f t="shared" si="52"/>
        <v>-0.10270899999999994</v>
      </c>
      <c r="G1691">
        <f t="shared" si="53"/>
        <v>119.72619720323483</v>
      </c>
    </row>
    <row r="1692" spans="2:7">
      <c r="B1692" t="s">
        <v>2</v>
      </c>
      <c r="C1692" s="2">
        <v>39616</v>
      </c>
      <c r="D1692" t="s">
        <v>6</v>
      </c>
      <c r="E1692">
        <v>4.9080690000000002</v>
      </c>
      <c r="F1692">
        <f t="shared" si="52"/>
        <v>-4.9735000000000085E-2</v>
      </c>
      <c r="G1692">
        <f t="shared" si="53"/>
        <v>117.53048803068475</v>
      </c>
    </row>
    <row r="1693" spans="2:7">
      <c r="B1693" t="s">
        <v>2</v>
      </c>
      <c r="C1693" s="2">
        <v>39615</v>
      </c>
      <c r="D1693" t="s">
        <v>6</v>
      </c>
      <c r="E1693">
        <v>4.9578040000000003</v>
      </c>
      <c r="F1693">
        <f t="shared" si="52"/>
        <v>-1.1076000000000086E-2</v>
      </c>
      <c r="G1693">
        <f t="shared" si="53"/>
        <v>122.27985622919051</v>
      </c>
    </row>
    <row r="1694" spans="2:7">
      <c r="B1694" t="s">
        <v>2</v>
      </c>
      <c r="C1694" s="2">
        <v>39612</v>
      </c>
      <c r="D1694" t="s">
        <v>6</v>
      </c>
      <c r="E1694">
        <v>4.9688800000000004</v>
      </c>
      <c r="F1694">
        <f t="shared" si="52"/>
        <v>6.2563000000000812E-2</v>
      </c>
      <c r="G1694">
        <f t="shared" si="53"/>
        <v>122.22989627465472</v>
      </c>
    </row>
    <row r="1695" spans="2:7">
      <c r="B1695" t="s">
        <v>2</v>
      </c>
      <c r="C1695" s="2">
        <v>39611</v>
      </c>
      <c r="D1695" t="s">
        <v>6</v>
      </c>
      <c r="E1695">
        <v>4.9063169999999996</v>
      </c>
      <c r="F1695">
        <f t="shared" si="52"/>
        <v>0.12276899999999991</v>
      </c>
      <c r="G1695">
        <f t="shared" si="53"/>
        <v>125.35934592861319</v>
      </c>
    </row>
    <row r="1696" spans="2:7">
      <c r="B1696" t="s">
        <v>2</v>
      </c>
      <c r="C1696" s="2">
        <v>39610</v>
      </c>
      <c r="D1696" t="s">
        <v>6</v>
      </c>
      <c r="E1696">
        <v>4.7835479999999997</v>
      </c>
      <c r="F1696">
        <f t="shared" si="52"/>
        <v>-7.0312000000000374E-2</v>
      </c>
      <c r="G1696">
        <f t="shared" si="53"/>
        <v>125.89290191501676</v>
      </c>
    </row>
    <row r="1697" spans="2:7">
      <c r="B1697" t="s">
        <v>2</v>
      </c>
      <c r="C1697" s="2">
        <v>39609</v>
      </c>
      <c r="D1697" t="s">
        <v>6</v>
      </c>
      <c r="E1697">
        <v>4.8538600000000001</v>
      </c>
      <c r="F1697">
        <f t="shared" si="52"/>
        <v>0.11585300000000043</v>
      </c>
      <c r="G1697">
        <f t="shared" si="53"/>
        <v>131.19090879158296</v>
      </c>
    </row>
    <row r="1698" spans="2:7">
      <c r="B1698" t="s">
        <v>2</v>
      </c>
      <c r="C1698" s="2">
        <v>39608</v>
      </c>
      <c r="D1698" t="s">
        <v>6</v>
      </c>
      <c r="E1698">
        <v>4.7380069999999996</v>
      </c>
      <c r="F1698">
        <f t="shared" si="52"/>
        <v>4.9165999999999599E-2</v>
      </c>
      <c r="G1698">
        <f t="shared" si="53"/>
        <v>132.31313664534358</v>
      </c>
    </row>
    <row r="1699" spans="2:7">
      <c r="B1699" t="s">
        <v>2</v>
      </c>
      <c r="C1699" s="2">
        <v>39605</v>
      </c>
      <c r="D1699" t="s">
        <v>6</v>
      </c>
      <c r="E1699">
        <v>4.688841</v>
      </c>
      <c r="F1699">
        <f t="shared" si="52"/>
        <v>-6.914599999999993E-2</v>
      </c>
      <c r="G1699">
        <f t="shared" si="53"/>
        <v>132.09411838068516</v>
      </c>
    </row>
    <row r="1700" spans="2:7">
      <c r="B1700" t="s">
        <v>2</v>
      </c>
      <c r="C1700" s="2">
        <v>39604</v>
      </c>
      <c r="D1700" t="s">
        <v>6</v>
      </c>
      <c r="E1700">
        <v>4.757987</v>
      </c>
      <c r="F1700">
        <f t="shared" si="52"/>
        <v>0.14060600000000001</v>
      </c>
      <c r="G1700">
        <f t="shared" si="53"/>
        <v>135.11179118488712</v>
      </c>
    </row>
    <row r="1701" spans="2:7">
      <c r="B1701" t="s">
        <v>2</v>
      </c>
      <c r="C1701" s="2">
        <v>39603</v>
      </c>
      <c r="D1701" t="s">
        <v>6</v>
      </c>
      <c r="E1701">
        <v>4.617381</v>
      </c>
      <c r="F1701">
        <f t="shared" si="52"/>
        <v>6.6356999999999999E-2</v>
      </c>
      <c r="G1701">
        <f t="shared" si="53"/>
        <v>132.9762167926925</v>
      </c>
    </row>
    <row r="1702" spans="2:7">
      <c r="B1702" t="s">
        <v>2</v>
      </c>
      <c r="C1702" s="2">
        <v>39602</v>
      </c>
      <c r="D1702" t="s">
        <v>6</v>
      </c>
      <c r="E1702">
        <v>4.551024</v>
      </c>
      <c r="F1702">
        <f t="shared" si="52"/>
        <v>-6.8312999999999846E-2</v>
      </c>
      <c r="G1702">
        <f t="shared" si="53"/>
        <v>134.15489150694202</v>
      </c>
    </row>
    <row r="1703" spans="2:7">
      <c r="B1703" t="s">
        <v>2</v>
      </c>
      <c r="C1703" s="2">
        <v>39601</v>
      </c>
      <c r="D1703" t="s">
        <v>6</v>
      </c>
      <c r="E1703">
        <v>4.6193369999999998</v>
      </c>
      <c r="F1703">
        <f t="shared" si="52"/>
        <v>-7.2187000000000445E-2</v>
      </c>
      <c r="G1703">
        <f t="shared" si="53"/>
        <v>135.08100205626772</v>
      </c>
    </row>
    <row r="1704" spans="2:7">
      <c r="B1704" t="s">
        <v>2</v>
      </c>
      <c r="C1704" s="2">
        <v>39598</v>
      </c>
      <c r="D1704" t="s">
        <v>6</v>
      </c>
      <c r="E1704">
        <v>4.6915240000000002</v>
      </c>
      <c r="F1704">
        <f t="shared" si="52"/>
        <v>-4.2703999999999631E-2</v>
      </c>
      <c r="G1704">
        <f t="shared" si="53"/>
        <v>134.27154175905289</v>
      </c>
    </row>
    <row r="1705" spans="2:7">
      <c r="B1705" t="s">
        <v>2</v>
      </c>
      <c r="C1705" s="2">
        <v>39597</v>
      </c>
      <c r="D1705" t="s">
        <v>6</v>
      </c>
      <c r="E1705">
        <v>4.7342279999999999</v>
      </c>
      <c r="F1705">
        <f t="shared" si="52"/>
        <v>7.9549000000000092E-2</v>
      </c>
      <c r="G1705">
        <f t="shared" si="53"/>
        <v>138.1576488869035</v>
      </c>
    </row>
    <row r="1706" spans="2:7">
      <c r="B1706" t="s">
        <v>2</v>
      </c>
      <c r="C1706" s="2">
        <v>39596</v>
      </c>
      <c r="D1706" t="s">
        <v>6</v>
      </c>
      <c r="E1706">
        <v>4.6546789999999998</v>
      </c>
      <c r="F1706">
        <f t="shared" si="52"/>
        <v>9.3965999999999994E-2</v>
      </c>
      <c r="G1706">
        <f t="shared" si="53"/>
        <v>138.26661447561375</v>
      </c>
    </row>
    <row r="1707" spans="2:7">
      <c r="B1707" t="s">
        <v>2</v>
      </c>
      <c r="C1707" s="2">
        <v>39595</v>
      </c>
      <c r="D1707" t="s">
        <v>6</v>
      </c>
      <c r="E1707">
        <v>4.5607129999999998</v>
      </c>
      <c r="F1707">
        <f t="shared" si="52"/>
        <v>0.10809300000000022</v>
      </c>
      <c r="G1707">
        <f t="shared" si="53"/>
        <v>137.09481124578065</v>
      </c>
    </row>
    <row r="1708" spans="2:7">
      <c r="B1708" t="s">
        <v>2</v>
      </c>
      <c r="C1708" s="2">
        <v>39591</v>
      </c>
      <c r="D1708" t="s">
        <v>6</v>
      </c>
      <c r="E1708">
        <v>4.4526199999999996</v>
      </c>
      <c r="F1708">
        <f t="shared" si="52"/>
        <v>-7.71980000000001E-2</v>
      </c>
      <c r="G1708">
        <f t="shared" si="53"/>
        <v>141.42778880638386</v>
      </c>
    </row>
    <row r="1709" spans="2:7">
      <c r="B1709" t="s">
        <v>2</v>
      </c>
      <c r="C1709" s="2">
        <v>39590</v>
      </c>
      <c r="D1709" t="s">
        <v>6</v>
      </c>
      <c r="E1709">
        <v>4.5298179999999997</v>
      </c>
      <c r="F1709">
        <f t="shared" si="52"/>
        <v>0.11250099999999996</v>
      </c>
      <c r="G1709">
        <f t="shared" si="53"/>
        <v>142.69129637042391</v>
      </c>
    </row>
    <row r="1710" spans="2:7">
      <c r="B1710" t="s">
        <v>2</v>
      </c>
      <c r="C1710" s="2">
        <v>39589</v>
      </c>
      <c r="D1710" t="s">
        <v>6</v>
      </c>
      <c r="E1710">
        <v>4.4173169999999997</v>
      </c>
      <c r="F1710">
        <f t="shared" si="52"/>
        <v>5.1616999999999358E-2</v>
      </c>
      <c r="G1710">
        <f t="shared" si="53"/>
        <v>140.91469993353437</v>
      </c>
    </row>
    <row r="1711" spans="2:7">
      <c r="B1711" t="s">
        <v>2</v>
      </c>
      <c r="C1711" s="2">
        <v>39588</v>
      </c>
      <c r="D1711" t="s">
        <v>6</v>
      </c>
      <c r="E1711">
        <v>4.3657000000000004</v>
      </c>
      <c r="F1711">
        <f t="shared" si="52"/>
        <v>-4.7401999999999944E-2</v>
      </c>
      <c r="G1711">
        <f t="shared" si="53"/>
        <v>141.23642990044988</v>
      </c>
    </row>
    <row r="1712" spans="2:7">
      <c r="B1712" t="s">
        <v>2</v>
      </c>
      <c r="C1712" s="2">
        <v>39587</v>
      </c>
      <c r="D1712" t="s">
        <v>6</v>
      </c>
      <c r="E1712">
        <v>4.4131020000000003</v>
      </c>
      <c r="F1712">
        <f t="shared" si="52"/>
        <v>-2.5138999999999356E-2</v>
      </c>
      <c r="G1712">
        <f t="shared" si="53"/>
        <v>142.48037026180117</v>
      </c>
    </row>
    <row r="1713" spans="2:7">
      <c r="B1713" t="s">
        <v>2</v>
      </c>
      <c r="C1713" s="2">
        <v>39584</v>
      </c>
      <c r="D1713" t="s">
        <v>6</v>
      </c>
      <c r="E1713">
        <v>4.4382409999999997</v>
      </c>
      <c r="F1713">
        <f t="shared" si="52"/>
        <v>-2.0200000000070162E-4</v>
      </c>
      <c r="G1713">
        <f t="shared" si="53"/>
        <v>142.86342419699395</v>
      </c>
    </row>
    <row r="1714" spans="2:7">
      <c r="B1714" t="s">
        <v>2</v>
      </c>
      <c r="C1714" s="2">
        <v>39583</v>
      </c>
      <c r="D1714" t="s">
        <v>6</v>
      </c>
      <c r="E1714">
        <v>4.4384430000000004</v>
      </c>
      <c r="F1714">
        <f t="shared" si="52"/>
        <v>-0.12899399999999961</v>
      </c>
      <c r="G1714">
        <f t="shared" si="53"/>
        <v>146.2186082085602</v>
      </c>
    </row>
    <row r="1715" spans="2:7">
      <c r="B1715" t="s">
        <v>2</v>
      </c>
      <c r="C1715" s="2">
        <v>39582</v>
      </c>
      <c r="D1715" t="s">
        <v>6</v>
      </c>
      <c r="E1715">
        <v>4.567437</v>
      </c>
      <c r="F1715">
        <f t="shared" si="52"/>
        <v>1.7987999999999893E-2</v>
      </c>
      <c r="G1715">
        <f t="shared" si="53"/>
        <v>143.90142143794677</v>
      </c>
    </row>
    <row r="1716" spans="2:7">
      <c r="B1716" t="s">
        <v>2</v>
      </c>
      <c r="C1716" s="2">
        <v>39581</v>
      </c>
      <c r="D1716" t="s">
        <v>6</v>
      </c>
      <c r="E1716">
        <v>4.5494490000000001</v>
      </c>
      <c r="F1716">
        <f t="shared" si="52"/>
        <v>0.17141800000000007</v>
      </c>
      <c r="G1716">
        <f t="shared" si="53"/>
        <v>146.13005456087146</v>
      </c>
    </row>
    <row r="1717" spans="2:7">
      <c r="B1717" t="s">
        <v>2</v>
      </c>
      <c r="C1717" s="2">
        <v>39580</v>
      </c>
      <c r="D1717" t="s">
        <v>6</v>
      </c>
      <c r="E1717">
        <v>4.378031</v>
      </c>
      <c r="F1717">
        <f t="shared" si="52"/>
        <v>7.0959999999997692E-3</v>
      </c>
      <c r="G1717">
        <f t="shared" si="53"/>
        <v>142.08160681680857</v>
      </c>
    </row>
    <row r="1718" spans="2:7">
      <c r="B1718" t="s">
        <v>2</v>
      </c>
      <c r="C1718" s="2">
        <v>39577</v>
      </c>
      <c r="D1718" t="s">
        <v>6</v>
      </c>
      <c r="E1718">
        <v>4.3709350000000002</v>
      </c>
      <c r="F1718">
        <f t="shared" si="52"/>
        <v>-2.0964999999999456E-2</v>
      </c>
      <c r="G1718">
        <f t="shared" si="53"/>
        <v>146.97559872967457</v>
      </c>
    </row>
    <row r="1719" spans="2:7">
      <c r="B1719" t="s">
        <v>2</v>
      </c>
      <c r="C1719" s="2">
        <v>39576</v>
      </c>
      <c r="D1719" t="s">
        <v>6</v>
      </c>
      <c r="E1719">
        <v>4.3918999999999997</v>
      </c>
      <c r="F1719">
        <f t="shared" si="52"/>
        <v>-8.819400000000055E-2</v>
      </c>
      <c r="G1719">
        <f t="shared" si="53"/>
        <v>146.95895605644645</v>
      </c>
    </row>
    <row r="1720" spans="2:7">
      <c r="B1720" t="s">
        <v>2</v>
      </c>
      <c r="C1720" s="2">
        <v>39575</v>
      </c>
      <c r="D1720" t="s">
        <v>6</v>
      </c>
      <c r="E1720">
        <v>4.4800940000000002</v>
      </c>
      <c r="F1720">
        <f t="shared" si="52"/>
        <v>-3.7595999999999741E-2</v>
      </c>
      <c r="G1720">
        <f t="shared" si="53"/>
        <v>146.48293628521131</v>
      </c>
    </row>
    <row r="1721" spans="2:7">
      <c r="B1721" t="s">
        <v>2</v>
      </c>
      <c r="C1721" s="2">
        <v>39574</v>
      </c>
      <c r="D1721" t="s">
        <v>6</v>
      </c>
      <c r="E1721">
        <v>4.51769</v>
      </c>
      <c r="F1721">
        <f t="shared" si="52"/>
        <v>5.7597999999999594E-2</v>
      </c>
      <c r="G1721">
        <f t="shared" si="53"/>
        <v>146.40582075892067</v>
      </c>
    </row>
    <row r="1722" spans="2:7">
      <c r="B1722" t="s">
        <v>2</v>
      </c>
      <c r="C1722" s="2">
        <v>39573</v>
      </c>
      <c r="D1722" t="s">
        <v>6</v>
      </c>
      <c r="E1722">
        <v>4.4600920000000004</v>
      </c>
      <c r="F1722">
        <f t="shared" si="52"/>
        <v>3.4590000000003229E-3</v>
      </c>
      <c r="G1722">
        <f t="shared" si="53"/>
        <v>146.72296121480522</v>
      </c>
    </row>
    <row r="1723" spans="2:7">
      <c r="B1723" t="s">
        <v>2</v>
      </c>
      <c r="C1723" s="2">
        <v>39570</v>
      </c>
      <c r="D1723" t="s">
        <v>6</v>
      </c>
      <c r="E1723">
        <v>4.4566330000000001</v>
      </c>
      <c r="F1723">
        <f t="shared" si="52"/>
        <v>9.2126999999999626E-2</v>
      </c>
      <c r="G1723">
        <f t="shared" si="53"/>
        <v>149.46952230012349</v>
      </c>
    </row>
    <row r="1724" spans="2:7">
      <c r="B1724" t="s">
        <v>2</v>
      </c>
      <c r="C1724" s="2">
        <v>39569</v>
      </c>
      <c r="D1724" t="s">
        <v>6</v>
      </c>
      <c r="E1724">
        <v>4.3645060000000004</v>
      </c>
      <c r="F1724">
        <f t="shared" si="52"/>
        <v>-7.9929999999999168E-3</v>
      </c>
      <c r="G1724">
        <f t="shared" si="53"/>
        <v>148.45301097095034</v>
      </c>
    </row>
    <row r="1725" spans="2:7">
      <c r="B1725" t="s">
        <v>2</v>
      </c>
      <c r="C1725" s="2">
        <v>39568</v>
      </c>
      <c r="D1725" t="s">
        <v>6</v>
      </c>
      <c r="E1725">
        <v>4.3724990000000004</v>
      </c>
      <c r="F1725">
        <f t="shared" si="52"/>
        <v>-8.0176999999999943E-2</v>
      </c>
      <c r="G1725">
        <f t="shared" si="53"/>
        <v>148.95531506766073</v>
      </c>
    </row>
    <row r="1726" spans="2:7">
      <c r="B1726" t="s">
        <v>2</v>
      </c>
      <c r="C1726" s="2">
        <v>39567</v>
      </c>
      <c r="D1726" t="s">
        <v>6</v>
      </c>
      <c r="E1726">
        <v>4.4526760000000003</v>
      </c>
      <c r="F1726">
        <f t="shared" si="52"/>
        <v>-1.7465999999999759E-2</v>
      </c>
      <c r="G1726">
        <f t="shared" si="53"/>
        <v>148.2650276909676</v>
      </c>
    </row>
    <row r="1727" spans="2:7">
      <c r="B1727" t="s">
        <v>2</v>
      </c>
      <c r="C1727" s="2">
        <v>39566</v>
      </c>
      <c r="D1727" t="s">
        <v>6</v>
      </c>
      <c r="E1727">
        <v>4.4701420000000001</v>
      </c>
      <c r="F1727">
        <f t="shared" si="52"/>
        <v>-4.5320999999999501E-2</v>
      </c>
      <c r="G1727">
        <f t="shared" si="53"/>
        <v>148.44765173046778</v>
      </c>
    </row>
    <row r="1728" spans="2:7">
      <c r="B1728" t="s">
        <v>2</v>
      </c>
      <c r="C1728" s="2">
        <v>39563</v>
      </c>
      <c r="D1728" t="s">
        <v>6</v>
      </c>
      <c r="E1728">
        <v>4.5154629999999996</v>
      </c>
      <c r="F1728">
        <f t="shared" si="52"/>
        <v>3.0903999999999598E-2</v>
      </c>
      <c r="G1728">
        <f t="shared" si="53"/>
        <v>149.40303091903388</v>
      </c>
    </row>
    <row r="1729" spans="2:7">
      <c r="B1729" t="s">
        <v>2</v>
      </c>
      <c r="C1729" s="2">
        <v>39562</v>
      </c>
      <c r="D1729" t="s">
        <v>6</v>
      </c>
      <c r="E1729">
        <v>4.484559</v>
      </c>
      <c r="F1729">
        <f t="shared" si="52"/>
        <v>0.1121080000000001</v>
      </c>
      <c r="G1729">
        <f t="shared" si="53"/>
        <v>150.87253915345289</v>
      </c>
    </row>
    <row r="1730" spans="2:7">
      <c r="B1730" t="s">
        <v>2</v>
      </c>
      <c r="C1730" s="2">
        <v>39561</v>
      </c>
      <c r="D1730" t="s">
        <v>6</v>
      </c>
      <c r="E1730">
        <v>4.3724509999999999</v>
      </c>
      <c r="F1730">
        <f t="shared" si="52"/>
        <v>1.9228000000000023E-2</v>
      </c>
      <c r="G1730">
        <f t="shared" si="53"/>
        <v>149.77314069366733</v>
      </c>
    </row>
    <row r="1731" spans="2:7">
      <c r="B1731" t="s">
        <v>2</v>
      </c>
      <c r="C1731" s="2">
        <v>39560</v>
      </c>
      <c r="D1731" t="s">
        <v>6</v>
      </c>
      <c r="E1731">
        <v>4.3532229999999998</v>
      </c>
      <c r="F1731">
        <f t="shared" ref="F1731:F1794" si="54">E1731-E1732</f>
        <v>-1.0089999999999932E-2</v>
      </c>
      <c r="G1731">
        <f t="shared" ref="G1731:G1794" si="55">STDEV(F1731:F1790)*SQRT(250)*100</f>
        <v>149.73599972247536</v>
      </c>
    </row>
    <row r="1732" spans="2:7">
      <c r="B1732" t="s">
        <v>2</v>
      </c>
      <c r="C1732" s="2">
        <v>39559</v>
      </c>
      <c r="D1732" t="s">
        <v>6</v>
      </c>
      <c r="E1732">
        <v>4.3633129999999998</v>
      </c>
      <c r="F1732">
        <f t="shared" si="54"/>
        <v>-4.7882000000000424E-2</v>
      </c>
      <c r="G1732">
        <f t="shared" si="55"/>
        <v>150.86835592306753</v>
      </c>
    </row>
    <row r="1733" spans="2:7">
      <c r="B1733" t="s">
        <v>2</v>
      </c>
      <c r="C1733" s="2">
        <v>39556</v>
      </c>
      <c r="D1733" t="s">
        <v>6</v>
      </c>
      <c r="E1733">
        <v>4.4111950000000002</v>
      </c>
      <c r="F1733">
        <f t="shared" si="54"/>
        <v>-2.057600000000015E-2</v>
      </c>
      <c r="G1733">
        <f t="shared" si="55"/>
        <v>157.58774411860824</v>
      </c>
    </row>
    <row r="1734" spans="2:7">
      <c r="B1734" t="s">
        <v>2</v>
      </c>
      <c r="C1734" s="2">
        <v>39555</v>
      </c>
      <c r="D1734" t="s">
        <v>6</v>
      </c>
      <c r="E1734">
        <v>4.4317710000000003</v>
      </c>
      <c r="F1734">
        <f t="shared" si="54"/>
        <v>8.3150000000005164E-3</v>
      </c>
      <c r="G1734">
        <f t="shared" si="55"/>
        <v>158.10265823527007</v>
      </c>
    </row>
    <row r="1735" spans="2:7">
      <c r="B1735" t="s">
        <v>2</v>
      </c>
      <c r="C1735" s="2">
        <v>39554</v>
      </c>
      <c r="D1735" t="s">
        <v>6</v>
      </c>
      <c r="E1735">
        <v>4.4234559999999998</v>
      </c>
      <c r="F1735">
        <f t="shared" si="54"/>
        <v>0.1520469999999996</v>
      </c>
      <c r="G1735">
        <f t="shared" si="55"/>
        <v>161.68238268034054</v>
      </c>
    </row>
    <row r="1736" spans="2:7">
      <c r="B1736" t="s">
        <v>2</v>
      </c>
      <c r="C1736" s="2">
        <v>39553</v>
      </c>
      <c r="D1736" t="s">
        <v>6</v>
      </c>
      <c r="E1736">
        <v>4.2714090000000002</v>
      </c>
      <c r="F1736">
        <f t="shared" si="54"/>
        <v>8.7672000000000416E-2</v>
      </c>
      <c r="G1736">
        <f t="shared" si="55"/>
        <v>158.7117051153578</v>
      </c>
    </row>
    <row r="1737" spans="2:7">
      <c r="B1737" t="s">
        <v>2</v>
      </c>
      <c r="C1737" s="2">
        <v>39552</v>
      </c>
      <c r="D1737" t="s">
        <v>6</v>
      </c>
      <c r="E1737">
        <v>4.1837369999999998</v>
      </c>
      <c r="F1737">
        <f t="shared" si="54"/>
        <v>6.7102000000000217E-2</v>
      </c>
      <c r="G1737">
        <f t="shared" si="55"/>
        <v>158.33198263939789</v>
      </c>
    </row>
    <row r="1738" spans="2:7">
      <c r="B1738" t="s">
        <v>2</v>
      </c>
      <c r="C1738" s="2">
        <v>39549</v>
      </c>
      <c r="D1738" t="s">
        <v>6</v>
      </c>
      <c r="E1738">
        <v>4.1166349999999996</v>
      </c>
      <c r="F1738">
        <f t="shared" si="54"/>
        <v>-5.6339000000000361E-2</v>
      </c>
      <c r="G1738">
        <f t="shared" si="55"/>
        <v>157.91326644838392</v>
      </c>
    </row>
    <row r="1739" spans="2:7">
      <c r="B1739" t="s">
        <v>2</v>
      </c>
      <c r="C1739" s="2">
        <v>39548</v>
      </c>
      <c r="D1739" t="s">
        <v>6</v>
      </c>
      <c r="E1739">
        <v>4.172974</v>
      </c>
      <c r="F1739">
        <f t="shared" si="54"/>
        <v>5.1908000000000065E-2</v>
      </c>
      <c r="G1739">
        <f t="shared" si="55"/>
        <v>158.79549134747276</v>
      </c>
    </row>
    <row r="1740" spans="2:7">
      <c r="B1740" t="s">
        <v>2</v>
      </c>
      <c r="C1740" s="2">
        <v>39547</v>
      </c>
      <c r="D1740" t="s">
        <v>6</v>
      </c>
      <c r="E1740">
        <v>4.1210659999999999</v>
      </c>
      <c r="F1740">
        <f t="shared" si="54"/>
        <v>-8.8077000000000183E-2</v>
      </c>
      <c r="G1740">
        <f t="shared" si="55"/>
        <v>158.49438173817956</v>
      </c>
    </row>
    <row r="1741" spans="2:7">
      <c r="B1741" t="s">
        <v>2</v>
      </c>
      <c r="C1741" s="2">
        <v>39546</v>
      </c>
      <c r="D1741" t="s">
        <v>6</v>
      </c>
      <c r="E1741">
        <v>4.2091430000000001</v>
      </c>
      <c r="F1741">
        <f t="shared" si="54"/>
        <v>2.6812000000000502E-2</v>
      </c>
      <c r="G1741">
        <f t="shared" si="55"/>
        <v>158.36960038501536</v>
      </c>
    </row>
    <row r="1742" spans="2:7">
      <c r="B1742" t="s">
        <v>2</v>
      </c>
      <c r="C1742" s="2">
        <v>39545</v>
      </c>
      <c r="D1742" t="s">
        <v>6</v>
      </c>
      <c r="E1742">
        <v>4.1823309999999996</v>
      </c>
      <c r="F1742">
        <f t="shared" si="54"/>
        <v>6.9541999999999327E-2</v>
      </c>
      <c r="G1742">
        <f t="shared" si="55"/>
        <v>159.51651845269299</v>
      </c>
    </row>
    <row r="1743" spans="2:7">
      <c r="B1743" t="s">
        <v>2</v>
      </c>
      <c r="C1743" s="2">
        <v>39542</v>
      </c>
      <c r="D1743" t="s">
        <v>6</v>
      </c>
      <c r="E1743">
        <v>4.1127890000000003</v>
      </c>
      <c r="F1743">
        <f t="shared" si="54"/>
        <v>-0.16281199999999973</v>
      </c>
      <c r="G1743">
        <f t="shared" si="55"/>
        <v>158.92401309086699</v>
      </c>
    </row>
    <row r="1744" spans="2:7">
      <c r="B1744" t="s">
        <v>2</v>
      </c>
      <c r="C1744" s="2">
        <v>39541</v>
      </c>
      <c r="D1744" t="s">
        <v>6</v>
      </c>
      <c r="E1744">
        <v>4.275601</v>
      </c>
      <c r="F1744">
        <f t="shared" si="54"/>
        <v>2.243100000000009E-2</v>
      </c>
      <c r="G1744">
        <f t="shared" si="55"/>
        <v>155.53461044312584</v>
      </c>
    </row>
    <row r="1745" spans="2:7">
      <c r="B1745" t="s">
        <v>2</v>
      </c>
      <c r="C1745" s="2">
        <v>39540</v>
      </c>
      <c r="D1745" t="s">
        <v>6</v>
      </c>
      <c r="E1745">
        <v>4.2531699999999999</v>
      </c>
      <c r="F1745">
        <f t="shared" si="54"/>
        <v>6.4246999999999943E-2</v>
      </c>
      <c r="G1745">
        <f t="shared" si="55"/>
        <v>155.52571516794026</v>
      </c>
    </row>
    <row r="1746" spans="2:7">
      <c r="B1746" t="s">
        <v>2</v>
      </c>
      <c r="C1746" s="2">
        <v>39539</v>
      </c>
      <c r="D1746" t="s">
        <v>6</v>
      </c>
      <c r="E1746">
        <v>4.188923</v>
      </c>
      <c r="F1746">
        <f t="shared" si="54"/>
        <v>0.10565300000000022</v>
      </c>
      <c r="G1746">
        <f t="shared" si="55"/>
        <v>155.43100493338414</v>
      </c>
    </row>
    <row r="1747" spans="2:7">
      <c r="B1747" t="s">
        <v>2</v>
      </c>
      <c r="C1747" s="2">
        <v>39538</v>
      </c>
      <c r="D1747" t="s">
        <v>6</v>
      </c>
      <c r="E1747">
        <v>4.0832699999999997</v>
      </c>
      <c r="F1747">
        <f t="shared" si="54"/>
        <v>-6.637200000000032E-2</v>
      </c>
      <c r="G1747">
        <f t="shared" si="55"/>
        <v>153.74741074614346</v>
      </c>
    </row>
    <row r="1748" spans="2:7">
      <c r="B1748" t="s">
        <v>2</v>
      </c>
      <c r="C1748" s="2">
        <v>39535</v>
      </c>
      <c r="D1748" t="s">
        <v>6</v>
      </c>
      <c r="E1748">
        <v>4.1496420000000001</v>
      </c>
      <c r="F1748">
        <f t="shared" si="54"/>
        <v>-5.443299999999951E-2</v>
      </c>
      <c r="G1748">
        <f t="shared" si="55"/>
        <v>155.37668995271142</v>
      </c>
    </row>
    <row r="1749" spans="2:7">
      <c r="B1749" t="s">
        <v>2</v>
      </c>
      <c r="C1749" s="2">
        <v>39534</v>
      </c>
      <c r="D1749" t="s">
        <v>6</v>
      </c>
      <c r="E1749">
        <v>4.2040749999999996</v>
      </c>
      <c r="F1749">
        <f t="shared" si="54"/>
        <v>5.8368999999999893E-2</v>
      </c>
      <c r="G1749">
        <f t="shared" si="55"/>
        <v>155.6718189953782</v>
      </c>
    </row>
    <row r="1750" spans="2:7">
      <c r="B1750" t="s">
        <v>2</v>
      </c>
      <c r="C1750" s="2">
        <v>39533</v>
      </c>
      <c r="D1750" t="s">
        <v>6</v>
      </c>
      <c r="E1750">
        <v>4.1457059999999997</v>
      </c>
      <c r="F1750">
        <f t="shared" si="54"/>
        <v>1.8540999999999919E-2</v>
      </c>
      <c r="G1750">
        <f t="shared" si="55"/>
        <v>156.85229025758863</v>
      </c>
    </row>
    <row r="1751" spans="2:7">
      <c r="B1751" t="s">
        <v>2</v>
      </c>
      <c r="C1751" s="2">
        <v>39532</v>
      </c>
      <c r="D1751" t="s">
        <v>6</v>
      </c>
      <c r="E1751">
        <v>4.1271649999999998</v>
      </c>
      <c r="F1751">
        <f t="shared" si="54"/>
        <v>-1.7431000000000196E-2</v>
      </c>
      <c r="G1751">
        <f t="shared" si="55"/>
        <v>157.1244790481208</v>
      </c>
    </row>
    <row r="1752" spans="2:7">
      <c r="B1752" t="s">
        <v>2</v>
      </c>
      <c r="C1752" s="2">
        <v>39531</v>
      </c>
      <c r="D1752" t="s">
        <v>6</v>
      </c>
      <c r="E1752">
        <v>4.1445959999999999</v>
      </c>
      <c r="F1752">
        <f t="shared" si="54"/>
        <v>0.19089700000000009</v>
      </c>
      <c r="G1752">
        <f t="shared" si="55"/>
        <v>157.91619875263697</v>
      </c>
    </row>
    <row r="1753" spans="2:7">
      <c r="B1753" t="s">
        <v>2</v>
      </c>
      <c r="C1753" s="2">
        <v>39527</v>
      </c>
      <c r="D1753" t="s">
        <v>6</v>
      </c>
      <c r="E1753">
        <v>3.9536989999999999</v>
      </c>
      <c r="F1753">
        <f t="shared" si="54"/>
        <v>-5.3040000000001974E-3</v>
      </c>
      <c r="G1753">
        <f t="shared" si="55"/>
        <v>152.86205212784921</v>
      </c>
    </row>
    <row r="1754" spans="2:7">
      <c r="B1754" t="s">
        <v>2</v>
      </c>
      <c r="C1754" s="2">
        <v>39526</v>
      </c>
      <c r="D1754" t="s">
        <v>6</v>
      </c>
      <c r="E1754">
        <v>3.959003</v>
      </c>
      <c r="F1754">
        <f t="shared" si="54"/>
        <v>-0.12802199999999964</v>
      </c>
      <c r="G1754">
        <f t="shared" si="55"/>
        <v>156.32543031379694</v>
      </c>
    </row>
    <row r="1755" spans="2:7">
      <c r="B1755" t="s">
        <v>2</v>
      </c>
      <c r="C1755" s="2">
        <v>39525</v>
      </c>
      <c r="D1755" t="s">
        <v>6</v>
      </c>
      <c r="E1755">
        <v>4.0870249999999997</v>
      </c>
      <c r="F1755">
        <f t="shared" si="54"/>
        <v>0.13642599999999971</v>
      </c>
      <c r="G1755">
        <f t="shared" si="55"/>
        <v>154.53775583481129</v>
      </c>
    </row>
    <row r="1756" spans="2:7">
      <c r="B1756" t="s">
        <v>2</v>
      </c>
      <c r="C1756" s="2">
        <v>39524</v>
      </c>
      <c r="D1756" t="s">
        <v>6</v>
      </c>
      <c r="E1756">
        <v>3.950599</v>
      </c>
      <c r="F1756">
        <f t="shared" si="54"/>
        <v>-0.18474000000000013</v>
      </c>
      <c r="G1756">
        <f t="shared" si="55"/>
        <v>151.68632387539964</v>
      </c>
    </row>
    <row r="1757" spans="2:7">
      <c r="B1757" t="s">
        <v>2</v>
      </c>
      <c r="C1757" s="2">
        <v>39521</v>
      </c>
      <c r="D1757" t="s">
        <v>6</v>
      </c>
      <c r="E1757">
        <v>4.1353390000000001</v>
      </c>
      <c r="F1757">
        <f t="shared" si="54"/>
        <v>-0.12490199999999962</v>
      </c>
      <c r="G1757">
        <f t="shared" si="55"/>
        <v>149.01043966927787</v>
      </c>
    </row>
    <row r="1758" spans="2:7">
      <c r="B1758" t="s">
        <v>2</v>
      </c>
      <c r="C1758" s="2">
        <v>39520</v>
      </c>
      <c r="D1758" t="s">
        <v>6</v>
      </c>
      <c r="E1758">
        <v>4.2602409999999997</v>
      </c>
      <c r="F1758">
        <f t="shared" si="54"/>
        <v>2.6392999999999667E-2</v>
      </c>
      <c r="G1758">
        <f t="shared" si="55"/>
        <v>147.3585617598595</v>
      </c>
    </row>
    <row r="1759" spans="2:7">
      <c r="B1759" t="s">
        <v>2</v>
      </c>
      <c r="C1759" s="2">
        <v>39519</v>
      </c>
      <c r="D1759" t="s">
        <v>6</v>
      </c>
      <c r="E1759">
        <v>4.2338480000000001</v>
      </c>
      <c r="F1759">
        <f t="shared" si="54"/>
        <v>-0.1506179999999997</v>
      </c>
      <c r="G1759">
        <f t="shared" si="55"/>
        <v>148.59589532695404</v>
      </c>
    </row>
    <row r="1760" spans="2:7">
      <c r="B1760" t="s">
        <v>2</v>
      </c>
      <c r="C1760" s="2">
        <v>39518</v>
      </c>
      <c r="D1760" t="s">
        <v>6</v>
      </c>
      <c r="E1760">
        <v>4.3844659999999998</v>
      </c>
      <c r="F1760">
        <f t="shared" si="54"/>
        <v>7.4196999999999846E-2</v>
      </c>
      <c r="G1760">
        <f t="shared" si="55"/>
        <v>146.3583654824011</v>
      </c>
    </row>
    <row r="1761" spans="2:7">
      <c r="B1761" t="s">
        <v>2</v>
      </c>
      <c r="C1761" s="2">
        <v>39517</v>
      </c>
      <c r="D1761" t="s">
        <v>6</v>
      </c>
      <c r="E1761">
        <v>4.3102689999999999</v>
      </c>
      <c r="F1761">
        <f t="shared" si="54"/>
        <v>-0.10285399999999978</v>
      </c>
      <c r="G1761">
        <f t="shared" si="55"/>
        <v>145.75417797665995</v>
      </c>
    </row>
    <row r="1762" spans="2:7">
      <c r="B1762" t="s">
        <v>2</v>
      </c>
      <c r="C1762" s="2">
        <v>39514</v>
      </c>
      <c r="D1762" t="s">
        <v>6</v>
      </c>
      <c r="E1762">
        <v>4.4131229999999997</v>
      </c>
      <c r="F1762">
        <f t="shared" si="54"/>
        <v>-0.10205400000000076</v>
      </c>
      <c r="G1762">
        <f t="shared" si="55"/>
        <v>147.34811598252969</v>
      </c>
    </row>
    <row r="1763" spans="2:7">
      <c r="B1763" t="s">
        <v>2</v>
      </c>
      <c r="C1763" s="2">
        <v>39513</v>
      </c>
      <c r="D1763" t="s">
        <v>6</v>
      </c>
      <c r="E1763">
        <v>4.5151770000000004</v>
      </c>
      <c r="F1763">
        <f t="shared" si="54"/>
        <v>2.3451000000000555E-2</v>
      </c>
      <c r="G1763">
        <f t="shared" si="55"/>
        <v>146.32329112571793</v>
      </c>
    </row>
    <row r="1764" spans="2:7">
      <c r="B1764" t="s">
        <v>2</v>
      </c>
      <c r="C1764" s="2">
        <v>39512</v>
      </c>
      <c r="D1764" t="s">
        <v>6</v>
      </c>
      <c r="E1764">
        <v>4.4917259999999999</v>
      </c>
      <c r="F1764">
        <f t="shared" si="54"/>
        <v>0.17024300000000014</v>
      </c>
      <c r="G1764">
        <f t="shared" si="55"/>
        <v>149.74973744703132</v>
      </c>
    </row>
    <row r="1765" spans="2:7">
      <c r="B1765" t="s">
        <v>2</v>
      </c>
      <c r="C1765" s="2">
        <v>39511</v>
      </c>
      <c r="D1765" t="s">
        <v>6</v>
      </c>
      <c r="E1765">
        <v>4.3214829999999997</v>
      </c>
      <c r="F1765">
        <f t="shared" si="54"/>
        <v>8.4287999999999919E-2</v>
      </c>
      <c r="G1765">
        <f t="shared" si="55"/>
        <v>146.77125345823922</v>
      </c>
    </row>
    <row r="1766" spans="2:7">
      <c r="B1766" t="s">
        <v>2</v>
      </c>
      <c r="C1766" s="2">
        <v>39510</v>
      </c>
      <c r="D1766" t="s">
        <v>6</v>
      </c>
      <c r="E1766">
        <v>4.2371949999999998</v>
      </c>
      <c r="F1766">
        <f t="shared" si="54"/>
        <v>1.4708999999999861E-2</v>
      </c>
      <c r="G1766">
        <f t="shared" si="55"/>
        <v>145.71784823851203</v>
      </c>
    </row>
    <row r="1767" spans="2:7">
      <c r="B1767" t="s">
        <v>2</v>
      </c>
      <c r="C1767" s="2">
        <v>39507</v>
      </c>
      <c r="D1767" t="s">
        <v>6</v>
      </c>
      <c r="E1767">
        <v>4.222486</v>
      </c>
      <c r="F1767">
        <f t="shared" si="54"/>
        <v>-0.19564900000000041</v>
      </c>
      <c r="G1767">
        <f t="shared" si="55"/>
        <v>145.68541405795335</v>
      </c>
    </row>
    <row r="1768" spans="2:7">
      <c r="B1768" t="s">
        <v>2</v>
      </c>
      <c r="C1768" s="2">
        <v>39506</v>
      </c>
      <c r="D1768" t="s">
        <v>6</v>
      </c>
      <c r="E1768">
        <v>4.4181350000000004</v>
      </c>
      <c r="F1768">
        <f t="shared" si="54"/>
        <v>-0.12005399999999966</v>
      </c>
      <c r="G1768">
        <f t="shared" si="55"/>
        <v>140.74670387659683</v>
      </c>
    </row>
    <row r="1769" spans="2:7">
      <c r="B1769" t="s">
        <v>2</v>
      </c>
      <c r="C1769" s="2">
        <v>39505</v>
      </c>
      <c r="D1769" t="s">
        <v>6</v>
      </c>
      <c r="E1769">
        <v>4.538189</v>
      </c>
      <c r="F1769">
        <f t="shared" si="54"/>
        <v>-3.4129000000000076E-2</v>
      </c>
      <c r="G1769">
        <f t="shared" si="55"/>
        <v>138.64879936615085</v>
      </c>
    </row>
    <row r="1770" spans="2:7">
      <c r="B1770" t="s">
        <v>2</v>
      </c>
      <c r="C1770" s="2">
        <v>39504</v>
      </c>
      <c r="D1770" t="s">
        <v>6</v>
      </c>
      <c r="E1770">
        <v>4.5723180000000001</v>
      </c>
      <c r="F1770">
        <f t="shared" si="54"/>
        <v>-7.5728999999999935E-2</v>
      </c>
      <c r="G1770">
        <f t="shared" si="55"/>
        <v>139.49829166968286</v>
      </c>
    </row>
    <row r="1771" spans="2:7">
      <c r="B1771" t="s">
        <v>2</v>
      </c>
      <c r="C1771" s="2">
        <v>39503</v>
      </c>
      <c r="D1771" t="s">
        <v>6</v>
      </c>
      <c r="E1771">
        <v>4.648047</v>
      </c>
      <c r="F1771">
        <f t="shared" si="54"/>
        <v>9.77800000000002E-2</v>
      </c>
      <c r="G1771">
        <f t="shared" si="55"/>
        <v>139.0922855575927</v>
      </c>
    </row>
    <row r="1772" spans="2:7">
      <c r="B1772" t="s">
        <v>2</v>
      </c>
      <c r="C1772" s="2">
        <v>39500</v>
      </c>
      <c r="D1772" t="s">
        <v>6</v>
      </c>
      <c r="E1772">
        <v>4.5502669999999998</v>
      </c>
      <c r="F1772">
        <f t="shared" si="54"/>
        <v>5.4344999999999644E-2</v>
      </c>
      <c r="G1772">
        <f t="shared" si="55"/>
        <v>138.84559340751781</v>
      </c>
    </row>
    <row r="1773" spans="2:7">
      <c r="B1773" t="s">
        <v>2</v>
      </c>
      <c r="C1773" s="2">
        <v>39499</v>
      </c>
      <c r="D1773" t="s">
        <v>6</v>
      </c>
      <c r="E1773">
        <v>4.4959220000000002</v>
      </c>
      <c r="F1773">
        <f t="shared" si="54"/>
        <v>-0.1535479999999998</v>
      </c>
      <c r="G1773">
        <f t="shared" si="55"/>
        <v>145.21670587483294</v>
      </c>
    </row>
    <row r="1774" spans="2:7">
      <c r="B1774" t="s">
        <v>2</v>
      </c>
      <c r="C1774" s="2">
        <v>39498</v>
      </c>
      <c r="D1774" t="s">
        <v>6</v>
      </c>
      <c r="E1774">
        <v>4.64947</v>
      </c>
      <c r="F1774">
        <f t="shared" si="54"/>
        <v>1.0791000000000217E-2</v>
      </c>
      <c r="G1774">
        <f t="shared" si="55"/>
        <v>142.31303322622298</v>
      </c>
    </row>
    <row r="1775" spans="2:7">
      <c r="B1775" t="s">
        <v>2</v>
      </c>
      <c r="C1775" s="2">
        <v>39497</v>
      </c>
      <c r="D1775" t="s">
        <v>6</v>
      </c>
      <c r="E1775">
        <v>4.6386789999999998</v>
      </c>
      <c r="F1775">
        <f t="shared" si="54"/>
        <v>0.12455600000000011</v>
      </c>
      <c r="G1775">
        <f t="shared" si="55"/>
        <v>142.41570586284527</v>
      </c>
    </row>
    <row r="1776" spans="2:7">
      <c r="B1776" t="s">
        <v>2</v>
      </c>
      <c r="C1776" s="2">
        <v>39493</v>
      </c>
      <c r="D1776" t="s">
        <v>6</v>
      </c>
      <c r="E1776">
        <v>4.5141229999999997</v>
      </c>
      <c r="F1776">
        <f t="shared" si="54"/>
        <v>-4.8963000000000534E-2</v>
      </c>
      <c r="G1776">
        <f t="shared" si="55"/>
        <v>139.95209440601189</v>
      </c>
    </row>
    <row r="1777" spans="2:7">
      <c r="B1777" t="s">
        <v>2</v>
      </c>
      <c r="C1777" s="2">
        <v>39492</v>
      </c>
      <c r="D1777" t="s">
        <v>6</v>
      </c>
      <c r="E1777">
        <v>4.5630860000000002</v>
      </c>
      <c r="F1777">
        <f t="shared" si="54"/>
        <v>0.18129300000000015</v>
      </c>
      <c r="G1777">
        <f t="shared" si="55"/>
        <v>139.79112259732048</v>
      </c>
    </row>
    <row r="1778" spans="2:7">
      <c r="B1778" t="s">
        <v>2</v>
      </c>
      <c r="C1778" s="2">
        <v>39491</v>
      </c>
      <c r="D1778" t="s">
        <v>6</v>
      </c>
      <c r="E1778">
        <v>4.381793</v>
      </c>
      <c r="F1778">
        <f t="shared" si="54"/>
        <v>1.8318999999999974E-2</v>
      </c>
      <c r="G1778">
        <f t="shared" si="55"/>
        <v>134.31863198347597</v>
      </c>
    </row>
    <row r="1779" spans="2:7">
      <c r="B1779" t="s">
        <v>2</v>
      </c>
      <c r="C1779" s="2">
        <v>39490</v>
      </c>
      <c r="D1779" t="s">
        <v>6</v>
      </c>
      <c r="E1779">
        <v>4.3634740000000001</v>
      </c>
      <c r="F1779">
        <f t="shared" si="54"/>
        <v>7.1101999999999776E-2</v>
      </c>
      <c r="G1779">
        <f t="shared" si="55"/>
        <v>135.1177117975198</v>
      </c>
    </row>
    <row r="1780" spans="2:7">
      <c r="B1780" t="s">
        <v>2</v>
      </c>
      <c r="C1780" s="2">
        <v>39489</v>
      </c>
      <c r="D1780" t="s">
        <v>6</v>
      </c>
      <c r="E1780">
        <v>4.2923720000000003</v>
      </c>
      <c r="F1780">
        <f t="shared" si="54"/>
        <v>-3.0431999999999348E-2</v>
      </c>
      <c r="G1780">
        <f t="shared" si="55"/>
        <v>134.06752782328093</v>
      </c>
    </row>
    <row r="1781" spans="2:7">
      <c r="B1781" t="s">
        <v>2</v>
      </c>
      <c r="C1781" s="2">
        <v>39486</v>
      </c>
      <c r="D1781" t="s">
        <v>6</v>
      </c>
      <c r="E1781">
        <v>4.3228039999999996</v>
      </c>
      <c r="F1781">
        <f t="shared" si="54"/>
        <v>-7.0378000000000718E-2</v>
      </c>
      <c r="G1781">
        <f t="shared" si="55"/>
        <v>134.12479632530707</v>
      </c>
    </row>
    <row r="1782" spans="2:7">
      <c r="B1782" t="s">
        <v>2</v>
      </c>
      <c r="C1782" s="2">
        <v>39485</v>
      </c>
      <c r="D1782" t="s">
        <v>6</v>
      </c>
      <c r="E1782">
        <v>4.3931820000000004</v>
      </c>
      <c r="F1782">
        <f t="shared" si="54"/>
        <v>0.14082500000000042</v>
      </c>
      <c r="G1782">
        <f t="shared" si="55"/>
        <v>133.96755457992967</v>
      </c>
    </row>
    <row r="1783" spans="2:7">
      <c r="B1783" t="s">
        <v>2</v>
      </c>
      <c r="C1783" s="2">
        <v>39484</v>
      </c>
      <c r="D1783" t="s">
        <v>6</v>
      </c>
      <c r="E1783">
        <v>4.2523569999999999</v>
      </c>
      <c r="F1783">
        <f t="shared" si="54"/>
        <v>3.1439999999999912E-2</v>
      </c>
      <c r="G1783">
        <f t="shared" si="55"/>
        <v>130.29671607237486</v>
      </c>
    </row>
    <row r="1784" spans="2:7">
      <c r="B1784" t="s">
        <v>2</v>
      </c>
      <c r="C1784" s="2">
        <v>39483</v>
      </c>
      <c r="D1784" t="s">
        <v>6</v>
      </c>
      <c r="E1784">
        <v>4.220917</v>
      </c>
      <c r="F1784">
        <f t="shared" si="54"/>
        <v>-5.8232999999999535E-2</v>
      </c>
      <c r="G1784">
        <f t="shared" si="55"/>
        <v>129.97283072684743</v>
      </c>
    </row>
    <row r="1785" spans="2:7">
      <c r="B1785" t="s">
        <v>2</v>
      </c>
      <c r="C1785" s="2">
        <v>39482</v>
      </c>
      <c r="D1785" t="s">
        <v>6</v>
      </c>
      <c r="E1785">
        <v>4.2791499999999996</v>
      </c>
      <c r="F1785">
        <f t="shared" si="54"/>
        <v>4.748999999999981E-2</v>
      </c>
      <c r="G1785">
        <f t="shared" si="55"/>
        <v>130.3780651794645</v>
      </c>
    </row>
    <row r="1786" spans="2:7">
      <c r="B1786" t="s">
        <v>2</v>
      </c>
      <c r="C1786" s="2">
        <v>39479</v>
      </c>
      <c r="D1786" t="s">
        <v>6</v>
      </c>
      <c r="E1786">
        <v>4.2316599999999998</v>
      </c>
      <c r="F1786">
        <f t="shared" si="54"/>
        <v>-3.7946999999999953E-2</v>
      </c>
      <c r="G1786">
        <f t="shared" si="55"/>
        <v>130.46128076704809</v>
      </c>
    </row>
    <row r="1787" spans="2:7">
      <c r="B1787" t="s">
        <v>2</v>
      </c>
      <c r="C1787" s="2">
        <v>39478</v>
      </c>
      <c r="D1787" t="s">
        <v>6</v>
      </c>
      <c r="E1787">
        <v>4.2696069999999997</v>
      </c>
      <c r="F1787">
        <f t="shared" si="54"/>
        <v>-9.2158000000000406E-2</v>
      </c>
      <c r="G1787">
        <f t="shared" si="55"/>
        <v>130.50305808374395</v>
      </c>
    </row>
    <row r="1788" spans="2:7">
      <c r="B1788" t="s">
        <v>2</v>
      </c>
      <c r="C1788" s="2">
        <v>39477</v>
      </c>
      <c r="D1788" t="s">
        <v>6</v>
      </c>
      <c r="E1788">
        <v>4.3617650000000001</v>
      </c>
      <c r="F1788">
        <f t="shared" si="54"/>
        <v>0.1089500000000001</v>
      </c>
      <c r="G1788">
        <f t="shared" si="55"/>
        <v>130.56903381882194</v>
      </c>
    </row>
    <row r="1789" spans="2:7">
      <c r="B1789" t="s">
        <v>2</v>
      </c>
      <c r="C1789" s="2">
        <v>39476</v>
      </c>
      <c r="D1789" t="s">
        <v>6</v>
      </c>
      <c r="E1789">
        <v>4.252815</v>
      </c>
      <c r="F1789">
        <f t="shared" si="54"/>
        <v>6.6718999999999973E-2</v>
      </c>
      <c r="G1789">
        <f t="shared" si="55"/>
        <v>129.55341352591807</v>
      </c>
    </row>
    <row r="1790" spans="2:7">
      <c r="B1790" t="s">
        <v>2</v>
      </c>
      <c r="C1790" s="2">
        <v>39475</v>
      </c>
      <c r="D1790" t="s">
        <v>6</v>
      </c>
      <c r="E1790">
        <v>4.186096</v>
      </c>
      <c r="F1790">
        <f t="shared" si="54"/>
        <v>1.4799999999999258E-3</v>
      </c>
      <c r="G1790">
        <f t="shared" si="55"/>
        <v>128.58438845082759</v>
      </c>
    </row>
    <row r="1791" spans="2:7">
      <c r="B1791" t="s">
        <v>2</v>
      </c>
      <c r="C1791" s="2">
        <v>39472</v>
      </c>
      <c r="D1791" t="s">
        <v>6</v>
      </c>
      <c r="E1791">
        <v>4.1846160000000001</v>
      </c>
      <c r="F1791">
        <f t="shared" si="54"/>
        <v>-8.8302999999999798E-2</v>
      </c>
      <c r="G1791">
        <f t="shared" si="55"/>
        <v>128.54526659016503</v>
      </c>
    </row>
    <row r="1792" spans="2:7">
      <c r="B1792" t="s">
        <v>2</v>
      </c>
      <c r="C1792" s="2">
        <v>39471</v>
      </c>
      <c r="D1792" t="s">
        <v>6</v>
      </c>
      <c r="E1792">
        <v>4.2729189999999999</v>
      </c>
      <c r="F1792">
        <f t="shared" si="54"/>
        <v>0.23096099999999975</v>
      </c>
      <c r="G1792">
        <f t="shared" si="55"/>
        <v>128.29788506060703</v>
      </c>
    </row>
    <row r="1793" spans="2:7">
      <c r="B1793" t="s">
        <v>2</v>
      </c>
      <c r="C1793" s="2">
        <v>39470</v>
      </c>
      <c r="D1793" t="s">
        <v>6</v>
      </c>
      <c r="E1793">
        <v>4.0419580000000002</v>
      </c>
      <c r="F1793">
        <f t="shared" si="54"/>
        <v>-6.1511999999999567E-2</v>
      </c>
      <c r="G1793">
        <f t="shared" si="55"/>
        <v>118.27433981081286</v>
      </c>
    </row>
    <row r="1794" spans="2:7">
      <c r="B1794" t="s">
        <v>2</v>
      </c>
      <c r="C1794" s="2">
        <v>39469</v>
      </c>
      <c r="D1794" t="s">
        <v>6</v>
      </c>
      <c r="E1794">
        <v>4.1034699999999997</v>
      </c>
      <c r="F1794">
        <f t="shared" si="54"/>
        <v>-0.16035399999999989</v>
      </c>
      <c r="G1794">
        <f t="shared" si="55"/>
        <v>118.4302949548967</v>
      </c>
    </row>
    <row r="1795" spans="2:7">
      <c r="B1795" t="s">
        <v>2</v>
      </c>
      <c r="C1795" s="2">
        <v>39465</v>
      </c>
      <c r="D1795" t="s">
        <v>6</v>
      </c>
      <c r="E1795">
        <v>4.2638239999999996</v>
      </c>
      <c r="F1795">
        <f t="shared" ref="F1795:F1858" si="56">E1795-E1796</f>
        <v>1.5500999999999543E-2</v>
      </c>
      <c r="G1795">
        <f t="shared" ref="G1795:G1858" si="57">STDEV(F1795:F1854)*SQRT(250)*100</f>
        <v>114.55498061899341</v>
      </c>
    </row>
    <row r="1796" spans="2:7">
      <c r="B1796" t="s">
        <v>2</v>
      </c>
      <c r="C1796" s="2">
        <v>39464</v>
      </c>
      <c r="D1796" t="s">
        <v>6</v>
      </c>
      <c r="E1796">
        <v>4.2483230000000001</v>
      </c>
      <c r="F1796">
        <f t="shared" si="56"/>
        <v>-7.1735999999999578E-2</v>
      </c>
      <c r="G1796">
        <f t="shared" si="57"/>
        <v>114.4051042392778</v>
      </c>
    </row>
    <row r="1797" spans="2:7">
      <c r="B1797" t="s">
        <v>2</v>
      </c>
      <c r="C1797" s="2">
        <v>39463</v>
      </c>
      <c r="D1797" t="s">
        <v>6</v>
      </c>
      <c r="E1797">
        <v>4.3200589999999996</v>
      </c>
      <c r="F1797">
        <f t="shared" si="56"/>
        <v>3.8969999999999949E-2</v>
      </c>
      <c r="G1797">
        <f t="shared" si="57"/>
        <v>115.08693291799803</v>
      </c>
    </row>
    <row r="1798" spans="2:7">
      <c r="B1798" t="s">
        <v>2</v>
      </c>
      <c r="C1798" s="2">
        <v>39462</v>
      </c>
      <c r="D1798" t="s">
        <v>6</v>
      </c>
      <c r="E1798">
        <v>4.2810889999999997</v>
      </c>
      <c r="F1798">
        <f t="shared" si="56"/>
        <v>-0.10020300000000049</v>
      </c>
      <c r="G1798">
        <f t="shared" si="57"/>
        <v>114.69395763534642</v>
      </c>
    </row>
    <row r="1799" spans="2:7">
      <c r="B1799" t="s">
        <v>2</v>
      </c>
      <c r="C1799" s="2">
        <v>39461</v>
      </c>
      <c r="D1799" t="s">
        <v>6</v>
      </c>
      <c r="E1799">
        <v>4.3812920000000002</v>
      </c>
      <c r="F1799">
        <f t="shared" si="56"/>
        <v>-3.4055999999999642E-2</v>
      </c>
      <c r="G1799">
        <f t="shared" si="57"/>
        <v>114.76832700823161</v>
      </c>
    </row>
    <row r="1800" spans="2:7">
      <c r="B1800" t="s">
        <v>2</v>
      </c>
      <c r="C1800" s="2">
        <v>39458</v>
      </c>
      <c r="D1800" t="s">
        <v>6</v>
      </c>
      <c r="E1800">
        <v>4.4153479999999998</v>
      </c>
      <c r="F1800">
        <f t="shared" si="56"/>
        <v>-8.2268000000000008E-2</v>
      </c>
      <c r="G1800">
        <f t="shared" si="57"/>
        <v>114.70063646771493</v>
      </c>
    </row>
    <row r="1801" spans="2:7">
      <c r="B1801" t="s">
        <v>2</v>
      </c>
      <c r="C1801" s="2">
        <v>39457</v>
      </c>
      <c r="D1801" t="s">
        <v>6</v>
      </c>
      <c r="E1801">
        <v>4.4976159999999998</v>
      </c>
      <c r="F1801">
        <f t="shared" si="56"/>
        <v>9.3570999999999849E-2</v>
      </c>
      <c r="G1801">
        <f t="shared" si="57"/>
        <v>113.8528590069876</v>
      </c>
    </row>
    <row r="1802" spans="2:7">
      <c r="B1802" t="s">
        <v>2</v>
      </c>
      <c r="C1802" s="2">
        <v>39456</v>
      </c>
      <c r="D1802" t="s">
        <v>6</v>
      </c>
      <c r="E1802">
        <v>4.404045</v>
      </c>
      <c r="F1802">
        <f t="shared" si="56"/>
        <v>-3.6855000000000082E-2</v>
      </c>
      <c r="G1802">
        <f t="shared" si="57"/>
        <v>112.19830573854941</v>
      </c>
    </row>
    <row r="1803" spans="2:7">
      <c r="B1803" t="s">
        <v>2</v>
      </c>
      <c r="C1803" s="2">
        <v>39455</v>
      </c>
      <c r="D1803" t="s">
        <v>6</v>
      </c>
      <c r="E1803">
        <v>4.4409000000000001</v>
      </c>
      <c r="F1803">
        <f t="shared" si="56"/>
        <v>-7.6450000000001239E-3</v>
      </c>
      <c r="G1803">
        <f t="shared" si="57"/>
        <v>112.12444078042066</v>
      </c>
    </row>
    <row r="1804" spans="2:7">
      <c r="B1804" t="s">
        <v>2</v>
      </c>
      <c r="C1804" s="2">
        <v>39454</v>
      </c>
      <c r="D1804" t="s">
        <v>6</v>
      </c>
      <c r="E1804">
        <v>4.4485450000000002</v>
      </c>
      <c r="F1804">
        <f t="shared" si="56"/>
        <v>-2.7730000000000032E-2</v>
      </c>
      <c r="G1804">
        <f t="shared" si="57"/>
        <v>112.11876144732587</v>
      </c>
    </row>
    <row r="1805" spans="2:7">
      <c r="B1805" t="s">
        <v>2</v>
      </c>
      <c r="C1805" s="2">
        <v>39451</v>
      </c>
      <c r="D1805" t="s">
        <v>6</v>
      </c>
      <c r="E1805">
        <v>4.4762750000000002</v>
      </c>
      <c r="F1805">
        <f t="shared" si="56"/>
        <v>-6.8670000000000009E-2</v>
      </c>
      <c r="G1805">
        <f t="shared" si="57"/>
        <v>112.15828072461575</v>
      </c>
    </row>
    <row r="1806" spans="2:7">
      <c r="B1806" t="s">
        <v>2</v>
      </c>
      <c r="C1806" s="2">
        <v>39450</v>
      </c>
      <c r="D1806" t="s">
        <v>6</v>
      </c>
      <c r="E1806">
        <v>4.5449450000000002</v>
      </c>
      <c r="F1806">
        <f t="shared" si="56"/>
        <v>1.1784000000000461E-2</v>
      </c>
      <c r="G1806">
        <f t="shared" si="57"/>
        <v>115.10735737220226</v>
      </c>
    </row>
    <row r="1807" spans="2:7">
      <c r="B1807" t="s">
        <v>2</v>
      </c>
      <c r="C1807" s="2">
        <v>39449</v>
      </c>
      <c r="D1807" t="s">
        <v>6</v>
      </c>
      <c r="E1807">
        <v>4.5331609999999998</v>
      </c>
      <c r="F1807">
        <f t="shared" si="56"/>
        <v>-0.13168900000000061</v>
      </c>
      <c r="G1807">
        <f t="shared" si="57"/>
        <v>115.01910397632635</v>
      </c>
    </row>
    <row r="1808" spans="2:7">
      <c r="B1808" t="s">
        <v>2</v>
      </c>
      <c r="C1808" s="2">
        <v>39447</v>
      </c>
      <c r="D1808" t="s">
        <v>6</v>
      </c>
      <c r="E1808">
        <v>4.6648500000000004</v>
      </c>
      <c r="F1808">
        <f t="shared" si="56"/>
        <v>-7.3967999999999812E-2</v>
      </c>
      <c r="G1808">
        <f t="shared" si="57"/>
        <v>112.29196470456455</v>
      </c>
    </row>
    <row r="1809" spans="2:7">
      <c r="B1809" t="s">
        <v>2</v>
      </c>
      <c r="C1809" s="2">
        <v>39444</v>
      </c>
      <c r="D1809" t="s">
        <v>6</v>
      </c>
      <c r="E1809">
        <v>4.7388180000000002</v>
      </c>
      <c r="F1809">
        <f t="shared" si="56"/>
        <v>-0.12639599999999973</v>
      </c>
      <c r="G1809">
        <f t="shared" si="57"/>
        <v>111.60758687414614</v>
      </c>
    </row>
    <row r="1810" spans="2:7">
      <c r="B1810" t="s">
        <v>2</v>
      </c>
      <c r="C1810" s="2">
        <v>39443</v>
      </c>
      <c r="D1810" t="s">
        <v>6</v>
      </c>
      <c r="E1810">
        <v>4.8652139999999999</v>
      </c>
      <c r="F1810">
        <f t="shared" si="56"/>
        <v>-6.7420000000000258E-2</v>
      </c>
      <c r="G1810">
        <f t="shared" si="57"/>
        <v>108.8575734759704</v>
      </c>
    </row>
    <row r="1811" spans="2:7">
      <c r="B1811" t="s">
        <v>2</v>
      </c>
      <c r="C1811" s="2">
        <v>39442</v>
      </c>
      <c r="D1811" t="s">
        <v>6</v>
      </c>
      <c r="E1811">
        <v>4.9326340000000002</v>
      </c>
      <c r="F1811">
        <f t="shared" si="56"/>
        <v>6.4121000000000095E-2</v>
      </c>
      <c r="G1811">
        <f t="shared" si="57"/>
        <v>108.10995818008897</v>
      </c>
    </row>
    <row r="1812" spans="2:7">
      <c r="B1812" t="s">
        <v>2</v>
      </c>
      <c r="C1812" s="2">
        <v>39440</v>
      </c>
      <c r="D1812" t="s">
        <v>6</v>
      </c>
      <c r="E1812">
        <v>4.8685130000000001</v>
      </c>
      <c r="F1812">
        <f t="shared" si="56"/>
        <v>5.4528000000000354E-2</v>
      </c>
      <c r="G1812">
        <f t="shared" si="57"/>
        <v>107.89012268612976</v>
      </c>
    </row>
    <row r="1813" spans="2:7">
      <c r="B1813" t="s">
        <v>2</v>
      </c>
      <c r="C1813" s="2">
        <v>39437</v>
      </c>
      <c r="D1813" t="s">
        <v>6</v>
      </c>
      <c r="E1813">
        <v>4.8139849999999997</v>
      </c>
      <c r="F1813">
        <f t="shared" si="56"/>
        <v>0.1460840000000001</v>
      </c>
      <c r="G1813">
        <f t="shared" si="57"/>
        <v>107.1433449091117</v>
      </c>
    </row>
    <row r="1814" spans="2:7">
      <c r="B1814" t="s">
        <v>2</v>
      </c>
      <c r="C1814" s="2">
        <v>39436</v>
      </c>
      <c r="D1814" t="s">
        <v>6</v>
      </c>
      <c r="E1814">
        <v>4.6679009999999996</v>
      </c>
      <c r="F1814">
        <f t="shared" si="56"/>
        <v>-3.4913000000000416E-2</v>
      </c>
      <c r="G1814">
        <f t="shared" si="57"/>
        <v>102.29331806025681</v>
      </c>
    </row>
    <row r="1815" spans="2:7">
      <c r="B1815" t="s">
        <v>2</v>
      </c>
      <c r="C1815" s="2">
        <v>39435</v>
      </c>
      <c r="D1815" t="s">
        <v>6</v>
      </c>
      <c r="E1815">
        <v>4.702814</v>
      </c>
      <c r="F1815">
        <f t="shared" si="56"/>
        <v>-4.8764000000000252E-2</v>
      </c>
      <c r="G1815">
        <f t="shared" si="57"/>
        <v>102.17761906542235</v>
      </c>
    </row>
    <row r="1816" spans="2:7">
      <c r="B1816" t="s">
        <v>2</v>
      </c>
      <c r="C1816" s="2">
        <v>39434</v>
      </c>
      <c r="D1816" t="s">
        <v>6</v>
      </c>
      <c r="E1816">
        <v>4.7515780000000003</v>
      </c>
      <c r="F1816">
        <f t="shared" si="56"/>
        <v>-0.11564799999999931</v>
      </c>
      <c r="G1816">
        <f t="shared" si="57"/>
        <v>102.01663871927174</v>
      </c>
    </row>
    <row r="1817" spans="2:7">
      <c r="B1817" t="s">
        <v>2</v>
      </c>
      <c r="C1817" s="2">
        <v>39433</v>
      </c>
      <c r="D1817" t="s">
        <v>6</v>
      </c>
      <c r="E1817">
        <v>4.8672259999999996</v>
      </c>
      <c r="F1817">
        <f t="shared" si="56"/>
        <v>-4.7528000000000681E-2</v>
      </c>
      <c r="G1817">
        <f t="shared" si="57"/>
        <v>106.82497346859026</v>
      </c>
    </row>
    <row r="1818" spans="2:7">
      <c r="B1818" t="s">
        <v>2</v>
      </c>
      <c r="C1818" s="2">
        <v>39430</v>
      </c>
      <c r="D1818" t="s">
        <v>6</v>
      </c>
      <c r="E1818">
        <v>4.9147540000000003</v>
      </c>
      <c r="F1818">
        <f t="shared" si="56"/>
        <v>8.959100000000042E-2</v>
      </c>
      <c r="G1818">
        <f t="shared" si="57"/>
        <v>106.58995758158972</v>
      </c>
    </row>
    <row r="1819" spans="2:7">
      <c r="B1819" t="s">
        <v>2</v>
      </c>
      <c r="C1819" s="2">
        <v>39429</v>
      </c>
      <c r="D1819" t="s">
        <v>6</v>
      </c>
      <c r="E1819">
        <v>4.8251629999999999</v>
      </c>
      <c r="F1819">
        <f t="shared" si="56"/>
        <v>6.0737999999999737E-2</v>
      </c>
      <c r="G1819">
        <f t="shared" si="57"/>
        <v>105.06059398726842</v>
      </c>
    </row>
    <row r="1820" spans="2:7">
      <c r="B1820" t="s">
        <v>2</v>
      </c>
      <c r="C1820" s="2">
        <v>39428</v>
      </c>
      <c r="D1820" t="s">
        <v>6</v>
      </c>
      <c r="E1820">
        <v>4.7644250000000001</v>
      </c>
      <c r="F1820">
        <f t="shared" si="56"/>
        <v>4.2011000000000465E-2</v>
      </c>
      <c r="G1820">
        <f t="shared" si="57"/>
        <v>104.298914444123</v>
      </c>
    </row>
    <row r="1821" spans="2:7">
      <c r="B1821" t="s">
        <v>2</v>
      </c>
      <c r="C1821" s="2">
        <v>39427</v>
      </c>
      <c r="D1821" t="s">
        <v>6</v>
      </c>
      <c r="E1821">
        <v>4.7224139999999997</v>
      </c>
      <c r="F1821">
        <f t="shared" si="56"/>
        <v>-0.14925800000000056</v>
      </c>
      <c r="G1821">
        <f t="shared" si="57"/>
        <v>103.82256806731638</v>
      </c>
    </row>
    <row r="1822" spans="2:7">
      <c r="B1822" t="s">
        <v>2</v>
      </c>
      <c r="C1822" s="2">
        <v>39426</v>
      </c>
      <c r="D1822" t="s">
        <v>6</v>
      </c>
      <c r="E1822">
        <v>4.8716720000000002</v>
      </c>
      <c r="F1822">
        <f t="shared" si="56"/>
        <v>3.8625000000000576E-2</v>
      </c>
      <c r="G1822">
        <f t="shared" si="57"/>
        <v>100.92487983785432</v>
      </c>
    </row>
    <row r="1823" spans="2:7">
      <c r="B1823" t="s">
        <v>2</v>
      </c>
      <c r="C1823" s="2">
        <v>39423</v>
      </c>
      <c r="D1823" t="s">
        <v>6</v>
      </c>
      <c r="E1823">
        <v>4.8330469999999996</v>
      </c>
      <c r="F1823">
        <f t="shared" si="56"/>
        <v>0.15296699999999941</v>
      </c>
      <c r="G1823">
        <f t="shared" si="57"/>
        <v>100.91643339058737</v>
      </c>
    </row>
    <row r="1824" spans="2:7">
      <c r="B1824" t="s">
        <v>2</v>
      </c>
      <c r="C1824" s="2">
        <v>39422</v>
      </c>
      <c r="D1824" t="s">
        <v>6</v>
      </c>
      <c r="E1824">
        <v>4.6800800000000002</v>
      </c>
      <c r="F1824">
        <f t="shared" si="56"/>
        <v>9.3384000000000356E-2</v>
      </c>
      <c r="G1824">
        <f t="shared" si="57"/>
        <v>96.085532960538671</v>
      </c>
    </row>
    <row r="1825" spans="2:7">
      <c r="B1825" t="s">
        <v>2</v>
      </c>
      <c r="C1825" s="2">
        <v>39421</v>
      </c>
      <c r="D1825" t="s">
        <v>6</v>
      </c>
      <c r="E1825">
        <v>4.5866959999999999</v>
      </c>
      <c r="F1825">
        <f t="shared" si="56"/>
        <v>2.134400000000003E-2</v>
      </c>
      <c r="G1825">
        <f t="shared" si="57"/>
        <v>94.255496931730619</v>
      </c>
    </row>
    <row r="1826" spans="2:7">
      <c r="B1826" t="s">
        <v>2</v>
      </c>
      <c r="C1826" s="2">
        <v>39420</v>
      </c>
      <c r="D1826" t="s">
        <v>6</v>
      </c>
      <c r="E1826">
        <v>4.5653519999999999</v>
      </c>
      <c r="F1826">
        <f t="shared" si="56"/>
        <v>8.1259999999998556E-3</v>
      </c>
      <c r="G1826">
        <f t="shared" si="57"/>
        <v>98.509661701348634</v>
      </c>
    </row>
    <row r="1827" spans="2:7">
      <c r="B1827" t="s">
        <v>2</v>
      </c>
      <c r="C1827" s="2">
        <v>39419</v>
      </c>
      <c r="D1827" t="s">
        <v>6</v>
      </c>
      <c r="E1827">
        <v>4.557226</v>
      </c>
      <c r="F1827">
        <f t="shared" si="56"/>
        <v>-6.0762000000000427E-2</v>
      </c>
      <c r="G1827">
        <f t="shared" si="57"/>
        <v>98.469545068599658</v>
      </c>
    </row>
    <row r="1828" spans="2:7">
      <c r="B1828" t="s">
        <v>2</v>
      </c>
      <c r="C1828" s="2">
        <v>39416</v>
      </c>
      <c r="D1828" t="s">
        <v>6</v>
      </c>
      <c r="E1828">
        <v>4.6179880000000004</v>
      </c>
      <c r="F1828">
        <f t="shared" si="56"/>
        <v>3.3970000000005385E-3</v>
      </c>
      <c r="G1828">
        <f t="shared" si="57"/>
        <v>99.163287927515654</v>
      </c>
    </row>
    <row r="1829" spans="2:7">
      <c r="B1829" t="s">
        <v>2</v>
      </c>
      <c r="C1829" s="2">
        <v>39415</v>
      </c>
      <c r="D1829" t="s">
        <v>6</v>
      </c>
      <c r="E1829">
        <v>4.6145909999999999</v>
      </c>
      <c r="F1829">
        <f t="shared" si="56"/>
        <v>-8.3101000000000091E-2</v>
      </c>
      <c r="G1829">
        <f t="shared" si="57"/>
        <v>99.286635529570688</v>
      </c>
    </row>
    <row r="1830" spans="2:7">
      <c r="B1830" t="s">
        <v>2</v>
      </c>
      <c r="C1830" s="2">
        <v>39414</v>
      </c>
      <c r="D1830" t="s">
        <v>6</v>
      </c>
      <c r="E1830">
        <v>4.697692</v>
      </c>
      <c r="F1830">
        <f t="shared" si="56"/>
        <v>5.2950000000000053E-2</v>
      </c>
      <c r="G1830">
        <f t="shared" si="57"/>
        <v>98.441548089140042</v>
      </c>
    </row>
    <row r="1831" spans="2:7">
      <c r="B1831" t="s">
        <v>2</v>
      </c>
      <c r="C1831" s="2">
        <v>39413</v>
      </c>
      <c r="D1831" t="s">
        <v>6</v>
      </c>
      <c r="E1831">
        <v>4.6447419999999999</v>
      </c>
      <c r="F1831">
        <f t="shared" si="56"/>
        <v>8.9123999999999981E-2</v>
      </c>
      <c r="G1831">
        <f t="shared" si="57"/>
        <v>98.085640869535339</v>
      </c>
    </row>
    <row r="1832" spans="2:7">
      <c r="B1832" t="s">
        <v>2</v>
      </c>
      <c r="C1832" s="2">
        <v>39412</v>
      </c>
      <c r="D1832" t="s">
        <v>6</v>
      </c>
      <c r="E1832">
        <v>4.5556179999999999</v>
      </c>
      <c r="F1832">
        <f t="shared" si="56"/>
        <v>-0.21664900000000031</v>
      </c>
      <c r="G1832">
        <f t="shared" si="57"/>
        <v>96.229412724940985</v>
      </c>
    </row>
    <row r="1833" spans="2:7">
      <c r="B1833" t="s">
        <v>2</v>
      </c>
      <c r="C1833" s="2">
        <v>39409</v>
      </c>
      <c r="D1833" t="s">
        <v>6</v>
      </c>
      <c r="E1833">
        <v>4.7722670000000003</v>
      </c>
      <c r="F1833">
        <f t="shared" si="56"/>
        <v>-5.5976999999999499E-2</v>
      </c>
      <c r="G1833">
        <f t="shared" si="57"/>
        <v>86.36245818484349</v>
      </c>
    </row>
    <row r="1834" spans="2:7">
      <c r="B1834" t="s">
        <v>2</v>
      </c>
      <c r="C1834" s="2">
        <v>39407</v>
      </c>
      <c r="D1834" t="s">
        <v>6</v>
      </c>
      <c r="E1834">
        <v>4.8282439999999998</v>
      </c>
      <c r="F1834">
        <f t="shared" si="56"/>
        <v>-3.3174999999999955E-2</v>
      </c>
      <c r="G1834">
        <f t="shared" si="57"/>
        <v>85.896761028150209</v>
      </c>
    </row>
    <row r="1835" spans="2:7">
      <c r="B1835" t="s">
        <v>2</v>
      </c>
      <c r="C1835" s="2">
        <v>39406</v>
      </c>
      <c r="D1835" t="s">
        <v>6</v>
      </c>
      <c r="E1835">
        <v>4.8614189999999997</v>
      </c>
      <c r="F1835">
        <f t="shared" si="56"/>
        <v>1.1994999999999756E-2</v>
      </c>
      <c r="G1835">
        <f t="shared" si="57"/>
        <v>85.859642333774261</v>
      </c>
    </row>
    <row r="1836" spans="2:7">
      <c r="B1836" t="s">
        <v>2</v>
      </c>
      <c r="C1836" s="2">
        <v>39405</v>
      </c>
      <c r="D1836" t="s">
        <v>6</v>
      </c>
      <c r="E1836">
        <v>4.849424</v>
      </c>
      <c r="F1836">
        <f t="shared" si="56"/>
        <v>-3.4263000000000154E-2</v>
      </c>
      <c r="G1836">
        <f t="shared" si="57"/>
        <v>85.767028706613388</v>
      </c>
    </row>
    <row r="1837" spans="2:7">
      <c r="B1837" t="s">
        <v>2</v>
      </c>
      <c r="C1837" s="2">
        <v>39402</v>
      </c>
      <c r="D1837" t="s">
        <v>6</v>
      </c>
      <c r="E1837">
        <v>4.8836870000000001</v>
      </c>
      <c r="F1837">
        <f t="shared" si="56"/>
        <v>-1.3239999999999696E-2</v>
      </c>
      <c r="G1837">
        <f t="shared" si="57"/>
        <v>85.629719417182628</v>
      </c>
    </row>
    <row r="1838" spans="2:7">
      <c r="B1838" t="s">
        <v>2</v>
      </c>
      <c r="C1838" s="2">
        <v>39401</v>
      </c>
      <c r="D1838" t="s">
        <v>6</v>
      </c>
      <c r="E1838">
        <v>4.8969269999999998</v>
      </c>
      <c r="F1838">
        <f t="shared" si="56"/>
        <v>-8.5956000000000365E-2</v>
      </c>
      <c r="G1838">
        <f t="shared" si="57"/>
        <v>86.243527508291734</v>
      </c>
    </row>
    <row r="1839" spans="2:7">
      <c r="B1839" t="s">
        <v>2</v>
      </c>
      <c r="C1839" s="2">
        <v>39400</v>
      </c>
      <c r="D1839" t="s">
        <v>6</v>
      </c>
      <c r="E1839">
        <v>4.9828830000000002</v>
      </c>
      <c r="F1839">
        <f t="shared" si="56"/>
        <v>-3.2119999999995485E-3</v>
      </c>
      <c r="G1839">
        <f t="shared" si="57"/>
        <v>84.942885308754953</v>
      </c>
    </row>
    <row r="1840" spans="2:7">
      <c r="B1840" t="s">
        <v>2</v>
      </c>
      <c r="C1840" s="2">
        <v>39399</v>
      </c>
      <c r="D1840" t="s">
        <v>6</v>
      </c>
      <c r="E1840">
        <v>4.9860949999999997</v>
      </c>
      <c r="F1840">
        <f t="shared" si="56"/>
        <v>1.5902999999999778E-2</v>
      </c>
      <c r="G1840">
        <f t="shared" si="57"/>
        <v>85.544523101438642</v>
      </c>
    </row>
    <row r="1841" spans="2:7">
      <c r="B1841" t="s">
        <v>2</v>
      </c>
      <c r="C1841" s="2">
        <v>39395</v>
      </c>
      <c r="D1841" t="s">
        <v>6</v>
      </c>
      <c r="E1841">
        <v>4.9701919999999999</v>
      </c>
      <c r="F1841">
        <f t="shared" si="56"/>
        <v>-6.1359000000000385E-2</v>
      </c>
      <c r="G1841">
        <f t="shared" si="57"/>
        <v>86.180097037662549</v>
      </c>
    </row>
    <row r="1842" spans="2:7">
      <c r="B1842" t="s">
        <v>2</v>
      </c>
      <c r="C1842" s="2">
        <v>39394</v>
      </c>
      <c r="D1842" t="s">
        <v>6</v>
      </c>
      <c r="E1842">
        <v>5.0315510000000003</v>
      </c>
      <c r="F1842">
        <f t="shared" si="56"/>
        <v>-3.4278999999999726E-2</v>
      </c>
      <c r="G1842">
        <f t="shared" si="57"/>
        <v>85.520082611207243</v>
      </c>
    </row>
    <row r="1843" spans="2:7">
      <c r="B1843" t="s">
        <v>2</v>
      </c>
      <c r="C1843" s="2">
        <v>39393</v>
      </c>
      <c r="D1843" t="s">
        <v>6</v>
      </c>
      <c r="E1843">
        <v>5.0658300000000001</v>
      </c>
      <c r="F1843">
        <f t="shared" si="56"/>
        <v>-5.900999999999712E-3</v>
      </c>
      <c r="G1843">
        <f t="shared" si="57"/>
        <v>85.444316435248595</v>
      </c>
    </row>
    <row r="1844" spans="2:7">
      <c r="B1844" t="s">
        <v>2</v>
      </c>
      <c r="C1844" s="2">
        <v>39392</v>
      </c>
      <c r="D1844" t="s">
        <v>6</v>
      </c>
      <c r="E1844">
        <v>5.0717309999999998</v>
      </c>
      <c r="F1844">
        <f t="shared" si="56"/>
        <v>5.3938999999999737E-2</v>
      </c>
      <c r="G1844">
        <f t="shared" si="57"/>
        <v>85.474424158344547</v>
      </c>
    </row>
    <row r="1845" spans="2:7">
      <c r="B1845" t="s">
        <v>2</v>
      </c>
      <c r="C1845" s="2">
        <v>39391</v>
      </c>
      <c r="D1845" t="s">
        <v>6</v>
      </c>
      <c r="E1845">
        <v>5.017792</v>
      </c>
      <c r="F1845">
        <f t="shared" si="56"/>
        <v>5.1631999999999678E-2</v>
      </c>
      <c r="G1845">
        <f t="shared" si="57"/>
        <v>84.623490425957996</v>
      </c>
    </row>
    <row r="1846" spans="2:7">
      <c r="B1846" t="s">
        <v>2</v>
      </c>
      <c r="C1846" s="2">
        <v>39388</v>
      </c>
      <c r="D1846" t="s">
        <v>6</v>
      </c>
      <c r="E1846">
        <v>4.9661600000000004</v>
      </c>
      <c r="F1846">
        <f t="shared" si="56"/>
        <v>-4.254699999999989E-2</v>
      </c>
      <c r="G1846">
        <f t="shared" si="57"/>
        <v>84.062785578533436</v>
      </c>
    </row>
    <row r="1847" spans="2:7">
      <c r="B1847" t="s">
        <v>2</v>
      </c>
      <c r="C1847" s="2">
        <v>39387</v>
      </c>
      <c r="D1847" t="s">
        <v>6</v>
      </c>
      <c r="E1847">
        <v>5.0087070000000002</v>
      </c>
      <c r="F1847">
        <f t="shared" si="56"/>
        <v>-9.4664999999999999E-2</v>
      </c>
      <c r="G1847">
        <f t="shared" si="57"/>
        <v>85.393145152930714</v>
      </c>
    </row>
    <row r="1848" spans="2:7">
      <c r="B1848" t="s">
        <v>2</v>
      </c>
      <c r="C1848" s="2">
        <v>39386</v>
      </c>
      <c r="D1848" t="s">
        <v>6</v>
      </c>
      <c r="E1848">
        <v>5.1033720000000002</v>
      </c>
      <c r="F1848">
        <f t="shared" si="56"/>
        <v>7.9811000000000298E-2</v>
      </c>
      <c r="G1848">
        <f t="shared" si="57"/>
        <v>83.451011887464233</v>
      </c>
    </row>
    <row r="1849" spans="2:7">
      <c r="B1849" t="s">
        <v>2</v>
      </c>
      <c r="C1849" s="2">
        <v>39385</v>
      </c>
      <c r="D1849" t="s">
        <v>6</v>
      </c>
      <c r="E1849">
        <v>5.0235609999999999</v>
      </c>
      <c r="F1849">
        <f t="shared" si="56"/>
        <v>9.120000000000239E-3</v>
      </c>
      <c r="G1849">
        <f t="shared" si="57"/>
        <v>81.806844334080338</v>
      </c>
    </row>
    <row r="1850" spans="2:7">
      <c r="B1850" t="s">
        <v>2</v>
      </c>
      <c r="C1850" s="2">
        <v>39384</v>
      </c>
      <c r="D1850" t="s">
        <v>6</v>
      </c>
      <c r="E1850">
        <v>5.0144409999999997</v>
      </c>
      <c r="F1850">
        <f t="shared" si="56"/>
        <v>-1.4530000000000598E-2</v>
      </c>
      <c r="G1850">
        <f t="shared" si="57"/>
        <v>82.067405160288615</v>
      </c>
    </row>
    <row r="1851" spans="2:7">
      <c r="B1851" t="s">
        <v>2</v>
      </c>
      <c r="C1851" s="2">
        <v>39381</v>
      </c>
      <c r="D1851" t="s">
        <v>6</v>
      </c>
      <c r="E1851">
        <v>5.0289710000000003</v>
      </c>
      <c r="F1851">
        <f t="shared" si="56"/>
        <v>5.1789000000000307E-2</v>
      </c>
      <c r="G1851">
        <f t="shared" si="57"/>
        <v>82.08535040383839</v>
      </c>
    </row>
    <row r="1852" spans="2:7">
      <c r="B1852" t="s">
        <v>2</v>
      </c>
      <c r="C1852" s="2">
        <v>39380</v>
      </c>
      <c r="D1852" t="s">
        <v>6</v>
      </c>
      <c r="E1852">
        <v>4.977182</v>
      </c>
      <c r="F1852">
        <f t="shared" si="56"/>
        <v>2.4143999999999721E-2</v>
      </c>
      <c r="G1852">
        <f t="shared" si="57"/>
        <v>81.151078357772079</v>
      </c>
    </row>
    <row r="1853" spans="2:7">
      <c r="B1853" t="s">
        <v>2</v>
      </c>
      <c r="C1853" s="2">
        <v>39379</v>
      </c>
      <c r="D1853" t="s">
        <v>6</v>
      </c>
      <c r="E1853">
        <v>4.9530380000000003</v>
      </c>
      <c r="F1853">
        <f t="shared" si="56"/>
        <v>-7.0126999999999384E-2</v>
      </c>
      <c r="G1853">
        <f t="shared" si="57"/>
        <v>81.181891665657673</v>
      </c>
    </row>
    <row r="1854" spans="2:7">
      <c r="B1854" t="s">
        <v>2</v>
      </c>
      <c r="C1854" s="2">
        <v>39378</v>
      </c>
      <c r="D1854" t="s">
        <v>6</v>
      </c>
      <c r="E1854">
        <v>5.0231649999999997</v>
      </c>
      <c r="F1854">
        <f t="shared" si="56"/>
        <v>-3.8100000000005352E-3</v>
      </c>
      <c r="G1854">
        <f t="shared" si="57"/>
        <v>80.302806533522499</v>
      </c>
    </row>
    <row r="1855" spans="2:7">
      <c r="B1855" t="s">
        <v>2</v>
      </c>
      <c r="C1855" s="2">
        <v>39377</v>
      </c>
      <c r="D1855" t="s">
        <v>6</v>
      </c>
      <c r="E1855">
        <v>5.0269750000000002</v>
      </c>
      <c r="F1855">
        <f t="shared" si="56"/>
        <v>-1.3359999999999594E-2</v>
      </c>
      <c r="G1855">
        <f t="shared" si="57"/>
        <v>80.626093761858115</v>
      </c>
    </row>
    <row r="1856" spans="2:7">
      <c r="B1856" t="s">
        <v>2</v>
      </c>
      <c r="C1856" s="2">
        <v>39374</v>
      </c>
      <c r="D1856" t="s">
        <v>6</v>
      </c>
      <c r="E1856">
        <v>5.0403349999999998</v>
      </c>
      <c r="F1856">
        <f t="shared" si="56"/>
        <v>-9.7642000000000451E-2</v>
      </c>
      <c r="G1856">
        <f t="shared" si="57"/>
        <v>82.138113988154757</v>
      </c>
    </row>
    <row r="1857" spans="2:7">
      <c r="B1857" t="s">
        <v>2</v>
      </c>
      <c r="C1857" s="2">
        <v>39373</v>
      </c>
      <c r="D1857" t="s">
        <v>6</v>
      </c>
      <c r="E1857">
        <v>5.1379770000000002</v>
      </c>
      <c r="F1857">
        <f t="shared" si="56"/>
        <v>-4.0874999999999773E-2</v>
      </c>
      <c r="G1857">
        <f t="shared" si="57"/>
        <v>80.29340117875897</v>
      </c>
    </row>
    <row r="1858" spans="2:7">
      <c r="B1858" t="s">
        <v>2</v>
      </c>
      <c r="C1858" s="2">
        <v>39372</v>
      </c>
      <c r="D1858" t="s">
        <v>6</v>
      </c>
      <c r="E1858">
        <v>5.178852</v>
      </c>
      <c r="F1858">
        <f t="shared" si="56"/>
        <v>-0.10253400000000035</v>
      </c>
      <c r="G1858">
        <f t="shared" si="57"/>
        <v>80.009535918405106</v>
      </c>
    </row>
    <row r="1859" spans="2:7">
      <c r="B1859" t="s">
        <v>2</v>
      </c>
      <c r="C1859" s="2">
        <v>39371</v>
      </c>
      <c r="D1859" t="s">
        <v>6</v>
      </c>
      <c r="E1859">
        <v>5.2813860000000004</v>
      </c>
      <c r="F1859">
        <f t="shared" ref="F1859:F1922" si="58">E1859-E1860</f>
        <v>-1.6319999999999446E-2</v>
      </c>
      <c r="G1859">
        <f t="shared" ref="G1859:G1922" si="59">STDEV(F1859:F1918)*SQRT(250)*100</f>
        <v>77.620495954631465</v>
      </c>
    </row>
    <row r="1860" spans="2:7">
      <c r="B1860" t="s">
        <v>2</v>
      </c>
      <c r="C1860" s="2">
        <v>39370</v>
      </c>
      <c r="D1860" t="s">
        <v>6</v>
      </c>
      <c r="E1860">
        <v>5.2977059999999998</v>
      </c>
      <c r="F1860">
        <f t="shared" si="58"/>
        <v>-5.1719999999999544E-3</v>
      </c>
      <c r="G1860">
        <f t="shared" si="59"/>
        <v>78.108109914493326</v>
      </c>
    </row>
    <row r="1861" spans="2:7">
      <c r="B1861" t="s">
        <v>2</v>
      </c>
      <c r="C1861" s="2">
        <v>39367</v>
      </c>
      <c r="D1861" t="s">
        <v>6</v>
      </c>
      <c r="E1861">
        <v>5.3028779999999998</v>
      </c>
      <c r="F1861">
        <f t="shared" si="58"/>
        <v>3.8266000000000133E-2</v>
      </c>
      <c r="G1861">
        <f t="shared" si="59"/>
        <v>78.16998745416339</v>
      </c>
    </row>
    <row r="1862" spans="2:7">
      <c r="B1862" t="s">
        <v>2</v>
      </c>
      <c r="C1862" s="2">
        <v>39366</v>
      </c>
      <c r="D1862" t="s">
        <v>6</v>
      </c>
      <c r="E1862">
        <v>5.2646119999999996</v>
      </c>
      <c r="F1862">
        <f t="shared" si="58"/>
        <v>-2.7160000000003848E-3</v>
      </c>
      <c r="G1862">
        <f t="shared" si="59"/>
        <v>78.401488210911879</v>
      </c>
    </row>
    <row r="1863" spans="2:7">
      <c r="B1863" t="s">
        <v>2</v>
      </c>
      <c r="C1863" s="2">
        <v>39365</v>
      </c>
      <c r="D1863" t="s">
        <v>6</v>
      </c>
      <c r="E1863">
        <v>5.267328</v>
      </c>
      <c r="F1863">
        <f t="shared" si="58"/>
        <v>-1.1000000000000121E-2</v>
      </c>
      <c r="G1863">
        <f t="shared" si="59"/>
        <v>79.104864254051137</v>
      </c>
    </row>
    <row r="1864" spans="2:7">
      <c r="B1864" t="s">
        <v>2</v>
      </c>
      <c r="C1864" s="2">
        <v>39364</v>
      </c>
      <c r="D1864" t="s">
        <v>6</v>
      </c>
      <c r="E1864">
        <v>5.2783280000000001</v>
      </c>
      <c r="F1864">
        <f t="shared" si="58"/>
        <v>6.717000000000084E-3</v>
      </c>
      <c r="G1864">
        <f t="shared" si="59"/>
        <v>79.738391110793543</v>
      </c>
    </row>
    <row r="1865" spans="2:7">
      <c r="B1865" t="s">
        <v>2</v>
      </c>
      <c r="C1865" s="2">
        <v>39360</v>
      </c>
      <c r="D1865" t="s">
        <v>6</v>
      </c>
      <c r="E1865">
        <v>5.271611</v>
      </c>
      <c r="F1865">
        <f t="shared" si="58"/>
        <v>0.12646800000000002</v>
      </c>
      <c r="G1865">
        <f t="shared" si="59"/>
        <v>79.684508204677726</v>
      </c>
    </row>
    <row r="1866" spans="2:7">
      <c r="B1866" t="s">
        <v>2</v>
      </c>
      <c r="C1866" s="2">
        <v>39359</v>
      </c>
      <c r="D1866" t="s">
        <v>6</v>
      </c>
      <c r="E1866">
        <v>5.145143</v>
      </c>
      <c r="F1866">
        <f t="shared" si="58"/>
        <v>-1.2240000000000251E-2</v>
      </c>
      <c r="G1866">
        <f t="shared" si="59"/>
        <v>74.867335309247039</v>
      </c>
    </row>
    <row r="1867" spans="2:7">
      <c r="B1867" t="s">
        <v>2</v>
      </c>
      <c r="C1867" s="2">
        <v>39358</v>
      </c>
      <c r="D1867" t="s">
        <v>6</v>
      </c>
      <c r="E1867">
        <v>5.1573830000000003</v>
      </c>
      <c r="F1867">
        <f t="shared" si="58"/>
        <v>9.960000000000413E-3</v>
      </c>
      <c r="G1867">
        <f t="shared" si="59"/>
        <v>75.60451379921507</v>
      </c>
    </row>
    <row r="1868" spans="2:7">
      <c r="B1868" t="s">
        <v>2</v>
      </c>
      <c r="C1868" s="2">
        <v>39357</v>
      </c>
      <c r="D1868" t="s">
        <v>6</v>
      </c>
      <c r="E1868">
        <v>5.1474229999999999</v>
      </c>
      <c r="F1868">
        <f t="shared" si="58"/>
        <v>-3.5511000000000514E-2</v>
      </c>
      <c r="G1868">
        <f t="shared" si="59"/>
        <v>77.199912121498642</v>
      </c>
    </row>
    <row r="1869" spans="2:7">
      <c r="B1869" t="s">
        <v>2</v>
      </c>
      <c r="C1869" s="2">
        <v>39356</v>
      </c>
      <c r="D1869" t="s">
        <v>6</v>
      </c>
      <c r="E1869">
        <v>5.1829340000000004</v>
      </c>
      <c r="F1869">
        <f t="shared" si="58"/>
        <v>-1.5021999999999203E-2</v>
      </c>
      <c r="G1869">
        <f t="shared" si="59"/>
        <v>77.195283971043722</v>
      </c>
    </row>
    <row r="1870" spans="2:7">
      <c r="B1870" t="s">
        <v>2</v>
      </c>
      <c r="C1870" s="2">
        <v>39353</v>
      </c>
      <c r="D1870" t="s">
        <v>6</v>
      </c>
      <c r="E1870">
        <v>5.1979559999999996</v>
      </c>
      <c r="F1870">
        <f t="shared" si="58"/>
        <v>3.6459999999998161E-3</v>
      </c>
      <c r="G1870">
        <f t="shared" si="59"/>
        <v>78.479116506880914</v>
      </c>
    </row>
    <row r="1871" spans="2:7">
      <c r="B1871" t="s">
        <v>2</v>
      </c>
      <c r="C1871" s="2">
        <v>39352</v>
      </c>
      <c r="D1871" t="s">
        <v>6</v>
      </c>
      <c r="E1871">
        <v>5.1943099999999998</v>
      </c>
      <c r="F1871">
        <f t="shared" si="58"/>
        <v>-6.6436000000000384E-2</v>
      </c>
      <c r="G1871">
        <f t="shared" si="59"/>
        <v>81.578838365776491</v>
      </c>
    </row>
    <row r="1872" spans="2:7">
      <c r="B1872" t="s">
        <v>2</v>
      </c>
      <c r="C1872" s="2">
        <v>39351</v>
      </c>
      <c r="D1872" t="s">
        <v>6</v>
      </c>
      <c r="E1872">
        <v>5.2607460000000001</v>
      </c>
      <c r="F1872">
        <f t="shared" si="58"/>
        <v>-9.1419999999997614E-3</v>
      </c>
      <c r="G1872">
        <f t="shared" si="59"/>
        <v>81.379362608508472</v>
      </c>
    </row>
    <row r="1873" spans="2:7">
      <c r="B1873" t="s">
        <v>2</v>
      </c>
      <c r="C1873" s="2">
        <v>39350</v>
      </c>
      <c r="D1873" t="s">
        <v>6</v>
      </c>
      <c r="E1873">
        <v>5.2698879999999999</v>
      </c>
      <c r="F1873">
        <f t="shared" si="58"/>
        <v>-3.339000000000425E-3</v>
      </c>
      <c r="G1873">
        <f t="shared" si="59"/>
        <v>81.698505871392484</v>
      </c>
    </row>
    <row r="1874" spans="2:7">
      <c r="B1874" t="s">
        <v>2</v>
      </c>
      <c r="C1874" s="2">
        <v>39349</v>
      </c>
      <c r="D1874" t="s">
        <v>6</v>
      </c>
      <c r="E1874">
        <v>5.2732270000000003</v>
      </c>
      <c r="F1874">
        <f t="shared" si="58"/>
        <v>-1.3289999999992474E-3</v>
      </c>
      <c r="G1874">
        <f t="shared" si="59"/>
        <v>82.740233026791131</v>
      </c>
    </row>
    <row r="1875" spans="2:7">
      <c r="B1875" t="s">
        <v>2</v>
      </c>
      <c r="C1875" s="2">
        <v>39346</v>
      </c>
      <c r="D1875" t="s">
        <v>6</v>
      </c>
      <c r="E1875">
        <v>5.2745559999999996</v>
      </c>
      <c r="F1875">
        <f t="shared" si="58"/>
        <v>-3.7203000000000763E-2</v>
      </c>
      <c r="G1875">
        <f t="shared" si="59"/>
        <v>83.346761410698178</v>
      </c>
    </row>
    <row r="1876" spans="2:7">
      <c r="B1876" t="s">
        <v>2</v>
      </c>
      <c r="C1876" s="2">
        <v>39345</v>
      </c>
      <c r="D1876" t="s">
        <v>6</v>
      </c>
      <c r="E1876">
        <v>5.3117590000000003</v>
      </c>
      <c r="F1876">
        <f t="shared" si="58"/>
        <v>0.1816450000000005</v>
      </c>
      <c r="G1876">
        <f t="shared" si="59"/>
        <v>83.240258169813899</v>
      </c>
    </row>
    <row r="1877" spans="2:7">
      <c r="B1877" t="s">
        <v>2</v>
      </c>
      <c r="C1877" s="2">
        <v>39344</v>
      </c>
      <c r="D1877" t="s">
        <v>6</v>
      </c>
      <c r="E1877">
        <v>5.1301139999999998</v>
      </c>
      <c r="F1877">
        <f t="shared" si="58"/>
        <v>2.3210999999999871E-2</v>
      </c>
      <c r="G1877">
        <f t="shared" si="59"/>
        <v>73.704230839219747</v>
      </c>
    </row>
    <row r="1878" spans="2:7">
      <c r="B1878" t="s">
        <v>2</v>
      </c>
      <c r="C1878" s="2">
        <v>39343</v>
      </c>
      <c r="D1878" t="s">
        <v>6</v>
      </c>
      <c r="E1878">
        <v>5.106903</v>
      </c>
      <c r="F1878">
        <f t="shared" si="58"/>
        <v>-3.8485999999999798E-2</v>
      </c>
      <c r="G1878">
        <f t="shared" si="59"/>
        <v>73.956015704480478</v>
      </c>
    </row>
    <row r="1879" spans="2:7">
      <c r="B1879" t="s">
        <v>2</v>
      </c>
      <c r="C1879" s="2">
        <v>39342</v>
      </c>
      <c r="D1879" t="s">
        <v>6</v>
      </c>
      <c r="E1879">
        <v>5.1453889999999998</v>
      </c>
      <c r="F1879">
        <f t="shared" si="58"/>
        <v>1.9772999999999818E-2</v>
      </c>
      <c r="G1879">
        <f t="shared" si="59"/>
        <v>73.753947488776944</v>
      </c>
    </row>
    <row r="1880" spans="2:7">
      <c r="B1880" t="s">
        <v>2</v>
      </c>
      <c r="C1880" s="2">
        <v>39339</v>
      </c>
      <c r="D1880" t="s">
        <v>6</v>
      </c>
      <c r="E1880">
        <v>5.1256159999999999</v>
      </c>
      <c r="F1880">
        <f t="shared" si="58"/>
        <v>-4.2809999999997572E-3</v>
      </c>
      <c r="G1880">
        <f t="shared" si="59"/>
        <v>74.624532292187226</v>
      </c>
    </row>
    <row r="1881" spans="2:7">
      <c r="B1881" t="s">
        <v>2</v>
      </c>
      <c r="C1881" s="2">
        <v>39338</v>
      </c>
      <c r="D1881" t="s">
        <v>6</v>
      </c>
      <c r="E1881">
        <v>5.1298969999999997</v>
      </c>
      <c r="F1881">
        <f t="shared" si="58"/>
        <v>7.7790999999999499E-2</v>
      </c>
      <c r="G1881">
        <f t="shared" si="59"/>
        <v>76.062504449182654</v>
      </c>
    </row>
    <row r="1882" spans="2:7">
      <c r="B1882" t="s">
        <v>2</v>
      </c>
      <c r="C1882" s="2">
        <v>39337</v>
      </c>
      <c r="D1882" t="s">
        <v>6</v>
      </c>
      <c r="E1882">
        <v>5.0521060000000002</v>
      </c>
      <c r="F1882">
        <f t="shared" si="58"/>
        <v>3.8139000000000145E-2</v>
      </c>
      <c r="G1882">
        <f t="shared" si="59"/>
        <v>74.702334048103751</v>
      </c>
    </row>
    <row r="1883" spans="2:7">
      <c r="B1883" t="s">
        <v>2</v>
      </c>
      <c r="C1883" s="2">
        <v>39336</v>
      </c>
      <c r="D1883" t="s">
        <v>6</v>
      </c>
      <c r="E1883">
        <v>5.0139670000000001</v>
      </c>
      <c r="F1883">
        <f t="shared" si="58"/>
        <v>4.2523000000000089E-2</v>
      </c>
      <c r="G1883">
        <f t="shared" si="59"/>
        <v>74.099977754229286</v>
      </c>
    </row>
    <row r="1884" spans="2:7">
      <c r="B1884" t="s">
        <v>2</v>
      </c>
      <c r="C1884" s="2">
        <v>39335</v>
      </c>
      <c r="D1884" t="s">
        <v>6</v>
      </c>
      <c r="E1884">
        <v>4.971444</v>
      </c>
      <c r="F1884">
        <f t="shared" si="58"/>
        <v>-4.6783999999999715E-2</v>
      </c>
      <c r="G1884">
        <f t="shared" si="59"/>
        <v>73.650521602665151</v>
      </c>
    </row>
    <row r="1885" spans="2:7">
      <c r="B1885" t="s">
        <v>2</v>
      </c>
      <c r="C1885" s="2">
        <v>39332</v>
      </c>
      <c r="D1885" t="s">
        <v>6</v>
      </c>
      <c r="E1885">
        <v>5.0182279999999997</v>
      </c>
      <c r="F1885">
        <f t="shared" si="58"/>
        <v>-0.15093600000000063</v>
      </c>
      <c r="G1885">
        <f t="shared" si="59"/>
        <v>73.433372670814663</v>
      </c>
    </row>
    <row r="1886" spans="2:7">
      <c r="B1886" t="s">
        <v>2</v>
      </c>
      <c r="C1886" s="2">
        <v>39331</v>
      </c>
      <c r="D1886" t="s">
        <v>6</v>
      </c>
      <c r="E1886">
        <v>5.1691640000000003</v>
      </c>
      <c r="F1886">
        <f t="shared" si="58"/>
        <v>1.9780000000002573E-3</v>
      </c>
      <c r="G1886">
        <f t="shared" si="59"/>
        <v>68.526513560765636</v>
      </c>
    </row>
    <row r="1887" spans="2:7">
      <c r="B1887" t="s">
        <v>2</v>
      </c>
      <c r="C1887" s="2">
        <v>39330</v>
      </c>
      <c r="D1887" t="s">
        <v>6</v>
      </c>
      <c r="E1887">
        <v>5.1671860000000001</v>
      </c>
      <c r="F1887">
        <f t="shared" si="58"/>
        <v>-8.6367000000000083E-2</v>
      </c>
      <c r="G1887">
        <f t="shared" si="59"/>
        <v>74.446727226199144</v>
      </c>
    </row>
    <row r="1888" spans="2:7">
      <c r="B1888" t="s">
        <v>2</v>
      </c>
      <c r="C1888" s="2">
        <v>39329</v>
      </c>
      <c r="D1888" t="s">
        <v>6</v>
      </c>
      <c r="E1888">
        <v>5.2535530000000001</v>
      </c>
      <c r="F1888">
        <f t="shared" si="58"/>
        <v>1.7274999999999707E-2</v>
      </c>
      <c r="G1888">
        <f t="shared" si="59"/>
        <v>72.843869610764557</v>
      </c>
    </row>
    <row r="1889" spans="2:7">
      <c r="B1889" t="s">
        <v>2</v>
      </c>
      <c r="C1889" s="2">
        <v>39325</v>
      </c>
      <c r="D1889" t="s">
        <v>6</v>
      </c>
      <c r="E1889">
        <v>5.2362780000000004</v>
      </c>
      <c r="F1889">
        <f t="shared" si="58"/>
        <v>2.9102000000000849E-2</v>
      </c>
      <c r="G1889">
        <f t="shared" si="59"/>
        <v>73.102003401040747</v>
      </c>
    </row>
    <row r="1890" spans="2:7">
      <c r="B1890" t="s">
        <v>2</v>
      </c>
      <c r="C1890" s="2">
        <v>39324</v>
      </c>
      <c r="D1890" t="s">
        <v>6</v>
      </c>
      <c r="E1890">
        <v>5.2071759999999996</v>
      </c>
      <c r="F1890">
        <f t="shared" si="58"/>
        <v>-5.6707000000000285E-2</v>
      </c>
      <c r="G1890">
        <f t="shared" si="59"/>
        <v>79.467178258138361</v>
      </c>
    </row>
    <row r="1891" spans="2:7">
      <c r="B1891" t="s">
        <v>2</v>
      </c>
      <c r="C1891" s="2">
        <v>39323</v>
      </c>
      <c r="D1891" t="s">
        <v>6</v>
      </c>
      <c r="E1891">
        <v>5.2638829999999999</v>
      </c>
      <c r="F1891">
        <f t="shared" si="58"/>
        <v>2.7623000000000175E-2</v>
      </c>
      <c r="G1891">
        <f t="shared" si="59"/>
        <v>78.757556965615009</v>
      </c>
    </row>
    <row r="1892" spans="2:7">
      <c r="B1892" t="s">
        <v>2</v>
      </c>
      <c r="C1892" s="2">
        <v>39322</v>
      </c>
      <c r="D1892" t="s">
        <v>6</v>
      </c>
      <c r="E1892">
        <v>5.2362599999999997</v>
      </c>
      <c r="F1892">
        <f t="shared" si="58"/>
        <v>-2.66270000000004E-2</v>
      </c>
      <c r="G1892">
        <f t="shared" si="59"/>
        <v>79.314338117659261</v>
      </c>
    </row>
    <row r="1893" spans="2:7">
      <c r="B1893" t="s">
        <v>2</v>
      </c>
      <c r="C1893" s="2">
        <v>39321</v>
      </c>
      <c r="D1893" t="s">
        <v>6</v>
      </c>
      <c r="E1893">
        <v>5.2628870000000001</v>
      </c>
      <c r="F1893">
        <f t="shared" si="58"/>
        <v>-2.8286999999999729E-2</v>
      </c>
      <c r="G1893">
        <f t="shared" si="59"/>
        <v>79.366342893083242</v>
      </c>
    </row>
    <row r="1894" spans="2:7">
      <c r="B1894" t="s">
        <v>2</v>
      </c>
      <c r="C1894" s="2">
        <v>39318</v>
      </c>
      <c r="D1894" t="s">
        <v>6</v>
      </c>
      <c r="E1894">
        <v>5.2911739999999998</v>
      </c>
      <c r="F1894">
        <f t="shared" si="58"/>
        <v>-3.0028999999999861E-2</v>
      </c>
      <c r="G1894">
        <f t="shared" si="59"/>
        <v>80.841804579216927</v>
      </c>
    </row>
    <row r="1895" spans="2:7">
      <c r="B1895" t="s">
        <v>2</v>
      </c>
      <c r="C1895" s="2">
        <v>39317</v>
      </c>
      <c r="D1895" t="s">
        <v>6</v>
      </c>
      <c r="E1895">
        <v>5.3212029999999997</v>
      </c>
      <c r="F1895">
        <f t="shared" si="58"/>
        <v>-1.2259000000000242E-2</v>
      </c>
      <c r="G1895">
        <f t="shared" si="59"/>
        <v>80.748334521034622</v>
      </c>
    </row>
    <row r="1896" spans="2:7">
      <c r="B1896" t="s">
        <v>2</v>
      </c>
      <c r="C1896" s="2">
        <v>39316</v>
      </c>
      <c r="D1896" t="s">
        <v>6</v>
      </c>
      <c r="E1896">
        <v>5.3334619999999999</v>
      </c>
      <c r="F1896">
        <f t="shared" si="58"/>
        <v>4.4120000000003046E-3</v>
      </c>
      <c r="G1896">
        <f t="shared" si="59"/>
        <v>80.720710296598838</v>
      </c>
    </row>
    <row r="1897" spans="2:7">
      <c r="B1897" t="s">
        <v>2</v>
      </c>
      <c r="C1897" s="2">
        <v>39315</v>
      </c>
      <c r="D1897" t="s">
        <v>6</v>
      </c>
      <c r="E1897">
        <v>5.3290499999999996</v>
      </c>
      <c r="F1897">
        <f t="shared" si="58"/>
        <v>-5.7989000000000068E-2</v>
      </c>
      <c r="G1897">
        <f t="shared" si="59"/>
        <v>80.88333980277919</v>
      </c>
    </row>
    <row r="1898" spans="2:7">
      <c r="B1898" t="s">
        <v>2</v>
      </c>
      <c r="C1898" s="2">
        <v>39314</v>
      </c>
      <c r="D1898" t="s">
        <v>6</v>
      </c>
      <c r="E1898">
        <v>5.3870389999999997</v>
      </c>
      <c r="F1898">
        <f t="shared" si="58"/>
        <v>-3.7084000000000117E-2</v>
      </c>
      <c r="G1898">
        <f t="shared" si="59"/>
        <v>80.036578129737151</v>
      </c>
    </row>
    <row r="1899" spans="2:7">
      <c r="B1899" t="s">
        <v>2</v>
      </c>
      <c r="C1899" s="2">
        <v>39311</v>
      </c>
      <c r="D1899" t="s">
        <v>6</v>
      </c>
      <c r="E1899">
        <v>5.4241229999999998</v>
      </c>
      <c r="F1899">
        <f t="shared" si="58"/>
        <v>4.2370000000000019E-2</v>
      </c>
      <c r="G1899">
        <f t="shared" si="59"/>
        <v>79.68373022061769</v>
      </c>
    </row>
    <row r="1900" spans="2:7">
      <c r="B1900" t="s">
        <v>2</v>
      </c>
      <c r="C1900" s="2">
        <v>39310</v>
      </c>
      <c r="D1900" t="s">
        <v>6</v>
      </c>
      <c r="E1900">
        <v>5.3817529999999998</v>
      </c>
      <c r="F1900">
        <f t="shared" si="58"/>
        <v>-6.3037000000000454E-2</v>
      </c>
      <c r="G1900">
        <f t="shared" si="59"/>
        <v>79.51964653092945</v>
      </c>
    </row>
    <row r="1901" spans="2:7">
      <c r="B1901" t="s">
        <v>2</v>
      </c>
      <c r="C1901" s="2">
        <v>39309</v>
      </c>
      <c r="D1901" t="s">
        <v>6</v>
      </c>
      <c r="E1901">
        <v>5.4447900000000002</v>
      </c>
      <c r="F1901">
        <f t="shared" si="58"/>
        <v>-2.2323000000000093E-2</v>
      </c>
      <c r="G1901">
        <f t="shared" si="59"/>
        <v>78.883886521927806</v>
      </c>
    </row>
    <row r="1902" spans="2:7">
      <c r="B1902" t="s">
        <v>2</v>
      </c>
      <c r="C1902" s="2">
        <v>39308</v>
      </c>
      <c r="D1902" t="s">
        <v>6</v>
      </c>
      <c r="E1902">
        <v>5.4671130000000003</v>
      </c>
      <c r="F1902">
        <f t="shared" si="58"/>
        <v>-2.7876000000000012E-2</v>
      </c>
      <c r="G1902">
        <f t="shared" si="59"/>
        <v>78.938711687870125</v>
      </c>
    </row>
    <row r="1903" spans="2:7">
      <c r="B1903" t="s">
        <v>2</v>
      </c>
      <c r="C1903" s="2">
        <v>39307</v>
      </c>
      <c r="D1903" t="s">
        <v>6</v>
      </c>
      <c r="E1903">
        <v>5.4949890000000003</v>
      </c>
      <c r="F1903">
        <f t="shared" si="58"/>
        <v>4.0120000000003486E-3</v>
      </c>
      <c r="G1903">
        <f t="shared" si="59"/>
        <v>79.741298948231815</v>
      </c>
    </row>
    <row r="1904" spans="2:7">
      <c r="B1904" t="s">
        <v>2</v>
      </c>
      <c r="C1904" s="2">
        <v>39304</v>
      </c>
      <c r="D1904" t="s">
        <v>6</v>
      </c>
      <c r="E1904">
        <v>5.490977</v>
      </c>
      <c r="F1904">
        <f t="shared" si="58"/>
        <v>1.1087999999999987E-2</v>
      </c>
      <c r="G1904">
        <f t="shared" si="59"/>
        <v>80.344194348317615</v>
      </c>
    </row>
    <row r="1905" spans="2:7">
      <c r="B1905" t="s">
        <v>2</v>
      </c>
      <c r="C1905" s="2">
        <v>39303</v>
      </c>
      <c r="D1905" t="s">
        <v>6</v>
      </c>
      <c r="E1905">
        <v>5.479889</v>
      </c>
      <c r="F1905">
        <f t="shared" si="58"/>
        <v>-4.5732000000000106E-2</v>
      </c>
      <c r="G1905">
        <f t="shared" si="59"/>
        <v>80.344411262026625</v>
      </c>
    </row>
    <row r="1906" spans="2:7">
      <c r="B1906" t="s">
        <v>2</v>
      </c>
      <c r="C1906" s="2">
        <v>39302</v>
      </c>
      <c r="D1906" t="s">
        <v>6</v>
      </c>
      <c r="E1906">
        <v>5.5256210000000001</v>
      </c>
      <c r="F1906">
        <f t="shared" si="58"/>
        <v>7.2182999999999886E-2</v>
      </c>
      <c r="G1906">
        <f t="shared" si="59"/>
        <v>79.813787288332634</v>
      </c>
    </row>
    <row r="1907" spans="2:7">
      <c r="B1907" t="s">
        <v>2</v>
      </c>
      <c r="C1907" s="2">
        <v>39301</v>
      </c>
      <c r="D1907" t="s">
        <v>6</v>
      </c>
      <c r="E1907">
        <v>5.4534380000000002</v>
      </c>
      <c r="F1907">
        <f t="shared" si="58"/>
        <v>-7.7449999999998909E-3</v>
      </c>
      <c r="G1907">
        <f t="shared" si="59"/>
        <v>78.639882963915923</v>
      </c>
    </row>
    <row r="1908" spans="2:7">
      <c r="B1908" t="s">
        <v>2</v>
      </c>
      <c r="C1908" s="2">
        <v>39300</v>
      </c>
      <c r="D1908" t="s">
        <v>6</v>
      </c>
      <c r="E1908">
        <v>5.4611830000000001</v>
      </c>
      <c r="F1908">
        <f t="shared" si="58"/>
        <v>2.5563000000000002E-2</v>
      </c>
      <c r="G1908">
        <f t="shared" si="59"/>
        <v>78.693982099989938</v>
      </c>
    </row>
    <row r="1909" spans="2:7">
      <c r="B1909" t="s">
        <v>2</v>
      </c>
      <c r="C1909" s="2">
        <v>39297</v>
      </c>
      <c r="D1909" t="s">
        <v>6</v>
      </c>
      <c r="E1909">
        <v>5.4356200000000001</v>
      </c>
      <c r="F1909">
        <f t="shared" si="58"/>
        <v>-4.3042999999999942E-2</v>
      </c>
      <c r="G1909">
        <f t="shared" si="59"/>
        <v>78.770597666565195</v>
      </c>
    </row>
    <row r="1910" spans="2:7">
      <c r="B1910" t="s">
        <v>2</v>
      </c>
      <c r="C1910" s="2">
        <v>39296</v>
      </c>
      <c r="D1910" t="s">
        <v>6</v>
      </c>
      <c r="E1910">
        <v>5.4786630000000001</v>
      </c>
      <c r="F1910">
        <f t="shared" si="58"/>
        <v>-1.8504000000000076E-2</v>
      </c>
      <c r="G1910">
        <f t="shared" si="59"/>
        <v>78.492421178987414</v>
      </c>
    </row>
    <row r="1911" spans="2:7">
      <c r="B1911" t="s">
        <v>2</v>
      </c>
      <c r="C1911" s="2">
        <v>39295</v>
      </c>
      <c r="D1911" t="s">
        <v>6</v>
      </c>
      <c r="E1911">
        <v>5.4971670000000001</v>
      </c>
      <c r="F1911">
        <f t="shared" si="58"/>
        <v>-1.2343999999999689E-2</v>
      </c>
      <c r="G1911">
        <f t="shared" si="59"/>
        <v>78.367363329529354</v>
      </c>
    </row>
    <row r="1912" spans="2:7">
      <c r="B1912" t="s">
        <v>2</v>
      </c>
      <c r="C1912" s="2">
        <v>39294</v>
      </c>
      <c r="D1912" t="s">
        <v>6</v>
      </c>
      <c r="E1912">
        <v>5.5095109999999998</v>
      </c>
      <c r="F1912">
        <f t="shared" si="58"/>
        <v>-4.4750000000000512E-2</v>
      </c>
      <c r="G1912">
        <f t="shared" si="59"/>
        <v>78.303207909083199</v>
      </c>
    </row>
    <row r="1913" spans="2:7">
      <c r="B1913" t="s">
        <v>2</v>
      </c>
      <c r="C1913" s="2">
        <v>39293</v>
      </c>
      <c r="D1913" t="s">
        <v>6</v>
      </c>
      <c r="E1913">
        <v>5.5542610000000003</v>
      </c>
      <c r="F1913">
        <f t="shared" si="58"/>
        <v>9.1450000000001808E-3</v>
      </c>
      <c r="G1913">
        <f t="shared" si="59"/>
        <v>78.030542022602305</v>
      </c>
    </row>
    <row r="1914" spans="2:7">
      <c r="B1914" t="s">
        <v>2</v>
      </c>
      <c r="C1914" s="2">
        <v>39290</v>
      </c>
      <c r="D1914" t="s">
        <v>6</v>
      </c>
      <c r="E1914">
        <v>5.5451160000000002</v>
      </c>
      <c r="F1914">
        <f t="shared" si="58"/>
        <v>2.6901999999999759E-2</v>
      </c>
      <c r="G1914">
        <f t="shared" si="59"/>
        <v>78.138725208009191</v>
      </c>
    </row>
    <row r="1915" spans="2:7">
      <c r="B1915" t="s">
        <v>2</v>
      </c>
      <c r="C1915" s="2">
        <v>39289</v>
      </c>
      <c r="D1915" t="s">
        <v>6</v>
      </c>
      <c r="E1915">
        <v>5.5182140000000004</v>
      </c>
      <c r="F1915">
        <f t="shared" si="58"/>
        <v>-8.5132999999999903E-2</v>
      </c>
      <c r="G1915">
        <f t="shared" si="59"/>
        <v>78.020356427581575</v>
      </c>
    </row>
    <row r="1916" spans="2:7">
      <c r="B1916" t="s">
        <v>2</v>
      </c>
      <c r="C1916" s="2">
        <v>39288</v>
      </c>
      <c r="D1916" t="s">
        <v>6</v>
      </c>
      <c r="E1916">
        <v>5.6033470000000003</v>
      </c>
      <c r="F1916">
        <f t="shared" si="58"/>
        <v>-3.7289999999999601E-2</v>
      </c>
      <c r="G1916">
        <f t="shared" si="59"/>
        <v>75.724670603984308</v>
      </c>
    </row>
    <row r="1917" spans="2:7">
      <c r="B1917" t="s">
        <v>2</v>
      </c>
      <c r="C1917" s="2">
        <v>39287</v>
      </c>
      <c r="D1917" t="s">
        <v>6</v>
      </c>
      <c r="E1917">
        <v>5.6406369999999999</v>
      </c>
      <c r="F1917">
        <f t="shared" si="58"/>
        <v>-7.557000000000258E-3</v>
      </c>
      <c r="G1917">
        <f t="shared" si="59"/>
        <v>76.975074879157091</v>
      </c>
    </row>
    <row r="1918" spans="2:7">
      <c r="B1918" t="s">
        <v>2</v>
      </c>
      <c r="C1918" s="2">
        <v>39286</v>
      </c>
      <c r="D1918" t="s">
        <v>6</v>
      </c>
      <c r="E1918">
        <v>5.6481940000000002</v>
      </c>
      <c r="F1918">
        <f t="shared" si="58"/>
        <v>9.240000000000137E-3</v>
      </c>
      <c r="G1918">
        <f t="shared" si="59"/>
        <v>76.953053619891207</v>
      </c>
    </row>
    <row r="1919" spans="2:7">
      <c r="B1919" t="s">
        <v>2</v>
      </c>
      <c r="C1919" s="2">
        <v>39283</v>
      </c>
      <c r="D1919" t="s">
        <v>6</v>
      </c>
      <c r="E1919">
        <v>5.638954</v>
      </c>
      <c r="F1919">
        <f t="shared" si="58"/>
        <v>-4.9755000000000216E-2</v>
      </c>
      <c r="G1919">
        <f t="shared" si="59"/>
        <v>77.438066286511926</v>
      </c>
    </row>
    <row r="1920" spans="2:7">
      <c r="B1920" t="s">
        <v>2</v>
      </c>
      <c r="C1920" s="2">
        <v>39282</v>
      </c>
      <c r="D1920" t="s">
        <v>6</v>
      </c>
      <c r="E1920">
        <v>5.6887090000000002</v>
      </c>
      <c r="F1920">
        <f t="shared" si="58"/>
        <v>8.755999999999986E-3</v>
      </c>
      <c r="G1920">
        <f t="shared" si="59"/>
        <v>76.623237946486952</v>
      </c>
    </row>
    <row r="1921" spans="2:7">
      <c r="B1921" t="s">
        <v>2</v>
      </c>
      <c r="C1921" s="2">
        <v>39281</v>
      </c>
      <c r="D1921" t="s">
        <v>6</v>
      </c>
      <c r="E1921">
        <v>5.6799530000000003</v>
      </c>
      <c r="F1921">
        <f t="shared" si="58"/>
        <v>-6.109999999999971E-2</v>
      </c>
      <c r="G1921">
        <f t="shared" si="59"/>
        <v>77.034293955060463</v>
      </c>
    </row>
    <row r="1922" spans="2:7">
      <c r="B1922" t="s">
        <v>2</v>
      </c>
      <c r="C1922" s="2">
        <v>39280</v>
      </c>
      <c r="D1922" t="s">
        <v>6</v>
      </c>
      <c r="E1922">
        <v>5.741053</v>
      </c>
      <c r="F1922">
        <f t="shared" si="58"/>
        <v>4.3808000000000291E-2</v>
      </c>
      <c r="G1922">
        <f t="shared" si="59"/>
        <v>75.926848443866973</v>
      </c>
    </row>
    <row r="1923" spans="2:7">
      <c r="B1923" t="s">
        <v>2</v>
      </c>
      <c r="C1923" s="2">
        <v>39279</v>
      </c>
      <c r="D1923" t="s">
        <v>6</v>
      </c>
      <c r="E1923">
        <v>5.6972449999999997</v>
      </c>
      <c r="F1923">
        <f t="shared" ref="F1923:F1986" si="60">E1923-E1924</f>
        <v>-5.6399000000000754E-2</v>
      </c>
      <c r="G1923">
        <f t="shared" ref="G1923:G1986" si="61">STDEV(F1923:F1982)*SQRT(250)*100</f>
        <v>75.588376681628148</v>
      </c>
    </row>
    <row r="1924" spans="2:7">
      <c r="B1924" t="s">
        <v>2</v>
      </c>
      <c r="C1924" s="2">
        <v>39276</v>
      </c>
      <c r="D1924" t="s">
        <v>6</v>
      </c>
      <c r="E1924">
        <v>5.7536440000000004</v>
      </c>
      <c r="F1924">
        <f t="shared" si="60"/>
        <v>-1.2101999999999613E-2</v>
      </c>
      <c r="G1924">
        <f t="shared" si="61"/>
        <v>74.401794093146421</v>
      </c>
    </row>
    <row r="1925" spans="2:7">
      <c r="B1925" t="s">
        <v>2</v>
      </c>
      <c r="C1925" s="2">
        <v>39275</v>
      </c>
      <c r="D1925" t="s">
        <v>6</v>
      </c>
      <c r="E1925">
        <v>5.765746</v>
      </c>
      <c r="F1925">
        <f t="shared" si="60"/>
        <v>1.9435999999999787E-2</v>
      </c>
      <c r="G1925">
        <f t="shared" si="61"/>
        <v>74.871030627413973</v>
      </c>
    </row>
    <row r="1926" spans="2:7">
      <c r="B1926" t="s">
        <v>2</v>
      </c>
      <c r="C1926" s="2">
        <v>39274</v>
      </c>
      <c r="D1926" t="s">
        <v>6</v>
      </c>
      <c r="E1926">
        <v>5.7463100000000003</v>
      </c>
      <c r="F1926">
        <f t="shared" si="60"/>
        <v>4.1663999999999923E-2</v>
      </c>
      <c r="G1926">
        <f t="shared" si="61"/>
        <v>75.940894254680501</v>
      </c>
    </row>
    <row r="1927" spans="2:7">
      <c r="B1927" t="s">
        <v>2</v>
      </c>
      <c r="C1927" s="2">
        <v>39273</v>
      </c>
      <c r="D1927" t="s">
        <v>6</v>
      </c>
      <c r="E1927">
        <v>5.7046460000000003</v>
      </c>
      <c r="F1927">
        <f t="shared" si="60"/>
        <v>-8.8357999999999493E-2</v>
      </c>
      <c r="G1927">
        <f t="shared" si="61"/>
        <v>76.000081609456643</v>
      </c>
    </row>
    <row r="1928" spans="2:7">
      <c r="B1928" t="s">
        <v>2</v>
      </c>
      <c r="C1928" s="2">
        <v>39272</v>
      </c>
      <c r="D1928" t="s">
        <v>6</v>
      </c>
      <c r="E1928">
        <v>5.7930039999999998</v>
      </c>
      <c r="F1928">
        <f t="shared" si="60"/>
        <v>-3.5168000000000532E-2</v>
      </c>
      <c r="G1928">
        <f t="shared" si="61"/>
        <v>73.447236137035802</v>
      </c>
    </row>
    <row r="1929" spans="2:7">
      <c r="B1929" t="s">
        <v>2</v>
      </c>
      <c r="C1929" s="2">
        <v>39269</v>
      </c>
      <c r="D1929" t="s">
        <v>6</v>
      </c>
      <c r="E1929">
        <v>5.8281720000000004</v>
      </c>
      <c r="F1929">
        <f t="shared" si="60"/>
        <v>5.8712000000000764E-2</v>
      </c>
      <c r="G1929">
        <f t="shared" si="61"/>
        <v>72.920213312992232</v>
      </c>
    </row>
    <row r="1930" spans="2:7">
      <c r="B1930" t="s">
        <v>2</v>
      </c>
      <c r="C1930" s="2">
        <v>39268</v>
      </c>
      <c r="D1930" t="s">
        <v>6</v>
      </c>
      <c r="E1930">
        <v>5.7694599999999996</v>
      </c>
      <c r="F1930">
        <f t="shared" si="60"/>
        <v>0.1001909999999997</v>
      </c>
      <c r="G1930">
        <f t="shared" si="61"/>
        <v>72.194050192127065</v>
      </c>
    </row>
    <row r="1931" spans="2:7">
      <c r="B1931" t="s">
        <v>2</v>
      </c>
      <c r="C1931" s="2">
        <v>39266</v>
      </c>
      <c r="D1931" t="s">
        <v>6</v>
      </c>
      <c r="E1931">
        <v>5.6692689999999999</v>
      </c>
      <c r="F1931">
        <f t="shared" si="60"/>
        <v>4.56259999999995E-2</v>
      </c>
      <c r="G1931">
        <f t="shared" si="61"/>
        <v>69.886812992155882</v>
      </c>
    </row>
    <row r="1932" spans="2:7">
      <c r="B1932" t="s">
        <v>2</v>
      </c>
      <c r="C1932" s="2">
        <v>39265</v>
      </c>
      <c r="D1932" t="s">
        <v>6</v>
      </c>
      <c r="E1932">
        <v>5.6236430000000004</v>
      </c>
      <c r="F1932">
        <f t="shared" si="60"/>
        <v>-4.1477999999999682E-2</v>
      </c>
      <c r="G1932">
        <f t="shared" si="61"/>
        <v>70.958057984638188</v>
      </c>
    </row>
    <row r="1933" spans="2:7">
      <c r="B1933" t="s">
        <v>2</v>
      </c>
      <c r="C1933" s="2">
        <v>39262</v>
      </c>
      <c r="D1933" t="s">
        <v>6</v>
      </c>
      <c r="E1933">
        <v>5.6651210000000001</v>
      </c>
      <c r="F1933">
        <f t="shared" si="60"/>
        <v>-7.084599999999952E-2</v>
      </c>
      <c r="G1933">
        <f t="shared" si="61"/>
        <v>70.27575254937264</v>
      </c>
    </row>
    <row r="1934" spans="2:7">
      <c r="B1934" t="s">
        <v>2</v>
      </c>
      <c r="C1934" s="2">
        <v>39261</v>
      </c>
      <c r="D1934" t="s">
        <v>6</v>
      </c>
      <c r="E1934">
        <v>5.7359669999999996</v>
      </c>
      <c r="F1934">
        <f t="shared" si="60"/>
        <v>4.1775999999999591E-2</v>
      </c>
      <c r="G1934">
        <f t="shared" si="61"/>
        <v>68.427719380123889</v>
      </c>
    </row>
    <row r="1935" spans="2:7">
      <c r="B1935" t="s">
        <v>2</v>
      </c>
      <c r="C1935" s="2">
        <v>39260</v>
      </c>
      <c r="D1935" t="s">
        <v>6</v>
      </c>
      <c r="E1935">
        <v>5.694191</v>
      </c>
      <c r="F1935">
        <f t="shared" si="60"/>
        <v>-2.924099999999985E-2</v>
      </c>
      <c r="G1935">
        <f t="shared" si="61"/>
        <v>68.154732784209614</v>
      </c>
    </row>
    <row r="1936" spans="2:7">
      <c r="B1936" t="s">
        <v>2</v>
      </c>
      <c r="C1936" s="2">
        <v>39259</v>
      </c>
      <c r="D1936" t="s">
        <v>6</v>
      </c>
      <c r="E1936">
        <v>5.7234319999999999</v>
      </c>
      <c r="F1936">
        <f t="shared" si="60"/>
        <v>1.8759000000000192E-2</v>
      </c>
      <c r="G1936">
        <f t="shared" si="61"/>
        <v>67.732033912701027</v>
      </c>
    </row>
    <row r="1937" spans="2:7">
      <c r="B1937" t="s">
        <v>2</v>
      </c>
      <c r="C1937" s="2">
        <v>39258</v>
      </c>
      <c r="D1937" t="s">
        <v>6</v>
      </c>
      <c r="E1937">
        <v>5.7046729999999997</v>
      </c>
      <c r="F1937">
        <f t="shared" si="60"/>
        <v>-5.4898000000000557E-2</v>
      </c>
      <c r="G1937">
        <f t="shared" si="61"/>
        <v>67.702454120386463</v>
      </c>
    </row>
    <row r="1938" spans="2:7">
      <c r="B1938" t="s">
        <v>2</v>
      </c>
      <c r="C1938" s="2">
        <v>39255</v>
      </c>
      <c r="D1938" t="s">
        <v>6</v>
      </c>
      <c r="E1938">
        <v>5.7595710000000002</v>
      </c>
      <c r="F1938">
        <f t="shared" si="60"/>
        <v>-1.8890999999999991E-2</v>
      </c>
      <c r="G1938">
        <f t="shared" si="61"/>
        <v>66.392837549531947</v>
      </c>
    </row>
    <row r="1939" spans="2:7">
      <c r="B1939" t="s">
        <v>2</v>
      </c>
      <c r="C1939" s="2">
        <v>39254</v>
      </c>
      <c r="D1939" t="s">
        <v>6</v>
      </c>
      <c r="E1939">
        <v>5.7784620000000002</v>
      </c>
      <c r="F1939">
        <f t="shared" si="60"/>
        <v>5.2584000000000408E-2</v>
      </c>
      <c r="G1939">
        <f t="shared" si="61"/>
        <v>66.127550623305737</v>
      </c>
    </row>
    <row r="1940" spans="2:7">
      <c r="B1940" t="s">
        <v>2</v>
      </c>
      <c r="C1940" s="2">
        <v>39253</v>
      </c>
      <c r="D1940" t="s">
        <v>6</v>
      </c>
      <c r="E1940">
        <v>5.7258779999999998</v>
      </c>
      <c r="F1940">
        <f t="shared" si="60"/>
        <v>6.2247000000000163E-2</v>
      </c>
      <c r="G1940">
        <f t="shared" si="61"/>
        <v>65.566589203665828</v>
      </c>
    </row>
    <row r="1941" spans="2:7">
      <c r="B1941" t="s">
        <v>2</v>
      </c>
      <c r="C1941" s="2">
        <v>39252</v>
      </c>
      <c r="D1941" t="s">
        <v>6</v>
      </c>
      <c r="E1941">
        <v>5.6636309999999996</v>
      </c>
      <c r="F1941">
        <f t="shared" si="60"/>
        <v>-6.37490000000005E-2</v>
      </c>
      <c r="G1941">
        <f t="shared" si="61"/>
        <v>64.906022148432243</v>
      </c>
    </row>
    <row r="1942" spans="2:7">
      <c r="B1942" t="s">
        <v>2</v>
      </c>
      <c r="C1942" s="2">
        <v>39251</v>
      </c>
      <c r="D1942" t="s">
        <v>6</v>
      </c>
      <c r="E1942">
        <v>5.7273800000000001</v>
      </c>
      <c r="F1942">
        <f t="shared" si="60"/>
        <v>-3.1378000000000128E-2</v>
      </c>
      <c r="G1942">
        <f t="shared" si="61"/>
        <v>63.276490288301488</v>
      </c>
    </row>
    <row r="1943" spans="2:7">
      <c r="B1943" t="s">
        <v>2</v>
      </c>
      <c r="C1943" s="2">
        <v>39248</v>
      </c>
      <c r="D1943" t="s">
        <v>6</v>
      </c>
      <c r="E1943">
        <v>5.7587580000000003</v>
      </c>
      <c r="F1943">
        <f t="shared" si="60"/>
        <v>-5.242599999999964E-2</v>
      </c>
      <c r="G1943">
        <f t="shared" si="61"/>
        <v>63.922627566120326</v>
      </c>
    </row>
    <row r="1944" spans="2:7">
      <c r="B1944" t="s">
        <v>2</v>
      </c>
      <c r="C1944" s="2">
        <v>39247</v>
      </c>
      <c r="D1944" t="s">
        <v>6</v>
      </c>
      <c r="E1944">
        <v>5.8111839999999999</v>
      </c>
      <c r="F1944">
        <f t="shared" si="60"/>
        <v>5.142000000000202E-3</v>
      </c>
      <c r="G1944">
        <f t="shared" si="61"/>
        <v>63.550758349833934</v>
      </c>
    </row>
    <row r="1945" spans="2:7">
      <c r="B1945" t="s">
        <v>2</v>
      </c>
      <c r="C1945" s="2">
        <v>39246</v>
      </c>
      <c r="D1945" t="s">
        <v>6</v>
      </c>
      <c r="E1945">
        <v>5.8060419999999997</v>
      </c>
      <c r="F1945">
        <f t="shared" si="60"/>
        <v>-6.4848000000000461E-2</v>
      </c>
      <c r="G1945">
        <f t="shared" si="61"/>
        <v>63.976788157292077</v>
      </c>
    </row>
    <row r="1946" spans="2:7">
      <c r="B1946" t="s">
        <v>2</v>
      </c>
      <c r="C1946" s="2">
        <v>39245</v>
      </c>
      <c r="D1946" t="s">
        <v>6</v>
      </c>
      <c r="E1946">
        <v>5.8708900000000002</v>
      </c>
      <c r="F1946">
        <f t="shared" si="60"/>
        <v>0.13127800000000001</v>
      </c>
      <c r="G1946">
        <f t="shared" si="61"/>
        <v>62.023728683345958</v>
      </c>
    </row>
    <row r="1947" spans="2:7">
      <c r="B1947" t="s">
        <v>2</v>
      </c>
      <c r="C1947" s="2">
        <v>39244</v>
      </c>
      <c r="D1947" t="s">
        <v>6</v>
      </c>
      <c r="E1947">
        <v>5.7396120000000002</v>
      </c>
      <c r="F1947">
        <f t="shared" si="60"/>
        <v>1.269100000000023E-2</v>
      </c>
      <c r="G1947">
        <f t="shared" si="61"/>
        <v>56.973810226010798</v>
      </c>
    </row>
    <row r="1948" spans="2:7">
      <c r="B1948" t="s">
        <v>2</v>
      </c>
      <c r="C1948" s="2">
        <v>39241</v>
      </c>
      <c r="D1948" t="s">
        <v>6</v>
      </c>
      <c r="E1948">
        <v>5.7269209999999999</v>
      </c>
      <c r="F1948">
        <f t="shared" si="60"/>
        <v>3.1169000000000224E-2</v>
      </c>
      <c r="G1948">
        <f t="shared" si="61"/>
        <v>56.977191804547601</v>
      </c>
    </row>
    <row r="1949" spans="2:7">
      <c r="B1949" t="s">
        <v>2</v>
      </c>
      <c r="C1949" s="2">
        <v>39240</v>
      </c>
      <c r="D1949" t="s">
        <v>6</v>
      </c>
      <c r="E1949">
        <v>5.6957519999999997</v>
      </c>
      <c r="F1949">
        <f t="shared" si="60"/>
        <v>0.1488959999999997</v>
      </c>
      <c r="G1949">
        <f t="shared" si="61"/>
        <v>56.853798162678636</v>
      </c>
    </row>
    <row r="1950" spans="2:7">
      <c r="B1950" t="s">
        <v>2</v>
      </c>
      <c r="C1950" s="2">
        <v>39239</v>
      </c>
      <c r="D1950" t="s">
        <v>6</v>
      </c>
      <c r="E1950">
        <v>5.546856</v>
      </c>
      <c r="F1950">
        <f t="shared" si="60"/>
        <v>-4.6390000000000597E-3</v>
      </c>
      <c r="G1950">
        <f t="shared" si="61"/>
        <v>50.889982908602526</v>
      </c>
    </row>
    <row r="1951" spans="2:7">
      <c r="B1951" t="s">
        <v>2</v>
      </c>
      <c r="C1951" s="2">
        <v>39238</v>
      </c>
      <c r="D1951" t="s">
        <v>6</v>
      </c>
      <c r="E1951">
        <v>5.5514950000000001</v>
      </c>
      <c r="F1951">
        <f t="shared" si="60"/>
        <v>5.121700000000029E-2</v>
      </c>
      <c r="G1951">
        <f t="shared" si="61"/>
        <v>51.509121588420982</v>
      </c>
    </row>
    <row r="1952" spans="2:7">
      <c r="B1952" t="s">
        <v>2</v>
      </c>
      <c r="C1952" s="2">
        <v>39237</v>
      </c>
      <c r="D1952" t="s">
        <v>6</v>
      </c>
      <c r="E1952">
        <v>5.5002779999999998</v>
      </c>
      <c r="F1952">
        <f t="shared" si="60"/>
        <v>-3.065000000000051E-2</v>
      </c>
      <c r="G1952">
        <f t="shared" si="61"/>
        <v>53.126655144199844</v>
      </c>
    </row>
    <row r="1953" spans="2:7">
      <c r="B1953" t="s">
        <v>2</v>
      </c>
      <c r="C1953" s="2">
        <v>39234</v>
      </c>
      <c r="D1953" t="s">
        <v>6</v>
      </c>
      <c r="E1953">
        <v>5.5309280000000003</v>
      </c>
      <c r="F1953">
        <f t="shared" si="60"/>
        <v>7.5056000000000012E-2</v>
      </c>
      <c r="G1953">
        <f t="shared" si="61"/>
        <v>52.531522839654166</v>
      </c>
    </row>
    <row r="1954" spans="2:7">
      <c r="B1954" t="s">
        <v>2</v>
      </c>
      <c r="C1954" s="2">
        <v>39233</v>
      </c>
      <c r="D1954" t="s">
        <v>6</v>
      </c>
      <c r="E1954">
        <v>5.4558720000000003</v>
      </c>
      <c r="F1954">
        <f t="shared" si="60"/>
        <v>1.7901000000000167E-2</v>
      </c>
      <c r="G1954">
        <f t="shared" si="61"/>
        <v>51.431569896065497</v>
      </c>
    </row>
    <row r="1955" spans="2:7">
      <c r="B1955" t="s">
        <v>2</v>
      </c>
      <c r="C1955" s="2">
        <v>39232</v>
      </c>
      <c r="D1955" t="s">
        <v>6</v>
      </c>
      <c r="E1955">
        <v>5.4379710000000001</v>
      </c>
      <c r="F1955">
        <f t="shared" si="60"/>
        <v>-3.485999999999656E-3</v>
      </c>
      <c r="G1955">
        <f t="shared" si="61"/>
        <v>51.385872286406574</v>
      </c>
    </row>
    <row r="1956" spans="2:7">
      <c r="B1956" t="s">
        <v>2</v>
      </c>
      <c r="C1956" s="2">
        <v>39231</v>
      </c>
      <c r="D1956" t="s">
        <v>6</v>
      </c>
      <c r="E1956">
        <v>5.4414569999999998</v>
      </c>
      <c r="F1956">
        <f t="shared" si="60"/>
        <v>2.3991999999999791E-2</v>
      </c>
      <c r="G1956">
        <f t="shared" si="61"/>
        <v>51.402976774169048</v>
      </c>
    </row>
    <row r="1957" spans="2:7">
      <c r="B1957" t="s">
        <v>2</v>
      </c>
      <c r="C1957" s="2">
        <v>39227</v>
      </c>
      <c r="D1957" t="s">
        <v>6</v>
      </c>
      <c r="E1957">
        <v>5.417465</v>
      </c>
      <c r="F1957">
        <f t="shared" si="60"/>
        <v>5.2219999999998379E-3</v>
      </c>
      <c r="G1957">
        <f t="shared" si="61"/>
        <v>51.537804231861358</v>
      </c>
    </row>
    <row r="1958" spans="2:7">
      <c r="B1958" t="s">
        <v>2</v>
      </c>
      <c r="C1958" s="2">
        <v>39226</v>
      </c>
      <c r="D1958" t="s">
        <v>6</v>
      </c>
      <c r="E1958">
        <v>5.4122430000000001</v>
      </c>
      <c r="F1958">
        <f t="shared" si="60"/>
        <v>-5.932999999999744E-3</v>
      </c>
      <c r="G1958">
        <f t="shared" si="61"/>
        <v>51.537844572591105</v>
      </c>
    </row>
    <row r="1959" spans="2:7">
      <c r="B1959" t="s">
        <v>2</v>
      </c>
      <c r="C1959" s="2">
        <v>39225</v>
      </c>
      <c r="D1959" t="s">
        <v>6</v>
      </c>
      <c r="E1959">
        <v>5.4181759999999999</v>
      </c>
      <c r="F1959">
        <f t="shared" si="60"/>
        <v>3.4324999999999939E-2</v>
      </c>
      <c r="G1959">
        <f t="shared" si="61"/>
        <v>52.108860308618702</v>
      </c>
    </row>
    <row r="1960" spans="2:7">
      <c r="B1960" t="s">
        <v>2</v>
      </c>
      <c r="C1960" s="2">
        <v>39224</v>
      </c>
      <c r="D1960" t="s">
        <v>6</v>
      </c>
      <c r="E1960">
        <v>5.3838509999999999</v>
      </c>
      <c r="F1960">
        <f t="shared" si="60"/>
        <v>4.2118000000000322E-2</v>
      </c>
      <c r="G1960">
        <f t="shared" si="61"/>
        <v>56.521012657336009</v>
      </c>
    </row>
    <row r="1961" spans="2:7">
      <c r="B1961" t="s">
        <v>2</v>
      </c>
      <c r="C1961" s="2">
        <v>39223</v>
      </c>
      <c r="D1961" t="s">
        <v>6</v>
      </c>
      <c r="E1961">
        <v>5.3417329999999996</v>
      </c>
      <c r="F1961">
        <f t="shared" si="60"/>
        <v>-2.6254000000000666E-2</v>
      </c>
      <c r="G1961">
        <f t="shared" si="61"/>
        <v>56.671388661636669</v>
      </c>
    </row>
    <row r="1962" spans="2:7">
      <c r="B1962" t="s">
        <v>2</v>
      </c>
      <c r="C1962" s="2">
        <v>39220</v>
      </c>
      <c r="D1962" t="s">
        <v>6</v>
      </c>
      <c r="E1962">
        <v>5.3679870000000003</v>
      </c>
      <c r="F1962">
        <f t="shared" si="60"/>
        <v>6.5066999999999986E-2</v>
      </c>
      <c r="G1962">
        <f t="shared" si="61"/>
        <v>57.229557252616516</v>
      </c>
    </row>
    <row r="1963" spans="2:7">
      <c r="B1963" t="s">
        <v>2</v>
      </c>
      <c r="C1963" s="2">
        <v>39219</v>
      </c>
      <c r="D1963" t="s">
        <v>6</v>
      </c>
      <c r="E1963">
        <v>5.3029200000000003</v>
      </c>
      <c r="F1963">
        <f t="shared" si="60"/>
        <v>5.1323000000000008E-2</v>
      </c>
      <c r="G1963">
        <f t="shared" si="61"/>
        <v>56.33236497718719</v>
      </c>
    </row>
    <row r="1964" spans="2:7">
      <c r="B1964" t="s">
        <v>2</v>
      </c>
      <c r="C1964" s="2">
        <v>39218</v>
      </c>
      <c r="D1964" t="s">
        <v>6</v>
      </c>
      <c r="E1964">
        <v>5.2515970000000003</v>
      </c>
      <c r="F1964">
        <f t="shared" si="60"/>
        <v>-3.4069999999992717E-3</v>
      </c>
      <c r="G1964">
        <f t="shared" si="61"/>
        <v>55.464130711158688</v>
      </c>
    </row>
    <row r="1965" spans="2:7">
      <c r="B1965" t="s">
        <v>2</v>
      </c>
      <c r="C1965" s="2">
        <v>39217</v>
      </c>
      <c r="D1965" t="s">
        <v>6</v>
      </c>
      <c r="E1965">
        <v>5.2550039999999996</v>
      </c>
      <c r="F1965">
        <f t="shared" si="60"/>
        <v>2.6775999999999911E-2</v>
      </c>
      <c r="G1965">
        <f t="shared" si="61"/>
        <v>55.552674417528948</v>
      </c>
    </row>
    <row r="1966" spans="2:7">
      <c r="B1966" t="s">
        <v>2</v>
      </c>
      <c r="C1966" s="2">
        <v>39216</v>
      </c>
      <c r="D1966" t="s">
        <v>6</v>
      </c>
      <c r="E1966">
        <v>5.2282279999999997</v>
      </c>
      <c r="F1966">
        <f t="shared" si="60"/>
        <v>1.8296999999999564E-2</v>
      </c>
      <c r="G1966">
        <f t="shared" si="61"/>
        <v>55.307155695348008</v>
      </c>
    </row>
    <row r="1967" spans="2:7">
      <c r="B1967" t="s">
        <v>2</v>
      </c>
      <c r="C1967" s="2">
        <v>39213</v>
      </c>
      <c r="D1967" t="s">
        <v>6</v>
      </c>
      <c r="E1967">
        <v>5.2099310000000001</v>
      </c>
      <c r="F1967">
        <f t="shared" si="60"/>
        <v>2.2923000000000471E-2</v>
      </c>
      <c r="G1967">
        <f t="shared" si="61"/>
        <v>55.391457389897582</v>
      </c>
    </row>
    <row r="1968" spans="2:7">
      <c r="B1968" t="s">
        <v>2</v>
      </c>
      <c r="C1968" s="2">
        <v>39212</v>
      </c>
      <c r="D1968" t="s">
        <v>6</v>
      </c>
      <c r="E1968">
        <v>5.1870079999999996</v>
      </c>
      <c r="F1968">
        <f t="shared" si="60"/>
        <v>-2.3087000000000302E-2</v>
      </c>
      <c r="G1968">
        <f t="shared" si="61"/>
        <v>58.441630922418462</v>
      </c>
    </row>
    <row r="1969" spans="2:7">
      <c r="B1969" t="s">
        <v>2</v>
      </c>
      <c r="C1969" s="2">
        <v>39211</v>
      </c>
      <c r="D1969" t="s">
        <v>6</v>
      </c>
      <c r="E1969">
        <v>5.2100949999999999</v>
      </c>
      <c r="F1969">
        <f t="shared" si="60"/>
        <v>3.9413999999999838E-2</v>
      </c>
      <c r="G1969">
        <f t="shared" si="61"/>
        <v>58.281729311450547</v>
      </c>
    </row>
    <row r="1970" spans="2:7">
      <c r="B1970" t="s">
        <v>2</v>
      </c>
      <c r="C1970" s="2">
        <v>39210</v>
      </c>
      <c r="D1970" t="s">
        <v>6</v>
      </c>
      <c r="E1970">
        <v>5.1706810000000001</v>
      </c>
      <c r="F1970">
        <f t="shared" si="60"/>
        <v>-4.8110000000001207E-3</v>
      </c>
      <c r="G1970">
        <f t="shared" si="61"/>
        <v>57.887176384502311</v>
      </c>
    </row>
    <row r="1971" spans="2:7">
      <c r="B1971" t="s">
        <v>2</v>
      </c>
      <c r="C1971" s="2">
        <v>39209</v>
      </c>
      <c r="D1971" t="s">
        <v>6</v>
      </c>
      <c r="E1971">
        <v>5.1754920000000002</v>
      </c>
      <c r="F1971">
        <f t="shared" si="60"/>
        <v>-3.4469999999995338E-3</v>
      </c>
      <c r="G1971">
        <f t="shared" si="61"/>
        <v>59.963409007536306</v>
      </c>
    </row>
    <row r="1972" spans="2:7">
      <c r="B1972" t="s">
        <v>2</v>
      </c>
      <c r="C1972" s="2">
        <v>39206</v>
      </c>
      <c r="D1972" t="s">
        <v>6</v>
      </c>
      <c r="E1972">
        <v>5.1789389999999997</v>
      </c>
      <c r="F1972">
        <f t="shared" si="60"/>
        <v>-3.3504999999999896E-2</v>
      </c>
      <c r="G1972">
        <f t="shared" si="61"/>
        <v>59.968145327685228</v>
      </c>
    </row>
    <row r="1973" spans="2:7">
      <c r="B1973" t="s">
        <v>2</v>
      </c>
      <c r="C1973" s="2">
        <v>39205</v>
      </c>
      <c r="D1973" t="s">
        <v>6</v>
      </c>
      <c r="E1973">
        <v>5.2124439999999996</v>
      </c>
      <c r="F1973">
        <f t="shared" si="60"/>
        <v>2.6078000000000046E-2</v>
      </c>
      <c r="G1973">
        <f t="shared" si="61"/>
        <v>59.715034141558895</v>
      </c>
    </row>
    <row r="1974" spans="2:7">
      <c r="B1974" t="s">
        <v>2</v>
      </c>
      <c r="C1974" s="2">
        <v>39204</v>
      </c>
      <c r="D1974" t="s">
        <v>6</v>
      </c>
      <c r="E1974">
        <v>5.1863659999999996</v>
      </c>
      <c r="F1974">
        <f t="shared" si="60"/>
        <v>2.6069999999993598E-3</v>
      </c>
      <c r="G1974">
        <f t="shared" si="61"/>
        <v>60.072037061917285</v>
      </c>
    </row>
    <row r="1975" spans="2:7">
      <c r="B1975" t="s">
        <v>2</v>
      </c>
      <c r="C1975" s="2">
        <v>39203</v>
      </c>
      <c r="D1975" t="s">
        <v>6</v>
      </c>
      <c r="E1975">
        <v>5.1837590000000002</v>
      </c>
      <c r="F1975">
        <f t="shared" si="60"/>
        <v>1.329799999999981E-2</v>
      </c>
      <c r="G1975">
        <f t="shared" si="61"/>
        <v>60.3690367416594</v>
      </c>
    </row>
    <row r="1976" spans="2:7">
      <c r="B1976" t="s">
        <v>2</v>
      </c>
      <c r="C1976" s="2">
        <v>39202</v>
      </c>
      <c r="D1976" t="s">
        <v>6</v>
      </c>
      <c r="E1976">
        <v>5.1704610000000004</v>
      </c>
      <c r="F1976">
        <f t="shared" si="60"/>
        <v>-7.3460999999999999E-2</v>
      </c>
      <c r="G1976">
        <f t="shared" si="61"/>
        <v>60.426587080527469</v>
      </c>
    </row>
    <row r="1977" spans="2:7">
      <c r="B1977" t="s">
        <v>2</v>
      </c>
      <c r="C1977" s="2">
        <v>39199</v>
      </c>
      <c r="D1977" t="s">
        <v>6</v>
      </c>
      <c r="E1977">
        <v>5.2439220000000004</v>
      </c>
      <c r="F1977">
        <f t="shared" si="60"/>
        <v>1.8089000000000688E-2</v>
      </c>
      <c r="G1977">
        <f t="shared" si="61"/>
        <v>58.634194368083648</v>
      </c>
    </row>
    <row r="1978" spans="2:7">
      <c r="B1978" t="s">
        <v>2</v>
      </c>
      <c r="C1978" s="2">
        <v>39198</v>
      </c>
      <c r="D1978" t="s">
        <v>6</v>
      </c>
      <c r="E1978">
        <v>5.2258329999999997</v>
      </c>
      <c r="F1978">
        <f t="shared" si="60"/>
        <v>4.9453999999999887E-2</v>
      </c>
      <c r="G1978">
        <f t="shared" si="61"/>
        <v>59.436693358122284</v>
      </c>
    </row>
    <row r="1979" spans="2:7">
      <c r="B1979" t="s">
        <v>2</v>
      </c>
      <c r="C1979" s="2">
        <v>39197</v>
      </c>
      <c r="D1979" t="s">
        <v>6</v>
      </c>
      <c r="E1979">
        <v>5.1763789999999998</v>
      </c>
      <c r="F1979">
        <f t="shared" si="60"/>
        <v>2.8739999999999988E-2</v>
      </c>
      <c r="G1979">
        <f t="shared" si="61"/>
        <v>58.493499567108707</v>
      </c>
    </row>
    <row r="1980" spans="2:7">
      <c r="B1980" t="s">
        <v>2</v>
      </c>
      <c r="C1980" s="2">
        <v>39196</v>
      </c>
      <c r="D1980" t="s">
        <v>6</v>
      </c>
      <c r="E1980">
        <v>5.1476389999999999</v>
      </c>
      <c r="F1980">
        <f t="shared" si="60"/>
        <v>-2.9913000000000523E-2</v>
      </c>
      <c r="G1980">
        <f t="shared" si="61"/>
        <v>58.527152543115271</v>
      </c>
    </row>
    <row r="1981" spans="2:7">
      <c r="B1981" t="s">
        <v>2</v>
      </c>
      <c r="C1981" s="2">
        <v>39195</v>
      </c>
      <c r="D1981" t="s">
        <v>6</v>
      </c>
      <c r="E1981">
        <v>5.1775520000000004</v>
      </c>
      <c r="F1981">
        <f t="shared" si="60"/>
        <v>-2.088000000000001E-2</v>
      </c>
      <c r="G1981">
        <f t="shared" si="61"/>
        <v>58.4435511101413</v>
      </c>
    </row>
    <row r="1982" spans="2:7">
      <c r="B1982" t="s">
        <v>2</v>
      </c>
      <c r="C1982" s="2">
        <v>39192</v>
      </c>
      <c r="D1982" t="s">
        <v>6</v>
      </c>
      <c r="E1982">
        <v>5.1984320000000004</v>
      </c>
      <c r="F1982">
        <f t="shared" si="60"/>
        <v>4.0880000000003136E-3</v>
      </c>
      <c r="G1982">
        <f t="shared" si="61"/>
        <v>60.493799293531744</v>
      </c>
    </row>
    <row r="1983" spans="2:7">
      <c r="B1983" t="s">
        <v>2</v>
      </c>
      <c r="C1983" s="2">
        <v>39191</v>
      </c>
      <c r="D1983" t="s">
        <v>6</v>
      </c>
      <c r="E1983">
        <v>5.1943440000000001</v>
      </c>
      <c r="F1983">
        <f t="shared" si="60"/>
        <v>1.7761000000000138E-2</v>
      </c>
      <c r="G1983">
        <f t="shared" si="61"/>
        <v>60.526862123848133</v>
      </c>
    </row>
    <row r="1984" spans="2:7">
      <c r="B1984" t="s">
        <v>2</v>
      </c>
      <c r="C1984" s="2">
        <v>39190</v>
      </c>
      <c r="D1984" t="s">
        <v>6</v>
      </c>
      <c r="E1984">
        <v>5.1765829999999999</v>
      </c>
      <c r="F1984">
        <f t="shared" si="60"/>
        <v>-3.6585999999999785E-2</v>
      </c>
      <c r="G1984">
        <f t="shared" si="61"/>
        <v>61.165116177598065</v>
      </c>
    </row>
    <row r="1985" spans="2:7">
      <c r="B1985" t="s">
        <v>2</v>
      </c>
      <c r="C1985" s="2">
        <v>39189</v>
      </c>
      <c r="D1985" t="s">
        <v>6</v>
      </c>
      <c r="E1985">
        <v>5.2131689999999997</v>
      </c>
      <c r="F1985">
        <f t="shared" si="60"/>
        <v>-5.4054999999999964E-2</v>
      </c>
      <c r="G1985">
        <f t="shared" si="61"/>
        <v>60.827836756609244</v>
      </c>
    </row>
    <row r="1986" spans="2:7">
      <c r="B1986" t="s">
        <v>2</v>
      </c>
      <c r="C1986" s="2">
        <v>39188</v>
      </c>
      <c r="D1986" t="s">
        <v>6</v>
      </c>
      <c r="E1986">
        <v>5.2672239999999997</v>
      </c>
      <c r="F1986">
        <f t="shared" si="60"/>
        <v>-2.9854000000000269E-2</v>
      </c>
      <c r="G1986">
        <f t="shared" si="61"/>
        <v>59.863789911868167</v>
      </c>
    </row>
    <row r="1987" spans="2:7">
      <c r="B1987" t="s">
        <v>2</v>
      </c>
      <c r="C1987" s="2">
        <v>39185</v>
      </c>
      <c r="D1987" t="s">
        <v>6</v>
      </c>
      <c r="E1987">
        <v>5.297078</v>
      </c>
      <c r="F1987">
        <f t="shared" ref="F1987:F2050" si="62">E1987-E1988</f>
        <v>2.2785999999999973E-2</v>
      </c>
      <c r="G1987">
        <f t="shared" ref="G1987:G2050" si="63">STDEV(F1987:F2046)*SQRT(250)*100</f>
        <v>60.168065062346408</v>
      </c>
    </row>
    <row r="1988" spans="2:7">
      <c r="B1988" t="s">
        <v>2</v>
      </c>
      <c r="C1988" s="2">
        <v>39184</v>
      </c>
      <c r="D1988" t="s">
        <v>6</v>
      </c>
      <c r="E1988">
        <v>5.274292</v>
      </c>
      <c r="F1988">
        <f t="shared" si="62"/>
        <v>-2.1829999999996019E-3</v>
      </c>
      <c r="G1988">
        <f t="shared" si="63"/>
        <v>60.698347133434638</v>
      </c>
    </row>
    <row r="1989" spans="2:7">
      <c r="B1989" t="s">
        <v>2</v>
      </c>
      <c r="C1989" s="2">
        <v>39183</v>
      </c>
      <c r="D1989" t="s">
        <v>6</v>
      </c>
      <c r="E1989">
        <v>5.2764749999999996</v>
      </c>
      <c r="F1989">
        <f t="shared" si="62"/>
        <v>1.0947999999999958E-2</v>
      </c>
      <c r="G1989">
        <f t="shared" si="63"/>
        <v>60.784497625270362</v>
      </c>
    </row>
    <row r="1990" spans="2:7">
      <c r="B1990" t="s">
        <v>2</v>
      </c>
      <c r="C1990" s="2">
        <v>39182</v>
      </c>
      <c r="D1990" t="s">
        <v>6</v>
      </c>
      <c r="E1990">
        <v>5.2655269999999996</v>
      </c>
      <c r="F1990">
        <f t="shared" si="62"/>
        <v>-2.2248000000000268E-2</v>
      </c>
      <c r="G1990">
        <f t="shared" si="63"/>
        <v>61.136616984389214</v>
      </c>
    </row>
    <row r="1991" spans="2:7">
      <c r="B1991" t="s">
        <v>2</v>
      </c>
      <c r="C1991" s="2">
        <v>39181</v>
      </c>
      <c r="D1991" t="s">
        <v>6</v>
      </c>
      <c r="E1991">
        <v>5.2877749999999999</v>
      </c>
      <c r="F1991">
        <f t="shared" si="62"/>
        <v>7.7912999999999677E-2</v>
      </c>
      <c r="G1991">
        <f t="shared" si="63"/>
        <v>62.144008248218633</v>
      </c>
    </row>
    <row r="1992" spans="2:7">
      <c r="B1992" t="s">
        <v>2</v>
      </c>
      <c r="C1992" s="2">
        <v>39177</v>
      </c>
      <c r="D1992" t="s">
        <v>6</v>
      </c>
      <c r="E1992">
        <v>5.2098620000000002</v>
      </c>
      <c r="F1992">
        <f t="shared" si="62"/>
        <v>1.8076000000000647E-2</v>
      </c>
      <c r="G1992">
        <f t="shared" si="63"/>
        <v>60.554177667652745</v>
      </c>
    </row>
    <row r="1993" spans="2:7">
      <c r="B1993" t="s">
        <v>2</v>
      </c>
      <c r="C1993" s="2">
        <v>39176</v>
      </c>
      <c r="D1993" t="s">
        <v>6</v>
      </c>
      <c r="E1993">
        <v>5.1917859999999996</v>
      </c>
      <c r="F1993">
        <f t="shared" si="62"/>
        <v>-6.877000000000244E-3</v>
      </c>
      <c r="G1993">
        <f t="shared" si="63"/>
        <v>60.486461292174468</v>
      </c>
    </row>
    <row r="1994" spans="2:7">
      <c r="B1994" t="s">
        <v>2</v>
      </c>
      <c r="C1994" s="2">
        <v>39175</v>
      </c>
      <c r="D1994" t="s">
        <v>6</v>
      </c>
      <c r="E1994">
        <v>5.1986629999999998</v>
      </c>
      <c r="F1994">
        <f t="shared" si="62"/>
        <v>2.320399999999978E-2</v>
      </c>
      <c r="G1994">
        <f t="shared" si="63"/>
        <v>60.488881721638101</v>
      </c>
    </row>
    <row r="1995" spans="2:7">
      <c r="B1995" t="s">
        <v>2</v>
      </c>
      <c r="C1995" s="2">
        <v>39174</v>
      </c>
      <c r="D1995" t="s">
        <v>6</v>
      </c>
      <c r="E1995">
        <v>5.175459</v>
      </c>
      <c r="F1995">
        <f t="shared" si="62"/>
        <v>-1.0040000000000049E-3</v>
      </c>
      <c r="G1995">
        <f t="shared" si="63"/>
        <v>60.506789939264173</v>
      </c>
    </row>
    <row r="1996" spans="2:7">
      <c r="B1996" t="s">
        <v>2</v>
      </c>
      <c r="C1996" s="2">
        <v>39171</v>
      </c>
      <c r="D1996" t="s">
        <v>6</v>
      </c>
      <c r="E1996">
        <v>5.176463</v>
      </c>
      <c r="F1996">
        <f t="shared" si="62"/>
        <v>8.8249999999998607E-3</v>
      </c>
      <c r="G1996">
        <f t="shared" si="63"/>
        <v>61.480744065838437</v>
      </c>
    </row>
    <row r="1997" spans="2:7">
      <c r="B1997" t="s">
        <v>2</v>
      </c>
      <c r="C1997" s="2">
        <v>39170</v>
      </c>
      <c r="D1997" t="s">
        <v>6</v>
      </c>
      <c r="E1997">
        <v>5.1676380000000002</v>
      </c>
      <c r="F1997">
        <f t="shared" si="62"/>
        <v>1.1165000000000092E-2</v>
      </c>
      <c r="G1997">
        <f t="shared" si="63"/>
        <v>61.920200892091358</v>
      </c>
    </row>
    <row r="1998" spans="2:7">
      <c r="B1998" t="s">
        <v>2</v>
      </c>
      <c r="C1998" s="2">
        <v>39169</v>
      </c>
      <c r="D1998" t="s">
        <v>6</v>
      </c>
      <c r="E1998">
        <v>5.1564730000000001</v>
      </c>
      <c r="F1998">
        <f t="shared" si="62"/>
        <v>1.5292999999999779E-2</v>
      </c>
      <c r="G1998">
        <f t="shared" si="63"/>
        <v>61.969867713887353</v>
      </c>
    </row>
    <row r="1999" spans="2:7">
      <c r="B1999" t="s">
        <v>2</v>
      </c>
      <c r="C1999" s="2">
        <v>39168</v>
      </c>
      <c r="D1999" t="s">
        <v>6</v>
      </c>
      <c r="E1999">
        <v>5.1411800000000003</v>
      </c>
      <c r="F1999">
        <f t="shared" si="62"/>
        <v>1.6842000000000468E-2</v>
      </c>
      <c r="G1999">
        <f t="shared" si="63"/>
        <v>61.970518314394177</v>
      </c>
    </row>
    <row r="2000" spans="2:7">
      <c r="B2000" t="s">
        <v>2</v>
      </c>
      <c r="C2000" s="2">
        <v>39167</v>
      </c>
      <c r="D2000" t="s">
        <v>6</v>
      </c>
      <c r="E2000">
        <v>5.1243379999999998</v>
      </c>
      <c r="F2000">
        <f t="shared" si="62"/>
        <v>-1.82790000000006E-2</v>
      </c>
      <c r="G2000">
        <f t="shared" si="63"/>
        <v>62.220024644702868</v>
      </c>
    </row>
    <row r="2001" spans="2:7">
      <c r="B2001" t="s">
        <v>2</v>
      </c>
      <c r="C2001" s="2">
        <v>39164</v>
      </c>
      <c r="D2001" t="s">
        <v>6</v>
      </c>
      <c r="E2001">
        <v>5.1426170000000004</v>
      </c>
      <c r="F2001">
        <f t="shared" si="62"/>
        <v>3.0228000000000144E-2</v>
      </c>
      <c r="G2001">
        <f t="shared" si="63"/>
        <v>62.826175524910532</v>
      </c>
    </row>
    <row r="2002" spans="2:7">
      <c r="B2002" t="s">
        <v>2</v>
      </c>
      <c r="C2002" s="2">
        <v>39163</v>
      </c>
      <c r="D2002" t="s">
        <v>6</v>
      </c>
      <c r="E2002">
        <v>5.1123890000000003</v>
      </c>
      <c r="F2002">
        <f t="shared" si="62"/>
        <v>7.2312000000000154E-2</v>
      </c>
      <c r="G2002">
        <f t="shared" si="63"/>
        <v>62.691292435373484</v>
      </c>
    </row>
    <row r="2003" spans="2:7">
      <c r="B2003" t="s">
        <v>2</v>
      </c>
      <c r="C2003" s="2">
        <v>39162</v>
      </c>
      <c r="D2003" t="s">
        <v>6</v>
      </c>
      <c r="E2003">
        <v>5.0400770000000001</v>
      </c>
      <c r="F2003">
        <f t="shared" si="62"/>
        <v>-4.3072999999999695E-2</v>
      </c>
      <c r="G2003">
        <f t="shared" si="63"/>
        <v>62.867541345131187</v>
      </c>
    </row>
    <row r="2004" spans="2:7">
      <c r="B2004" t="s">
        <v>2</v>
      </c>
      <c r="C2004" s="2">
        <v>39161</v>
      </c>
      <c r="D2004" t="s">
        <v>6</v>
      </c>
      <c r="E2004">
        <v>5.0831499999999998</v>
      </c>
      <c r="F2004">
        <f t="shared" si="62"/>
        <v>-2.4550999999999767E-2</v>
      </c>
      <c r="G2004">
        <f t="shared" si="63"/>
        <v>63.103245485240137</v>
      </c>
    </row>
    <row r="2005" spans="2:7">
      <c r="B2005" t="s">
        <v>2</v>
      </c>
      <c r="C2005" s="2">
        <v>39160</v>
      </c>
      <c r="D2005" t="s">
        <v>6</v>
      </c>
      <c r="E2005">
        <v>5.1077009999999996</v>
      </c>
      <c r="F2005">
        <f t="shared" si="62"/>
        <v>2.4942999999999493E-2</v>
      </c>
      <c r="G2005">
        <f t="shared" si="63"/>
        <v>62.89970607304587</v>
      </c>
    </row>
    <row r="2006" spans="2:7">
      <c r="B2006" t="s">
        <v>2</v>
      </c>
      <c r="C2006" s="2">
        <v>39157</v>
      </c>
      <c r="D2006" t="s">
        <v>6</v>
      </c>
      <c r="E2006">
        <v>5.0827580000000001</v>
      </c>
      <c r="F2006">
        <f t="shared" si="62"/>
        <v>1.4672000000000018E-2</v>
      </c>
      <c r="G2006">
        <f t="shared" si="63"/>
        <v>62.757343696396873</v>
      </c>
    </row>
    <row r="2007" spans="2:7">
      <c r="B2007" t="s">
        <v>2</v>
      </c>
      <c r="C2007" s="2">
        <v>39156</v>
      </c>
      <c r="D2007" t="s">
        <v>6</v>
      </c>
      <c r="E2007">
        <v>5.0680860000000001</v>
      </c>
      <c r="F2007">
        <f t="shared" si="62"/>
        <v>7.7650000000000219E-3</v>
      </c>
      <c r="G2007">
        <f t="shared" si="63"/>
        <v>62.706334583098197</v>
      </c>
    </row>
    <row r="2008" spans="2:7">
      <c r="B2008" t="s">
        <v>2</v>
      </c>
      <c r="C2008" s="2">
        <v>39155</v>
      </c>
      <c r="D2008" t="s">
        <v>6</v>
      </c>
      <c r="E2008">
        <v>5.0603210000000001</v>
      </c>
      <c r="F2008">
        <f t="shared" si="62"/>
        <v>1.9658999999999871E-2</v>
      </c>
      <c r="G2008">
        <f t="shared" si="63"/>
        <v>62.704646378961357</v>
      </c>
    </row>
    <row r="2009" spans="2:7">
      <c r="B2009" t="s">
        <v>2</v>
      </c>
      <c r="C2009" s="2">
        <v>39154</v>
      </c>
      <c r="D2009" t="s">
        <v>6</v>
      </c>
      <c r="E2009">
        <v>5.0406620000000002</v>
      </c>
      <c r="F2009">
        <f t="shared" si="62"/>
        <v>-5.6744000000000128E-2</v>
      </c>
      <c r="G2009">
        <f t="shared" si="63"/>
        <v>62.66413121465105</v>
      </c>
    </row>
    <row r="2010" spans="2:7">
      <c r="B2010" t="s">
        <v>2</v>
      </c>
      <c r="C2010" s="2">
        <v>39153</v>
      </c>
      <c r="D2010" t="s">
        <v>6</v>
      </c>
      <c r="E2010">
        <v>5.0974060000000003</v>
      </c>
      <c r="F2010">
        <f t="shared" si="62"/>
        <v>-3.3214999999999328E-2</v>
      </c>
      <c r="G2010">
        <f t="shared" si="63"/>
        <v>63.481311943292916</v>
      </c>
    </row>
    <row r="2011" spans="2:7">
      <c r="B2011" t="s">
        <v>2</v>
      </c>
      <c r="C2011" s="2">
        <v>39150</v>
      </c>
      <c r="D2011" t="s">
        <v>6</v>
      </c>
      <c r="E2011">
        <v>5.1306209999999997</v>
      </c>
      <c r="F2011">
        <f t="shared" si="62"/>
        <v>8.4257000000000026E-2</v>
      </c>
      <c r="G2011">
        <f t="shared" si="63"/>
        <v>63.632692358068432</v>
      </c>
    </row>
    <row r="2012" spans="2:7">
      <c r="B2012" t="s">
        <v>2</v>
      </c>
      <c r="C2012" s="2">
        <v>39149</v>
      </c>
      <c r="D2012" t="s">
        <v>6</v>
      </c>
      <c r="E2012">
        <v>5.0463639999999996</v>
      </c>
      <c r="F2012">
        <f t="shared" si="62"/>
        <v>7.1199999999995711E-3</v>
      </c>
      <c r="G2012">
        <f t="shared" si="63"/>
        <v>61.724903909969065</v>
      </c>
    </row>
    <row r="2013" spans="2:7">
      <c r="B2013" t="s">
        <v>2</v>
      </c>
      <c r="C2013" s="2">
        <v>39148</v>
      </c>
      <c r="D2013" t="s">
        <v>6</v>
      </c>
      <c r="E2013">
        <v>5.0392440000000001</v>
      </c>
      <c r="F2013">
        <f t="shared" si="62"/>
        <v>-3.6283000000000065E-2</v>
      </c>
      <c r="G2013">
        <f t="shared" si="63"/>
        <v>63.378553733428667</v>
      </c>
    </row>
    <row r="2014" spans="2:7">
      <c r="B2014" t="s">
        <v>2</v>
      </c>
      <c r="C2014" s="2">
        <v>39147</v>
      </c>
      <c r="D2014" t="s">
        <v>6</v>
      </c>
      <c r="E2014">
        <v>5.0755270000000001</v>
      </c>
      <c r="F2014">
        <f t="shared" si="62"/>
        <v>1.0950000000002902E-3</v>
      </c>
      <c r="G2014">
        <f t="shared" si="63"/>
        <v>63.270736547295627</v>
      </c>
    </row>
    <row r="2015" spans="2:7">
      <c r="B2015" t="s">
        <v>2</v>
      </c>
      <c r="C2015" s="2">
        <v>39146</v>
      </c>
      <c r="D2015" t="s">
        <v>6</v>
      </c>
      <c r="E2015">
        <v>5.0744319999999998</v>
      </c>
      <c r="F2015">
        <f t="shared" si="62"/>
        <v>-5.4590000000001027E-3</v>
      </c>
      <c r="G2015">
        <f t="shared" si="63"/>
        <v>63.828898100980204</v>
      </c>
    </row>
    <row r="2016" spans="2:7">
      <c r="B2016" t="s">
        <v>2</v>
      </c>
      <c r="C2016" s="2">
        <v>39143</v>
      </c>
      <c r="D2016" t="s">
        <v>6</v>
      </c>
      <c r="E2016">
        <v>5.0798909999999999</v>
      </c>
      <c r="F2016">
        <f t="shared" si="62"/>
        <v>-2.010299999999976E-2</v>
      </c>
      <c r="G2016">
        <f t="shared" si="63"/>
        <v>63.805235596437946</v>
      </c>
    </row>
    <row r="2017" spans="2:7">
      <c r="B2017" t="s">
        <v>2</v>
      </c>
      <c r="C2017" s="2">
        <v>39142</v>
      </c>
      <c r="D2017" t="s">
        <v>6</v>
      </c>
      <c r="E2017">
        <v>5.0999939999999997</v>
      </c>
      <c r="F2017">
        <f t="shared" si="62"/>
        <v>5.6159999999998433E-3</v>
      </c>
      <c r="G2017">
        <f t="shared" si="63"/>
        <v>63.624056900872226</v>
      </c>
    </row>
    <row r="2018" spans="2:7">
      <c r="B2018" t="s">
        <v>2</v>
      </c>
      <c r="C2018" s="2">
        <v>39141</v>
      </c>
      <c r="D2018" t="s">
        <v>6</v>
      </c>
      <c r="E2018">
        <v>5.0943779999999999</v>
      </c>
      <c r="F2018">
        <f t="shared" si="62"/>
        <v>4.486900000000027E-2</v>
      </c>
      <c r="G2018">
        <f t="shared" si="63"/>
        <v>64.374524070836856</v>
      </c>
    </row>
    <row r="2019" spans="2:7">
      <c r="B2019" t="s">
        <v>2</v>
      </c>
      <c r="C2019" s="2">
        <v>39140</v>
      </c>
      <c r="D2019" t="s">
        <v>6</v>
      </c>
      <c r="E2019">
        <v>5.0495089999999996</v>
      </c>
      <c r="F2019">
        <f t="shared" si="62"/>
        <v>-0.10534800000000022</v>
      </c>
      <c r="G2019">
        <f t="shared" si="63"/>
        <v>65.312317157314396</v>
      </c>
    </row>
    <row r="2020" spans="2:7">
      <c r="B2020" t="s">
        <v>2</v>
      </c>
      <c r="C2020" s="2">
        <v>39139</v>
      </c>
      <c r="D2020" t="s">
        <v>6</v>
      </c>
      <c r="E2020">
        <v>5.1548569999999998</v>
      </c>
      <c r="F2020">
        <f t="shared" si="62"/>
        <v>-4.0715000000000501E-2</v>
      </c>
      <c r="G2020">
        <f t="shared" si="63"/>
        <v>61.561284997554566</v>
      </c>
    </row>
    <row r="2021" spans="2:7">
      <c r="B2021" t="s">
        <v>2</v>
      </c>
      <c r="C2021" s="2">
        <v>39136</v>
      </c>
      <c r="D2021" t="s">
        <v>6</v>
      </c>
      <c r="E2021">
        <v>5.1955720000000003</v>
      </c>
      <c r="F2021">
        <f t="shared" si="62"/>
        <v>-4.5833000000000013E-2</v>
      </c>
      <c r="G2021">
        <f t="shared" si="63"/>
        <v>61.504717615731032</v>
      </c>
    </row>
    <row r="2022" spans="2:7">
      <c r="B2022" t="s">
        <v>2</v>
      </c>
      <c r="C2022" s="2">
        <v>39135</v>
      </c>
      <c r="D2022" t="s">
        <v>6</v>
      </c>
      <c r="E2022">
        <v>5.2414050000000003</v>
      </c>
      <c r="F2022">
        <f t="shared" si="62"/>
        <v>4.1710000000000136E-2</v>
      </c>
      <c r="G2022">
        <f t="shared" si="63"/>
        <v>60.780529596918754</v>
      </c>
    </row>
    <row r="2023" spans="2:7">
      <c r="B2023" t="s">
        <v>2</v>
      </c>
      <c r="C2023" s="2">
        <v>39134</v>
      </c>
      <c r="D2023" t="s">
        <v>6</v>
      </c>
      <c r="E2023">
        <v>5.1996950000000002</v>
      </c>
      <c r="F2023">
        <f t="shared" si="62"/>
        <v>1.5540999999999805E-2</v>
      </c>
      <c r="G2023">
        <f t="shared" si="63"/>
        <v>60.57498740404322</v>
      </c>
    </row>
    <row r="2024" spans="2:7">
      <c r="B2024" t="s">
        <v>2</v>
      </c>
      <c r="C2024" s="2">
        <v>39133</v>
      </c>
      <c r="D2024" t="s">
        <v>6</v>
      </c>
      <c r="E2024">
        <v>5.1841540000000004</v>
      </c>
      <c r="F2024">
        <f t="shared" si="62"/>
        <v>-1.483499999999971E-2</v>
      </c>
      <c r="G2024">
        <f t="shared" si="63"/>
        <v>60.551739692125558</v>
      </c>
    </row>
    <row r="2025" spans="2:7">
      <c r="B2025" t="s">
        <v>2</v>
      </c>
      <c r="C2025" s="2">
        <v>39129</v>
      </c>
      <c r="D2025" t="s">
        <v>6</v>
      </c>
      <c r="E2025">
        <v>5.1989890000000001</v>
      </c>
      <c r="F2025">
        <f t="shared" si="62"/>
        <v>-5.6219999999997938E-3</v>
      </c>
      <c r="G2025">
        <f t="shared" si="63"/>
        <v>60.600511409828584</v>
      </c>
    </row>
    <row r="2026" spans="2:7">
      <c r="B2026" t="s">
        <v>2</v>
      </c>
      <c r="C2026" s="2">
        <v>39128</v>
      </c>
      <c r="D2026" t="s">
        <v>6</v>
      </c>
      <c r="E2026">
        <v>5.2046109999999999</v>
      </c>
      <c r="F2026">
        <f t="shared" si="62"/>
        <v>-2.3477999999999888E-2</v>
      </c>
      <c r="G2026">
        <f t="shared" si="63"/>
        <v>60.626500339964764</v>
      </c>
    </row>
    <row r="2027" spans="2:7">
      <c r="B2027" t="s">
        <v>2</v>
      </c>
      <c r="C2027" s="2">
        <v>39127</v>
      </c>
      <c r="D2027" t="s">
        <v>6</v>
      </c>
      <c r="E2027">
        <v>5.2280889999999998</v>
      </c>
      <c r="F2027">
        <f t="shared" si="62"/>
        <v>-9.498799999999985E-2</v>
      </c>
      <c r="G2027">
        <f t="shared" si="63"/>
        <v>61.834357995943293</v>
      </c>
    </row>
    <row r="2028" spans="2:7">
      <c r="B2028" t="s">
        <v>2</v>
      </c>
      <c r="C2028" s="2">
        <v>39126</v>
      </c>
      <c r="D2028" t="s">
        <v>6</v>
      </c>
      <c r="E2028">
        <v>5.3230769999999996</v>
      </c>
      <c r="F2028">
        <f t="shared" si="62"/>
        <v>-2.4750000000004491E-3</v>
      </c>
      <c r="G2028">
        <f t="shared" si="63"/>
        <v>58.778575780943818</v>
      </c>
    </row>
    <row r="2029" spans="2:7">
      <c r="B2029" t="s">
        <v>2</v>
      </c>
      <c r="C2029" s="2">
        <v>39125</v>
      </c>
      <c r="D2029" t="s">
        <v>6</v>
      </c>
      <c r="E2029">
        <v>5.3255520000000001</v>
      </c>
      <c r="F2029">
        <f t="shared" si="62"/>
        <v>2.320600000000006E-2</v>
      </c>
      <c r="G2029">
        <f t="shared" si="63"/>
        <v>59.400153135175849</v>
      </c>
    </row>
    <row r="2030" spans="2:7">
      <c r="B2030" t="s">
        <v>2</v>
      </c>
      <c r="C2030" s="2">
        <v>39122</v>
      </c>
      <c r="D2030" t="s">
        <v>6</v>
      </c>
      <c r="E2030">
        <v>5.302346</v>
      </c>
      <c r="F2030">
        <f t="shared" si="62"/>
        <v>7.4527999999999928E-2</v>
      </c>
      <c r="G2030">
        <f t="shared" si="63"/>
        <v>60.082291174865517</v>
      </c>
    </row>
    <row r="2031" spans="2:7">
      <c r="B2031" t="s">
        <v>2</v>
      </c>
      <c r="C2031" s="2">
        <v>39121</v>
      </c>
      <c r="D2031" t="s">
        <v>6</v>
      </c>
      <c r="E2031">
        <v>5.2278180000000001</v>
      </c>
      <c r="F2031">
        <f t="shared" si="62"/>
        <v>-5.3549999999997766E-3</v>
      </c>
      <c r="G2031">
        <f t="shared" si="63"/>
        <v>58.291869832633957</v>
      </c>
    </row>
    <row r="2032" spans="2:7">
      <c r="B2032" t="s">
        <v>2</v>
      </c>
      <c r="C2032" s="2">
        <v>39120</v>
      </c>
      <c r="D2032" t="s">
        <v>6</v>
      </c>
      <c r="E2032">
        <v>5.2331729999999999</v>
      </c>
      <c r="F2032">
        <f t="shared" si="62"/>
        <v>-1.9642000000000159E-2</v>
      </c>
      <c r="G2032">
        <f t="shared" si="63"/>
        <v>58.887143266239462</v>
      </c>
    </row>
    <row r="2033" spans="2:7">
      <c r="B2033" t="s">
        <v>2</v>
      </c>
      <c r="C2033" s="2">
        <v>39119</v>
      </c>
      <c r="D2033" t="s">
        <v>6</v>
      </c>
      <c r="E2033">
        <v>5.252815</v>
      </c>
      <c r="F2033">
        <f t="shared" si="62"/>
        <v>-4.315499999999961E-2</v>
      </c>
      <c r="G2033">
        <f t="shared" si="63"/>
        <v>58.74088959689734</v>
      </c>
    </row>
    <row r="2034" spans="2:7">
      <c r="B2034" t="s">
        <v>2</v>
      </c>
      <c r="C2034" s="2">
        <v>39118</v>
      </c>
      <c r="D2034" t="s">
        <v>6</v>
      </c>
      <c r="E2034">
        <v>5.2959699999999996</v>
      </c>
      <c r="F2034">
        <f t="shared" si="62"/>
        <v>-3.1547000000000658E-2</v>
      </c>
      <c r="G2034">
        <f t="shared" si="63"/>
        <v>58.349367476922296</v>
      </c>
    </row>
    <row r="2035" spans="2:7">
      <c r="B2035" t="s">
        <v>2</v>
      </c>
      <c r="C2035" s="2">
        <v>39115</v>
      </c>
      <c r="D2035" t="s">
        <v>6</v>
      </c>
      <c r="E2035">
        <v>5.3275170000000003</v>
      </c>
      <c r="F2035">
        <f t="shared" si="62"/>
        <v>-2.3194000000000159E-2</v>
      </c>
      <c r="G2035">
        <f t="shared" si="63"/>
        <v>59.090981230343672</v>
      </c>
    </row>
    <row r="2036" spans="2:7">
      <c r="B2036" t="s">
        <v>2</v>
      </c>
      <c r="C2036" s="2">
        <v>39114</v>
      </c>
      <c r="D2036" t="s">
        <v>6</v>
      </c>
      <c r="E2036">
        <v>5.3507110000000004</v>
      </c>
      <c r="F2036">
        <f t="shared" si="62"/>
        <v>1.6800000000003479E-3</v>
      </c>
      <c r="G2036">
        <f t="shared" si="63"/>
        <v>58.924877378087061</v>
      </c>
    </row>
    <row r="2037" spans="2:7">
      <c r="B2037" t="s">
        <v>2</v>
      </c>
      <c r="C2037" s="2">
        <v>39113</v>
      </c>
      <c r="D2037" t="s">
        <v>6</v>
      </c>
      <c r="E2037">
        <v>5.3490310000000001</v>
      </c>
      <c r="F2037">
        <f t="shared" si="62"/>
        <v>-5.3867999999999583E-2</v>
      </c>
      <c r="G2037">
        <f t="shared" si="63"/>
        <v>64.66458126526345</v>
      </c>
    </row>
    <row r="2038" spans="2:7">
      <c r="B2038" t="s">
        <v>2</v>
      </c>
      <c r="C2038" s="2">
        <v>39112</v>
      </c>
      <c r="D2038" t="s">
        <v>6</v>
      </c>
      <c r="E2038">
        <v>5.4028989999999997</v>
      </c>
      <c r="F2038">
        <f t="shared" si="62"/>
        <v>-1.6901999999999973E-2</v>
      </c>
      <c r="G2038">
        <f t="shared" si="63"/>
        <v>63.87922467236853</v>
      </c>
    </row>
    <row r="2039" spans="2:7">
      <c r="B2039" t="s">
        <v>2</v>
      </c>
      <c r="C2039" s="2">
        <v>39111</v>
      </c>
      <c r="D2039" t="s">
        <v>6</v>
      </c>
      <c r="E2039">
        <v>5.4198009999999996</v>
      </c>
      <c r="F2039">
        <f t="shared" si="62"/>
        <v>3.0127999999999489E-2</v>
      </c>
      <c r="G2039">
        <f t="shared" si="63"/>
        <v>64.728712592158615</v>
      </c>
    </row>
    <row r="2040" spans="2:7">
      <c r="B2040" t="s">
        <v>2</v>
      </c>
      <c r="C2040" s="2">
        <v>39108</v>
      </c>
      <c r="D2040" t="s">
        <v>6</v>
      </c>
      <c r="E2040">
        <v>5.3896730000000002</v>
      </c>
      <c r="F2040">
        <f t="shared" si="62"/>
        <v>1.7803999999999931E-2</v>
      </c>
      <c r="G2040">
        <f t="shared" si="63"/>
        <v>66.260777468804861</v>
      </c>
    </row>
    <row r="2041" spans="2:7">
      <c r="B2041" t="s">
        <v>2</v>
      </c>
      <c r="C2041" s="2">
        <v>39107</v>
      </c>
      <c r="D2041" t="s">
        <v>6</v>
      </c>
      <c r="E2041">
        <v>5.3718690000000002</v>
      </c>
      <c r="F2041">
        <f t="shared" si="62"/>
        <v>7.5637000000000398E-2</v>
      </c>
      <c r="G2041">
        <f t="shared" si="63"/>
        <v>66.200811764293405</v>
      </c>
    </row>
    <row r="2042" spans="2:7">
      <c r="B2042" t="s">
        <v>2</v>
      </c>
      <c r="C2042" s="2">
        <v>39106</v>
      </c>
      <c r="D2042" t="s">
        <v>6</v>
      </c>
      <c r="E2042">
        <v>5.2962319999999998</v>
      </c>
      <c r="F2042">
        <f t="shared" si="62"/>
        <v>9.6679999999995658E-3</v>
      </c>
      <c r="G2042">
        <f t="shared" si="63"/>
        <v>65.141595868100509</v>
      </c>
    </row>
    <row r="2043" spans="2:7">
      <c r="B2043" t="s">
        <v>2</v>
      </c>
      <c r="C2043" s="2">
        <v>39105</v>
      </c>
      <c r="D2043" t="s">
        <v>6</v>
      </c>
      <c r="E2043">
        <v>5.2865640000000003</v>
      </c>
      <c r="F2043">
        <f t="shared" si="62"/>
        <v>4.5562000000000324E-2</v>
      </c>
      <c r="G2043">
        <f t="shared" si="63"/>
        <v>66.180640723887606</v>
      </c>
    </row>
    <row r="2044" spans="2:7">
      <c r="B2044" t="s">
        <v>2</v>
      </c>
      <c r="C2044" s="2">
        <v>39104</v>
      </c>
      <c r="D2044" t="s">
        <v>6</v>
      </c>
      <c r="E2044">
        <v>5.2410019999999999</v>
      </c>
      <c r="F2044">
        <f t="shared" si="62"/>
        <v>-1.8269000000000091E-2</v>
      </c>
      <c r="G2044">
        <f t="shared" si="63"/>
        <v>66.440713819116809</v>
      </c>
    </row>
    <row r="2045" spans="2:7">
      <c r="B2045" t="s">
        <v>2</v>
      </c>
      <c r="C2045" s="2">
        <v>39101</v>
      </c>
      <c r="D2045" t="s">
        <v>6</v>
      </c>
      <c r="E2045">
        <v>5.259271</v>
      </c>
      <c r="F2045">
        <f t="shared" si="62"/>
        <v>1.2138000000000204E-2</v>
      </c>
      <c r="G2045">
        <f t="shared" si="63"/>
        <v>66.356578335133776</v>
      </c>
    </row>
    <row r="2046" spans="2:7">
      <c r="B2046" t="s">
        <v>2</v>
      </c>
      <c r="C2046" s="2">
        <v>39100</v>
      </c>
      <c r="D2046" t="s">
        <v>6</v>
      </c>
      <c r="E2046">
        <v>5.2471329999999998</v>
      </c>
      <c r="F2046">
        <f t="shared" si="62"/>
        <v>-4.1803999999999952E-2</v>
      </c>
      <c r="G2046">
        <f t="shared" si="63"/>
        <v>66.920671474126877</v>
      </c>
    </row>
    <row r="2047" spans="2:7">
      <c r="B2047" t="s">
        <v>2</v>
      </c>
      <c r="C2047" s="2">
        <v>39099</v>
      </c>
      <c r="D2047" t="s">
        <v>6</v>
      </c>
      <c r="E2047">
        <v>5.2889369999999998</v>
      </c>
      <c r="F2047">
        <f t="shared" si="62"/>
        <v>4.5236000000000054E-2</v>
      </c>
      <c r="G2047">
        <f t="shared" si="63"/>
        <v>66.392289175904651</v>
      </c>
    </row>
    <row r="2048" spans="2:7">
      <c r="B2048" t="s">
        <v>2</v>
      </c>
      <c r="C2048" s="2">
        <v>39098</v>
      </c>
      <c r="D2048" t="s">
        <v>6</v>
      </c>
      <c r="E2048">
        <v>5.2437009999999997</v>
      </c>
      <c r="F2048">
        <f t="shared" si="62"/>
        <v>-1.5528000000000652E-2</v>
      </c>
      <c r="G2048">
        <f t="shared" si="63"/>
        <v>65.935074522819775</v>
      </c>
    </row>
    <row r="2049" spans="2:7">
      <c r="B2049" t="s">
        <v>2</v>
      </c>
      <c r="C2049" s="2">
        <v>39094</v>
      </c>
      <c r="D2049" t="s">
        <v>6</v>
      </c>
      <c r="E2049">
        <v>5.2592290000000004</v>
      </c>
      <c r="F2049">
        <f t="shared" si="62"/>
        <v>3.3987000000000656E-2</v>
      </c>
      <c r="G2049">
        <f t="shared" si="63"/>
        <v>65.952761407409682</v>
      </c>
    </row>
    <row r="2050" spans="2:7">
      <c r="B2050" t="s">
        <v>2</v>
      </c>
      <c r="C2050" s="2">
        <v>39093</v>
      </c>
      <c r="D2050" t="s">
        <v>6</v>
      </c>
      <c r="E2050">
        <v>5.2252419999999997</v>
      </c>
      <c r="F2050">
        <f t="shared" si="62"/>
        <v>6.0421999999999976E-2</v>
      </c>
      <c r="G2050">
        <f t="shared" si="63"/>
        <v>65.605430456791439</v>
      </c>
    </row>
    <row r="2051" spans="2:7">
      <c r="B2051" t="s">
        <v>2</v>
      </c>
      <c r="C2051" s="2">
        <v>39092</v>
      </c>
      <c r="D2051" t="s">
        <v>6</v>
      </c>
      <c r="E2051">
        <v>5.1648199999999997</v>
      </c>
      <c r="F2051">
        <f t="shared" ref="F2051:F2114" si="64">E2051-E2052</f>
        <v>3.6405999999999494E-2</v>
      </c>
      <c r="G2051">
        <f t="shared" ref="G2051:G2114" si="65">STDEV(F2051:F2110)*SQRT(250)*100</f>
        <v>64.46333933356145</v>
      </c>
    </row>
    <row r="2052" spans="2:7">
      <c r="B2052" t="s">
        <v>2</v>
      </c>
      <c r="C2052" s="2">
        <v>39091</v>
      </c>
      <c r="D2052" t="s">
        <v>6</v>
      </c>
      <c r="E2052">
        <v>5.1284140000000003</v>
      </c>
      <c r="F2052">
        <f t="shared" si="64"/>
        <v>1.068400000000036E-2</v>
      </c>
      <c r="G2052">
        <f t="shared" si="65"/>
        <v>64.179103394543759</v>
      </c>
    </row>
    <row r="2053" spans="2:7">
      <c r="B2053" t="s">
        <v>2</v>
      </c>
      <c r="C2053" s="2">
        <v>39090</v>
      </c>
      <c r="D2053" t="s">
        <v>6</v>
      </c>
      <c r="E2053">
        <v>5.1177299999999999</v>
      </c>
      <c r="F2053">
        <f t="shared" si="64"/>
        <v>1.003599999999949E-2</v>
      </c>
      <c r="G2053">
        <f t="shared" si="65"/>
        <v>64.119626987814684</v>
      </c>
    </row>
    <row r="2054" spans="2:7">
      <c r="B2054" t="s">
        <v>2</v>
      </c>
      <c r="C2054" s="2">
        <v>39087</v>
      </c>
      <c r="D2054" t="s">
        <v>6</v>
      </c>
      <c r="E2054">
        <v>5.1076940000000004</v>
      </c>
      <c r="F2054">
        <f t="shared" si="64"/>
        <v>2.4353000000000513E-2</v>
      </c>
      <c r="G2054">
        <f t="shared" si="65"/>
        <v>64.639084934297756</v>
      </c>
    </row>
    <row r="2055" spans="2:7">
      <c r="B2055" t="s">
        <v>2</v>
      </c>
      <c r="C2055" s="2">
        <v>39086</v>
      </c>
      <c r="D2055" t="s">
        <v>6</v>
      </c>
      <c r="E2055">
        <v>5.0833409999999999</v>
      </c>
      <c r="F2055">
        <f t="shared" si="64"/>
        <v>-5.1883000000000123E-2</v>
      </c>
      <c r="G2055">
        <f t="shared" si="65"/>
        <v>66.220114864722376</v>
      </c>
    </row>
    <row r="2056" spans="2:7">
      <c r="B2056" t="s">
        <v>2</v>
      </c>
      <c r="C2056" s="2">
        <v>39085</v>
      </c>
      <c r="D2056" t="s">
        <v>6</v>
      </c>
      <c r="E2056">
        <v>5.135224</v>
      </c>
      <c r="F2056">
        <f t="shared" si="64"/>
        <v>-3.6463999999999608E-2</v>
      </c>
      <c r="G2056">
        <f t="shared" si="65"/>
        <v>67.938174573805711</v>
      </c>
    </row>
    <row r="2057" spans="2:7">
      <c r="B2057" t="s">
        <v>2</v>
      </c>
      <c r="C2057" s="2">
        <v>39084</v>
      </c>
      <c r="D2057" t="s">
        <v>6</v>
      </c>
      <c r="E2057">
        <v>5.1716879999999996</v>
      </c>
      <c r="F2057">
        <f t="shared" si="64"/>
        <v>-1.6936000000000284E-2</v>
      </c>
      <c r="G2057">
        <f t="shared" si="65"/>
        <v>68.06134078807186</v>
      </c>
    </row>
    <row r="2058" spans="2:7">
      <c r="B2058" t="s">
        <v>2</v>
      </c>
      <c r="C2058" s="2">
        <v>39080</v>
      </c>
      <c r="D2058" t="s">
        <v>6</v>
      </c>
      <c r="E2058">
        <v>5.1886239999999999</v>
      </c>
      <c r="F2058">
        <f t="shared" si="64"/>
        <v>1.5353000000000172E-2</v>
      </c>
      <c r="G2058">
        <f t="shared" si="65"/>
        <v>68.860670767623844</v>
      </c>
    </row>
    <row r="2059" spans="2:7">
      <c r="B2059" t="s">
        <v>2</v>
      </c>
      <c r="C2059" s="2">
        <v>39079</v>
      </c>
      <c r="D2059" t="s">
        <v>6</v>
      </c>
      <c r="E2059">
        <v>5.1732709999999997</v>
      </c>
      <c r="F2059">
        <f t="shared" si="64"/>
        <v>3.1665999999999528E-2</v>
      </c>
      <c r="G2059">
        <f t="shared" si="65"/>
        <v>68.799717459936446</v>
      </c>
    </row>
    <row r="2060" spans="2:7">
      <c r="B2060" t="s">
        <v>2</v>
      </c>
      <c r="C2060" s="2">
        <v>39078</v>
      </c>
      <c r="D2060" t="s">
        <v>6</v>
      </c>
      <c r="E2060">
        <v>5.1416050000000002</v>
      </c>
      <c r="F2060">
        <f t="shared" si="64"/>
        <v>4.642700000000044E-2</v>
      </c>
      <c r="G2060">
        <f t="shared" si="65"/>
        <v>68.525023266072779</v>
      </c>
    </row>
    <row r="2061" spans="2:7">
      <c r="B2061" t="s">
        <v>2</v>
      </c>
      <c r="C2061" s="2">
        <v>39077</v>
      </c>
      <c r="D2061" t="s">
        <v>6</v>
      </c>
      <c r="E2061">
        <v>5.0951779999999998</v>
      </c>
      <c r="F2061">
        <f t="shared" si="64"/>
        <v>-2.1841000000000221E-2</v>
      </c>
      <c r="G2061">
        <f t="shared" si="65"/>
        <v>67.900091397489476</v>
      </c>
    </row>
    <row r="2062" spans="2:7">
      <c r="B2062" t="s">
        <v>2</v>
      </c>
      <c r="C2062" s="2">
        <v>39073</v>
      </c>
      <c r="D2062" t="s">
        <v>6</v>
      </c>
      <c r="E2062">
        <v>5.117019</v>
      </c>
      <c r="F2062">
        <f t="shared" si="64"/>
        <v>7.5834999999999653E-2</v>
      </c>
      <c r="G2062">
        <f t="shared" si="65"/>
        <v>68.054324863766965</v>
      </c>
    </row>
    <row r="2063" spans="2:7">
      <c r="B2063" t="s">
        <v>2</v>
      </c>
      <c r="C2063" s="2">
        <v>39072</v>
      </c>
      <c r="D2063" t="s">
        <v>6</v>
      </c>
      <c r="E2063">
        <v>5.0411840000000003</v>
      </c>
      <c r="F2063">
        <f t="shared" si="64"/>
        <v>-5.056899999999942E-2</v>
      </c>
      <c r="G2063">
        <f t="shared" si="65"/>
        <v>66.277764795567819</v>
      </c>
    </row>
    <row r="2064" spans="2:7">
      <c r="B2064" t="s">
        <v>2</v>
      </c>
      <c r="C2064" s="2">
        <v>39071</v>
      </c>
      <c r="D2064" t="s">
        <v>6</v>
      </c>
      <c r="E2064">
        <v>5.0917529999999998</v>
      </c>
      <c r="F2064">
        <f t="shared" si="64"/>
        <v>-4.9100000000024124E-4</v>
      </c>
      <c r="G2064">
        <f t="shared" si="65"/>
        <v>65.805240283509946</v>
      </c>
    </row>
    <row r="2065" spans="2:7">
      <c r="B2065" t="s">
        <v>2</v>
      </c>
      <c r="C2065" s="2">
        <v>39070</v>
      </c>
      <c r="D2065" t="s">
        <v>6</v>
      </c>
      <c r="E2065">
        <v>5.092244</v>
      </c>
      <c r="F2065">
        <f t="shared" si="64"/>
        <v>1.4012000000000135E-2</v>
      </c>
      <c r="G2065">
        <f t="shared" si="65"/>
        <v>66.612001621244659</v>
      </c>
    </row>
    <row r="2066" spans="2:7">
      <c r="B2066" t="s">
        <v>2</v>
      </c>
      <c r="C2066" s="2">
        <v>39069</v>
      </c>
      <c r="D2066" t="s">
        <v>6</v>
      </c>
      <c r="E2066">
        <v>5.0782319999999999</v>
      </c>
      <c r="F2066">
        <f t="shared" si="64"/>
        <v>7.9979999999997275E-3</v>
      </c>
      <c r="G2066">
        <f t="shared" si="65"/>
        <v>67.472315016065039</v>
      </c>
    </row>
    <row r="2067" spans="2:7">
      <c r="B2067" t="s">
        <v>2</v>
      </c>
      <c r="C2067" s="2">
        <v>39066</v>
      </c>
      <c r="D2067" t="s">
        <v>6</v>
      </c>
      <c r="E2067">
        <v>5.0702340000000001</v>
      </c>
      <c r="F2067">
        <f t="shared" si="64"/>
        <v>7.4380000000004998E-3</v>
      </c>
      <c r="G2067">
        <f t="shared" si="65"/>
        <v>69.710505073170253</v>
      </c>
    </row>
    <row r="2068" spans="2:7">
      <c r="B2068" t="s">
        <v>2</v>
      </c>
      <c r="C2068" s="2">
        <v>39065</v>
      </c>
      <c r="D2068" t="s">
        <v>6</v>
      </c>
      <c r="E2068">
        <v>5.0627959999999996</v>
      </c>
      <c r="F2068">
        <f t="shared" si="64"/>
        <v>1.6341999999999857E-2</v>
      </c>
      <c r="G2068">
        <f t="shared" si="65"/>
        <v>69.675497581935147</v>
      </c>
    </row>
    <row r="2069" spans="2:7">
      <c r="B2069" t="s">
        <v>2</v>
      </c>
      <c r="C2069" s="2">
        <v>39064</v>
      </c>
      <c r="D2069" t="s">
        <v>6</v>
      </c>
      <c r="E2069">
        <v>5.0464539999999998</v>
      </c>
      <c r="F2069">
        <f t="shared" si="64"/>
        <v>7.6972999999999736E-2</v>
      </c>
      <c r="G2069">
        <f t="shared" si="65"/>
        <v>71.058409090372976</v>
      </c>
    </row>
    <row r="2070" spans="2:7">
      <c r="B2070" t="s">
        <v>2</v>
      </c>
      <c r="C2070" s="2">
        <v>39063</v>
      </c>
      <c r="D2070" t="s">
        <v>6</v>
      </c>
      <c r="E2070">
        <v>4.969481</v>
      </c>
      <c r="F2070">
        <f t="shared" si="64"/>
        <v>-3.91490000000001E-2</v>
      </c>
      <c r="G2070">
        <f t="shared" si="65"/>
        <v>69.159794393722166</v>
      </c>
    </row>
    <row r="2071" spans="2:7">
      <c r="B2071" t="s">
        <v>2</v>
      </c>
      <c r="C2071" s="2">
        <v>39062</v>
      </c>
      <c r="D2071" t="s">
        <v>6</v>
      </c>
      <c r="E2071">
        <v>5.0086300000000001</v>
      </c>
      <c r="F2071">
        <f t="shared" si="64"/>
        <v>-3.4746000000000166E-2</v>
      </c>
      <c r="G2071">
        <f t="shared" si="65"/>
        <v>69.000037814096544</v>
      </c>
    </row>
    <row r="2072" spans="2:7">
      <c r="B2072" t="s">
        <v>2</v>
      </c>
      <c r="C2072" s="2">
        <v>39059</v>
      </c>
      <c r="D2072" t="s">
        <v>6</v>
      </c>
      <c r="E2072">
        <v>5.0433760000000003</v>
      </c>
      <c r="F2072">
        <f t="shared" si="64"/>
        <v>7.0759000000000682E-2</v>
      </c>
      <c r="G2072">
        <f t="shared" si="65"/>
        <v>69.012411553190958</v>
      </c>
    </row>
    <row r="2073" spans="2:7">
      <c r="B2073" t="s">
        <v>2</v>
      </c>
      <c r="C2073" s="2">
        <v>39058</v>
      </c>
      <c r="D2073" t="s">
        <v>6</v>
      </c>
      <c r="E2073">
        <v>4.9726169999999996</v>
      </c>
      <c r="F2073">
        <f t="shared" si="64"/>
        <v>3.5185999999999495E-2</v>
      </c>
      <c r="G2073">
        <f t="shared" si="65"/>
        <v>67.234876893285247</v>
      </c>
    </row>
    <row r="2074" spans="2:7">
      <c r="B2074" t="s">
        <v>2</v>
      </c>
      <c r="C2074" s="2">
        <v>39057</v>
      </c>
      <c r="D2074" t="s">
        <v>6</v>
      </c>
      <c r="E2074">
        <v>4.9374310000000001</v>
      </c>
      <c r="F2074">
        <f t="shared" si="64"/>
        <v>4.3603000000000058E-2</v>
      </c>
      <c r="G2074">
        <f t="shared" si="65"/>
        <v>66.925093659355895</v>
      </c>
    </row>
    <row r="2075" spans="2:7">
      <c r="B2075" t="s">
        <v>2</v>
      </c>
      <c r="C2075" s="2">
        <v>39056</v>
      </c>
      <c r="D2075" t="s">
        <v>6</v>
      </c>
      <c r="E2075">
        <v>4.8938280000000001</v>
      </c>
      <c r="F2075">
        <f t="shared" si="64"/>
        <v>4.4550000000000978E-3</v>
      </c>
      <c r="G2075">
        <f t="shared" si="65"/>
        <v>66.654963183716461</v>
      </c>
    </row>
    <row r="2076" spans="2:7">
      <c r="B2076" t="s">
        <v>2</v>
      </c>
      <c r="C2076" s="2">
        <v>39055</v>
      </c>
      <c r="D2076" t="s">
        <v>6</v>
      </c>
      <c r="E2076">
        <v>4.889373</v>
      </c>
      <c r="F2076">
        <f t="shared" si="64"/>
        <v>1.0589999999996991E-3</v>
      </c>
      <c r="G2076">
        <f t="shared" si="65"/>
        <v>66.669316923895877</v>
      </c>
    </row>
    <row r="2077" spans="2:7">
      <c r="B2077" t="s">
        <v>2</v>
      </c>
      <c r="C2077" s="2">
        <v>39052</v>
      </c>
      <c r="D2077" t="s">
        <v>6</v>
      </c>
      <c r="E2077">
        <v>4.8883140000000003</v>
      </c>
      <c r="F2077">
        <f t="shared" si="64"/>
        <v>-4.4569000000000081E-2</v>
      </c>
      <c r="G2077">
        <f t="shared" si="65"/>
        <v>66.649924033353813</v>
      </c>
    </row>
    <row r="2078" spans="2:7">
      <c r="B2078" t="s">
        <v>2</v>
      </c>
      <c r="C2078" s="2">
        <v>39051</v>
      </c>
      <c r="D2078" t="s">
        <v>6</v>
      </c>
      <c r="E2078">
        <v>4.9328830000000004</v>
      </c>
      <c r="F2078">
        <f t="shared" si="64"/>
        <v>-6.7005999999999233E-2</v>
      </c>
      <c r="G2078">
        <f t="shared" si="65"/>
        <v>66.275731543438553</v>
      </c>
    </row>
    <row r="2079" spans="2:7">
      <c r="B2079" t="s">
        <v>2</v>
      </c>
      <c r="C2079" s="2">
        <v>39050</v>
      </c>
      <c r="D2079" t="s">
        <v>6</v>
      </c>
      <c r="E2079">
        <v>4.9998889999999996</v>
      </c>
      <c r="F2079">
        <f t="shared" si="64"/>
        <v>1.8012999999999835E-2</v>
      </c>
      <c r="G2079">
        <f t="shared" si="65"/>
        <v>65.666594585396325</v>
      </c>
    </row>
    <row r="2080" spans="2:7">
      <c r="B2080" t="s">
        <v>2</v>
      </c>
      <c r="C2080" s="2">
        <v>39049</v>
      </c>
      <c r="D2080" t="s">
        <v>6</v>
      </c>
      <c r="E2080">
        <v>4.9818759999999997</v>
      </c>
      <c r="F2080">
        <f t="shared" si="64"/>
        <v>-3.8789000000000406E-2</v>
      </c>
      <c r="G2080">
        <f t="shared" si="65"/>
        <v>65.52133496180663</v>
      </c>
    </row>
    <row r="2081" spans="2:7">
      <c r="B2081" t="s">
        <v>2</v>
      </c>
      <c r="C2081" s="2">
        <v>39048</v>
      </c>
      <c r="D2081" t="s">
        <v>6</v>
      </c>
      <c r="E2081">
        <v>5.0206650000000002</v>
      </c>
      <c r="F2081">
        <f t="shared" si="64"/>
        <v>-1.4485999999999777E-2</v>
      </c>
      <c r="G2081">
        <f t="shared" si="65"/>
        <v>65.364081910021298</v>
      </c>
    </row>
    <row r="2082" spans="2:7">
      <c r="B2082" t="s">
        <v>2</v>
      </c>
      <c r="C2082" s="2">
        <v>39045</v>
      </c>
      <c r="D2082" t="s">
        <v>6</v>
      </c>
      <c r="E2082">
        <v>5.0351509999999999</v>
      </c>
      <c r="F2082">
        <f t="shared" si="64"/>
        <v>-2.7479999999999727E-2</v>
      </c>
      <c r="G2082">
        <f t="shared" si="65"/>
        <v>65.471948618913359</v>
      </c>
    </row>
    <row r="2083" spans="2:7">
      <c r="B2083" t="s">
        <v>2</v>
      </c>
      <c r="C2083" s="2">
        <v>39043</v>
      </c>
      <c r="D2083" t="s">
        <v>6</v>
      </c>
      <c r="E2083">
        <v>5.0626309999999997</v>
      </c>
      <c r="F2083">
        <f t="shared" si="64"/>
        <v>-8.6250000000003268E-3</v>
      </c>
      <c r="G2083">
        <f t="shared" si="65"/>
        <v>65.320156651139342</v>
      </c>
    </row>
    <row r="2084" spans="2:7">
      <c r="B2084" t="s">
        <v>2</v>
      </c>
      <c r="C2084" s="2">
        <v>39042</v>
      </c>
      <c r="D2084" t="s">
        <v>6</v>
      </c>
      <c r="E2084">
        <v>5.071256</v>
      </c>
      <c r="F2084">
        <f t="shared" si="64"/>
        <v>-1.8590999999999802E-2</v>
      </c>
      <c r="G2084">
        <f t="shared" si="65"/>
        <v>65.395547983391239</v>
      </c>
    </row>
    <row r="2085" spans="2:7">
      <c r="B2085" t="s">
        <v>2</v>
      </c>
      <c r="C2085" s="2">
        <v>39041</v>
      </c>
      <c r="D2085" t="s">
        <v>6</v>
      </c>
      <c r="E2085">
        <v>5.0898469999999998</v>
      </c>
      <c r="F2085">
        <f t="shared" si="64"/>
        <v>-9.5819999999999794E-3</v>
      </c>
      <c r="G2085">
        <f t="shared" si="65"/>
        <v>65.342198765465895</v>
      </c>
    </row>
    <row r="2086" spans="2:7">
      <c r="B2086" t="s">
        <v>2</v>
      </c>
      <c r="C2086" s="2">
        <v>39038</v>
      </c>
      <c r="D2086" t="s">
        <v>6</v>
      </c>
      <c r="E2086">
        <v>5.0994289999999998</v>
      </c>
      <c r="F2086">
        <f t="shared" si="64"/>
        <v>-6.2691000000000052E-2</v>
      </c>
      <c r="G2086">
        <f t="shared" si="65"/>
        <v>65.334184647603081</v>
      </c>
    </row>
    <row r="2087" spans="2:7">
      <c r="B2087" t="s">
        <v>2</v>
      </c>
      <c r="C2087" s="2">
        <v>39037</v>
      </c>
      <c r="D2087" t="s">
        <v>6</v>
      </c>
      <c r="E2087">
        <v>5.1621199999999998</v>
      </c>
      <c r="F2087">
        <f t="shared" si="64"/>
        <v>2.9238999999999571E-2</v>
      </c>
      <c r="G2087">
        <f t="shared" si="65"/>
        <v>64.28138598967459</v>
      </c>
    </row>
    <row r="2088" spans="2:7">
      <c r="B2088" t="s">
        <v>2</v>
      </c>
      <c r="C2088" s="2">
        <v>39036</v>
      </c>
      <c r="D2088" t="s">
        <v>6</v>
      </c>
      <c r="E2088">
        <v>5.1328810000000002</v>
      </c>
      <c r="F2088">
        <f t="shared" si="64"/>
        <v>4.564400000000024E-2</v>
      </c>
      <c r="G2088">
        <f t="shared" si="65"/>
        <v>63.929675531798168</v>
      </c>
    </row>
    <row r="2089" spans="2:7">
      <c r="B2089" t="s">
        <v>2</v>
      </c>
      <c r="C2089" s="2">
        <v>39035</v>
      </c>
      <c r="D2089" t="s">
        <v>6</v>
      </c>
      <c r="E2089">
        <v>5.087237</v>
      </c>
      <c r="F2089">
        <f t="shared" si="64"/>
        <v>-4.471399999999992E-2</v>
      </c>
      <c r="G2089">
        <f t="shared" si="65"/>
        <v>63.103671186998611</v>
      </c>
    </row>
    <row r="2090" spans="2:7">
      <c r="B2090" t="s">
        <v>2</v>
      </c>
      <c r="C2090" s="2">
        <v>39034</v>
      </c>
      <c r="D2090" t="s">
        <v>6</v>
      </c>
      <c r="E2090">
        <v>5.1319509999999999</v>
      </c>
      <c r="F2090">
        <f t="shared" si="64"/>
        <v>1.6734999999999722E-2</v>
      </c>
      <c r="G2090">
        <f t="shared" si="65"/>
        <v>62.870752383052967</v>
      </c>
    </row>
    <row r="2091" spans="2:7">
      <c r="B2091" t="s">
        <v>2</v>
      </c>
      <c r="C2091" s="2">
        <v>39031</v>
      </c>
      <c r="D2091" t="s">
        <v>6</v>
      </c>
      <c r="E2091">
        <v>5.1152160000000002</v>
      </c>
      <c r="F2091">
        <f t="shared" si="64"/>
        <v>-3.9571999999999719E-2</v>
      </c>
      <c r="G2091">
        <f t="shared" si="65"/>
        <v>62.767961146028796</v>
      </c>
    </row>
    <row r="2092" spans="2:7">
      <c r="B2092" t="s">
        <v>2</v>
      </c>
      <c r="C2092" s="2">
        <v>39030</v>
      </c>
      <c r="D2092" t="s">
        <v>6</v>
      </c>
      <c r="E2092">
        <v>5.1547879999999999</v>
      </c>
      <c r="F2092">
        <f t="shared" si="64"/>
        <v>-4.7379999999996869E-3</v>
      </c>
      <c r="G2092">
        <f t="shared" si="65"/>
        <v>63.594963025472076</v>
      </c>
    </row>
    <row r="2093" spans="2:7">
      <c r="B2093" t="s">
        <v>2</v>
      </c>
      <c r="C2093" s="2">
        <v>39029</v>
      </c>
      <c r="D2093" t="s">
        <v>6</v>
      </c>
      <c r="E2093">
        <v>5.1595259999999996</v>
      </c>
      <c r="F2093">
        <f t="shared" si="64"/>
        <v>-2.8785000000000061E-2</v>
      </c>
      <c r="G2093">
        <f t="shared" si="65"/>
        <v>65.172842247898743</v>
      </c>
    </row>
    <row r="2094" spans="2:7">
      <c r="B2094" t="s">
        <v>2</v>
      </c>
      <c r="C2094" s="2">
        <v>39028</v>
      </c>
      <c r="D2094" t="s">
        <v>6</v>
      </c>
      <c r="E2094">
        <v>5.1883109999999997</v>
      </c>
      <c r="F2094">
        <f t="shared" si="64"/>
        <v>-5.4561000000000526E-2</v>
      </c>
      <c r="G2094">
        <f t="shared" si="65"/>
        <v>65.607975931533133</v>
      </c>
    </row>
    <row r="2095" spans="2:7">
      <c r="B2095" t="s">
        <v>2</v>
      </c>
      <c r="C2095" s="2">
        <v>39027</v>
      </c>
      <c r="D2095" t="s">
        <v>6</v>
      </c>
      <c r="E2095">
        <v>5.2428720000000002</v>
      </c>
      <c r="F2095">
        <f t="shared" si="64"/>
        <v>-1.0646999999999629E-2</v>
      </c>
      <c r="G2095">
        <f t="shared" si="65"/>
        <v>65.503778093910512</v>
      </c>
    </row>
    <row r="2096" spans="2:7">
      <c r="B2096" t="s">
        <v>2</v>
      </c>
      <c r="C2096" s="2">
        <v>39024</v>
      </c>
      <c r="D2096" t="s">
        <v>6</v>
      </c>
      <c r="E2096">
        <v>5.2535189999999998</v>
      </c>
      <c r="F2096">
        <f t="shared" si="64"/>
        <v>0.13209800000000005</v>
      </c>
      <c r="G2096">
        <f t="shared" si="65"/>
        <v>65.504000449944485</v>
      </c>
    </row>
    <row r="2097" spans="2:7">
      <c r="B2097" t="s">
        <v>2</v>
      </c>
      <c r="C2097" s="2">
        <v>39023</v>
      </c>
      <c r="D2097" t="s">
        <v>6</v>
      </c>
      <c r="E2097">
        <v>5.1214209999999998</v>
      </c>
      <c r="F2097">
        <f t="shared" si="64"/>
        <v>3.663999999999934E-2</v>
      </c>
      <c r="G2097">
        <f t="shared" si="65"/>
        <v>59.186452010874866</v>
      </c>
    </row>
    <row r="2098" spans="2:7">
      <c r="B2098" t="s">
        <v>2</v>
      </c>
      <c r="C2098" s="2">
        <v>39022</v>
      </c>
      <c r="D2098" t="s">
        <v>6</v>
      </c>
      <c r="E2098">
        <v>5.0847810000000004</v>
      </c>
      <c r="F2098">
        <f t="shared" si="64"/>
        <v>-5.0284999999999691E-2</v>
      </c>
      <c r="G2098">
        <f t="shared" si="65"/>
        <v>58.531393166885238</v>
      </c>
    </row>
    <row r="2099" spans="2:7">
      <c r="B2099" t="s">
        <v>2</v>
      </c>
      <c r="C2099" s="2">
        <v>39021</v>
      </c>
      <c r="D2099" t="s">
        <v>6</v>
      </c>
      <c r="E2099">
        <v>5.1350660000000001</v>
      </c>
      <c r="F2099">
        <f t="shared" si="64"/>
        <v>-6.9729999999999848E-2</v>
      </c>
      <c r="G2099">
        <f t="shared" si="65"/>
        <v>58.065833591786507</v>
      </c>
    </row>
    <row r="2100" spans="2:7">
      <c r="B2100" t="s">
        <v>2</v>
      </c>
      <c r="C2100" s="2">
        <v>39020</v>
      </c>
      <c r="D2100" t="s">
        <v>6</v>
      </c>
      <c r="E2100">
        <v>5.204796</v>
      </c>
      <c r="F2100">
        <f t="shared" si="64"/>
        <v>-2.9589999999997119E-3</v>
      </c>
      <c r="G2100">
        <f t="shared" si="65"/>
        <v>57.778295879460352</v>
      </c>
    </row>
    <row r="2101" spans="2:7">
      <c r="B2101" t="s">
        <v>2</v>
      </c>
      <c r="C2101" s="2">
        <v>39017</v>
      </c>
      <c r="D2101" t="s">
        <v>6</v>
      </c>
      <c r="E2101">
        <v>5.2077549999999997</v>
      </c>
      <c r="F2101">
        <f t="shared" si="64"/>
        <v>-4.4948999999999906E-2</v>
      </c>
      <c r="G2101">
        <f t="shared" si="65"/>
        <v>57.781602838432853</v>
      </c>
    </row>
    <row r="2102" spans="2:7">
      <c r="B2102" t="s">
        <v>2</v>
      </c>
      <c r="C2102" s="2">
        <v>39016</v>
      </c>
      <c r="D2102" t="s">
        <v>6</v>
      </c>
      <c r="E2102">
        <v>5.2527039999999996</v>
      </c>
      <c r="F2102">
        <f t="shared" si="64"/>
        <v>-5.7370000000000587E-2</v>
      </c>
      <c r="G2102">
        <f t="shared" si="65"/>
        <v>57.327566102722407</v>
      </c>
    </row>
    <row r="2103" spans="2:7">
      <c r="B2103" t="s">
        <v>2</v>
      </c>
      <c r="C2103" s="2">
        <v>39015</v>
      </c>
      <c r="D2103" t="s">
        <v>6</v>
      </c>
      <c r="E2103">
        <v>5.3100740000000002</v>
      </c>
      <c r="F2103">
        <f t="shared" si="64"/>
        <v>-5.6049999999999933E-2</v>
      </c>
      <c r="G2103">
        <f t="shared" si="65"/>
        <v>56.291985257176776</v>
      </c>
    </row>
    <row r="2104" spans="2:7">
      <c r="B2104" t="s">
        <v>2</v>
      </c>
      <c r="C2104" s="2">
        <v>39014</v>
      </c>
      <c r="D2104" t="s">
        <v>6</v>
      </c>
      <c r="E2104">
        <v>5.3661240000000001</v>
      </c>
      <c r="F2104">
        <f t="shared" si="64"/>
        <v>-3.4580000000001831E-3</v>
      </c>
      <c r="G2104">
        <f t="shared" si="65"/>
        <v>55.275942774420294</v>
      </c>
    </row>
    <row r="2105" spans="2:7">
      <c r="B2105" t="s">
        <v>2</v>
      </c>
      <c r="C2105" s="2">
        <v>39013</v>
      </c>
      <c r="D2105" t="s">
        <v>6</v>
      </c>
      <c r="E2105">
        <v>5.3695820000000003</v>
      </c>
      <c r="F2105">
        <f t="shared" si="64"/>
        <v>4.271700000000056E-2</v>
      </c>
      <c r="G2105">
        <f t="shared" si="65"/>
        <v>56.436204428454005</v>
      </c>
    </row>
    <row r="2106" spans="2:7">
      <c r="B2106" t="s">
        <v>2</v>
      </c>
      <c r="C2106" s="2">
        <v>39010</v>
      </c>
      <c r="D2106" t="s">
        <v>6</v>
      </c>
      <c r="E2106">
        <v>5.3268649999999997</v>
      </c>
      <c r="F2106">
        <f t="shared" si="64"/>
        <v>-2.5599999999998957E-3</v>
      </c>
      <c r="G2106">
        <f t="shared" si="65"/>
        <v>55.626839095072043</v>
      </c>
    </row>
    <row r="2107" spans="2:7">
      <c r="B2107" t="s">
        <v>2</v>
      </c>
      <c r="C2107" s="2">
        <v>39009</v>
      </c>
      <c r="D2107" t="s">
        <v>6</v>
      </c>
      <c r="E2107">
        <v>5.3294249999999996</v>
      </c>
      <c r="F2107">
        <f t="shared" si="64"/>
        <v>2.552500000000002E-2</v>
      </c>
      <c r="G2107">
        <f t="shared" si="65"/>
        <v>55.96126324740225</v>
      </c>
    </row>
    <row r="2108" spans="2:7">
      <c r="B2108" t="s">
        <v>2</v>
      </c>
      <c r="C2108" s="2">
        <v>39008</v>
      </c>
      <c r="D2108" t="s">
        <v>6</v>
      </c>
      <c r="E2108">
        <v>5.3038999999999996</v>
      </c>
      <c r="F2108">
        <f t="shared" si="64"/>
        <v>-1.7314999999999969E-2</v>
      </c>
      <c r="G2108">
        <f t="shared" si="65"/>
        <v>55.891012444235287</v>
      </c>
    </row>
    <row r="2109" spans="2:7">
      <c r="B2109" t="s">
        <v>2</v>
      </c>
      <c r="C2109" s="2">
        <v>39007</v>
      </c>
      <c r="D2109" t="s">
        <v>6</v>
      </c>
      <c r="E2109">
        <v>5.3212149999999996</v>
      </c>
      <c r="F2109">
        <f t="shared" si="64"/>
        <v>-1.4728999999999992E-2</v>
      </c>
      <c r="G2109">
        <f t="shared" si="65"/>
        <v>55.835472408457001</v>
      </c>
    </row>
    <row r="2110" spans="2:7">
      <c r="B2110" t="s">
        <v>2</v>
      </c>
      <c r="C2110" s="2">
        <v>39006</v>
      </c>
      <c r="D2110" t="s">
        <v>6</v>
      </c>
      <c r="E2110">
        <v>5.3359439999999996</v>
      </c>
      <c r="F2110">
        <f t="shared" si="64"/>
        <v>-2.3984000000000449E-2</v>
      </c>
      <c r="G2110">
        <f t="shared" si="65"/>
        <v>55.911524589134167</v>
      </c>
    </row>
    <row r="2111" spans="2:7">
      <c r="B2111" t="s">
        <v>2</v>
      </c>
      <c r="C2111" s="2">
        <v>39003</v>
      </c>
      <c r="D2111" t="s">
        <v>6</v>
      </c>
      <c r="E2111">
        <v>5.359928</v>
      </c>
      <c r="F2111">
        <f t="shared" si="64"/>
        <v>2.3443000000000325E-2</v>
      </c>
      <c r="G2111">
        <f t="shared" si="65"/>
        <v>56.336823286799017</v>
      </c>
    </row>
    <row r="2112" spans="2:7">
      <c r="B2112" t="s">
        <v>2</v>
      </c>
      <c r="C2112" s="2">
        <v>39002</v>
      </c>
      <c r="D2112" t="s">
        <v>6</v>
      </c>
      <c r="E2112">
        <v>5.3364849999999997</v>
      </c>
      <c r="F2112">
        <f t="shared" si="64"/>
        <v>-8.6050000000001958E-3</v>
      </c>
      <c r="G2112">
        <f t="shared" si="65"/>
        <v>58.058753146764317</v>
      </c>
    </row>
    <row r="2113" spans="2:7">
      <c r="B2113" t="s">
        <v>2</v>
      </c>
      <c r="C2113" s="2">
        <v>39001</v>
      </c>
      <c r="D2113" t="s">
        <v>6</v>
      </c>
      <c r="E2113">
        <v>5.3450899999999999</v>
      </c>
      <c r="F2113">
        <f t="shared" si="64"/>
        <v>3.8437000000000054E-2</v>
      </c>
      <c r="G2113">
        <f t="shared" si="65"/>
        <v>59.947407426748256</v>
      </c>
    </row>
    <row r="2114" spans="2:7">
      <c r="B2114" t="s">
        <v>2</v>
      </c>
      <c r="C2114" s="2">
        <v>39000</v>
      </c>
      <c r="D2114" t="s">
        <v>6</v>
      </c>
      <c r="E2114">
        <v>5.3066529999999998</v>
      </c>
      <c r="F2114">
        <f t="shared" si="64"/>
        <v>7.2090999999999461E-2</v>
      </c>
      <c r="G2114">
        <f t="shared" si="65"/>
        <v>59.296798694915978</v>
      </c>
    </row>
    <row r="2115" spans="2:7">
      <c r="B2115" t="s">
        <v>2</v>
      </c>
      <c r="C2115" s="2">
        <v>38996</v>
      </c>
      <c r="D2115" t="s">
        <v>6</v>
      </c>
      <c r="E2115">
        <v>5.2345620000000004</v>
      </c>
      <c r="F2115">
        <f t="shared" ref="F2115:F2178" si="66">E2115-E2116</f>
        <v>8.804800000000057E-2</v>
      </c>
      <c r="G2115">
        <f t="shared" ref="G2115:G2178" si="67">STDEV(F2115:F2174)*SQRT(250)*100</f>
        <v>57.037559379143978</v>
      </c>
    </row>
    <row r="2116" spans="2:7">
      <c r="B2116" t="s">
        <v>2</v>
      </c>
      <c r="C2116" s="2">
        <v>38995</v>
      </c>
      <c r="D2116" t="s">
        <v>6</v>
      </c>
      <c r="E2116">
        <v>5.1465139999999998</v>
      </c>
      <c r="F2116">
        <f t="shared" si="66"/>
        <v>4.2413999999999952E-2</v>
      </c>
      <c r="G2116">
        <f t="shared" si="67"/>
        <v>53.564683552285544</v>
      </c>
    </row>
    <row r="2117" spans="2:7">
      <c r="B2117" t="s">
        <v>2</v>
      </c>
      <c r="C2117" s="2">
        <v>38994</v>
      </c>
      <c r="D2117" t="s">
        <v>6</v>
      </c>
      <c r="E2117">
        <v>5.1040999999999999</v>
      </c>
      <c r="F2117">
        <f t="shared" si="66"/>
        <v>-5.3010999999999697E-2</v>
      </c>
      <c r="G2117">
        <f t="shared" si="67"/>
        <v>52.499058902642524</v>
      </c>
    </row>
    <row r="2118" spans="2:7">
      <c r="B2118" t="s">
        <v>2</v>
      </c>
      <c r="C2118" s="2">
        <v>38993</v>
      </c>
      <c r="D2118" t="s">
        <v>6</v>
      </c>
      <c r="E2118">
        <v>5.1571109999999996</v>
      </c>
      <c r="F2118">
        <f t="shared" si="66"/>
        <v>-4.8250000000003013E-3</v>
      </c>
      <c r="G2118">
        <f t="shared" si="67"/>
        <v>51.970410603440968</v>
      </c>
    </row>
    <row r="2119" spans="2:7">
      <c r="B2119" t="s">
        <v>2</v>
      </c>
      <c r="C2119" s="2">
        <v>38992</v>
      </c>
      <c r="D2119" t="s">
        <v>6</v>
      </c>
      <c r="E2119">
        <v>5.1619359999999999</v>
      </c>
      <c r="F2119">
        <f t="shared" si="66"/>
        <v>-1.1269000000000418E-2</v>
      </c>
      <c r="G2119">
        <f t="shared" si="67"/>
        <v>51.986031145028363</v>
      </c>
    </row>
    <row r="2120" spans="2:7">
      <c r="B2120" t="s">
        <v>2</v>
      </c>
      <c r="C2120" s="2">
        <v>38989</v>
      </c>
      <c r="D2120" t="s">
        <v>6</v>
      </c>
      <c r="E2120">
        <v>5.1732050000000003</v>
      </c>
      <c r="F2120">
        <f t="shared" si="66"/>
        <v>1.3970000000000482E-2</v>
      </c>
      <c r="G2120">
        <f t="shared" si="67"/>
        <v>52.874176371588653</v>
      </c>
    </row>
    <row r="2121" spans="2:7">
      <c r="B2121" t="s">
        <v>2</v>
      </c>
      <c r="C2121" s="2">
        <v>38988</v>
      </c>
      <c r="D2121" t="s">
        <v>6</v>
      </c>
      <c r="E2121">
        <v>5.1592349999999998</v>
      </c>
      <c r="F2121">
        <f t="shared" si="66"/>
        <v>3.0098999999999876E-2</v>
      </c>
      <c r="G2121">
        <f t="shared" si="67"/>
        <v>52.927597177033412</v>
      </c>
    </row>
    <row r="2122" spans="2:7">
      <c r="B2122" t="s">
        <v>2</v>
      </c>
      <c r="C2122" s="2">
        <v>38987</v>
      </c>
      <c r="D2122" t="s">
        <v>6</v>
      </c>
      <c r="E2122">
        <v>5.1291359999999999</v>
      </c>
      <c r="F2122">
        <f t="shared" si="66"/>
        <v>1.4374000000000109E-2</v>
      </c>
      <c r="G2122">
        <f t="shared" si="67"/>
        <v>55.533696124400713</v>
      </c>
    </row>
    <row r="2123" spans="2:7">
      <c r="B2123" t="s">
        <v>2</v>
      </c>
      <c r="C2123" s="2">
        <v>38986</v>
      </c>
      <c r="D2123" t="s">
        <v>6</v>
      </c>
      <c r="E2123">
        <v>5.1147619999999998</v>
      </c>
      <c r="F2123">
        <f t="shared" si="66"/>
        <v>3.1547999999999909E-2</v>
      </c>
      <c r="G2123">
        <f t="shared" si="67"/>
        <v>55.689051284555582</v>
      </c>
    </row>
    <row r="2124" spans="2:7">
      <c r="B2124" t="s">
        <v>2</v>
      </c>
      <c r="C2124" s="2">
        <v>38985</v>
      </c>
      <c r="D2124" t="s">
        <v>6</v>
      </c>
      <c r="E2124">
        <v>5.0832139999999999</v>
      </c>
      <c r="F2124">
        <f t="shared" si="66"/>
        <v>-5.0486000000000253E-2</v>
      </c>
      <c r="G2124">
        <f t="shared" si="67"/>
        <v>55.917552799877669</v>
      </c>
    </row>
    <row r="2125" spans="2:7">
      <c r="B2125" t="s">
        <v>2</v>
      </c>
      <c r="C2125" s="2">
        <v>38982</v>
      </c>
      <c r="D2125" t="s">
        <v>6</v>
      </c>
      <c r="E2125">
        <v>5.1337000000000002</v>
      </c>
      <c r="F2125">
        <f t="shared" si="66"/>
        <v>-5.5639999999999468E-2</v>
      </c>
      <c r="G2125">
        <f t="shared" si="67"/>
        <v>55.878066463074994</v>
      </c>
    </row>
    <row r="2126" spans="2:7">
      <c r="B2126" t="s">
        <v>2</v>
      </c>
      <c r="C2126" s="2">
        <v>38981</v>
      </c>
      <c r="D2126" t="s">
        <v>6</v>
      </c>
      <c r="E2126">
        <v>5.1893399999999996</v>
      </c>
      <c r="F2126">
        <f t="shared" si="66"/>
        <v>-8.8443999999999967E-2</v>
      </c>
      <c r="G2126">
        <f t="shared" si="67"/>
        <v>56.109903993303213</v>
      </c>
    </row>
    <row r="2127" spans="2:7">
      <c r="B2127" t="s">
        <v>2</v>
      </c>
      <c r="C2127" s="2">
        <v>38980</v>
      </c>
      <c r="D2127" t="s">
        <v>6</v>
      </c>
      <c r="E2127">
        <v>5.2777839999999996</v>
      </c>
      <c r="F2127">
        <f t="shared" si="66"/>
        <v>-6.0310000000001196E-3</v>
      </c>
      <c r="G2127">
        <f t="shared" si="67"/>
        <v>53.801323674429739</v>
      </c>
    </row>
    <row r="2128" spans="2:7">
      <c r="B2128" t="s">
        <v>2</v>
      </c>
      <c r="C2128" s="2">
        <v>38979</v>
      </c>
      <c r="D2128" t="s">
        <v>6</v>
      </c>
      <c r="E2128">
        <v>5.2838149999999997</v>
      </c>
      <c r="F2128">
        <f t="shared" si="66"/>
        <v>-7.5337000000000209E-2</v>
      </c>
      <c r="G2128">
        <f t="shared" si="67"/>
        <v>53.950605795511464</v>
      </c>
    </row>
    <row r="2129" spans="2:7">
      <c r="B2129" t="s">
        <v>2</v>
      </c>
      <c r="C2129" s="2">
        <v>38978</v>
      </c>
      <c r="D2129" t="s">
        <v>6</v>
      </c>
      <c r="E2129">
        <v>5.3591519999999999</v>
      </c>
      <c r="F2129">
        <f t="shared" si="66"/>
        <v>1.780700000000035E-2</v>
      </c>
      <c r="G2129">
        <f t="shared" si="67"/>
        <v>52.702346502042175</v>
      </c>
    </row>
    <row r="2130" spans="2:7">
      <c r="B2130" t="s">
        <v>2</v>
      </c>
      <c r="C2130" s="2">
        <v>38975</v>
      </c>
      <c r="D2130" t="s">
        <v>6</v>
      </c>
      <c r="E2130">
        <v>5.3413449999999996</v>
      </c>
      <c r="F2130">
        <f t="shared" si="66"/>
        <v>1.8715999999999511E-2</v>
      </c>
      <c r="G2130">
        <f t="shared" si="67"/>
        <v>53.663583636159906</v>
      </c>
    </row>
    <row r="2131" spans="2:7">
      <c r="B2131" t="s">
        <v>2</v>
      </c>
      <c r="C2131" s="2">
        <v>38974</v>
      </c>
      <c r="D2131" t="s">
        <v>6</v>
      </c>
      <c r="E2131">
        <v>5.3226290000000001</v>
      </c>
      <c r="F2131">
        <f t="shared" si="66"/>
        <v>2.5954999999999728E-2</v>
      </c>
      <c r="G2131">
        <f t="shared" si="67"/>
        <v>53.43086206863584</v>
      </c>
    </row>
    <row r="2132" spans="2:7">
      <c r="B2132" t="s">
        <v>2</v>
      </c>
      <c r="C2132" s="2">
        <v>38973</v>
      </c>
      <c r="D2132" t="s">
        <v>6</v>
      </c>
      <c r="E2132">
        <v>5.2966740000000003</v>
      </c>
      <c r="F2132">
        <f t="shared" si="66"/>
        <v>-4.1259999999994079E-3</v>
      </c>
      <c r="G2132">
        <f t="shared" si="67"/>
        <v>53.107636453740561</v>
      </c>
    </row>
    <row r="2133" spans="2:7">
      <c r="B2133" t="s">
        <v>2</v>
      </c>
      <c r="C2133" s="2">
        <v>38972</v>
      </c>
      <c r="D2133" t="s">
        <v>6</v>
      </c>
      <c r="E2133">
        <v>5.3007999999999997</v>
      </c>
      <c r="F2133">
        <f t="shared" si="66"/>
        <v>-3.2841000000000342E-2</v>
      </c>
      <c r="G2133">
        <f t="shared" si="67"/>
        <v>53.44479412778734</v>
      </c>
    </row>
    <row r="2134" spans="2:7">
      <c r="B2134" t="s">
        <v>2</v>
      </c>
      <c r="C2134" s="2">
        <v>38971</v>
      </c>
      <c r="D2134" t="s">
        <v>6</v>
      </c>
      <c r="E2134">
        <v>5.3336410000000001</v>
      </c>
      <c r="F2134">
        <f t="shared" si="66"/>
        <v>3.4269000000000105E-2</v>
      </c>
      <c r="G2134">
        <f t="shared" si="67"/>
        <v>53.819476908482436</v>
      </c>
    </row>
    <row r="2135" spans="2:7">
      <c r="B2135" t="s">
        <v>2</v>
      </c>
      <c r="C2135" s="2">
        <v>38968</v>
      </c>
      <c r="D2135" t="s">
        <v>6</v>
      </c>
      <c r="E2135">
        <v>5.299372</v>
      </c>
      <c r="F2135">
        <f t="shared" si="66"/>
        <v>-2.0215000000000316E-2</v>
      </c>
      <c r="G2135">
        <f t="shared" si="67"/>
        <v>54.318376945768421</v>
      </c>
    </row>
    <row r="2136" spans="2:7">
      <c r="B2136" t="s">
        <v>2</v>
      </c>
      <c r="C2136" s="2">
        <v>38967</v>
      </c>
      <c r="D2136" t="s">
        <v>6</v>
      </c>
      <c r="E2136">
        <v>5.3195870000000003</v>
      </c>
      <c r="F2136">
        <f t="shared" si="66"/>
        <v>-4.4839999999997104E-3</v>
      </c>
      <c r="G2136">
        <f t="shared" si="67"/>
        <v>58.203947081097475</v>
      </c>
    </row>
    <row r="2137" spans="2:7">
      <c r="B2137" t="s">
        <v>2</v>
      </c>
      <c r="C2137" s="2">
        <v>38966</v>
      </c>
      <c r="D2137" t="s">
        <v>6</v>
      </c>
      <c r="E2137">
        <v>5.324071</v>
      </c>
      <c r="F2137">
        <f t="shared" si="66"/>
        <v>9.0409999999998547E-3</v>
      </c>
      <c r="G2137">
        <f t="shared" si="67"/>
        <v>58.334078531059205</v>
      </c>
    </row>
    <row r="2138" spans="2:7">
      <c r="B2138" t="s">
        <v>2</v>
      </c>
      <c r="C2138" s="2">
        <v>38965</v>
      </c>
      <c r="D2138" t="s">
        <v>6</v>
      </c>
      <c r="E2138">
        <v>5.3150300000000001</v>
      </c>
      <c r="F2138">
        <f t="shared" si="66"/>
        <v>3.7944000000000422E-2</v>
      </c>
      <c r="G2138">
        <f t="shared" si="67"/>
        <v>58.287645355921683</v>
      </c>
    </row>
    <row r="2139" spans="2:7">
      <c r="B2139" t="s">
        <v>2</v>
      </c>
      <c r="C2139" s="2">
        <v>38961</v>
      </c>
      <c r="D2139" t="s">
        <v>6</v>
      </c>
      <c r="E2139">
        <v>5.2770859999999997</v>
      </c>
      <c r="F2139">
        <f t="shared" si="66"/>
        <v>-1.3513000000000552E-2</v>
      </c>
      <c r="G2139">
        <f t="shared" si="67"/>
        <v>57.655786868401457</v>
      </c>
    </row>
    <row r="2140" spans="2:7">
      <c r="B2140" t="s">
        <v>2</v>
      </c>
      <c r="C2140" s="2">
        <v>38960</v>
      </c>
      <c r="D2140" t="s">
        <v>6</v>
      </c>
      <c r="E2140">
        <v>5.2905990000000003</v>
      </c>
      <c r="F2140">
        <f t="shared" si="66"/>
        <v>-3.0586999999999698E-2</v>
      </c>
      <c r="G2140">
        <f t="shared" si="67"/>
        <v>57.84804704018697</v>
      </c>
    </row>
    <row r="2141" spans="2:7">
      <c r="B2141" t="s">
        <v>2</v>
      </c>
      <c r="C2141" s="2">
        <v>38959</v>
      </c>
      <c r="D2141" t="s">
        <v>6</v>
      </c>
      <c r="E2141">
        <v>5.321186</v>
      </c>
      <c r="F2141">
        <f t="shared" si="66"/>
        <v>-2.5623000000000395E-2</v>
      </c>
      <c r="G2141">
        <f t="shared" si="67"/>
        <v>57.88534929942314</v>
      </c>
    </row>
    <row r="2142" spans="2:7">
      <c r="B2142" t="s">
        <v>2</v>
      </c>
      <c r="C2142" s="2">
        <v>38958</v>
      </c>
      <c r="D2142" t="s">
        <v>6</v>
      </c>
      <c r="E2142">
        <v>5.3468090000000004</v>
      </c>
      <c r="F2142">
        <f t="shared" si="66"/>
        <v>-1.0911999999999367E-2</v>
      </c>
      <c r="G2142">
        <f t="shared" si="67"/>
        <v>57.795241432779633</v>
      </c>
    </row>
    <row r="2143" spans="2:7">
      <c r="B2143" t="s">
        <v>2</v>
      </c>
      <c r="C2143" s="2">
        <v>38957</v>
      </c>
      <c r="D2143" t="s">
        <v>6</v>
      </c>
      <c r="E2143">
        <v>5.3577209999999997</v>
      </c>
      <c r="F2143">
        <f t="shared" si="66"/>
        <v>1.097899999999985E-2</v>
      </c>
      <c r="G2143">
        <f t="shared" si="67"/>
        <v>58.239671784652295</v>
      </c>
    </row>
    <row r="2144" spans="2:7">
      <c r="B2144" t="s">
        <v>2</v>
      </c>
      <c r="C2144" s="2">
        <v>38954</v>
      </c>
      <c r="D2144" t="s">
        <v>6</v>
      </c>
      <c r="E2144">
        <v>5.3467419999999999</v>
      </c>
      <c r="F2144">
        <f t="shared" si="66"/>
        <v>-1.0295000000000165E-2</v>
      </c>
      <c r="G2144">
        <f t="shared" si="67"/>
        <v>63.122290039380481</v>
      </c>
    </row>
    <row r="2145" spans="2:7">
      <c r="B2145" t="s">
        <v>2</v>
      </c>
      <c r="C2145" s="2">
        <v>38953</v>
      </c>
      <c r="D2145" t="s">
        <v>6</v>
      </c>
      <c r="E2145">
        <v>5.357037</v>
      </c>
      <c r="F2145">
        <f t="shared" si="66"/>
        <v>-5.804999999999616E-3</v>
      </c>
      <c r="G2145">
        <f t="shared" si="67"/>
        <v>63.120974973449705</v>
      </c>
    </row>
    <row r="2146" spans="2:7">
      <c r="B2146" t="s">
        <v>2</v>
      </c>
      <c r="C2146" s="2">
        <v>38952</v>
      </c>
      <c r="D2146" t="s">
        <v>6</v>
      </c>
      <c r="E2146">
        <v>5.3628419999999997</v>
      </c>
      <c r="F2146">
        <f t="shared" si="66"/>
        <v>1.2094999999999523E-2</v>
      </c>
      <c r="G2146">
        <f t="shared" si="67"/>
        <v>63.561111799144562</v>
      </c>
    </row>
    <row r="2147" spans="2:7">
      <c r="B2147" t="s">
        <v>2</v>
      </c>
      <c r="C2147" s="2">
        <v>38951</v>
      </c>
      <c r="D2147" t="s">
        <v>6</v>
      </c>
      <c r="E2147">
        <v>5.3507470000000001</v>
      </c>
      <c r="F2147">
        <f t="shared" si="66"/>
        <v>-5.1949999999996166E-3</v>
      </c>
      <c r="G2147">
        <f t="shared" si="67"/>
        <v>64.069422579750764</v>
      </c>
    </row>
    <row r="2148" spans="2:7">
      <c r="B2148" t="s">
        <v>2</v>
      </c>
      <c r="C2148" s="2">
        <v>38950</v>
      </c>
      <c r="D2148" t="s">
        <v>6</v>
      </c>
      <c r="E2148">
        <v>5.3559419999999998</v>
      </c>
      <c r="F2148">
        <f t="shared" si="66"/>
        <v>-5.7990000000005537E-3</v>
      </c>
      <c r="G2148">
        <f t="shared" si="67"/>
        <v>64.153381216271214</v>
      </c>
    </row>
    <row r="2149" spans="2:7">
      <c r="B2149" t="s">
        <v>2</v>
      </c>
      <c r="C2149" s="2">
        <v>38947</v>
      </c>
      <c r="D2149" t="s">
        <v>6</v>
      </c>
      <c r="E2149">
        <v>5.3617410000000003</v>
      </c>
      <c r="F2149">
        <f t="shared" si="66"/>
        <v>-3.4910999999999248E-2</v>
      </c>
      <c r="G2149">
        <f t="shared" si="67"/>
        <v>64.727073881593782</v>
      </c>
    </row>
    <row r="2150" spans="2:7">
      <c r="B2150" t="s">
        <v>2</v>
      </c>
      <c r="C2150" s="2">
        <v>38946</v>
      </c>
      <c r="D2150" t="s">
        <v>6</v>
      </c>
      <c r="E2150">
        <v>5.3966519999999996</v>
      </c>
      <c r="F2150">
        <f t="shared" si="66"/>
        <v>-1.7120000000000246E-2</v>
      </c>
      <c r="G2150">
        <f t="shared" si="67"/>
        <v>64.613022312955977</v>
      </c>
    </row>
    <row r="2151" spans="2:7">
      <c r="B2151" t="s">
        <v>2</v>
      </c>
      <c r="C2151" s="2">
        <v>38945</v>
      </c>
      <c r="D2151" t="s">
        <v>6</v>
      </c>
      <c r="E2151">
        <v>5.4137719999999998</v>
      </c>
      <c r="F2151">
        <f t="shared" si="66"/>
        <v>-6.559299999999979E-2</v>
      </c>
      <c r="G2151">
        <f t="shared" si="67"/>
        <v>64.82197353527404</v>
      </c>
    </row>
    <row r="2152" spans="2:7">
      <c r="B2152" t="s">
        <v>2</v>
      </c>
      <c r="C2152" s="2">
        <v>38944</v>
      </c>
      <c r="D2152" t="s">
        <v>6</v>
      </c>
      <c r="E2152">
        <v>5.4793649999999996</v>
      </c>
      <c r="F2152">
        <f t="shared" si="66"/>
        <v>-7.5255000000000294E-2</v>
      </c>
      <c r="G2152">
        <f t="shared" si="67"/>
        <v>63.503422341291952</v>
      </c>
    </row>
    <row r="2153" spans="2:7">
      <c r="B2153" t="s">
        <v>2</v>
      </c>
      <c r="C2153" s="2">
        <v>38943</v>
      </c>
      <c r="D2153" t="s">
        <v>6</v>
      </c>
      <c r="E2153">
        <v>5.5546199999999999</v>
      </c>
      <c r="F2153">
        <f t="shared" si="66"/>
        <v>3.7098000000000297E-2</v>
      </c>
      <c r="G2153">
        <f t="shared" si="67"/>
        <v>61.653540956560974</v>
      </c>
    </row>
    <row r="2154" spans="2:7">
      <c r="B2154" t="s">
        <v>2</v>
      </c>
      <c r="C2154" s="2">
        <v>38940</v>
      </c>
      <c r="D2154" t="s">
        <v>6</v>
      </c>
      <c r="E2154">
        <v>5.5175219999999996</v>
      </c>
      <c r="F2154">
        <f t="shared" si="66"/>
        <v>4.1849999999999277E-2</v>
      </c>
      <c r="G2154">
        <f t="shared" si="67"/>
        <v>63.218669753805102</v>
      </c>
    </row>
    <row r="2155" spans="2:7">
      <c r="B2155" t="s">
        <v>2</v>
      </c>
      <c r="C2155" s="2">
        <v>38939</v>
      </c>
      <c r="D2155" t="s">
        <v>6</v>
      </c>
      <c r="E2155">
        <v>5.4756720000000003</v>
      </c>
      <c r="F2155">
        <f t="shared" si="66"/>
        <v>3.167000000000364E-3</v>
      </c>
      <c r="G2155">
        <f t="shared" si="67"/>
        <v>63.759937596863494</v>
      </c>
    </row>
    <row r="2156" spans="2:7">
      <c r="B2156" t="s">
        <v>2</v>
      </c>
      <c r="C2156" s="2">
        <v>38938</v>
      </c>
      <c r="D2156" t="s">
        <v>6</v>
      </c>
      <c r="E2156">
        <v>5.472505</v>
      </c>
      <c r="F2156">
        <f t="shared" si="66"/>
        <v>6.3659999999998718E-3</v>
      </c>
      <c r="G2156">
        <f t="shared" si="67"/>
        <v>64.557831137100692</v>
      </c>
    </row>
    <row r="2157" spans="2:7">
      <c r="B2157" t="s">
        <v>2</v>
      </c>
      <c r="C2157" s="2">
        <v>38937</v>
      </c>
      <c r="D2157" t="s">
        <v>6</v>
      </c>
      <c r="E2157">
        <v>5.4661390000000001</v>
      </c>
      <c r="F2157">
        <f t="shared" si="66"/>
        <v>-9.1539999999996624E-3</v>
      </c>
      <c r="G2157">
        <f t="shared" si="67"/>
        <v>64.807068866956229</v>
      </c>
    </row>
    <row r="2158" spans="2:7">
      <c r="B2158" t="s">
        <v>2</v>
      </c>
      <c r="C2158" s="2">
        <v>38936</v>
      </c>
      <c r="D2158" t="s">
        <v>6</v>
      </c>
      <c r="E2158">
        <v>5.4752929999999997</v>
      </c>
      <c r="F2158">
        <f t="shared" si="66"/>
        <v>2.0292999999999672E-2</v>
      </c>
      <c r="G2158">
        <f t="shared" si="67"/>
        <v>65.704316592641518</v>
      </c>
    </row>
    <row r="2159" spans="2:7">
      <c r="B2159" t="s">
        <v>2</v>
      </c>
      <c r="C2159" s="2">
        <v>38933</v>
      </c>
      <c r="D2159" t="s">
        <v>6</v>
      </c>
      <c r="E2159">
        <v>5.4550000000000001</v>
      </c>
      <c r="F2159">
        <f t="shared" si="66"/>
        <v>-6.3311999999999813E-2</v>
      </c>
      <c r="G2159">
        <f t="shared" si="67"/>
        <v>65.768194718520206</v>
      </c>
    </row>
    <row r="2160" spans="2:7">
      <c r="B2160" t="s">
        <v>2</v>
      </c>
      <c r="C2160" s="2">
        <v>38932</v>
      </c>
      <c r="D2160" t="s">
        <v>6</v>
      </c>
      <c r="E2160">
        <v>5.5183119999999999</v>
      </c>
      <c r="F2160">
        <f t="shared" si="66"/>
        <v>-1.4580000000004034E-3</v>
      </c>
      <c r="G2160">
        <f t="shared" si="67"/>
        <v>64.562659570801642</v>
      </c>
    </row>
    <row r="2161" spans="2:7">
      <c r="B2161" t="s">
        <v>2</v>
      </c>
      <c r="C2161" s="2">
        <v>38931</v>
      </c>
      <c r="D2161" t="s">
        <v>6</v>
      </c>
      <c r="E2161">
        <v>5.5197700000000003</v>
      </c>
      <c r="F2161">
        <f t="shared" si="66"/>
        <v>-2.4010999999999783E-2</v>
      </c>
      <c r="G2161">
        <f t="shared" si="67"/>
        <v>64.562916620797409</v>
      </c>
    </row>
    <row r="2162" spans="2:7">
      <c r="B2162" t="s">
        <v>2</v>
      </c>
      <c r="C2162" s="2">
        <v>38930</v>
      </c>
      <c r="D2162" t="s">
        <v>6</v>
      </c>
      <c r="E2162">
        <v>5.5437810000000001</v>
      </c>
      <c r="F2162">
        <f t="shared" si="66"/>
        <v>1.3880000000003889E-3</v>
      </c>
      <c r="G2162">
        <f t="shared" si="67"/>
        <v>64.4100122037472</v>
      </c>
    </row>
    <row r="2163" spans="2:7">
      <c r="B2163" t="s">
        <v>2</v>
      </c>
      <c r="C2163" s="2">
        <v>38929</v>
      </c>
      <c r="D2163" t="s">
        <v>6</v>
      </c>
      <c r="E2163">
        <v>5.5423929999999997</v>
      </c>
      <c r="F2163">
        <f t="shared" si="66"/>
        <v>-1.2736000000000303E-2</v>
      </c>
      <c r="G2163">
        <f t="shared" si="67"/>
        <v>65.051196449129776</v>
      </c>
    </row>
    <row r="2164" spans="2:7">
      <c r="B2164" t="s">
        <v>2</v>
      </c>
      <c r="C2164" s="2">
        <v>38926</v>
      </c>
      <c r="D2164" t="s">
        <v>6</v>
      </c>
      <c r="E2164">
        <v>5.555129</v>
      </c>
      <c r="F2164">
        <f t="shared" si="66"/>
        <v>-5.8919999999999639E-2</v>
      </c>
      <c r="G2164">
        <f t="shared" si="67"/>
        <v>65.043306061909817</v>
      </c>
    </row>
    <row r="2165" spans="2:7">
      <c r="B2165" t="s">
        <v>2</v>
      </c>
      <c r="C2165" s="2">
        <v>38925</v>
      </c>
      <c r="D2165" t="s">
        <v>6</v>
      </c>
      <c r="E2165">
        <v>5.6140489999999996</v>
      </c>
      <c r="F2165">
        <f t="shared" si="66"/>
        <v>4.48599999999999E-3</v>
      </c>
      <c r="G2165">
        <f t="shared" si="67"/>
        <v>64.603778613711839</v>
      </c>
    </row>
    <row r="2166" spans="2:7">
      <c r="B2166" t="s">
        <v>2</v>
      </c>
      <c r="C2166" s="2">
        <v>38924</v>
      </c>
      <c r="D2166" t="s">
        <v>6</v>
      </c>
      <c r="E2166">
        <v>5.6095629999999996</v>
      </c>
      <c r="F2166">
        <f t="shared" si="66"/>
        <v>-3.4755000000000535E-2</v>
      </c>
      <c r="G2166">
        <f t="shared" si="67"/>
        <v>64.677976053772952</v>
      </c>
    </row>
    <row r="2167" spans="2:7">
      <c r="B2167" t="s">
        <v>2</v>
      </c>
      <c r="C2167" s="2">
        <v>38923</v>
      </c>
      <c r="D2167" t="s">
        <v>6</v>
      </c>
      <c r="E2167">
        <v>5.6443180000000002</v>
      </c>
      <c r="F2167">
        <f t="shared" si="66"/>
        <v>2.2351000000000454E-2</v>
      </c>
      <c r="G2167">
        <f t="shared" si="67"/>
        <v>65.717572068413219</v>
      </c>
    </row>
    <row r="2168" spans="2:7">
      <c r="B2168" t="s">
        <v>2</v>
      </c>
      <c r="C2168" s="2">
        <v>38922</v>
      </c>
      <c r="D2168" t="s">
        <v>6</v>
      </c>
      <c r="E2168">
        <v>5.6219669999999997</v>
      </c>
      <c r="F2168">
        <f t="shared" si="66"/>
        <v>-5.6810000000000471E-3</v>
      </c>
      <c r="G2168">
        <f t="shared" si="67"/>
        <v>65.709068249371498</v>
      </c>
    </row>
    <row r="2169" spans="2:7">
      <c r="B2169" t="s">
        <v>2</v>
      </c>
      <c r="C2169" s="2">
        <v>38919</v>
      </c>
      <c r="D2169" t="s">
        <v>6</v>
      </c>
      <c r="E2169">
        <v>5.6276479999999998</v>
      </c>
      <c r="F2169">
        <f t="shared" si="66"/>
        <v>1.2367999999999491E-2</v>
      </c>
      <c r="G2169">
        <f t="shared" si="67"/>
        <v>66.04575734322033</v>
      </c>
    </row>
    <row r="2170" spans="2:7">
      <c r="B2170" t="s">
        <v>2</v>
      </c>
      <c r="C2170" s="2">
        <v>38918</v>
      </c>
      <c r="D2170" t="s">
        <v>6</v>
      </c>
      <c r="E2170">
        <v>5.6152800000000003</v>
      </c>
      <c r="F2170">
        <f t="shared" si="66"/>
        <v>-4.347000000000012E-2</v>
      </c>
      <c r="G2170">
        <f t="shared" si="67"/>
        <v>66.368007033181968</v>
      </c>
    </row>
    <row r="2171" spans="2:7">
      <c r="B2171" t="s">
        <v>2</v>
      </c>
      <c r="C2171" s="2">
        <v>38917</v>
      </c>
      <c r="D2171" t="s">
        <v>6</v>
      </c>
      <c r="E2171">
        <v>5.6587500000000004</v>
      </c>
      <c r="F2171">
        <f t="shared" si="66"/>
        <v>-8.0047999999999675E-2</v>
      </c>
      <c r="G2171">
        <f t="shared" si="67"/>
        <v>67.964905462844854</v>
      </c>
    </row>
    <row r="2172" spans="2:7">
      <c r="B2172" t="s">
        <v>2</v>
      </c>
      <c r="C2172" s="2">
        <v>38916</v>
      </c>
      <c r="D2172" t="s">
        <v>6</v>
      </c>
      <c r="E2172">
        <v>5.7387980000000001</v>
      </c>
      <c r="F2172">
        <f t="shared" si="66"/>
        <v>6.6488999999999798E-2</v>
      </c>
      <c r="G2172">
        <f t="shared" si="67"/>
        <v>66.214754655005635</v>
      </c>
    </row>
    <row r="2173" spans="2:7">
      <c r="B2173" t="s">
        <v>2</v>
      </c>
      <c r="C2173" s="2">
        <v>38915</v>
      </c>
      <c r="D2173" t="s">
        <v>6</v>
      </c>
      <c r="E2173">
        <v>5.6723090000000003</v>
      </c>
      <c r="F2173">
        <f t="shared" si="66"/>
        <v>5.2170000000000272E-3</v>
      </c>
      <c r="G2173">
        <f t="shared" si="67"/>
        <v>65.294187081231541</v>
      </c>
    </row>
    <row r="2174" spans="2:7">
      <c r="B2174" t="s">
        <v>2</v>
      </c>
      <c r="C2174" s="2">
        <v>38912</v>
      </c>
      <c r="D2174" t="s">
        <v>6</v>
      </c>
      <c r="E2174">
        <v>5.6670920000000002</v>
      </c>
      <c r="F2174">
        <f t="shared" si="66"/>
        <v>-7.2599999999996001E-3</v>
      </c>
      <c r="G2174">
        <f t="shared" si="67"/>
        <v>65.329798038906972</v>
      </c>
    </row>
    <row r="2175" spans="2:7">
      <c r="B2175" t="s">
        <v>2</v>
      </c>
      <c r="C2175" s="2">
        <v>38911</v>
      </c>
      <c r="D2175" t="s">
        <v>6</v>
      </c>
      <c r="E2175">
        <v>5.6743519999999998</v>
      </c>
      <c r="F2175">
        <f t="shared" si="66"/>
        <v>-2.2706000000000337E-2</v>
      </c>
      <c r="G2175">
        <f t="shared" si="67"/>
        <v>66.094413947292196</v>
      </c>
    </row>
    <row r="2176" spans="2:7">
      <c r="B2176" t="s">
        <v>2</v>
      </c>
      <c r="C2176" s="2">
        <v>38910</v>
      </c>
      <c r="D2176" t="s">
        <v>6</v>
      </c>
      <c r="E2176">
        <v>5.6970580000000002</v>
      </c>
      <c r="F2176">
        <f t="shared" si="66"/>
        <v>-3.7329999999995422E-3</v>
      </c>
      <c r="G2176">
        <f t="shared" si="67"/>
        <v>66.6231152538397</v>
      </c>
    </row>
    <row r="2177" spans="2:7">
      <c r="B2177" t="s">
        <v>2</v>
      </c>
      <c r="C2177" s="2">
        <v>38909</v>
      </c>
      <c r="D2177" t="s">
        <v>6</v>
      </c>
      <c r="E2177">
        <v>5.7007909999999997</v>
      </c>
      <c r="F2177">
        <f t="shared" si="66"/>
        <v>-3.3559000000000339E-2</v>
      </c>
      <c r="G2177">
        <f t="shared" si="67"/>
        <v>67.013535348636978</v>
      </c>
    </row>
    <row r="2178" spans="2:7">
      <c r="B2178" t="s">
        <v>2</v>
      </c>
      <c r="C2178" s="2">
        <v>38908</v>
      </c>
      <c r="D2178" t="s">
        <v>6</v>
      </c>
      <c r="E2178">
        <v>5.7343500000000001</v>
      </c>
      <c r="F2178">
        <f t="shared" si="66"/>
        <v>-1.7800000000001148E-3</v>
      </c>
      <c r="G2178">
        <f t="shared" si="67"/>
        <v>67.799195968121325</v>
      </c>
    </row>
    <row r="2179" spans="2:7">
      <c r="B2179" t="s">
        <v>2</v>
      </c>
      <c r="C2179" s="2">
        <v>38905</v>
      </c>
      <c r="D2179" t="s">
        <v>6</v>
      </c>
      <c r="E2179">
        <v>5.7361300000000002</v>
      </c>
      <c r="F2179">
        <f t="shared" ref="F2179:F2242" si="68">E2179-E2180</f>
        <v>-5.6849999999999845E-2</v>
      </c>
      <c r="G2179">
        <f t="shared" ref="G2179:G2242" si="69">STDEV(F2179:F2238)*SQRT(250)*100</f>
        <v>68.477507923681372</v>
      </c>
    </row>
    <row r="2180" spans="2:7">
      <c r="B2180" t="s">
        <v>2</v>
      </c>
      <c r="C2180" s="2">
        <v>38904</v>
      </c>
      <c r="D2180" t="s">
        <v>6</v>
      </c>
      <c r="E2180">
        <v>5.79298</v>
      </c>
      <c r="F2180">
        <f t="shared" si="68"/>
        <v>-3.8059999999999761E-2</v>
      </c>
      <c r="G2180">
        <f t="shared" si="69"/>
        <v>67.970785093717637</v>
      </c>
    </row>
    <row r="2181" spans="2:7">
      <c r="B2181" t="s">
        <v>2</v>
      </c>
      <c r="C2181" s="2">
        <v>38903</v>
      </c>
      <c r="D2181" t="s">
        <v>6</v>
      </c>
      <c r="E2181">
        <v>5.8310399999999998</v>
      </c>
      <c r="F2181">
        <f t="shared" si="68"/>
        <v>8.0555999999999628E-2</v>
      </c>
      <c r="G2181">
        <f t="shared" si="69"/>
        <v>67.410646084022872</v>
      </c>
    </row>
    <row r="2182" spans="2:7">
      <c r="B2182" t="s">
        <v>2</v>
      </c>
      <c r="C2182" s="2">
        <v>38901</v>
      </c>
      <c r="D2182" t="s">
        <v>6</v>
      </c>
      <c r="E2182">
        <v>5.7504840000000002</v>
      </c>
      <c r="F2182">
        <f t="shared" si="68"/>
        <v>2.1584999999999965E-2</v>
      </c>
      <c r="G2182">
        <f t="shared" si="69"/>
        <v>67.313000166746718</v>
      </c>
    </row>
    <row r="2183" spans="2:7">
      <c r="B2183" t="s">
        <v>2</v>
      </c>
      <c r="C2183" s="2">
        <v>38898</v>
      </c>
      <c r="D2183" t="s">
        <v>6</v>
      </c>
      <c r="E2183">
        <v>5.7288990000000002</v>
      </c>
      <c r="F2183">
        <f t="shared" si="68"/>
        <v>-6.0112999999999417E-2</v>
      </c>
      <c r="G2183">
        <f t="shared" si="69"/>
        <v>68.054043184468654</v>
      </c>
    </row>
    <row r="2184" spans="2:7">
      <c r="B2184" t="s">
        <v>2</v>
      </c>
      <c r="C2184" s="2">
        <v>38897</v>
      </c>
      <c r="D2184" t="s">
        <v>6</v>
      </c>
      <c r="E2184">
        <v>5.7890119999999996</v>
      </c>
      <c r="F2184">
        <f t="shared" si="68"/>
        <v>-4.9117000000000743E-2</v>
      </c>
      <c r="G2184">
        <f t="shared" si="69"/>
        <v>67.184535113186541</v>
      </c>
    </row>
    <row r="2185" spans="2:7">
      <c r="B2185" t="s">
        <v>2</v>
      </c>
      <c r="C2185" s="2">
        <v>38896</v>
      </c>
      <c r="D2185" t="s">
        <v>6</v>
      </c>
      <c r="E2185">
        <v>5.8381290000000003</v>
      </c>
      <c r="F2185">
        <f t="shared" si="68"/>
        <v>4.0151999999999965E-2</v>
      </c>
      <c r="G2185">
        <f t="shared" si="69"/>
        <v>66.273532910144013</v>
      </c>
    </row>
    <row r="2186" spans="2:7">
      <c r="B2186" t="s">
        <v>2</v>
      </c>
      <c r="C2186" s="2">
        <v>38895</v>
      </c>
      <c r="D2186" t="s">
        <v>6</v>
      </c>
      <c r="E2186">
        <v>5.7979770000000004</v>
      </c>
      <c r="F2186">
        <f t="shared" si="68"/>
        <v>-2.4651999999999674E-2</v>
      </c>
      <c r="G2186">
        <f t="shared" si="69"/>
        <v>66.0453227120896</v>
      </c>
    </row>
    <row r="2187" spans="2:7">
      <c r="B2187" t="s">
        <v>2</v>
      </c>
      <c r="C2187" s="2">
        <v>38894</v>
      </c>
      <c r="D2187" t="s">
        <v>6</v>
      </c>
      <c r="E2187">
        <v>5.8226290000000001</v>
      </c>
      <c r="F2187">
        <f t="shared" si="68"/>
        <v>1.0759000000000185E-2</v>
      </c>
      <c r="G2187">
        <f t="shared" si="69"/>
        <v>65.774859535224579</v>
      </c>
    </row>
    <row r="2188" spans="2:7">
      <c r="B2188" t="s">
        <v>2</v>
      </c>
      <c r="C2188" s="2">
        <v>38891</v>
      </c>
      <c r="D2188" t="s">
        <v>6</v>
      </c>
      <c r="E2188">
        <v>5.8118699999999999</v>
      </c>
      <c r="F2188">
        <f t="shared" si="68"/>
        <v>2.9518999999999629E-2</v>
      </c>
      <c r="G2188">
        <f t="shared" si="69"/>
        <v>66.473967701155885</v>
      </c>
    </row>
    <row r="2189" spans="2:7">
      <c r="B2189" t="s">
        <v>2</v>
      </c>
      <c r="C2189" s="2">
        <v>38890</v>
      </c>
      <c r="D2189" t="s">
        <v>6</v>
      </c>
      <c r="E2189">
        <v>5.7823510000000002</v>
      </c>
      <c r="F2189">
        <f t="shared" si="68"/>
        <v>4.8140000000000072E-2</v>
      </c>
      <c r="G2189">
        <f t="shared" si="69"/>
        <v>66.480372921415494</v>
      </c>
    </row>
    <row r="2190" spans="2:7">
      <c r="B2190" t="s">
        <v>2</v>
      </c>
      <c r="C2190" s="2">
        <v>38889</v>
      </c>
      <c r="D2190" t="s">
        <v>6</v>
      </c>
      <c r="E2190">
        <v>5.7342110000000002</v>
      </c>
      <c r="F2190">
        <f t="shared" si="68"/>
        <v>8.9300000000047675E-4</v>
      </c>
      <c r="G2190">
        <f t="shared" si="69"/>
        <v>67.661899913636901</v>
      </c>
    </row>
    <row r="2191" spans="2:7">
      <c r="B2191" t="s">
        <v>2</v>
      </c>
      <c r="C2191" s="2">
        <v>38888</v>
      </c>
      <c r="D2191" t="s">
        <v>6</v>
      </c>
      <c r="E2191">
        <v>5.7333179999999997</v>
      </c>
      <c r="F2191">
        <f t="shared" si="68"/>
        <v>9.5149999999994961E-3</v>
      </c>
      <c r="G2191">
        <f t="shared" si="69"/>
        <v>67.783085678062363</v>
      </c>
    </row>
    <row r="2192" spans="2:7">
      <c r="B2192" t="s">
        <v>2</v>
      </c>
      <c r="C2192" s="2">
        <v>38887</v>
      </c>
      <c r="D2192" t="s">
        <v>6</v>
      </c>
      <c r="E2192">
        <v>5.7238030000000002</v>
      </c>
      <c r="F2192">
        <f t="shared" si="68"/>
        <v>2.2351000000000454E-2</v>
      </c>
      <c r="G2192">
        <f t="shared" si="69"/>
        <v>69.442701160659723</v>
      </c>
    </row>
    <row r="2193" spans="2:7">
      <c r="B2193" t="s">
        <v>2</v>
      </c>
      <c r="C2193" s="2">
        <v>38884</v>
      </c>
      <c r="D2193" t="s">
        <v>6</v>
      </c>
      <c r="E2193">
        <v>5.7014519999999997</v>
      </c>
      <c r="F2193">
        <f t="shared" si="68"/>
        <v>3.4661999999999971E-2</v>
      </c>
      <c r="G2193">
        <f t="shared" si="69"/>
        <v>69.566980651661837</v>
      </c>
    </row>
    <row r="2194" spans="2:7">
      <c r="B2194" t="s">
        <v>2</v>
      </c>
      <c r="C2194" s="2">
        <v>38883</v>
      </c>
      <c r="D2194" t="s">
        <v>6</v>
      </c>
      <c r="E2194">
        <v>5.6667899999999998</v>
      </c>
      <c r="F2194">
        <f t="shared" si="68"/>
        <v>4.79459999999996E-2</v>
      </c>
      <c r="G2194">
        <f t="shared" si="69"/>
        <v>69.430497363975647</v>
      </c>
    </row>
    <row r="2195" spans="2:7">
      <c r="B2195" t="s">
        <v>2</v>
      </c>
      <c r="C2195" s="2">
        <v>38882</v>
      </c>
      <c r="D2195" t="s">
        <v>6</v>
      </c>
      <c r="E2195">
        <v>5.6188440000000002</v>
      </c>
      <c r="F2195">
        <f t="shared" si="68"/>
        <v>9.8476999999999926E-2</v>
      </c>
      <c r="G2195">
        <f t="shared" si="69"/>
        <v>69.902033511733791</v>
      </c>
    </row>
    <row r="2196" spans="2:7">
      <c r="B2196" t="s">
        <v>2</v>
      </c>
      <c r="C2196" s="2">
        <v>38881</v>
      </c>
      <c r="D2196" t="s">
        <v>6</v>
      </c>
      <c r="E2196">
        <v>5.5203670000000002</v>
      </c>
      <c r="F2196">
        <f t="shared" si="68"/>
        <v>-2.2439999999999571E-2</v>
      </c>
      <c r="G2196">
        <f t="shared" si="69"/>
        <v>67.529348381064494</v>
      </c>
    </row>
    <row r="2197" spans="2:7">
      <c r="B2197" t="s">
        <v>2</v>
      </c>
      <c r="C2197" s="2">
        <v>38880</v>
      </c>
      <c r="D2197" t="s">
        <v>6</v>
      </c>
      <c r="E2197">
        <v>5.5428069999999998</v>
      </c>
      <c r="F2197">
        <f t="shared" si="68"/>
        <v>2.1800000000000708E-3</v>
      </c>
      <c r="G2197">
        <f t="shared" si="69"/>
        <v>67.482175937391418</v>
      </c>
    </row>
    <row r="2198" spans="2:7">
      <c r="B2198" t="s">
        <v>2</v>
      </c>
      <c r="C2198" s="2">
        <v>38877</v>
      </c>
      <c r="D2198" t="s">
        <v>6</v>
      </c>
      <c r="E2198">
        <v>5.5406269999999997</v>
      </c>
      <c r="F2198">
        <f t="shared" si="68"/>
        <v>-1.0826000000000668E-2</v>
      </c>
      <c r="G2198">
        <f t="shared" si="69"/>
        <v>70.358072038975436</v>
      </c>
    </row>
    <row r="2199" spans="2:7">
      <c r="B2199" t="s">
        <v>2</v>
      </c>
      <c r="C2199" s="2">
        <v>38876</v>
      </c>
      <c r="D2199" t="s">
        <v>6</v>
      </c>
      <c r="E2199">
        <v>5.5514530000000004</v>
      </c>
      <c r="F2199">
        <f t="shared" si="68"/>
        <v>-2.923299999999962E-2</v>
      </c>
      <c r="G2199">
        <f t="shared" si="69"/>
        <v>70.540258815470196</v>
      </c>
    </row>
    <row r="2200" spans="2:7">
      <c r="B2200" t="s">
        <v>2</v>
      </c>
      <c r="C2200" s="2">
        <v>38875</v>
      </c>
      <c r="D2200" t="s">
        <v>6</v>
      </c>
      <c r="E2200">
        <v>5.580686</v>
      </c>
      <c r="F2200">
        <f t="shared" si="68"/>
        <v>2.3698999999999693E-2</v>
      </c>
      <c r="G2200">
        <f t="shared" si="69"/>
        <v>72.454314853844025</v>
      </c>
    </row>
    <row r="2201" spans="2:7">
      <c r="B2201" t="s">
        <v>2</v>
      </c>
      <c r="C2201" s="2">
        <v>38874</v>
      </c>
      <c r="D2201" t="s">
        <v>6</v>
      </c>
      <c r="E2201">
        <v>5.5569870000000003</v>
      </c>
      <c r="F2201">
        <f t="shared" si="68"/>
        <v>-1.8940999999999875E-2</v>
      </c>
      <c r="G2201">
        <f t="shared" si="69"/>
        <v>72.485990888654896</v>
      </c>
    </row>
    <row r="2202" spans="2:7">
      <c r="B2202" t="s">
        <v>2</v>
      </c>
      <c r="C2202" s="2">
        <v>38873</v>
      </c>
      <c r="D2202" t="s">
        <v>6</v>
      </c>
      <c r="E2202">
        <v>5.5759280000000002</v>
      </c>
      <c r="F2202">
        <f t="shared" si="68"/>
        <v>3.2214000000000631E-2</v>
      </c>
      <c r="G2202">
        <f t="shared" si="69"/>
        <v>72.343341980357778</v>
      </c>
    </row>
    <row r="2203" spans="2:7">
      <c r="B2203" t="s">
        <v>2</v>
      </c>
      <c r="C2203" s="2">
        <v>38870</v>
      </c>
      <c r="D2203" t="s">
        <v>6</v>
      </c>
      <c r="E2203">
        <v>5.5437139999999996</v>
      </c>
      <c r="F2203">
        <f t="shared" si="68"/>
        <v>-0.12344900000000081</v>
      </c>
      <c r="G2203">
        <f t="shared" si="69"/>
        <v>72.143410577146085</v>
      </c>
    </row>
    <row r="2204" spans="2:7">
      <c r="B2204" t="s">
        <v>2</v>
      </c>
      <c r="C2204" s="2">
        <v>38869</v>
      </c>
      <c r="D2204" t="s">
        <v>6</v>
      </c>
      <c r="E2204">
        <v>5.6671630000000004</v>
      </c>
      <c r="F2204">
        <f t="shared" si="68"/>
        <v>-6.2999999999924228E-4</v>
      </c>
      <c r="G2204">
        <f t="shared" si="69"/>
        <v>67.156703336863913</v>
      </c>
    </row>
    <row r="2205" spans="2:7">
      <c r="B2205" t="s">
        <v>2</v>
      </c>
      <c r="C2205" s="2">
        <v>38868</v>
      </c>
      <c r="D2205" t="s">
        <v>6</v>
      </c>
      <c r="E2205">
        <v>5.6677929999999996</v>
      </c>
      <c r="F2205">
        <f t="shared" si="68"/>
        <v>3.1417999999999502E-2</v>
      </c>
      <c r="G2205">
        <f t="shared" si="69"/>
        <v>67.17478101311751</v>
      </c>
    </row>
    <row r="2206" spans="2:7">
      <c r="B2206" t="s">
        <v>2</v>
      </c>
      <c r="C2206" s="2">
        <v>38867</v>
      </c>
      <c r="D2206" t="s">
        <v>6</v>
      </c>
      <c r="E2206">
        <v>5.6363750000000001</v>
      </c>
      <c r="F2206">
        <f t="shared" si="68"/>
        <v>3.8098999999999883E-2</v>
      </c>
      <c r="G2206">
        <f t="shared" si="69"/>
        <v>68.004085721655443</v>
      </c>
    </row>
    <row r="2207" spans="2:7">
      <c r="B2207" t="s">
        <v>2</v>
      </c>
      <c r="C2207" s="2">
        <v>38863</v>
      </c>
      <c r="D2207" t="s">
        <v>6</v>
      </c>
      <c r="E2207">
        <v>5.5982760000000003</v>
      </c>
      <c r="F2207">
        <f t="shared" si="68"/>
        <v>-2.0217999999999847E-2</v>
      </c>
      <c r="G2207">
        <f t="shared" si="69"/>
        <v>68.143861671259415</v>
      </c>
    </row>
    <row r="2208" spans="2:7">
      <c r="B2208" t="s">
        <v>2</v>
      </c>
      <c r="C2208" s="2">
        <v>38862</v>
      </c>
      <c r="D2208" t="s">
        <v>6</v>
      </c>
      <c r="E2208">
        <v>5.6184940000000001</v>
      </c>
      <c r="F2208">
        <f t="shared" si="68"/>
        <v>3.7798000000000442E-2</v>
      </c>
      <c r="G2208">
        <f t="shared" si="69"/>
        <v>68.784419342826368</v>
      </c>
    </row>
    <row r="2209" spans="2:7">
      <c r="B2209" t="s">
        <v>2</v>
      </c>
      <c r="C2209" s="2">
        <v>38861</v>
      </c>
      <c r="D2209" t="s">
        <v>6</v>
      </c>
      <c r="E2209">
        <v>5.5806959999999997</v>
      </c>
      <c r="F2209">
        <f t="shared" si="68"/>
        <v>-2.8745000000000687E-2</v>
      </c>
      <c r="G2209">
        <f t="shared" si="69"/>
        <v>68.975975588655245</v>
      </c>
    </row>
    <row r="2210" spans="2:7">
      <c r="B2210" t="s">
        <v>2</v>
      </c>
      <c r="C2210" s="2">
        <v>38860</v>
      </c>
      <c r="D2210" t="s">
        <v>6</v>
      </c>
      <c r="E2210">
        <v>5.6094410000000003</v>
      </c>
      <c r="F2210">
        <f t="shared" si="68"/>
        <v>2.5660000000000238E-2</v>
      </c>
      <c r="G2210">
        <f t="shared" si="69"/>
        <v>69.214315525482164</v>
      </c>
    </row>
    <row r="2211" spans="2:7">
      <c r="B2211" t="s">
        <v>2</v>
      </c>
      <c r="C2211" s="2">
        <v>38859</v>
      </c>
      <c r="D2211" t="s">
        <v>6</v>
      </c>
      <c r="E2211">
        <v>5.5837810000000001</v>
      </c>
      <c r="F2211">
        <f t="shared" si="68"/>
        <v>-5.3080000000003125E-3</v>
      </c>
      <c r="G2211">
        <f t="shared" si="69"/>
        <v>69.168694863224829</v>
      </c>
    </row>
    <row r="2212" spans="2:7">
      <c r="B2212" t="s">
        <v>2</v>
      </c>
      <c r="C2212" s="2">
        <v>38856</v>
      </c>
      <c r="D2212" t="s">
        <v>6</v>
      </c>
      <c r="E2212">
        <v>5.5890890000000004</v>
      </c>
      <c r="F2212">
        <f t="shared" si="68"/>
        <v>-4.9559999999999604E-3</v>
      </c>
      <c r="G2212">
        <f t="shared" si="69"/>
        <v>69.195773725584786</v>
      </c>
    </row>
    <row r="2213" spans="2:7">
      <c r="B2213" t="s">
        <v>2</v>
      </c>
      <c r="C2213" s="2">
        <v>38855</v>
      </c>
      <c r="D2213" t="s">
        <v>6</v>
      </c>
      <c r="E2213">
        <v>5.5940450000000004</v>
      </c>
      <c r="F2213">
        <f t="shared" si="68"/>
        <v>-7.981299999999969E-2</v>
      </c>
      <c r="G2213">
        <f t="shared" si="69"/>
        <v>69.360389023313445</v>
      </c>
    </row>
    <row r="2214" spans="2:7">
      <c r="B2214" t="s">
        <v>2</v>
      </c>
      <c r="C2214" s="2">
        <v>38854</v>
      </c>
      <c r="D2214" t="s">
        <v>6</v>
      </c>
      <c r="E2214">
        <v>5.6738580000000001</v>
      </c>
      <c r="F2214">
        <f t="shared" si="68"/>
        <v>5.7413999999999632E-2</v>
      </c>
      <c r="G2214">
        <f t="shared" si="69"/>
        <v>67.514284119815301</v>
      </c>
    </row>
    <row r="2215" spans="2:7">
      <c r="B2215" t="s">
        <v>2</v>
      </c>
      <c r="C2215" s="2">
        <v>38853</v>
      </c>
      <c r="D2215" t="s">
        <v>6</v>
      </c>
      <c r="E2215">
        <v>5.6164440000000004</v>
      </c>
      <c r="F2215">
        <f t="shared" si="68"/>
        <v>-5.2325999999999873E-2</v>
      </c>
      <c r="G2215">
        <f t="shared" si="69"/>
        <v>66.877571256440675</v>
      </c>
    </row>
    <row r="2216" spans="2:7">
      <c r="B2216" t="s">
        <v>2</v>
      </c>
      <c r="C2216" s="2">
        <v>38852</v>
      </c>
      <c r="D2216" t="s">
        <v>6</v>
      </c>
      <c r="E2216">
        <v>5.6687700000000003</v>
      </c>
      <c r="F2216">
        <f t="shared" si="68"/>
        <v>-3.2928000000000068E-2</v>
      </c>
      <c r="G2216">
        <f t="shared" si="69"/>
        <v>66.992522788453243</v>
      </c>
    </row>
    <row r="2217" spans="2:7">
      <c r="B2217" t="s">
        <v>2</v>
      </c>
      <c r="C2217" s="2">
        <v>38849</v>
      </c>
      <c r="D2217" t="s">
        <v>6</v>
      </c>
      <c r="E2217">
        <v>5.7016980000000004</v>
      </c>
      <c r="F2217">
        <f t="shared" si="68"/>
        <v>4.9441999999999986E-2</v>
      </c>
      <c r="G2217">
        <f t="shared" si="69"/>
        <v>66.508684209929655</v>
      </c>
    </row>
    <row r="2218" spans="2:7">
      <c r="B2218" t="s">
        <v>2</v>
      </c>
      <c r="C2218" s="2">
        <v>38848</v>
      </c>
      <c r="D2218" t="s">
        <v>6</v>
      </c>
      <c r="E2218">
        <v>5.6522560000000004</v>
      </c>
      <c r="F2218">
        <f t="shared" si="68"/>
        <v>2.4229000000000056E-2</v>
      </c>
      <c r="G2218">
        <f t="shared" si="69"/>
        <v>66.091437951261</v>
      </c>
    </row>
    <row r="2219" spans="2:7">
      <c r="B2219" t="s">
        <v>2</v>
      </c>
      <c r="C2219" s="2">
        <v>38847</v>
      </c>
      <c r="D2219" t="s">
        <v>6</v>
      </c>
      <c r="E2219">
        <v>5.6280270000000003</v>
      </c>
      <c r="F2219">
        <f t="shared" si="68"/>
        <v>4.9800000000033151E-4</v>
      </c>
      <c r="G2219">
        <f t="shared" si="69"/>
        <v>66.126751649735141</v>
      </c>
    </row>
    <row r="2220" spans="2:7">
      <c r="B2220" t="s">
        <v>2</v>
      </c>
      <c r="C2220" s="2">
        <v>38846</v>
      </c>
      <c r="D2220" t="s">
        <v>6</v>
      </c>
      <c r="E2220">
        <v>5.627529</v>
      </c>
      <c r="F2220">
        <f t="shared" si="68"/>
        <v>-2.7920000000003498E-3</v>
      </c>
      <c r="G2220">
        <f t="shared" si="69"/>
        <v>66.130149212198731</v>
      </c>
    </row>
    <row r="2221" spans="2:7">
      <c r="B2221" t="s">
        <v>2</v>
      </c>
      <c r="C2221" s="2">
        <v>38845</v>
      </c>
      <c r="D2221" t="s">
        <v>6</v>
      </c>
      <c r="E2221">
        <v>5.6303210000000004</v>
      </c>
      <c r="F2221">
        <f t="shared" si="68"/>
        <v>4.4450000000004763E-3</v>
      </c>
      <c r="G2221">
        <f t="shared" si="69"/>
        <v>66.339421401892238</v>
      </c>
    </row>
    <row r="2222" spans="2:7">
      <c r="B2222" t="s">
        <v>2</v>
      </c>
      <c r="C2222" s="2">
        <v>38842</v>
      </c>
      <c r="D2222" t="s">
        <v>6</v>
      </c>
      <c r="E2222">
        <v>5.6258759999999999</v>
      </c>
      <c r="F2222">
        <f t="shared" si="68"/>
        <v>-4.6136999999999873E-2</v>
      </c>
      <c r="G2222">
        <f t="shared" si="69"/>
        <v>66.798503596875335</v>
      </c>
    </row>
    <row r="2223" spans="2:7">
      <c r="B2223" t="s">
        <v>2</v>
      </c>
      <c r="C2223" s="2">
        <v>38841</v>
      </c>
      <c r="D2223" t="s">
        <v>6</v>
      </c>
      <c r="E2223">
        <v>5.6720129999999997</v>
      </c>
      <c r="F2223">
        <f t="shared" si="68"/>
        <v>7.5599999999997891E-3</v>
      </c>
      <c r="G2223">
        <f t="shared" si="69"/>
        <v>65.87783001341819</v>
      </c>
    </row>
    <row r="2224" spans="2:7">
      <c r="B2224" t="s">
        <v>2</v>
      </c>
      <c r="C2224" s="2">
        <v>38840</v>
      </c>
      <c r="D2224" t="s">
        <v>6</v>
      </c>
      <c r="E2224">
        <v>5.664453</v>
      </c>
      <c r="F2224">
        <f t="shared" si="68"/>
        <v>4.3911999999999729E-2</v>
      </c>
      <c r="G2224">
        <f t="shared" si="69"/>
        <v>65.939925520520745</v>
      </c>
    </row>
    <row r="2225" spans="2:7">
      <c r="B2225" t="s">
        <v>2</v>
      </c>
      <c r="C2225" s="2">
        <v>38839</v>
      </c>
      <c r="D2225" t="s">
        <v>6</v>
      </c>
      <c r="E2225">
        <v>5.6205410000000002</v>
      </c>
      <c r="F2225">
        <f t="shared" si="68"/>
        <v>-1.6061999999999799E-2</v>
      </c>
      <c r="G2225">
        <f t="shared" si="69"/>
        <v>65.572939039814258</v>
      </c>
    </row>
    <row r="2226" spans="2:7">
      <c r="B2226" t="s">
        <v>2</v>
      </c>
      <c r="C2226" s="2">
        <v>38838</v>
      </c>
      <c r="D2226" t="s">
        <v>6</v>
      </c>
      <c r="E2226">
        <v>5.636603</v>
      </c>
      <c r="F2226">
        <f t="shared" si="68"/>
        <v>6.699199999999994E-2</v>
      </c>
      <c r="G2226">
        <f t="shared" si="69"/>
        <v>65.739546270530454</v>
      </c>
    </row>
    <row r="2227" spans="2:7">
      <c r="B2227" t="s">
        <v>2</v>
      </c>
      <c r="C2227" s="2">
        <v>38835</v>
      </c>
      <c r="D2227" t="s">
        <v>6</v>
      </c>
      <c r="E2227">
        <v>5.5696110000000001</v>
      </c>
      <c r="F2227">
        <f t="shared" si="68"/>
        <v>-1.9942000000000348E-2</v>
      </c>
      <c r="G2227">
        <f t="shared" si="69"/>
        <v>64.750894453586795</v>
      </c>
    </row>
    <row r="2228" spans="2:7">
      <c r="B2228" t="s">
        <v>2</v>
      </c>
      <c r="C2228" s="2">
        <v>38834</v>
      </c>
      <c r="D2228" t="s">
        <v>6</v>
      </c>
      <c r="E2228">
        <v>5.5895530000000004</v>
      </c>
      <c r="F2228">
        <f t="shared" si="68"/>
        <v>-3.2590999999999148E-2</v>
      </c>
      <c r="G2228">
        <f t="shared" si="69"/>
        <v>64.936423598665328</v>
      </c>
    </row>
    <row r="2229" spans="2:7">
      <c r="B2229" t="s">
        <v>2</v>
      </c>
      <c r="C2229" s="2">
        <v>38833</v>
      </c>
      <c r="D2229" t="s">
        <v>6</v>
      </c>
      <c r="E2229">
        <v>5.6221439999999996</v>
      </c>
      <c r="F2229">
        <f t="shared" si="68"/>
        <v>3.4233999999999654E-2</v>
      </c>
      <c r="G2229">
        <f t="shared" si="69"/>
        <v>64.452332454599869</v>
      </c>
    </row>
    <row r="2230" spans="2:7">
      <c r="B2230" t="s">
        <v>2</v>
      </c>
      <c r="C2230" s="2">
        <v>38832</v>
      </c>
      <c r="D2230" t="s">
        <v>6</v>
      </c>
      <c r="E2230">
        <v>5.5879099999999999</v>
      </c>
      <c r="F2230">
        <f t="shared" si="68"/>
        <v>8.5721999999999632E-2</v>
      </c>
      <c r="G2230">
        <f t="shared" si="69"/>
        <v>64.35457364957</v>
      </c>
    </row>
    <row r="2231" spans="2:7">
      <c r="B2231" t="s">
        <v>2</v>
      </c>
      <c r="C2231" s="2">
        <v>38831</v>
      </c>
      <c r="D2231" t="s">
        <v>6</v>
      </c>
      <c r="E2231">
        <v>5.5021880000000003</v>
      </c>
      <c r="F2231">
        <f t="shared" si="68"/>
        <v>-3.3801999999999666E-2</v>
      </c>
      <c r="G2231">
        <f t="shared" si="69"/>
        <v>62.628066077519627</v>
      </c>
    </row>
    <row r="2232" spans="2:7">
      <c r="B2232" t="s">
        <v>2</v>
      </c>
      <c r="C2232" s="2">
        <v>38828</v>
      </c>
      <c r="D2232" t="s">
        <v>6</v>
      </c>
      <c r="E2232">
        <v>5.53599</v>
      </c>
      <c r="F2232">
        <f t="shared" si="68"/>
        <v>-3.2523000000000302E-2</v>
      </c>
      <c r="G2232">
        <f t="shared" si="69"/>
        <v>62.620389605522661</v>
      </c>
    </row>
    <row r="2233" spans="2:7">
      <c r="B2233" t="s">
        <v>2</v>
      </c>
      <c r="C2233" s="2">
        <v>38827</v>
      </c>
      <c r="D2233" t="s">
        <v>6</v>
      </c>
      <c r="E2233">
        <v>5.5685130000000003</v>
      </c>
      <c r="F2233">
        <f t="shared" si="68"/>
        <v>1.2815999999999939E-2</v>
      </c>
      <c r="G2233">
        <f t="shared" si="69"/>
        <v>64.537752226626168</v>
      </c>
    </row>
    <row r="2234" spans="2:7">
      <c r="B2234" t="s">
        <v>2</v>
      </c>
      <c r="C2234" s="2">
        <v>38826</v>
      </c>
      <c r="D2234" t="s">
        <v>6</v>
      </c>
      <c r="E2234">
        <v>5.5556970000000003</v>
      </c>
      <c r="F2234">
        <f t="shared" si="68"/>
        <v>5.1988000000000589E-2</v>
      </c>
      <c r="G2234">
        <f t="shared" si="69"/>
        <v>64.854526228360342</v>
      </c>
    </row>
    <row r="2235" spans="2:7">
      <c r="B2235" t="s">
        <v>2</v>
      </c>
      <c r="C2235" s="2">
        <v>38825</v>
      </c>
      <c r="D2235" t="s">
        <v>6</v>
      </c>
      <c r="E2235">
        <v>5.5037089999999997</v>
      </c>
      <c r="F2235">
        <f t="shared" si="68"/>
        <v>-4.5294000000000167E-2</v>
      </c>
      <c r="G2235">
        <f t="shared" si="69"/>
        <v>64.394234309925423</v>
      </c>
    </row>
    <row r="2236" spans="2:7">
      <c r="B2236" t="s">
        <v>2</v>
      </c>
      <c r="C2236" s="2">
        <v>38824</v>
      </c>
      <c r="D2236" t="s">
        <v>6</v>
      </c>
      <c r="E2236">
        <v>5.5490029999999999</v>
      </c>
      <c r="F2236">
        <f t="shared" si="68"/>
        <v>-3.3370999999999817E-2</v>
      </c>
      <c r="G2236">
        <f t="shared" si="69"/>
        <v>63.725569980162597</v>
      </c>
    </row>
    <row r="2237" spans="2:7">
      <c r="B2237" t="s">
        <v>2</v>
      </c>
      <c r="C2237" s="2">
        <v>38820</v>
      </c>
      <c r="D2237" t="s">
        <v>6</v>
      </c>
      <c r="E2237">
        <v>5.5823739999999997</v>
      </c>
      <c r="F2237">
        <f t="shared" si="68"/>
        <v>6.4605999999999497E-2</v>
      </c>
      <c r="G2237">
        <f t="shared" si="69"/>
        <v>63.313612726514378</v>
      </c>
    </row>
    <row r="2238" spans="2:7">
      <c r="B2238" t="s">
        <v>2</v>
      </c>
      <c r="C2238" s="2">
        <v>38819</v>
      </c>
      <c r="D2238" t="s">
        <v>6</v>
      </c>
      <c r="E2238">
        <v>5.5177680000000002</v>
      </c>
      <c r="F2238">
        <f t="shared" si="68"/>
        <v>5.1120000000000054E-2</v>
      </c>
      <c r="G2238">
        <f t="shared" si="69"/>
        <v>62.385606329943258</v>
      </c>
    </row>
    <row r="2239" spans="2:7">
      <c r="B2239" t="s">
        <v>2</v>
      </c>
      <c r="C2239" s="2">
        <v>38818</v>
      </c>
      <c r="D2239" t="s">
        <v>6</v>
      </c>
      <c r="E2239">
        <v>5.4666480000000002</v>
      </c>
      <c r="F2239">
        <f t="shared" si="68"/>
        <v>-4.1712999999999667E-2</v>
      </c>
      <c r="G2239">
        <f t="shared" si="69"/>
        <v>62.189463263731973</v>
      </c>
    </row>
    <row r="2240" spans="2:7">
      <c r="B2240" t="s">
        <v>2</v>
      </c>
      <c r="C2240" s="2">
        <v>38817</v>
      </c>
      <c r="D2240" t="s">
        <v>6</v>
      </c>
      <c r="E2240">
        <v>5.5083609999999998</v>
      </c>
      <c r="F2240">
        <f t="shared" si="68"/>
        <v>-3.1800000000004047E-3</v>
      </c>
      <c r="G2240">
        <f t="shared" si="69"/>
        <v>63.027575588927235</v>
      </c>
    </row>
    <row r="2241" spans="2:7">
      <c r="B2241" t="s">
        <v>2</v>
      </c>
      <c r="C2241" s="2">
        <v>38814</v>
      </c>
      <c r="D2241" t="s">
        <v>6</v>
      </c>
      <c r="E2241">
        <v>5.5115410000000002</v>
      </c>
      <c r="F2241">
        <f t="shared" si="68"/>
        <v>7.8464000000000311E-2</v>
      </c>
      <c r="G2241">
        <f t="shared" si="69"/>
        <v>64.351440612515177</v>
      </c>
    </row>
    <row r="2242" spans="2:7">
      <c r="B2242" t="s">
        <v>2</v>
      </c>
      <c r="C2242" s="2">
        <v>38813</v>
      </c>
      <c r="D2242" t="s">
        <v>6</v>
      </c>
      <c r="E2242">
        <v>5.4330769999999999</v>
      </c>
      <c r="F2242">
        <f t="shared" si="68"/>
        <v>5.6802999999999493E-2</v>
      </c>
      <c r="G2242">
        <f t="shared" si="69"/>
        <v>62.863017573922484</v>
      </c>
    </row>
    <row r="2243" spans="2:7">
      <c r="B2243" t="s">
        <v>2</v>
      </c>
      <c r="C2243" s="2">
        <v>38812</v>
      </c>
      <c r="D2243" t="s">
        <v>6</v>
      </c>
      <c r="E2243">
        <v>5.3762740000000004</v>
      </c>
      <c r="F2243">
        <f t="shared" ref="F2243:F2306" si="70">E2243-E2244</f>
        <v>-3.400899999999929E-2</v>
      </c>
      <c r="G2243">
        <f t="shared" ref="G2243:G2306" si="71">STDEV(F2243:F2302)*SQRT(250)*100</f>
        <v>62.877194028701844</v>
      </c>
    </row>
    <row r="2244" spans="2:7">
      <c r="B2244" t="s">
        <v>2</v>
      </c>
      <c r="C2244" s="2">
        <v>38811</v>
      </c>
      <c r="D2244" t="s">
        <v>6</v>
      </c>
      <c r="E2244">
        <v>5.4102829999999997</v>
      </c>
      <c r="F2244">
        <f t="shared" si="70"/>
        <v>-8.8569999999998927E-3</v>
      </c>
      <c r="G2244">
        <f t="shared" si="71"/>
        <v>62.392256154714943</v>
      </c>
    </row>
    <row r="2245" spans="2:7">
      <c r="B2245" t="s">
        <v>2</v>
      </c>
      <c r="C2245" s="2">
        <v>38810</v>
      </c>
      <c r="D2245" t="s">
        <v>6</v>
      </c>
      <c r="E2245">
        <v>5.4191399999999996</v>
      </c>
      <c r="F2245">
        <f t="shared" si="70"/>
        <v>2.6745000000000019E-2</v>
      </c>
      <c r="G2245">
        <f t="shared" si="71"/>
        <v>62.288918495000665</v>
      </c>
    </row>
    <row r="2246" spans="2:7">
      <c r="B2246" t="s">
        <v>2</v>
      </c>
      <c r="C2246" s="2">
        <v>38807</v>
      </c>
      <c r="D2246" t="s">
        <v>6</v>
      </c>
      <c r="E2246">
        <v>5.3923949999999996</v>
      </c>
      <c r="F2246">
        <f t="shared" si="70"/>
        <v>-5.5440000000004375E-3</v>
      </c>
      <c r="G2246">
        <f t="shared" si="71"/>
        <v>62.260442005631312</v>
      </c>
    </row>
    <row r="2247" spans="2:7">
      <c r="B2247" t="s">
        <v>2</v>
      </c>
      <c r="C2247" s="2">
        <v>38806</v>
      </c>
      <c r="D2247" t="s">
        <v>6</v>
      </c>
      <c r="E2247">
        <v>5.397939</v>
      </c>
      <c r="F2247">
        <f t="shared" si="70"/>
        <v>5.4269999999999818E-2</v>
      </c>
      <c r="G2247">
        <f t="shared" si="71"/>
        <v>62.623428630302136</v>
      </c>
    </row>
    <row r="2248" spans="2:7">
      <c r="B2248" t="s">
        <v>2</v>
      </c>
      <c r="C2248" s="2">
        <v>38805</v>
      </c>
      <c r="D2248" t="s">
        <v>6</v>
      </c>
      <c r="E2248">
        <v>5.3436690000000002</v>
      </c>
      <c r="F2248">
        <f t="shared" si="70"/>
        <v>2.9977000000000587E-2</v>
      </c>
      <c r="G2248">
        <f t="shared" si="71"/>
        <v>62.02152626115155</v>
      </c>
    </row>
    <row r="2249" spans="2:7">
      <c r="B2249" t="s">
        <v>2</v>
      </c>
      <c r="C2249" s="2">
        <v>38804</v>
      </c>
      <c r="D2249" t="s">
        <v>6</v>
      </c>
      <c r="E2249">
        <v>5.3136919999999996</v>
      </c>
      <c r="F2249">
        <f t="shared" si="70"/>
        <v>8.1193999999999988E-2</v>
      </c>
      <c r="G2249">
        <f t="shared" si="71"/>
        <v>61.8692842181079</v>
      </c>
    </row>
    <row r="2250" spans="2:7">
      <c r="B2250" t="s">
        <v>2</v>
      </c>
      <c r="C2250" s="2">
        <v>38803</v>
      </c>
      <c r="D2250" t="s">
        <v>6</v>
      </c>
      <c r="E2250">
        <v>5.2324979999999996</v>
      </c>
      <c r="F2250">
        <f t="shared" si="70"/>
        <v>2.9739999999999434E-2</v>
      </c>
      <c r="G2250">
        <f t="shared" si="71"/>
        <v>59.916310723167356</v>
      </c>
    </row>
    <row r="2251" spans="2:7">
      <c r="B2251" t="s">
        <v>2</v>
      </c>
      <c r="C2251" s="2">
        <v>38800</v>
      </c>
      <c r="D2251" t="s">
        <v>6</v>
      </c>
      <c r="E2251">
        <v>5.2027580000000002</v>
      </c>
      <c r="F2251">
        <f t="shared" si="70"/>
        <v>-6.5102999999999689E-2</v>
      </c>
      <c r="G2251">
        <f t="shared" si="71"/>
        <v>60.036861782579578</v>
      </c>
    </row>
    <row r="2252" spans="2:7">
      <c r="B2252" t="s">
        <v>2</v>
      </c>
      <c r="C2252" s="2">
        <v>38799</v>
      </c>
      <c r="D2252" t="s">
        <v>6</v>
      </c>
      <c r="E2252">
        <v>5.2678609999999999</v>
      </c>
      <c r="F2252">
        <f t="shared" si="70"/>
        <v>3.264099999999992E-2</v>
      </c>
      <c r="G2252">
        <f t="shared" si="71"/>
        <v>59.009079581075078</v>
      </c>
    </row>
    <row r="2253" spans="2:7">
      <c r="B2253" t="s">
        <v>2</v>
      </c>
      <c r="C2253" s="2">
        <v>38798</v>
      </c>
      <c r="D2253" t="s">
        <v>6</v>
      </c>
      <c r="E2253">
        <v>5.23522</v>
      </c>
      <c r="F2253">
        <f t="shared" si="70"/>
        <v>-9.7899999999997434E-3</v>
      </c>
      <c r="G2253">
        <f t="shared" si="71"/>
        <v>60.167234512980372</v>
      </c>
    </row>
    <row r="2254" spans="2:7">
      <c r="B2254" t="s">
        <v>2</v>
      </c>
      <c r="C2254" s="2">
        <v>38797</v>
      </c>
      <c r="D2254" t="s">
        <v>6</v>
      </c>
      <c r="E2254">
        <v>5.2450099999999997</v>
      </c>
      <c r="F2254">
        <f t="shared" si="70"/>
        <v>6.3852999999999938E-2</v>
      </c>
      <c r="G2254">
        <f t="shared" si="71"/>
        <v>61.066921355588079</v>
      </c>
    </row>
    <row r="2255" spans="2:7">
      <c r="B2255" t="s">
        <v>2</v>
      </c>
      <c r="C2255" s="2">
        <v>38796</v>
      </c>
      <c r="D2255" t="s">
        <v>6</v>
      </c>
      <c r="E2255">
        <v>5.1811569999999998</v>
      </c>
      <c r="F2255">
        <f t="shared" si="70"/>
        <v>-2.2044000000000175E-2</v>
      </c>
      <c r="G2255">
        <f t="shared" si="71"/>
        <v>59.913024994334549</v>
      </c>
    </row>
    <row r="2256" spans="2:7">
      <c r="B2256" t="s">
        <v>2</v>
      </c>
      <c r="C2256" s="2">
        <v>38793</v>
      </c>
      <c r="D2256" t="s">
        <v>6</v>
      </c>
      <c r="E2256">
        <v>5.203201</v>
      </c>
      <c r="F2256">
        <f t="shared" si="70"/>
        <v>3.109699999999993E-2</v>
      </c>
      <c r="G2256">
        <f t="shared" si="71"/>
        <v>59.833674871271199</v>
      </c>
    </row>
    <row r="2257" spans="2:7">
      <c r="B2257" t="s">
        <v>2</v>
      </c>
      <c r="C2257" s="2">
        <v>38792</v>
      </c>
      <c r="D2257" t="s">
        <v>6</v>
      </c>
      <c r="E2257">
        <v>5.172104</v>
      </c>
      <c r="F2257">
        <f t="shared" si="70"/>
        <v>-9.1377999999999737E-2</v>
      </c>
      <c r="G2257">
        <f t="shared" si="71"/>
        <v>59.565883863363723</v>
      </c>
    </row>
    <row r="2258" spans="2:7">
      <c r="B2258" t="s">
        <v>2</v>
      </c>
      <c r="C2258" s="2">
        <v>38791</v>
      </c>
      <c r="D2258" t="s">
        <v>6</v>
      </c>
      <c r="E2258">
        <v>5.2634819999999998</v>
      </c>
      <c r="F2258">
        <f t="shared" si="70"/>
        <v>3.4253999999999785E-2</v>
      </c>
      <c r="G2258">
        <f t="shared" si="71"/>
        <v>56.531707960577116</v>
      </c>
    </row>
    <row r="2259" spans="2:7">
      <c r="B2259" t="s">
        <v>2</v>
      </c>
      <c r="C2259" s="2">
        <v>38790</v>
      </c>
      <c r="D2259" t="s">
        <v>6</v>
      </c>
      <c r="E2259">
        <v>5.229228</v>
      </c>
      <c r="F2259">
        <f t="shared" si="70"/>
        <v>-8.2400999999999947E-2</v>
      </c>
      <c r="G2259">
        <f t="shared" si="71"/>
        <v>56.250474050858756</v>
      </c>
    </row>
    <row r="2260" spans="2:7">
      <c r="B2260" t="s">
        <v>2</v>
      </c>
      <c r="C2260" s="2">
        <v>38789</v>
      </c>
      <c r="D2260" t="s">
        <v>6</v>
      </c>
      <c r="E2260">
        <v>5.3116289999999999</v>
      </c>
      <c r="F2260">
        <f t="shared" si="70"/>
        <v>2.6340000000000252E-2</v>
      </c>
      <c r="G2260">
        <f t="shared" si="71"/>
        <v>56.87238676690982</v>
      </c>
    </row>
    <row r="2261" spans="2:7">
      <c r="B2261" t="s">
        <v>2</v>
      </c>
      <c r="C2261" s="2">
        <v>38786</v>
      </c>
      <c r="D2261" t="s">
        <v>6</v>
      </c>
      <c r="E2261">
        <v>5.2852889999999997</v>
      </c>
      <c r="F2261">
        <f t="shared" si="70"/>
        <v>1.3516999999999335E-2</v>
      </c>
      <c r="G2261">
        <f t="shared" si="71"/>
        <v>56.925841312645964</v>
      </c>
    </row>
    <row r="2262" spans="2:7">
      <c r="B2262" t="s">
        <v>2</v>
      </c>
      <c r="C2262" s="2">
        <v>38785</v>
      </c>
      <c r="D2262" t="s">
        <v>6</v>
      </c>
      <c r="E2262">
        <v>5.2717720000000003</v>
      </c>
      <c r="F2262">
        <f t="shared" si="70"/>
        <v>-3.6809999999993792E-3</v>
      </c>
      <c r="G2262">
        <f t="shared" si="71"/>
        <v>56.889586137346249</v>
      </c>
    </row>
    <row r="2263" spans="2:7">
      <c r="B2263" t="s">
        <v>2</v>
      </c>
      <c r="C2263" s="2">
        <v>38784</v>
      </c>
      <c r="D2263" t="s">
        <v>6</v>
      </c>
      <c r="E2263">
        <v>5.2754529999999997</v>
      </c>
      <c r="F2263">
        <f t="shared" si="70"/>
        <v>-9.2150000000001953E-3</v>
      </c>
      <c r="G2263">
        <f t="shared" si="71"/>
        <v>58.948397521976013</v>
      </c>
    </row>
    <row r="2264" spans="2:7">
      <c r="B2264" t="s">
        <v>2</v>
      </c>
      <c r="C2264" s="2">
        <v>38783</v>
      </c>
      <c r="D2264" t="s">
        <v>6</v>
      </c>
      <c r="E2264">
        <v>5.2846679999999999</v>
      </c>
      <c r="F2264">
        <f t="shared" si="70"/>
        <v>-3.9480000000002846E-3</v>
      </c>
      <c r="G2264">
        <f t="shared" si="71"/>
        <v>60.357028695702688</v>
      </c>
    </row>
    <row r="2265" spans="2:7">
      <c r="B2265" t="s">
        <v>2</v>
      </c>
      <c r="C2265" s="2">
        <v>38782</v>
      </c>
      <c r="D2265" t="s">
        <v>6</v>
      </c>
      <c r="E2265">
        <v>5.2886160000000002</v>
      </c>
      <c r="F2265">
        <f t="shared" si="70"/>
        <v>6.3704000000000427E-2</v>
      </c>
      <c r="G2265">
        <f t="shared" si="71"/>
        <v>60.525725155707967</v>
      </c>
    </row>
    <row r="2266" spans="2:7">
      <c r="B2266" t="s">
        <v>2</v>
      </c>
      <c r="C2266" s="2">
        <v>38779</v>
      </c>
      <c r="D2266" t="s">
        <v>6</v>
      </c>
      <c r="E2266">
        <v>5.2249119999999998</v>
      </c>
      <c r="F2266">
        <f t="shared" si="70"/>
        <v>4.4617999999999824E-2</v>
      </c>
      <c r="G2266">
        <f t="shared" si="71"/>
        <v>61.479707373543903</v>
      </c>
    </row>
    <row r="2267" spans="2:7">
      <c r="B2267" t="s">
        <v>2</v>
      </c>
      <c r="C2267" s="2">
        <v>38778</v>
      </c>
      <c r="D2267" t="s">
        <v>6</v>
      </c>
      <c r="E2267">
        <v>5.180294</v>
      </c>
      <c r="F2267">
        <f t="shared" si="70"/>
        <v>6.0992999999999853E-2</v>
      </c>
      <c r="G2267">
        <f t="shared" si="71"/>
        <v>61.531429817181703</v>
      </c>
    </row>
    <row r="2268" spans="2:7">
      <c r="B2268" t="s">
        <v>2</v>
      </c>
      <c r="C2268" s="2">
        <v>38777</v>
      </c>
      <c r="D2268" t="s">
        <v>6</v>
      </c>
      <c r="E2268">
        <v>5.1193010000000001</v>
      </c>
      <c r="F2268">
        <f t="shared" si="70"/>
        <v>4.6961000000000475E-2</v>
      </c>
      <c r="G2268">
        <f t="shared" si="71"/>
        <v>60.285872747372871</v>
      </c>
    </row>
    <row r="2269" spans="2:7">
      <c r="B2269" t="s">
        <v>2</v>
      </c>
      <c r="C2269" s="2">
        <v>38776</v>
      </c>
      <c r="D2269" t="s">
        <v>6</v>
      </c>
      <c r="E2269">
        <v>5.0723399999999996</v>
      </c>
      <c r="F2269">
        <f t="shared" si="70"/>
        <v>-3.8045000000000329E-2</v>
      </c>
      <c r="G2269">
        <f t="shared" si="71"/>
        <v>60.149961082515347</v>
      </c>
    </row>
    <row r="2270" spans="2:7">
      <c r="B2270" t="s">
        <v>2</v>
      </c>
      <c r="C2270" s="2">
        <v>38775</v>
      </c>
      <c r="D2270" t="s">
        <v>6</v>
      </c>
      <c r="E2270">
        <v>5.110385</v>
      </c>
      <c r="F2270">
        <f t="shared" si="70"/>
        <v>2.0654000000000394E-2</v>
      </c>
      <c r="G2270">
        <f t="shared" si="71"/>
        <v>59.751355343373255</v>
      </c>
    </row>
    <row r="2271" spans="2:7">
      <c r="B2271" t="s">
        <v>2</v>
      </c>
      <c r="C2271" s="2">
        <v>38772</v>
      </c>
      <c r="D2271" t="s">
        <v>6</v>
      </c>
      <c r="E2271">
        <v>5.0897309999999996</v>
      </c>
      <c r="F2271">
        <f t="shared" si="70"/>
        <v>-8.2570000000004029E-3</v>
      </c>
      <c r="G2271">
        <f t="shared" si="71"/>
        <v>61.636480410306206</v>
      </c>
    </row>
    <row r="2272" spans="2:7">
      <c r="B2272" t="s">
        <v>2</v>
      </c>
      <c r="C2272" s="2">
        <v>38771</v>
      </c>
      <c r="D2272" t="s">
        <v>6</v>
      </c>
      <c r="E2272">
        <v>5.097988</v>
      </c>
      <c r="F2272">
        <f t="shared" si="70"/>
        <v>3.5351999999999606E-2</v>
      </c>
      <c r="G2272">
        <f t="shared" si="71"/>
        <v>61.894373710532612</v>
      </c>
    </row>
    <row r="2273" spans="2:7">
      <c r="B2273" t="s">
        <v>2</v>
      </c>
      <c r="C2273" s="2">
        <v>38770</v>
      </c>
      <c r="D2273" t="s">
        <v>6</v>
      </c>
      <c r="E2273">
        <v>5.0626360000000004</v>
      </c>
      <c r="F2273">
        <f t="shared" si="70"/>
        <v>-3.5101000000000049E-2</v>
      </c>
      <c r="G2273">
        <f t="shared" si="71"/>
        <v>62.134609114532005</v>
      </c>
    </row>
    <row r="2274" spans="2:7">
      <c r="B2274" t="s">
        <v>2</v>
      </c>
      <c r="C2274" s="2">
        <v>38769</v>
      </c>
      <c r="D2274" t="s">
        <v>6</v>
      </c>
      <c r="E2274">
        <v>5.0977370000000004</v>
      </c>
      <c r="F2274">
        <f t="shared" si="70"/>
        <v>2.6412000000000546E-2</v>
      </c>
      <c r="G2274">
        <f t="shared" si="71"/>
        <v>62.481148617087669</v>
      </c>
    </row>
    <row r="2275" spans="2:7">
      <c r="B2275" t="s">
        <v>2</v>
      </c>
      <c r="C2275" s="2">
        <v>38765</v>
      </c>
      <c r="D2275" t="s">
        <v>6</v>
      </c>
      <c r="E2275">
        <v>5.0713249999999999</v>
      </c>
      <c r="F2275">
        <f t="shared" si="70"/>
        <v>-5.521599999999971E-2</v>
      </c>
      <c r="G2275">
        <f t="shared" si="71"/>
        <v>62.792023994312039</v>
      </c>
    </row>
    <row r="2276" spans="2:7">
      <c r="B2276" t="s">
        <v>2</v>
      </c>
      <c r="C2276" s="2">
        <v>38764</v>
      </c>
      <c r="D2276" t="s">
        <v>6</v>
      </c>
      <c r="E2276">
        <v>5.1265409999999996</v>
      </c>
      <c r="F2276">
        <f t="shared" si="70"/>
        <v>-6.7150000000006926E-3</v>
      </c>
      <c r="G2276">
        <f t="shared" si="71"/>
        <v>62.498335643511673</v>
      </c>
    </row>
    <row r="2277" spans="2:7">
      <c r="B2277" t="s">
        <v>2</v>
      </c>
      <c r="C2277" s="2">
        <v>38763</v>
      </c>
      <c r="D2277" t="s">
        <v>6</v>
      </c>
      <c r="E2277">
        <v>5.1332560000000003</v>
      </c>
      <c r="F2277">
        <f t="shared" si="70"/>
        <v>-9.2089999999993566E-3</v>
      </c>
      <c r="G2277">
        <f t="shared" si="71"/>
        <v>63.437776671512694</v>
      </c>
    </row>
    <row r="2278" spans="2:7">
      <c r="B2278" t="s">
        <v>2</v>
      </c>
      <c r="C2278" s="2">
        <v>38762</v>
      </c>
      <c r="D2278" t="s">
        <v>6</v>
      </c>
      <c r="E2278">
        <v>5.1424649999999996</v>
      </c>
      <c r="F2278">
        <f t="shared" si="70"/>
        <v>2.7413999999999383E-2</v>
      </c>
      <c r="G2278">
        <f t="shared" si="71"/>
        <v>63.783577506747967</v>
      </c>
    </row>
    <row r="2279" spans="2:7">
      <c r="B2279" t="s">
        <v>2</v>
      </c>
      <c r="C2279" s="2">
        <v>38761</v>
      </c>
      <c r="D2279" t="s">
        <v>6</v>
      </c>
      <c r="E2279">
        <v>5.1150510000000002</v>
      </c>
      <c r="F2279">
        <f t="shared" si="70"/>
        <v>-1.3599999999946988E-4</v>
      </c>
      <c r="G2279">
        <f t="shared" si="71"/>
        <v>65.470254405047058</v>
      </c>
    </row>
    <row r="2280" spans="2:7">
      <c r="B2280" t="s">
        <v>2</v>
      </c>
      <c r="C2280" s="2">
        <v>38758</v>
      </c>
      <c r="D2280" t="s">
        <v>6</v>
      </c>
      <c r="E2280">
        <v>5.1151869999999997</v>
      </c>
      <c r="F2280">
        <f t="shared" si="70"/>
        <v>3.698200000000007E-2</v>
      </c>
      <c r="G2280">
        <f t="shared" si="71"/>
        <v>66.235278422650197</v>
      </c>
    </row>
    <row r="2281" spans="2:7">
      <c r="B2281" t="s">
        <v>2</v>
      </c>
      <c r="C2281" s="2">
        <v>38757</v>
      </c>
      <c r="D2281" t="s">
        <v>6</v>
      </c>
      <c r="E2281">
        <v>5.0782049999999996</v>
      </c>
      <c r="F2281">
        <f t="shared" si="70"/>
        <v>-2.9322000000000514E-2</v>
      </c>
      <c r="G2281">
        <f t="shared" si="71"/>
        <v>66.650961135050338</v>
      </c>
    </row>
    <row r="2282" spans="2:7">
      <c r="B2282" t="s">
        <v>2</v>
      </c>
      <c r="C2282" s="2">
        <v>38756</v>
      </c>
      <c r="D2282" t="s">
        <v>6</v>
      </c>
      <c r="E2282">
        <v>5.1075270000000002</v>
      </c>
      <c r="F2282">
        <f t="shared" si="70"/>
        <v>2.2657999999999845E-2</v>
      </c>
      <c r="G2282">
        <f t="shared" si="71"/>
        <v>68.336933082784867</v>
      </c>
    </row>
    <row r="2283" spans="2:7">
      <c r="B2283" t="s">
        <v>2</v>
      </c>
      <c r="C2283" s="2">
        <v>38755</v>
      </c>
      <c r="D2283" t="s">
        <v>6</v>
      </c>
      <c r="E2283">
        <v>5.0848690000000003</v>
      </c>
      <c r="F2283">
        <f t="shared" si="70"/>
        <v>2.4021000000000292E-2</v>
      </c>
      <c r="G2283">
        <f t="shared" si="71"/>
        <v>70.048830886637504</v>
      </c>
    </row>
    <row r="2284" spans="2:7">
      <c r="B2284" t="s">
        <v>2</v>
      </c>
      <c r="C2284" s="2">
        <v>38754</v>
      </c>
      <c r="D2284" t="s">
        <v>6</v>
      </c>
      <c r="E2284">
        <v>5.060848</v>
      </c>
      <c r="F2284">
        <f t="shared" si="70"/>
        <v>4.3090000000001183E-3</v>
      </c>
      <c r="G2284">
        <f t="shared" si="71"/>
        <v>72.155026832159848</v>
      </c>
    </row>
    <row r="2285" spans="2:7">
      <c r="B2285" t="s">
        <v>2</v>
      </c>
      <c r="C2285" s="2">
        <v>38751</v>
      </c>
      <c r="D2285" t="s">
        <v>6</v>
      </c>
      <c r="E2285">
        <v>5.0565389999999999</v>
      </c>
      <c r="F2285">
        <f t="shared" si="70"/>
        <v>-2.4745000000000239E-2</v>
      </c>
      <c r="G2285">
        <f t="shared" si="71"/>
        <v>72.249772276047125</v>
      </c>
    </row>
    <row r="2286" spans="2:7">
      <c r="B2286" t="s">
        <v>2</v>
      </c>
      <c r="C2286" s="2">
        <v>38750</v>
      </c>
      <c r="D2286" t="s">
        <v>6</v>
      </c>
      <c r="E2286">
        <v>5.0812840000000001</v>
      </c>
      <c r="F2286">
        <f t="shared" si="70"/>
        <v>-1.0464999999999947E-2</v>
      </c>
      <c r="G2286">
        <f t="shared" si="71"/>
        <v>72.213596506536689</v>
      </c>
    </row>
    <row r="2287" spans="2:7">
      <c r="B2287" t="s">
        <v>2</v>
      </c>
      <c r="C2287" s="2">
        <v>38749</v>
      </c>
      <c r="D2287" t="s">
        <v>6</v>
      </c>
      <c r="E2287">
        <v>5.0917490000000001</v>
      </c>
      <c r="F2287">
        <f t="shared" si="70"/>
        <v>4.5624000000000109E-2</v>
      </c>
      <c r="G2287">
        <f t="shared" si="71"/>
        <v>73.041296020564204</v>
      </c>
    </row>
    <row r="2288" spans="2:7">
      <c r="B2288" t="s">
        <v>2</v>
      </c>
      <c r="C2288" s="2">
        <v>38748</v>
      </c>
      <c r="D2288" t="s">
        <v>6</v>
      </c>
      <c r="E2288">
        <v>5.046125</v>
      </c>
      <c r="F2288">
        <f t="shared" si="70"/>
        <v>-7.2840000000002902E-3</v>
      </c>
      <c r="G2288">
        <f t="shared" si="71"/>
        <v>72.941163115761128</v>
      </c>
    </row>
    <row r="2289" spans="2:7">
      <c r="B2289" t="s">
        <v>2</v>
      </c>
      <c r="C2289" s="2">
        <v>38747</v>
      </c>
      <c r="D2289" t="s">
        <v>6</v>
      </c>
      <c r="E2289">
        <v>5.0534090000000003</v>
      </c>
      <c r="F2289">
        <f t="shared" si="70"/>
        <v>2.7268000000000292E-2</v>
      </c>
      <c r="G2289">
        <f t="shared" si="71"/>
        <v>73.085217992693558</v>
      </c>
    </row>
    <row r="2290" spans="2:7">
      <c r="B2290" t="s">
        <v>2</v>
      </c>
      <c r="C2290" s="2">
        <v>38744</v>
      </c>
      <c r="D2290" t="s">
        <v>6</v>
      </c>
      <c r="E2290">
        <v>5.026141</v>
      </c>
      <c r="F2290">
        <f t="shared" si="70"/>
        <v>-1.9650999999999641E-2</v>
      </c>
      <c r="G2290">
        <f t="shared" si="71"/>
        <v>72.865233593540552</v>
      </c>
    </row>
    <row r="2291" spans="2:7">
      <c r="B2291" t="s">
        <v>2</v>
      </c>
      <c r="C2291" s="2">
        <v>38743</v>
      </c>
      <c r="D2291" t="s">
        <v>6</v>
      </c>
      <c r="E2291">
        <v>5.0457919999999996</v>
      </c>
      <c r="F2291">
        <f t="shared" si="70"/>
        <v>5.0143999999999522E-2</v>
      </c>
      <c r="G2291">
        <f t="shared" si="71"/>
        <v>72.799882277718737</v>
      </c>
    </row>
    <row r="2292" spans="2:7">
      <c r="B2292" t="s">
        <v>2</v>
      </c>
      <c r="C2292" s="2">
        <v>38742</v>
      </c>
      <c r="D2292" t="s">
        <v>6</v>
      </c>
      <c r="E2292">
        <v>4.9956480000000001</v>
      </c>
      <c r="F2292">
        <f t="shared" si="70"/>
        <v>9.7088000000000285E-2</v>
      </c>
      <c r="G2292">
        <f t="shared" si="71"/>
        <v>72.27532863358357</v>
      </c>
    </row>
    <row r="2293" spans="2:7">
      <c r="B2293" t="s">
        <v>2</v>
      </c>
      <c r="C2293" s="2">
        <v>38741</v>
      </c>
      <c r="D2293" t="s">
        <v>6</v>
      </c>
      <c r="E2293">
        <v>4.8985599999999998</v>
      </c>
      <c r="F2293">
        <f t="shared" si="70"/>
        <v>4.254699999999989E-2</v>
      </c>
      <c r="G2293">
        <f t="shared" si="71"/>
        <v>72.044595339361024</v>
      </c>
    </row>
    <row r="2294" spans="2:7">
      <c r="B2294" t="s">
        <v>2</v>
      </c>
      <c r="C2294" s="2">
        <v>38740</v>
      </c>
      <c r="D2294" t="s">
        <v>6</v>
      </c>
      <c r="E2294">
        <v>4.8560129999999999</v>
      </c>
      <c r="F2294">
        <f t="shared" si="70"/>
        <v>-4.9600000000005195E-3</v>
      </c>
      <c r="G2294">
        <f t="shared" si="71"/>
        <v>72.646817826551384</v>
      </c>
    </row>
    <row r="2295" spans="2:7">
      <c r="B2295" t="s">
        <v>2</v>
      </c>
      <c r="C2295" s="2">
        <v>38737</v>
      </c>
      <c r="D2295" t="s">
        <v>6</v>
      </c>
      <c r="E2295">
        <v>4.8609730000000004</v>
      </c>
      <c r="F2295">
        <f t="shared" si="70"/>
        <v>-2.2803999999999824E-2</v>
      </c>
      <c r="G2295">
        <f t="shared" si="71"/>
        <v>73.716181164380302</v>
      </c>
    </row>
    <row r="2296" spans="2:7">
      <c r="B2296" t="s">
        <v>2</v>
      </c>
      <c r="C2296" s="2">
        <v>38736</v>
      </c>
      <c r="D2296" t="s">
        <v>6</v>
      </c>
      <c r="E2296">
        <v>4.8837770000000003</v>
      </c>
      <c r="F2296">
        <f t="shared" si="70"/>
        <v>3.9913000000000309E-2</v>
      </c>
      <c r="G2296">
        <f t="shared" si="71"/>
        <v>74.868409508411474</v>
      </c>
    </row>
    <row r="2297" spans="2:7">
      <c r="B2297" t="s">
        <v>2</v>
      </c>
      <c r="C2297" s="2">
        <v>38735</v>
      </c>
      <c r="D2297" t="s">
        <v>6</v>
      </c>
      <c r="E2297">
        <v>4.8438639999999999</v>
      </c>
      <c r="F2297">
        <f t="shared" si="70"/>
        <v>6.0430000000000206E-3</v>
      </c>
      <c r="G2297">
        <f t="shared" si="71"/>
        <v>74.385346842985541</v>
      </c>
    </row>
    <row r="2298" spans="2:7">
      <c r="B2298" t="s">
        <v>2</v>
      </c>
      <c r="C2298" s="2">
        <v>38734</v>
      </c>
      <c r="D2298" t="s">
        <v>6</v>
      </c>
      <c r="E2298">
        <v>4.8378209999999999</v>
      </c>
      <c r="F2298">
        <f t="shared" si="70"/>
        <v>-2.1757000000000026E-2</v>
      </c>
      <c r="G2298">
        <f t="shared" si="71"/>
        <v>74.409021642118617</v>
      </c>
    </row>
    <row r="2299" spans="2:7">
      <c r="B2299" t="s">
        <v>2</v>
      </c>
      <c r="C2299" s="2">
        <v>38730</v>
      </c>
      <c r="D2299" t="s">
        <v>6</v>
      </c>
      <c r="E2299">
        <v>4.859578</v>
      </c>
      <c r="F2299">
        <f t="shared" si="70"/>
        <v>-6.1784000000000283E-2</v>
      </c>
      <c r="G2299">
        <f t="shared" si="71"/>
        <v>74.368777149328125</v>
      </c>
    </row>
    <row r="2300" spans="2:7">
      <c r="B2300" t="s">
        <v>2</v>
      </c>
      <c r="C2300" s="2">
        <v>38729</v>
      </c>
      <c r="D2300" t="s">
        <v>6</v>
      </c>
      <c r="E2300">
        <v>4.9213620000000002</v>
      </c>
      <c r="F2300">
        <f t="shared" si="70"/>
        <v>-5.4965999999999404E-2</v>
      </c>
      <c r="G2300">
        <f t="shared" si="71"/>
        <v>73.327295825351442</v>
      </c>
    </row>
    <row r="2301" spans="2:7">
      <c r="B2301" t="s">
        <v>2</v>
      </c>
      <c r="C2301" s="2">
        <v>38728</v>
      </c>
      <c r="D2301" t="s">
        <v>6</v>
      </c>
      <c r="E2301">
        <v>4.9763279999999996</v>
      </c>
      <c r="F2301">
        <f t="shared" si="70"/>
        <v>2.9125999999999763E-2</v>
      </c>
      <c r="G2301">
        <f t="shared" si="71"/>
        <v>72.542081741743772</v>
      </c>
    </row>
    <row r="2302" spans="2:7">
      <c r="B2302" t="s">
        <v>2</v>
      </c>
      <c r="C2302" s="2">
        <v>38727</v>
      </c>
      <c r="D2302" t="s">
        <v>6</v>
      </c>
      <c r="E2302">
        <v>4.9472019999999999</v>
      </c>
      <c r="F2302">
        <f t="shared" si="70"/>
        <v>5.7233000000000089E-2</v>
      </c>
      <c r="G2302">
        <f t="shared" si="71"/>
        <v>72.756022101785874</v>
      </c>
    </row>
    <row r="2303" spans="2:7">
      <c r="B2303" t="s">
        <v>2</v>
      </c>
      <c r="C2303" s="2">
        <v>38726</v>
      </c>
      <c r="D2303" t="s">
        <v>6</v>
      </c>
      <c r="E2303">
        <v>4.8899689999999998</v>
      </c>
      <c r="F2303">
        <f t="shared" si="70"/>
        <v>-1.0578999999999894E-2</v>
      </c>
      <c r="G2303">
        <f t="shared" si="71"/>
        <v>72.946911649460517</v>
      </c>
    </row>
    <row r="2304" spans="2:7">
      <c r="B2304" t="s">
        <v>2</v>
      </c>
      <c r="C2304" s="2">
        <v>38723</v>
      </c>
      <c r="D2304" t="s">
        <v>6</v>
      </c>
      <c r="E2304">
        <v>4.9005479999999997</v>
      </c>
      <c r="F2304">
        <f t="shared" si="70"/>
        <v>7.3119999999997631E-3</v>
      </c>
      <c r="G2304">
        <f t="shared" si="71"/>
        <v>73.187394955735158</v>
      </c>
    </row>
    <row r="2305" spans="2:7">
      <c r="B2305" t="s">
        <v>2</v>
      </c>
      <c r="C2305" s="2">
        <v>38722</v>
      </c>
      <c r="D2305" t="s">
        <v>6</v>
      </c>
      <c r="E2305">
        <v>4.8932359999999999</v>
      </c>
      <c r="F2305">
        <f t="shared" si="70"/>
        <v>-7.3259999999999437E-3</v>
      </c>
      <c r="G2305">
        <f t="shared" si="71"/>
        <v>73.207786578692577</v>
      </c>
    </row>
    <row r="2306" spans="2:7">
      <c r="B2306" t="s">
        <v>2</v>
      </c>
      <c r="C2306" s="2">
        <v>38721</v>
      </c>
      <c r="D2306" t="s">
        <v>6</v>
      </c>
      <c r="E2306">
        <v>4.9005619999999999</v>
      </c>
      <c r="F2306">
        <f t="shared" si="70"/>
        <v>-2.7391999999999861E-2</v>
      </c>
      <c r="G2306">
        <f t="shared" si="71"/>
        <v>73.19306069456492</v>
      </c>
    </row>
    <row r="2307" spans="2:7">
      <c r="B2307" t="s">
        <v>2</v>
      </c>
      <c r="C2307" s="2">
        <v>38720</v>
      </c>
      <c r="D2307" t="s">
        <v>6</v>
      </c>
      <c r="E2307">
        <v>4.9279539999999997</v>
      </c>
      <c r="F2307">
        <f t="shared" ref="F2307:F2370" si="72">E2307-E2308</f>
        <v>-1.3679000000000663E-2</v>
      </c>
      <c r="G2307">
        <f t="shared" ref="G2307:G2370" si="73">STDEV(F2307:F2366)*SQRT(250)*100</f>
        <v>73.100446396125676</v>
      </c>
    </row>
    <row r="2308" spans="2:7">
      <c r="B2308" t="s">
        <v>2</v>
      </c>
      <c r="C2308" s="2">
        <v>38716</v>
      </c>
      <c r="D2308" t="s">
        <v>6</v>
      </c>
      <c r="E2308">
        <v>4.9416330000000004</v>
      </c>
      <c r="F2308">
        <f t="shared" si="72"/>
        <v>1.6681000000000168E-2</v>
      </c>
      <c r="G2308">
        <f t="shared" si="73"/>
        <v>73.080859132655789</v>
      </c>
    </row>
    <row r="2309" spans="2:7">
      <c r="B2309" t="s">
        <v>2</v>
      </c>
      <c r="C2309" s="2">
        <v>38715</v>
      </c>
      <c r="D2309" t="s">
        <v>6</v>
      </c>
      <c r="E2309">
        <v>4.9249520000000002</v>
      </c>
      <c r="F2309">
        <f t="shared" si="72"/>
        <v>-2.8439999999996246E-3</v>
      </c>
      <c r="G2309">
        <f t="shared" si="73"/>
        <v>74.34545974412265</v>
      </c>
    </row>
    <row r="2310" spans="2:7">
      <c r="B2310" t="s">
        <v>2</v>
      </c>
      <c r="C2310" s="2">
        <v>38714</v>
      </c>
      <c r="D2310" t="s">
        <v>6</v>
      </c>
      <c r="E2310">
        <v>4.9277959999999998</v>
      </c>
      <c r="F2310">
        <f t="shared" si="72"/>
        <v>3.59020000000001E-2</v>
      </c>
      <c r="G2310">
        <f t="shared" si="73"/>
        <v>74.786850201409152</v>
      </c>
    </row>
    <row r="2311" spans="2:7">
      <c r="B2311" t="s">
        <v>2</v>
      </c>
      <c r="C2311" s="2">
        <v>38713</v>
      </c>
      <c r="D2311" t="s">
        <v>6</v>
      </c>
      <c r="E2311">
        <v>4.8918939999999997</v>
      </c>
      <c r="F2311">
        <f t="shared" si="72"/>
        <v>-4.0235000000000021E-2</v>
      </c>
      <c r="G2311">
        <f t="shared" si="73"/>
        <v>74.697254704449108</v>
      </c>
    </row>
    <row r="2312" spans="2:7">
      <c r="B2312" t="s">
        <v>2</v>
      </c>
      <c r="C2312" s="2">
        <v>38709</v>
      </c>
      <c r="D2312" t="s">
        <v>6</v>
      </c>
      <c r="E2312">
        <v>4.9321289999999998</v>
      </c>
      <c r="F2312">
        <f t="shared" si="72"/>
        <v>-5.8652000000000371E-2</v>
      </c>
      <c r="G2312">
        <f t="shared" si="73"/>
        <v>74.745612858668338</v>
      </c>
    </row>
    <row r="2313" spans="2:7">
      <c r="B2313" t="s">
        <v>2</v>
      </c>
      <c r="C2313" s="2">
        <v>38708</v>
      </c>
      <c r="D2313" t="s">
        <v>6</v>
      </c>
      <c r="E2313">
        <v>4.9907810000000001</v>
      </c>
      <c r="F2313">
        <f t="shared" si="72"/>
        <v>-4.8761999999999972E-2</v>
      </c>
      <c r="G2313">
        <f t="shared" si="73"/>
        <v>73.672671588526001</v>
      </c>
    </row>
    <row r="2314" spans="2:7">
      <c r="B2314" t="s">
        <v>2</v>
      </c>
      <c r="C2314" s="2">
        <v>38707</v>
      </c>
      <c r="D2314" t="s">
        <v>6</v>
      </c>
      <c r="E2314">
        <v>5.0395430000000001</v>
      </c>
      <c r="F2314">
        <f t="shared" si="72"/>
        <v>2.3042000000000229E-2</v>
      </c>
      <c r="G2314">
        <f t="shared" si="73"/>
        <v>73.342124439709195</v>
      </c>
    </row>
    <row r="2315" spans="2:7">
      <c r="B2315" t="s">
        <v>2</v>
      </c>
      <c r="C2315" s="2">
        <v>38706</v>
      </c>
      <c r="D2315" t="s">
        <v>6</v>
      </c>
      <c r="E2315">
        <v>5.0165009999999999</v>
      </c>
      <c r="F2315">
        <f t="shared" si="72"/>
        <v>2.334899999999962E-2</v>
      </c>
      <c r="G2315">
        <f t="shared" si="73"/>
        <v>74.977528671712705</v>
      </c>
    </row>
    <row r="2316" spans="2:7">
      <c r="B2316" t="s">
        <v>2</v>
      </c>
      <c r="C2316" s="2">
        <v>38705</v>
      </c>
      <c r="D2316" t="s">
        <v>6</v>
      </c>
      <c r="E2316">
        <v>4.9931520000000003</v>
      </c>
      <c r="F2316">
        <f t="shared" si="72"/>
        <v>7.5280000000006453E-3</v>
      </c>
      <c r="G2316">
        <f t="shared" si="73"/>
        <v>75.018141275729974</v>
      </c>
    </row>
    <row r="2317" spans="2:7">
      <c r="B2317" t="s">
        <v>2</v>
      </c>
      <c r="C2317" s="2">
        <v>38702</v>
      </c>
      <c r="D2317" t="s">
        <v>6</v>
      </c>
      <c r="E2317">
        <v>4.9856239999999996</v>
      </c>
      <c r="F2317">
        <f t="shared" si="72"/>
        <v>-2.3193000000000019E-2</v>
      </c>
      <c r="G2317">
        <f t="shared" si="73"/>
        <v>76.540421504169984</v>
      </c>
    </row>
    <row r="2318" spans="2:7">
      <c r="B2318" t="s">
        <v>2</v>
      </c>
      <c r="C2318" s="2">
        <v>38701</v>
      </c>
      <c r="D2318" t="s">
        <v>6</v>
      </c>
      <c r="E2318">
        <v>5.0088169999999996</v>
      </c>
      <c r="F2318">
        <f t="shared" si="72"/>
        <v>1.6778999999999655E-2</v>
      </c>
      <c r="G2318">
        <f t="shared" si="73"/>
        <v>76.322191204537589</v>
      </c>
    </row>
    <row r="2319" spans="2:7">
      <c r="B2319" t="s">
        <v>2</v>
      </c>
      <c r="C2319" s="2">
        <v>38700</v>
      </c>
      <c r="D2319" t="s">
        <v>6</v>
      </c>
      <c r="E2319">
        <v>4.992038</v>
      </c>
      <c r="F2319">
        <f t="shared" si="72"/>
        <v>-9.1539000000000037E-2</v>
      </c>
      <c r="G2319">
        <f t="shared" si="73"/>
        <v>76.341315352177119</v>
      </c>
    </row>
    <row r="2320" spans="2:7">
      <c r="B2320" t="s">
        <v>2</v>
      </c>
      <c r="C2320" s="2">
        <v>38699</v>
      </c>
      <c r="D2320" t="s">
        <v>6</v>
      </c>
      <c r="E2320">
        <v>5.083577</v>
      </c>
      <c r="F2320">
        <f t="shared" si="72"/>
        <v>-2.2491999999999734E-2</v>
      </c>
      <c r="G2320">
        <f t="shared" si="73"/>
        <v>74.495790431064904</v>
      </c>
    </row>
    <row r="2321" spans="2:7">
      <c r="B2321" t="s">
        <v>2</v>
      </c>
      <c r="C2321" s="2">
        <v>38698</v>
      </c>
      <c r="D2321" t="s">
        <v>6</v>
      </c>
      <c r="E2321">
        <v>5.1060689999999997</v>
      </c>
      <c r="F2321">
        <f t="shared" si="72"/>
        <v>6.7629999999994084E-3</v>
      </c>
      <c r="G2321">
        <f t="shared" si="73"/>
        <v>74.904420074862088</v>
      </c>
    </row>
    <row r="2322" spans="2:7">
      <c r="B2322" t="s">
        <v>2</v>
      </c>
      <c r="C2322" s="2">
        <v>38695</v>
      </c>
      <c r="D2322" t="s">
        <v>6</v>
      </c>
      <c r="E2322">
        <v>5.0993060000000003</v>
      </c>
      <c r="F2322">
        <f t="shared" si="72"/>
        <v>7.8934000000000282E-2</v>
      </c>
      <c r="G2322">
        <f t="shared" si="73"/>
        <v>75.02928776456308</v>
      </c>
    </row>
    <row r="2323" spans="2:7">
      <c r="B2323" t="s">
        <v>2</v>
      </c>
      <c r="C2323" s="2">
        <v>38694</v>
      </c>
      <c r="D2323" t="s">
        <v>6</v>
      </c>
      <c r="E2323">
        <v>5.0203720000000001</v>
      </c>
      <c r="F2323">
        <f t="shared" si="72"/>
        <v>-6.0488999999999571E-2</v>
      </c>
      <c r="G2323">
        <f t="shared" si="73"/>
        <v>74.170617092965159</v>
      </c>
    </row>
    <row r="2324" spans="2:7">
      <c r="B2324" t="s">
        <v>2</v>
      </c>
      <c r="C2324" s="2">
        <v>38693</v>
      </c>
      <c r="D2324" t="s">
        <v>6</v>
      </c>
      <c r="E2324">
        <v>5.0808609999999996</v>
      </c>
      <c r="F2324">
        <f t="shared" si="72"/>
        <v>2.6870999999999867E-2</v>
      </c>
      <c r="G2324">
        <f t="shared" si="73"/>
        <v>73.113116184119306</v>
      </c>
    </row>
    <row r="2325" spans="2:7">
      <c r="B2325" t="s">
        <v>2</v>
      </c>
      <c r="C2325" s="2">
        <v>38692</v>
      </c>
      <c r="D2325" t="s">
        <v>6</v>
      </c>
      <c r="E2325">
        <v>5.0539899999999998</v>
      </c>
      <c r="F2325">
        <f t="shared" si="72"/>
        <v>-7.766900000000021E-2</v>
      </c>
      <c r="G2325">
        <f t="shared" si="73"/>
        <v>73.2756683634056</v>
      </c>
    </row>
    <row r="2326" spans="2:7">
      <c r="B2326" t="s">
        <v>2</v>
      </c>
      <c r="C2326" s="2">
        <v>38691</v>
      </c>
      <c r="D2326" t="s">
        <v>6</v>
      </c>
      <c r="E2326">
        <v>5.131659</v>
      </c>
      <c r="F2326">
        <f t="shared" si="72"/>
        <v>4.6327999999999925E-2</v>
      </c>
      <c r="G2326">
        <f t="shared" si="73"/>
        <v>71.166428448164964</v>
      </c>
    </row>
    <row r="2327" spans="2:7">
      <c r="B2327" t="s">
        <v>2</v>
      </c>
      <c r="C2327" s="2">
        <v>38688</v>
      </c>
      <c r="D2327" t="s">
        <v>6</v>
      </c>
      <c r="E2327">
        <v>5.085331</v>
      </c>
      <c r="F2327">
        <f t="shared" si="72"/>
        <v>-2.3759999999999337E-3</v>
      </c>
      <c r="G2327">
        <f t="shared" si="73"/>
        <v>71.333768442149349</v>
      </c>
    </row>
    <row r="2328" spans="2:7">
      <c r="B2328" t="s">
        <v>2</v>
      </c>
      <c r="C2328" s="2">
        <v>38687</v>
      </c>
      <c r="D2328" t="s">
        <v>6</v>
      </c>
      <c r="E2328">
        <v>5.087707</v>
      </c>
      <c r="F2328">
        <f t="shared" si="72"/>
        <v>4.2600000000000193E-2</v>
      </c>
      <c r="G2328">
        <f t="shared" si="73"/>
        <v>71.898480137928217</v>
      </c>
    </row>
    <row r="2329" spans="2:7">
      <c r="B2329" t="s">
        <v>2</v>
      </c>
      <c r="C2329" s="2">
        <v>38686</v>
      </c>
      <c r="D2329" t="s">
        <v>6</v>
      </c>
      <c r="E2329">
        <v>5.0451069999999998</v>
      </c>
      <c r="F2329">
        <f t="shared" si="72"/>
        <v>2.0748000000000211E-2</v>
      </c>
      <c r="G2329">
        <f t="shared" si="73"/>
        <v>71.593175622538368</v>
      </c>
    </row>
    <row r="2330" spans="2:7">
      <c r="B2330" t="s">
        <v>2</v>
      </c>
      <c r="C2330" s="2">
        <v>38685</v>
      </c>
      <c r="D2330" t="s">
        <v>6</v>
      </c>
      <c r="E2330">
        <v>5.0243589999999996</v>
      </c>
      <c r="F2330">
        <f t="shared" si="72"/>
        <v>7.7749999999999986E-2</v>
      </c>
      <c r="G2330">
        <f t="shared" si="73"/>
        <v>71.556882262543979</v>
      </c>
    </row>
    <row r="2331" spans="2:7">
      <c r="B2331" t="s">
        <v>2</v>
      </c>
      <c r="C2331" s="2">
        <v>38684</v>
      </c>
      <c r="D2331" t="s">
        <v>6</v>
      </c>
      <c r="E2331">
        <v>4.9466089999999996</v>
      </c>
      <c r="F2331">
        <f t="shared" si="72"/>
        <v>-2.7128000000000263E-2</v>
      </c>
      <c r="G2331">
        <f t="shared" si="73"/>
        <v>72.336226977646291</v>
      </c>
    </row>
    <row r="2332" spans="2:7">
      <c r="B2332" t="s">
        <v>2</v>
      </c>
      <c r="C2332" s="2">
        <v>38681</v>
      </c>
      <c r="D2332" t="s">
        <v>6</v>
      </c>
      <c r="E2332">
        <v>4.9737369999999999</v>
      </c>
      <c r="F2332">
        <f t="shared" si="72"/>
        <v>-4.162800000000022E-2</v>
      </c>
      <c r="G2332">
        <f t="shared" si="73"/>
        <v>74.9592439856184</v>
      </c>
    </row>
    <row r="2333" spans="2:7">
      <c r="B2333" t="s">
        <v>2</v>
      </c>
      <c r="C2333" s="2">
        <v>38679</v>
      </c>
      <c r="D2333" t="s">
        <v>6</v>
      </c>
      <c r="E2333">
        <v>5.0153650000000001</v>
      </c>
      <c r="F2333">
        <f t="shared" si="72"/>
        <v>5.0062999999999747E-2</v>
      </c>
      <c r="G2333">
        <f t="shared" si="73"/>
        <v>74.48259646938547</v>
      </c>
    </row>
    <row r="2334" spans="2:7">
      <c r="B2334" t="s">
        <v>2</v>
      </c>
      <c r="C2334" s="2">
        <v>38678</v>
      </c>
      <c r="D2334" t="s">
        <v>6</v>
      </c>
      <c r="E2334">
        <v>4.9653020000000003</v>
      </c>
      <c r="F2334">
        <f t="shared" si="72"/>
        <v>-3.7452999999999292E-2</v>
      </c>
      <c r="G2334">
        <f t="shared" si="73"/>
        <v>74.137880903914493</v>
      </c>
    </row>
    <row r="2335" spans="2:7">
      <c r="B2335" t="s">
        <v>2</v>
      </c>
      <c r="C2335" s="2">
        <v>38677</v>
      </c>
      <c r="D2335" t="s">
        <v>6</v>
      </c>
      <c r="E2335">
        <v>5.0027549999999996</v>
      </c>
      <c r="F2335">
        <f t="shared" si="72"/>
        <v>-4.6910000000000451E-2</v>
      </c>
      <c r="G2335">
        <f t="shared" si="73"/>
        <v>73.755502505558511</v>
      </c>
    </row>
    <row r="2336" spans="2:7">
      <c r="B2336" t="s">
        <v>2</v>
      </c>
      <c r="C2336" s="2">
        <v>38674</v>
      </c>
      <c r="D2336" t="s">
        <v>6</v>
      </c>
      <c r="E2336">
        <v>5.0496650000000001</v>
      </c>
      <c r="F2336">
        <f t="shared" si="72"/>
        <v>5.5320000000000036E-2</v>
      </c>
      <c r="G2336">
        <f t="shared" si="73"/>
        <v>72.972200920700942</v>
      </c>
    </row>
    <row r="2337" spans="2:7">
      <c r="B2337" t="s">
        <v>2</v>
      </c>
      <c r="C2337" s="2">
        <v>38673</v>
      </c>
      <c r="D2337" t="s">
        <v>6</v>
      </c>
      <c r="E2337">
        <v>4.994345</v>
      </c>
      <c r="F2337">
        <f t="shared" si="72"/>
        <v>-3.203200000000006E-2</v>
      </c>
      <c r="G2337">
        <f t="shared" si="73"/>
        <v>72.654411304689987</v>
      </c>
    </row>
    <row r="2338" spans="2:7">
      <c r="B2338" t="s">
        <v>2</v>
      </c>
      <c r="C2338" s="2">
        <v>38672</v>
      </c>
      <c r="D2338" t="s">
        <v>6</v>
      </c>
      <c r="E2338">
        <v>5.0263770000000001</v>
      </c>
      <c r="F2338">
        <f t="shared" si="72"/>
        <v>-7.533199999999951E-2</v>
      </c>
      <c r="G2338">
        <f t="shared" si="73"/>
        <v>72.239710120870825</v>
      </c>
    </row>
    <row r="2339" spans="2:7">
      <c r="B2339" t="s">
        <v>2</v>
      </c>
      <c r="C2339" s="2">
        <v>38671</v>
      </c>
      <c r="D2339" t="s">
        <v>6</v>
      </c>
      <c r="E2339">
        <v>5.1017089999999996</v>
      </c>
      <c r="F2339">
        <f t="shared" si="72"/>
        <v>-4.8948000000000214E-2</v>
      </c>
      <c r="G2339">
        <f t="shared" si="73"/>
        <v>70.254162004622501</v>
      </c>
    </row>
    <row r="2340" spans="2:7">
      <c r="B2340" t="s">
        <v>2</v>
      </c>
      <c r="C2340" s="2">
        <v>38670</v>
      </c>
      <c r="D2340" t="s">
        <v>6</v>
      </c>
      <c r="E2340">
        <v>5.1506569999999998</v>
      </c>
      <c r="F2340">
        <f t="shared" si="72"/>
        <v>5.1552000000000042E-2</v>
      </c>
      <c r="G2340">
        <f t="shared" si="73"/>
        <v>70.656078728960765</v>
      </c>
    </row>
    <row r="2341" spans="2:7">
      <c r="B2341" t="s">
        <v>2</v>
      </c>
      <c r="C2341" s="2">
        <v>38666</v>
      </c>
      <c r="D2341" t="s">
        <v>6</v>
      </c>
      <c r="E2341">
        <v>5.0991049999999998</v>
      </c>
      <c r="F2341">
        <f t="shared" si="72"/>
        <v>-7.9419999999999824E-2</v>
      </c>
      <c r="G2341">
        <f t="shared" si="73"/>
        <v>70.605469091129066</v>
      </c>
    </row>
    <row r="2342" spans="2:7">
      <c r="B2342" t="s">
        <v>2</v>
      </c>
      <c r="C2342" s="2">
        <v>38665</v>
      </c>
      <c r="D2342" t="s">
        <v>6</v>
      </c>
      <c r="E2342">
        <v>5.1785249999999996</v>
      </c>
      <c r="F2342">
        <f t="shared" si="72"/>
        <v>7.7617999999999299E-2</v>
      </c>
      <c r="G2342">
        <f t="shared" si="73"/>
        <v>69.218087949103278</v>
      </c>
    </row>
    <row r="2343" spans="2:7">
      <c r="B2343" t="s">
        <v>2</v>
      </c>
      <c r="C2343" s="2">
        <v>38664</v>
      </c>
      <c r="D2343" t="s">
        <v>6</v>
      </c>
      <c r="E2343">
        <v>5.1009070000000003</v>
      </c>
      <c r="F2343">
        <f t="shared" si="72"/>
        <v>-8.8986999999999483E-2</v>
      </c>
      <c r="G2343">
        <f t="shared" si="73"/>
        <v>67.9444481392797</v>
      </c>
    </row>
    <row r="2344" spans="2:7">
      <c r="B2344" t="s">
        <v>2</v>
      </c>
      <c r="C2344" s="2">
        <v>38663</v>
      </c>
      <c r="D2344" t="s">
        <v>6</v>
      </c>
      <c r="E2344">
        <v>5.1898939999999998</v>
      </c>
      <c r="F2344">
        <f t="shared" si="72"/>
        <v>-2.1535000000000082E-2</v>
      </c>
      <c r="G2344">
        <f t="shared" si="73"/>
        <v>68.147299666689491</v>
      </c>
    </row>
    <row r="2345" spans="2:7">
      <c r="B2345" t="s">
        <v>2</v>
      </c>
      <c r="C2345" s="2">
        <v>38660</v>
      </c>
      <c r="D2345" t="s">
        <v>6</v>
      </c>
      <c r="E2345">
        <v>5.2114289999999999</v>
      </c>
      <c r="F2345">
        <f t="shared" si="72"/>
        <v>1.7354000000000092E-2</v>
      </c>
      <c r="G2345">
        <f t="shared" si="73"/>
        <v>69.676388032668214</v>
      </c>
    </row>
    <row r="2346" spans="2:7">
      <c r="B2346" t="s">
        <v>2</v>
      </c>
      <c r="C2346" s="2">
        <v>38659</v>
      </c>
      <c r="D2346" t="s">
        <v>6</v>
      </c>
      <c r="E2346">
        <v>5.1940749999999998</v>
      </c>
      <c r="F2346">
        <f t="shared" si="72"/>
        <v>5.2686999999999706E-2</v>
      </c>
      <c r="G2346">
        <f t="shared" si="73"/>
        <v>69.675962638008741</v>
      </c>
    </row>
    <row r="2347" spans="2:7">
      <c r="B2347" t="s">
        <v>2</v>
      </c>
      <c r="C2347" s="2">
        <v>38658</v>
      </c>
      <c r="D2347" t="s">
        <v>6</v>
      </c>
      <c r="E2347">
        <v>5.1413880000000001</v>
      </c>
      <c r="F2347">
        <f t="shared" si="72"/>
        <v>4.1751999999999789E-2</v>
      </c>
      <c r="G2347">
        <f t="shared" si="73"/>
        <v>69.332906953099055</v>
      </c>
    </row>
    <row r="2348" spans="2:7">
      <c r="B2348" t="s">
        <v>2</v>
      </c>
      <c r="C2348" s="2">
        <v>38657</v>
      </c>
      <c r="D2348" t="s">
        <v>6</v>
      </c>
      <c r="E2348">
        <v>5.0996360000000003</v>
      </c>
      <c r="F2348">
        <f t="shared" si="72"/>
        <v>2.260700000000071E-2</v>
      </c>
      <c r="G2348">
        <f t="shared" si="73"/>
        <v>69.187176533313163</v>
      </c>
    </row>
    <row r="2349" spans="2:7">
      <c r="B2349" t="s">
        <v>2</v>
      </c>
      <c r="C2349" s="2">
        <v>38656</v>
      </c>
      <c r="D2349" t="s">
        <v>6</v>
      </c>
      <c r="E2349">
        <v>5.0770289999999996</v>
      </c>
      <c r="F2349">
        <f t="shared" si="72"/>
        <v>3.69399999999942E-3</v>
      </c>
      <c r="G2349">
        <f t="shared" si="73"/>
        <v>70.536801177812876</v>
      </c>
    </row>
    <row r="2350" spans="2:7">
      <c r="B2350" t="s">
        <v>2</v>
      </c>
      <c r="C2350" s="2">
        <v>38653</v>
      </c>
      <c r="D2350" t="s">
        <v>6</v>
      </c>
      <c r="E2350">
        <v>5.0733350000000002</v>
      </c>
      <c r="F2350">
        <f t="shared" si="72"/>
        <v>1.1346999999999774E-2</v>
      </c>
      <c r="G2350">
        <f t="shared" si="73"/>
        <v>70.638023291279112</v>
      </c>
    </row>
    <row r="2351" spans="2:7">
      <c r="B2351" t="s">
        <v>2</v>
      </c>
      <c r="C2351" s="2">
        <v>38652</v>
      </c>
      <c r="D2351" t="s">
        <v>6</v>
      </c>
      <c r="E2351">
        <v>5.0619880000000004</v>
      </c>
      <c r="F2351">
        <f t="shared" si="72"/>
        <v>-2.9444999999999943E-2</v>
      </c>
      <c r="G2351">
        <f t="shared" si="73"/>
        <v>71.261683991425457</v>
      </c>
    </row>
    <row r="2352" spans="2:7">
      <c r="B2352" t="s">
        <v>2</v>
      </c>
      <c r="C2352" s="2">
        <v>38651</v>
      </c>
      <c r="D2352" t="s">
        <v>6</v>
      </c>
      <c r="E2352">
        <v>5.0914330000000003</v>
      </c>
      <c r="F2352">
        <f t="shared" si="72"/>
        <v>9.3024000000000662E-2</v>
      </c>
      <c r="G2352">
        <f t="shared" si="73"/>
        <v>70.951414188256734</v>
      </c>
    </row>
    <row r="2353" spans="2:7">
      <c r="B2353" t="s">
        <v>2</v>
      </c>
      <c r="C2353" s="2">
        <v>38650</v>
      </c>
      <c r="D2353" t="s">
        <v>6</v>
      </c>
      <c r="E2353">
        <v>4.9984089999999997</v>
      </c>
      <c r="F2353">
        <f t="shared" si="72"/>
        <v>6.17169999999998E-2</v>
      </c>
      <c r="G2353">
        <f t="shared" si="73"/>
        <v>68.889953709343985</v>
      </c>
    </row>
    <row r="2354" spans="2:7">
      <c r="B2354" t="s">
        <v>2</v>
      </c>
      <c r="C2354" s="2">
        <v>38649</v>
      </c>
      <c r="D2354" t="s">
        <v>6</v>
      </c>
      <c r="E2354">
        <v>4.9366919999999999</v>
      </c>
      <c r="F2354">
        <f t="shared" si="72"/>
        <v>6.0115999999999836E-2</v>
      </c>
      <c r="G2354">
        <f t="shared" si="73"/>
        <v>71.001906704444622</v>
      </c>
    </row>
    <row r="2355" spans="2:7">
      <c r="B2355" t="s">
        <v>2</v>
      </c>
      <c r="C2355" s="2">
        <v>38646</v>
      </c>
      <c r="D2355" t="s">
        <v>6</v>
      </c>
      <c r="E2355">
        <v>4.876576</v>
      </c>
      <c r="F2355">
        <f t="shared" si="72"/>
        <v>-6.7954999999999544E-2</v>
      </c>
      <c r="G2355">
        <f t="shared" si="73"/>
        <v>71.756358406209074</v>
      </c>
    </row>
    <row r="2356" spans="2:7">
      <c r="B2356" t="s">
        <v>2</v>
      </c>
      <c r="C2356" s="2">
        <v>38645</v>
      </c>
      <c r="D2356" t="s">
        <v>6</v>
      </c>
      <c r="E2356">
        <v>4.9445309999999996</v>
      </c>
      <c r="F2356">
        <f t="shared" si="72"/>
        <v>-3.700000000002035E-4</v>
      </c>
      <c r="G2356">
        <f t="shared" si="73"/>
        <v>70.292489698985023</v>
      </c>
    </row>
    <row r="2357" spans="2:7">
      <c r="B2357" t="s">
        <v>2</v>
      </c>
      <c r="C2357" s="2">
        <v>38644</v>
      </c>
      <c r="D2357" t="s">
        <v>6</v>
      </c>
      <c r="E2357">
        <v>4.9449009999999998</v>
      </c>
      <c r="F2357">
        <f t="shared" si="72"/>
        <v>-1.3910000000000089E-2</v>
      </c>
      <c r="G2357">
        <f t="shared" si="73"/>
        <v>70.30876746836698</v>
      </c>
    </row>
    <row r="2358" spans="2:7">
      <c r="B2358" t="s">
        <v>2</v>
      </c>
      <c r="C2358" s="2">
        <v>38643</v>
      </c>
      <c r="D2358" t="s">
        <v>6</v>
      </c>
      <c r="E2358">
        <v>4.9588109999999999</v>
      </c>
      <c r="F2358">
        <f t="shared" si="72"/>
        <v>-1.778499999999994E-2</v>
      </c>
      <c r="G2358">
        <f t="shared" si="73"/>
        <v>70.308618915133906</v>
      </c>
    </row>
    <row r="2359" spans="2:7">
      <c r="B2359" t="s">
        <v>2</v>
      </c>
      <c r="C2359" s="2">
        <v>38642</v>
      </c>
      <c r="D2359" t="s">
        <v>6</v>
      </c>
      <c r="E2359">
        <v>4.9765959999999998</v>
      </c>
      <c r="F2359">
        <f t="shared" si="72"/>
        <v>2.3369999999998115E-3</v>
      </c>
      <c r="G2359">
        <f t="shared" si="73"/>
        <v>71.415697178363715</v>
      </c>
    </row>
    <row r="2360" spans="2:7">
      <c r="B2360" t="s">
        <v>2</v>
      </c>
      <c r="C2360" s="2">
        <v>38639</v>
      </c>
      <c r="D2360" t="s">
        <v>6</v>
      </c>
      <c r="E2360">
        <v>4.974259</v>
      </c>
      <c r="F2360">
        <f t="shared" si="72"/>
        <v>1.6653999999999947E-2</v>
      </c>
      <c r="G2360">
        <f t="shared" si="73"/>
        <v>75.683530272089712</v>
      </c>
    </row>
    <row r="2361" spans="2:7">
      <c r="B2361" t="s">
        <v>2</v>
      </c>
      <c r="C2361" s="2">
        <v>38638</v>
      </c>
      <c r="D2361" t="s">
        <v>6</v>
      </c>
      <c r="E2361">
        <v>4.957605</v>
      </c>
      <c r="F2361">
        <f t="shared" si="72"/>
        <v>3.9882000000000417E-2</v>
      </c>
      <c r="G2361">
        <f t="shared" si="73"/>
        <v>75.952726890157422</v>
      </c>
    </row>
    <row r="2362" spans="2:7">
      <c r="B2362" t="s">
        <v>2</v>
      </c>
      <c r="C2362" s="2">
        <v>38637</v>
      </c>
      <c r="D2362" t="s">
        <v>6</v>
      </c>
      <c r="E2362">
        <v>4.9177229999999996</v>
      </c>
      <c r="F2362">
        <f t="shared" si="72"/>
        <v>6.2752999999999837E-2</v>
      </c>
      <c r="G2362">
        <f t="shared" si="73"/>
        <v>75.965114109161519</v>
      </c>
    </row>
    <row r="2363" spans="2:7">
      <c r="B2363" t="s">
        <v>2</v>
      </c>
      <c r="C2363" s="2">
        <v>38636</v>
      </c>
      <c r="D2363" t="s">
        <v>6</v>
      </c>
      <c r="E2363">
        <v>4.8549699999999998</v>
      </c>
      <c r="F2363">
        <f t="shared" si="72"/>
        <v>3.1953999999999816E-2</v>
      </c>
      <c r="G2363">
        <f t="shared" si="73"/>
        <v>75.751870744641323</v>
      </c>
    </row>
    <row r="2364" spans="2:7">
      <c r="B2364" t="s">
        <v>2</v>
      </c>
      <c r="C2364" s="2">
        <v>38632</v>
      </c>
      <c r="D2364" t="s">
        <v>6</v>
      </c>
      <c r="E2364">
        <v>4.823016</v>
      </c>
      <c r="F2364">
        <f t="shared" si="72"/>
        <v>-9.2559999999997089E-3</v>
      </c>
      <c r="G2364">
        <f t="shared" si="73"/>
        <v>75.555925631264486</v>
      </c>
    </row>
    <row r="2365" spans="2:7">
      <c r="B2365" t="s">
        <v>2</v>
      </c>
      <c r="C2365" s="2">
        <v>38631</v>
      </c>
      <c r="D2365" t="s">
        <v>6</v>
      </c>
      <c r="E2365">
        <v>4.8322719999999997</v>
      </c>
      <c r="F2365">
        <f t="shared" si="72"/>
        <v>5.6549999999999656E-3</v>
      </c>
      <c r="G2365">
        <f t="shared" si="73"/>
        <v>75.585910972212858</v>
      </c>
    </row>
    <row r="2366" spans="2:7">
      <c r="B2366" t="s">
        <v>2</v>
      </c>
      <c r="C2366" s="2">
        <v>38630</v>
      </c>
      <c r="D2366" t="s">
        <v>6</v>
      </c>
      <c r="E2366">
        <v>4.8266169999999997</v>
      </c>
      <c r="F2366">
        <f t="shared" si="72"/>
        <v>-2.1133999999999986E-2</v>
      </c>
      <c r="G2366">
        <f t="shared" si="73"/>
        <v>75.612596818359648</v>
      </c>
    </row>
    <row r="2367" spans="2:7">
      <c r="B2367" t="s">
        <v>2</v>
      </c>
      <c r="C2367" s="2">
        <v>38629</v>
      </c>
      <c r="D2367" t="s">
        <v>6</v>
      </c>
      <c r="E2367">
        <v>4.8477509999999997</v>
      </c>
      <c r="F2367">
        <f t="shared" si="72"/>
        <v>-1.1233000000000715E-2</v>
      </c>
      <c r="G2367">
        <f t="shared" si="73"/>
        <v>75.74674981919425</v>
      </c>
    </row>
    <row r="2368" spans="2:7">
      <c r="B2368" t="s">
        <v>2</v>
      </c>
      <c r="C2368" s="2">
        <v>38628</v>
      </c>
      <c r="D2368" t="s">
        <v>6</v>
      </c>
      <c r="E2368">
        <v>4.8589840000000004</v>
      </c>
      <c r="F2368">
        <f t="shared" si="72"/>
        <v>6.9796000000000191E-2</v>
      </c>
      <c r="G2368">
        <f t="shared" si="73"/>
        <v>75.745071141593399</v>
      </c>
    </row>
    <row r="2369" spans="2:7">
      <c r="B2369" t="s">
        <v>2</v>
      </c>
      <c r="C2369" s="2">
        <v>38625</v>
      </c>
      <c r="D2369" t="s">
        <v>6</v>
      </c>
      <c r="E2369">
        <v>4.7891880000000002</v>
      </c>
      <c r="F2369">
        <f t="shared" si="72"/>
        <v>4.2434000000000083E-2</v>
      </c>
      <c r="G2369">
        <f t="shared" si="73"/>
        <v>75.552409837331453</v>
      </c>
    </row>
    <row r="2370" spans="2:7">
      <c r="B2370" t="s">
        <v>2</v>
      </c>
      <c r="C2370" s="2">
        <v>38624</v>
      </c>
      <c r="D2370" t="s">
        <v>6</v>
      </c>
      <c r="E2370">
        <v>4.7467540000000001</v>
      </c>
      <c r="F2370">
        <f t="shared" si="72"/>
        <v>3.0689999999999884E-2</v>
      </c>
      <c r="G2370">
        <f t="shared" si="73"/>
        <v>75.461537053148604</v>
      </c>
    </row>
    <row r="2371" spans="2:7">
      <c r="B2371" t="s">
        <v>2</v>
      </c>
      <c r="C2371" s="2">
        <v>38623</v>
      </c>
      <c r="D2371" t="s">
        <v>6</v>
      </c>
      <c r="E2371">
        <v>4.7160640000000003</v>
      </c>
      <c r="F2371">
        <f t="shared" ref="F2371:F2434" si="74">E2371-E2372</f>
        <v>-4.2167999999999317E-2</v>
      </c>
      <c r="G2371">
        <f t="shared" ref="G2371:G2434" si="75">STDEV(F2371:F2430)*SQRT(250)*100</f>
        <v>75.763149003071234</v>
      </c>
    </row>
    <row r="2372" spans="2:7">
      <c r="B2372" t="s">
        <v>2</v>
      </c>
      <c r="C2372" s="2">
        <v>38622</v>
      </c>
      <c r="D2372" t="s">
        <v>6</v>
      </c>
      <c r="E2372">
        <v>4.7582319999999996</v>
      </c>
      <c r="F2372">
        <f t="shared" si="74"/>
        <v>1.3743999999999978E-2</v>
      </c>
      <c r="G2372">
        <f t="shared" si="75"/>
        <v>76.713944873458388</v>
      </c>
    </row>
    <row r="2373" spans="2:7">
      <c r="B2373" t="s">
        <v>2</v>
      </c>
      <c r="C2373" s="2">
        <v>38621</v>
      </c>
      <c r="D2373" t="s">
        <v>6</v>
      </c>
      <c r="E2373">
        <v>4.7444879999999996</v>
      </c>
      <c r="F2373">
        <f t="shared" si="74"/>
        <v>4.6523999999999788E-2</v>
      </c>
      <c r="G2373">
        <f t="shared" si="75"/>
        <v>79.634074574525542</v>
      </c>
    </row>
    <row r="2374" spans="2:7">
      <c r="B2374" t="s">
        <v>2</v>
      </c>
      <c r="C2374" s="2">
        <v>38618</v>
      </c>
      <c r="D2374" t="s">
        <v>6</v>
      </c>
      <c r="E2374">
        <v>4.6979639999999998</v>
      </c>
      <c r="F2374">
        <f t="shared" si="74"/>
        <v>8.3711000000000091E-2</v>
      </c>
      <c r="G2374">
        <f t="shared" si="75"/>
        <v>79.91608120575799</v>
      </c>
    </row>
    <row r="2375" spans="2:7">
      <c r="B2375" t="s">
        <v>2</v>
      </c>
      <c r="C2375" s="2">
        <v>38617</v>
      </c>
      <c r="D2375" t="s">
        <v>6</v>
      </c>
      <c r="E2375">
        <v>4.6142529999999997</v>
      </c>
      <c r="F2375">
        <f t="shared" si="74"/>
        <v>-1.4380000000000059E-2</v>
      </c>
      <c r="G2375">
        <f t="shared" si="75"/>
        <v>78.354258040764051</v>
      </c>
    </row>
    <row r="2376" spans="2:7">
      <c r="B2376" t="s">
        <v>2</v>
      </c>
      <c r="C2376" s="2">
        <v>38616</v>
      </c>
      <c r="D2376" t="s">
        <v>6</v>
      </c>
      <c r="E2376">
        <v>4.6286329999999998</v>
      </c>
      <c r="F2376">
        <f t="shared" si="74"/>
        <v>-6.8376000000000658E-2</v>
      </c>
      <c r="G2376">
        <f t="shared" si="75"/>
        <v>79.532356357609444</v>
      </c>
    </row>
    <row r="2377" spans="2:7">
      <c r="B2377" t="s">
        <v>2</v>
      </c>
      <c r="C2377" s="2">
        <v>38615</v>
      </c>
      <c r="D2377" t="s">
        <v>6</v>
      </c>
      <c r="E2377">
        <v>4.6970090000000004</v>
      </c>
      <c r="F2377">
        <f t="shared" si="74"/>
        <v>2.0650000000008717E-3</v>
      </c>
      <c r="G2377">
        <f t="shared" si="75"/>
        <v>78.1852808606032</v>
      </c>
    </row>
    <row r="2378" spans="2:7">
      <c r="B2378" t="s">
        <v>2</v>
      </c>
      <c r="C2378" s="2">
        <v>38614</v>
      </c>
      <c r="D2378" t="s">
        <v>6</v>
      </c>
      <c r="E2378">
        <v>4.6949439999999996</v>
      </c>
      <c r="F2378">
        <f t="shared" si="74"/>
        <v>-9.3860000000001165E-3</v>
      </c>
      <c r="G2378">
        <f t="shared" si="75"/>
        <v>78.79116734970863</v>
      </c>
    </row>
    <row r="2379" spans="2:7">
      <c r="B2379" t="s">
        <v>2</v>
      </c>
      <c r="C2379" s="2">
        <v>38611</v>
      </c>
      <c r="D2379" t="s">
        <v>6</v>
      </c>
      <c r="E2379">
        <v>4.7043299999999997</v>
      </c>
      <c r="F2379">
        <f t="shared" si="74"/>
        <v>6.0432999999999737E-2</v>
      </c>
      <c r="G2379">
        <f t="shared" si="75"/>
        <v>78.806388071763308</v>
      </c>
    </row>
    <row r="2380" spans="2:7">
      <c r="B2380" t="s">
        <v>2</v>
      </c>
      <c r="C2380" s="2">
        <v>38610</v>
      </c>
      <c r="D2380" t="s">
        <v>6</v>
      </c>
      <c r="E2380">
        <v>4.6438969999999999</v>
      </c>
      <c r="F2380">
        <f t="shared" si="74"/>
        <v>5.6668000000000163E-2</v>
      </c>
      <c r="G2380">
        <f t="shared" si="75"/>
        <v>81.705117130386895</v>
      </c>
    </row>
    <row r="2381" spans="2:7">
      <c r="B2381" t="s">
        <v>2</v>
      </c>
      <c r="C2381" s="2">
        <v>38609</v>
      </c>
      <c r="D2381" t="s">
        <v>6</v>
      </c>
      <c r="E2381">
        <v>4.5872289999999998</v>
      </c>
      <c r="F2381">
        <f t="shared" si="74"/>
        <v>2.9962999999999518E-2</v>
      </c>
      <c r="G2381">
        <f t="shared" si="75"/>
        <v>81.929439227117285</v>
      </c>
    </row>
    <row r="2382" spans="2:7">
      <c r="B2382" t="s">
        <v>2</v>
      </c>
      <c r="C2382" s="2">
        <v>38608</v>
      </c>
      <c r="D2382" t="s">
        <v>6</v>
      </c>
      <c r="E2382">
        <v>4.5572660000000003</v>
      </c>
      <c r="F2382">
        <f t="shared" si="74"/>
        <v>-3.6628999999999579E-2</v>
      </c>
      <c r="G2382">
        <f t="shared" si="75"/>
        <v>81.811198977751516</v>
      </c>
    </row>
    <row r="2383" spans="2:7">
      <c r="B2383" t="s">
        <v>2</v>
      </c>
      <c r="C2383" s="2">
        <v>38607</v>
      </c>
      <c r="D2383" t="s">
        <v>6</v>
      </c>
      <c r="E2383">
        <v>4.5938949999999998</v>
      </c>
      <c r="F2383">
        <f t="shared" si="74"/>
        <v>3.9677999999999436E-2</v>
      </c>
      <c r="G2383">
        <f t="shared" si="75"/>
        <v>81.439123065432497</v>
      </c>
    </row>
    <row r="2384" spans="2:7">
      <c r="B2384" t="s">
        <v>2</v>
      </c>
      <c r="C2384" s="2">
        <v>38604</v>
      </c>
      <c r="D2384" t="s">
        <v>6</v>
      </c>
      <c r="E2384">
        <v>4.5542170000000004</v>
      </c>
      <c r="F2384">
        <f t="shared" si="74"/>
        <v>-2.1689999999999543E-2</v>
      </c>
      <c r="G2384">
        <f t="shared" si="75"/>
        <v>81.677146418267242</v>
      </c>
    </row>
    <row r="2385" spans="2:7">
      <c r="B2385" t="s">
        <v>2</v>
      </c>
      <c r="C2385" s="2">
        <v>38603</v>
      </c>
      <c r="D2385" t="s">
        <v>6</v>
      </c>
      <c r="E2385">
        <v>4.5759069999999999</v>
      </c>
      <c r="F2385">
        <f t="shared" si="74"/>
        <v>-7.0880000000004273E-3</v>
      </c>
      <c r="G2385">
        <f t="shared" si="75"/>
        <v>81.565706944719977</v>
      </c>
    </row>
    <row r="2386" spans="2:7">
      <c r="B2386" t="s">
        <v>2</v>
      </c>
      <c r="C2386" s="2">
        <v>38602</v>
      </c>
      <c r="D2386" t="s">
        <v>6</v>
      </c>
      <c r="E2386">
        <v>4.5829950000000004</v>
      </c>
      <c r="F2386">
        <f t="shared" si="74"/>
        <v>5.3260000000000751E-2</v>
      </c>
      <c r="G2386">
        <f t="shared" si="75"/>
        <v>82.062723249191762</v>
      </c>
    </row>
    <row r="2387" spans="2:7">
      <c r="B2387" t="s">
        <v>2</v>
      </c>
      <c r="C2387" s="2">
        <v>38601</v>
      </c>
      <c r="D2387" t="s">
        <v>6</v>
      </c>
      <c r="E2387">
        <v>4.5297349999999996</v>
      </c>
      <c r="F2387">
        <f t="shared" si="74"/>
        <v>5.507799999999996E-2</v>
      </c>
      <c r="G2387">
        <f t="shared" si="75"/>
        <v>82.07315810303416</v>
      </c>
    </row>
    <row r="2388" spans="2:7">
      <c r="B2388" t="s">
        <v>2</v>
      </c>
      <c r="C2388" s="2">
        <v>38597</v>
      </c>
      <c r="D2388" t="s">
        <v>6</v>
      </c>
      <c r="E2388">
        <v>4.4746569999999997</v>
      </c>
      <c r="F2388">
        <f t="shared" si="74"/>
        <v>1.5418999999999627E-2</v>
      </c>
      <c r="G2388">
        <f t="shared" si="75"/>
        <v>83.007337854944012</v>
      </c>
    </row>
    <row r="2389" spans="2:7">
      <c r="B2389" t="s">
        <v>2</v>
      </c>
      <c r="C2389" s="2">
        <v>38596</v>
      </c>
      <c r="D2389" t="s">
        <v>6</v>
      </c>
      <c r="E2389">
        <v>4.459238</v>
      </c>
      <c r="F2389">
        <f t="shared" si="74"/>
        <v>9.8469999999997171E-3</v>
      </c>
      <c r="G2389">
        <f t="shared" si="75"/>
        <v>83.156560591731534</v>
      </c>
    </row>
    <row r="2390" spans="2:7">
      <c r="B2390" t="s">
        <v>2</v>
      </c>
      <c r="C2390" s="2">
        <v>38595</v>
      </c>
      <c r="D2390" t="s">
        <v>6</v>
      </c>
      <c r="E2390">
        <v>4.4493910000000003</v>
      </c>
      <c r="F2390">
        <f t="shared" si="74"/>
        <v>-7.8157999999999284E-2</v>
      </c>
      <c r="G2390">
        <f t="shared" si="75"/>
        <v>83.286021774398861</v>
      </c>
    </row>
    <row r="2391" spans="2:7">
      <c r="B2391" t="s">
        <v>2</v>
      </c>
      <c r="C2391" s="2">
        <v>38594</v>
      </c>
      <c r="D2391" t="s">
        <v>6</v>
      </c>
      <c r="E2391">
        <v>4.5275489999999996</v>
      </c>
      <c r="F2391">
        <f t="shared" si="74"/>
        <v>-9.4790000000000596E-2</v>
      </c>
      <c r="G2391">
        <f t="shared" si="75"/>
        <v>82.482855938974211</v>
      </c>
    </row>
    <row r="2392" spans="2:7">
      <c r="B2392" t="s">
        <v>2</v>
      </c>
      <c r="C2392" s="2">
        <v>38593</v>
      </c>
      <c r="D2392" t="s">
        <v>6</v>
      </c>
      <c r="E2392">
        <v>4.6223390000000002</v>
      </c>
      <c r="F2392">
        <f t="shared" si="74"/>
        <v>-1.8284999999999663E-2</v>
      </c>
      <c r="G2392">
        <f t="shared" si="75"/>
        <v>80.13074475251814</v>
      </c>
    </row>
    <row r="2393" spans="2:7">
      <c r="B2393" t="s">
        <v>2</v>
      </c>
      <c r="C2393" s="2">
        <v>38590</v>
      </c>
      <c r="D2393" t="s">
        <v>6</v>
      </c>
      <c r="E2393">
        <v>4.6406239999999999</v>
      </c>
      <c r="F2393">
        <f t="shared" si="74"/>
        <v>3.2999000000000223E-2</v>
      </c>
      <c r="G2393">
        <f t="shared" si="75"/>
        <v>81.804404939568769</v>
      </c>
    </row>
    <row r="2394" spans="2:7">
      <c r="B2394" t="s">
        <v>2</v>
      </c>
      <c r="C2394" s="2">
        <v>38589</v>
      </c>
      <c r="D2394" t="s">
        <v>6</v>
      </c>
      <c r="E2394">
        <v>4.6076249999999996</v>
      </c>
      <c r="F2394">
        <f t="shared" si="74"/>
        <v>-1.763400000000015E-2</v>
      </c>
      <c r="G2394">
        <f t="shared" si="75"/>
        <v>81.676386588680629</v>
      </c>
    </row>
    <row r="2395" spans="2:7">
      <c r="B2395" t="s">
        <v>2</v>
      </c>
      <c r="C2395" s="2">
        <v>38588</v>
      </c>
      <c r="D2395" t="s">
        <v>6</v>
      </c>
      <c r="E2395">
        <v>4.6252589999999998</v>
      </c>
      <c r="F2395">
        <f t="shared" si="74"/>
        <v>-5.7990000000005537E-3</v>
      </c>
      <c r="G2395">
        <f t="shared" si="75"/>
        <v>84.553419836632912</v>
      </c>
    </row>
    <row r="2396" spans="2:7">
      <c r="B2396" t="s">
        <v>2</v>
      </c>
      <c r="C2396" s="2">
        <v>38587</v>
      </c>
      <c r="D2396" t="s">
        <v>6</v>
      </c>
      <c r="E2396">
        <v>4.6310580000000003</v>
      </c>
      <c r="F2396">
        <f t="shared" si="74"/>
        <v>-2.9984999999999928E-2</v>
      </c>
      <c r="G2396">
        <f t="shared" si="75"/>
        <v>86.027410502187365</v>
      </c>
    </row>
    <row r="2397" spans="2:7">
      <c r="B2397" t="s">
        <v>2</v>
      </c>
      <c r="C2397" s="2">
        <v>38586</v>
      </c>
      <c r="D2397" t="s">
        <v>6</v>
      </c>
      <c r="E2397">
        <v>4.6610430000000003</v>
      </c>
      <c r="F2397">
        <f t="shared" si="74"/>
        <v>1.8359999999999488E-3</v>
      </c>
      <c r="G2397">
        <f t="shared" si="75"/>
        <v>85.799698846855804</v>
      </c>
    </row>
    <row r="2398" spans="2:7">
      <c r="B2398" t="s">
        <v>2</v>
      </c>
      <c r="C2398" s="2">
        <v>38583</v>
      </c>
      <c r="D2398" t="s">
        <v>6</v>
      </c>
      <c r="E2398">
        <v>4.6592070000000003</v>
      </c>
      <c r="F2398">
        <f t="shared" si="74"/>
        <v>-9.179999999995303E-4</v>
      </c>
      <c r="G2398">
        <f t="shared" si="75"/>
        <v>85.799857019864717</v>
      </c>
    </row>
    <row r="2399" spans="2:7">
      <c r="B2399" t="s">
        <v>2</v>
      </c>
      <c r="C2399" s="2">
        <v>38582</v>
      </c>
      <c r="D2399" t="s">
        <v>6</v>
      </c>
      <c r="E2399">
        <v>4.6601249999999999</v>
      </c>
      <c r="F2399">
        <f t="shared" si="74"/>
        <v>-5.9790000000000454E-2</v>
      </c>
      <c r="G2399">
        <f t="shared" si="75"/>
        <v>85.886077572524982</v>
      </c>
    </row>
    <row r="2400" spans="2:7">
      <c r="B2400" t="s">
        <v>2</v>
      </c>
      <c r="C2400" s="2">
        <v>38581</v>
      </c>
      <c r="D2400" t="s">
        <v>6</v>
      </c>
      <c r="E2400">
        <v>4.7199150000000003</v>
      </c>
      <c r="F2400">
        <f t="shared" si="74"/>
        <v>4.9609000000000236E-2</v>
      </c>
      <c r="G2400">
        <f t="shared" si="75"/>
        <v>85.371267059579466</v>
      </c>
    </row>
    <row r="2401" spans="2:7">
      <c r="B2401" t="s">
        <v>2</v>
      </c>
      <c r="C2401" s="2">
        <v>38580</v>
      </c>
      <c r="D2401" t="s">
        <v>6</v>
      </c>
      <c r="E2401">
        <v>4.6703060000000001</v>
      </c>
      <c r="F2401">
        <f t="shared" si="74"/>
        <v>-4.701199999999961E-2</v>
      </c>
      <c r="G2401">
        <f t="shared" si="75"/>
        <v>85.787727061171296</v>
      </c>
    </row>
    <row r="2402" spans="2:7">
      <c r="B2402" t="s">
        <v>2</v>
      </c>
      <c r="C2402" s="2">
        <v>38579</v>
      </c>
      <c r="D2402" t="s">
        <v>6</v>
      </c>
      <c r="E2402">
        <v>4.7173179999999997</v>
      </c>
      <c r="F2402">
        <f t="shared" si="74"/>
        <v>3.5909999999999442E-2</v>
      </c>
      <c r="G2402">
        <f t="shared" si="75"/>
        <v>85.260676361489359</v>
      </c>
    </row>
    <row r="2403" spans="2:7">
      <c r="B2403" t="s">
        <v>2</v>
      </c>
      <c r="C2403" s="2">
        <v>38576</v>
      </c>
      <c r="D2403" t="s">
        <v>6</v>
      </c>
      <c r="E2403">
        <v>4.6814080000000002</v>
      </c>
      <c r="F2403">
        <f t="shared" si="74"/>
        <v>-9.2323999999999629E-2</v>
      </c>
      <c r="G2403">
        <f t="shared" si="75"/>
        <v>85.283141716430137</v>
      </c>
    </row>
    <row r="2404" spans="2:7">
      <c r="B2404" t="s">
        <v>2</v>
      </c>
      <c r="C2404" s="2">
        <v>38575</v>
      </c>
      <c r="D2404" t="s">
        <v>6</v>
      </c>
      <c r="E2404">
        <v>4.7737319999999999</v>
      </c>
      <c r="F2404">
        <f t="shared" si="74"/>
        <v>-6.9367999999999874E-2</v>
      </c>
      <c r="G2404">
        <f t="shared" si="75"/>
        <v>84.075082068364665</v>
      </c>
    </row>
    <row r="2405" spans="2:7">
      <c r="B2405" t="s">
        <v>2</v>
      </c>
      <c r="C2405" s="2">
        <v>38574</v>
      </c>
      <c r="D2405" t="s">
        <v>6</v>
      </c>
      <c r="E2405">
        <v>4.8430999999999997</v>
      </c>
      <c r="F2405">
        <f t="shared" si="74"/>
        <v>-5.3939999999998989E-3</v>
      </c>
      <c r="G2405">
        <f t="shared" si="75"/>
        <v>82.754775668169856</v>
      </c>
    </row>
    <row r="2406" spans="2:7">
      <c r="B2406" t="s">
        <v>2</v>
      </c>
      <c r="C2406" s="2">
        <v>38573</v>
      </c>
      <c r="D2406" t="s">
        <v>6</v>
      </c>
      <c r="E2406">
        <v>4.8484939999999996</v>
      </c>
      <c r="F2406">
        <f t="shared" si="74"/>
        <v>-2.8695000000000803E-2</v>
      </c>
      <c r="G2406">
        <f t="shared" si="75"/>
        <v>82.73609919336576</v>
      </c>
    </row>
    <row r="2407" spans="2:7">
      <c r="B2407" t="s">
        <v>2</v>
      </c>
      <c r="C2407" s="2">
        <v>38572</v>
      </c>
      <c r="D2407" t="s">
        <v>6</v>
      </c>
      <c r="E2407">
        <v>4.8771890000000004</v>
      </c>
      <c r="F2407">
        <f t="shared" si="74"/>
        <v>3.4724000000000643E-2</v>
      </c>
      <c r="G2407">
        <f t="shared" si="75"/>
        <v>82.922618989963468</v>
      </c>
    </row>
    <row r="2408" spans="2:7">
      <c r="B2408" t="s">
        <v>2</v>
      </c>
      <c r="C2408" s="2">
        <v>38569</v>
      </c>
      <c r="D2408" t="s">
        <v>6</v>
      </c>
      <c r="E2408">
        <v>4.8424649999999998</v>
      </c>
      <c r="F2408">
        <f t="shared" si="74"/>
        <v>7.378199999999957E-2</v>
      </c>
      <c r="G2408">
        <f t="shared" si="75"/>
        <v>83.009428223864759</v>
      </c>
    </row>
    <row r="2409" spans="2:7">
      <c r="B2409" t="s">
        <v>2</v>
      </c>
      <c r="C2409" s="2">
        <v>38568</v>
      </c>
      <c r="D2409" t="s">
        <v>6</v>
      </c>
      <c r="E2409">
        <v>4.7686830000000002</v>
      </c>
      <c r="F2409">
        <f t="shared" si="74"/>
        <v>2.3741000000000234E-2</v>
      </c>
      <c r="G2409">
        <f t="shared" si="75"/>
        <v>81.706242985030244</v>
      </c>
    </row>
    <row r="2410" spans="2:7">
      <c r="B2410" t="s">
        <v>2</v>
      </c>
      <c r="C2410" s="2">
        <v>38567</v>
      </c>
      <c r="D2410" t="s">
        <v>6</v>
      </c>
      <c r="E2410">
        <v>4.744942</v>
      </c>
      <c r="F2410">
        <f t="shared" si="74"/>
        <v>-4.1097999999999857E-2</v>
      </c>
      <c r="G2410">
        <f t="shared" si="75"/>
        <v>82.40222053575043</v>
      </c>
    </row>
    <row r="2411" spans="2:7">
      <c r="B2411" t="s">
        <v>2</v>
      </c>
      <c r="C2411" s="2">
        <v>38566</v>
      </c>
      <c r="D2411" t="s">
        <v>6</v>
      </c>
      <c r="E2411">
        <v>4.7860399999999998</v>
      </c>
      <c r="F2411">
        <f t="shared" si="74"/>
        <v>1.6993000000000258E-2</v>
      </c>
      <c r="G2411">
        <f t="shared" si="75"/>
        <v>81.986575792177135</v>
      </c>
    </row>
    <row r="2412" spans="2:7">
      <c r="B2412" t="s">
        <v>2</v>
      </c>
      <c r="C2412" s="2">
        <v>38565</v>
      </c>
      <c r="D2412" t="s">
        <v>6</v>
      </c>
      <c r="E2412">
        <v>4.7690469999999996</v>
      </c>
      <c r="F2412">
        <f t="shared" si="74"/>
        <v>3.5928999999999434E-2</v>
      </c>
      <c r="G2412">
        <f t="shared" si="75"/>
        <v>84.637720662780183</v>
      </c>
    </row>
    <row r="2413" spans="2:7">
      <c r="B2413" t="s">
        <v>2</v>
      </c>
      <c r="C2413" s="2">
        <v>38562</v>
      </c>
      <c r="D2413" t="s">
        <v>6</v>
      </c>
      <c r="E2413">
        <v>4.7331180000000002</v>
      </c>
      <c r="F2413">
        <f t="shared" si="74"/>
        <v>0.10585000000000022</v>
      </c>
      <c r="G2413">
        <f t="shared" si="75"/>
        <v>84.563337672096694</v>
      </c>
    </row>
    <row r="2414" spans="2:7">
      <c r="B2414" t="s">
        <v>2</v>
      </c>
      <c r="C2414" s="2">
        <v>38561</v>
      </c>
      <c r="D2414" t="s">
        <v>6</v>
      </c>
      <c r="E2414">
        <v>4.6272679999999999</v>
      </c>
      <c r="F2414">
        <f t="shared" si="74"/>
        <v>-7.1329999999999671E-2</v>
      </c>
      <c r="G2414">
        <f t="shared" si="75"/>
        <v>81.93414785693669</v>
      </c>
    </row>
    <row r="2415" spans="2:7">
      <c r="B2415" t="s">
        <v>2</v>
      </c>
      <c r="C2415" s="2">
        <v>38560</v>
      </c>
      <c r="D2415" t="s">
        <v>6</v>
      </c>
      <c r="E2415">
        <v>4.6985979999999996</v>
      </c>
      <c r="F2415">
        <f t="shared" si="74"/>
        <v>1.870099999999919E-2</v>
      </c>
      <c r="G2415">
        <f t="shared" si="75"/>
        <v>80.612447292516137</v>
      </c>
    </row>
    <row r="2416" spans="2:7">
      <c r="B2416" t="s">
        <v>2</v>
      </c>
      <c r="C2416" s="2">
        <v>38559</v>
      </c>
      <c r="D2416" t="s">
        <v>6</v>
      </c>
      <c r="E2416">
        <v>4.6798970000000004</v>
      </c>
      <c r="F2416">
        <f t="shared" si="74"/>
        <v>-4.3719999999991543E-3</v>
      </c>
      <c r="G2416">
        <f t="shared" si="75"/>
        <v>80.542896694283783</v>
      </c>
    </row>
    <row r="2417" spans="2:7">
      <c r="B2417" t="s">
        <v>2</v>
      </c>
      <c r="C2417" s="2">
        <v>38558</v>
      </c>
      <c r="D2417" t="s">
        <v>6</v>
      </c>
      <c r="E2417">
        <v>4.6842689999999996</v>
      </c>
      <c r="F2417">
        <f t="shared" si="74"/>
        <v>2.3202999999999641E-2</v>
      </c>
      <c r="G2417">
        <f t="shared" si="75"/>
        <v>80.92535311233388</v>
      </c>
    </row>
    <row r="2418" spans="2:7">
      <c r="B2418" t="s">
        <v>2</v>
      </c>
      <c r="C2418" s="2">
        <v>38555</v>
      </c>
      <c r="D2418" t="s">
        <v>6</v>
      </c>
      <c r="E2418">
        <v>4.6610659999999999</v>
      </c>
      <c r="F2418">
        <f t="shared" si="74"/>
        <v>-6.0232000000000063E-2</v>
      </c>
      <c r="G2418">
        <f t="shared" si="75"/>
        <v>82.251875346105436</v>
      </c>
    </row>
    <row r="2419" spans="2:7">
      <c r="B2419" t="s">
        <v>2</v>
      </c>
      <c r="C2419" s="2">
        <v>38554</v>
      </c>
      <c r="D2419" t="s">
        <v>6</v>
      </c>
      <c r="E2419">
        <v>4.721298</v>
      </c>
      <c r="F2419">
        <f t="shared" si="74"/>
        <v>0.1270509999999998</v>
      </c>
      <c r="G2419">
        <f t="shared" si="75"/>
        <v>81.438704682800704</v>
      </c>
    </row>
    <row r="2420" spans="2:7">
      <c r="B2420" t="s">
        <v>2</v>
      </c>
      <c r="C2420" s="2">
        <v>38553</v>
      </c>
      <c r="D2420" t="s">
        <v>6</v>
      </c>
      <c r="E2420">
        <v>4.5942470000000002</v>
      </c>
      <c r="F2420">
        <f t="shared" si="74"/>
        <v>-2.6854000000000156E-2</v>
      </c>
      <c r="G2420">
        <f t="shared" si="75"/>
        <v>77.146445735447131</v>
      </c>
    </row>
    <row r="2421" spans="2:7">
      <c r="B2421" t="s">
        <v>2</v>
      </c>
      <c r="C2421" s="2">
        <v>38552</v>
      </c>
      <c r="D2421" t="s">
        <v>6</v>
      </c>
      <c r="E2421">
        <v>4.6211010000000003</v>
      </c>
      <c r="F2421">
        <f t="shared" si="74"/>
        <v>-3.0469000000000079E-2</v>
      </c>
      <c r="G2421">
        <f t="shared" si="75"/>
        <v>76.972287300663638</v>
      </c>
    </row>
    <row r="2422" spans="2:7">
      <c r="B2422" t="s">
        <v>2</v>
      </c>
      <c r="C2422" s="2">
        <v>38551</v>
      </c>
      <c r="D2422" t="s">
        <v>6</v>
      </c>
      <c r="E2422">
        <v>4.6515700000000004</v>
      </c>
      <c r="F2422">
        <f t="shared" si="74"/>
        <v>5.5799000000000376E-2</v>
      </c>
      <c r="G2422">
        <f t="shared" si="75"/>
        <v>77.401313484380509</v>
      </c>
    </row>
    <row r="2423" spans="2:7">
      <c r="B2423" t="s">
        <v>2</v>
      </c>
      <c r="C2423" s="2">
        <v>38548</v>
      </c>
      <c r="D2423" t="s">
        <v>6</v>
      </c>
      <c r="E2423">
        <v>4.5957710000000001</v>
      </c>
      <c r="F2423">
        <f t="shared" si="74"/>
        <v>-4.9909999999995236E-3</v>
      </c>
      <c r="G2423">
        <f t="shared" si="75"/>
        <v>79.076797130141657</v>
      </c>
    </row>
    <row r="2424" spans="2:7">
      <c r="B2424" t="s">
        <v>2</v>
      </c>
      <c r="C2424" s="2">
        <v>38547</v>
      </c>
      <c r="D2424" t="s">
        <v>6</v>
      </c>
      <c r="E2424">
        <v>4.6007619999999996</v>
      </c>
      <c r="F2424">
        <f t="shared" si="74"/>
        <v>2.0730999999999611E-2</v>
      </c>
      <c r="G2424">
        <f t="shared" si="75"/>
        <v>79.138784722510934</v>
      </c>
    </row>
    <row r="2425" spans="2:7">
      <c r="B2425" t="s">
        <v>2</v>
      </c>
      <c r="C2425" s="2">
        <v>38546</v>
      </c>
      <c r="D2425" t="s">
        <v>6</v>
      </c>
      <c r="E2425">
        <v>4.580031</v>
      </c>
      <c r="F2425">
        <f t="shared" si="74"/>
        <v>1.4129999999999754E-2</v>
      </c>
      <c r="G2425">
        <f t="shared" si="75"/>
        <v>80.039045208350672</v>
      </c>
    </row>
    <row r="2426" spans="2:7">
      <c r="B2426" t="s">
        <v>2</v>
      </c>
      <c r="C2426" s="2">
        <v>38545</v>
      </c>
      <c r="D2426" t="s">
        <v>6</v>
      </c>
      <c r="E2426">
        <v>4.5659010000000002</v>
      </c>
      <c r="F2426">
        <f t="shared" si="74"/>
        <v>3.8816999999999879E-2</v>
      </c>
      <c r="G2426">
        <f t="shared" si="75"/>
        <v>80.185196231866499</v>
      </c>
    </row>
    <row r="2427" spans="2:7">
      <c r="B2427" t="s">
        <v>2</v>
      </c>
      <c r="C2427" s="2">
        <v>38544</v>
      </c>
      <c r="D2427" t="s">
        <v>6</v>
      </c>
      <c r="E2427">
        <v>4.5270840000000003</v>
      </c>
      <c r="F2427">
        <f t="shared" si="74"/>
        <v>-1.1050999999999256E-2</v>
      </c>
      <c r="G2427">
        <f t="shared" si="75"/>
        <v>81.366025477398722</v>
      </c>
    </row>
    <row r="2428" spans="2:7">
      <c r="B2428" t="s">
        <v>2</v>
      </c>
      <c r="C2428" s="2">
        <v>38541</v>
      </c>
      <c r="D2428" t="s">
        <v>6</v>
      </c>
      <c r="E2428">
        <v>4.5381349999999996</v>
      </c>
      <c r="F2428">
        <f t="shared" si="74"/>
        <v>6.4222000000000001E-2</v>
      </c>
      <c r="G2428">
        <f t="shared" si="75"/>
        <v>81.379588308055219</v>
      </c>
    </row>
    <row r="2429" spans="2:7">
      <c r="B2429" t="s">
        <v>2</v>
      </c>
      <c r="C2429" s="2">
        <v>38540</v>
      </c>
      <c r="D2429" t="s">
        <v>6</v>
      </c>
      <c r="E2429">
        <v>4.4739129999999996</v>
      </c>
      <c r="F2429">
        <f t="shared" si="74"/>
        <v>-2.8545000000000265E-2</v>
      </c>
      <c r="G2429">
        <f t="shared" si="75"/>
        <v>80.10889815777621</v>
      </c>
    </row>
    <row r="2430" spans="2:7">
      <c r="B2430" t="s">
        <v>2</v>
      </c>
      <c r="C2430" s="2">
        <v>38539</v>
      </c>
      <c r="D2430" t="s">
        <v>6</v>
      </c>
      <c r="E2430">
        <v>4.5024579999999998</v>
      </c>
      <c r="F2430">
        <f t="shared" si="74"/>
        <v>-3.912799999999983E-2</v>
      </c>
      <c r="G2430">
        <f t="shared" si="75"/>
        <v>81.671451696484226</v>
      </c>
    </row>
    <row r="2431" spans="2:7">
      <c r="B2431" t="s">
        <v>2</v>
      </c>
      <c r="C2431" s="2">
        <v>38538</v>
      </c>
      <c r="D2431" t="s">
        <v>6</v>
      </c>
      <c r="E2431">
        <v>4.5415859999999997</v>
      </c>
      <c r="F2431">
        <f t="shared" si="74"/>
        <v>7.8375999999999557E-2</v>
      </c>
      <c r="G2431">
        <f t="shared" si="75"/>
        <v>81.700220940289327</v>
      </c>
    </row>
    <row r="2432" spans="2:7">
      <c r="B2432" t="s">
        <v>2</v>
      </c>
      <c r="C2432" s="2">
        <v>38534</v>
      </c>
      <c r="D2432" t="s">
        <v>6</v>
      </c>
      <c r="E2432">
        <v>4.4632100000000001</v>
      </c>
      <c r="F2432">
        <f t="shared" si="74"/>
        <v>0.1098290000000004</v>
      </c>
      <c r="G2432">
        <f t="shared" si="75"/>
        <v>79.908576262586266</v>
      </c>
    </row>
    <row r="2433" spans="2:7">
      <c r="B2433" t="s">
        <v>2</v>
      </c>
      <c r="C2433" s="2">
        <v>38533</v>
      </c>
      <c r="D2433" t="s">
        <v>6</v>
      </c>
      <c r="E2433">
        <v>4.3533809999999997</v>
      </c>
      <c r="F2433">
        <f t="shared" si="74"/>
        <v>-4.6457000000000193E-2</v>
      </c>
      <c r="G2433">
        <f t="shared" si="75"/>
        <v>76.676482296271971</v>
      </c>
    </row>
    <row r="2434" spans="2:7">
      <c r="B2434" t="s">
        <v>2</v>
      </c>
      <c r="C2434" s="2">
        <v>38532</v>
      </c>
      <c r="D2434" t="s">
        <v>6</v>
      </c>
      <c r="E2434">
        <v>4.3998379999999999</v>
      </c>
      <c r="F2434">
        <f t="shared" si="74"/>
        <v>2.5536999999999921E-2</v>
      </c>
      <c r="G2434">
        <f t="shared" si="75"/>
        <v>76.415347191944335</v>
      </c>
    </row>
    <row r="2435" spans="2:7">
      <c r="B2435" t="s">
        <v>2</v>
      </c>
      <c r="C2435" s="2">
        <v>38531</v>
      </c>
      <c r="D2435" t="s">
        <v>6</v>
      </c>
      <c r="E2435">
        <v>4.374301</v>
      </c>
      <c r="F2435">
        <f t="shared" ref="F2435:F2498" si="76">E2435-E2436</f>
        <v>7.3690000000000033E-2</v>
      </c>
      <c r="G2435">
        <f t="shared" ref="G2435:G2498" si="77">STDEV(F2435:F2494)*SQRT(250)*100</f>
        <v>76.220841050282502</v>
      </c>
    </row>
    <row r="2436" spans="2:7">
      <c r="B2436" t="s">
        <v>2</v>
      </c>
      <c r="C2436" s="2">
        <v>38530</v>
      </c>
      <c r="D2436" t="s">
        <v>6</v>
      </c>
      <c r="E2436">
        <v>4.300611</v>
      </c>
      <c r="F2436">
        <f t="shared" si="76"/>
        <v>-1.6524000000000427E-2</v>
      </c>
      <c r="G2436">
        <f t="shared" si="77"/>
        <v>74.463440242496745</v>
      </c>
    </row>
    <row r="2437" spans="2:7">
      <c r="B2437" t="s">
        <v>2</v>
      </c>
      <c r="C2437" s="2">
        <v>38527</v>
      </c>
      <c r="D2437" t="s">
        <v>6</v>
      </c>
      <c r="E2437">
        <v>4.3171350000000004</v>
      </c>
      <c r="F2437">
        <f t="shared" si="76"/>
        <v>-4.1569999999999219E-2</v>
      </c>
      <c r="G2437">
        <f t="shared" si="77"/>
        <v>74.702339041651086</v>
      </c>
    </row>
    <row r="2438" spans="2:7">
      <c r="B2438" t="s">
        <v>2</v>
      </c>
      <c r="C2438" s="2">
        <v>38526</v>
      </c>
      <c r="D2438" t="s">
        <v>6</v>
      </c>
      <c r="E2438">
        <v>4.3587049999999996</v>
      </c>
      <c r="F2438">
        <f t="shared" si="76"/>
        <v>2.288599999999974E-2</v>
      </c>
      <c r="G2438">
        <f t="shared" si="77"/>
        <v>75.188763226591888</v>
      </c>
    </row>
    <row r="2439" spans="2:7">
      <c r="B2439" t="s">
        <v>2</v>
      </c>
      <c r="C2439" s="2">
        <v>38525</v>
      </c>
      <c r="D2439" t="s">
        <v>6</v>
      </c>
      <c r="E2439">
        <v>4.3358189999999999</v>
      </c>
      <c r="F2439">
        <f t="shared" si="76"/>
        <v>-0.11400499999999969</v>
      </c>
      <c r="G2439">
        <f t="shared" si="77"/>
        <v>75.009586237341551</v>
      </c>
    </row>
    <row r="2440" spans="2:7">
      <c r="B2440" t="s">
        <v>2</v>
      </c>
      <c r="C2440" s="2">
        <v>38524</v>
      </c>
      <c r="D2440" t="s">
        <v>6</v>
      </c>
      <c r="E2440">
        <v>4.4498239999999996</v>
      </c>
      <c r="F2440">
        <f t="shared" si="76"/>
        <v>-5.958800000000064E-2</v>
      </c>
      <c r="G2440">
        <f t="shared" si="77"/>
        <v>72.145281040869946</v>
      </c>
    </row>
    <row r="2441" spans="2:7">
      <c r="B2441" t="s">
        <v>2</v>
      </c>
      <c r="C2441" s="2">
        <v>38523</v>
      </c>
      <c r="D2441" t="s">
        <v>6</v>
      </c>
      <c r="E2441">
        <v>4.5094120000000002</v>
      </c>
      <c r="F2441">
        <f t="shared" si="76"/>
        <v>2.0437000000000261E-2</v>
      </c>
      <c r="G2441">
        <f t="shared" si="77"/>
        <v>72.190071212329784</v>
      </c>
    </row>
    <row r="2442" spans="2:7">
      <c r="B2442" t="s">
        <v>2</v>
      </c>
      <c r="C2442" s="2">
        <v>38520</v>
      </c>
      <c r="D2442" t="s">
        <v>6</v>
      </c>
      <c r="E2442">
        <v>4.4889749999999999</v>
      </c>
      <c r="F2442">
        <f t="shared" si="76"/>
        <v>-2.3840000000001638E-3</v>
      </c>
      <c r="G2442">
        <f t="shared" si="77"/>
        <v>72.018458586380447</v>
      </c>
    </row>
    <row r="2443" spans="2:7">
      <c r="B2443" t="s">
        <v>2</v>
      </c>
      <c r="C2443" s="2">
        <v>38519</v>
      </c>
      <c r="D2443" t="s">
        <v>6</v>
      </c>
      <c r="E2443">
        <v>4.4913590000000001</v>
      </c>
      <c r="F2443">
        <f t="shared" si="76"/>
        <v>-4.8155999999999644E-2</v>
      </c>
      <c r="G2443">
        <f t="shared" si="77"/>
        <v>72.070202589358573</v>
      </c>
    </row>
    <row r="2444" spans="2:7">
      <c r="B2444" t="s">
        <v>2</v>
      </c>
      <c r="C2444" s="2">
        <v>38518</v>
      </c>
      <c r="D2444" t="s">
        <v>6</v>
      </c>
      <c r="E2444">
        <v>4.5395149999999997</v>
      </c>
      <c r="F2444">
        <f t="shared" si="76"/>
        <v>-7.1930000000000049E-3</v>
      </c>
      <c r="G2444">
        <f t="shared" si="77"/>
        <v>74.826877963374656</v>
      </c>
    </row>
    <row r="2445" spans="2:7">
      <c r="B2445" t="s">
        <v>2</v>
      </c>
      <c r="C2445" s="2">
        <v>38517</v>
      </c>
      <c r="D2445" t="s">
        <v>6</v>
      </c>
      <c r="E2445">
        <v>4.5467079999999997</v>
      </c>
      <c r="F2445">
        <f t="shared" si="76"/>
        <v>4.546099999999953E-2</v>
      </c>
      <c r="G2445">
        <f t="shared" si="77"/>
        <v>75.013476104603399</v>
      </c>
    </row>
    <row r="2446" spans="2:7">
      <c r="B2446" t="s">
        <v>2</v>
      </c>
      <c r="C2446" s="2">
        <v>38516</v>
      </c>
      <c r="D2446" t="s">
        <v>6</v>
      </c>
      <c r="E2446">
        <v>4.5012470000000002</v>
      </c>
      <c r="F2446">
        <f t="shared" si="76"/>
        <v>5.3647999999999918E-2</v>
      </c>
      <c r="G2446">
        <f t="shared" si="77"/>
        <v>74.792363283967646</v>
      </c>
    </row>
    <row r="2447" spans="2:7">
      <c r="B2447" t="s">
        <v>2</v>
      </c>
      <c r="C2447" s="2">
        <v>38513</v>
      </c>
      <c r="D2447" t="s">
        <v>6</v>
      </c>
      <c r="E2447">
        <v>4.4475990000000003</v>
      </c>
      <c r="F2447">
        <f t="shared" si="76"/>
        <v>8.2216999999999985E-2</v>
      </c>
      <c r="G2447">
        <f t="shared" si="77"/>
        <v>74.309204985038562</v>
      </c>
    </row>
    <row r="2448" spans="2:7">
      <c r="B2448" t="s">
        <v>2</v>
      </c>
      <c r="C2448" s="2">
        <v>38512</v>
      </c>
      <c r="D2448" t="s">
        <v>6</v>
      </c>
      <c r="E2448">
        <v>4.3653820000000003</v>
      </c>
      <c r="F2448">
        <f t="shared" si="76"/>
        <v>2.9632000000000325E-2</v>
      </c>
      <c r="G2448">
        <f t="shared" si="77"/>
        <v>71.883924844326103</v>
      </c>
    </row>
    <row r="2449" spans="2:7">
      <c r="B2449" t="s">
        <v>2</v>
      </c>
      <c r="C2449" s="2">
        <v>38511</v>
      </c>
      <c r="D2449" t="s">
        <v>6</v>
      </c>
      <c r="E2449">
        <v>4.33575</v>
      </c>
      <c r="F2449">
        <f t="shared" si="76"/>
        <v>2.6006999999999891E-2</v>
      </c>
      <c r="G2449">
        <f t="shared" si="77"/>
        <v>71.75287704552855</v>
      </c>
    </row>
    <row r="2450" spans="2:7">
      <c r="B2450" t="s">
        <v>2</v>
      </c>
      <c r="C2450" s="2">
        <v>38510</v>
      </c>
      <c r="D2450" t="s">
        <v>6</v>
      </c>
      <c r="E2450">
        <v>4.3097430000000001</v>
      </c>
      <c r="F2450">
        <f t="shared" si="76"/>
        <v>-5.5502999999999858E-2</v>
      </c>
      <c r="G2450">
        <f t="shared" si="77"/>
        <v>71.359944677771097</v>
      </c>
    </row>
    <row r="2451" spans="2:7">
      <c r="B2451" t="s">
        <v>2</v>
      </c>
      <c r="C2451" s="2">
        <v>38509</v>
      </c>
      <c r="D2451" t="s">
        <v>6</v>
      </c>
      <c r="E2451">
        <v>4.365246</v>
      </c>
      <c r="F2451">
        <f t="shared" si="76"/>
        <v>-2.1149000000000306E-2</v>
      </c>
      <c r="G2451">
        <f t="shared" si="77"/>
        <v>73.074523746681962</v>
      </c>
    </row>
    <row r="2452" spans="2:7">
      <c r="B2452" t="s">
        <v>2</v>
      </c>
      <c r="C2452" s="2">
        <v>38506</v>
      </c>
      <c r="D2452" t="s">
        <v>6</v>
      </c>
      <c r="E2452">
        <v>4.3863950000000003</v>
      </c>
      <c r="F2452">
        <f t="shared" si="76"/>
        <v>8.8065000000000282E-2</v>
      </c>
      <c r="G2452">
        <f t="shared" si="77"/>
        <v>73.837012961033153</v>
      </c>
    </row>
    <row r="2453" spans="2:7">
      <c r="B2453" t="s">
        <v>2</v>
      </c>
      <c r="C2453" s="2">
        <v>38505</v>
      </c>
      <c r="D2453" t="s">
        <v>6</v>
      </c>
      <c r="E2453">
        <v>4.29833</v>
      </c>
      <c r="F2453">
        <f t="shared" si="76"/>
        <v>-1.113300000000006E-2</v>
      </c>
      <c r="G2453">
        <f t="shared" si="77"/>
        <v>78.729753411452478</v>
      </c>
    </row>
    <row r="2454" spans="2:7">
      <c r="B2454" t="s">
        <v>2</v>
      </c>
      <c r="C2454" s="2">
        <v>38504</v>
      </c>
      <c r="D2454" t="s">
        <v>6</v>
      </c>
      <c r="E2454">
        <v>4.309463</v>
      </c>
      <c r="F2454">
        <f t="shared" si="76"/>
        <v>-0.1042209999999999</v>
      </c>
      <c r="G2454">
        <f t="shared" si="77"/>
        <v>80.611196244620416</v>
      </c>
    </row>
    <row r="2455" spans="2:7">
      <c r="B2455" t="s">
        <v>2</v>
      </c>
      <c r="C2455" s="2">
        <v>38503</v>
      </c>
      <c r="D2455" t="s">
        <v>6</v>
      </c>
      <c r="E2455">
        <v>4.4136839999999999</v>
      </c>
      <c r="F2455">
        <f t="shared" si="76"/>
        <v>-7.457400000000014E-2</v>
      </c>
      <c r="G2455">
        <f t="shared" si="77"/>
        <v>78.039600409579705</v>
      </c>
    </row>
    <row r="2456" spans="2:7">
      <c r="B2456" t="s">
        <v>2</v>
      </c>
      <c r="C2456" s="2">
        <v>38499</v>
      </c>
      <c r="D2456" t="s">
        <v>6</v>
      </c>
      <c r="E2456">
        <v>4.4882580000000001</v>
      </c>
      <c r="F2456">
        <f t="shared" si="76"/>
        <v>-9.0820000000002565E-3</v>
      </c>
      <c r="G2456">
        <f t="shared" si="77"/>
        <v>78.700689956415431</v>
      </c>
    </row>
    <row r="2457" spans="2:7">
      <c r="B2457" t="s">
        <v>2</v>
      </c>
      <c r="C2457" s="2">
        <v>38498</v>
      </c>
      <c r="D2457" t="s">
        <v>6</v>
      </c>
      <c r="E2457">
        <v>4.4973400000000003</v>
      </c>
      <c r="F2457">
        <f t="shared" si="76"/>
        <v>3.957999999999906E-3</v>
      </c>
      <c r="G2457">
        <f t="shared" si="77"/>
        <v>78.775010916200245</v>
      </c>
    </row>
    <row r="2458" spans="2:7">
      <c r="B2458" t="s">
        <v>2</v>
      </c>
      <c r="C2458" s="2">
        <v>38497</v>
      </c>
      <c r="D2458" t="s">
        <v>6</v>
      </c>
      <c r="E2458">
        <v>4.4933820000000004</v>
      </c>
      <c r="F2458">
        <f t="shared" si="76"/>
        <v>2.2043000000000035E-2</v>
      </c>
      <c r="G2458">
        <f t="shared" si="77"/>
        <v>78.822371333818978</v>
      </c>
    </row>
    <row r="2459" spans="2:7">
      <c r="B2459" t="s">
        <v>2</v>
      </c>
      <c r="C2459" s="2">
        <v>38496</v>
      </c>
      <c r="D2459" t="s">
        <v>6</v>
      </c>
      <c r="E2459">
        <v>4.4713390000000004</v>
      </c>
      <c r="F2459">
        <f t="shared" si="76"/>
        <v>-4.0288999999999575E-2</v>
      </c>
      <c r="G2459">
        <f t="shared" si="77"/>
        <v>78.778536270023864</v>
      </c>
    </row>
    <row r="2460" spans="2:7">
      <c r="B2460" t="s">
        <v>2</v>
      </c>
      <c r="C2460" s="2">
        <v>38495</v>
      </c>
      <c r="D2460" t="s">
        <v>6</v>
      </c>
      <c r="E2460">
        <v>4.511628</v>
      </c>
      <c r="F2460">
        <f t="shared" si="76"/>
        <v>-5.9858000000000189E-2</v>
      </c>
      <c r="G2460">
        <f t="shared" si="77"/>
        <v>81.515511976755903</v>
      </c>
    </row>
    <row r="2461" spans="2:7">
      <c r="B2461" t="s">
        <v>2</v>
      </c>
      <c r="C2461" s="2">
        <v>38492</v>
      </c>
      <c r="D2461" t="s">
        <v>6</v>
      </c>
      <c r="E2461">
        <v>4.5714860000000002</v>
      </c>
      <c r="F2461">
        <f t="shared" si="76"/>
        <v>1.9353999999999871E-2</v>
      </c>
      <c r="G2461">
        <f t="shared" si="77"/>
        <v>80.707686233404843</v>
      </c>
    </row>
    <row r="2462" spans="2:7">
      <c r="B2462" t="s">
        <v>2</v>
      </c>
      <c r="C2462" s="2">
        <v>38491</v>
      </c>
      <c r="D2462" t="s">
        <v>6</v>
      </c>
      <c r="E2462">
        <v>4.5521320000000003</v>
      </c>
      <c r="F2462">
        <f t="shared" si="76"/>
        <v>3.7247000000000696E-2</v>
      </c>
      <c r="G2462">
        <f t="shared" si="77"/>
        <v>80.759009827838341</v>
      </c>
    </row>
    <row r="2463" spans="2:7">
      <c r="B2463" t="s">
        <v>2</v>
      </c>
      <c r="C2463" s="2">
        <v>38490</v>
      </c>
      <c r="D2463" t="s">
        <v>6</v>
      </c>
      <c r="E2463">
        <v>4.5148849999999996</v>
      </c>
      <c r="F2463">
        <f t="shared" si="76"/>
        <v>-6.2267000000000294E-2</v>
      </c>
      <c r="G2463">
        <f t="shared" si="77"/>
        <v>80.402803008082401</v>
      </c>
    </row>
    <row r="2464" spans="2:7">
      <c r="B2464" t="s">
        <v>2</v>
      </c>
      <c r="C2464" s="2">
        <v>38489</v>
      </c>
      <c r="D2464" t="s">
        <v>6</v>
      </c>
      <c r="E2464">
        <v>4.5771519999999999</v>
      </c>
      <c r="F2464">
        <f t="shared" si="76"/>
        <v>-8.5769999999998348E-3</v>
      </c>
      <c r="G2464">
        <f t="shared" si="77"/>
        <v>79.661839760269316</v>
      </c>
    </row>
    <row r="2465" spans="2:7">
      <c r="B2465" t="s">
        <v>2</v>
      </c>
      <c r="C2465" s="2">
        <v>38488</v>
      </c>
      <c r="D2465" t="s">
        <v>6</v>
      </c>
      <c r="E2465">
        <v>4.5857289999999997</v>
      </c>
      <c r="F2465">
        <f t="shared" si="76"/>
        <v>-3.2100000000045981E-4</v>
      </c>
      <c r="G2465">
        <f t="shared" si="77"/>
        <v>81.67357211184337</v>
      </c>
    </row>
    <row r="2466" spans="2:7">
      <c r="B2466" t="s">
        <v>2</v>
      </c>
      <c r="C2466" s="2">
        <v>38485</v>
      </c>
      <c r="D2466" t="s">
        <v>6</v>
      </c>
      <c r="E2466">
        <v>4.5860500000000002</v>
      </c>
      <c r="F2466">
        <f t="shared" si="76"/>
        <v>-3.8337999999999539E-2</v>
      </c>
      <c r="G2466">
        <f t="shared" si="77"/>
        <v>81.850223881898771</v>
      </c>
    </row>
    <row r="2467" spans="2:7">
      <c r="B2467" t="s">
        <v>2</v>
      </c>
      <c r="C2467" s="2">
        <v>38484</v>
      </c>
      <c r="D2467" t="s">
        <v>6</v>
      </c>
      <c r="E2467">
        <v>4.6243879999999997</v>
      </c>
      <c r="F2467">
        <f t="shared" si="76"/>
        <v>-3.2475999999999949E-2</v>
      </c>
      <c r="G2467">
        <f t="shared" si="77"/>
        <v>82.035027906692662</v>
      </c>
    </row>
    <row r="2468" spans="2:7">
      <c r="B2468" t="s">
        <v>2</v>
      </c>
      <c r="C2468" s="2">
        <v>38483</v>
      </c>
      <c r="D2468" t="s">
        <v>6</v>
      </c>
      <c r="E2468">
        <v>4.6568639999999997</v>
      </c>
      <c r="F2468">
        <f t="shared" si="76"/>
        <v>-2.102999999999966E-3</v>
      </c>
      <c r="G2468">
        <f t="shared" si="77"/>
        <v>81.867132797583565</v>
      </c>
    </row>
    <row r="2469" spans="2:7">
      <c r="B2469" t="s">
        <v>2</v>
      </c>
      <c r="C2469" s="2">
        <v>38482</v>
      </c>
      <c r="D2469" t="s">
        <v>6</v>
      </c>
      <c r="E2469">
        <v>4.6589669999999996</v>
      </c>
      <c r="F2469">
        <f t="shared" si="76"/>
        <v>-5.5444000000000493E-2</v>
      </c>
      <c r="G2469">
        <f t="shared" si="77"/>
        <v>82.018501717600316</v>
      </c>
    </row>
    <row r="2470" spans="2:7">
      <c r="B2470" t="s">
        <v>2</v>
      </c>
      <c r="C2470" s="2">
        <v>38481</v>
      </c>
      <c r="D2470" t="s">
        <v>6</v>
      </c>
      <c r="E2470">
        <v>4.7144110000000001</v>
      </c>
      <c r="F2470">
        <f t="shared" si="76"/>
        <v>1.3480000000000381E-2</v>
      </c>
      <c r="G2470">
        <f t="shared" si="77"/>
        <v>81.259273210316039</v>
      </c>
    </row>
    <row r="2471" spans="2:7">
      <c r="B2471" t="s">
        <v>2</v>
      </c>
      <c r="C2471" s="2">
        <v>38478</v>
      </c>
      <c r="D2471" t="s">
        <v>6</v>
      </c>
      <c r="E2471">
        <v>4.7009309999999997</v>
      </c>
      <c r="F2471">
        <f t="shared" si="76"/>
        <v>0.10533099999999962</v>
      </c>
      <c r="G2471">
        <f t="shared" si="77"/>
        <v>83.444108091312643</v>
      </c>
    </row>
    <row r="2472" spans="2:7">
      <c r="B2472" t="s">
        <v>2</v>
      </c>
      <c r="C2472" s="2">
        <v>38477</v>
      </c>
      <c r="D2472" t="s">
        <v>6</v>
      </c>
      <c r="E2472">
        <v>4.5956000000000001</v>
      </c>
      <c r="F2472">
        <f t="shared" si="76"/>
        <v>-2.6423000000000307E-2</v>
      </c>
      <c r="G2472">
        <f t="shared" si="77"/>
        <v>82.09473275754786</v>
      </c>
    </row>
    <row r="2473" spans="2:7">
      <c r="B2473" t="s">
        <v>2</v>
      </c>
      <c r="C2473" s="2">
        <v>38476</v>
      </c>
      <c r="D2473" t="s">
        <v>6</v>
      </c>
      <c r="E2473">
        <v>4.6220230000000004</v>
      </c>
      <c r="F2473">
        <f t="shared" si="76"/>
        <v>-2.5974999999999859E-2</v>
      </c>
      <c r="G2473">
        <f t="shared" si="77"/>
        <v>82.042272606521621</v>
      </c>
    </row>
    <row r="2474" spans="2:7">
      <c r="B2474" t="s">
        <v>2</v>
      </c>
      <c r="C2474" s="2">
        <v>38475</v>
      </c>
      <c r="D2474" t="s">
        <v>6</v>
      </c>
      <c r="E2474">
        <v>4.6479980000000003</v>
      </c>
      <c r="F2474">
        <f t="shared" si="76"/>
        <v>8.2700000000004437E-3</v>
      </c>
      <c r="G2474">
        <f t="shared" si="77"/>
        <v>81.935611203257793</v>
      </c>
    </row>
    <row r="2475" spans="2:7">
      <c r="B2475" t="s">
        <v>2</v>
      </c>
      <c r="C2475" s="2">
        <v>38474</v>
      </c>
      <c r="D2475" t="s">
        <v>6</v>
      </c>
      <c r="E2475">
        <v>4.6397279999999999</v>
      </c>
      <c r="F2475">
        <f t="shared" si="76"/>
        <v>-6.7840000000005674E-3</v>
      </c>
      <c r="G2475">
        <f t="shared" si="77"/>
        <v>84.338716637086847</v>
      </c>
    </row>
    <row r="2476" spans="2:7">
      <c r="B2476" t="s">
        <v>2</v>
      </c>
      <c r="C2476" s="2">
        <v>38471</v>
      </c>
      <c r="D2476" t="s">
        <v>6</v>
      </c>
      <c r="E2476">
        <v>4.6465120000000004</v>
      </c>
      <c r="F2476">
        <f t="shared" si="76"/>
        <v>3.946300000000047E-2</v>
      </c>
      <c r="G2476">
        <f t="shared" si="77"/>
        <v>84.440275396094208</v>
      </c>
    </row>
    <row r="2477" spans="2:7">
      <c r="B2477" t="s">
        <v>2</v>
      </c>
      <c r="C2477" s="2">
        <v>38470</v>
      </c>
      <c r="D2477" t="s">
        <v>6</v>
      </c>
      <c r="E2477">
        <v>4.6070489999999999</v>
      </c>
      <c r="F2477">
        <f t="shared" si="76"/>
        <v>-7.4527999999999928E-2</v>
      </c>
      <c r="G2477">
        <f t="shared" si="77"/>
        <v>84.081991190647059</v>
      </c>
    </row>
    <row r="2478" spans="2:7">
      <c r="B2478" t="s">
        <v>2</v>
      </c>
      <c r="C2478" s="2">
        <v>38469</v>
      </c>
      <c r="D2478" t="s">
        <v>6</v>
      </c>
      <c r="E2478">
        <v>4.6815769999999999</v>
      </c>
      <c r="F2478">
        <f t="shared" si="76"/>
        <v>-2.2016999999999953E-2</v>
      </c>
      <c r="G2478">
        <f t="shared" si="77"/>
        <v>82.595542227387625</v>
      </c>
    </row>
    <row r="2479" spans="2:7">
      <c r="B2479" t="s">
        <v>2</v>
      </c>
      <c r="C2479" s="2">
        <v>38468</v>
      </c>
      <c r="D2479" t="s">
        <v>6</v>
      </c>
      <c r="E2479">
        <v>4.7035939999999998</v>
      </c>
      <c r="F2479">
        <f t="shared" si="76"/>
        <v>1.4873999999999832E-2</v>
      </c>
      <c r="G2479">
        <f t="shared" si="77"/>
        <v>82.459384540812493</v>
      </c>
    </row>
    <row r="2480" spans="2:7">
      <c r="B2480" t="s">
        <v>2</v>
      </c>
      <c r="C2480" s="2">
        <v>38467</v>
      </c>
      <c r="D2480" t="s">
        <v>6</v>
      </c>
      <c r="E2480">
        <v>4.68872</v>
      </c>
      <c r="F2480">
        <f t="shared" si="76"/>
        <v>-5.2339999999997389E-3</v>
      </c>
      <c r="G2480">
        <f t="shared" si="77"/>
        <v>83.734726789220545</v>
      </c>
    </row>
    <row r="2481" spans="2:7">
      <c r="B2481" t="s">
        <v>2</v>
      </c>
      <c r="C2481" s="2">
        <v>38464</v>
      </c>
      <c r="D2481" t="s">
        <v>6</v>
      </c>
      <c r="E2481">
        <v>4.6939539999999997</v>
      </c>
      <c r="F2481">
        <f t="shared" si="76"/>
        <v>-5.0463999999999842E-2</v>
      </c>
      <c r="G2481">
        <f t="shared" si="77"/>
        <v>83.820621795963916</v>
      </c>
    </row>
    <row r="2482" spans="2:7">
      <c r="B2482" t="s">
        <v>2</v>
      </c>
      <c r="C2482" s="2">
        <v>38463</v>
      </c>
      <c r="D2482" t="s">
        <v>6</v>
      </c>
      <c r="E2482">
        <v>4.7444179999999996</v>
      </c>
      <c r="F2482">
        <f t="shared" si="76"/>
        <v>9.5934999999999881E-2</v>
      </c>
      <c r="G2482">
        <f t="shared" si="77"/>
        <v>83.108683693937778</v>
      </c>
    </row>
    <row r="2483" spans="2:7">
      <c r="B2483" t="s">
        <v>2</v>
      </c>
      <c r="C2483" s="2">
        <v>38462</v>
      </c>
      <c r="D2483" t="s">
        <v>6</v>
      </c>
      <c r="E2483">
        <v>4.6484829999999997</v>
      </c>
      <c r="F2483">
        <f t="shared" si="76"/>
        <v>1.5092999999999357E-2</v>
      </c>
      <c r="G2483">
        <f t="shared" si="77"/>
        <v>81.678078220147938</v>
      </c>
    </row>
    <row r="2484" spans="2:7">
      <c r="B2484" t="s">
        <v>2</v>
      </c>
      <c r="C2484" s="2">
        <v>38461</v>
      </c>
      <c r="D2484" t="s">
        <v>6</v>
      </c>
      <c r="E2484">
        <v>4.6333900000000003</v>
      </c>
      <c r="F2484">
        <f t="shared" si="76"/>
        <v>-6.341299999999972E-2</v>
      </c>
      <c r="G2484">
        <f t="shared" si="77"/>
        <v>81.739520261523822</v>
      </c>
    </row>
    <row r="2485" spans="2:7">
      <c r="B2485" t="s">
        <v>2</v>
      </c>
      <c r="C2485" s="2">
        <v>38460</v>
      </c>
      <c r="D2485" t="s">
        <v>6</v>
      </c>
      <c r="E2485">
        <v>4.6968030000000001</v>
      </c>
      <c r="F2485">
        <f t="shared" si="76"/>
        <v>-3.1016000000000155E-2</v>
      </c>
      <c r="G2485">
        <f t="shared" si="77"/>
        <v>80.705710622980931</v>
      </c>
    </row>
    <row r="2486" spans="2:7">
      <c r="B2486" t="s">
        <v>2</v>
      </c>
      <c r="C2486" s="2">
        <v>38457</v>
      </c>
      <c r="D2486" t="s">
        <v>6</v>
      </c>
      <c r="E2486">
        <v>4.7278190000000002</v>
      </c>
      <c r="F2486">
        <f t="shared" si="76"/>
        <v>-8.3156999999999925E-2</v>
      </c>
      <c r="G2486">
        <f t="shared" si="77"/>
        <v>80.63037025648002</v>
      </c>
    </row>
    <row r="2487" spans="2:7">
      <c r="B2487" t="s">
        <v>2</v>
      </c>
      <c r="C2487" s="2">
        <v>38456</v>
      </c>
      <c r="D2487" t="s">
        <v>6</v>
      </c>
      <c r="E2487">
        <v>4.8109760000000001</v>
      </c>
      <c r="F2487">
        <f t="shared" si="76"/>
        <v>-1.4333999999999847E-2</v>
      </c>
      <c r="G2487">
        <f t="shared" si="77"/>
        <v>78.708808025384684</v>
      </c>
    </row>
    <row r="2488" spans="2:7">
      <c r="B2488" t="s">
        <v>2</v>
      </c>
      <c r="C2488" s="2">
        <v>38455</v>
      </c>
      <c r="D2488" t="s">
        <v>6</v>
      </c>
      <c r="E2488">
        <v>4.82531</v>
      </c>
      <c r="F2488">
        <f t="shared" si="76"/>
        <v>-5.6539999999998258E-3</v>
      </c>
      <c r="G2488">
        <f t="shared" si="77"/>
        <v>78.868365833260825</v>
      </c>
    </row>
    <row r="2489" spans="2:7">
      <c r="B2489" t="s">
        <v>2</v>
      </c>
      <c r="C2489" s="2">
        <v>38454</v>
      </c>
      <c r="D2489" t="s">
        <v>6</v>
      </c>
      <c r="E2489">
        <v>4.8309639999999998</v>
      </c>
      <c r="F2489">
        <f t="shared" si="76"/>
        <v>-8.6777000000000548E-2</v>
      </c>
      <c r="G2489">
        <f t="shared" si="77"/>
        <v>78.956277337251308</v>
      </c>
    </row>
    <row r="2490" spans="2:7">
      <c r="B2490" t="s">
        <v>2</v>
      </c>
      <c r="C2490" s="2">
        <v>38453</v>
      </c>
      <c r="D2490" t="s">
        <v>6</v>
      </c>
      <c r="E2490">
        <v>4.9177410000000004</v>
      </c>
      <c r="F2490">
        <f t="shared" si="76"/>
        <v>-4.0807000000000038E-2</v>
      </c>
      <c r="G2490">
        <f t="shared" si="77"/>
        <v>77.461581014657042</v>
      </c>
    </row>
    <row r="2491" spans="2:7">
      <c r="B2491" t="s">
        <v>2</v>
      </c>
      <c r="C2491" s="2">
        <v>38450</v>
      </c>
      <c r="D2491" t="s">
        <v>6</v>
      </c>
      <c r="E2491">
        <v>4.9585480000000004</v>
      </c>
      <c r="F2491">
        <f t="shared" si="76"/>
        <v>1.5692000000000483E-2</v>
      </c>
      <c r="G2491">
        <f t="shared" si="77"/>
        <v>76.989580946138602</v>
      </c>
    </row>
    <row r="2492" spans="2:7">
      <c r="B2492" t="s">
        <v>2</v>
      </c>
      <c r="C2492" s="2">
        <v>38449</v>
      </c>
      <c r="D2492" t="s">
        <v>6</v>
      </c>
      <c r="E2492">
        <v>4.9428559999999999</v>
      </c>
      <c r="F2492">
        <f t="shared" si="76"/>
        <v>3.7024999999999864E-2</v>
      </c>
      <c r="G2492">
        <f t="shared" si="77"/>
        <v>77.313259401182194</v>
      </c>
    </row>
    <row r="2493" spans="2:7">
      <c r="B2493" t="s">
        <v>2</v>
      </c>
      <c r="C2493" s="2">
        <v>38448</v>
      </c>
      <c r="D2493" t="s">
        <v>6</v>
      </c>
      <c r="E2493">
        <v>4.9058310000000001</v>
      </c>
      <c r="F2493">
        <f t="shared" si="76"/>
        <v>-3.0382000000000353E-2</v>
      </c>
      <c r="G2493">
        <f t="shared" si="77"/>
        <v>77.064304763788101</v>
      </c>
    </row>
    <row r="2494" spans="2:7">
      <c r="B2494" t="s">
        <v>2</v>
      </c>
      <c r="C2494" s="2">
        <v>38447</v>
      </c>
      <c r="D2494" t="s">
        <v>6</v>
      </c>
      <c r="E2494">
        <v>4.9362130000000004</v>
      </c>
      <c r="F2494">
        <f t="shared" si="76"/>
        <v>1.3208000000000553E-2</v>
      </c>
      <c r="G2494">
        <f t="shared" si="77"/>
        <v>76.758627124197247</v>
      </c>
    </row>
    <row r="2495" spans="2:7">
      <c r="B2495" t="s">
        <v>2</v>
      </c>
      <c r="C2495" s="2">
        <v>38446</v>
      </c>
      <c r="D2495" t="s">
        <v>6</v>
      </c>
      <c r="E2495">
        <v>4.9230049999999999</v>
      </c>
      <c r="F2495">
        <f t="shared" si="76"/>
        <v>1.6666999999999987E-2</v>
      </c>
      <c r="G2495">
        <f t="shared" si="77"/>
        <v>76.743973011535971</v>
      </c>
    </row>
    <row r="2496" spans="2:7">
      <c r="B2496" t="s">
        <v>2</v>
      </c>
      <c r="C2496" s="2">
        <v>38443</v>
      </c>
      <c r="D2496" t="s">
        <v>6</v>
      </c>
      <c r="E2496">
        <v>4.9063379999999999</v>
      </c>
      <c r="F2496">
        <f t="shared" si="76"/>
        <v>-3.9953000000000571E-2</v>
      </c>
      <c r="G2496">
        <f t="shared" si="77"/>
        <v>76.744397584239465</v>
      </c>
    </row>
    <row r="2497" spans="2:7">
      <c r="B2497" t="s">
        <v>2</v>
      </c>
      <c r="C2497" s="2">
        <v>38442</v>
      </c>
      <c r="D2497" t="s">
        <v>6</v>
      </c>
      <c r="E2497">
        <v>4.9462910000000004</v>
      </c>
      <c r="F2497">
        <f t="shared" si="76"/>
        <v>-6.2390999999999863E-2</v>
      </c>
      <c r="G2497">
        <f t="shared" si="77"/>
        <v>76.853264637935155</v>
      </c>
    </row>
    <row r="2498" spans="2:7">
      <c r="B2498" t="s">
        <v>2</v>
      </c>
      <c r="C2498" s="2">
        <v>38441</v>
      </c>
      <c r="D2498" t="s">
        <v>6</v>
      </c>
      <c r="E2498">
        <v>5.0086820000000003</v>
      </c>
      <c r="F2498">
        <f t="shared" si="76"/>
        <v>-3.4424999999999706E-2</v>
      </c>
      <c r="G2498">
        <f t="shared" si="77"/>
        <v>75.563588662576848</v>
      </c>
    </row>
    <row r="2499" spans="2:7">
      <c r="B2499" t="s">
        <v>2</v>
      </c>
      <c r="C2499" s="2">
        <v>38440</v>
      </c>
      <c r="D2499" t="s">
        <v>6</v>
      </c>
      <c r="E2499">
        <v>5.043107</v>
      </c>
      <c r="F2499">
        <f t="shared" ref="F2499:F2562" si="78">E2499-E2500</f>
        <v>-3.6315000000000097E-2</v>
      </c>
      <c r="G2499">
        <f t="shared" ref="G2499:G2562" si="79">STDEV(F2499:F2558)*SQRT(250)*100</f>
        <v>76.053337818192816</v>
      </c>
    </row>
    <row r="2500" spans="2:7">
      <c r="B2500" t="s">
        <v>2</v>
      </c>
      <c r="C2500" s="2">
        <v>38439</v>
      </c>
      <c r="D2500" t="s">
        <v>6</v>
      </c>
      <c r="E2500">
        <v>5.0794220000000001</v>
      </c>
      <c r="F2500">
        <f t="shared" si="78"/>
        <v>4.1795999999999722E-2</v>
      </c>
      <c r="G2500">
        <f t="shared" si="79"/>
        <v>76.579144474735187</v>
      </c>
    </row>
    <row r="2501" spans="2:7">
      <c r="B2501" t="s">
        <v>2</v>
      </c>
      <c r="C2501" s="2">
        <v>38435</v>
      </c>
      <c r="D2501" t="s">
        <v>6</v>
      </c>
      <c r="E2501">
        <v>5.0376260000000004</v>
      </c>
      <c r="F2501">
        <f t="shared" si="78"/>
        <v>-2.6336999999999833E-2</v>
      </c>
      <c r="G2501">
        <f t="shared" si="79"/>
        <v>76.317249050608254</v>
      </c>
    </row>
    <row r="2502" spans="2:7">
      <c r="B2502" t="s">
        <v>2</v>
      </c>
      <c r="C2502" s="2">
        <v>38434</v>
      </c>
      <c r="D2502" t="s">
        <v>6</v>
      </c>
      <c r="E2502">
        <v>5.0639630000000002</v>
      </c>
      <c r="F2502">
        <f t="shared" si="78"/>
        <v>5.5440000000004375E-3</v>
      </c>
      <c r="G2502">
        <f t="shared" si="79"/>
        <v>76.040243964923476</v>
      </c>
    </row>
    <row r="2503" spans="2:7">
      <c r="B2503" t="s">
        <v>2</v>
      </c>
      <c r="C2503" s="2">
        <v>38433</v>
      </c>
      <c r="D2503" t="s">
        <v>6</v>
      </c>
      <c r="E2503">
        <v>5.0584189999999998</v>
      </c>
      <c r="F2503">
        <f t="shared" si="78"/>
        <v>9.7355999999999554E-2</v>
      </c>
      <c r="G2503">
        <f t="shared" si="79"/>
        <v>77.468946391345682</v>
      </c>
    </row>
    <row r="2504" spans="2:7">
      <c r="B2504" t="s">
        <v>2</v>
      </c>
      <c r="C2504" s="2">
        <v>38432</v>
      </c>
      <c r="D2504" t="s">
        <v>6</v>
      </c>
      <c r="E2504">
        <v>4.9610630000000002</v>
      </c>
      <c r="F2504">
        <f t="shared" si="78"/>
        <v>1.8882000000000509E-2</v>
      </c>
      <c r="G2504">
        <f t="shared" si="79"/>
        <v>75.227000215107097</v>
      </c>
    </row>
    <row r="2505" spans="2:7">
      <c r="B2505" t="s">
        <v>2</v>
      </c>
      <c r="C2505" s="2">
        <v>38429</v>
      </c>
      <c r="D2505" t="s">
        <v>6</v>
      </c>
      <c r="E2505">
        <v>4.9421809999999997</v>
      </c>
      <c r="F2505">
        <f t="shared" si="78"/>
        <v>3.7326999999999444E-2</v>
      </c>
      <c r="G2505">
        <f t="shared" si="79"/>
        <v>75.624024236017391</v>
      </c>
    </row>
    <row r="2506" spans="2:7">
      <c r="B2506" t="s">
        <v>2</v>
      </c>
      <c r="C2506" s="2">
        <v>38428</v>
      </c>
      <c r="D2506" t="s">
        <v>6</v>
      </c>
      <c r="E2506">
        <v>4.9048540000000003</v>
      </c>
      <c r="F2506">
        <f t="shared" si="78"/>
        <v>-5.2925000000000111E-2</v>
      </c>
      <c r="G2506">
        <f t="shared" si="79"/>
        <v>75.746752347803223</v>
      </c>
    </row>
    <row r="2507" spans="2:7">
      <c r="B2507" t="s">
        <v>2</v>
      </c>
      <c r="C2507" s="2">
        <v>38427</v>
      </c>
      <c r="D2507" t="s">
        <v>6</v>
      </c>
      <c r="E2507">
        <v>4.9577790000000004</v>
      </c>
      <c r="F2507">
        <f t="shared" si="78"/>
        <v>-8.6100000000000065E-3</v>
      </c>
      <c r="G2507">
        <f t="shared" si="79"/>
        <v>74.815309555752336</v>
      </c>
    </row>
    <row r="2508" spans="2:7">
      <c r="B2508" t="s">
        <v>2</v>
      </c>
      <c r="C2508" s="2">
        <v>38426</v>
      </c>
      <c r="D2508" t="s">
        <v>6</v>
      </c>
      <c r="E2508">
        <v>4.9663890000000004</v>
      </c>
      <c r="F2508">
        <f t="shared" si="78"/>
        <v>2.3575000000000124E-2</v>
      </c>
      <c r="G2508">
        <f t="shared" si="79"/>
        <v>74.829049548830852</v>
      </c>
    </row>
    <row r="2509" spans="2:7">
      <c r="B2509" t="s">
        <v>2</v>
      </c>
      <c r="C2509" s="2">
        <v>38425</v>
      </c>
      <c r="D2509" t="s">
        <v>6</v>
      </c>
      <c r="E2509">
        <v>4.9428140000000003</v>
      </c>
      <c r="F2509">
        <f t="shared" si="78"/>
        <v>-1.0705999999999882E-2</v>
      </c>
      <c r="G2509">
        <f t="shared" si="79"/>
        <v>77.88610089308429</v>
      </c>
    </row>
    <row r="2510" spans="2:7">
      <c r="B2510" t="s">
        <v>2</v>
      </c>
      <c r="C2510" s="2">
        <v>38422</v>
      </c>
      <c r="D2510" t="s">
        <v>6</v>
      </c>
      <c r="E2510">
        <v>4.9535200000000001</v>
      </c>
      <c r="F2510">
        <f t="shared" si="78"/>
        <v>7.9565000000000552E-2</v>
      </c>
      <c r="G2510">
        <f t="shared" si="79"/>
        <v>79.237341434886659</v>
      </c>
    </row>
    <row r="2511" spans="2:7">
      <c r="B2511" t="s">
        <v>2</v>
      </c>
      <c r="C2511" s="2">
        <v>38421</v>
      </c>
      <c r="D2511" t="s">
        <v>6</v>
      </c>
      <c r="E2511">
        <v>4.8739549999999996</v>
      </c>
      <c r="F2511">
        <f t="shared" si="78"/>
        <v>-6.1691000000000606E-2</v>
      </c>
      <c r="G2511">
        <f t="shared" si="79"/>
        <v>77.870271148145804</v>
      </c>
    </row>
    <row r="2512" spans="2:7">
      <c r="B2512" t="s">
        <v>2</v>
      </c>
      <c r="C2512" s="2">
        <v>38420</v>
      </c>
      <c r="D2512" t="s">
        <v>6</v>
      </c>
      <c r="E2512">
        <v>4.9356460000000002</v>
      </c>
      <c r="F2512">
        <f t="shared" si="78"/>
        <v>0.15560099999999988</v>
      </c>
      <c r="G2512">
        <f t="shared" si="79"/>
        <v>76.621844225385928</v>
      </c>
    </row>
    <row r="2513" spans="2:7">
      <c r="B2513" t="s">
        <v>2</v>
      </c>
      <c r="C2513" s="2">
        <v>38419</v>
      </c>
      <c r="D2513" t="s">
        <v>6</v>
      </c>
      <c r="E2513">
        <v>4.7800450000000003</v>
      </c>
      <c r="F2513">
        <f t="shared" si="78"/>
        <v>7.6906000000000141E-2</v>
      </c>
      <c r="G2513">
        <f t="shared" si="79"/>
        <v>70.140361010281055</v>
      </c>
    </row>
    <row r="2514" spans="2:7">
      <c r="B2514" t="s">
        <v>2</v>
      </c>
      <c r="C2514" s="2">
        <v>38418</v>
      </c>
      <c r="D2514" t="s">
        <v>6</v>
      </c>
      <c r="E2514">
        <v>4.7031390000000002</v>
      </c>
      <c r="F2514">
        <f t="shared" si="78"/>
        <v>-1.3379999999999725E-2</v>
      </c>
      <c r="G2514">
        <f t="shared" si="79"/>
        <v>68.717092924952155</v>
      </c>
    </row>
    <row r="2515" spans="2:7">
      <c r="B2515" t="s">
        <v>2</v>
      </c>
      <c r="C2515" s="2">
        <v>38415</v>
      </c>
      <c r="D2515" t="s">
        <v>6</v>
      </c>
      <c r="E2515">
        <v>4.7165189999999999</v>
      </c>
      <c r="F2515">
        <f t="shared" si="78"/>
        <v>-9.0391000000000332E-2</v>
      </c>
      <c r="G2515">
        <f t="shared" si="79"/>
        <v>71.207084180281129</v>
      </c>
    </row>
    <row r="2516" spans="2:7">
      <c r="B2516" t="s">
        <v>2</v>
      </c>
      <c r="C2516" s="2">
        <v>38414</v>
      </c>
      <c r="D2516" t="s">
        <v>6</v>
      </c>
      <c r="E2516">
        <v>4.8069100000000002</v>
      </c>
      <c r="F2516">
        <f t="shared" si="78"/>
        <v>1.1946000000000012E-2</v>
      </c>
      <c r="G2516">
        <f t="shared" si="79"/>
        <v>68.946092124167706</v>
      </c>
    </row>
    <row r="2517" spans="2:7">
      <c r="B2517" t="s">
        <v>2</v>
      </c>
      <c r="C2517" s="2">
        <v>38413</v>
      </c>
      <c r="D2517" t="s">
        <v>6</v>
      </c>
      <c r="E2517">
        <v>4.7949640000000002</v>
      </c>
      <c r="F2517">
        <f t="shared" si="78"/>
        <v>1.1055999999999955E-2</v>
      </c>
      <c r="G2517">
        <f t="shared" si="79"/>
        <v>69.458032502319213</v>
      </c>
    </row>
    <row r="2518" spans="2:7">
      <c r="B2518" t="s">
        <v>2</v>
      </c>
      <c r="C2518" s="2">
        <v>38412</v>
      </c>
      <c r="D2518" t="s">
        <v>6</v>
      </c>
      <c r="E2518">
        <v>4.7839080000000003</v>
      </c>
      <c r="F2518">
        <f t="shared" si="78"/>
        <v>1.8820999999999977E-2</v>
      </c>
      <c r="G2518">
        <f t="shared" si="79"/>
        <v>74.624197799069663</v>
      </c>
    </row>
    <row r="2519" spans="2:7">
      <c r="B2519" t="s">
        <v>2</v>
      </c>
      <c r="C2519" s="2">
        <v>38411</v>
      </c>
      <c r="D2519" t="s">
        <v>6</v>
      </c>
      <c r="E2519">
        <v>4.7650870000000003</v>
      </c>
      <c r="F2519">
        <f t="shared" si="78"/>
        <v>0.10444600000000026</v>
      </c>
      <c r="G2519">
        <f t="shared" si="79"/>
        <v>74.668766761970446</v>
      </c>
    </row>
    <row r="2520" spans="2:7">
      <c r="B2520" t="s">
        <v>2</v>
      </c>
      <c r="C2520" s="2">
        <v>38408</v>
      </c>
      <c r="D2520" t="s">
        <v>6</v>
      </c>
      <c r="E2520">
        <v>4.660641</v>
      </c>
      <c r="F2520">
        <f t="shared" si="78"/>
        <v>-1.7610999999999599E-2</v>
      </c>
      <c r="G2520">
        <f t="shared" si="79"/>
        <v>71.570035584626865</v>
      </c>
    </row>
    <row r="2521" spans="2:7">
      <c r="B2521" t="s">
        <v>2</v>
      </c>
      <c r="C2521" s="2">
        <v>38407</v>
      </c>
      <c r="D2521" t="s">
        <v>6</v>
      </c>
      <c r="E2521">
        <v>4.6782519999999996</v>
      </c>
      <c r="F2521">
        <f t="shared" si="78"/>
        <v>2.3568000000000033E-2</v>
      </c>
      <c r="G2521">
        <f t="shared" si="79"/>
        <v>72.042570656890916</v>
      </c>
    </row>
    <row r="2522" spans="2:7">
      <c r="B2522" t="s">
        <v>2</v>
      </c>
      <c r="C2522" s="2">
        <v>38406</v>
      </c>
      <c r="D2522" t="s">
        <v>6</v>
      </c>
      <c r="E2522">
        <v>4.6546839999999996</v>
      </c>
      <c r="F2522">
        <f t="shared" si="78"/>
        <v>-1.6215000000000757E-2</v>
      </c>
      <c r="G2522">
        <f t="shared" si="79"/>
        <v>74.469845422388758</v>
      </c>
    </row>
    <row r="2523" spans="2:7">
      <c r="B2523" t="s">
        <v>2</v>
      </c>
      <c r="C2523" s="2">
        <v>38405</v>
      </c>
      <c r="D2523" t="s">
        <v>6</v>
      </c>
      <c r="E2523">
        <v>4.6708990000000004</v>
      </c>
      <c r="F2523">
        <f t="shared" si="78"/>
        <v>2.7314000000000505E-2</v>
      </c>
      <c r="G2523">
        <f t="shared" si="79"/>
        <v>75.065130554516983</v>
      </c>
    </row>
    <row r="2524" spans="2:7">
      <c r="B2524" t="s">
        <v>2</v>
      </c>
      <c r="C2524" s="2">
        <v>38401</v>
      </c>
      <c r="D2524" t="s">
        <v>6</v>
      </c>
      <c r="E2524">
        <v>4.6435849999999999</v>
      </c>
      <c r="F2524">
        <f t="shared" si="78"/>
        <v>8.7603999999999793E-2</v>
      </c>
      <c r="G2524">
        <f t="shared" si="79"/>
        <v>74.903187295612966</v>
      </c>
    </row>
    <row r="2525" spans="2:7">
      <c r="B2525" t="s">
        <v>2</v>
      </c>
      <c r="C2525" s="2">
        <v>38400</v>
      </c>
      <c r="D2525" t="s">
        <v>6</v>
      </c>
      <c r="E2525">
        <v>4.5559810000000001</v>
      </c>
      <c r="F2525">
        <f t="shared" si="78"/>
        <v>2.6853000000000016E-2</v>
      </c>
      <c r="G2525">
        <f t="shared" si="79"/>
        <v>72.764935788426257</v>
      </c>
    </row>
    <row r="2526" spans="2:7">
      <c r="B2526" t="s">
        <v>2</v>
      </c>
      <c r="C2526" s="2">
        <v>38399</v>
      </c>
      <c r="D2526" t="s">
        <v>6</v>
      </c>
      <c r="E2526">
        <v>4.529128</v>
      </c>
      <c r="F2526">
        <f t="shared" si="78"/>
        <v>4.9813000000000329E-2</v>
      </c>
      <c r="G2526">
        <f t="shared" si="79"/>
        <v>73.056268148730553</v>
      </c>
    </row>
    <row r="2527" spans="2:7">
      <c r="B2527" t="s">
        <v>2</v>
      </c>
      <c r="C2527" s="2">
        <v>38398</v>
      </c>
      <c r="D2527" t="s">
        <v>6</v>
      </c>
      <c r="E2527">
        <v>4.4793149999999997</v>
      </c>
      <c r="F2527">
        <f t="shared" si="78"/>
        <v>2.7478999999999587E-2</v>
      </c>
      <c r="G2527">
        <f t="shared" si="79"/>
        <v>73.825083032357469</v>
      </c>
    </row>
    <row r="2528" spans="2:7">
      <c r="B2528" t="s">
        <v>2</v>
      </c>
      <c r="C2528" s="2">
        <v>38397</v>
      </c>
      <c r="D2528" t="s">
        <v>6</v>
      </c>
      <c r="E2528">
        <v>4.4518360000000001</v>
      </c>
      <c r="F2528">
        <f t="shared" si="78"/>
        <v>-2.1526999999999852E-2</v>
      </c>
      <c r="G2528">
        <f t="shared" si="79"/>
        <v>73.716974522019669</v>
      </c>
    </row>
    <row r="2529" spans="2:7">
      <c r="B2529" t="s">
        <v>2</v>
      </c>
      <c r="C2529" s="2">
        <v>38394</v>
      </c>
      <c r="D2529" t="s">
        <v>6</v>
      </c>
      <c r="E2529">
        <v>4.473363</v>
      </c>
      <c r="F2529">
        <f t="shared" si="78"/>
        <v>2.7930999999999706E-2</v>
      </c>
      <c r="G2529">
        <f t="shared" si="79"/>
        <v>75.243894044914953</v>
      </c>
    </row>
    <row r="2530" spans="2:7">
      <c r="B2530" t="s">
        <v>2</v>
      </c>
      <c r="C2530" s="2">
        <v>38393</v>
      </c>
      <c r="D2530" t="s">
        <v>6</v>
      </c>
      <c r="E2530">
        <v>4.4454320000000003</v>
      </c>
      <c r="F2530">
        <f t="shared" si="78"/>
        <v>9.7712000000000465E-2</v>
      </c>
      <c r="G2530">
        <f t="shared" si="79"/>
        <v>75.085225708504396</v>
      </c>
    </row>
    <row r="2531" spans="2:7">
      <c r="B2531" t="s">
        <v>2</v>
      </c>
      <c r="C2531" s="2">
        <v>38392</v>
      </c>
      <c r="D2531" t="s">
        <v>6</v>
      </c>
      <c r="E2531">
        <v>4.3477199999999998</v>
      </c>
      <c r="F2531">
        <f t="shared" si="78"/>
        <v>-6.5557000000000087E-2</v>
      </c>
      <c r="G2531">
        <f t="shared" si="79"/>
        <v>72.130939930179522</v>
      </c>
    </row>
    <row r="2532" spans="2:7">
      <c r="B2532" t="s">
        <v>2</v>
      </c>
      <c r="C2532" s="2">
        <v>38391</v>
      </c>
      <c r="D2532" t="s">
        <v>6</v>
      </c>
      <c r="E2532">
        <v>4.4132769999999999</v>
      </c>
      <c r="F2532">
        <f t="shared" si="78"/>
        <v>-2.274900000000013E-2</v>
      </c>
      <c r="G2532">
        <f t="shared" si="79"/>
        <v>72.003770254682735</v>
      </c>
    </row>
    <row r="2533" spans="2:7">
      <c r="B2533" t="s">
        <v>2</v>
      </c>
      <c r="C2533" s="2">
        <v>38390</v>
      </c>
      <c r="D2533" t="s">
        <v>6</v>
      </c>
      <c r="E2533">
        <v>4.436026</v>
      </c>
      <c r="F2533">
        <f t="shared" si="78"/>
        <v>-1.7725999999999686E-2</v>
      </c>
      <c r="G2533">
        <f t="shared" si="79"/>
        <v>72.332995069467714</v>
      </c>
    </row>
    <row r="2534" spans="2:7">
      <c r="B2534" t="s">
        <v>2</v>
      </c>
      <c r="C2534" s="2">
        <v>38387</v>
      </c>
      <c r="D2534" t="s">
        <v>6</v>
      </c>
      <c r="E2534">
        <v>4.4537519999999997</v>
      </c>
      <c r="F2534">
        <f t="shared" si="78"/>
        <v>-9.4909000000000354E-2</v>
      </c>
      <c r="G2534">
        <f t="shared" si="79"/>
        <v>72.27535529901516</v>
      </c>
    </row>
    <row r="2535" spans="2:7">
      <c r="B2535" t="s">
        <v>2</v>
      </c>
      <c r="C2535" s="2">
        <v>38386</v>
      </c>
      <c r="D2535" t="s">
        <v>6</v>
      </c>
      <c r="E2535">
        <v>4.5486610000000001</v>
      </c>
      <c r="F2535">
        <f t="shared" si="78"/>
        <v>2.3628000000000426E-2</v>
      </c>
      <c r="G2535">
        <f t="shared" si="79"/>
        <v>69.932102840201722</v>
      </c>
    </row>
    <row r="2536" spans="2:7">
      <c r="B2536" t="s">
        <v>2</v>
      </c>
      <c r="C2536" s="2">
        <v>38385</v>
      </c>
      <c r="D2536" t="s">
        <v>6</v>
      </c>
      <c r="E2536">
        <v>4.5250329999999996</v>
      </c>
      <c r="F2536">
        <f t="shared" si="78"/>
        <v>2.062999999999704E-3</v>
      </c>
      <c r="G2536">
        <f t="shared" si="79"/>
        <v>74.745313964803444</v>
      </c>
    </row>
    <row r="2537" spans="2:7">
      <c r="B2537" t="s">
        <v>2</v>
      </c>
      <c r="C2537" s="2">
        <v>38384</v>
      </c>
      <c r="D2537" t="s">
        <v>6</v>
      </c>
      <c r="E2537">
        <v>4.5229699999999999</v>
      </c>
      <c r="F2537">
        <f t="shared" si="78"/>
        <v>6.708999999999854E-3</v>
      </c>
      <c r="G2537">
        <f t="shared" si="79"/>
        <v>74.76164165077715</v>
      </c>
    </row>
    <row r="2538" spans="2:7">
      <c r="B2538" t="s">
        <v>2</v>
      </c>
      <c r="C2538" s="2">
        <v>38383</v>
      </c>
      <c r="D2538" t="s">
        <v>6</v>
      </c>
      <c r="E2538">
        <v>4.5162610000000001</v>
      </c>
      <c r="F2538">
        <f t="shared" si="78"/>
        <v>-6.5859999999995367E-3</v>
      </c>
      <c r="G2538">
        <f t="shared" si="79"/>
        <v>74.751903179157125</v>
      </c>
    </row>
    <row r="2539" spans="2:7">
      <c r="B2539" t="s">
        <v>2</v>
      </c>
      <c r="C2539" s="2">
        <v>38380</v>
      </c>
      <c r="D2539" t="s">
        <v>6</v>
      </c>
      <c r="E2539">
        <v>4.5228469999999996</v>
      </c>
      <c r="F2539">
        <f t="shared" si="78"/>
        <v>-6.9524000000000363E-2</v>
      </c>
      <c r="G2539">
        <f t="shared" si="79"/>
        <v>74.81314580558481</v>
      </c>
    </row>
    <row r="2540" spans="2:7">
      <c r="B2540" t="s">
        <v>2</v>
      </c>
      <c r="C2540" s="2">
        <v>38379</v>
      </c>
      <c r="D2540" t="s">
        <v>6</v>
      </c>
      <c r="E2540">
        <v>4.592371</v>
      </c>
      <c r="F2540">
        <f t="shared" si="78"/>
        <v>2.1565999999999974E-2</v>
      </c>
      <c r="G2540">
        <f t="shared" si="79"/>
        <v>74.648081155024485</v>
      </c>
    </row>
    <row r="2541" spans="2:7">
      <c r="B2541" t="s">
        <v>2</v>
      </c>
      <c r="C2541" s="2">
        <v>38378</v>
      </c>
      <c r="D2541" t="s">
        <v>6</v>
      </c>
      <c r="E2541">
        <v>4.570805</v>
      </c>
      <c r="F2541">
        <f t="shared" si="78"/>
        <v>2.7869999999996509E-3</v>
      </c>
      <c r="G2541">
        <f t="shared" si="79"/>
        <v>75.310691041129843</v>
      </c>
    </row>
    <row r="2542" spans="2:7">
      <c r="B2542" t="s">
        <v>2</v>
      </c>
      <c r="C2542" s="2">
        <v>38377</v>
      </c>
      <c r="D2542" t="s">
        <v>6</v>
      </c>
      <c r="E2542">
        <v>4.5680180000000004</v>
      </c>
      <c r="F2542">
        <f t="shared" si="78"/>
        <v>5.8686000000000682E-2</v>
      </c>
      <c r="G2542">
        <f t="shared" si="79"/>
        <v>75.329568545909325</v>
      </c>
    </row>
    <row r="2543" spans="2:7">
      <c r="B2543" t="s">
        <v>2</v>
      </c>
      <c r="C2543" s="2">
        <v>38376</v>
      </c>
      <c r="D2543" t="s">
        <v>6</v>
      </c>
      <c r="E2543">
        <v>4.5093319999999997</v>
      </c>
      <c r="F2543">
        <f t="shared" si="78"/>
        <v>-1.8139000000000571E-2</v>
      </c>
      <c r="G2543">
        <f t="shared" si="79"/>
        <v>77.6701637953134</v>
      </c>
    </row>
    <row r="2544" spans="2:7">
      <c r="B2544" t="s">
        <v>2</v>
      </c>
      <c r="C2544" s="2">
        <v>38373</v>
      </c>
      <c r="D2544" t="s">
        <v>6</v>
      </c>
      <c r="E2544">
        <v>4.5274710000000002</v>
      </c>
      <c r="F2544">
        <f t="shared" si="78"/>
        <v>-1.6180999999999557E-2</v>
      </c>
      <c r="G2544">
        <f t="shared" si="79"/>
        <v>77.609181300997804</v>
      </c>
    </row>
    <row r="2545" spans="2:7">
      <c r="B2545" t="s">
        <v>2</v>
      </c>
      <c r="C2545" s="2">
        <v>38372</v>
      </c>
      <c r="D2545" t="s">
        <v>6</v>
      </c>
      <c r="E2545">
        <v>4.5436519999999998</v>
      </c>
      <c r="F2545">
        <f t="shared" si="78"/>
        <v>-2.6436000000000348E-2</v>
      </c>
      <c r="G2545">
        <f t="shared" si="79"/>
        <v>77.626204392960091</v>
      </c>
    </row>
    <row r="2546" spans="2:7">
      <c r="B2546" t="s">
        <v>2</v>
      </c>
      <c r="C2546" s="2">
        <v>38371</v>
      </c>
      <c r="D2546" t="s">
        <v>6</v>
      </c>
      <c r="E2546">
        <v>4.5700880000000002</v>
      </c>
      <c r="F2546">
        <f t="shared" si="78"/>
        <v>-1.2118000000000073E-2</v>
      </c>
      <c r="G2546">
        <f t="shared" si="79"/>
        <v>77.461070866684707</v>
      </c>
    </row>
    <row r="2547" spans="2:7">
      <c r="B2547" t="s">
        <v>2</v>
      </c>
      <c r="C2547" s="2">
        <v>38370</v>
      </c>
      <c r="D2547" t="s">
        <v>6</v>
      </c>
      <c r="E2547">
        <v>4.5822060000000002</v>
      </c>
      <c r="F2547">
        <f t="shared" si="78"/>
        <v>-2.660399999999985E-2</v>
      </c>
      <c r="G2547">
        <f t="shared" si="79"/>
        <v>77.402723867565769</v>
      </c>
    </row>
    <row r="2548" spans="2:7">
      <c r="B2548" t="s">
        <v>2</v>
      </c>
      <c r="C2548" s="2">
        <v>38366</v>
      </c>
      <c r="D2548" t="s">
        <v>6</v>
      </c>
      <c r="E2548">
        <v>4.6088100000000001</v>
      </c>
      <c r="F2548">
        <f t="shared" si="78"/>
        <v>2.430100000000035E-2</v>
      </c>
      <c r="G2548">
        <f t="shared" si="79"/>
        <v>77.867106765780349</v>
      </c>
    </row>
    <row r="2549" spans="2:7">
      <c r="B2549" t="s">
        <v>2</v>
      </c>
      <c r="C2549" s="2">
        <v>38365</v>
      </c>
      <c r="D2549" t="s">
        <v>6</v>
      </c>
      <c r="E2549">
        <v>4.5845089999999997</v>
      </c>
      <c r="F2549">
        <f t="shared" si="78"/>
        <v>-4.8493000000000563E-2</v>
      </c>
      <c r="G2549">
        <f t="shared" si="79"/>
        <v>77.807174982584158</v>
      </c>
    </row>
    <row r="2550" spans="2:7">
      <c r="B2550" t="s">
        <v>2</v>
      </c>
      <c r="C2550" s="2">
        <v>38364</v>
      </c>
      <c r="D2550" t="s">
        <v>6</v>
      </c>
      <c r="E2550">
        <v>4.6330020000000003</v>
      </c>
      <c r="F2550">
        <f t="shared" si="78"/>
        <v>-1.4390999999999821E-2</v>
      </c>
      <c r="G2550">
        <f t="shared" si="79"/>
        <v>77.140100759005051</v>
      </c>
    </row>
    <row r="2551" spans="2:7">
      <c r="B2551" t="s">
        <v>2</v>
      </c>
      <c r="C2551" s="2">
        <v>38363</v>
      </c>
      <c r="D2551" t="s">
        <v>6</v>
      </c>
      <c r="E2551">
        <v>4.6473930000000001</v>
      </c>
      <c r="F2551">
        <f t="shared" si="78"/>
        <v>-3.1225000000000058E-2</v>
      </c>
      <c r="G2551">
        <f t="shared" si="79"/>
        <v>77.445478499593918</v>
      </c>
    </row>
    <row r="2552" spans="2:7">
      <c r="B2552" t="s">
        <v>2</v>
      </c>
      <c r="C2552" s="2">
        <v>38362</v>
      </c>
      <c r="D2552" t="s">
        <v>6</v>
      </c>
      <c r="E2552">
        <v>4.6786180000000002</v>
      </c>
      <c r="F2552">
        <f t="shared" si="78"/>
        <v>-9.4950000000002532E-3</v>
      </c>
      <c r="G2552">
        <f t="shared" si="79"/>
        <v>78.536663937569884</v>
      </c>
    </row>
    <row r="2553" spans="2:7">
      <c r="B2553" t="s">
        <v>2</v>
      </c>
      <c r="C2553" s="2">
        <v>38359</v>
      </c>
      <c r="D2553" t="s">
        <v>6</v>
      </c>
      <c r="E2553">
        <v>4.6881130000000004</v>
      </c>
      <c r="F2553">
        <f t="shared" si="78"/>
        <v>1.2438000000000393E-2</v>
      </c>
      <c r="G2553">
        <f t="shared" si="79"/>
        <v>78.841351178931646</v>
      </c>
    </row>
    <row r="2554" spans="2:7">
      <c r="B2554" t="s">
        <v>2</v>
      </c>
      <c r="C2554" s="2">
        <v>38358</v>
      </c>
      <c r="D2554" t="s">
        <v>6</v>
      </c>
      <c r="E2554">
        <v>4.675675</v>
      </c>
      <c r="F2554">
        <f t="shared" si="78"/>
        <v>-1.0329999999996176E-3</v>
      </c>
      <c r="G2554">
        <f t="shared" si="79"/>
        <v>79.130895678712278</v>
      </c>
    </row>
    <row r="2555" spans="2:7">
      <c r="B2555" t="s">
        <v>2</v>
      </c>
      <c r="C2555" s="2">
        <v>38357</v>
      </c>
      <c r="D2555" t="s">
        <v>6</v>
      </c>
      <c r="E2555">
        <v>4.6767079999999996</v>
      </c>
      <c r="F2555">
        <f t="shared" si="78"/>
        <v>-8.9440000000005071E-3</v>
      </c>
      <c r="G2555">
        <f t="shared" si="79"/>
        <v>83.326990668408868</v>
      </c>
    </row>
    <row r="2556" spans="2:7">
      <c r="B2556" t="s">
        <v>2</v>
      </c>
      <c r="C2556" s="2">
        <v>38356</v>
      </c>
      <c r="D2556" t="s">
        <v>6</v>
      </c>
      <c r="E2556">
        <v>4.6856520000000002</v>
      </c>
      <c r="F2556">
        <f t="shared" si="78"/>
        <v>5.3100999999999843E-2</v>
      </c>
      <c r="G2556">
        <f t="shared" si="79"/>
        <v>83.486197933400902</v>
      </c>
    </row>
    <row r="2557" spans="2:7">
      <c r="B2557" t="s">
        <v>2</v>
      </c>
      <c r="C2557" s="2">
        <v>38355</v>
      </c>
      <c r="D2557" t="s">
        <v>6</v>
      </c>
      <c r="E2557">
        <v>4.6325510000000003</v>
      </c>
      <c r="F2557">
        <f t="shared" si="78"/>
        <v>3.0380000000000962E-3</v>
      </c>
      <c r="G2557">
        <f t="shared" si="79"/>
        <v>83.680246507908194</v>
      </c>
    </row>
    <row r="2558" spans="2:7">
      <c r="B2558" t="s">
        <v>2</v>
      </c>
      <c r="C2558" s="2">
        <v>38352</v>
      </c>
      <c r="D2558" t="s">
        <v>6</v>
      </c>
      <c r="E2558">
        <v>4.6295130000000002</v>
      </c>
      <c r="F2558">
        <f t="shared" si="78"/>
        <v>-5.2141999999999911E-2</v>
      </c>
      <c r="G2558">
        <f t="shared" si="79"/>
        <v>83.67815325056975</v>
      </c>
    </row>
    <row r="2559" spans="2:7">
      <c r="B2559" t="s">
        <v>2</v>
      </c>
      <c r="C2559" s="2">
        <v>38351</v>
      </c>
      <c r="D2559" t="s">
        <v>6</v>
      </c>
      <c r="E2559">
        <v>4.6816550000000001</v>
      </c>
      <c r="F2559">
        <f t="shared" si="78"/>
        <v>-5.4739999999999789E-2</v>
      </c>
      <c r="G2559">
        <f t="shared" si="79"/>
        <v>82.99351340878583</v>
      </c>
    </row>
    <row r="2560" spans="2:7">
      <c r="B2560" t="s">
        <v>2</v>
      </c>
      <c r="C2560" s="2">
        <v>38350</v>
      </c>
      <c r="D2560" t="s">
        <v>6</v>
      </c>
      <c r="E2560">
        <v>4.7363949999999999</v>
      </c>
      <c r="F2560">
        <f t="shared" si="78"/>
        <v>2.4731000000000058E-2</v>
      </c>
      <c r="G2560">
        <f t="shared" si="79"/>
        <v>83.729463081628808</v>
      </c>
    </row>
    <row r="2561" spans="2:7">
      <c r="B2561" t="s">
        <v>2</v>
      </c>
      <c r="C2561" s="2">
        <v>38349</v>
      </c>
      <c r="D2561" t="s">
        <v>6</v>
      </c>
      <c r="E2561">
        <v>4.7116639999999999</v>
      </c>
      <c r="F2561">
        <f t="shared" si="78"/>
        <v>4.0999999999957737E-4</v>
      </c>
      <c r="G2561">
        <f t="shared" si="79"/>
        <v>83.944126531238041</v>
      </c>
    </row>
    <row r="2562" spans="2:7">
      <c r="B2562" t="s">
        <v>2</v>
      </c>
      <c r="C2562" s="2">
        <v>38348</v>
      </c>
      <c r="D2562" t="s">
        <v>6</v>
      </c>
      <c r="E2562">
        <v>4.7112540000000003</v>
      </c>
      <c r="F2562">
        <f t="shared" si="78"/>
        <v>7.843599999999995E-2</v>
      </c>
      <c r="G2562">
        <f t="shared" si="79"/>
        <v>85.304073146885202</v>
      </c>
    </row>
    <row r="2563" spans="2:7">
      <c r="B2563" t="s">
        <v>2</v>
      </c>
      <c r="C2563" s="2">
        <v>38344</v>
      </c>
      <c r="D2563" t="s">
        <v>6</v>
      </c>
      <c r="E2563">
        <v>4.6328180000000003</v>
      </c>
      <c r="F2563">
        <f t="shared" ref="F2563:F2626" si="80">E2563-E2564</f>
        <v>2.0048000000000066E-2</v>
      </c>
      <c r="G2563">
        <f t="shared" ref="G2563:G2626" si="81">STDEV(F2563:F2622)*SQRT(250)*100</f>
        <v>83.944605391168182</v>
      </c>
    </row>
    <row r="2564" spans="2:7">
      <c r="B2564" t="s">
        <v>2</v>
      </c>
      <c r="C2564" s="2">
        <v>38343</v>
      </c>
      <c r="D2564" t="s">
        <v>6</v>
      </c>
      <c r="E2564">
        <v>4.6127700000000003</v>
      </c>
      <c r="F2564">
        <f t="shared" si="80"/>
        <v>4.5761000000000607E-2</v>
      </c>
      <c r="G2564">
        <f t="shared" si="81"/>
        <v>84.15630007315022</v>
      </c>
    </row>
    <row r="2565" spans="2:7">
      <c r="B2565" t="s">
        <v>2</v>
      </c>
      <c r="C2565" s="2">
        <v>38342</v>
      </c>
      <c r="D2565" t="s">
        <v>6</v>
      </c>
      <c r="E2565">
        <v>4.5670089999999997</v>
      </c>
      <c r="F2565">
        <f t="shared" si="80"/>
        <v>-3.2280000000000086E-2</v>
      </c>
      <c r="G2565">
        <f t="shared" si="81"/>
        <v>83.706547031215592</v>
      </c>
    </row>
    <row r="2566" spans="2:7">
      <c r="B2566" t="s">
        <v>2</v>
      </c>
      <c r="C2566" s="2">
        <v>38341</v>
      </c>
      <c r="D2566" t="s">
        <v>6</v>
      </c>
      <c r="E2566">
        <v>4.5992889999999997</v>
      </c>
      <c r="F2566">
        <f t="shared" si="80"/>
        <v>-4.6650000000001413E-3</v>
      </c>
      <c r="G2566">
        <f t="shared" si="81"/>
        <v>83.716523931117976</v>
      </c>
    </row>
    <row r="2567" spans="2:7">
      <c r="B2567" t="s">
        <v>2</v>
      </c>
      <c r="C2567" s="2">
        <v>38338</v>
      </c>
      <c r="D2567" t="s">
        <v>6</v>
      </c>
      <c r="E2567">
        <v>4.6039539999999999</v>
      </c>
      <c r="F2567">
        <f t="shared" si="80"/>
        <v>2.2483000000000253E-2</v>
      </c>
      <c r="G2567">
        <f t="shared" si="81"/>
        <v>84.561164295972063</v>
      </c>
    </row>
    <row r="2568" spans="2:7">
      <c r="B2568" t="s">
        <v>2</v>
      </c>
      <c r="C2568" s="2">
        <v>38337</v>
      </c>
      <c r="D2568" t="s">
        <v>6</v>
      </c>
      <c r="E2568">
        <v>4.5814709999999996</v>
      </c>
      <c r="F2568">
        <f t="shared" si="80"/>
        <v>0.11340499999999931</v>
      </c>
      <c r="G2568">
        <f t="shared" si="81"/>
        <v>84.598921272468843</v>
      </c>
    </row>
    <row r="2569" spans="2:7">
      <c r="B2569" t="s">
        <v>2</v>
      </c>
      <c r="C2569" s="2">
        <v>38336</v>
      </c>
      <c r="D2569" t="s">
        <v>6</v>
      </c>
      <c r="E2569">
        <v>4.4680660000000003</v>
      </c>
      <c r="F2569">
        <f t="shared" si="80"/>
        <v>-6.5622999999999543E-2</v>
      </c>
      <c r="G2569">
        <f t="shared" si="81"/>
        <v>83.135429151508561</v>
      </c>
    </row>
    <row r="2570" spans="2:7">
      <c r="B2570" t="s">
        <v>2</v>
      </c>
      <c r="C2570" s="2">
        <v>38335</v>
      </c>
      <c r="D2570" t="s">
        <v>6</v>
      </c>
      <c r="E2570">
        <v>4.5336889999999999</v>
      </c>
      <c r="F2570">
        <f t="shared" si="80"/>
        <v>-1.1305000000000121E-2</v>
      </c>
      <c r="G2570">
        <f t="shared" si="81"/>
        <v>83.018580142676896</v>
      </c>
    </row>
    <row r="2571" spans="2:7">
      <c r="B2571" t="s">
        <v>2</v>
      </c>
      <c r="C2571" s="2">
        <v>38334</v>
      </c>
      <c r="D2571" t="s">
        <v>6</v>
      </c>
      <c r="E2571">
        <v>4.544994</v>
      </c>
      <c r="F2571">
        <f t="shared" si="80"/>
        <v>4.8699999999968213E-4</v>
      </c>
      <c r="G2571">
        <f t="shared" si="81"/>
        <v>85.859119284405523</v>
      </c>
    </row>
    <row r="2572" spans="2:7">
      <c r="B2572" t="s">
        <v>2</v>
      </c>
      <c r="C2572" s="2">
        <v>38331</v>
      </c>
      <c r="D2572" t="s">
        <v>6</v>
      </c>
      <c r="E2572">
        <v>4.5445070000000003</v>
      </c>
      <c r="F2572">
        <f t="shared" si="80"/>
        <v>-8.479999999999599E-3</v>
      </c>
      <c r="G2572">
        <f t="shared" si="81"/>
        <v>86.246616530966222</v>
      </c>
    </row>
    <row r="2573" spans="2:7">
      <c r="B2573" t="s">
        <v>2</v>
      </c>
      <c r="C2573" s="2">
        <v>38330</v>
      </c>
      <c r="D2573" t="s">
        <v>6</v>
      </c>
      <c r="E2573">
        <v>4.5529869999999999</v>
      </c>
      <c r="F2573">
        <f t="shared" si="80"/>
        <v>3.0587999999999838E-2</v>
      </c>
      <c r="G2573">
        <f t="shared" si="81"/>
        <v>86.418391675444113</v>
      </c>
    </row>
    <row r="2574" spans="2:7">
      <c r="B2574" t="s">
        <v>2</v>
      </c>
      <c r="C2574" s="2">
        <v>38329</v>
      </c>
      <c r="D2574" t="s">
        <v>6</v>
      </c>
      <c r="E2574">
        <v>4.5223990000000001</v>
      </c>
      <c r="F2574">
        <f t="shared" si="80"/>
        <v>-8.9660000000000295E-2</v>
      </c>
      <c r="G2574">
        <f t="shared" si="81"/>
        <v>86.421812712498181</v>
      </c>
    </row>
    <row r="2575" spans="2:7">
      <c r="B2575" t="s">
        <v>2</v>
      </c>
      <c r="C2575" s="2">
        <v>38328</v>
      </c>
      <c r="D2575" t="s">
        <v>6</v>
      </c>
      <c r="E2575">
        <v>4.6120590000000004</v>
      </c>
      <c r="F2575">
        <f t="shared" si="80"/>
        <v>-3.0949999999999811E-2</v>
      </c>
      <c r="G2575">
        <f t="shared" si="81"/>
        <v>84.595242379892952</v>
      </c>
    </row>
    <row r="2576" spans="2:7">
      <c r="B2576" t="s">
        <v>2</v>
      </c>
      <c r="C2576" s="2">
        <v>38327</v>
      </c>
      <c r="D2576" t="s">
        <v>6</v>
      </c>
      <c r="E2576">
        <v>4.6430090000000002</v>
      </c>
      <c r="F2576">
        <f t="shared" si="80"/>
        <v>-3.9712999999999887E-2</v>
      </c>
      <c r="G2576">
        <f t="shared" si="81"/>
        <v>84.688529276351886</v>
      </c>
    </row>
    <row r="2577" spans="2:7">
      <c r="B2577" t="s">
        <v>2</v>
      </c>
      <c r="C2577" s="2">
        <v>38324</v>
      </c>
      <c r="D2577" t="s">
        <v>6</v>
      </c>
      <c r="E2577">
        <v>4.6827220000000001</v>
      </c>
      <c r="F2577">
        <f t="shared" si="80"/>
        <v>-0.13226899999999997</v>
      </c>
      <c r="G2577">
        <f t="shared" si="81"/>
        <v>86.531992697910113</v>
      </c>
    </row>
    <row r="2578" spans="2:7">
      <c r="B2578" t="s">
        <v>2</v>
      </c>
      <c r="C2578" s="2">
        <v>38323</v>
      </c>
      <c r="D2578" t="s">
        <v>6</v>
      </c>
      <c r="E2578">
        <v>4.814991</v>
      </c>
      <c r="F2578">
        <f t="shared" si="80"/>
        <v>2.2530999999999857E-2</v>
      </c>
      <c r="G2578">
        <f t="shared" si="81"/>
        <v>82.947444550032003</v>
      </c>
    </row>
    <row r="2579" spans="2:7">
      <c r="B2579" t="s">
        <v>2</v>
      </c>
      <c r="C2579" s="2">
        <v>38322</v>
      </c>
      <c r="D2579" t="s">
        <v>6</v>
      </c>
      <c r="E2579">
        <v>4.7924600000000002</v>
      </c>
      <c r="F2579">
        <f t="shared" si="80"/>
        <v>2.0236999999999838E-2</v>
      </c>
      <c r="G2579">
        <f t="shared" si="81"/>
        <v>85.905850374395371</v>
      </c>
    </row>
    <row r="2580" spans="2:7">
      <c r="B2580" t="s">
        <v>2</v>
      </c>
      <c r="C2580" s="2">
        <v>38321</v>
      </c>
      <c r="D2580" t="s">
        <v>6</v>
      </c>
      <c r="E2580">
        <v>4.7722230000000003</v>
      </c>
      <c r="F2580">
        <f t="shared" si="80"/>
        <v>4.1827000000000503E-2</v>
      </c>
      <c r="G2580">
        <f t="shared" si="81"/>
        <v>87.379263208470775</v>
      </c>
    </row>
    <row r="2581" spans="2:7">
      <c r="B2581" t="s">
        <v>2</v>
      </c>
      <c r="C2581" s="2">
        <v>38320</v>
      </c>
      <c r="D2581" t="s">
        <v>6</v>
      </c>
      <c r="E2581">
        <v>4.7303959999999998</v>
      </c>
      <c r="F2581">
        <f t="shared" si="80"/>
        <v>9.4386000000000081E-2</v>
      </c>
      <c r="G2581">
        <f t="shared" si="81"/>
        <v>87.040772473266358</v>
      </c>
    </row>
    <row r="2582" spans="2:7">
      <c r="B2582" t="s">
        <v>2</v>
      </c>
      <c r="C2582" s="2">
        <v>38317</v>
      </c>
      <c r="D2582" t="s">
        <v>6</v>
      </c>
      <c r="E2582">
        <v>4.6360099999999997</v>
      </c>
      <c r="F2582">
        <f t="shared" si="80"/>
        <v>4.9773000000000067E-2</v>
      </c>
      <c r="G2582">
        <f t="shared" si="81"/>
        <v>85.954280191700107</v>
      </c>
    </row>
    <row r="2583" spans="2:7">
      <c r="B2583" t="s">
        <v>2</v>
      </c>
      <c r="C2583" s="2">
        <v>38315</v>
      </c>
      <c r="D2583" t="s">
        <v>6</v>
      </c>
      <c r="E2583">
        <v>4.5862369999999997</v>
      </c>
      <c r="F2583">
        <f t="shared" si="80"/>
        <v>1.1508999999999325E-2</v>
      </c>
      <c r="G2583">
        <f t="shared" si="81"/>
        <v>85.743895453752401</v>
      </c>
    </row>
    <row r="2584" spans="2:7">
      <c r="B2584" t="s">
        <v>2</v>
      </c>
      <c r="C2584" s="2">
        <v>38314</v>
      </c>
      <c r="D2584" t="s">
        <v>6</v>
      </c>
      <c r="E2584">
        <v>4.5747280000000003</v>
      </c>
      <c r="F2584">
        <f t="shared" si="80"/>
        <v>1.2019000000000446E-2</v>
      </c>
      <c r="G2584">
        <f t="shared" si="81"/>
        <v>85.706588275142622</v>
      </c>
    </row>
    <row r="2585" spans="2:7">
      <c r="B2585" t="s">
        <v>2</v>
      </c>
      <c r="C2585" s="2">
        <v>38313</v>
      </c>
      <c r="D2585" t="s">
        <v>6</v>
      </c>
      <c r="E2585">
        <v>4.5627089999999999</v>
      </c>
      <c r="F2585">
        <f t="shared" si="80"/>
        <v>-4.2659000000000447E-2</v>
      </c>
      <c r="G2585">
        <f t="shared" si="81"/>
        <v>85.808216860489651</v>
      </c>
    </row>
    <row r="2586" spans="2:7">
      <c r="B2586" t="s">
        <v>2</v>
      </c>
      <c r="C2586" s="2">
        <v>38310</v>
      </c>
      <c r="D2586" t="s">
        <v>6</v>
      </c>
      <c r="E2586">
        <v>4.6053680000000004</v>
      </c>
      <c r="F2586">
        <f t="shared" si="80"/>
        <v>7.1409000000000056E-2</v>
      </c>
      <c r="G2586">
        <f t="shared" si="81"/>
        <v>85.506421302465839</v>
      </c>
    </row>
    <row r="2587" spans="2:7">
      <c r="B2587" t="s">
        <v>2</v>
      </c>
      <c r="C2587" s="2">
        <v>38309</v>
      </c>
      <c r="D2587" t="s">
        <v>6</v>
      </c>
      <c r="E2587">
        <v>4.5339590000000003</v>
      </c>
      <c r="F2587">
        <f t="shared" si="80"/>
        <v>-2.2622000000000142E-2</v>
      </c>
      <c r="G2587">
        <f t="shared" si="81"/>
        <v>84.134251330515269</v>
      </c>
    </row>
    <row r="2588" spans="2:7">
      <c r="B2588" t="s">
        <v>2</v>
      </c>
      <c r="C2588" s="2">
        <v>38308</v>
      </c>
      <c r="D2588" t="s">
        <v>6</v>
      </c>
      <c r="E2588">
        <v>4.5565810000000004</v>
      </c>
      <c r="F2588">
        <f t="shared" si="80"/>
        <v>-7.7983999999999831E-2</v>
      </c>
      <c r="G2588">
        <f t="shared" si="81"/>
        <v>84.85976676232913</v>
      </c>
    </row>
    <row r="2589" spans="2:7">
      <c r="B2589" t="s">
        <v>2</v>
      </c>
      <c r="C2589" s="2">
        <v>38307</v>
      </c>
      <c r="D2589" t="s">
        <v>6</v>
      </c>
      <c r="E2589">
        <v>4.6345650000000003</v>
      </c>
      <c r="F2589">
        <f t="shared" si="80"/>
        <v>1.672000000000029E-2</v>
      </c>
      <c r="G2589">
        <f t="shared" si="81"/>
        <v>83.467508828032052</v>
      </c>
    </row>
    <row r="2590" spans="2:7">
      <c r="B2590" t="s">
        <v>2</v>
      </c>
      <c r="C2590" s="2">
        <v>38306</v>
      </c>
      <c r="D2590" t="s">
        <v>6</v>
      </c>
      <c r="E2590">
        <v>4.617845</v>
      </c>
      <c r="F2590">
        <f t="shared" si="80"/>
        <v>-9.6059999999997814E-3</v>
      </c>
      <c r="G2590">
        <f t="shared" si="81"/>
        <v>83.442171491770196</v>
      </c>
    </row>
    <row r="2591" spans="2:7">
      <c r="B2591" t="s">
        <v>2</v>
      </c>
      <c r="C2591" s="2">
        <v>38303</v>
      </c>
      <c r="D2591" t="s">
        <v>6</v>
      </c>
      <c r="E2591">
        <v>4.6274509999999998</v>
      </c>
      <c r="F2591">
        <f t="shared" si="80"/>
        <v>-6.1897000000000091E-2</v>
      </c>
      <c r="G2591">
        <f t="shared" si="81"/>
        <v>83.530667071025405</v>
      </c>
    </row>
    <row r="2592" spans="2:7">
      <c r="B2592" t="s">
        <v>2</v>
      </c>
      <c r="C2592" s="2">
        <v>38301</v>
      </c>
      <c r="D2592" t="s">
        <v>6</v>
      </c>
      <c r="E2592">
        <v>4.6893479999999998</v>
      </c>
      <c r="F2592">
        <f t="shared" si="80"/>
        <v>3.419099999999986E-2</v>
      </c>
      <c r="G2592">
        <f t="shared" si="81"/>
        <v>83.506121287180861</v>
      </c>
    </row>
    <row r="2593" spans="2:7">
      <c r="B2593" t="s">
        <v>2</v>
      </c>
      <c r="C2593" s="2">
        <v>38300</v>
      </c>
      <c r="D2593" t="s">
        <v>6</v>
      </c>
      <c r="E2593">
        <v>4.655157</v>
      </c>
      <c r="F2593">
        <f t="shared" si="80"/>
        <v>-1.2230000000004182E-3</v>
      </c>
      <c r="G2593">
        <f t="shared" si="81"/>
        <v>83.642389779328724</v>
      </c>
    </row>
    <row r="2594" spans="2:7">
      <c r="B2594" t="s">
        <v>2</v>
      </c>
      <c r="C2594" s="2">
        <v>38299</v>
      </c>
      <c r="D2594" t="s">
        <v>6</v>
      </c>
      <c r="E2594">
        <v>4.6563800000000004</v>
      </c>
      <c r="F2594">
        <f t="shared" si="80"/>
        <v>2.4001000000000161E-2</v>
      </c>
      <c r="G2594">
        <f t="shared" si="81"/>
        <v>84.215547514212759</v>
      </c>
    </row>
    <row r="2595" spans="2:7">
      <c r="B2595" t="s">
        <v>2</v>
      </c>
      <c r="C2595" s="2">
        <v>38296</v>
      </c>
      <c r="D2595" t="s">
        <v>6</v>
      </c>
      <c r="E2595">
        <v>4.6323790000000002</v>
      </c>
      <c r="F2595">
        <f t="shared" si="80"/>
        <v>0.12993900000000025</v>
      </c>
      <c r="G2595">
        <f t="shared" si="81"/>
        <v>84.20666127143997</v>
      </c>
    </row>
    <row r="2596" spans="2:7">
      <c r="B2596" t="s">
        <v>2</v>
      </c>
      <c r="C2596" s="2">
        <v>38295</v>
      </c>
      <c r="D2596" t="s">
        <v>6</v>
      </c>
      <c r="E2596">
        <v>4.50244</v>
      </c>
      <c r="F2596">
        <f t="shared" si="80"/>
        <v>-7.4959999999997251E-3</v>
      </c>
      <c r="G2596">
        <f t="shared" si="81"/>
        <v>79.658216328962837</v>
      </c>
    </row>
    <row r="2597" spans="2:7">
      <c r="B2597" t="s">
        <v>2</v>
      </c>
      <c r="C2597" s="2">
        <v>38294</v>
      </c>
      <c r="D2597" t="s">
        <v>6</v>
      </c>
      <c r="E2597">
        <v>4.5099359999999997</v>
      </c>
      <c r="F2597">
        <f t="shared" si="80"/>
        <v>-2.8320000000006118E-3</v>
      </c>
      <c r="G2597">
        <f t="shared" si="81"/>
        <v>80.43130852608013</v>
      </c>
    </row>
    <row r="2598" spans="2:7">
      <c r="B2598" t="s">
        <v>2</v>
      </c>
      <c r="C2598" s="2">
        <v>38293</v>
      </c>
      <c r="D2598" t="s">
        <v>6</v>
      </c>
      <c r="E2598">
        <v>4.5127680000000003</v>
      </c>
      <c r="F2598">
        <f t="shared" si="80"/>
        <v>-1.6122999999999443E-2</v>
      </c>
      <c r="G2598">
        <f t="shared" si="81"/>
        <v>80.643958880274795</v>
      </c>
    </row>
    <row r="2599" spans="2:7">
      <c r="B2599" t="s">
        <v>2</v>
      </c>
      <c r="C2599" s="2">
        <v>38292</v>
      </c>
      <c r="D2599" t="s">
        <v>6</v>
      </c>
      <c r="E2599">
        <v>4.5288909999999998</v>
      </c>
      <c r="F2599">
        <f t="shared" si="80"/>
        <v>6.7349999999999355E-2</v>
      </c>
      <c r="G2599">
        <f t="shared" si="81"/>
        <v>89.11673930807801</v>
      </c>
    </row>
    <row r="2600" spans="2:7">
      <c r="B2600" t="s">
        <v>2</v>
      </c>
      <c r="C2600" s="2">
        <v>38289</v>
      </c>
      <c r="D2600" t="s">
        <v>6</v>
      </c>
      <c r="E2600">
        <v>4.4615410000000004</v>
      </c>
      <c r="F2600">
        <f t="shared" si="80"/>
        <v>-5.0810999999999495E-2</v>
      </c>
      <c r="G2600">
        <f t="shared" si="81"/>
        <v>87.901714314423558</v>
      </c>
    </row>
    <row r="2601" spans="2:7">
      <c r="B2601" t="s">
        <v>2</v>
      </c>
      <c r="C2601" s="2">
        <v>38288</v>
      </c>
      <c r="D2601" t="s">
        <v>6</v>
      </c>
      <c r="E2601">
        <v>4.5123519999999999</v>
      </c>
      <c r="F2601">
        <f t="shared" si="80"/>
        <v>-7.5209999999996668E-3</v>
      </c>
      <c r="G2601">
        <f t="shared" si="81"/>
        <v>87.46679447928986</v>
      </c>
    </row>
    <row r="2602" spans="2:7">
      <c r="B2602" t="s">
        <v>2</v>
      </c>
      <c r="C2602" s="2">
        <v>38287</v>
      </c>
      <c r="D2602" t="s">
        <v>6</v>
      </c>
      <c r="E2602">
        <v>4.5198729999999996</v>
      </c>
      <c r="F2602">
        <f t="shared" si="80"/>
        <v>0.10963799999999946</v>
      </c>
      <c r="G2602">
        <f t="shared" si="81"/>
        <v>87.629541869101118</v>
      </c>
    </row>
    <row r="2603" spans="2:7">
      <c r="B2603" t="s">
        <v>2</v>
      </c>
      <c r="C2603" s="2">
        <v>38286</v>
      </c>
      <c r="D2603" t="s">
        <v>6</v>
      </c>
      <c r="E2603">
        <v>4.4102350000000001</v>
      </c>
      <c r="F2603">
        <f t="shared" si="80"/>
        <v>1.532100000000014E-2</v>
      </c>
      <c r="G2603">
        <f t="shared" si="81"/>
        <v>84.257146614591448</v>
      </c>
    </row>
    <row r="2604" spans="2:7">
      <c r="B2604" t="s">
        <v>2</v>
      </c>
      <c r="C2604" s="2">
        <v>38285</v>
      </c>
      <c r="D2604" t="s">
        <v>6</v>
      </c>
      <c r="E2604">
        <v>4.394914</v>
      </c>
      <c r="F2604">
        <f t="shared" si="80"/>
        <v>-1.7806000000000211E-2</v>
      </c>
      <c r="G2604">
        <f t="shared" si="81"/>
        <v>86.059998586077086</v>
      </c>
    </row>
    <row r="2605" spans="2:7">
      <c r="B2605" t="s">
        <v>2</v>
      </c>
      <c r="C2605" s="2">
        <v>38282</v>
      </c>
      <c r="D2605" t="s">
        <v>6</v>
      </c>
      <c r="E2605">
        <v>4.4127200000000002</v>
      </c>
      <c r="F2605">
        <f t="shared" si="80"/>
        <v>-1.2576000000000143E-2</v>
      </c>
      <c r="G2605">
        <f t="shared" si="81"/>
        <v>86.070079872421715</v>
      </c>
    </row>
    <row r="2606" spans="2:7">
      <c r="B2606" t="s">
        <v>2</v>
      </c>
      <c r="C2606" s="2">
        <v>38281</v>
      </c>
      <c r="D2606" t="s">
        <v>6</v>
      </c>
      <c r="E2606">
        <v>4.4252960000000003</v>
      </c>
      <c r="F2606">
        <f t="shared" si="80"/>
        <v>3.8900000000001711E-3</v>
      </c>
      <c r="G2606">
        <f t="shared" si="81"/>
        <v>86.073811082477363</v>
      </c>
    </row>
    <row r="2607" spans="2:7">
      <c r="B2607" t="s">
        <v>2</v>
      </c>
      <c r="C2607" s="2">
        <v>38280</v>
      </c>
      <c r="D2607" t="s">
        <v>6</v>
      </c>
      <c r="E2607">
        <v>4.4214060000000002</v>
      </c>
      <c r="F2607">
        <f t="shared" si="80"/>
        <v>-4.7983999999999583E-2</v>
      </c>
      <c r="G2607">
        <f t="shared" si="81"/>
        <v>90.907535902857745</v>
      </c>
    </row>
    <row r="2608" spans="2:7">
      <c r="B2608" t="s">
        <v>2</v>
      </c>
      <c r="C2608" s="2">
        <v>38279</v>
      </c>
      <c r="D2608" t="s">
        <v>6</v>
      </c>
      <c r="E2608">
        <v>4.4693899999999998</v>
      </c>
      <c r="F2608">
        <f t="shared" si="80"/>
        <v>-1.4650000000000496E-2</v>
      </c>
      <c r="G2608">
        <f t="shared" si="81"/>
        <v>91.279024871435951</v>
      </c>
    </row>
    <row r="2609" spans="2:7">
      <c r="B2609" t="s">
        <v>2</v>
      </c>
      <c r="C2609" s="2">
        <v>38278</v>
      </c>
      <c r="D2609" t="s">
        <v>6</v>
      </c>
      <c r="E2609">
        <v>4.4840400000000002</v>
      </c>
      <c r="F2609">
        <f t="shared" si="80"/>
        <v>-8.5269999999999513E-3</v>
      </c>
      <c r="G2609">
        <f t="shared" si="81"/>
        <v>91.354763240026188</v>
      </c>
    </row>
    <row r="2610" spans="2:7">
      <c r="B2610" t="s">
        <v>2</v>
      </c>
      <c r="C2610" s="2">
        <v>38275</v>
      </c>
      <c r="D2610" t="s">
        <v>6</v>
      </c>
      <c r="E2610">
        <v>4.4925670000000002</v>
      </c>
      <c r="F2610">
        <f t="shared" si="80"/>
        <v>4.0340000000000487E-2</v>
      </c>
      <c r="G2610">
        <f t="shared" si="81"/>
        <v>91.403774003170099</v>
      </c>
    </row>
    <row r="2611" spans="2:7">
      <c r="B2611" t="s">
        <v>2</v>
      </c>
      <c r="C2611" s="2">
        <v>38274</v>
      </c>
      <c r="D2611" t="s">
        <v>6</v>
      </c>
      <c r="E2611">
        <v>4.4522269999999997</v>
      </c>
      <c r="F2611">
        <f t="shared" si="80"/>
        <v>-6.9062000000000623E-2</v>
      </c>
      <c r="G2611">
        <f t="shared" si="81"/>
        <v>91.261943684317515</v>
      </c>
    </row>
    <row r="2612" spans="2:7">
      <c r="B2612" t="s">
        <v>2</v>
      </c>
      <c r="C2612" s="2">
        <v>38273</v>
      </c>
      <c r="D2612" t="s">
        <v>6</v>
      </c>
      <c r="E2612">
        <v>4.5212890000000003</v>
      </c>
      <c r="F2612">
        <f t="shared" si="80"/>
        <v>-3.32650000000001E-2</v>
      </c>
      <c r="G2612">
        <f t="shared" si="81"/>
        <v>92.651746721302914</v>
      </c>
    </row>
    <row r="2613" spans="2:7">
      <c r="B2613" t="s">
        <v>2</v>
      </c>
      <c r="C2613" s="2">
        <v>38272</v>
      </c>
      <c r="D2613" t="s">
        <v>6</v>
      </c>
      <c r="E2613">
        <v>4.5545540000000004</v>
      </c>
      <c r="F2613">
        <f t="shared" si="80"/>
        <v>-3.2668999999999393E-2</v>
      </c>
      <c r="G2613">
        <f t="shared" si="81"/>
        <v>92.477845090649467</v>
      </c>
    </row>
    <row r="2614" spans="2:7">
      <c r="B2614" t="s">
        <v>2</v>
      </c>
      <c r="C2614" s="2">
        <v>38268</v>
      </c>
      <c r="D2614" t="s">
        <v>6</v>
      </c>
      <c r="E2614">
        <v>4.5872229999999998</v>
      </c>
      <c r="F2614">
        <f t="shared" si="80"/>
        <v>-0.126417</v>
      </c>
      <c r="G2614">
        <f t="shared" si="81"/>
        <v>96.115351988582518</v>
      </c>
    </row>
    <row r="2615" spans="2:7">
      <c r="B2615" t="s">
        <v>2</v>
      </c>
      <c r="C2615" s="2">
        <v>38267</v>
      </c>
      <c r="D2615" t="s">
        <v>6</v>
      </c>
      <c r="E2615">
        <v>4.7136399999999998</v>
      </c>
      <c r="F2615">
        <f t="shared" si="80"/>
        <v>2.615500000000015E-2</v>
      </c>
      <c r="G2615">
        <f t="shared" si="81"/>
        <v>92.846036497778101</v>
      </c>
    </row>
    <row r="2616" spans="2:7">
      <c r="B2616" t="s">
        <v>2</v>
      </c>
      <c r="C2616" s="2">
        <v>38266</v>
      </c>
      <c r="D2616" t="s">
        <v>6</v>
      </c>
      <c r="E2616">
        <v>4.6874849999999997</v>
      </c>
      <c r="F2616">
        <f t="shared" si="80"/>
        <v>5.9879999999999711E-2</v>
      </c>
      <c r="G2616">
        <f t="shared" si="81"/>
        <v>92.657500327221825</v>
      </c>
    </row>
    <row r="2617" spans="2:7">
      <c r="B2617" t="s">
        <v>2</v>
      </c>
      <c r="C2617" s="2">
        <v>38265</v>
      </c>
      <c r="D2617" t="s">
        <v>6</v>
      </c>
      <c r="E2617">
        <v>4.627605</v>
      </c>
      <c r="F2617">
        <f t="shared" si="80"/>
        <v>-7.5900000000039824E-4</v>
      </c>
      <c r="G2617">
        <f t="shared" si="81"/>
        <v>92.146350205037706</v>
      </c>
    </row>
    <row r="2618" spans="2:7">
      <c r="B2618" t="s">
        <v>2</v>
      </c>
      <c r="C2618" s="2">
        <v>38264</v>
      </c>
      <c r="D2618" t="s">
        <v>6</v>
      </c>
      <c r="E2618">
        <v>4.6283640000000004</v>
      </c>
      <c r="F2618">
        <f t="shared" si="80"/>
        <v>-7.7659999999992735E-3</v>
      </c>
      <c r="G2618">
        <f t="shared" si="81"/>
        <v>92.203422473286835</v>
      </c>
    </row>
    <row r="2619" spans="2:7">
      <c r="B2619" t="s">
        <v>2</v>
      </c>
      <c r="C2619" s="2">
        <v>38261</v>
      </c>
      <c r="D2619" t="s">
        <v>6</v>
      </c>
      <c r="E2619">
        <v>4.6361299999999996</v>
      </c>
      <c r="F2619">
        <f t="shared" si="80"/>
        <v>7.9994999999999372E-2</v>
      </c>
      <c r="G2619">
        <f t="shared" si="81"/>
        <v>92.211110597281206</v>
      </c>
    </row>
    <row r="2620" spans="2:7">
      <c r="B2620" t="s">
        <v>2</v>
      </c>
      <c r="C2620" s="2">
        <v>38260</v>
      </c>
      <c r="D2620" t="s">
        <v>6</v>
      </c>
      <c r="E2620">
        <v>4.5561350000000003</v>
      </c>
      <c r="F2620">
        <f t="shared" si="80"/>
        <v>3.9406000000000496E-2</v>
      </c>
      <c r="G2620">
        <f t="shared" si="81"/>
        <v>90.503930916794658</v>
      </c>
    </row>
    <row r="2621" spans="2:7">
      <c r="B2621" t="s">
        <v>2</v>
      </c>
      <c r="C2621" s="2">
        <v>38259</v>
      </c>
      <c r="D2621" t="s">
        <v>6</v>
      </c>
      <c r="E2621">
        <v>4.5167289999999998</v>
      </c>
      <c r="F2621">
        <f t="shared" si="80"/>
        <v>7.7676999999999552E-2</v>
      </c>
      <c r="G2621">
        <f t="shared" si="81"/>
        <v>90.000647975927677</v>
      </c>
    </row>
    <row r="2622" spans="2:7">
      <c r="B2622" t="s">
        <v>2</v>
      </c>
      <c r="C2622" s="2">
        <v>38258</v>
      </c>
      <c r="D2622" t="s">
        <v>6</v>
      </c>
      <c r="E2622">
        <v>4.4390520000000002</v>
      </c>
      <c r="F2622">
        <f t="shared" si="80"/>
        <v>1.4495000000000147E-2</v>
      </c>
      <c r="G2622">
        <f t="shared" si="81"/>
        <v>88.326624956783846</v>
      </c>
    </row>
    <row r="2623" spans="2:7">
      <c r="B2623" t="s">
        <v>2</v>
      </c>
      <c r="C2623" s="2">
        <v>38257</v>
      </c>
      <c r="D2623" t="s">
        <v>6</v>
      </c>
      <c r="E2623">
        <v>4.4245570000000001</v>
      </c>
      <c r="F2623">
        <f t="shared" si="80"/>
        <v>-3.0547999999999575E-2</v>
      </c>
      <c r="G2623">
        <f t="shared" si="81"/>
        <v>90.229475277668939</v>
      </c>
    </row>
    <row r="2624" spans="2:7">
      <c r="B2624" t="s">
        <v>2</v>
      </c>
      <c r="C2624" s="2">
        <v>38254</v>
      </c>
      <c r="D2624" t="s">
        <v>6</v>
      </c>
      <c r="E2624">
        <v>4.4551049999999996</v>
      </c>
      <c r="F2624">
        <f t="shared" si="80"/>
        <v>1.2486999999999249E-2</v>
      </c>
      <c r="G2624">
        <f t="shared" si="81"/>
        <v>90.442953276998821</v>
      </c>
    </row>
    <row r="2625" spans="2:7">
      <c r="B2625" t="s">
        <v>2</v>
      </c>
      <c r="C2625" s="2">
        <v>38253</v>
      </c>
      <c r="D2625" t="s">
        <v>6</v>
      </c>
      <c r="E2625">
        <v>4.4426180000000004</v>
      </c>
      <c r="F2625">
        <f t="shared" si="80"/>
        <v>3.8160000000000416E-2</v>
      </c>
      <c r="G2625">
        <f t="shared" si="81"/>
        <v>91.856846291856385</v>
      </c>
    </row>
    <row r="2626" spans="2:7">
      <c r="B2626" t="s">
        <v>2</v>
      </c>
      <c r="C2626" s="2">
        <v>38252</v>
      </c>
      <c r="D2626" t="s">
        <v>6</v>
      </c>
      <c r="E2626">
        <v>4.404458</v>
      </c>
      <c r="F2626">
        <f t="shared" si="80"/>
        <v>-5.5576000000000292E-2</v>
      </c>
      <c r="G2626">
        <f t="shared" si="81"/>
        <v>91.595337684383466</v>
      </c>
    </row>
    <row r="2627" spans="2:7">
      <c r="B2627" t="s">
        <v>2</v>
      </c>
      <c r="C2627" s="2">
        <v>38251</v>
      </c>
      <c r="D2627" t="s">
        <v>6</v>
      </c>
      <c r="E2627">
        <v>4.4600340000000003</v>
      </c>
      <c r="F2627">
        <f t="shared" ref="F2627:F2690" si="82">E2627-E2628</f>
        <v>-2.1825999999999901E-2</v>
      </c>
      <c r="G2627">
        <f t="shared" ref="G2627:G2690" si="83">STDEV(F2627:F2686)*SQRT(250)*100</f>
        <v>93.851656203777708</v>
      </c>
    </row>
    <row r="2628" spans="2:7">
      <c r="B2628" t="s">
        <v>2</v>
      </c>
      <c r="C2628" s="2">
        <v>38250</v>
      </c>
      <c r="D2628" t="s">
        <v>6</v>
      </c>
      <c r="E2628">
        <v>4.4818600000000002</v>
      </c>
      <c r="F2628">
        <f t="shared" si="82"/>
        <v>-8.4032999999999802E-2</v>
      </c>
      <c r="G2628">
        <f t="shared" si="83"/>
        <v>93.918706895625022</v>
      </c>
    </row>
    <row r="2629" spans="2:7">
      <c r="B2629" t="s">
        <v>2</v>
      </c>
      <c r="C2629" s="2">
        <v>38247</v>
      </c>
      <c r="D2629" t="s">
        <v>6</v>
      </c>
      <c r="E2629">
        <v>4.565893</v>
      </c>
      <c r="F2629">
        <f t="shared" si="82"/>
        <v>6.0846999999999873E-2</v>
      </c>
      <c r="G2629">
        <f t="shared" si="83"/>
        <v>93.167080856729669</v>
      </c>
    </row>
    <row r="2630" spans="2:7">
      <c r="B2630" t="s">
        <v>2</v>
      </c>
      <c r="C2630" s="2">
        <v>38246</v>
      </c>
      <c r="D2630" t="s">
        <v>6</v>
      </c>
      <c r="E2630">
        <v>4.5050460000000001</v>
      </c>
      <c r="F2630">
        <f t="shared" si="82"/>
        <v>-0.10728799999999961</v>
      </c>
      <c r="G2630">
        <f t="shared" si="83"/>
        <v>91.98939883518436</v>
      </c>
    </row>
    <row r="2631" spans="2:7">
      <c r="B2631" t="s">
        <v>2</v>
      </c>
      <c r="C2631" s="2">
        <v>38245</v>
      </c>
      <c r="D2631" t="s">
        <v>6</v>
      </c>
      <c r="E2631">
        <v>4.6123339999999997</v>
      </c>
      <c r="F2631">
        <f t="shared" si="82"/>
        <v>3.8890999999999565E-2</v>
      </c>
      <c r="G2631">
        <f t="shared" si="83"/>
        <v>90.000952899581179</v>
      </c>
    </row>
    <row r="2632" spans="2:7">
      <c r="B2632" t="s">
        <v>2</v>
      </c>
      <c r="C2632" s="2">
        <v>38244</v>
      </c>
      <c r="D2632" t="s">
        <v>6</v>
      </c>
      <c r="E2632">
        <v>4.5734430000000001</v>
      </c>
      <c r="F2632">
        <f t="shared" si="82"/>
        <v>-2.8239000000000125E-2</v>
      </c>
      <c r="G2632">
        <f t="shared" si="83"/>
        <v>89.441420087072046</v>
      </c>
    </row>
    <row r="2633" spans="2:7">
      <c r="B2633" t="s">
        <v>2</v>
      </c>
      <c r="C2633" s="2">
        <v>38243</v>
      </c>
      <c r="D2633" t="s">
        <v>6</v>
      </c>
      <c r="E2633">
        <v>4.6016820000000003</v>
      </c>
      <c r="F2633">
        <f t="shared" si="82"/>
        <v>-3.3496999999999666E-2</v>
      </c>
      <c r="G2633">
        <f t="shared" si="83"/>
        <v>89.503952822989746</v>
      </c>
    </row>
    <row r="2634" spans="2:7">
      <c r="B2634" t="s">
        <v>2</v>
      </c>
      <c r="C2634" s="2">
        <v>38240</v>
      </c>
      <c r="D2634" t="s">
        <v>6</v>
      </c>
      <c r="E2634">
        <v>4.6351789999999999</v>
      </c>
      <c r="F2634">
        <f t="shared" si="82"/>
        <v>-2.2113000000000049E-2</v>
      </c>
      <c r="G2634">
        <f t="shared" si="83"/>
        <v>89.591777121545107</v>
      </c>
    </row>
    <row r="2635" spans="2:7">
      <c r="B2635" t="s">
        <v>2</v>
      </c>
      <c r="C2635" s="2">
        <v>38239</v>
      </c>
      <c r="D2635" t="s">
        <v>6</v>
      </c>
      <c r="E2635">
        <v>4.657292</v>
      </c>
      <c r="F2635">
        <f t="shared" si="82"/>
        <v>3.6116999999999955E-2</v>
      </c>
      <c r="G2635">
        <f t="shared" si="83"/>
        <v>90.362685623025016</v>
      </c>
    </row>
    <row r="2636" spans="2:7">
      <c r="B2636" t="s">
        <v>2</v>
      </c>
      <c r="C2636" s="2">
        <v>38238</v>
      </c>
      <c r="D2636" t="s">
        <v>6</v>
      </c>
      <c r="E2636">
        <v>4.621175</v>
      </c>
      <c r="F2636">
        <f t="shared" si="82"/>
        <v>-9.5062999999999676E-2</v>
      </c>
      <c r="G2636">
        <f t="shared" si="83"/>
        <v>97.954341587087896</v>
      </c>
    </row>
    <row r="2637" spans="2:7">
      <c r="B2637" t="s">
        <v>2</v>
      </c>
      <c r="C2637" s="2">
        <v>38237</v>
      </c>
      <c r="D2637" t="s">
        <v>6</v>
      </c>
      <c r="E2637">
        <v>4.7162379999999997</v>
      </c>
      <c r="F2637">
        <f t="shared" si="82"/>
        <v>-5.6296000000000568E-2</v>
      </c>
      <c r="G2637">
        <f t="shared" si="83"/>
        <v>98.824185339191231</v>
      </c>
    </row>
    <row r="2638" spans="2:7">
      <c r="B2638" t="s">
        <v>2</v>
      </c>
      <c r="C2638" s="2">
        <v>38233</v>
      </c>
      <c r="D2638" t="s">
        <v>6</v>
      </c>
      <c r="E2638">
        <v>4.7725340000000003</v>
      </c>
      <c r="F2638">
        <f t="shared" si="82"/>
        <v>0.11205800000000021</v>
      </c>
      <c r="G2638">
        <f t="shared" si="83"/>
        <v>98.357916063880651</v>
      </c>
    </row>
    <row r="2639" spans="2:7">
      <c r="B2639" t="s">
        <v>2</v>
      </c>
      <c r="C2639" s="2">
        <v>38232</v>
      </c>
      <c r="D2639" t="s">
        <v>6</v>
      </c>
      <c r="E2639">
        <v>4.6604760000000001</v>
      </c>
      <c r="F2639">
        <f t="shared" si="82"/>
        <v>8.2294000000000089E-2</v>
      </c>
      <c r="G2639">
        <f t="shared" si="83"/>
        <v>95.168741799162206</v>
      </c>
    </row>
    <row r="2640" spans="2:7">
      <c r="B2640" t="s">
        <v>2</v>
      </c>
      <c r="C2640" s="2">
        <v>38231</v>
      </c>
      <c r="D2640" t="s">
        <v>6</v>
      </c>
      <c r="E2640">
        <v>4.578182</v>
      </c>
      <c r="F2640">
        <f t="shared" si="82"/>
        <v>-8.5280000000000911E-3</v>
      </c>
      <c r="G2640">
        <f t="shared" si="83"/>
        <v>94.02072225001551</v>
      </c>
    </row>
    <row r="2641" spans="2:7">
      <c r="B2641" t="s">
        <v>2</v>
      </c>
      <c r="C2641" s="2">
        <v>38230</v>
      </c>
      <c r="D2641" t="s">
        <v>6</v>
      </c>
      <c r="E2641">
        <v>4.5867100000000001</v>
      </c>
      <c r="F2641">
        <f t="shared" si="82"/>
        <v>-6.4284999999999926E-2</v>
      </c>
      <c r="G2641">
        <f t="shared" si="83"/>
        <v>94.070742265345814</v>
      </c>
    </row>
    <row r="2642" spans="2:7">
      <c r="B2642" t="s">
        <v>2</v>
      </c>
      <c r="C2642" s="2">
        <v>38229</v>
      </c>
      <c r="D2642" t="s">
        <v>6</v>
      </c>
      <c r="E2642">
        <v>4.650995</v>
      </c>
      <c r="F2642">
        <f t="shared" si="82"/>
        <v>-4.2581000000000202E-2</v>
      </c>
      <c r="G2642">
        <f t="shared" si="83"/>
        <v>93.476254051119284</v>
      </c>
    </row>
    <row r="2643" spans="2:7">
      <c r="B2643" t="s">
        <v>2</v>
      </c>
      <c r="C2643" s="2">
        <v>38226</v>
      </c>
      <c r="D2643" t="s">
        <v>6</v>
      </c>
      <c r="E2643">
        <v>4.6935760000000002</v>
      </c>
      <c r="F2643">
        <f t="shared" si="82"/>
        <v>3.4049999999998803E-3</v>
      </c>
      <c r="G2643">
        <f t="shared" si="83"/>
        <v>94.533456493598791</v>
      </c>
    </row>
    <row r="2644" spans="2:7">
      <c r="B2644" t="s">
        <v>2</v>
      </c>
      <c r="C2644" s="2">
        <v>38225</v>
      </c>
      <c r="D2644" t="s">
        <v>6</v>
      </c>
      <c r="E2644">
        <v>4.6901710000000003</v>
      </c>
      <c r="F2644">
        <f t="shared" si="82"/>
        <v>-2.7047999999999739E-2</v>
      </c>
      <c r="G2644">
        <f t="shared" si="83"/>
        <v>94.510177843129611</v>
      </c>
    </row>
    <row r="2645" spans="2:7">
      <c r="B2645" t="s">
        <v>2</v>
      </c>
      <c r="C2645" s="2">
        <v>38224</v>
      </c>
      <c r="D2645" t="s">
        <v>6</v>
      </c>
      <c r="E2645">
        <v>4.7172190000000001</v>
      </c>
      <c r="F2645">
        <f t="shared" si="82"/>
        <v>-2.2408999999999679E-2</v>
      </c>
      <c r="G2645">
        <f t="shared" si="83"/>
        <v>94.702611452935457</v>
      </c>
    </row>
    <row r="2646" spans="2:7">
      <c r="B2646" t="s">
        <v>2</v>
      </c>
      <c r="C2646" s="2">
        <v>38223</v>
      </c>
      <c r="D2646" t="s">
        <v>6</v>
      </c>
      <c r="E2646">
        <v>4.7396279999999997</v>
      </c>
      <c r="F2646">
        <f t="shared" si="82"/>
        <v>1.2710000000000221E-3</v>
      </c>
      <c r="G2646">
        <f t="shared" si="83"/>
        <v>95.820920681885354</v>
      </c>
    </row>
    <row r="2647" spans="2:7">
      <c r="B2647" t="s">
        <v>2</v>
      </c>
      <c r="C2647" s="2">
        <v>38222</v>
      </c>
      <c r="D2647" t="s">
        <v>6</v>
      </c>
      <c r="E2647">
        <v>4.7383569999999997</v>
      </c>
      <c r="F2647">
        <f t="shared" si="82"/>
        <v>5.4577000000000098E-2</v>
      </c>
      <c r="G2647">
        <f t="shared" si="83"/>
        <v>96.711333165167659</v>
      </c>
    </row>
    <row r="2648" spans="2:7">
      <c r="B2648" t="s">
        <v>2</v>
      </c>
      <c r="C2648" s="2">
        <v>38219</v>
      </c>
      <c r="D2648" t="s">
        <v>6</v>
      </c>
      <c r="E2648">
        <v>4.6837799999999996</v>
      </c>
      <c r="F2648">
        <f t="shared" si="82"/>
        <v>1.7264999999999198E-2</v>
      </c>
      <c r="G2648">
        <f t="shared" si="83"/>
        <v>97.765110583933335</v>
      </c>
    </row>
    <row r="2649" spans="2:7">
      <c r="B2649" t="s">
        <v>2</v>
      </c>
      <c r="C2649" s="2">
        <v>38218</v>
      </c>
      <c r="D2649" t="s">
        <v>6</v>
      </c>
      <c r="E2649">
        <v>4.6665150000000004</v>
      </c>
      <c r="F2649">
        <f t="shared" si="82"/>
        <v>-1.5188999999999453E-2</v>
      </c>
      <c r="G2649">
        <f t="shared" si="83"/>
        <v>98.117416772926234</v>
      </c>
    </row>
    <row r="2650" spans="2:7">
      <c r="B2650" t="s">
        <v>2</v>
      </c>
      <c r="C2650" s="2">
        <v>38217</v>
      </c>
      <c r="D2650" t="s">
        <v>6</v>
      </c>
      <c r="E2650">
        <v>4.6817039999999999</v>
      </c>
      <c r="F2650">
        <f t="shared" si="82"/>
        <v>1.9819000000000031E-2</v>
      </c>
      <c r="G2650">
        <f t="shared" si="83"/>
        <v>98.1100654873038</v>
      </c>
    </row>
    <row r="2651" spans="2:7">
      <c r="B2651" t="s">
        <v>2</v>
      </c>
      <c r="C2651" s="2">
        <v>38216</v>
      </c>
      <c r="D2651" t="s">
        <v>6</v>
      </c>
      <c r="E2651">
        <v>4.6618849999999998</v>
      </c>
      <c r="F2651">
        <f t="shared" si="82"/>
        <v>-6.1103000000000129E-2</v>
      </c>
      <c r="G2651">
        <f t="shared" si="83"/>
        <v>97.953277108074204</v>
      </c>
    </row>
    <row r="2652" spans="2:7">
      <c r="B2652" t="s">
        <v>2</v>
      </c>
      <c r="C2652" s="2">
        <v>38215</v>
      </c>
      <c r="D2652" t="s">
        <v>6</v>
      </c>
      <c r="E2652">
        <v>4.722988</v>
      </c>
      <c r="F2652">
        <f t="shared" si="82"/>
        <v>4.1224999999999845E-2</v>
      </c>
      <c r="G2652">
        <f t="shared" si="83"/>
        <v>97.922968965406781</v>
      </c>
    </row>
    <row r="2653" spans="2:7">
      <c r="B2653" t="s">
        <v>2</v>
      </c>
      <c r="C2653" s="2">
        <v>38212</v>
      </c>
      <c r="D2653" t="s">
        <v>6</v>
      </c>
      <c r="E2653">
        <v>4.6817630000000001</v>
      </c>
      <c r="F2653">
        <f t="shared" si="82"/>
        <v>-4.8489000000000004E-2</v>
      </c>
      <c r="G2653">
        <f t="shared" si="83"/>
        <v>98.324070349150716</v>
      </c>
    </row>
    <row r="2654" spans="2:7">
      <c r="B2654" t="s">
        <v>2</v>
      </c>
      <c r="C2654" s="2">
        <v>38211</v>
      </c>
      <c r="D2654" t="s">
        <v>6</v>
      </c>
      <c r="E2654">
        <v>4.7302520000000001</v>
      </c>
      <c r="F2654">
        <f t="shared" si="82"/>
        <v>-2.6608999999999661E-2</v>
      </c>
      <c r="G2654">
        <f t="shared" si="83"/>
        <v>99.253093495098554</v>
      </c>
    </row>
    <row r="2655" spans="2:7">
      <c r="B2655" t="s">
        <v>2</v>
      </c>
      <c r="C2655" s="2">
        <v>38210</v>
      </c>
      <c r="D2655" t="s">
        <v>6</v>
      </c>
      <c r="E2655">
        <v>4.7568609999999998</v>
      </c>
      <c r="F2655">
        <f t="shared" si="82"/>
        <v>-1.5951000000000271E-2</v>
      </c>
      <c r="G2655">
        <f t="shared" si="83"/>
        <v>99.498702578554727</v>
      </c>
    </row>
    <row r="2656" spans="2:7">
      <c r="B2656" t="s">
        <v>2</v>
      </c>
      <c r="C2656" s="2">
        <v>38209</v>
      </c>
      <c r="D2656" t="s">
        <v>6</v>
      </c>
      <c r="E2656">
        <v>4.7728120000000001</v>
      </c>
      <c r="F2656">
        <f t="shared" si="82"/>
        <v>5.013000000000023E-2</v>
      </c>
      <c r="G2656">
        <f t="shared" si="83"/>
        <v>101.5199585318435</v>
      </c>
    </row>
    <row r="2657" spans="2:7">
      <c r="B2657" t="s">
        <v>2</v>
      </c>
      <c r="C2657" s="2">
        <v>38208</v>
      </c>
      <c r="D2657" t="s">
        <v>6</v>
      </c>
      <c r="E2657">
        <v>4.7226819999999998</v>
      </c>
      <c r="F2657">
        <f t="shared" si="82"/>
        <v>2.5122999999999784E-2</v>
      </c>
      <c r="G2657">
        <f t="shared" si="83"/>
        <v>101.6943465326118</v>
      </c>
    </row>
    <row r="2658" spans="2:7">
      <c r="B2658" t="s">
        <v>2</v>
      </c>
      <c r="C2658" s="2">
        <v>38205</v>
      </c>
      <c r="D2658" t="s">
        <v>6</v>
      </c>
      <c r="E2658">
        <v>4.697559</v>
      </c>
      <c r="F2658">
        <f t="shared" si="82"/>
        <v>-0.18912800000000018</v>
      </c>
      <c r="G2658">
        <f t="shared" si="83"/>
        <v>102.75943830711722</v>
      </c>
    </row>
    <row r="2659" spans="2:7">
      <c r="B2659" t="s">
        <v>2</v>
      </c>
      <c r="C2659" s="2">
        <v>38204</v>
      </c>
      <c r="D2659" t="s">
        <v>6</v>
      </c>
      <c r="E2659">
        <v>4.8866870000000002</v>
      </c>
      <c r="F2659">
        <f t="shared" si="82"/>
        <v>-2.7121000000000173E-2</v>
      </c>
      <c r="G2659">
        <f t="shared" si="83"/>
        <v>95.856687287869462</v>
      </c>
    </row>
    <row r="2660" spans="2:7">
      <c r="B2660" t="s">
        <v>2</v>
      </c>
      <c r="C2660" s="2">
        <v>38203</v>
      </c>
      <c r="D2660" t="s">
        <v>6</v>
      </c>
      <c r="E2660">
        <v>4.9138080000000004</v>
      </c>
      <c r="F2660">
        <f t="shared" si="82"/>
        <v>3.4950000000000259E-3</v>
      </c>
      <c r="G2660">
        <f t="shared" si="83"/>
        <v>95.793009830076343</v>
      </c>
    </row>
    <row r="2661" spans="2:7">
      <c r="B2661" t="s">
        <v>2</v>
      </c>
      <c r="C2661" s="2">
        <v>38202</v>
      </c>
      <c r="D2661" t="s">
        <v>6</v>
      </c>
      <c r="E2661">
        <v>4.9103130000000004</v>
      </c>
      <c r="F2661">
        <f t="shared" si="82"/>
        <v>-3.278499999999962E-2</v>
      </c>
      <c r="G2661">
        <f t="shared" si="83"/>
        <v>95.805953298101826</v>
      </c>
    </row>
    <row r="2662" spans="2:7">
      <c r="B2662" t="s">
        <v>2</v>
      </c>
      <c r="C2662" s="2">
        <v>38201</v>
      </c>
      <c r="D2662" t="s">
        <v>6</v>
      </c>
      <c r="E2662">
        <v>4.943098</v>
      </c>
      <c r="F2662">
        <f t="shared" si="82"/>
        <v>-2.2084999999999688E-2</v>
      </c>
      <c r="G2662">
        <f t="shared" si="83"/>
        <v>103.24301098873025</v>
      </c>
    </row>
    <row r="2663" spans="2:7">
      <c r="B2663" t="s">
        <v>2</v>
      </c>
      <c r="C2663" s="2">
        <v>38198</v>
      </c>
      <c r="D2663" t="s">
        <v>6</v>
      </c>
      <c r="E2663">
        <v>4.9651829999999997</v>
      </c>
      <c r="F2663">
        <f t="shared" si="82"/>
        <v>-9.9073000000000633E-2</v>
      </c>
      <c r="G2663">
        <f t="shared" si="83"/>
        <v>103.62874554744252</v>
      </c>
    </row>
    <row r="2664" spans="2:7">
      <c r="B2664" t="s">
        <v>2</v>
      </c>
      <c r="C2664" s="2">
        <v>38197</v>
      </c>
      <c r="D2664" t="s">
        <v>6</v>
      </c>
      <c r="E2664">
        <v>5.0642560000000003</v>
      </c>
      <c r="F2664">
        <f t="shared" si="82"/>
        <v>-2.0391000000000048E-2</v>
      </c>
      <c r="G2664">
        <f t="shared" si="83"/>
        <v>102.19747623691208</v>
      </c>
    </row>
    <row r="2665" spans="2:7">
      <c r="B2665" t="s">
        <v>2</v>
      </c>
      <c r="C2665" s="2">
        <v>38196</v>
      </c>
      <c r="D2665" t="s">
        <v>6</v>
      </c>
      <c r="E2665">
        <v>5.0846470000000004</v>
      </c>
      <c r="F2665">
        <f t="shared" si="82"/>
        <v>-1.5343999999999802E-2</v>
      </c>
      <c r="G2665">
        <f t="shared" si="83"/>
        <v>102.49225086073584</v>
      </c>
    </row>
    <row r="2666" spans="2:7">
      <c r="B2666" t="s">
        <v>2</v>
      </c>
      <c r="C2666" s="2">
        <v>38195</v>
      </c>
      <c r="D2666" t="s">
        <v>6</v>
      </c>
      <c r="E2666">
        <v>5.0999910000000002</v>
      </c>
      <c r="F2666">
        <f t="shared" si="82"/>
        <v>0.13261099999999981</v>
      </c>
      <c r="G2666">
        <f t="shared" si="83"/>
        <v>102.46095862765634</v>
      </c>
    </row>
    <row r="2667" spans="2:7">
      <c r="B2667" t="s">
        <v>2</v>
      </c>
      <c r="C2667" s="2">
        <v>38194</v>
      </c>
      <c r="D2667" t="s">
        <v>6</v>
      </c>
      <c r="E2667">
        <v>4.9673800000000004</v>
      </c>
      <c r="F2667">
        <f t="shared" si="82"/>
        <v>4.8022000000000453E-2</v>
      </c>
      <c r="G2667">
        <f t="shared" si="83"/>
        <v>99.151278421703665</v>
      </c>
    </row>
    <row r="2668" spans="2:7">
      <c r="B2668" t="s">
        <v>2</v>
      </c>
      <c r="C2668" s="2">
        <v>38191</v>
      </c>
      <c r="D2668" t="s">
        <v>6</v>
      </c>
      <c r="E2668">
        <v>4.9193579999999999</v>
      </c>
      <c r="F2668">
        <f t="shared" si="82"/>
        <v>-2.6996000000000464E-2</v>
      </c>
      <c r="G2668">
        <f t="shared" si="83"/>
        <v>100.15993404857961</v>
      </c>
    </row>
    <row r="2669" spans="2:7">
      <c r="B2669" t="s">
        <v>2</v>
      </c>
      <c r="C2669" s="2">
        <v>38190</v>
      </c>
      <c r="D2669" t="s">
        <v>6</v>
      </c>
      <c r="E2669">
        <v>4.9463540000000004</v>
      </c>
      <c r="F2669">
        <f t="shared" si="82"/>
        <v>-2.2376999999999647E-2</v>
      </c>
      <c r="G2669">
        <f t="shared" si="83"/>
        <v>101.02361719632384</v>
      </c>
    </row>
    <row r="2670" spans="2:7">
      <c r="B2670" t="s">
        <v>2</v>
      </c>
      <c r="C2670" s="2">
        <v>38189</v>
      </c>
      <c r="D2670" t="s">
        <v>6</v>
      </c>
      <c r="E2670">
        <v>4.968731</v>
      </c>
      <c r="F2670">
        <f t="shared" si="82"/>
        <v>3.3535999999999788E-2</v>
      </c>
      <c r="G2670">
        <f t="shared" si="83"/>
        <v>101.06731477067549</v>
      </c>
    </row>
    <row r="2671" spans="2:7">
      <c r="B2671" t="s">
        <v>2</v>
      </c>
      <c r="C2671" s="2">
        <v>38188</v>
      </c>
      <c r="D2671" t="s">
        <v>6</v>
      </c>
      <c r="E2671">
        <v>4.9351950000000002</v>
      </c>
      <c r="F2671">
        <f t="shared" si="82"/>
        <v>9.2906000000000155E-2</v>
      </c>
      <c r="G2671">
        <f t="shared" si="83"/>
        <v>100.88532480927132</v>
      </c>
    </row>
    <row r="2672" spans="2:7">
      <c r="B2672" t="s">
        <v>2</v>
      </c>
      <c r="C2672" s="2">
        <v>38187</v>
      </c>
      <c r="D2672" t="s">
        <v>6</v>
      </c>
      <c r="E2672">
        <v>4.8422890000000001</v>
      </c>
      <c r="F2672">
        <f t="shared" si="82"/>
        <v>8.8699999999963808E-4</v>
      </c>
      <c r="G2672">
        <f t="shared" si="83"/>
        <v>100.9861121356462</v>
      </c>
    </row>
    <row r="2673" spans="2:7">
      <c r="B2673" t="s">
        <v>2</v>
      </c>
      <c r="C2673" s="2">
        <v>38184</v>
      </c>
      <c r="D2673" t="s">
        <v>6</v>
      </c>
      <c r="E2673">
        <v>4.8414020000000004</v>
      </c>
      <c r="F2673">
        <f t="shared" si="82"/>
        <v>-0.13571799999999978</v>
      </c>
      <c r="G2673">
        <f t="shared" si="83"/>
        <v>101.73069945898605</v>
      </c>
    </row>
    <row r="2674" spans="2:7">
      <c r="B2674" t="s">
        <v>2</v>
      </c>
      <c r="C2674" s="2">
        <v>38183</v>
      </c>
      <c r="D2674" t="s">
        <v>6</v>
      </c>
      <c r="E2674">
        <v>4.9771200000000002</v>
      </c>
      <c r="F2674">
        <f t="shared" si="82"/>
        <v>2.2809999999999775E-3</v>
      </c>
      <c r="G2674">
        <f t="shared" si="83"/>
        <v>97.781888536848328</v>
      </c>
    </row>
    <row r="2675" spans="2:7">
      <c r="B2675" t="s">
        <v>2</v>
      </c>
      <c r="C2675" s="2">
        <v>38182</v>
      </c>
      <c r="D2675" t="s">
        <v>6</v>
      </c>
      <c r="E2675">
        <v>4.9748390000000002</v>
      </c>
      <c r="F2675">
        <f t="shared" si="82"/>
        <v>6.2290000000002621E-3</v>
      </c>
      <c r="G2675">
        <f t="shared" si="83"/>
        <v>98.261382411103426</v>
      </c>
    </row>
    <row r="2676" spans="2:7">
      <c r="B2676" t="s">
        <v>2</v>
      </c>
      <c r="C2676" s="2">
        <v>38181</v>
      </c>
      <c r="D2676" t="s">
        <v>6</v>
      </c>
      <c r="E2676">
        <v>4.96861</v>
      </c>
      <c r="F2676">
        <f t="shared" si="82"/>
        <v>3.943199999999969E-2</v>
      </c>
      <c r="G2676">
        <f t="shared" si="83"/>
        <v>98.357082364927351</v>
      </c>
    </row>
    <row r="2677" spans="2:7">
      <c r="B2677" t="s">
        <v>2</v>
      </c>
      <c r="C2677" s="2">
        <v>38180</v>
      </c>
      <c r="D2677" t="s">
        <v>6</v>
      </c>
      <c r="E2677">
        <v>4.9291780000000003</v>
      </c>
      <c r="F2677">
        <f t="shared" si="82"/>
        <v>-2.1570999999999785E-2</v>
      </c>
      <c r="G2677">
        <f t="shared" si="83"/>
        <v>98.77410731504223</v>
      </c>
    </row>
    <row r="2678" spans="2:7">
      <c r="B2678" t="s">
        <v>2</v>
      </c>
      <c r="C2678" s="2">
        <v>38177</v>
      </c>
      <c r="D2678" t="s">
        <v>6</v>
      </c>
      <c r="E2678">
        <v>4.9507490000000001</v>
      </c>
      <c r="F2678">
        <f t="shared" si="82"/>
        <v>9.8800000000043298E-4</v>
      </c>
      <c r="G2678">
        <f t="shared" si="83"/>
        <v>98.778139407602168</v>
      </c>
    </row>
    <row r="2679" spans="2:7">
      <c r="B2679" t="s">
        <v>2</v>
      </c>
      <c r="C2679" s="2">
        <v>38176</v>
      </c>
      <c r="D2679" t="s">
        <v>6</v>
      </c>
      <c r="E2679">
        <v>4.9497609999999996</v>
      </c>
      <c r="F2679">
        <f t="shared" si="82"/>
        <v>-1.6870000000004381E-3</v>
      </c>
      <c r="G2679">
        <f t="shared" si="83"/>
        <v>99.378947771352685</v>
      </c>
    </row>
    <row r="2680" spans="2:7">
      <c r="B2680" t="s">
        <v>2</v>
      </c>
      <c r="C2680" s="2">
        <v>38175</v>
      </c>
      <c r="D2680" t="s">
        <v>6</v>
      </c>
      <c r="E2680">
        <v>4.9514480000000001</v>
      </c>
      <c r="F2680">
        <f t="shared" si="82"/>
        <v>-4.6220000000003481E-3</v>
      </c>
      <c r="G2680">
        <f t="shared" si="83"/>
        <v>101.98179161052488</v>
      </c>
    </row>
    <row r="2681" spans="2:7">
      <c r="B2681" t="s">
        <v>2</v>
      </c>
      <c r="C2681" s="2">
        <v>38174</v>
      </c>
      <c r="D2681" t="s">
        <v>6</v>
      </c>
      <c r="E2681">
        <v>4.9560700000000004</v>
      </c>
      <c r="F2681">
        <f t="shared" si="82"/>
        <v>8.7670000000006354E-3</v>
      </c>
      <c r="G2681">
        <f t="shared" si="83"/>
        <v>102.15288727299409</v>
      </c>
    </row>
    <row r="2682" spans="2:7">
      <c r="B2682" t="s">
        <v>2</v>
      </c>
      <c r="C2682" s="2">
        <v>38170</v>
      </c>
      <c r="D2682" t="s">
        <v>6</v>
      </c>
      <c r="E2682">
        <v>4.9473029999999998</v>
      </c>
      <c r="F2682">
        <f t="shared" si="82"/>
        <v>-0.10213300000000025</v>
      </c>
      <c r="G2682">
        <f t="shared" si="83"/>
        <v>102.21010615074594</v>
      </c>
    </row>
    <row r="2683" spans="2:7">
      <c r="B2683" t="s">
        <v>2</v>
      </c>
      <c r="C2683" s="2">
        <v>38169</v>
      </c>
      <c r="D2683" t="s">
        <v>6</v>
      </c>
      <c r="E2683">
        <v>5.049436</v>
      </c>
      <c r="F2683">
        <f t="shared" si="82"/>
        <v>-4.6745999999999732E-2</v>
      </c>
      <c r="G2683">
        <f t="shared" si="83"/>
        <v>99.745845908134839</v>
      </c>
    </row>
    <row r="2684" spans="2:7">
      <c r="B2684" t="s">
        <v>2</v>
      </c>
      <c r="C2684" s="2">
        <v>38168</v>
      </c>
      <c r="D2684" t="s">
        <v>6</v>
      </c>
      <c r="E2684">
        <v>5.0961819999999998</v>
      </c>
      <c r="F2684">
        <f t="shared" si="82"/>
        <v>-9.3182999999999794E-2</v>
      </c>
      <c r="G2684">
        <f t="shared" si="83"/>
        <v>99.794586780931326</v>
      </c>
    </row>
    <row r="2685" spans="2:7">
      <c r="B2685" t="s">
        <v>2</v>
      </c>
      <c r="C2685" s="2">
        <v>38167</v>
      </c>
      <c r="D2685" t="s">
        <v>6</v>
      </c>
      <c r="E2685">
        <v>5.1893649999999996</v>
      </c>
      <c r="F2685">
        <f t="shared" si="82"/>
        <v>-5.1996000000000819E-2</v>
      </c>
      <c r="G2685">
        <f t="shared" si="83"/>
        <v>98.563997332238216</v>
      </c>
    </row>
    <row r="2686" spans="2:7">
      <c r="B2686" t="s">
        <v>2</v>
      </c>
      <c r="C2686" s="2">
        <v>38166</v>
      </c>
      <c r="D2686" t="s">
        <v>6</v>
      </c>
      <c r="E2686">
        <v>5.2413610000000004</v>
      </c>
      <c r="F2686">
        <f t="shared" si="82"/>
        <v>9.5543000000000156E-2</v>
      </c>
      <c r="G2686">
        <f t="shared" si="83"/>
        <v>110.46850727016857</v>
      </c>
    </row>
    <row r="2687" spans="2:7">
      <c r="B2687" t="s">
        <v>2</v>
      </c>
      <c r="C2687" s="2">
        <v>38163</v>
      </c>
      <c r="D2687" t="s">
        <v>6</v>
      </c>
      <c r="E2687">
        <v>5.1458180000000002</v>
      </c>
      <c r="F2687">
        <f t="shared" si="82"/>
        <v>9.091999999999878E-3</v>
      </c>
      <c r="G2687">
        <f t="shared" si="83"/>
        <v>109.79566898990126</v>
      </c>
    </row>
    <row r="2688" spans="2:7">
      <c r="B2688" t="s">
        <v>2</v>
      </c>
      <c r="C2688" s="2">
        <v>38162</v>
      </c>
      <c r="D2688" t="s">
        <v>6</v>
      </c>
      <c r="E2688">
        <v>5.1367260000000003</v>
      </c>
      <c r="F2688">
        <f t="shared" si="82"/>
        <v>-5.6089000000000055E-2</v>
      </c>
      <c r="G2688">
        <f t="shared" si="83"/>
        <v>110.8852498613829</v>
      </c>
    </row>
    <row r="2689" spans="2:7">
      <c r="B2689" t="s">
        <v>2</v>
      </c>
      <c r="C2689" s="2">
        <v>38161</v>
      </c>
      <c r="D2689" t="s">
        <v>6</v>
      </c>
      <c r="E2689">
        <v>5.1928150000000004</v>
      </c>
      <c r="F2689">
        <f t="shared" si="82"/>
        <v>-6.8079999999994811E-3</v>
      </c>
      <c r="G2689">
        <f t="shared" si="83"/>
        <v>109.92783085857366</v>
      </c>
    </row>
    <row r="2690" spans="2:7">
      <c r="B2690" t="s">
        <v>2</v>
      </c>
      <c r="C2690" s="2">
        <v>38160</v>
      </c>
      <c r="D2690" t="s">
        <v>6</v>
      </c>
      <c r="E2690">
        <v>5.1996229999999999</v>
      </c>
      <c r="F2690">
        <f t="shared" si="82"/>
        <v>1.8131999999999593E-2</v>
      </c>
      <c r="G2690">
        <f t="shared" si="83"/>
        <v>110.25230132814706</v>
      </c>
    </row>
    <row r="2691" spans="2:7">
      <c r="B2691" t="s">
        <v>2</v>
      </c>
      <c r="C2691" s="2">
        <v>38159</v>
      </c>
      <c r="D2691" t="s">
        <v>6</v>
      </c>
      <c r="E2691">
        <v>5.1814910000000003</v>
      </c>
      <c r="F2691">
        <f t="shared" ref="F2691:F2754" si="84">E2691-E2692</f>
        <v>-1.3567999999999358E-2</v>
      </c>
      <c r="G2691">
        <f t="shared" ref="G2691:G2754" si="85">STDEV(F2691:F2750)*SQRT(250)*100</f>
        <v>111.57523086308049</v>
      </c>
    </row>
    <row r="2692" spans="2:7">
      <c r="B2692" t="s">
        <v>2</v>
      </c>
      <c r="C2692" s="2">
        <v>38156</v>
      </c>
      <c r="D2692" t="s">
        <v>6</v>
      </c>
      <c r="E2692">
        <v>5.1950589999999996</v>
      </c>
      <c r="F2692">
        <f t="shared" si="84"/>
        <v>1.4419999999999433E-2</v>
      </c>
      <c r="G2692">
        <f t="shared" si="85"/>
        <v>111.42203547201058</v>
      </c>
    </row>
    <row r="2693" spans="2:7">
      <c r="B2693" t="s">
        <v>2</v>
      </c>
      <c r="C2693" s="2">
        <v>38155</v>
      </c>
      <c r="D2693" t="s">
        <v>6</v>
      </c>
      <c r="E2693">
        <v>5.1806390000000002</v>
      </c>
      <c r="F2693">
        <f t="shared" si="84"/>
        <v>-4.0319999999999467E-2</v>
      </c>
      <c r="G2693">
        <f t="shared" si="85"/>
        <v>111.48181630604822</v>
      </c>
    </row>
    <row r="2694" spans="2:7">
      <c r="B2694" t="s">
        <v>2</v>
      </c>
      <c r="C2694" s="2">
        <v>38154</v>
      </c>
      <c r="D2694" t="s">
        <v>6</v>
      </c>
      <c r="E2694">
        <v>5.2209589999999997</v>
      </c>
      <c r="F2694">
        <f t="shared" si="84"/>
        <v>4.949899999999996E-2</v>
      </c>
      <c r="G2694">
        <f t="shared" si="85"/>
        <v>110.92936511173457</v>
      </c>
    </row>
    <row r="2695" spans="2:7">
      <c r="B2695" t="s">
        <v>2</v>
      </c>
      <c r="C2695" s="2">
        <v>38153</v>
      </c>
      <c r="D2695" t="s">
        <v>6</v>
      </c>
      <c r="E2695">
        <v>5.1714599999999997</v>
      </c>
      <c r="F2695">
        <f t="shared" si="84"/>
        <v>-0.20005300000000048</v>
      </c>
      <c r="G2695">
        <f t="shared" si="85"/>
        <v>112.28106117896542</v>
      </c>
    </row>
    <row r="2696" spans="2:7">
      <c r="B2696" t="s">
        <v>2</v>
      </c>
      <c r="C2696" s="2">
        <v>38152</v>
      </c>
      <c r="D2696" t="s">
        <v>6</v>
      </c>
      <c r="E2696">
        <v>5.3715130000000002</v>
      </c>
      <c r="F2696">
        <f t="shared" si="84"/>
        <v>9.451900000000002E-2</v>
      </c>
      <c r="G2696">
        <f t="shared" si="85"/>
        <v>102.9438633650216</v>
      </c>
    </row>
    <row r="2697" spans="2:7">
      <c r="B2697" t="s">
        <v>2</v>
      </c>
      <c r="C2697" s="2">
        <v>38149</v>
      </c>
      <c r="D2697" t="s">
        <v>6</v>
      </c>
      <c r="E2697">
        <v>5.2769940000000002</v>
      </c>
      <c r="F2697">
        <f t="shared" si="84"/>
        <v>0</v>
      </c>
      <c r="G2697">
        <f t="shared" si="85"/>
        <v>102.24721186182164</v>
      </c>
    </row>
    <row r="2698" spans="2:7">
      <c r="B2698" t="s">
        <v>2</v>
      </c>
      <c r="C2698" s="2">
        <v>38148</v>
      </c>
      <c r="D2698" t="s">
        <v>6</v>
      </c>
      <c r="E2698">
        <v>5.2769940000000002</v>
      </c>
      <c r="F2698">
        <f t="shared" si="84"/>
        <v>-2.4432000000000009E-2</v>
      </c>
      <c r="G2698">
        <f t="shared" si="85"/>
        <v>102.24729626962488</v>
      </c>
    </row>
    <row r="2699" spans="2:7">
      <c r="B2699" t="s">
        <v>2</v>
      </c>
      <c r="C2699" s="2">
        <v>38147</v>
      </c>
      <c r="D2699" t="s">
        <v>6</v>
      </c>
      <c r="E2699">
        <v>5.3014260000000002</v>
      </c>
      <c r="F2699">
        <f t="shared" si="84"/>
        <v>4.8795000000000144E-2</v>
      </c>
      <c r="G2699">
        <f t="shared" si="85"/>
        <v>104.36228345795868</v>
      </c>
    </row>
    <row r="2700" spans="2:7">
      <c r="B2700" t="s">
        <v>2</v>
      </c>
      <c r="C2700" s="2">
        <v>38146</v>
      </c>
      <c r="D2700" t="s">
        <v>6</v>
      </c>
      <c r="E2700">
        <v>5.252631</v>
      </c>
      <c r="F2700">
        <f t="shared" si="84"/>
        <v>3.9910000000000778E-3</v>
      </c>
      <c r="G2700">
        <f t="shared" si="85"/>
        <v>104.18669876028844</v>
      </c>
    </row>
    <row r="2701" spans="2:7">
      <c r="B2701" t="s">
        <v>2</v>
      </c>
      <c r="C2701" s="2">
        <v>38145</v>
      </c>
      <c r="D2701" t="s">
        <v>6</v>
      </c>
      <c r="E2701">
        <v>5.24864</v>
      </c>
      <c r="F2701">
        <f t="shared" si="84"/>
        <v>-2.6158999999999821E-2</v>
      </c>
      <c r="G2701">
        <f t="shared" si="85"/>
        <v>104.14505715051227</v>
      </c>
    </row>
    <row r="2702" spans="2:7">
      <c r="B2702" t="s">
        <v>2</v>
      </c>
      <c r="C2702" s="2">
        <v>38142</v>
      </c>
      <c r="D2702" t="s">
        <v>6</v>
      </c>
      <c r="E2702">
        <v>5.2747989999999998</v>
      </c>
      <c r="F2702">
        <f t="shared" si="84"/>
        <v>6.6578999999999944E-2</v>
      </c>
      <c r="G2702">
        <f t="shared" si="85"/>
        <v>103.75488782926455</v>
      </c>
    </row>
    <row r="2703" spans="2:7">
      <c r="B2703" t="s">
        <v>2</v>
      </c>
      <c r="C2703" s="2">
        <v>38141</v>
      </c>
      <c r="D2703" t="s">
        <v>6</v>
      </c>
      <c r="E2703">
        <v>5.2082199999999998</v>
      </c>
      <c r="F2703">
        <f t="shared" si="84"/>
        <v>-1.532800000000023E-2</v>
      </c>
      <c r="G2703">
        <f t="shared" si="85"/>
        <v>103.3177366858928</v>
      </c>
    </row>
    <row r="2704" spans="2:7">
      <c r="B2704" t="s">
        <v>2</v>
      </c>
      <c r="C2704" s="2">
        <v>38140</v>
      </c>
      <c r="D2704" t="s">
        <v>6</v>
      </c>
      <c r="E2704">
        <v>5.2235480000000001</v>
      </c>
      <c r="F2704">
        <f t="shared" si="84"/>
        <v>2.6272999999999769E-2</v>
      </c>
      <c r="G2704">
        <f t="shared" si="85"/>
        <v>104.36330127726265</v>
      </c>
    </row>
    <row r="2705" spans="2:7">
      <c r="B2705" t="s">
        <v>2</v>
      </c>
      <c r="C2705" s="2">
        <v>38139</v>
      </c>
      <c r="D2705" t="s">
        <v>6</v>
      </c>
      <c r="E2705">
        <v>5.1972750000000003</v>
      </c>
      <c r="F2705">
        <f t="shared" si="84"/>
        <v>6.5237999999999907E-2</v>
      </c>
      <c r="G2705">
        <f t="shared" si="85"/>
        <v>105.62074693779167</v>
      </c>
    </row>
    <row r="2706" spans="2:7">
      <c r="B2706" t="s">
        <v>2</v>
      </c>
      <c r="C2706" s="2">
        <v>38135</v>
      </c>
      <c r="D2706" t="s">
        <v>6</v>
      </c>
      <c r="E2706">
        <v>5.1320370000000004</v>
      </c>
      <c r="F2706">
        <f t="shared" si="84"/>
        <v>5.7961000000000595E-2</v>
      </c>
      <c r="G2706">
        <f t="shared" si="85"/>
        <v>114.43475781127054</v>
      </c>
    </row>
    <row r="2707" spans="2:7">
      <c r="B2707" t="s">
        <v>2</v>
      </c>
      <c r="C2707" s="2">
        <v>38134</v>
      </c>
      <c r="D2707" t="s">
        <v>6</v>
      </c>
      <c r="E2707">
        <v>5.0740759999999998</v>
      </c>
      <c r="F2707">
        <f t="shared" si="84"/>
        <v>-9.9689999999999834E-2</v>
      </c>
      <c r="G2707">
        <f t="shared" si="85"/>
        <v>114.37669024497725</v>
      </c>
    </row>
    <row r="2708" spans="2:7">
      <c r="B2708" t="s">
        <v>2</v>
      </c>
      <c r="C2708" s="2">
        <v>38133</v>
      </c>
      <c r="D2708" t="s">
        <v>6</v>
      </c>
      <c r="E2708">
        <v>5.1737659999999996</v>
      </c>
      <c r="F2708">
        <f t="shared" si="84"/>
        <v>-5.6817000000000561E-2</v>
      </c>
      <c r="G2708">
        <f t="shared" si="85"/>
        <v>112.08108017638681</v>
      </c>
    </row>
    <row r="2709" spans="2:7">
      <c r="B2709" t="s">
        <v>2</v>
      </c>
      <c r="C2709" s="2">
        <v>38132</v>
      </c>
      <c r="D2709" t="s">
        <v>6</v>
      </c>
      <c r="E2709">
        <v>5.2305830000000002</v>
      </c>
      <c r="F2709">
        <f t="shared" si="84"/>
        <v>-9.4579999999995223E-3</v>
      </c>
      <c r="G2709">
        <f t="shared" si="85"/>
        <v>111.4642660355756</v>
      </c>
    </row>
    <row r="2710" spans="2:7">
      <c r="B2710" t="s">
        <v>2</v>
      </c>
      <c r="C2710" s="2">
        <v>38131</v>
      </c>
      <c r="D2710" t="s">
        <v>6</v>
      </c>
      <c r="E2710">
        <v>5.2400409999999997</v>
      </c>
      <c r="F2710">
        <f t="shared" si="84"/>
        <v>-2.1609000000000655E-2</v>
      </c>
      <c r="G2710">
        <f t="shared" si="85"/>
        <v>111.35927409737205</v>
      </c>
    </row>
    <row r="2711" spans="2:7">
      <c r="B2711" t="s">
        <v>2</v>
      </c>
      <c r="C2711" s="2">
        <v>38128</v>
      </c>
      <c r="D2711" t="s">
        <v>6</v>
      </c>
      <c r="E2711">
        <v>5.2616500000000004</v>
      </c>
      <c r="F2711">
        <f t="shared" si="84"/>
        <v>4.1454000000000768E-2</v>
      </c>
      <c r="G2711">
        <f t="shared" si="85"/>
        <v>112.16585428038445</v>
      </c>
    </row>
    <row r="2712" spans="2:7">
      <c r="B2712" t="s">
        <v>2</v>
      </c>
      <c r="C2712" s="2">
        <v>38127</v>
      </c>
      <c r="D2712" t="s">
        <v>6</v>
      </c>
      <c r="E2712">
        <v>5.2201959999999996</v>
      </c>
      <c r="F2712">
        <f t="shared" si="84"/>
        <v>-7.5642000000000209E-2</v>
      </c>
      <c r="G2712">
        <f t="shared" si="85"/>
        <v>112.11487724668632</v>
      </c>
    </row>
    <row r="2713" spans="2:7">
      <c r="B2713" t="s">
        <v>2</v>
      </c>
      <c r="C2713" s="2">
        <v>38126</v>
      </c>
      <c r="D2713" t="s">
        <v>6</v>
      </c>
      <c r="E2713">
        <v>5.2958379999999998</v>
      </c>
      <c r="F2713">
        <f t="shared" si="84"/>
        <v>6.7346999999999824E-2</v>
      </c>
      <c r="G2713">
        <f t="shared" si="85"/>
        <v>110.75247625578142</v>
      </c>
    </row>
    <row r="2714" spans="2:7">
      <c r="B2714" t="s">
        <v>2</v>
      </c>
      <c r="C2714" s="2">
        <v>38125</v>
      </c>
      <c r="D2714" t="s">
        <v>6</v>
      </c>
      <c r="E2714">
        <v>5.228491</v>
      </c>
      <c r="F2714">
        <f t="shared" si="84"/>
        <v>3.0968999999999802E-2</v>
      </c>
      <c r="G2714">
        <f t="shared" si="85"/>
        <v>110.42884141455534</v>
      </c>
    </row>
    <row r="2715" spans="2:7">
      <c r="B2715" t="s">
        <v>2</v>
      </c>
      <c r="C2715" s="2">
        <v>38124</v>
      </c>
      <c r="D2715" t="s">
        <v>6</v>
      </c>
      <c r="E2715">
        <v>5.1975220000000002</v>
      </c>
      <c r="F2715">
        <f t="shared" si="84"/>
        <v>-0.10633499999999962</v>
      </c>
      <c r="G2715">
        <f t="shared" si="85"/>
        <v>110.93959523863364</v>
      </c>
    </row>
    <row r="2716" spans="2:7">
      <c r="B2716" t="s">
        <v>2</v>
      </c>
      <c r="C2716" s="2">
        <v>38121</v>
      </c>
      <c r="D2716" t="s">
        <v>6</v>
      </c>
      <c r="E2716">
        <v>5.3038569999999998</v>
      </c>
      <c r="F2716">
        <f t="shared" si="84"/>
        <v>-7.6545000000000307E-2</v>
      </c>
      <c r="G2716">
        <f t="shared" si="85"/>
        <v>108.48997914162264</v>
      </c>
    </row>
    <row r="2717" spans="2:7">
      <c r="B2717" t="s">
        <v>2</v>
      </c>
      <c r="C2717" s="2">
        <v>38120</v>
      </c>
      <c r="D2717" t="s">
        <v>6</v>
      </c>
      <c r="E2717">
        <v>5.3804020000000001</v>
      </c>
      <c r="F2717">
        <f t="shared" si="84"/>
        <v>6.9500000000000561E-2</v>
      </c>
      <c r="G2717">
        <f t="shared" si="85"/>
        <v>106.85606030846439</v>
      </c>
    </row>
    <row r="2718" spans="2:7">
      <c r="B2718" t="s">
        <v>2</v>
      </c>
      <c r="C2718" s="2">
        <v>38119</v>
      </c>
      <c r="D2718" t="s">
        <v>6</v>
      </c>
      <c r="E2718">
        <v>5.3109019999999996</v>
      </c>
      <c r="F2718">
        <f t="shared" si="84"/>
        <v>6.8619999999999237E-3</v>
      </c>
      <c r="G2718">
        <f t="shared" si="85"/>
        <v>106.3804736516674</v>
      </c>
    </row>
    <row r="2719" spans="2:7">
      <c r="B2719" t="s">
        <v>2</v>
      </c>
      <c r="C2719" s="2">
        <v>38118</v>
      </c>
      <c r="D2719" t="s">
        <v>6</v>
      </c>
      <c r="E2719">
        <v>5.3040399999999996</v>
      </c>
      <c r="F2719">
        <f t="shared" si="84"/>
        <v>-1.7911999999999928E-2</v>
      </c>
      <c r="G2719">
        <f t="shared" si="85"/>
        <v>106.37040330006045</v>
      </c>
    </row>
    <row r="2720" spans="2:7">
      <c r="B2720" t="s">
        <v>2</v>
      </c>
      <c r="C2720" s="2">
        <v>38117</v>
      </c>
      <c r="D2720" t="s">
        <v>6</v>
      </c>
      <c r="E2720">
        <v>5.3219519999999996</v>
      </c>
      <c r="F2720">
        <f t="shared" si="84"/>
        <v>6.0299999999999798E-3</v>
      </c>
      <c r="G2720">
        <f t="shared" si="85"/>
        <v>106.61043597762358</v>
      </c>
    </row>
    <row r="2721" spans="2:7">
      <c r="B2721" t="s">
        <v>2</v>
      </c>
      <c r="C2721" s="2">
        <v>38114</v>
      </c>
      <c r="D2721" t="s">
        <v>6</v>
      </c>
      <c r="E2721">
        <v>5.3159219999999996</v>
      </c>
      <c r="F2721">
        <f t="shared" si="84"/>
        <v>0.18401899999999927</v>
      </c>
      <c r="G2721">
        <f t="shared" si="85"/>
        <v>106.71730828049817</v>
      </c>
    </row>
    <row r="2722" spans="2:7">
      <c r="B2722" t="s">
        <v>2</v>
      </c>
      <c r="C2722" s="2">
        <v>38113</v>
      </c>
      <c r="D2722" t="s">
        <v>6</v>
      </c>
      <c r="E2722">
        <v>5.1319030000000003</v>
      </c>
      <c r="F2722">
        <f t="shared" si="84"/>
        <v>4.4986999999999888E-2</v>
      </c>
      <c r="G2722">
        <f t="shared" si="85"/>
        <v>102.91476415900667</v>
      </c>
    </row>
    <row r="2723" spans="2:7">
      <c r="B2723" t="s">
        <v>2</v>
      </c>
      <c r="C2723" s="2">
        <v>38112</v>
      </c>
      <c r="D2723" t="s">
        <v>6</v>
      </c>
      <c r="E2723">
        <v>5.0869160000000004</v>
      </c>
      <c r="F2723">
        <f t="shared" si="84"/>
        <v>5.1281000000000354E-2</v>
      </c>
      <c r="G2723">
        <f t="shared" si="85"/>
        <v>102.84424986973441</v>
      </c>
    </row>
    <row r="2724" spans="2:7">
      <c r="B2724" t="s">
        <v>2</v>
      </c>
      <c r="C2724" s="2">
        <v>38111</v>
      </c>
      <c r="D2724" t="s">
        <v>6</v>
      </c>
      <c r="E2724">
        <v>5.0356350000000001</v>
      </c>
      <c r="F2724">
        <f t="shared" si="84"/>
        <v>4.440199999999983E-2</v>
      </c>
      <c r="G2724">
        <f t="shared" si="85"/>
        <v>102.73181172126382</v>
      </c>
    </row>
    <row r="2725" spans="2:7">
      <c r="B2725" t="s">
        <v>2</v>
      </c>
      <c r="C2725" s="2">
        <v>38110</v>
      </c>
      <c r="D2725" t="s">
        <v>6</v>
      </c>
      <c r="E2725">
        <v>4.9912330000000003</v>
      </c>
      <c r="F2725">
        <f t="shared" si="84"/>
        <v>1.3738000000000028E-2</v>
      </c>
      <c r="G2725">
        <f t="shared" si="85"/>
        <v>104.25735779274159</v>
      </c>
    </row>
    <row r="2726" spans="2:7">
      <c r="B2726" t="s">
        <v>2</v>
      </c>
      <c r="C2726" s="2">
        <v>38107</v>
      </c>
      <c r="D2726" t="s">
        <v>6</v>
      </c>
      <c r="E2726">
        <v>4.9774950000000002</v>
      </c>
      <c r="F2726">
        <f t="shared" si="84"/>
        <v>-4.0378999999999721E-2</v>
      </c>
      <c r="G2726">
        <f t="shared" si="85"/>
        <v>104.89246326776076</v>
      </c>
    </row>
    <row r="2727" spans="2:7">
      <c r="B2727" t="s">
        <v>2</v>
      </c>
      <c r="C2727" s="2">
        <v>38106</v>
      </c>
      <c r="D2727" t="s">
        <v>6</v>
      </c>
      <c r="E2727">
        <v>5.0178739999999999</v>
      </c>
      <c r="F2727">
        <f t="shared" si="84"/>
        <v>8.3736000000000033E-2</v>
      </c>
      <c r="G2727">
        <f t="shared" si="85"/>
        <v>104.48072007733553</v>
      </c>
    </row>
    <row r="2728" spans="2:7">
      <c r="B2728" t="s">
        <v>2</v>
      </c>
      <c r="C2728" s="2">
        <v>38105</v>
      </c>
      <c r="D2728" t="s">
        <v>6</v>
      </c>
      <c r="E2728">
        <v>4.9341379999999999</v>
      </c>
      <c r="F2728">
        <f t="shared" si="84"/>
        <v>7.0280000000000342E-2</v>
      </c>
      <c r="G2728">
        <f t="shared" si="85"/>
        <v>104.25472684395281</v>
      </c>
    </row>
    <row r="2729" spans="2:7">
      <c r="B2729" t="s">
        <v>2</v>
      </c>
      <c r="C2729" s="2">
        <v>38104</v>
      </c>
      <c r="D2729" t="s">
        <v>6</v>
      </c>
      <c r="E2729">
        <v>4.8638579999999996</v>
      </c>
      <c r="F2729">
        <f t="shared" si="84"/>
        <v>-2.6425000000000587E-2</v>
      </c>
      <c r="G2729">
        <f t="shared" si="85"/>
        <v>103.44547780220263</v>
      </c>
    </row>
    <row r="2730" spans="2:7">
      <c r="B2730" t="s">
        <v>2</v>
      </c>
      <c r="C2730" s="2">
        <v>38103</v>
      </c>
      <c r="D2730" t="s">
        <v>6</v>
      </c>
      <c r="E2730">
        <v>4.8902830000000002</v>
      </c>
      <c r="F2730">
        <f t="shared" si="84"/>
        <v>-1.3098999999999528E-2</v>
      </c>
      <c r="G2730">
        <f t="shared" si="85"/>
        <v>104.08625321111118</v>
      </c>
    </row>
    <row r="2731" spans="2:7">
      <c r="B2731" t="s">
        <v>2</v>
      </c>
      <c r="C2731" s="2">
        <v>38100</v>
      </c>
      <c r="D2731" t="s">
        <v>6</v>
      </c>
      <c r="E2731">
        <v>4.9033819999999997</v>
      </c>
      <c r="F2731">
        <f t="shared" si="84"/>
        <v>9.5469999999999722E-2</v>
      </c>
      <c r="G2731">
        <f t="shared" si="85"/>
        <v>104.02048233380255</v>
      </c>
    </row>
    <row r="2732" spans="2:7">
      <c r="B2732" t="s">
        <v>2</v>
      </c>
      <c r="C2732" s="2">
        <v>38099</v>
      </c>
      <c r="D2732" t="s">
        <v>6</v>
      </c>
      <c r="E2732">
        <v>4.807912</v>
      </c>
      <c r="F2732">
        <f t="shared" si="84"/>
        <v>-5.9620999999999924E-2</v>
      </c>
      <c r="G2732">
        <f t="shared" si="85"/>
        <v>105.22689073535581</v>
      </c>
    </row>
    <row r="2733" spans="2:7">
      <c r="B2733" t="s">
        <v>2</v>
      </c>
      <c r="C2733" s="2">
        <v>38098</v>
      </c>
      <c r="D2733" t="s">
        <v>6</v>
      </c>
      <c r="E2733">
        <v>4.8675329999999999</v>
      </c>
      <c r="F2733">
        <f t="shared" si="84"/>
        <v>6.2040000000003204E-3</v>
      </c>
      <c r="G2733">
        <f t="shared" si="85"/>
        <v>105.27431344361607</v>
      </c>
    </row>
    <row r="2734" spans="2:7">
      <c r="B2734" t="s">
        <v>2</v>
      </c>
      <c r="C2734" s="2">
        <v>38097</v>
      </c>
      <c r="D2734" t="s">
        <v>6</v>
      </c>
      <c r="E2734">
        <v>4.8613289999999996</v>
      </c>
      <c r="F2734">
        <f t="shared" si="84"/>
        <v>4.9422999999999995E-2</v>
      </c>
      <c r="G2734">
        <f t="shared" si="85"/>
        <v>106.32923566332961</v>
      </c>
    </row>
    <row r="2735" spans="2:7">
      <c r="B2735" t="s">
        <v>2</v>
      </c>
      <c r="C2735" s="2">
        <v>38096</v>
      </c>
      <c r="D2735" t="s">
        <v>6</v>
      </c>
      <c r="E2735">
        <v>4.8119059999999996</v>
      </c>
      <c r="F2735">
        <f t="shared" si="84"/>
        <v>2.4204999999999366E-2</v>
      </c>
      <c r="G2735">
        <f t="shared" si="85"/>
        <v>107.98597589212686</v>
      </c>
    </row>
    <row r="2736" spans="2:7">
      <c r="B2736" t="s">
        <v>2</v>
      </c>
      <c r="C2736" s="2">
        <v>38093</v>
      </c>
      <c r="D2736" t="s">
        <v>6</v>
      </c>
      <c r="E2736">
        <v>4.7877010000000002</v>
      </c>
      <c r="F2736">
        <f t="shared" si="84"/>
        <v>-5.5433999999999983E-2</v>
      </c>
      <c r="G2736">
        <f t="shared" si="85"/>
        <v>108.97268848662094</v>
      </c>
    </row>
    <row r="2737" spans="2:7">
      <c r="B2737" t="s">
        <v>2</v>
      </c>
      <c r="C2737" s="2">
        <v>38092</v>
      </c>
      <c r="D2737" t="s">
        <v>6</v>
      </c>
      <c r="E2737">
        <v>4.8431350000000002</v>
      </c>
      <c r="F2737">
        <f t="shared" si="84"/>
        <v>2.5624000000000535E-2</v>
      </c>
      <c r="G2737">
        <f t="shared" si="85"/>
        <v>108.37199195266017</v>
      </c>
    </row>
    <row r="2738" spans="2:7">
      <c r="B2738" t="s">
        <v>2</v>
      </c>
      <c r="C2738" s="2">
        <v>38091</v>
      </c>
      <c r="D2738" t="s">
        <v>6</v>
      </c>
      <c r="E2738">
        <v>4.8175109999999997</v>
      </c>
      <c r="F2738">
        <f t="shared" si="84"/>
        <v>5.5709999999999482E-2</v>
      </c>
      <c r="G2738">
        <f t="shared" si="85"/>
        <v>108.52056055022754</v>
      </c>
    </row>
    <row r="2739" spans="2:7">
      <c r="B2739" t="s">
        <v>2</v>
      </c>
      <c r="C2739" s="2">
        <v>38090</v>
      </c>
      <c r="D2739" t="s">
        <v>6</v>
      </c>
      <c r="E2739">
        <v>4.7618010000000002</v>
      </c>
      <c r="F2739">
        <f t="shared" si="84"/>
        <v>0.11547600000000013</v>
      </c>
      <c r="G2739">
        <f t="shared" si="85"/>
        <v>108.21484549465251</v>
      </c>
    </row>
    <row r="2740" spans="2:7">
      <c r="B2740" t="s">
        <v>2</v>
      </c>
      <c r="C2740" s="2">
        <v>38089</v>
      </c>
      <c r="D2740" t="s">
        <v>6</v>
      </c>
      <c r="E2740">
        <v>4.646325</v>
      </c>
      <c r="F2740">
        <f t="shared" si="84"/>
        <v>3.5839000000000176E-2</v>
      </c>
      <c r="G2740">
        <f t="shared" si="85"/>
        <v>105.86740794277816</v>
      </c>
    </row>
    <row r="2741" spans="2:7">
      <c r="B2741" t="s">
        <v>2</v>
      </c>
      <c r="C2741" s="2">
        <v>38085</v>
      </c>
      <c r="D2741" t="s">
        <v>6</v>
      </c>
      <c r="E2741">
        <v>4.6104859999999999</v>
      </c>
      <c r="F2741">
        <f t="shared" si="84"/>
        <v>2.2737999999999481E-2</v>
      </c>
      <c r="G2741">
        <f t="shared" si="85"/>
        <v>106.0743506421808</v>
      </c>
    </row>
    <row r="2742" spans="2:7">
      <c r="B2742" t="s">
        <v>2</v>
      </c>
      <c r="C2742" s="2">
        <v>38084</v>
      </c>
      <c r="D2742" t="s">
        <v>6</v>
      </c>
      <c r="E2742">
        <v>4.5877480000000004</v>
      </c>
      <c r="F2742">
        <f t="shared" si="84"/>
        <v>-4.2859999999995679E-3</v>
      </c>
      <c r="G2742">
        <f t="shared" si="85"/>
        <v>106.69762302814409</v>
      </c>
    </row>
    <row r="2743" spans="2:7">
      <c r="B2743" t="s">
        <v>2</v>
      </c>
      <c r="C2743" s="2">
        <v>38083</v>
      </c>
      <c r="D2743" t="s">
        <v>6</v>
      </c>
      <c r="E2743">
        <v>4.5920339999999999</v>
      </c>
      <c r="F2743">
        <f t="shared" si="84"/>
        <v>-4.8817999999999806E-2</v>
      </c>
      <c r="G2743">
        <f t="shared" si="85"/>
        <v>106.73420375069989</v>
      </c>
    </row>
    <row r="2744" spans="2:7">
      <c r="B2744" t="s">
        <v>2</v>
      </c>
      <c r="C2744" s="2">
        <v>38082</v>
      </c>
      <c r="D2744" t="s">
        <v>6</v>
      </c>
      <c r="E2744">
        <v>4.6408519999999998</v>
      </c>
      <c r="F2744">
        <f t="shared" si="84"/>
        <v>7.7441999999999567E-2</v>
      </c>
      <c r="G2744">
        <f t="shared" si="85"/>
        <v>111.90166372193306</v>
      </c>
    </row>
    <row r="2745" spans="2:7">
      <c r="B2745" t="s">
        <v>2</v>
      </c>
      <c r="C2745" s="2">
        <v>38079</v>
      </c>
      <c r="D2745" t="s">
        <v>6</v>
      </c>
      <c r="E2745">
        <v>4.5634100000000002</v>
      </c>
      <c r="F2745">
        <f t="shared" si="84"/>
        <v>0.26398399999999977</v>
      </c>
      <c r="G2745">
        <f t="shared" si="85"/>
        <v>110.77044466430172</v>
      </c>
    </row>
    <row r="2746" spans="2:7">
      <c r="B2746" t="s">
        <v>2</v>
      </c>
      <c r="C2746" s="2">
        <v>38078</v>
      </c>
      <c r="D2746" t="s">
        <v>6</v>
      </c>
      <c r="E2746">
        <v>4.2994260000000004</v>
      </c>
      <c r="F2746">
        <f t="shared" si="84"/>
        <v>6.9447000000000259E-2</v>
      </c>
      <c r="G2746">
        <f t="shared" si="85"/>
        <v>96.252117137310606</v>
      </c>
    </row>
    <row r="2747" spans="2:7">
      <c r="B2747" t="s">
        <v>2</v>
      </c>
      <c r="C2747" s="2">
        <v>38077</v>
      </c>
      <c r="D2747" t="s">
        <v>6</v>
      </c>
      <c r="E2747">
        <v>4.2299790000000002</v>
      </c>
      <c r="F2747">
        <f t="shared" si="84"/>
        <v>-6.0856000000000243E-2</v>
      </c>
      <c r="G2747">
        <f t="shared" si="85"/>
        <v>97.811826353468106</v>
      </c>
    </row>
    <row r="2748" spans="2:7">
      <c r="B2748" t="s">
        <v>2</v>
      </c>
      <c r="C2748" s="2">
        <v>38076</v>
      </c>
      <c r="D2748" t="s">
        <v>6</v>
      </c>
      <c r="E2748">
        <v>4.2908350000000004</v>
      </c>
      <c r="F2748">
        <f t="shared" si="84"/>
        <v>1.0728000000000293E-2</v>
      </c>
      <c r="G2748">
        <f t="shared" si="85"/>
        <v>97.238893842679488</v>
      </c>
    </row>
    <row r="2749" spans="2:7">
      <c r="B2749" t="s">
        <v>2</v>
      </c>
      <c r="C2749" s="2">
        <v>38075</v>
      </c>
      <c r="D2749" t="s">
        <v>6</v>
      </c>
      <c r="E2749">
        <v>4.2801070000000001</v>
      </c>
      <c r="F2749">
        <f t="shared" si="84"/>
        <v>6.266000000000016E-2</v>
      </c>
      <c r="G2749">
        <f t="shared" si="85"/>
        <v>100.48134166295259</v>
      </c>
    </row>
    <row r="2750" spans="2:7">
      <c r="B2750" t="s">
        <v>2</v>
      </c>
      <c r="C2750" s="2">
        <v>38072</v>
      </c>
      <c r="D2750" t="s">
        <v>6</v>
      </c>
      <c r="E2750">
        <v>4.2174469999999999</v>
      </c>
      <c r="F2750">
        <f t="shared" si="84"/>
        <v>0.10028199999999998</v>
      </c>
      <c r="G2750">
        <f t="shared" si="85"/>
        <v>99.499422496989766</v>
      </c>
    </row>
    <row r="2751" spans="2:7">
      <c r="B2751" t="s">
        <v>2</v>
      </c>
      <c r="C2751" s="2">
        <v>38071</v>
      </c>
      <c r="D2751" t="s">
        <v>6</v>
      </c>
      <c r="E2751">
        <v>4.117165</v>
      </c>
      <c r="F2751">
        <f t="shared" si="84"/>
        <v>3.2187999999999661E-2</v>
      </c>
      <c r="G2751">
        <f t="shared" si="85"/>
        <v>97.672848809345183</v>
      </c>
    </row>
    <row r="2752" spans="2:7">
      <c r="B2752" t="s">
        <v>2</v>
      </c>
      <c r="C2752" s="2">
        <v>38070</v>
      </c>
      <c r="D2752" t="s">
        <v>6</v>
      </c>
      <c r="E2752">
        <v>4.0849770000000003</v>
      </c>
      <c r="F2752">
        <f t="shared" si="84"/>
        <v>2.1200000000032304E-4</v>
      </c>
      <c r="G2752">
        <f t="shared" si="85"/>
        <v>98.944027385382967</v>
      </c>
    </row>
    <row r="2753" spans="2:7">
      <c r="B2753" t="s">
        <v>2</v>
      </c>
      <c r="C2753" s="2">
        <v>38069</v>
      </c>
      <c r="D2753" t="s">
        <v>6</v>
      </c>
      <c r="E2753">
        <v>4.084765</v>
      </c>
      <c r="F2753">
        <f t="shared" si="84"/>
        <v>-5.2490000000000592E-3</v>
      </c>
      <c r="G2753">
        <f t="shared" si="85"/>
        <v>99.176392510846028</v>
      </c>
    </row>
    <row r="2754" spans="2:7">
      <c r="B2754" t="s">
        <v>2</v>
      </c>
      <c r="C2754" s="2">
        <v>38068</v>
      </c>
      <c r="D2754" t="s">
        <v>6</v>
      </c>
      <c r="E2754">
        <v>4.090014</v>
      </c>
      <c r="F2754">
        <f t="shared" si="84"/>
        <v>-7.2294000000000302E-2</v>
      </c>
      <c r="G2754">
        <f t="shared" si="85"/>
        <v>100.21514221942371</v>
      </c>
    </row>
    <row r="2755" spans="2:7">
      <c r="B2755" t="s">
        <v>2</v>
      </c>
      <c r="C2755" s="2">
        <v>38065</v>
      </c>
      <c r="D2755" t="s">
        <v>6</v>
      </c>
      <c r="E2755">
        <v>4.1623080000000003</v>
      </c>
      <c r="F2755">
        <f t="shared" ref="F2755:F2818" si="86">E2755-E2756</f>
        <v>4.0770000000000195E-2</v>
      </c>
      <c r="G2755">
        <f t="shared" ref="G2755:G2818" si="87">STDEV(F2755:F2814)*SQRT(250)*100</f>
        <v>102.40058895357751</v>
      </c>
    </row>
    <row r="2756" spans="2:7">
      <c r="B2756" t="s">
        <v>2</v>
      </c>
      <c r="C2756" s="2">
        <v>38064</v>
      </c>
      <c r="D2756" t="s">
        <v>6</v>
      </c>
      <c r="E2756">
        <v>4.1215380000000001</v>
      </c>
      <c r="F2756">
        <f t="shared" si="86"/>
        <v>6.6323000000000576E-2</v>
      </c>
      <c r="G2756">
        <f t="shared" si="87"/>
        <v>102.31612441368179</v>
      </c>
    </row>
    <row r="2757" spans="2:7">
      <c r="B2757" t="s">
        <v>2</v>
      </c>
      <c r="C2757" s="2">
        <v>38063</v>
      </c>
      <c r="D2757" t="s">
        <v>6</v>
      </c>
      <c r="E2757">
        <v>4.0552149999999996</v>
      </c>
      <c r="F2757">
        <f t="shared" si="86"/>
        <v>-1.0000000000509601E-5</v>
      </c>
      <c r="G2757">
        <f t="shared" si="87"/>
        <v>101.20210795694607</v>
      </c>
    </row>
    <row r="2758" spans="2:7">
      <c r="B2758" t="s">
        <v>2</v>
      </c>
      <c r="C2758" s="2">
        <v>38062</v>
      </c>
      <c r="D2758" t="s">
        <v>6</v>
      </c>
      <c r="E2758">
        <v>4.0552250000000001</v>
      </c>
      <c r="F2758">
        <f t="shared" si="86"/>
        <v>-9.096100000000007E-2</v>
      </c>
      <c r="G2758">
        <f t="shared" si="87"/>
        <v>101.43848922217815</v>
      </c>
    </row>
    <row r="2759" spans="2:7">
      <c r="B2759" t="s">
        <v>2</v>
      </c>
      <c r="C2759" s="2">
        <v>38061</v>
      </c>
      <c r="D2759" t="s">
        <v>6</v>
      </c>
      <c r="E2759">
        <v>4.1461860000000001</v>
      </c>
      <c r="F2759">
        <f t="shared" si="86"/>
        <v>1.3888000000000567E-2</v>
      </c>
      <c r="G2759">
        <f t="shared" si="87"/>
        <v>100.21773963766051</v>
      </c>
    </row>
    <row r="2760" spans="2:7">
      <c r="B2760" t="s">
        <v>2</v>
      </c>
      <c r="C2760" s="2">
        <v>38058</v>
      </c>
      <c r="D2760" t="s">
        <v>6</v>
      </c>
      <c r="E2760">
        <v>4.1322979999999996</v>
      </c>
      <c r="F2760">
        <f t="shared" si="86"/>
        <v>1.5086999999999406E-2</v>
      </c>
      <c r="G2760">
        <f t="shared" si="87"/>
        <v>100.331445356865</v>
      </c>
    </row>
    <row r="2761" spans="2:7">
      <c r="B2761" t="s">
        <v>2</v>
      </c>
      <c r="C2761" s="2">
        <v>38057</v>
      </c>
      <c r="D2761" t="s">
        <v>6</v>
      </c>
      <c r="E2761">
        <v>4.1172110000000002</v>
      </c>
      <c r="F2761">
        <f t="shared" si="86"/>
        <v>7.4160000000000892E-3</v>
      </c>
      <c r="G2761">
        <f t="shared" si="87"/>
        <v>100.48372263615235</v>
      </c>
    </row>
    <row r="2762" spans="2:7">
      <c r="B2762" t="s">
        <v>2</v>
      </c>
      <c r="C2762" s="2">
        <v>38056</v>
      </c>
      <c r="D2762" t="s">
        <v>6</v>
      </c>
      <c r="E2762">
        <v>4.1097950000000001</v>
      </c>
      <c r="F2762">
        <f t="shared" si="86"/>
        <v>7.3129999999999029E-3</v>
      </c>
      <c r="G2762">
        <f t="shared" si="87"/>
        <v>100.47883664025166</v>
      </c>
    </row>
    <row r="2763" spans="2:7">
      <c r="B2763" t="s">
        <v>2</v>
      </c>
      <c r="C2763" s="2">
        <v>38055</v>
      </c>
      <c r="D2763" t="s">
        <v>6</v>
      </c>
      <c r="E2763">
        <v>4.1024820000000002</v>
      </c>
      <c r="F2763">
        <f t="shared" si="86"/>
        <v>-6.0935999999999879E-2</v>
      </c>
      <c r="G2763">
        <f t="shared" si="87"/>
        <v>101.86082902806801</v>
      </c>
    </row>
    <row r="2764" spans="2:7">
      <c r="B2764" t="s">
        <v>2</v>
      </c>
      <c r="C2764" s="2">
        <v>38054</v>
      </c>
      <c r="D2764" t="s">
        <v>6</v>
      </c>
      <c r="E2764">
        <v>4.1634180000000001</v>
      </c>
      <c r="F2764">
        <f t="shared" si="86"/>
        <v>-6.2561999999999784E-2</v>
      </c>
      <c r="G2764">
        <f t="shared" si="87"/>
        <v>101.49445822104788</v>
      </c>
    </row>
    <row r="2765" spans="2:7">
      <c r="B2765" t="s">
        <v>2</v>
      </c>
      <c r="C2765" s="2">
        <v>38051</v>
      </c>
      <c r="D2765" t="s">
        <v>6</v>
      </c>
      <c r="E2765">
        <v>4.2259799999999998</v>
      </c>
      <c r="F2765">
        <f t="shared" si="86"/>
        <v>-0.20608800000000027</v>
      </c>
      <c r="G2765">
        <f t="shared" si="87"/>
        <v>102.34915095290069</v>
      </c>
    </row>
    <row r="2766" spans="2:7">
      <c r="B2766" t="s">
        <v>2</v>
      </c>
      <c r="C2766" s="2">
        <v>38050</v>
      </c>
      <c r="D2766" t="s">
        <v>6</v>
      </c>
      <c r="E2766">
        <v>4.4320680000000001</v>
      </c>
      <c r="F2766">
        <f t="shared" si="86"/>
        <v>-3.2680000000000042E-2</v>
      </c>
      <c r="G2766">
        <f t="shared" si="87"/>
        <v>94.73775496022661</v>
      </c>
    </row>
    <row r="2767" spans="2:7">
      <c r="B2767" t="s">
        <v>2</v>
      </c>
      <c r="C2767" s="2">
        <v>38049</v>
      </c>
      <c r="D2767" t="s">
        <v>6</v>
      </c>
      <c r="E2767">
        <v>4.4647480000000002</v>
      </c>
      <c r="F2767">
        <f t="shared" si="86"/>
        <v>1.3396000000000186E-2</v>
      </c>
      <c r="G2767">
        <f t="shared" si="87"/>
        <v>99.979170224878416</v>
      </c>
    </row>
    <row r="2768" spans="2:7">
      <c r="B2768" t="s">
        <v>2</v>
      </c>
      <c r="C2768" s="2">
        <v>38048</v>
      </c>
      <c r="D2768" t="s">
        <v>6</v>
      </c>
      <c r="E2768">
        <v>4.451352</v>
      </c>
      <c r="F2768">
        <f t="shared" si="86"/>
        <v>5.3134000000000015E-2</v>
      </c>
      <c r="G2768">
        <f t="shared" si="87"/>
        <v>100.4344191033593</v>
      </c>
    </row>
    <row r="2769" spans="2:7">
      <c r="B2769" t="s">
        <v>2</v>
      </c>
      <c r="C2769" s="2">
        <v>38047</v>
      </c>
      <c r="D2769" t="s">
        <v>6</v>
      </c>
      <c r="E2769">
        <v>4.398218</v>
      </c>
      <c r="F2769">
        <f t="shared" si="86"/>
        <v>1.3060000000000294E-2</v>
      </c>
      <c r="G2769">
        <f t="shared" si="87"/>
        <v>99.981677224500885</v>
      </c>
    </row>
    <row r="2770" spans="2:7">
      <c r="B2770" t="s">
        <v>2</v>
      </c>
      <c r="C2770" s="2">
        <v>38044</v>
      </c>
      <c r="D2770" t="s">
        <v>6</v>
      </c>
      <c r="E2770">
        <v>4.3851579999999997</v>
      </c>
      <c r="F2770">
        <f t="shared" si="86"/>
        <v>-6.0355000000000381E-2</v>
      </c>
      <c r="G2770">
        <f t="shared" si="87"/>
        <v>99.923061008596363</v>
      </c>
    </row>
    <row r="2771" spans="2:7">
      <c r="B2771" t="s">
        <v>2</v>
      </c>
      <c r="C2771" s="2">
        <v>38043</v>
      </c>
      <c r="D2771" t="s">
        <v>6</v>
      </c>
      <c r="E2771">
        <v>4.445513</v>
      </c>
      <c r="F2771">
        <f t="shared" si="86"/>
        <v>3.6105000000000054E-2</v>
      </c>
      <c r="G2771">
        <f t="shared" si="87"/>
        <v>101.16645927209187</v>
      </c>
    </row>
    <row r="2772" spans="2:7">
      <c r="B2772" t="s">
        <v>2</v>
      </c>
      <c r="C2772" s="2">
        <v>38042</v>
      </c>
      <c r="D2772" t="s">
        <v>6</v>
      </c>
      <c r="E2772">
        <v>4.409408</v>
      </c>
      <c r="F2772">
        <f t="shared" si="86"/>
        <v>-1.5522999999999954E-2</v>
      </c>
      <c r="G2772">
        <f t="shared" si="87"/>
        <v>102.19912418809443</v>
      </c>
    </row>
    <row r="2773" spans="2:7">
      <c r="B2773" t="s">
        <v>2</v>
      </c>
      <c r="C2773" s="2">
        <v>38041</v>
      </c>
      <c r="D2773" t="s">
        <v>6</v>
      </c>
      <c r="E2773">
        <v>4.4249309999999999</v>
      </c>
      <c r="F2773">
        <f t="shared" si="86"/>
        <v>-2.056599999999964E-2</v>
      </c>
      <c r="G2773">
        <f t="shared" si="87"/>
        <v>102.80067081162065</v>
      </c>
    </row>
    <row r="2774" spans="2:7">
      <c r="B2774" t="s">
        <v>2</v>
      </c>
      <c r="C2774" s="2">
        <v>38040</v>
      </c>
      <c r="D2774" t="s">
        <v>6</v>
      </c>
      <c r="E2774">
        <v>4.4454969999999996</v>
      </c>
      <c r="F2774">
        <f t="shared" si="86"/>
        <v>-4.2441000000000173E-2</v>
      </c>
      <c r="G2774">
        <f t="shared" si="87"/>
        <v>103.03298599917437</v>
      </c>
    </row>
    <row r="2775" spans="2:7">
      <c r="B2775" t="s">
        <v>2</v>
      </c>
      <c r="C2775" s="2">
        <v>38037</v>
      </c>
      <c r="D2775" t="s">
        <v>6</v>
      </c>
      <c r="E2775">
        <v>4.4879379999999998</v>
      </c>
      <c r="F2775">
        <f t="shared" si="86"/>
        <v>5.3059000000000189E-2</v>
      </c>
      <c r="G2775">
        <f t="shared" si="87"/>
        <v>104.18931678353206</v>
      </c>
    </row>
    <row r="2776" spans="2:7">
      <c r="B2776" t="s">
        <v>2</v>
      </c>
      <c r="C2776" s="2">
        <v>38036</v>
      </c>
      <c r="D2776" t="s">
        <v>6</v>
      </c>
      <c r="E2776">
        <v>4.4348789999999996</v>
      </c>
      <c r="F2776">
        <f t="shared" si="86"/>
        <v>4.8559999999993053E-3</v>
      </c>
      <c r="G2776">
        <f t="shared" si="87"/>
        <v>103.60950773215403</v>
      </c>
    </row>
    <row r="2777" spans="2:7">
      <c r="B2777" t="s">
        <v>2</v>
      </c>
      <c r="C2777" s="2">
        <v>38035</v>
      </c>
      <c r="D2777" t="s">
        <v>6</v>
      </c>
      <c r="E2777">
        <v>4.4300230000000003</v>
      </c>
      <c r="F2777">
        <f t="shared" si="86"/>
        <v>-8.3929999999998728E-3</v>
      </c>
      <c r="G2777">
        <f t="shared" si="87"/>
        <v>104.55017627124042</v>
      </c>
    </row>
    <row r="2778" spans="2:7">
      <c r="B2778" t="s">
        <v>2</v>
      </c>
      <c r="C2778" s="2">
        <v>38034</v>
      </c>
      <c r="D2778" t="s">
        <v>6</v>
      </c>
      <c r="E2778">
        <v>4.4384160000000001</v>
      </c>
      <c r="F2778">
        <f t="shared" si="86"/>
        <v>1.1578000000000088E-2</v>
      </c>
      <c r="G2778">
        <f t="shared" si="87"/>
        <v>105.39666454958258</v>
      </c>
    </row>
    <row r="2779" spans="2:7">
      <c r="B2779" t="s">
        <v>2</v>
      </c>
      <c r="C2779" s="2">
        <v>38030</v>
      </c>
      <c r="D2779" t="s">
        <v>6</v>
      </c>
      <c r="E2779">
        <v>4.4268380000000001</v>
      </c>
      <c r="F2779">
        <f t="shared" si="86"/>
        <v>-3.3009999999999984E-2</v>
      </c>
      <c r="G2779">
        <f t="shared" si="87"/>
        <v>105.3872902523666</v>
      </c>
    </row>
    <row r="2780" spans="2:7">
      <c r="B2780" t="s">
        <v>2</v>
      </c>
      <c r="C2780" s="2">
        <v>38029</v>
      </c>
      <c r="D2780" t="s">
        <v>6</v>
      </c>
      <c r="E2780">
        <v>4.459848</v>
      </c>
      <c r="F2780">
        <f t="shared" si="86"/>
        <v>3.9391000000000176E-2</v>
      </c>
      <c r="G2780">
        <f t="shared" si="87"/>
        <v>105.46307434102103</v>
      </c>
    </row>
    <row r="2781" spans="2:7">
      <c r="B2781" t="s">
        <v>2</v>
      </c>
      <c r="C2781" s="2">
        <v>38028</v>
      </c>
      <c r="D2781" t="s">
        <v>6</v>
      </c>
      <c r="E2781">
        <v>4.4204569999999999</v>
      </c>
      <c r="F2781">
        <f t="shared" si="86"/>
        <v>-9.0113999999999805E-2</v>
      </c>
      <c r="G2781">
        <f t="shared" si="87"/>
        <v>105.7887116148234</v>
      </c>
    </row>
    <row r="2782" spans="2:7">
      <c r="B2782" t="s">
        <v>2</v>
      </c>
      <c r="C2782" s="2">
        <v>38027</v>
      </c>
      <c r="D2782" t="s">
        <v>6</v>
      </c>
      <c r="E2782">
        <v>4.5105709999999997</v>
      </c>
      <c r="F2782">
        <f t="shared" si="86"/>
        <v>3.9636999999999922E-2</v>
      </c>
      <c r="G2782">
        <f t="shared" si="87"/>
        <v>109.16615186240793</v>
      </c>
    </row>
    <row r="2783" spans="2:7">
      <c r="B2783" t="s">
        <v>2</v>
      </c>
      <c r="C2783" s="2">
        <v>38026</v>
      </c>
      <c r="D2783" t="s">
        <v>6</v>
      </c>
      <c r="E2783">
        <v>4.4709339999999997</v>
      </c>
      <c r="F2783">
        <f t="shared" si="86"/>
        <v>-2.4852000000000096E-2</v>
      </c>
      <c r="G2783">
        <f t="shared" si="87"/>
        <v>109.35112897064501</v>
      </c>
    </row>
    <row r="2784" spans="2:7">
      <c r="B2784" t="s">
        <v>2</v>
      </c>
      <c r="C2784" s="2">
        <v>38023</v>
      </c>
      <c r="D2784" t="s">
        <v>6</v>
      </c>
      <c r="E2784">
        <v>4.4957859999999998</v>
      </c>
      <c r="F2784">
        <f t="shared" si="86"/>
        <v>-8.5809000000000246E-2</v>
      </c>
      <c r="G2784">
        <f t="shared" si="87"/>
        <v>109.39873604484202</v>
      </c>
    </row>
    <row r="2785" spans="2:7">
      <c r="B2785" t="s">
        <v>2</v>
      </c>
      <c r="C2785" s="2">
        <v>38022</v>
      </c>
      <c r="D2785" t="s">
        <v>6</v>
      </c>
      <c r="E2785">
        <v>4.5815950000000001</v>
      </c>
      <c r="F2785">
        <f t="shared" si="86"/>
        <v>6.3608000000000331E-2</v>
      </c>
      <c r="G2785">
        <f t="shared" si="87"/>
        <v>108.56895356697096</v>
      </c>
    </row>
    <row r="2786" spans="2:7">
      <c r="B2786" t="s">
        <v>2</v>
      </c>
      <c r="C2786" s="2">
        <v>38021</v>
      </c>
      <c r="D2786" t="s">
        <v>6</v>
      </c>
      <c r="E2786">
        <v>4.5179869999999998</v>
      </c>
      <c r="F2786">
        <f t="shared" si="86"/>
        <v>2.629099999999962E-2</v>
      </c>
      <c r="G2786">
        <f t="shared" si="87"/>
        <v>108.71440106020225</v>
      </c>
    </row>
    <row r="2787" spans="2:7">
      <c r="B2787" t="s">
        <v>2</v>
      </c>
      <c r="C2787" s="2">
        <v>38020</v>
      </c>
      <c r="D2787" t="s">
        <v>6</v>
      </c>
      <c r="E2787">
        <v>4.4916960000000001</v>
      </c>
      <c r="F2787">
        <f t="shared" si="86"/>
        <v>-6.0910999999999937E-2</v>
      </c>
      <c r="G2787">
        <f t="shared" si="87"/>
        <v>109.08534190477801</v>
      </c>
    </row>
    <row r="2788" spans="2:7">
      <c r="B2788" t="s">
        <v>2</v>
      </c>
      <c r="C2788" s="2">
        <v>38019</v>
      </c>
      <c r="D2788" t="s">
        <v>6</v>
      </c>
      <c r="E2788">
        <v>4.5526070000000001</v>
      </c>
      <c r="F2788">
        <f t="shared" si="86"/>
        <v>1.9118999999999886E-2</v>
      </c>
      <c r="G2788">
        <f t="shared" si="87"/>
        <v>109.17101750258678</v>
      </c>
    </row>
    <row r="2789" spans="2:7">
      <c r="B2789" t="s">
        <v>2</v>
      </c>
      <c r="C2789" s="2">
        <v>38016</v>
      </c>
      <c r="D2789" t="s">
        <v>6</v>
      </c>
      <c r="E2789">
        <v>4.5334880000000002</v>
      </c>
      <c r="F2789">
        <f t="shared" si="86"/>
        <v>-5.9114000000000111E-2</v>
      </c>
      <c r="G2789">
        <f t="shared" si="87"/>
        <v>110.15147026978489</v>
      </c>
    </row>
    <row r="2790" spans="2:7">
      <c r="B2790" t="s">
        <v>2</v>
      </c>
      <c r="C2790" s="2">
        <v>38015</v>
      </c>
      <c r="D2790" t="s">
        <v>6</v>
      </c>
      <c r="E2790">
        <v>4.5926020000000003</v>
      </c>
      <c r="F2790">
        <f t="shared" si="86"/>
        <v>8.2390000000005514E-3</v>
      </c>
      <c r="G2790">
        <f t="shared" si="87"/>
        <v>109.85714234498127</v>
      </c>
    </row>
    <row r="2791" spans="2:7">
      <c r="B2791" t="s">
        <v>2</v>
      </c>
      <c r="C2791" s="2">
        <v>38014</v>
      </c>
      <c r="D2791" t="s">
        <v>6</v>
      </c>
      <c r="E2791">
        <v>4.5843629999999997</v>
      </c>
      <c r="F2791">
        <f t="shared" si="86"/>
        <v>0.12405499999999936</v>
      </c>
      <c r="G2791">
        <f t="shared" si="87"/>
        <v>110.74087260146166</v>
      </c>
    </row>
    <row r="2792" spans="2:7">
      <c r="B2792" t="s">
        <v>2</v>
      </c>
      <c r="C2792" s="2">
        <v>38013</v>
      </c>
      <c r="D2792" t="s">
        <v>6</v>
      </c>
      <c r="E2792">
        <v>4.4603080000000004</v>
      </c>
      <c r="F2792">
        <f t="shared" si="86"/>
        <v>-6.139799999999962E-2</v>
      </c>
      <c r="G2792">
        <f t="shared" si="87"/>
        <v>108.94544812234408</v>
      </c>
    </row>
    <row r="2793" spans="2:7">
      <c r="B2793" t="s">
        <v>2</v>
      </c>
      <c r="C2793" s="2">
        <v>38012</v>
      </c>
      <c r="D2793" t="s">
        <v>6</v>
      </c>
      <c r="E2793">
        <v>4.521706</v>
      </c>
      <c r="F2793">
        <f t="shared" si="86"/>
        <v>7.8952000000000133E-2</v>
      </c>
      <c r="G2793">
        <f t="shared" si="87"/>
        <v>109.22677821406566</v>
      </c>
    </row>
    <row r="2794" spans="2:7">
      <c r="B2794" t="s">
        <v>2</v>
      </c>
      <c r="C2794" s="2">
        <v>38009</v>
      </c>
      <c r="D2794" t="s">
        <v>6</v>
      </c>
      <c r="E2794">
        <v>4.4427539999999999</v>
      </c>
      <c r="F2794">
        <f t="shared" si="86"/>
        <v>0.10816300000000023</v>
      </c>
      <c r="G2794">
        <f t="shared" si="87"/>
        <v>108.58514266838178</v>
      </c>
    </row>
    <row r="2795" spans="2:7">
      <c r="B2795" t="s">
        <v>2</v>
      </c>
      <c r="C2795" s="2">
        <v>38008</v>
      </c>
      <c r="D2795" t="s">
        <v>6</v>
      </c>
      <c r="E2795">
        <v>4.3345909999999996</v>
      </c>
      <c r="F2795">
        <f t="shared" si="86"/>
        <v>-6.5879000000000687E-2</v>
      </c>
      <c r="G2795">
        <f t="shared" si="87"/>
        <v>108.59503640214676</v>
      </c>
    </row>
    <row r="2796" spans="2:7">
      <c r="B2796" t="s">
        <v>2</v>
      </c>
      <c r="C2796" s="2">
        <v>38007</v>
      </c>
      <c r="D2796" t="s">
        <v>6</v>
      </c>
      <c r="E2796">
        <v>4.4004700000000003</v>
      </c>
      <c r="F2796">
        <f t="shared" si="86"/>
        <v>-2.1265999999999785E-2</v>
      </c>
      <c r="G2796">
        <f t="shared" si="87"/>
        <v>108.52524826199503</v>
      </c>
    </row>
    <row r="2797" spans="2:7">
      <c r="B2797" t="s">
        <v>2</v>
      </c>
      <c r="C2797" s="2">
        <v>38006</v>
      </c>
      <c r="D2797" t="s">
        <v>6</v>
      </c>
      <c r="E2797">
        <v>4.4217360000000001</v>
      </c>
      <c r="F2797">
        <f t="shared" si="86"/>
        <v>4.0340999999999738E-2</v>
      </c>
      <c r="G2797">
        <f t="shared" si="87"/>
        <v>109.79202880700988</v>
      </c>
    </row>
    <row r="2798" spans="2:7">
      <c r="B2798" t="s">
        <v>2</v>
      </c>
      <c r="C2798" s="2">
        <v>38002</v>
      </c>
      <c r="D2798" t="s">
        <v>6</v>
      </c>
      <c r="E2798">
        <v>4.3813950000000004</v>
      </c>
      <c r="F2798">
        <f t="shared" si="86"/>
        <v>3.5371000000000485E-2</v>
      </c>
      <c r="G2798">
        <f t="shared" si="87"/>
        <v>109.38155997467587</v>
      </c>
    </row>
    <row r="2799" spans="2:7">
      <c r="B2799" t="s">
        <v>2</v>
      </c>
      <c r="C2799" s="2">
        <v>38001</v>
      </c>
      <c r="D2799" t="s">
        <v>6</v>
      </c>
      <c r="E2799">
        <v>4.3460239999999999</v>
      </c>
      <c r="F2799">
        <f t="shared" si="86"/>
        <v>-6.0469999999996915E-3</v>
      </c>
      <c r="G2799">
        <f t="shared" si="87"/>
        <v>109.08183126228288</v>
      </c>
    </row>
    <row r="2800" spans="2:7">
      <c r="B2800" t="s">
        <v>2</v>
      </c>
      <c r="C2800" s="2">
        <v>38000</v>
      </c>
      <c r="D2800" t="s">
        <v>6</v>
      </c>
      <c r="E2800">
        <v>4.3520709999999996</v>
      </c>
      <c r="F2800">
        <f t="shared" si="86"/>
        <v>-4.0812000000000737E-2</v>
      </c>
      <c r="G2800">
        <f t="shared" si="87"/>
        <v>110.32764904756954</v>
      </c>
    </row>
    <row r="2801" spans="2:7">
      <c r="B2801" t="s">
        <v>2</v>
      </c>
      <c r="C2801" s="2">
        <v>37999</v>
      </c>
      <c r="D2801" t="s">
        <v>6</v>
      </c>
      <c r="E2801">
        <v>4.3928830000000003</v>
      </c>
      <c r="F2801">
        <f t="shared" si="86"/>
        <v>-5.6366999999999834E-2</v>
      </c>
      <c r="G2801">
        <f t="shared" si="87"/>
        <v>111.58892495904871</v>
      </c>
    </row>
    <row r="2802" spans="2:7">
      <c r="B2802" t="s">
        <v>2</v>
      </c>
      <c r="C2802" s="2">
        <v>37998</v>
      </c>
      <c r="D2802" t="s">
        <v>6</v>
      </c>
      <c r="E2802">
        <v>4.4492500000000001</v>
      </c>
      <c r="F2802">
        <f t="shared" si="86"/>
        <v>-1.2823000000000029E-2</v>
      </c>
      <c r="G2802">
        <f t="shared" si="87"/>
        <v>111.93027835494642</v>
      </c>
    </row>
    <row r="2803" spans="2:7">
      <c r="B2803" t="s">
        <v>2</v>
      </c>
      <c r="C2803" s="2">
        <v>37995</v>
      </c>
      <c r="D2803" t="s">
        <v>6</v>
      </c>
      <c r="E2803">
        <v>4.4620730000000002</v>
      </c>
      <c r="F2803">
        <f t="shared" si="86"/>
        <v>-0.16960599999999992</v>
      </c>
      <c r="G2803">
        <f t="shared" si="87"/>
        <v>113.91159598881755</v>
      </c>
    </row>
    <row r="2804" spans="2:7">
      <c r="B2804" t="s">
        <v>2</v>
      </c>
      <c r="C2804" s="2">
        <v>37994</v>
      </c>
      <c r="D2804" t="s">
        <v>6</v>
      </c>
      <c r="E2804">
        <v>4.6316790000000001</v>
      </c>
      <c r="F2804">
        <f t="shared" si="86"/>
        <v>1.0350999999999999E-2</v>
      </c>
      <c r="G2804">
        <f t="shared" si="87"/>
        <v>109.36785088763345</v>
      </c>
    </row>
    <row r="2805" spans="2:7">
      <c r="B2805" t="s">
        <v>2</v>
      </c>
      <c r="C2805" s="2">
        <v>37993</v>
      </c>
      <c r="D2805" t="s">
        <v>6</v>
      </c>
      <c r="E2805">
        <v>4.6213280000000001</v>
      </c>
      <c r="F2805">
        <f t="shared" si="86"/>
        <v>-2.6972999999999914E-2</v>
      </c>
      <c r="G2805">
        <f t="shared" si="87"/>
        <v>110.16525229695525</v>
      </c>
    </row>
    <row r="2806" spans="2:7">
      <c r="B2806" t="s">
        <v>2</v>
      </c>
      <c r="C2806" s="2">
        <v>37992</v>
      </c>
      <c r="D2806" t="s">
        <v>6</v>
      </c>
      <c r="E2806">
        <v>4.648301</v>
      </c>
      <c r="F2806">
        <f t="shared" si="86"/>
        <v>-0.12164299999999972</v>
      </c>
      <c r="G2806">
        <f t="shared" si="87"/>
        <v>110.04771873588166</v>
      </c>
    </row>
    <row r="2807" spans="2:7">
      <c r="B2807" t="s">
        <v>2</v>
      </c>
      <c r="C2807" s="2">
        <v>37991</v>
      </c>
      <c r="D2807" t="s">
        <v>6</v>
      </c>
      <c r="E2807">
        <v>4.7699439999999997</v>
      </c>
      <c r="F2807">
        <f t="shared" si="86"/>
        <v>1.8299999999999983E-3</v>
      </c>
      <c r="G2807">
        <f t="shared" si="87"/>
        <v>108.72319558692493</v>
      </c>
    </row>
    <row r="2808" spans="2:7">
      <c r="B2808" t="s">
        <v>2</v>
      </c>
      <c r="C2808" s="2">
        <v>37988</v>
      </c>
      <c r="D2808" t="s">
        <v>6</v>
      </c>
      <c r="E2808">
        <v>4.7681139999999997</v>
      </c>
      <c r="F2808">
        <f t="shared" si="86"/>
        <v>0.11721700000000013</v>
      </c>
      <c r="G2808">
        <f t="shared" si="87"/>
        <v>109.36331175757252</v>
      </c>
    </row>
    <row r="2809" spans="2:7">
      <c r="B2809" t="s">
        <v>2</v>
      </c>
      <c r="C2809" s="2">
        <v>37986</v>
      </c>
      <c r="D2809" t="s">
        <v>6</v>
      </c>
      <c r="E2809">
        <v>4.6508969999999996</v>
      </c>
      <c r="F2809">
        <f t="shared" si="86"/>
        <v>-2.1063999999999972E-2</v>
      </c>
      <c r="G2809">
        <f t="shared" si="87"/>
        <v>114.85358600471878</v>
      </c>
    </row>
    <row r="2810" spans="2:7">
      <c r="B2810" t="s">
        <v>2</v>
      </c>
      <c r="C2810" s="2">
        <v>37985</v>
      </c>
      <c r="D2810" t="s">
        <v>6</v>
      </c>
      <c r="E2810">
        <v>4.6719609999999996</v>
      </c>
      <c r="F2810">
        <f t="shared" si="86"/>
        <v>4.8796999999999535E-2</v>
      </c>
      <c r="G2810">
        <f t="shared" si="87"/>
        <v>115.4408359604147</v>
      </c>
    </row>
    <row r="2811" spans="2:7">
      <c r="B2811" t="s">
        <v>2</v>
      </c>
      <c r="C2811" s="2">
        <v>37984</v>
      </c>
      <c r="D2811" t="s">
        <v>6</v>
      </c>
      <c r="E2811">
        <v>4.6231640000000001</v>
      </c>
      <c r="F2811">
        <f t="shared" si="86"/>
        <v>7.8655999999999615E-2</v>
      </c>
      <c r="G2811">
        <f t="shared" si="87"/>
        <v>115.09256039910845</v>
      </c>
    </row>
    <row r="2812" spans="2:7">
      <c r="B2812" t="s">
        <v>2</v>
      </c>
      <c r="C2812" s="2">
        <v>37981</v>
      </c>
      <c r="D2812" t="s">
        <v>6</v>
      </c>
      <c r="E2812">
        <v>4.5445080000000004</v>
      </c>
      <c r="F2812">
        <f t="shared" si="86"/>
        <v>-4.1981999999999964E-2</v>
      </c>
      <c r="G2812">
        <f t="shared" si="87"/>
        <v>117.38308500634716</v>
      </c>
    </row>
    <row r="2813" spans="2:7">
      <c r="B2813" t="s">
        <v>2</v>
      </c>
      <c r="C2813" s="2">
        <v>37979</v>
      </c>
      <c r="D2813" t="s">
        <v>6</v>
      </c>
      <c r="E2813">
        <v>4.5864900000000004</v>
      </c>
      <c r="F2813">
        <f t="shared" si="86"/>
        <v>-7.8989999999999227E-2</v>
      </c>
      <c r="G2813">
        <f t="shared" si="87"/>
        <v>117.58023892558948</v>
      </c>
    </row>
    <row r="2814" spans="2:7">
      <c r="B2814" t="s">
        <v>2</v>
      </c>
      <c r="C2814" s="2">
        <v>37978</v>
      </c>
      <c r="D2814" t="s">
        <v>6</v>
      </c>
      <c r="E2814">
        <v>4.6654799999999996</v>
      </c>
      <c r="F2814">
        <f t="shared" si="86"/>
        <v>0.11268799999999946</v>
      </c>
      <c r="G2814">
        <f t="shared" si="87"/>
        <v>117.33894963768961</v>
      </c>
    </row>
    <row r="2815" spans="2:7">
      <c r="B2815" t="s">
        <v>2</v>
      </c>
      <c r="C2815" s="2">
        <v>37977</v>
      </c>
      <c r="D2815" t="s">
        <v>6</v>
      </c>
      <c r="E2815">
        <v>4.5527920000000002</v>
      </c>
      <c r="F2815">
        <f t="shared" si="86"/>
        <v>3.6241000000000412E-2</v>
      </c>
      <c r="G2815">
        <f t="shared" si="87"/>
        <v>115.22122785978385</v>
      </c>
    </row>
    <row r="2816" spans="2:7">
      <c r="B2816" t="s">
        <v>2</v>
      </c>
      <c r="C2816" s="2">
        <v>37974</v>
      </c>
      <c r="D2816" t="s">
        <v>6</v>
      </c>
      <c r="E2816">
        <v>4.5165509999999998</v>
      </c>
      <c r="F2816">
        <f t="shared" si="86"/>
        <v>-3.5400000000063159E-4</v>
      </c>
      <c r="G2816">
        <f t="shared" si="87"/>
        <v>116.45114707179205</v>
      </c>
    </row>
    <row r="2817" spans="2:7">
      <c r="B2817" t="s">
        <v>2</v>
      </c>
      <c r="C2817" s="2">
        <v>37973</v>
      </c>
      <c r="D2817" t="s">
        <v>6</v>
      </c>
      <c r="E2817">
        <v>4.5169050000000004</v>
      </c>
      <c r="F2817">
        <f t="shared" si="86"/>
        <v>-4.2619999999999436E-2</v>
      </c>
      <c r="G2817">
        <f t="shared" si="87"/>
        <v>116.66293740879081</v>
      </c>
    </row>
    <row r="2818" spans="2:7">
      <c r="B2818" t="s">
        <v>2</v>
      </c>
      <c r="C2818" s="2">
        <v>37972</v>
      </c>
      <c r="D2818" t="s">
        <v>6</v>
      </c>
      <c r="E2818">
        <v>4.5595249999999998</v>
      </c>
      <c r="F2818">
        <f t="shared" si="86"/>
        <v>-4.0775000000000006E-2</v>
      </c>
      <c r="G2818">
        <f t="shared" si="87"/>
        <v>117.82545881338223</v>
      </c>
    </row>
    <row r="2819" spans="2:7">
      <c r="B2819" t="s">
        <v>2</v>
      </c>
      <c r="C2819" s="2">
        <v>37971</v>
      </c>
      <c r="D2819" t="s">
        <v>6</v>
      </c>
      <c r="E2819">
        <v>4.6002999999999998</v>
      </c>
      <c r="F2819">
        <f t="shared" ref="F2819:F2882" si="88">E2819-E2820</f>
        <v>-3.9922999999999931E-2</v>
      </c>
      <c r="G2819">
        <f t="shared" ref="G2819:G2882" si="89">STDEV(F2819:F2878)*SQRT(250)*100</f>
        <v>117.60319472034544</v>
      </c>
    </row>
    <row r="2820" spans="2:7">
      <c r="B2820" t="s">
        <v>2</v>
      </c>
      <c r="C2820" s="2">
        <v>37970</v>
      </c>
      <c r="D2820" t="s">
        <v>6</v>
      </c>
      <c r="E2820">
        <v>4.6402229999999998</v>
      </c>
      <c r="F2820">
        <f t="shared" si="88"/>
        <v>2.7295999999999765E-2</v>
      </c>
      <c r="G2820">
        <f t="shared" si="89"/>
        <v>117.33376622358608</v>
      </c>
    </row>
    <row r="2821" spans="2:7">
      <c r="B2821" t="s">
        <v>2</v>
      </c>
      <c r="C2821" s="2">
        <v>37967</v>
      </c>
      <c r="D2821" t="s">
        <v>6</v>
      </c>
      <c r="E2821">
        <v>4.612927</v>
      </c>
      <c r="F2821">
        <f t="shared" si="88"/>
        <v>6.6589999999999705E-3</v>
      </c>
      <c r="G2821">
        <f t="shared" si="89"/>
        <v>120.02007536887373</v>
      </c>
    </row>
    <row r="2822" spans="2:7">
      <c r="B2822" t="s">
        <v>2</v>
      </c>
      <c r="C2822" s="2">
        <v>37966</v>
      </c>
      <c r="D2822" t="s">
        <v>6</v>
      </c>
      <c r="E2822">
        <v>4.606268</v>
      </c>
      <c r="F2822">
        <f t="shared" si="88"/>
        <v>-9.1980000000000395E-2</v>
      </c>
      <c r="G2822">
        <f t="shared" si="89"/>
        <v>120.50896694618972</v>
      </c>
    </row>
    <row r="2823" spans="2:7">
      <c r="B2823" t="s">
        <v>2</v>
      </c>
      <c r="C2823" s="2">
        <v>37965</v>
      </c>
      <c r="D2823" t="s">
        <v>6</v>
      </c>
      <c r="E2823">
        <v>4.6982480000000004</v>
      </c>
      <c r="F2823">
        <f t="shared" si="88"/>
        <v>-3.9106999999999559E-2</v>
      </c>
      <c r="G2823">
        <f t="shared" si="89"/>
        <v>119.08301089622084</v>
      </c>
    </row>
    <row r="2824" spans="2:7">
      <c r="B2824" t="s">
        <v>2</v>
      </c>
      <c r="C2824" s="2">
        <v>37964</v>
      </c>
      <c r="D2824" t="s">
        <v>6</v>
      </c>
      <c r="E2824">
        <v>4.737355</v>
      </c>
      <c r="F2824">
        <f t="shared" si="88"/>
        <v>7.5510999999999662E-2</v>
      </c>
      <c r="G2824">
        <f t="shared" si="89"/>
        <v>119.55599157391671</v>
      </c>
    </row>
    <row r="2825" spans="2:7">
      <c r="B2825" t="s">
        <v>2</v>
      </c>
      <c r="C2825" s="2">
        <v>37963</v>
      </c>
      <c r="D2825" t="s">
        <v>6</v>
      </c>
      <c r="E2825">
        <v>4.6618440000000003</v>
      </c>
      <c r="F2825">
        <f t="shared" si="88"/>
        <v>6.5960000000000463E-2</v>
      </c>
      <c r="G2825">
        <f t="shared" si="89"/>
        <v>119.07501574299373</v>
      </c>
    </row>
    <row r="2826" spans="2:7">
      <c r="B2826" t="s">
        <v>2</v>
      </c>
      <c r="C2826" s="2">
        <v>37960</v>
      </c>
      <c r="D2826" t="s">
        <v>6</v>
      </c>
      <c r="E2826">
        <v>4.5958839999999999</v>
      </c>
      <c r="F2826">
        <f t="shared" si="88"/>
        <v>-0.16166500000000017</v>
      </c>
      <c r="G2826">
        <f t="shared" si="89"/>
        <v>120.53099861266847</v>
      </c>
    </row>
    <row r="2827" spans="2:7">
      <c r="B2827" t="s">
        <v>2</v>
      </c>
      <c r="C2827" s="2">
        <v>37959</v>
      </c>
      <c r="D2827" t="s">
        <v>6</v>
      </c>
      <c r="E2827">
        <v>4.757549</v>
      </c>
      <c r="F2827">
        <f t="shared" si="88"/>
        <v>-5.5539999999999701E-2</v>
      </c>
      <c r="G2827">
        <f t="shared" si="89"/>
        <v>116.15501611455895</v>
      </c>
    </row>
    <row r="2828" spans="2:7">
      <c r="B2828" t="s">
        <v>2</v>
      </c>
      <c r="C2828" s="2">
        <v>37958</v>
      </c>
      <c r="D2828" t="s">
        <v>6</v>
      </c>
      <c r="E2828">
        <v>4.8130889999999997</v>
      </c>
      <c r="F2828">
        <f t="shared" si="88"/>
        <v>3.0945E-2</v>
      </c>
      <c r="G2828">
        <f t="shared" si="89"/>
        <v>115.79259932641793</v>
      </c>
    </row>
    <row r="2829" spans="2:7">
      <c r="B2829" t="s">
        <v>2</v>
      </c>
      <c r="C2829" s="2">
        <v>37957</v>
      </c>
      <c r="D2829" t="s">
        <v>6</v>
      </c>
      <c r="E2829">
        <v>4.7821439999999997</v>
      </c>
      <c r="F2829">
        <f t="shared" si="88"/>
        <v>-1.7234000000000194E-2</v>
      </c>
      <c r="G2829">
        <f t="shared" si="89"/>
        <v>122.22313071206823</v>
      </c>
    </row>
    <row r="2830" spans="2:7">
      <c r="B2830" t="s">
        <v>2</v>
      </c>
      <c r="C2830" s="2">
        <v>37956</v>
      </c>
      <c r="D2830" t="s">
        <v>6</v>
      </c>
      <c r="E2830">
        <v>4.7993779999999999</v>
      </c>
      <c r="F2830">
        <f t="shared" si="88"/>
        <v>8.8636000000000159E-2</v>
      </c>
      <c r="G2830">
        <f t="shared" si="89"/>
        <v>123.69399622380897</v>
      </c>
    </row>
    <row r="2831" spans="2:7">
      <c r="B2831" t="s">
        <v>2</v>
      </c>
      <c r="C2831" s="2">
        <v>37953</v>
      </c>
      <c r="D2831" t="s">
        <v>6</v>
      </c>
      <c r="E2831">
        <v>4.7107419999999998</v>
      </c>
      <c r="F2831">
        <f t="shared" si="88"/>
        <v>7.6982000000000106E-2</v>
      </c>
      <c r="G2831">
        <f t="shared" si="89"/>
        <v>122.1475345566861</v>
      </c>
    </row>
    <row r="2832" spans="2:7">
      <c r="B2832" t="s">
        <v>2</v>
      </c>
      <c r="C2832" s="2">
        <v>37951</v>
      </c>
      <c r="D2832" t="s">
        <v>6</v>
      </c>
      <c r="E2832">
        <v>4.6337599999999997</v>
      </c>
      <c r="F2832">
        <f t="shared" si="88"/>
        <v>5.2166999999999852E-2</v>
      </c>
      <c r="G2832">
        <f t="shared" si="89"/>
        <v>125.91750642237649</v>
      </c>
    </row>
    <row r="2833" spans="2:7">
      <c r="B2833" t="s">
        <v>2</v>
      </c>
      <c r="C2833" s="2">
        <v>37950</v>
      </c>
      <c r="D2833" t="s">
        <v>6</v>
      </c>
      <c r="E2833">
        <v>4.5815929999999998</v>
      </c>
      <c r="F2833">
        <f t="shared" si="88"/>
        <v>-4.0791000000000466E-2</v>
      </c>
      <c r="G2833">
        <f t="shared" si="89"/>
        <v>125.52250553890654</v>
      </c>
    </row>
    <row r="2834" spans="2:7">
      <c r="B2834" t="s">
        <v>2</v>
      </c>
      <c r="C2834" s="2">
        <v>37949</v>
      </c>
      <c r="D2834" t="s">
        <v>6</v>
      </c>
      <c r="E2834">
        <v>4.6223840000000003</v>
      </c>
      <c r="F2834">
        <f t="shared" si="88"/>
        <v>8.3534000000000219E-2</v>
      </c>
      <c r="G2834">
        <f t="shared" si="89"/>
        <v>127.27692328683817</v>
      </c>
    </row>
    <row r="2835" spans="2:7">
      <c r="B2835" t="s">
        <v>2</v>
      </c>
      <c r="C2835" s="2">
        <v>37946</v>
      </c>
      <c r="D2835" t="s">
        <v>6</v>
      </c>
      <c r="E2835">
        <v>4.5388500000000001</v>
      </c>
      <c r="F2835">
        <f t="shared" si="88"/>
        <v>-1.2427999999999884E-2</v>
      </c>
      <c r="G2835">
        <f t="shared" si="89"/>
        <v>126.39640951082471</v>
      </c>
    </row>
    <row r="2836" spans="2:7">
      <c r="B2836" t="s">
        <v>2</v>
      </c>
      <c r="C2836" s="2">
        <v>37945</v>
      </c>
      <c r="D2836" t="s">
        <v>6</v>
      </c>
      <c r="E2836">
        <v>4.5512779999999999</v>
      </c>
      <c r="F2836">
        <f t="shared" si="88"/>
        <v>-7.0954999999999657E-2</v>
      </c>
      <c r="G2836">
        <f t="shared" si="89"/>
        <v>126.48397640161259</v>
      </c>
    </row>
    <row r="2837" spans="2:7">
      <c r="B2837" t="s">
        <v>2</v>
      </c>
      <c r="C2837" s="2">
        <v>37944</v>
      </c>
      <c r="D2837" t="s">
        <v>6</v>
      </c>
      <c r="E2837">
        <v>4.6222329999999996</v>
      </c>
      <c r="F2837">
        <f t="shared" si="88"/>
        <v>6.2405999999999295E-2</v>
      </c>
      <c r="G2837">
        <f t="shared" si="89"/>
        <v>127.21520790702532</v>
      </c>
    </row>
    <row r="2838" spans="2:7">
      <c r="B2838" t="s">
        <v>2</v>
      </c>
      <c r="C2838" s="2">
        <v>37943</v>
      </c>
      <c r="D2838" t="s">
        <v>6</v>
      </c>
      <c r="E2838">
        <v>4.5598270000000003</v>
      </c>
      <c r="F2838">
        <f t="shared" si="88"/>
        <v>-1.4249999999999652E-2</v>
      </c>
      <c r="G2838">
        <f t="shared" si="89"/>
        <v>126.89967422370285</v>
      </c>
    </row>
    <row r="2839" spans="2:7">
      <c r="B2839" t="s">
        <v>2</v>
      </c>
      <c r="C2839" s="2">
        <v>37942</v>
      </c>
      <c r="D2839" t="s">
        <v>6</v>
      </c>
      <c r="E2839">
        <v>4.5740769999999999</v>
      </c>
      <c r="F2839">
        <f t="shared" si="88"/>
        <v>-3.8666000000000089E-2</v>
      </c>
      <c r="G2839">
        <f t="shared" si="89"/>
        <v>128.78639601524432</v>
      </c>
    </row>
    <row r="2840" spans="2:7">
      <c r="B2840" t="s">
        <v>2</v>
      </c>
      <c r="C2840" s="2">
        <v>37939</v>
      </c>
      <c r="D2840" t="s">
        <v>6</v>
      </c>
      <c r="E2840">
        <v>4.612743</v>
      </c>
      <c r="F2840">
        <f t="shared" si="88"/>
        <v>-6.2166000000000388E-2</v>
      </c>
      <c r="G2840">
        <f t="shared" si="89"/>
        <v>129.46474265279585</v>
      </c>
    </row>
    <row r="2841" spans="2:7">
      <c r="B2841" t="s">
        <v>2</v>
      </c>
      <c r="C2841" s="2">
        <v>37938</v>
      </c>
      <c r="D2841" t="s">
        <v>6</v>
      </c>
      <c r="E2841">
        <v>4.6749090000000004</v>
      </c>
      <c r="F2841">
        <f t="shared" si="88"/>
        <v>-0.1610579999999997</v>
      </c>
      <c r="G2841">
        <f t="shared" si="89"/>
        <v>131.11301005253446</v>
      </c>
    </row>
    <row r="2842" spans="2:7">
      <c r="B2842" t="s">
        <v>2</v>
      </c>
      <c r="C2842" s="2">
        <v>37937</v>
      </c>
      <c r="D2842" t="s">
        <v>6</v>
      </c>
      <c r="E2842">
        <v>4.8359670000000001</v>
      </c>
      <c r="F2842">
        <f t="shared" si="88"/>
        <v>-6.1593999999999482E-2</v>
      </c>
      <c r="G2842">
        <f t="shared" si="89"/>
        <v>127.73316481737231</v>
      </c>
    </row>
    <row r="2843" spans="2:7">
      <c r="B2843" t="s">
        <v>2</v>
      </c>
      <c r="C2843" s="2">
        <v>37935</v>
      </c>
      <c r="D2843" t="s">
        <v>6</v>
      </c>
      <c r="E2843">
        <v>4.8975609999999996</v>
      </c>
      <c r="F2843">
        <f t="shared" si="88"/>
        <v>1.7178999999999611E-2</v>
      </c>
      <c r="G2843">
        <f t="shared" si="89"/>
        <v>128.41961813563256</v>
      </c>
    </row>
    <row r="2844" spans="2:7">
      <c r="B2844" t="s">
        <v>2</v>
      </c>
      <c r="C2844" s="2">
        <v>37932</v>
      </c>
      <c r="D2844" t="s">
        <v>6</v>
      </c>
      <c r="E2844">
        <v>4.880382</v>
      </c>
      <c r="F2844">
        <f t="shared" si="88"/>
        <v>4.161500000000018E-2</v>
      </c>
      <c r="G2844">
        <f t="shared" si="89"/>
        <v>128.47084500545344</v>
      </c>
    </row>
    <row r="2845" spans="2:7">
      <c r="B2845" t="s">
        <v>2</v>
      </c>
      <c r="C2845" s="2">
        <v>37931</v>
      </c>
      <c r="D2845" t="s">
        <v>6</v>
      </c>
      <c r="E2845">
        <v>4.8387669999999998</v>
      </c>
      <c r="F2845">
        <f t="shared" si="88"/>
        <v>6.8897999999999904E-2</v>
      </c>
      <c r="G2845">
        <f t="shared" si="89"/>
        <v>139.66438024653857</v>
      </c>
    </row>
    <row r="2846" spans="2:7">
      <c r="B2846" t="s">
        <v>2</v>
      </c>
      <c r="C2846" s="2">
        <v>37930</v>
      </c>
      <c r="D2846" t="s">
        <v>6</v>
      </c>
      <c r="E2846">
        <v>4.7698689999999999</v>
      </c>
      <c r="F2846">
        <f t="shared" si="88"/>
        <v>4.9139999999999517E-2</v>
      </c>
      <c r="G2846">
        <f t="shared" si="89"/>
        <v>138.94733531556699</v>
      </c>
    </row>
    <row r="2847" spans="2:7">
      <c r="B2847" t="s">
        <v>2</v>
      </c>
      <c r="C2847" s="2">
        <v>37929</v>
      </c>
      <c r="D2847" t="s">
        <v>6</v>
      </c>
      <c r="E2847">
        <v>4.7207290000000004</v>
      </c>
      <c r="F2847">
        <f t="shared" si="88"/>
        <v>-6.4654999999999241E-2</v>
      </c>
      <c r="G2847">
        <f t="shared" si="89"/>
        <v>141.27090173150981</v>
      </c>
    </row>
    <row r="2848" spans="2:7">
      <c r="B2848" t="s">
        <v>2</v>
      </c>
      <c r="C2848" s="2">
        <v>37928</v>
      </c>
      <c r="D2848" t="s">
        <v>6</v>
      </c>
      <c r="E2848">
        <v>4.7853839999999996</v>
      </c>
      <c r="F2848">
        <f t="shared" si="88"/>
        <v>7.1280999999999928E-2</v>
      </c>
      <c r="G2848">
        <f t="shared" si="89"/>
        <v>140.62688921562363</v>
      </c>
    </row>
    <row r="2849" spans="2:7">
      <c r="B2849" t="s">
        <v>2</v>
      </c>
      <c r="C2849" s="2">
        <v>37925</v>
      </c>
      <c r="D2849" t="s">
        <v>6</v>
      </c>
      <c r="E2849">
        <v>4.7141029999999997</v>
      </c>
      <c r="F2849">
        <f t="shared" si="88"/>
        <v>-4.3304000000000009E-2</v>
      </c>
      <c r="G2849">
        <f t="shared" si="89"/>
        <v>141.25611296521785</v>
      </c>
    </row>
    <row r="2850" spans="2:7">
      <c r="B2850" t="s">
        <v>2</v>
      </c>
      <c r="C2850" s="2">
        <v>37924</v>
      </c>
      <c r="D2850" t="s">
        <v>6</v>
      </c>
      <c r="E2850">
        <v>4.7574069999999997</v>
      </c>
      <c r="F2850">
        <f t="shared" si="88"/>
        <v>6.6374999999999851E-2</v>
      </c>
      <c r="G2850">
        <f t="shared" si="89"/>
        <v>147.86350106200263</v>
      </c>
    </row>
    <row r="2851" spans="2:7">
      <c r="B2851" t="s">
        <v>2</v>
      </c>
      <c r="C2851" s="2">
        <v>37923</v>
      </c>
      <c r="D2851" t="s">
        <v>6</v>
      </c>
      <c r="E2851">
        <v>4.6910319999999999</v>
      </c>
      <c r="F2851">
        <f t="shared" si="88"/>
        <v>7.9208999999999641E-2</v>
      </c>
      <c r="G2851">
        <f t="shared" si="89"/>
        <v>147.27799301892873</v>
      </c>
    </row>
    <row r="2852" spans="2:7">
      <c r="B2852" t="s">
        <v>2</v>
      </c>
      <c r="C2852" s="2">
        <v>37922</v>
      </c>
      <c r="D2852" t="s">
        <v>6</v>
      </c>
      <c r="E2852">
        <v>4.6118230000000002</v>
      </c>
      <c r="F2852">
        <f t="shared" si="88"/>
        <v>-7.2643999999999487E-2</v>
      </c>
      <c r="G2852">
        <f t="shared" si="89"/>
        <v>147.02808386374375</v>
      </c>
    </row>
    <row r="2853" spans="2:7">
      <c r="B2853" t="s">
        <v>2</v>
      </c>
      <c r="C2853" s="2">
        <v>37921</v>
      </c>
      <c r="D2853" t="s">
        <v>6</v>
      </c>
      <c r="E2853">
        <v>4.6844669999999997</v>
      </c>
      <c r="F2853">
        <f t="shared" si="88"/>
        <v>5.5425999999999753E-2</v>
      </c>
      <c r="G2853">
        <f t="shared" si="89"/>
        <v>146.4358409879741</v>
      </c>
    </row>
    <row r="2854" spans="2:7">
      <c r="B2854" t="s">
        <v>2</v>
      </c>
      <c r="C2854" s="2">
        <v>37918</v>
      </c>
      <c r="D2854" t="s">
        <v>6</v>
      </c>
      <c r="E2854">
        <v>4.629041</v>
      </c>
      <c r="F2854">
        <f t="shared" si="88"/>
        <v>-0.11837199999999992</v>
      </c>
      <c r="G2854">
        <f t="shared" si="89"/>
        <v>155.12769642237831</v>
      </c>
    </row>
    <row r="2855" spans="2:7">
      <c r="B2855" t="s">
        <v>2</v>
      </c>
      <c r="C2855" s="2">
        <v>37917</v>
      </c>
      <c r="D2855" t="s">
        <v>6</v>
      </c>
      <c r="E2855">
        <v>4.7474129999999999</v>
      </c>
      <c r="F2855">
        <f t="shared" si="88"/>
        <v>5.1007000000000247E-2</v>
      </c>
      <c r="G2855">
        <f t="shared" si="89"/>
        <v>154.01212264373254</v>
      </c>
    </row>
    <row r="2856" spans="2:7">
      <c r="B2856" t="s">
        <v>2</v>
      </c>
      <c r="C2856" s="2">
        <v>37916</v>
      </c>
      <c r="D2856" t="s">
        <v>6</v>
      </c>
      <c r="E2856">
        <v>4.6964059999999996</v>
      </c>
      <c r="F2856">
        <f t="shared" si="88"/>
        <v>-8.7801999999999936E-2</v>
      </c>
      <c r="G2856">
        <f t="shared" si="89"/>
        <v>157.44923468196933</v>
      </c>
    </row>
    <row r="2857" spans="2:7">
      <c r="B2857" t="s">
        <v>2</v>
      </c>
      <c r="C2857" s="2">
        <v>37915</v>
      </c>
      <c r="D2857" t="s">
        <v>6</v>
      </c>
      <c r="E2857">
        <v>4.7842079999999996</v>
      </c>
      <c r="F2857">
        <f t="shared" si="88"/>
        <v>-1.4934000000000225E-2</v>
      </c>
      <c r="G2857">
        <f t="shared" si="89"/>
        <v>158.2331624056674</v>
      </c>
    </row>
    <row r="2858" spans="2:7">
      <c r="B2858" t="s">
        <v>2</v>
      </c>
      <c r="C2858" s="2">
        <v>37914</v>
      </c>
      <c r="D2858" t="s">
        <v>6</v>
      </c>
      <c r="E2858">
        <v>4.7991419999999998</v>
      </c>
      <c r="F2858">
        <f t="shared" si="88"/>
        <v>-2.4468999999999852E-2</v>
      </c>
      <c r="G2858">
        <f t="shared" si="89"/>
        <v>158.24344266774884</v>
      </c>
    </row>
    <row r="2859" spans="2:7">
      <c r="B2859" t="s">
        <v>2</v>
      </c>
      <c r="C2859" s="2">
        <v>37911</v>
      </c>
      <c r="D2859" t="s">
        <v>6</v>
      </c>
      <c r="E2859">
        <v>4.8236109999999996</v>
      </c>
      <c r="F2859">
        <f t="shared" si="88"/>
        <v>-8.9011000000000173E-2</v>
      </c>
      <c r="G2859">
        <f t="shared" si="89"/>
        <v>158.66941233508084</v>
      </c>
    </row>
    <row r="2860" spans="2:7">
      <c r="B2860" t="s">
        <v>2</v>
      </c>
      <c r="C2860" s="2">
        <v>37910</v>
      </c>
      <c r="D2860" t="s">
        <v>6</v>
      </c>
      <c r="E2860">
        <v>4.9126219999999998</v>
      </c>
      <c r="F2860">
        <f t="shared" si="88"/>
        <v>7.9177999999999749E-2</v>
      </c>
      <c r="G2860">
        <f t="shared" si="89"/>
        <v>157.83820995936713</v>
      </c>
    </row>
    <row r="2861" spans="2:7">
      <c r="B2861" t="s">
        <v>2</v>
      </c>
      <c r="C2861" s="2">
        <v>37909</v>
      </c>
      <c r="D2861" t="s">
        <v>6</v>
      </c>
      <c r="E2861">
        <v>4.8334440000000001</v>
      </c>
      <c r="F2861">
        <f t="shared" si="88"/>
        <v>5.9190000000000076E-2</v>
      </c>
      <c r="G2861">
        <f t="shared" si="89"/>
        <v>157.13201470765551</v>
      </c>
    </row>
    <row r="2862" spans="2:7">
      <c r="B2862" t="s">
        <v>2</v>
      </c>
      <c r="C2862" s="2">
        <v>37908</v>
      </c>
      <c r="D2862" t="s">
        <v>6</v>
      </c>
      <c r="E2862">
        <v>4.774254</v>
      </c>
      <c r="F2862">
        <f t="shared" si="88"/>
        <v>9.8612000000000144E-2</v>
      </c>
      <c r="G2862">
        <f t="shared" si="89"/>
        <v>161.99877849468646</v>
      </c>
    </row>
    <row r="2863" spans="2:7">
      <c r="B2863" t="s">
        <v>2</v>
      </c>
      <c r="C2863" s="2">
        <v>37904</v>
      </c>
      <c r="D2863" t="s">
        <v>6</v>
      </c>
      <c r="E2863">
        <v>4.6756419999999999</v>
      </c>
      <c r="F2863">
        <f t="shared" si="88"/>
        <v>-6.5285000000000259E-2</v>
      </c>
      <c r="G2863">
        <f t="shared" si="89"/>
        <v>160.91966769285392</v>
      </c>
    </row>
    <row r="2864" spans="2:7">
      <c r="B2864" t="s">
        <v>2</v>
      </c>
      <c r="C2864" s="2">
        <v>37903</v>
      </c>
      <c r="D2864" t="s">
        <v>6</v>
      </c>
      <c r="E2864">
        <v>4.7409270000000001</v>
      </c>
      <c r="F2864">
        <f t="shared" si="88"/>
        <v>6.3962000000000074E-2</v>
      </c>
      <c r="G2864">
        <f t="shared" si="89"/>
        <v>160.2475290687014</v>
      </c>
    </row>
    <row r="2865" spans="2:7">
      <c r="B2865" t="s">
        <v>2</v>
      </c>
      <c r="C2865" s="2">
        <v>37902</v>
      </c>
      <c r="D2865" t="s">
        <v>6</v>
      </c>
      <c r="E2865">
        <v>4.676965</v>
      </c>
      <c r="F2865">
        <f t="shared" si="88"/>
        <v>-9.4519999999995719E-3</v>
      </c>
      <c r="G2865">
        <f t="shared" si="89"/>
        <v>159.91628634644746</v>
      </c>
    </row>
    <row r="2866" spans="2:7">
      <c r="B2866" t="s">
        <v>2</v>
      </c>
      <c r="C2866" s="2">
        <v>37901</v>
      </c>
      <c r="D2866" t="s">
        <v>6</v>
      </c>
      <c r="E2866">
        <v>4.6864169999999996</v>
      </c>
      <c r="F2866">
        <f t="shared" si="88"/>
        <v>9.1908999999999352E-2</v>
      </c>
      <c r="G2866">
        <f t="shared" si="89"/>
        <v>164.96403323988895</v>
      </c>
    </row>
    <row r="2867" spans="2:7">
      <c r="B2867" t="s">
        <v>2</v>
      </c>
      <c r="C2867" s="2">
        <v>37900</v>
      </c>
      <c r="D2867" t="s">
        <v>6</v>
      </c>
      <c r="E2867">
        <v>4.5945080000000003</v>
      </c>
      <c r="F2867">
        <f t="shared" si="88"/>
        <v>-5.4950999999999972E-2</v>
      </c>
      <c r="G2867">
        <f t="shared" si="89"/>
        <v>164.68325994998261</v>
      </c>
    </row>
    <row r="2868" spans="2:7">
      <c r="B2868" t="s">
        <v>2</v>
      </c>
      <c r="C2868" s="2">
        <v>37897</v>
      </c>
      <c r="D2868" t="s">
        <v>6</v>
      </c>
      <c r="E2868">
        <v>4.6494590000000002</v>
      </c>
      <c r="F2868">
        <f t="shared" si="88"/>
        <v>0.20805900000000044</v>
      </c>
      <c r="G2868">
        <f t="shared" si="89"/>
        <v>164.39061862120704</v>
      </c>
    </row>
    <row r="2869" spans="2:7">
      <c r="B2869" t="s">
        <v>2</v>
      </c>
      <c r="C2869" s="2">
        <v>37896</v>
      </c>
      <c r="D2869" t="s">
        <v>6</v>
      </c>
      <c r="E2869">
        <v>4.4413999999999998</v>
      </c>
      <c r="F2869">
        <f t="shared" si="88"/>
        <v>6.6111999999999504E-2</v>
      </c>
      <c r="G2869">
        <f t="shared" si="89"/>
        <v>159.352367157548</v>
      </c>
    </row>
    <row r="2870" spans="2:7">
      <c r="B2870" t="s">
        <v>2</v>
      </c>
      <c r="C2870" s="2">
        <v>37895</v>
      </c>
      <c r="D2870" t="s">
        <v>6</v>
      </c>
      <c r="E2870">
        <v>4.3752880000000003</v>
      </c>
      <c r="F2870">
        <f t="shared" si="88"/>
        <v>1.2065000000000659E-2</v>
      </c>
      <c r="G2870">
        <f t="shared" si="89"/>
        <v>158.93118664247129</v>
      </c>
    </row>
    <row r="2871" spans="2:7">
      <c r="B2871" t="s">
        <v>2</v>
      </c>
      <c r="C2871" s="2">
        <v>37894</v>
      </c>
      <c r="D2871" t="s">
        <v>6</v>
      </c>
      <c r="E2871">
        <v>4.3632229999999996</v>
      </c>
      <c r="F2871">
        <f t="shared" si="88"/>
        <v>-0.13291500000000056</v>
      </c>
      <c r="G2871">
        <f t="shared" si="89"/>
        <v>159.03195919165483</v>
      </c>
    </row>
    <row r="2872" spans="2:7">
      <c r="B2872" t="s">
        <v>2</v>
      </c>
      <c r="C2872" s="2">
        <v>37893</v>
      </c>
      <c r="D2872" t="s">
        <v>6</v>
      </c>
      <c r="E2872">
        <v>4.4961380000000002</v>
      </c>
      <c r="F2872">
        <f t="shared" si="88"/>
        <v>5.6351000000000262E-2</v>
      </c>
      <c r="G2872">
        <f t="shared" si="89"/>
        <v>156.90059182028756</v>
      </c>
    </row>
    <row r="2873" spans="2:7">
      <c r="B2873" t="s">
        <v>2</v>
      </c>
      <c r="C2873" s="2">
        <v>37890</v>
      </c>
      <c r="D2873" t="s">
        <v>6</v>
      </c>
      <c r="E2873">
        <v>4.4397869999999999</v>
      </c>
      <c r="F2873">
        <f t="shared" si="88"/>
        <v>-7.0323000000000135E-2</v>
      </c>
      <c r="G2873">
        <f t="shared" si="89"/>
        <v>157.77204686529541</v>
      </c>
    </row>
    <row r="2874" spans="2:7">
      <c r="B2874" t="s">
        <v>2</v>
      </c>
      <c r="C2874" s="2">
        <v>37889</v>
      </c>
      <c r="D2874" t="s">
        <v>6</v>
      </c>
      <c r="E2874">
        <v>4.5101100000000001</v>
      </c>
      <c r="F2874">
        <f t="shared" si="88"/>
        <v>-2.6036999999999644E-2</v>
      </c>
      <c r="G2874">
        <f t="shared" si="89"/>
        <v>156.95597529343556</v>
      </c>
    </row>
    <row r="2875" spans="2:7">
      <c r="B2875" t="s">
        <v>2</v>
      </c>
      <c r="C2875" s="2">
        <v>37888</v>
      </c>
      <c r="D2875" t="s">
        <v>6</v>
      </c>
      <c r="E2875">
        <v>4.5361469999999997</v>
      </c>
      <c r="F2875">
        <f t="shared" si="88"/>
        <v>-9.0754000000000445E-2</v>
      </c>
      <c r="G2875">
        <f t="shared" si="89"/>
        <v>156.83534668680414</v>
      </c>
    </row>
    <row r="2876" spans="2:7">
      <c r="B2876" t="s">
        <v>2</v>
      </c>
      <c r="C2876" s="2">
        <v>37887</v>
      </c>
      <c r="D2876" t="s">
        <v>6</v>
      </c>
      <c r="E2876">
        <v>4.6269010000000002</v>
      </c>
      <c r="F2876">
        <f t="shared" si="88"/>
        <v>-3.6319999999999908E-2</v>
      </c>
      <c r="G2876">
        <f t="shared" si="89"/>
        <v>155.7737169797995</v>
      </c>
    </row>
    <row r="2877" spans="2:7">
      <c r="B2877" t="s">
        <v>2</v>
      </c>
      <c r="C2877" s="2">
        <v>37886</v>
      </c>
      <c r="D2877" t="s">
        <v>6</v>
      </c>
      <c r="E2877">
        <v>4.6632210000000001</v>
      </c>
      <c r="F2877">
        <f t="shared" si="88"/>
        <v>8.8862999999999914E-2</v>
      </c>
      <c r="G2877">
        <f t="shared" si="89"/>
        <v>155.45976009565945</v>
      </c>
    </row>
    <row r="2878" spans="2:7">
      <c r="B2878" t="s">
        <v>2</v>
      </c>
      <c r="C2878" s="2">
        <v>37883</v>
      </c>
      <c r="D2878" t="s">
        <v>6</v>
      </c>
      <c r="E2878">
        <v>4.5743580000000001</v>
      </c>
      <c r="F2878">
        <f t="shared" si="88"/>
        <v>-2.0602999999999483E-2</v>
      </c>
      <c r="G2878">
        <f t="shared" si="89"/>
        <v>158.02934903874711</v>
      </c>
    </row>
    <row r="2879" spans="2:7">
      <c r="B2879" t="s">
        <v>2</v>
      </c>
      <c r="C2879" s="2">
        <v>37882</v>
      </c>
      <c r="D2879" t="s">
        <v>6</v>
      </c>
      <c r="E2879">
        <v>4.5949609999999996</v>
      </c>
      <c r="F2879">
        <f t="shared" si="88"/>
        <v>-1.0917000000000066E-2</v>
      </c>
      <c r="G2879">
        <f t="shared" si="89"/>
        <v>158.67865816481168</v>
      </c>
    </row>
    <row r="2880" spans="2:7">
      <c r="B2880" t="s">
        <v>2</v>
      </c>
      <c r="C2880" s="2">
        <v>37881</v>
      </c>
      <c r="D2880" t="s">
        <v>6</v>
      </c>
      <c r="E2880">
        <v>4.6058779999999997</v>
      </c>
      <c r="F2880">
        <f t="shared" si="88"/>
        <v>-0.12653400000000037</v>
      </c>
      <c r="G2880">
        <f t="shared" si="89"/>
        <v>159.19773313294624</v>
      </c>
    </row>
    <row r="2881" spans="2:7">
      <c r="B2881" t="s">
        <v>2</v>
      </c>
      <c r="C2881" s="2">
        <v>37880</v>
      </c>
      <c r="D2881" t="s">
        <v>6</v>
      </c>
      <c r="E2881">
        <v>4.7324120000000001</v>
      </c>
      <c r="F2881">
        <f t="shared" si="88"/>
        <v>5.1709999999999923E-2</v>
      </c>
      <c r="G2881">
        <f t="shared" si="89"/>
        <v>157.96810216173995</v>
      </c>
    </row>
    <row r="2882" spans="2:7">
      <c r="B2882" t="s">
        <v>2</v>
      </c>
      <c r="C2882" s="2">
        <v>37879</v>
      </c>
      <c r="D2882" t="s">
        <v>6</v>
      </c>
      <c r="E2882">
        <v>4.6807020000000001</v>
      </c>
      <c r="F2882">
        <f t="shared" si="88"/>
        <v>-1.7466999999999899E-2</v>
      </c>
      <c r="G2882">
        <f t="shared" si="89"/>
        <v>158.08576743377756</v>
      </c>
    </row>
    <row r="2883" spans="2:7">
      <c r="B2883" t="s">
        <v>2</v>
      </c>
      <c r="C2883" s="2">
        <v>37876</v>
      </c>
      <c r="D2883" t="s">
        <v>6</v>
      </c>
      <c r="E2883">
        <v>4.698169</v>
      </c>
      <c r="F2883">
        <f t="shared" ref="F2883:F2946" si="90">E2883-E2884</f>
        <v>-6.4839000000000091E-2</v>
      </c>
      <c r="G2883">
        <f t="shared" ref="G2883:G2946" si="91">STDEV(F2883:F2942)*SQRT(250)*100</f>
        <v>158.16827306103508</v>
      </c>
    </row>
    <row r="2884" spans="2:7">
      <c r="B2884" t="s">
        <v>2</v>
      </c>
      <c r="C2884" s="2">
        <v>37875</v>
      </c>
      <c r="D2884" t="s">
        <v>6</v>
      </c>
      <c r="E2884">
        <v>4.7630080000000001</v>
      </c>
      <c r="F2884">
        <f t="shared" si="90"/>
        <v>5.49350000000004E-2</v>
      </c>
      <c r="G2884">
        <f t="shared" si="91"/>
        <v>158.19373417343866</v>
      </c>
    </row>
    <row r="2885" spans="2:7">
      <c r="B2885" t="s">
        <v>2</v>
      </c>
      <c r="C2885" s="2">
        <v>37874</v>
      </c>
      <c r="D2885" t="s">
        <v>6</v>
      </c>
      <c r="E2885">
        <v>4.7080729999999997</v>
      </c>
      <c r="F2885">
        <f t="shared" si="90"/>
        <v>-0.11582200000000054</v>
      </c>
      <c r="G2885">
        <f t="shared" si="91"/>
        <v>158.87589516689405</v>
      </c>
    </row>
    <row r="2886" spans="2:7">
      <c r="B2886" t="s">
        <v>2</v>
      </c>
      <c r="C2886" s="2">
        <v>37873</v>
      </c>
      <c r="D2886" t="s">
        <v>6</v>
      </c>
      <c r="E2886">
        <v>4.8238950000000003</v>
      </c>
      <c r="F2886">
        <f t="shared" si="90"/>
        <v>-3.1384000000000079E-2</v>
      </c>
      <c r="G2886">
        <f t="shared" si="91"/>
        <v>156.7491786009416</v>
      </c>
    </row>
    <row r="2887" spans="2:7">
      <c r="B2887" t="s">
        <v>2</v>
      </c>
      <c r="C2887" s="2">
        <v>37872</v>
      </c>
      <c r="D2887" t="s">
        <v>6</v>
      </c>
      <c r="E2887">
        <v>4.8552790000000003</v>
      </c>
      <c r="F2887">
        <f t="shared" si="90"/>
        <v>3.0721999999999916E-2</v>
      </c>
      <c r="G2887">
        <f t="shared" si="91"/>
        <v>157.07683689257701</v>
      </c>
    </row>
    <row r="2888" spans="2:7">
      <c r="B2888" t="s">
        <v>2</v>
      </c>
      <c r="C2888" s="2">
        <v>37869</v>
      </c>
      <c r="D2888" t="s">
        <v>6</v>
      </c>
      <c r="E2888">
        <v>4.8245570000000004</v>
      </c>
      <c r="F2888">
        <f t="shared" si="90"/>
        <v>-0.19497699999999973</v>
      </c>
      <c r="G2888">
        <f t="shared" si="91"/>
        <v>157.3084753885675</v>
      </c>
    </row>
    <row r="2889" spans="2:7">
      <c r="B2889" t="s">
        <v>2</v>
      </c>
      <c r="C2889" s="2">
        <v>37868</v>
      </c>
      <c r="D2889" t="s">
        <v>6</v>
      </c>
      <c r="E2889">
        <v>5.0195340000000002</v>
      </c>
      <c r="F2889">
        <f t="shared" si="90"/>
        <v>-9.7876999999999548E-2</v>
      </c>
      <c r="G2889">
        <f t="shared" si="91"/>
        <v>150.8315865638094</v>
      </c>
    </row>
    <row r="2890" spans="2:7">
      <c r="B2890" t="s">
        <v>2</v>
      </c>
      <c r="C2890" s="2">
        <v>37867</v>
      </c>
      <c r="D2890" t="s">
        <v>6</v>
      </c>
      <c r="E2890">
        <v>5.1174109999999997</v>
      </c>
      <c r="F2890">
        <f t="shared" si="90"/>
        <v>-5.7510000000000616E-3</v>
      </c>
      <c r="G2890">
        <f t="shared" si="91"/>
        <v>150.55486274355582</v>
      </c>
    </row>
    <row r="2891" spans="2:7">
      <c r="B2891" t="s">
        <v>2</v>
      </c>
      <c r="C2891" s="2">
        <v>37866</v>
      </c>
      <c r="D2891" t="s">
        <v>6</v>
      </c>
      <c r="E2891">
        <v>5.1231619999999998</v>
      </c>
      <c r="F2891">
        <f t="shared" si="90"/>
        <v>0.16409099999999999</v>
      </c>
      <c r="G2891">
        <f t="shared" si="91"/>
        <v>151.84567434259196</v>
      </c>
    </row>
    <row r="2892" spans="2:7">
      <c r="B2892" t="s">
        <v>2</v>
      </c>
      <c r="C2892" s="2">
        <v>37862</v>
      </c>
      <c r="D2892" t="s">
        <v>6</v>
      </c>
      <c r="E2892">
        <v>4.9590709999999998</v>
      </c>
      <c r="F2892">
        <f t="shared" si="90"/>
        <v>2.5946999999999498E-2</v>
      </c>
      <c r="G2892">
        <f t="shared" si="91"/>
        <v>149.0320454308264</v>
      </c>
    </row>
    <row r="2893" spans="2:7">
      <c r="B2893" t="s">
        <v>2</v>
      </c>
      <c r="C2893" s="2">
        <v>37861</v>
      </c>
      <c r="D2893" t="s">
        <v>6</v>
      </c>
      <c r="E2893">
        <v>4.9331240000000003</v>
      </c>
      <c r="F2893">
        <f t="shared" si="90"/>
        <v>-0.11438300000000012</v>
      </c>
      <c r="G2893">
        <f t="shared" si="91"/>
        <v>149.03509412005951</v>
      </c>
    </row>
    <row r="2894" spans="2:7">
      <c r="B2894" t="s">
        <v>2</v>
      </c>
      <c r="C2894" s="2">
        <v>37860</v>
      </c>
      <c r="D2894" t="s">
        <v>6</v>
      </c>
      <c r="E2894">
        <v>5.0475070000000004</v>
      </c>
      <c r="F2894">
        <f t="shared" si="90"/>
        <v>4.7342000000000439E-2</v>
      </c>
      <c r="G2894">
        <f t="shared" si="91"/>
        <v>146.90067184034032</v>
      </c>
    </row>
    <row r="2895" spans="2:7">
      <c r="B2895" t="s">
        <v>2</v>
      </c>
      <c r="C2895" s="2">
        <v>37859</v>
      </c>
      <c r="D2895" t="s">
        <v>6</v>
      </c>
      <c r="E2895">
        <v>5.000165</v>
      </c>
      <c r="F2895">
        <f t="shared" si="90"/>
        <v>-3.1159999999999854E-2</v>
      </c>
      <c r="G2895">
        <f t="shared" si="91"/>
        <v>148.71371483473311</v>
      </c>
    </row>
    <row r="2896" spans="2:7">
      <c r="B2896" t="s">
        <v>2</v>
      </c>
      <c r="C2896" s="2">
        <v>37858</v>
      </c>
      <c r="D2896" t="s">
        <v>6</v>
      </c>
      <c r="E2896">
        <v>5.0313249999999998</v>
      </c>
      <c r="F2896">
        <f t="shared" si="90"/>
        <v>8.553799999999967E-2</v>
      </c>
      <c r="G2896">
        <f t="shared" si="91"/>
        <v>148.71084710733322</v>
      </c>
    </row>
    <row r="2897" spans="2:7">
      <c r="B2897" t="s">
        <v>2</v>
      </c>
      <c r="C2897" s="2">
        <v>37855</v>
      </c>
      <c r="D2897" t="s">
        <v>6</v>
      </c>
      <c r="E2897">
        <v>4.9457870000000002</v>
      </c>
      <c r="F2897">
        <f t="shared" si="90"/>
        <v>-5.9733999999999732E-2</v>
      </c>
      <c r="G2897">
        <f t="shared" si="91"/>
        <v>148.17345774122575</v>
      </c>
    </row>
    <row r="2898" spans="2:7">
      <c r="B2898" t="s">
        <v>2</v>
      </c>
      <c r="C2898" s="2">
        <v>37854</v>
      </c>
      <c r="D2898" t="s">
        <v>6</v>
      </c>
      <c r="E2898">
        <v>5.0055209999999999</v>
      </c>
      <c r="F2898">
        <f t="shared" si="90"/>
        <v>0.10051100000000002</v>
      </c>
      <c r="G2898">
        <f t="shared" si="91"/>
        <v>148.92665388821806</v>
      </c>
    </row>
    <row r="2899" spans="2:7">
      <c r="B2899" t="s">
        <v>2</v>
      </c>
      <c r="C2899" s="2">
        <v>37853</v>
      </c>
      <c r="D2899" t="s">
        <v>6</v>
      </c>
      <c r="E2899">
        <v>4.9050099999999999</v>
      </c>
      <c r="F2899">
        <f t="shared" si="90"/>
        <v>6.8127999999999744E-2</v>
      </c>
      <c r="G2899">
        <f t="shared" si="91"/>
        <v>147.99299019745507</v>
      </c>
    </row>
    <row r="2900" spans="2:7">
      <c r="B2900" t="s">
        <v>2</v>
      </c>
      <c r="C2900" s="2">
        <v>37852</v>
      </c>
      <c r="D2900" t="s">
        <v>6</v>
      </c>
      <c r="E2900">
        <v>4.8368820000000001</v>
      </c>
      <c r="F2900">
        <f t="shared" si="90"/>
        <v>-0.1203839999999996</v>
      </c>
      <c r="G2900">
        <f t="shared" si="91"/>
        <v>148.26863163506403</v>
      </c>
    </row>
    <row r="2901" spans="2:7">
      <c r="B2901" t="s">
        <v>2</v>
      </c>
      <c r="C2901" s="2">
        <v>37851</v>
      </c>
      <c r="D2901" t="s">
        <v>6</v>
      </c>
      <c r="E2901">
        <v>4.9572659999999997</v>
      </c>
      <c r="F2901">
        <f t="shared" si="90"/>
        <v>-6.7516000000000354E-2</v>
      </c>
      <c r="G2901">
        <f t="shared" si="91"/>
        <v>145.44973011613058</v>
      </c>
    </row>
    <row r="2902" spans="2:7">
      <c r="B2902" t="s">
        <v>2</v>
      </c>
      <c r="C2902" s="2">
        <v>37848</v>
      </c>
      <c r="D2902" t="s">
        <v>6</v>
      </c>
      <c r="E2902">
        <v>5.0247820000000001</v>
      </c>
      <c r="F2902">
        <f t="shared" si="90"/>
        <v>-9.0206999999999482E-2</v>
      </c>
      <c r="G2902">
        <f t="shared" si="91"/>
        <v>144.818533748791</v>
      </c>
    </row>
    <row r="2903" spans="2:7">
      <c r="B2903" t="s">
        <v>2</v>
      </c>
      <c r="C2903" s="2">
        <v>37847</v>
      </c>
      <c r="D2903" t="s">
        <v>6</v>
      </c>
      <c r="E2903">
        <v>5.1149889999999996</v>
      </c>
      <c r="F2903">
        <f t="shared" si="90"/>
        <v>2.365299999999948E-2</v>
      </c>
      <c r="G2903">
        <f t="shared" si="91"/>
        <v>142.94211469622132</v>
      </c>
    </row>
    <row r="2904" spans="2:7">
      <c r="B2904" t="s">
        <v>2</v>
      </c>
      <c r="C2904" s="2">
        <v>37846</v>
      </c>
      <c r="D2904" t="s">
        <v>6</v>
      </c>
      <c r="E2904">
        <v>5.0913360000000001</v>
      </c>
      <c r="F2904">
        <f t="shared" si="90"/>
        <v>0.26800500000000049</v>
      </c>
      <c r="G2904">
        <f t="shared" si="91"/>
        <v>144.10009105288052</v>
      </c>
    </row>
    <row r="2905" spans="2:7">
      <c r="B2905" t="s">
        <v>2</v>
      </c>
      <c r="C2905" s="2">
        <v>37845</v>
      </c>
      <c r="D2905" t="s">
        <v>6</v>
      </c>
      <c r="E2905">
        <v>4.8233309999999996</v>
      </c>
      <c r="F2905">
        <f t="shared" si="90"/>
        <v>-9.7360000000001889E-3</v>
      </c>
      <c r="G2905">
        <f t="shared" si="91"/>
        <v>134.93477316679133</v>
      </c>
    </row>
    <row r="2906" spans="2:7">
      <c r="B2906" t="s">
        <v>2</v>
      </c>
      <c r="C2906" s="2">
        <v>37844</v>
      </c>
      <c r="D2906" t="s">
        <v>6</v>
      </c>
      <c r="E2906">
        <v>4.8330669999999998</v>
      </c>
      <c r="F2906">
        <f t="shared" si="90"/>
        <v>0.13312200000000018</v>
      </c>
      <c r="G2906">
        <f t="shared" si="91"/>
        <v>135.79527205608187</v>
      </c>
    </row>
    <row r="2907" spans="2:7">
      <c r="B2907" t="s">
        <v>2</v>
      </c>
      <c r="C2907" s="2">
        <v>37841</v>
      </c>
      <c r="D2907" t="s">
        <v>6</v>
      </c>
      <c r="E2907">
        <v>4.6999449999999996</v>
      </c>
      <c r="F2907">
        <f t="shared" si="90"/>
        <v>-2.091000000000065E-3</v>
      </c>
      <c r="G2907">
        <f t="shared" si="91"/>
        <v>133.68818407636056</v>
      </c>
    </row>
    <row r="2908" spans="2:7">
      <c r="B2908" t="s">
        <v>2</v>
      </c>
      <c r="C2908" s="2">
        <v>37840</v>
      </c>
      <c r="D2908" t="s">
        <v>6</v>
      </c>
      <c r="E2908">
        <v>4.7020359999999997</v>
      </c>
      <c r="F2908">
        <f t="shared" si="90"/>
        <v>-9.6277000000000612E-2</v>
      </c>
      <c r="G2908">
        <f t="shared" si="91"/>
        <v>135.74691006455927</v>
      </c>
    </row>
    <row r="2909" spans="2:7">
      <c r="B2909" t="s">
        <v>2</v>
      </c>
      <c r="C2909" s="2">
        <v>37839</v>
      </c>
      <c r="D2909" t="s">
        <v>6</v>
      </c>
      <c r="E2909">
        <v>4.7983130000000003</v>
      </c>
      <c r="F2909">
        <f t="shared" si="90"/>
        <v>-0.21901299999999946</v>
      </c>
      <c r="G2909">
        <f t="shared" si="91"/>
        <v>134.01264872330572</v>
      </c>
    </row>
    <row r="2910" spans="2:7">
      <c r="B2910" t="s">
        <v>2</v>
      </c>
      <c r="C2910" s="2">
        <v>37838</v>
      </c>
      <c r="D2910" t="s">
        <v>6</v>
      </c>
      <c r="E2910">
        <v>5.0173259999999997</v>
      </c>
      <c r="F2910">
        <f t="shared" si="90"/>
        <v>2.6453999999999311E-2</v>
      </c>
      <c r="G2910">
        <f t="shared" si="91"/>
        <v>125.7825373038761</v>
      </c>
    </row>
    <row r="2911" spans="2:7">
      <c r="B2911" t="s">
        <v>2</v>
      </c>
      <c r="C2911" s="2">
        <v>37837</v>
      </c>
      <c r="D2911" t="s">
        <v>6</v>
      </c>
      <c r="E2911">
        <v>4.9908720000000004</v>
      </c>
      <c r="F2911">
        <f t="shared" si="90"/>
        <v>-8.104299999999931E-2</v>
      </c>
      <c r="G2911">
        <f t="shared" si="91"/>
        <v>125.76616804727689</v>
      </c>
    </row>
    <row r="2912" spans="2:7">
      <c r="B2912" t="s">
        <v>2</v>
      </c>
      <c r="C2912" s="2">
        <v>37834</v>
      </c>
      <c r="D2912" t="s">
        <v>6</v>
      </c>
      <c r="E2912">
        <v>5.0719149999999997</v>
      </c>
      <c r="F2912">
        <f t="shared" si="90"/>
        <v>7.3949999999998184E-3</v>
      </c>
      <c r="G2912">
        <f t="shared" si="91"/>
        <v>124.36499095843006</v>
      </c>
    </row>
    <row r="2913" spans="2:7">
      <c r="B2913" t="s">
        <v>2</v>
      </c>
      <c r="C2913" s="2">
        <v>37833</v>
      </c>
      <c r="D2913" t="s">
        <v>6</v>
      </c>
      <c r="E2913">
        <v>5.0645199999999999</v>
      </c>
      <c r="F2913">
        <f t="shared" si="90"/>
        <v>0.25117700000000021</v>
      </c>
      <c r="G2913">
        <f t="shared" si="91"/>
        <v>128.42635434677047</v>
      </c>
    </row>
    <row r="2914" spans="2:7">
      <c r="B2914" t="s">
        <v>2</v>
      </c>
      <c r="C2914" s="2">
        <v>37832</v>
      </c>
      <c r="D2914" t="s">
        <v>6</v>
      </c>
      <c r="E2914">
        <v>4.8133429999999997</v>
      </c>
      <c r="F2914">
        <f t="shared" si="90"/>
        <v>-7.5089000000000183E-2</v>
      </c>
      <c r="G2914">
        <f t="shared" si="91"/>
        <v>120.65601825777826</v>
      </c>
    </row>
    <row r="2915" spans="2:7">
      <c r="B2915" t="s">
        <v>2</v>
      </c>
      <c r="C2915" s="2">
        <v>37831</v>
      </c>
      <c r="D2915" t="s">
        <v>6</v>
      </c>
      <c r="E2915">
        <v>4.8884319999999999</v>
      </c>
      <c r="F2915">
        <f t="shared" si="90"/>
        <v>0.16596999999999973</v>
      </c>
      <c r="G2915">
        <f t="shared" si="91"/>
        <v>119.61281226729652</v>
      </c>
    </row>
    <row r="2916" spans="2:7">
      <c r="B2916" t="s">
        <v>2</v>
      </c>
      <c r="C2916" s="2">
        <v>37830</v>
      </c>
      <c r="D2916" t="s">
        <v>6</v>
      </c>
      <c r="E2916">
        <v>4.7224620000000002</v>
      </c>
      <c r="F2916">
        <f t="shared" si="90"/>
        <v>0.11866200000000049</v>
      </c>
      <c r="G2916">
        <f t="shared" si="91"/>
        <v>115.71981121892871</v>
      </c>
    </row>
    <row r="2917" spans="2:7">
      <c r="B2917" t="s">
        <v>2</v>
      </c>
      <c r="C2917" s="2">
        <v>37827</v>
      </c>
      <c r="D2917" t="s">
        <v>6</v>
      </c>
      <c r="E2917">
        <v>4.6037999999999997</v>
      </c>
      <c r="F2917">
        <f t="shared" si="90"/>
        <v>2.3582999999999466E-2</v>
      </c>
      <c r="G2917">
        <f t="shared" si="91"/>
        <v>113.43999262624129</v>
      </c>
    </row>
    <row r="2918" spans="2:7">
      <c r="B2918" t="s">
        <v>2</v>
      </c>
      <c r="C2918" s="2">
        <v>37826</v>
      </c>
      <c r="D2918" t="s">
        <v>6</v>
      </c>
      <c r="E2918">
        <v>4.5802170000000002</v>
      </c>
      <c r="F2918">
        <f t="shared" si="90"/>
        <v>6.7823999999999884E-2</v>
      </c>
      <c r="G2918">
        <f t="shared" si="91"/>
        <v>115.42499852937256</v>
      </c>
    </row>
    <row r="2919" spans="2:7">
      <c r="B2919" t="s">
        <v>2</v>
      </c>
      <c r="C2919" s="2">
        <v>37825</v>
      </c>
      <c r="D2919" t="s">
        <v>6</v>
      </c>
      <c r="E2919">
        <v>4.5123930000000003</v>
      </c>
      <c r="F2919">
        <f t="shared" si="90"/>
        <v>-4.6719999999999651E-2</v>
      </c>
      <c r="G2919">
        <f t="shared" si="91"/>
        <v>114.81385807459776</v>
      </c>
    </row>
    <row r="2920" spans="2:7">
      <c r="B2920" t="s">
        <v>2</v>
      </c>
      <c r="C2920" s="2">
        <v>37824</v>
      </c>
      <c r="D2920" t="s">
        <v>6</v>
      </c>
      <c r="E2920">
        <v>4.559113</v>
      </c>
      <c r="F2920">
        <f t="shared" si="90"/>
        <v>-1.005199999999995E-2</v>
      </c>
      <c r="G2920">
        <f t="shared" si="91"/>
        <v>114.33686648422814</v>
      </c>
    </row>
    <row r="2921" spans="2:7">
      <c r="B2921" t="s">
        <v>2</v>
      </c>
      <c r="C2921" s="2">
        <v>37823</v>
      </c>
      <c r="D2921" t="s">
        <v>6</v>
      </c>
      <c r="E2921">
        <v>4.5691649999999999</v>
      </c>
      <c r="F2921">
        <f t="shared" si="90"/>
        <v>0.2044220000000001</v>
      </c>
      <c r="G2921">
        <f t="shared" si="91"/>
        <v>114.40613265026846</v>
      </c>
    </row>
    <row r="2922" spans="2:7">
      <c r="B2922" t="s">
        <v>2</v>
      </c>
      <c r="C2922" s="2">
        <v>37820</v>
      </c>
      <c r="D2922" t="s">
        <v>6</v>
      </c>
      <c r="E2922">
        <v>4.3647429999999998</v>
      </c>
      <c r="F2922">
        <f t="shared" si="90"/>
        <v>2.3969000000000129E-2</v>
      </c>
      <c r="G2922">
        <f t="shared" si="91"/>
        <v>108.49929241880174</v>
      </c>
    </row>
    <row r="2923" spans="2:7">
      <c r="B2923" t="s">
        <v>2</v>
      </c>
      <c r="C2923" s="2">
        <v>37819</v>
      </c>
      <c r="D2923" t="s">
        <v>6</v>
      </c>
      <c r="E2923">
        <v>4.3407739999999997</v>
      </c>
      <c r="F2923">
        <f t="shared" si="90"/>
        <v>1.0364999999999291E-2</v>
      </c>
      <c r="G2923">
        <f t="shared" si="91"/>
        <v>108.38278539333605</v>
      </c>
    </row>
    <row r="2924" spans="2:7">
      <c r="B2924" t="s">
        <v>2</v>
      </c>
      <c r="C2924" s="2">
        <v>37818</v>
      </c>
      <c r="D2924" t="s">
        <v>6</v>
      </c>
      <c r="E2924">
        <v>4.3304090000000004</v>
      </c>
      <c r="F2924">
        <f t="shared" si="90"/>
        <v>3.466600000000053E-2</v>
      </c>
      <c r="G2924">
        <f t="shared" si="91"/>
        <v>108.36183072279344</v>
      </c>
    </row>
    <row r="2925" spans="2:7">
      <c r="B2925" t="s">
        <v>2</v>
      </c>
      <c r="C2925" s="2">
        <v>37817</v>
      </c>
      <c r="D2925" t="s">
        <v>6</v>
      </c>
      <c r="E2925">
        <v>4.2957429999999999</v>
      </c>
      <c r="F2925">
        <f t="shared" si="90"/>
        <v>0.20565999999999995</v>
      </c>
      <c r="G2925">
        <f t="shared" si="91"/>
        <v>108.17802305258206</v>
      </c>
    </row>
    <row r="2926" spans="2:7">
      <c r="B2926" t="s">
        <v>2</v>
      </c>
      <c r="C2926" s="2">
        <v>37816</v>
      </c>
      <c r="D2926" t="s">
        <v>6</v>
      </c>
      <c r="E2926">
        <v>4.0900829999999999</v>
      </c>
      <c r="F2926">
        <f t="shared" si="90"/>
        <v>7.7306000000000097E-2</v>
      </c>
      <c r="G2926">
        <f t="shared" si="91"/>
        <v>99.359477490289564</v>
      </c>
    </row>
    <row r="2927" spans="2:7">
      <c r="B2927" t="s">
        <v>2</v>
      </c>
      <c r="C2927" s="2">
        <v>37813</v>
      </c>
      <c r="D2927" t="s">
        <v>6</v>
      </c>
      <c r="E2927">
        <v>4.0127769999999998</v>
      </c>
      <c r="F2927">
        <f t="shared" si="90"/>
        <v>-3.4050999999999831E-2</v>
      </c>
      <c r="G2927">
        <f t="shared" si="91"/>
        <v>97.969019794694219</v>
      </c>
    </row>
    <row r="2928" spans="2:7">
      <c r="B2928" t="s">
        <v>2</v>
      </c>
      <c r="C2928" s="2">
        <v>37812</v>
      </c>
      <c r="D2928" t="s">
        <v>6</v>
      </c>
      <c r="E2928">
        <v>4.0468279999999996</v>
      </c>
      <c r="F2928">
        <f t="shared" si="90"/>
        <v>-3.0783000000000449E-2</v>
      </c>
      <c r="G2928">
        <f t="shared" si="91"/>
        <v>98.317208847381025</v>
      </c>
    </row>
    <row r="2929" spans="2:7">
      <c r="B2929" t="s">
        <v>2</v>
      </c>
      <c r="C2929" s="2">
        <v>37811</v>
      </c>
      <c r="D2929" t="s">
        <v>6</v>
      </c>
      <c r="E2929">
        <v>4.0776110000000001</v>
      </c>
      <c r="F2929">
        <f t="shared" si="90"/>
        <v>-1.7578000000000316E-2</v>
      </c>
      <c r="G2929">
        <f t="shared" si="91"/>
        <v>98.537387263914809</v>
      </c>
    </row>
    <row r="2930" spans="2:7">
      <c r="B2930" t="s">
        <v>2</v>
      </c>
      <c r="C2930" s="2">
        <v>37810</v>
      </c>
      <c r="D2930" t="s">
        <v>6</v>
      </c>
      <c r="E2930">
        <v>4.0951890000000004</v>
      </c>
      <c r="F2930">
        <f t="shared" si="90"/>
        <v>3.3276000000000749E-2</v>
      </c>
      <c r="G2930">
        <f t="shared" si="91"/>
        <v>98.973837161271234</v>
      </c>
    </row>
    <row r="2931" spans="2:7">
      <c r="B2931" t="s">
        <v>2</v>
      </c>
      <c r="C2931" s="2">
        <v>37809</v>
      </c>
      <c r="D2931" t="s">
        <v>6</v>
      </c>
      <c r="E2931">
        <v>4.0619129999999997</v>
      </c>
      <c r="F2931">
        <f t="shared" si="90"/>
        <v>6.6656999999999744E-2</v>
      </c>
      <c r="G2931">
        <f t="shared" si="91"/>
        <v>99.007832830903652</v>
      </c>
    </row>
    <row r="2932" spans="2:7">
      <c r="B2932" t="s">
        <v>2</v>
      </c>
      <c r="C2932" s="2">
        <v>37805</v>
      </c>
      <c r="D2932" t="s">
        <v>6</v>
      </c>
      <c r="E2932">
        <v>3.9952559999999999</v>
      </c>
      <c r="F2932">
        <f t="shared" si="90"/>
        <v>0.10221499999999972</v>
      </c>
      <c r="G2932">
        <f t="shared" si="91"/>
        <v>98.141350520433363</v>
      </c>
    </row>
    <row r="2933" spans="2:7">
      <c r="B2933" t="s">
        <v>2</v>
      </c>
      <c r="C2933" s="2">
        <v>37804</v>
      </c>
      <c r="D2933" t="s">
        <v>6</v>
      </c>
      <c r="E2933">
        <v>3.8930410000000002</v>
      </c>
      <c r="F2933">
        <f t="shared" si="90"/>
        <v>-8.5549999999998683E-3</v>
      </c>
      <c r="G2933">
        <f t="shared" si="91"/>
        <v>96.842793029232055</v>
      </c>
    </row>
    <row r="2934" spans="2:7">
      <c r="B2934" t="s">
        <v>2</v>
      </c>
      <c r="C2934" s="2">
        <v>37803</v>
      </c>
      <c r="D2934" t="s">
        <v>6</v>
      </c>
      <c r="E2934">
        <v>3.9015960000000001</v>
      </c>
      <c r="F2934">
        <f t="shared" si="90"/>
        <v>3.1855000000000189E-2</v>
      </c>
      <c r="G2934">
        <f t="shared" si="91"/>
        <v>97.83127357255286</v>
      </c>
    </row>
    <row r="2935" spans="2:7">
      <c r="B2935" t="s">
        <v>2</v>
      </c>
      <c r="C2935" s="2">
        <v>37802</v>
      </c>
      <c r="D2935" t="s">
        <v>6</v>
      </c>
      <c r="E2935">
        <v>3.8697409999999999</v>
      </c>
      <c r="F2935">
        <f t="shared" si="90"/>
        <v>-3.9753000000000149E-2</v>
      </c>
      <c r="G2935">
        <f t="shared" si="91"/>
        <v>97.803637253730585</v>
      </c>
    </row>
    <row r="2936" spans="2:7">
      <c r="B2936" t="s">
        <v>2</v>
      </c>
      <c r="C2936" s="2">
        <v>37799</v>
      </c>
      <c r="D2936" t="s">
        <v>6</v>
      </c>
      <c r="E2936">
        <v>3.909494</v>
      </c>
      <c r="F2936">
        <f t="shared" si="90"/>
        <v>2.0849000000000117E-2</v>
      </c>
      <c r="G2936">
        <f t="shared" si="91"/>
        <v>97.691987708872958</v>
      </c>
    </row>
    <row r="2937" spans="2:7">
      <c r="B2937" t="s">
        <v>2</v>
      </c>
      <c r="C2937" s="2">
        <v>37798</v>
      </c>
      <c r="D2937" t="s">
        <v>6</v>
      </c>
      <c r="E2937">
        <v>3.8886449999999999</v>
      </c>
      <c r="F2937">
        <f t="shared" si="90"/>
        <v>0.1706789999999998</v>
      </c>
      <c r="G2937">
        <f t="shared" si="91"/>
        <v>100.59225381459194</v>
      </c>
    </row>
    <row r="2938" spans="2:7">
      <c r="B2938" t="s">
        <v>2</v>
      </c>
      <c r="C2938" s="2">
        <v>37797</v>
      </c>
      <c r="D2938" t="s">
        <v>6</v>
      </c>
      <c r="E2938">
        <v>3.7179660000000001</v>
      </c>
      <c r="F2938">
        <f t="shared" si="90"/>
        <v>9.3561999999999923E-2</v>
      </c>
      <c r="G2938">
        <f t="shared" si="91"/>
        <v>93.712340801548905</v>
      </c>
    </row>
    <row r="2939" spans="2:7">
      <c r="B2939" t="s">
        <v>2</v>
      </c>
      <c r="C2939" s="2">
        <v>37796</v>
      </c>
      <c r="D2939" t="s">
        <v>6</v>
      </c>
      <c r="E2939">
        <v>3.6244040000000002</v>
      </c>
      <c r="F2939">
        <f t="shared" si="90"/>
        <v>-5.2060999999999691E-2</v>
      </c>
      <c r="G2939">
        <f t="shared" si="91"/>
        <v>92.59652914226811</v>
      </c>
    </row>
    <row r="2940" spans="2:7">
      <c r="B2940" t="s">
        <v>2</v>
      </c>
      <c r="C2940" s="2">
        <v>37795</v>
      </c>
      <c r="D2940" t="s">
        <v>6</v>
      </c>
      <c r="E2940">
        <v>3.6764649999999999</v>
      </c>
      <c r="F2940">
        <f t="shared" si="90"/>
        <v>-8.934299999999995E-2</v>
      </c>
      <c r="G2940">
        <f t="shared" si="91"/>
        <v>92.270567856226975</v>
      </c>
    </row>
    <row r="2941" spans="2:7">
      <c r="B2941" t="s">
        <v>2</v>
      </c>
      <c r="C2941" s="2">
        <v>37792</v>
      </c>
      <c r="D2941" t="s">
        <v>6</v>
      </c>
      <c r="E2941">
        <v>3.7658079999999998</v>
      </c>
      <c r="F2941">
        <f t="shared" si="90"/>
        <v>6.2444999999999862E-2</v>
      </c>
      <c r="G2941">
        <f t="shared" si="91"/>
        <v>90.871665127939011</v>
      </c>
    </row>
    <row r="2942" spans="2:7">
      <c r="B2942" t="s">
        <v>2</v>
      </c>
      <c r="C2942" s="2">
        <v>37791</v>
      </c>
      <c r="D2942" t="s">
        <v>6</v>
      </c>
      <c r="E2942">
        <v>3.703363</v>
      </c>
      <c r="F2942">
        <f t="shared" si="90"/>
        <v>-2.5619999999999976E-2</v>
      </c>
      <c r="G2942">
        <f t="shared" si="91"/>
        <v>89.610088329275982</v>
      </c>
    </row>
    <row r="2943" spans="2:7">
      <c r="B2943" t="s">
        <v>2</v>
      </c>
      <c r="C2943" s="2">
        <v>37790</v>
      </c>
      <c r="D2943" t="s">
        <v>6</v>
      </c>
      <c r="E2943">
        <v>3.7289829999999999</v>
      </c>
      <c r="F2943">
        <f t="shared" si="90"/>
        <v>0.10105599999999981</v>
      </c>
      <c r="G2943">
        <f t="shared" si="91"/>
        <v>89.595424447379386</v>
      </c>
    </row>
    <row r="2944" spans="2:7">
      <c r="B2944" t="s">
        <v>2</v>
      </c>
      <c r="C2944" s="2">
        <v>37789</v>
      </c>
      <c r="D2944" t="s">
        <v>6</v>
      </c>
      <c r="E2944">
        <v>3.6279270000000001</v>
      </c>
      <c r="F2944">
        <f t="shared" si="90"/>
        <v>9.9131999999999998E-2</v>
      </c>
      <c r="G2944">
        <f t="shared" si="91"/>
        <v>90.32929414717249</v>
      </c>
    </row>
    <row r="2945" spans="2:7">
      <c r="B2945" t="s">
        <v>2</v>
      </c>
      <c r="C2945" s="2">
        <v>37788</v>
      </c>
      <c r="D2945" t="s">
        <v>6</v>
      </c>
      <c r="E2945">
        <v>3.5287950000000001</v>
      </c>
      <c r="F2945">
        <f t="shared" si="90"/>
        <v>7.5537000000000187E-2</v>
      </c>
      <c r="G2945">
        <f t="shared" si="91"/>
        <v>90.555900003607022</v>
      </c>
    </row>
    <row r="2946" spans="2:7">
      <c r="B2946" t="s">
        <v>2</v>
      </c>
      <c r="C2946" s="2">
        <v>37785</v>
      </c>
      <c r="D2946" t="s">
        <v>6</v>
      </c>
      <c r="E2946">
        <v>3.4532579999999999</v>
      </c>
      <c r="F2946">
        <f t="shared" si="90"/>
        <v>-5.0460000000000171E-2</v>
      </c>
      <c r="G2946">
        <f t="shared" si="91"/>
        <v>89.618947135261351</v>
      </c>
    </row>
    <row r="2947" spans="2:7">
      <c r="B2947" t="s">
        <v>2</v>
      </c>
      <c r="C2947" s="2">
        <v>37784</v>
      </c>
      <c r="D2947" t="s">
        <v>6</v>
      </c>
      <c r="E2947">
        <v>3.5037180000000001</v>
      </c>
      <c r="F2947">
        <f t="shared" ref="F2947:F3010" si="92">E2947-E2948</f>
        <v>-2.0242000000000093E-2</v>
      </c>
      <c r="G2947">
        <f t="shared" ref="G2947:G3010" si="93">STDEV(F2947:F3006)*SQRT(250)*100</f>
        <v>91.08129283921042</v>
      </c>
    </row>
    <row r="2948" spans="2:7">
      <c r="B2948" t="s">
        <v>2</v>
      </c>
      <c r="C2948" s="2">
        <v>37783</v>
      </c>
      <c r="D2948" t="s">
        <v>6</v>
      </c>
      <c r="E2948">
        <v>3.5239600000000002</v>
      </c>
      <c r="F2948">
        <f t="shared" si="92"/>
        <v>-3.7999999999982492E-5</v>
      </c>
      <c r="G2948">
        <f t="shared" si="93"/>
        <v>93.002116011040656</v>
      </c>
    </row>
    <row r="2949" spans="2:7">
      <c r="B2949" t="s">
        <v>2</v>
      </c>
      <c r="C2949" s="2">
        <v>37782</v>
      </c>
      <c r="D2949" t="s">
        <v>6</v>
      </c>
      <c r="E2949">
        <v>3.5239980000000002</v>
      </c>
      <c r="F2949">
        <f t="shared" si="92"/>
        <v>-8.9588000000000001E-2</v>
      </c>
      <c r="G2949">
        <f t="shared" si="93"/>
        <v>96.781174251646391</v>
      </c>
    </row>
    <row r="2950" spans="2:7">
      <c r="B2950" t="s">
        <v>2</v>
      </c>
      <c r="C2950" s="2">
        <v>37781</v>
      </c>
      <c r="D2950" t="s">
        <v>6</v>
      </c>
      <c r="E2950">
        <v>3.6135860000000002</v>
      </c>
      <c r="F2950">
        <f t="shared" si="92"/>
        <v>-7.6149999999999718E-2</v>
      </c>
      <c r="G2950">
        <f t="shared" si="93"/>
        <v>95.42912900473155</v>
      </c>
    </row>
    <row r="2951" spans="2:7">
      <c r="B2951" t="s">
        <v>2</v>
      </c>
      <c r="C2951" s="2">
        <v>37778</v>
      </c>
      <c r="D2951" t="s">
        <v>6</v>
      </c>
      <c r="E2951">
        <v>3.6897359999999999</v>
      </c>
      <c r="F2951">
        <f t="shared" si="92"/>
        <v>1.8234000000000083E-2</v>
      </c>
      <c r="G2951">
        <f t="shared" si="93"/>
        <v>99.617958362759097</v>
      </c>
    </row>
    <row r="2952" spans="2:7">
      <c r="B2952" t="s">
        <v>2</v>
      </c>
      <c r="C2952" s="2">
        <v>37777</v>
      </c>
      <c r="D2952" t="s">
        <v>6</v>
      </c>
      <c r="E2952">
        <v>3.6715019999999998</v>
      </c>
      <c r="F2952">
        <f t="shared" si="92"/>
        <v>2.7912999999999855E-2</v>
      </c>
      <c r="G2952">
        <f t="shared" si="93"/>
        <v>99.529526154416075</v>
      </c>
    </row>
    <row r="2953" spans="2:7">
      <c r="B2953" t="s">
        <v>2</v>
      </c>
      <c r="C2953" s="2">
        <v>37776</v>
      </c>
      <c r="D2953" t="s">
        <v>6</v>
      </c>
      <c r="E2953">
        <v>3.643589</v>
      </c>
      <c r="F2953">
        <f t="shared" si="92"/>
        <v>-3.8923000000000041E-2</v>
      </c>
      <c r="G2953">
        <f t="shared" si="93"/>
        <v>99.380540720336811</v>
      </c>
    </row>
    <row r="2954" spans="2:7">
      <c r="B2954" t="s">
        <v>2</v>
      </c>
      <c r="C2954" s="2">
        <v>37775</v>
      </c>
      <c r="D2954" t="s">
        <v>6</v>
      </c>
      <c r="E2954">
        <v>3.682512</v>
      </c>
      <c r="F2954">
        <f t="shared" si="92"/>
        <v>-9.3806999999999974E-2</v>
      </c>
      <c r="G2954">
        <f t="shared" si="93"/>
        <v>99.420272903427943</v>
      </c>
    </row>
    <row r="2955" spans="2:7">
      <c r="B2955" t="s">
        <v>2</v>
      </c>
      <c r="C2955" s="2">
        <v>37774</v>
      </c>
      <c r="D2955" t="s">
        <v>6</v>
      </c>
      <c r="E2955">
        <v>3.776319</v>
      </c>
      <c r="F2955">
        <f t="shared" si="92"/>
        <v>7.3506999999999767E-2</v>
      </c>
      <c r="G2955">
        <f t="shared" si="93"/>
        <v>97.884839213772381</v>
      </c>
    </row>
    <row r="2956" spans="2:7">
      <c r="B2956" t="s">
        <v>2</v>
      </c>
      <c r="C2956" s="2">
        <v>37771</v>
      </c>
      <c r="D2956" t="s">
        <v>6</v>
      </c>
      <c r="E2956">
        <v>3.7028120000000002</v>
      </c>
      <c r="F2956">
        <f t="shared" si="92"/>
        <v>2.9720000000001967E-3</v>
      </c>
      <c r="G2956">
        <f t="shared" si="93"/>
        <v>97.05479224007864</v>
      </c>
    </row>
    <row r="2957" spans="2:7">
      <c r="B2957" t="s">
        <v>2</v>
      </c>
      <c r="C2957" s="2">
        <v>37770</v>
      </c>
      <c r="D2957" t="s">
        <v>6</v>
      </c>
      <c r="E2957">
        <v>3.69984</v>
      </c>
      <c r="F2957">
        <f t="shared" si="92"/>
        <v>-8.7743999999999822E-2</v>
      </c>
      <c r="G2957">
        <f t="shared" si="93"/>
        <v>97.148337043098195</v>
      </c>
    </row>
    <row r="2958" spans="2:7">
      <c r="B2958" t="s">
        <v>2</v>
      </c>
      <c r="C2958" s="2">
        <v>37769</v>
      </c>
      <c r="D2958" t="s">
        <v>6</v>
      </c>
      <c r="E2958">
        <v>3.7875839999999998</v>
      </c>
      <c r="F2958">
        <f t="shared" si="92"/>
        <v>1.9692999999999738E-2</v>
      </c>
      <c r="G2958">
        <f t="shared" si="93"/>
        <v>95.787052719136526</v>
      </c>
    </row>
    <row r="2959" spans="2:7">
      <c r="B2959" t="s">
        <v>2</v>
      </c>
      <c r="C2959" s="2">
        <v>37768</v>
      </c>
      <c r="D2959" t="s">
        <v>6</v>
      </c>
      <c r="E2959">
        <v>3.7678910000000001</v>
      </c>
      <c r="F2959">
        <f t="shared" si="92"/>
        <v>8.4907999999999983E-2</v>
      </c>
      <c r="G2959">
        <f t="shared" si="93"/>
        <v>95.68959285894465</v>
      </c>
    </row>
    <row r="2960" spans="2:7">
      <c r="B2960" t="s">
        <v>2</v>
      </c>
      <c r="C2960" s="2">
        <v>37764</v>
      </c>
      <c r="D2960" t="s">
        <v>6</v>
      </c>
      <c r="E2960">
        <v>3.6829830000000001</v>
      </c>
      <c r="F2960">
        <f t="shared" si="92"/>
        <v>4.634000000000249E-3</v>
      </c>
      <c r="G2960">
        <f t="shared" si="93"/>
        <v>94.450685044741221</v>
      </c>
    </row>
    <row r="2961" spans="2:7">
      <c r="B2961" t="s">
        <v>2</v>
      </c>
      <c r="C2961" s="2">
        <v>37763</v>
      </c>
      <c r="D2961" t="s">
        <v>6</v>
      </c>
      <c r="E2961">
        <v>3.6783489999999999</v>
      </c>
      <c r="F2961">
        <f t="shared" si="92"/>
        <v>-3.85270000000002E-2</v>
      </c>
      <c r="G2961">
        <f t="shared" si="93"/>
        <v>94.442728461908615</v>
      </c>
    </row>
    <row r="2962" spans="2:7">
      <c r="B2962" t="s">
        <v>2</v>
      </c>
      <c r="C2962" s="2">
        <v>37762</v>
      </c>
      <c r="D2962" t="s">
        <v>6</v>
      </c>
      <c r="E2962">
        <v>3.7168760000000001</v>
      </c>
      <c r="F2962">
        <f t="shared" si="92"/>
        <v>1.9817000000000196E-2</v>
      </c>
      <c r="G2962">
        <f t="shared" si="93"/>
        <v>94.301775250569364</v>
      </c>
    </row>
    <row r="2963" spans="2:7">
      <c r="B2963" t="s">
        <v>2</v>
      </c>
      <c r="C2963" s="2">
        <v>37761</v>
      </c>
      <c r="D2963" t="s">
        <v>6</v>
      </c>
      <c r="E2963">
        <v>3.6970589999999999</v>
      </c>
      <c r="F2963">
        <f t="shared" si="92"/>
        <v>-6.5684000000000076E-2</v>
      </c>
      <c r="G2963">
        <f t="shared" si="93"/>
        <v>94.262476920144422</v>
      </c>
    </row>
    <row r="2964" spans="2:7">
      <c r="B2964" t="s">
        <v>2</v>
      </c>
      <c r="C2964" s="2">
        <v>37760</v>
      </c>
      <c r="D2964" t="s">
        <v>6</v>
      </c>
      <c r="E2964">
        <v>3.7627429999999999</v>
      </c>
      <c r="F2964">
        <f t="shared" si="92"/>
        <v>-1.5725999999999907E-2</v>
      </c>
      <c r="G2964">
        <f t="shared" si="93"/>
        <v>93.965616453377649</v>
      </c>
    </row>
    <row r="2965" spans="2:7">
      <c r="B2965" t="s">
        <v>2</v>
      </c>
      <c r="C2965" s="2">
        <v>37757</v>
      </c>
      <c r="D2965" t="s">
        <v>6</v>
      </c>
      <c r="E2965">
        <v>3.7784689999999999</v>
      </c>
      <c r="F2965">
        <f t="shared" si="92"/>
        <v>-6.1834000000000167E-2</v>
      </c>
      <c r="G2965">
        <f t="shared" si="93"/>
        <v>94.841179988715012</v>
      </c>
    </row>
    <row r="2966" spans="2:7">
      <c r="B2966" t="s">
        <v>2</v>
      </c>
      <c r="C2966" s="2">
        <v>37756</v>
      </c>
      <c r="D2966" t="s">
        <v>6</v>
      </c>
      <c r="E2966">
        <v>3.840303</v>
      </c>
      <c r="F2966">
        <f t="shared" si="92"/>
        <v>-6.0869999999999536E-3</v>
      </c>
      <c r="G2966">
        <f t="shared" si="93"/>
        <v>94.403343027143734</v>
      </c>
    </row>
    <row r="2967" spans="2:7">
      <c r="B2967" t="s">
        <v>2</v>
      </c>
      <c r="C2967" s="2">
        <v>37755</v>
      </c>
      <c r="D2967" t="s">
        <v>6</v>
      </c>
      <c r="E2967">
        <v>3.84639</v>
      </c>
      <c r="F2967">
        <f t="shared" si="92"/>
        <v>-0.10206500000000007</v>
      </c>
      <c r="G2967">
        <f t="shared" si="93"/>
        <v>95.230403931757266</v>
      </c>
    </row>
    <row r="2968" spans="2:7">
      <c r="B2968" t="s">
        <v>2</v>
      </c>
      <c r="C2968" s="2">
        <v>37754</v>
      </c>
      <c r="D2968" t="s">
        <v>6</v>
      </c>
      <c r="E2968">
        <v>3.948455</v>
      </c>
      <c r="F2968">
        <f t="shared" si="92"/>
        <v>-1.7570000000000086E-2</v>
      </c>
      <c r="G2968">
        <f t="shared" si="93"/>
        <v>93.235294030702377</v>
      </c>
    </row>
    <row r="2969" spans="2:7">
      <c r="B2969" t="s">
        <v>2</v>
      </c>
      <c r="C2969" s="2">
        <v>37753</v>
      </c>
      <c r="D2969" t="s">
        <v>6</v>
      </c>
      <c r="E2969">
        <v>3.9660250000000001</v>
      </c>
      <c r="F2969">
        <f t="shared" si="92"/>
        <v>-5.1274000000000264E-2</v>
      </c>
      <c r="G2969">
        <f t="shared" si="93"/>
        <v>94.544674342071971</v>
      </c>
    </row>
    <row r="2970" spans="2:7">
      <c r="B2970" t="s">
        <v>2</v>
      </c>
      <c r="C2970" s="2">
        <v>37750</v>
      </c>
      <c r="D2970" t="s">
        <v>6</v>
      </c>
      <c r="E2970">
        <v>4.0172990000000004</v>
      </c>
      <c r="F2970">
        <f t="shared" si="92"/>
        <v>1.6018000000000754E-2</v>
      </c>
      <c r="G2970">
        <f t="shared" si="93"/>
        <v>94.375580362506298</v>
      </c>
    </row>
    <row r="2971" spans="2:7">
      <c r="B2971" t="s">
        <v>2</v>
      </c>
      <c r="C2971" s="2">
        <v>37749</v>
      </c>
      <c r="D2971" t="s">
        <v>6</v>
      </c>
      <c r="E2971">
        <v>4.0012809999999996</v>
      </c>
      <c r="F2971">
        <f t="shared" si="92"/>
        <v>-1.9630000000000258E-2</v>
      </c>
      <c r="G2971">
        <f t="shared" si="93"/>
        <v>94.616803949946856</v>
      </c>
    </row>
    <row r="2972" spans="2:7">
      <c r="B2972" t="s">
        <v>2</v>
      </c>
      <c r="C2972" s="2">
        <v>37748</v>
      </c>
      <c r="D2972" t="s">
        <v>6</v>
      </c>
      <c r="E2972">
        <v>4.0209109999999999</v>
      </c>
      <c r="F2972">
        <f t="shared" si="92"/>
        <v>-0.139621</v>
      </c>
      <c r="G2972">
        <f t="shared" si="93"/>
        <v>94.701697828383132</v>
      </c>
    </row>
    <row r="2973" spans="2:7">
      <c r="B2973" t="s">
        <v>2</v>
      </c>
      <c r="C2973" s="2">
        <v>37747</v>
      </c>
      <c r="D2973" t="s">
        <v>6</v>
      </c>
      <c r="E2973">
        <v>4.1605319999999999</v>
      </c>
      <c r="F2973">
        <f t="shared" si="92"/>
        <v>-9.4780000000000086E-2</v>
      </c>
      <c r="G2973">
        <f t="shared" si="93"/>
        <v>91.140546747292888</v>
      </c>
    </row>
    <row r="2974" spans="2:7">
      <c r="B2974" t="s">
        <v>2</v>
      </c>
      <c r="C2974" s="2">
        <v>37746</v>
      </c>
      <c r="D2974" t="s">
        <v>6</v>
      </c>
      <c r="E2974">
        <v>4.255312</v>
      </c>
      <c r="F2974">
        <f t="shared" si="92"/>
        <v>-2.600400000000036E-2</v>
      </c>
      <c r="G2974">
        <f t="shared" si="93"/>
        <v>89.182465617020654</v>
      </c>
    </row>
    <row r="2975" spans="2:7">
      <c r="B2975" t="s">
        <v>2</v>
      </c>
      <c r="C2975" s="2">
        <v>37743</v>
      </c>
      <c r="D2975" t="s">
        <v>6</v>
      </c>
      <c r="E2975">
        <v>4.2813160000000003</v>
      </c>
      <c r="F2975">
        <f t="shared" si="92"/>
        <v>6.344500000000064E-2</v>
      </c>
      <c r="G2975">
        <f t="shared" si="93"/>
        <v>89.744985659662134</v>
      </c>
    </row>
    <row r="2976" spans="2:7">
      <c r="B2976" t="s">
        <v>2</v>
      </c>
      <c r="C2976" s="2">
        <v>37742</v>
      </c>
      <c r="D2976" t="s">
        <v>6</v>
      </c>
      <c r="E2976">
        <v>4.2178709999999997</v>
      </c>
      <c r="F2976">
        <f t="shared" si="92"/>
        <v>1.2237999999999971E-2</v>
      </c>
      <c r="G2976">
        <f t="shared" si="93"/>
        <v>89.707427924549634</v>
      </c>
    </row>
    <row r="2977" spans="2:7">
      <c r="B2977" t="s">
        <v>2</v>
      </c>
      <c r="C2977" s="2">
        <v>37741</v>
      </c>
      <c r="D2977" t="s">
        <v>6</v>
      </c>
      <c r="E2977">
        <v>4.2056329999999997</v>
      </c>
      <c r="F2977">
        <f t="shared" si="92"/>
        <v>-9.948200000000007E-2</v>
      </c>
      <c r="G2977">
        <f t="shared" si="93"/>
        <v>90.296286679892063</v>
      </c>
    </row>
    <row r="2978" spans="2:7">
      <c r="B2978" t="s">
        <v>2</v>
      </c>
      <c r="C2978" s="2">
        <v>37740</v>
      </c>
      <c r="D2978" t="s">
        <v>6</v>
      </c>
      <c r="E2978">
        <v>4.3051149999999998</v>
      </c>
      <c r="F2978">
        <f t="shared" si="92"/>
        <v>3.1061000000000227E-2</v>
      </c>
      <c r="G2978">
        <f t="shared" si="93"/>
        <v>88.168352296041348</v>
      </c>
    </row>
    <row r="2979" spans="2:7">
      <c r="B2979" t="s">
        <v>2</v>
      </c>
      <c r="C2979" s="2">
        <v>37739</v>
      </c>
      <c r="D2979" t="s">
        <v>6</v>
      </c>
      <c r="E2979">
        <v>4.2740539999999996</v>
      </c>
      <c r="F2979">
        <f t="shared" si="92"/>
        <v>1.0686999999999891E-2</v>
      </c>
      <c r="G2979">
        <f t="shared" si="93"/>
        <v>87.938360080780569</v>
      </c>
    </row>
    <row r="2980" spans="2:7">
      <c r="B2980" t="s">
        <v>2</v>
      </c>
      <c r="C2980" s="2">
        <v>37736</v>
      </c>
      <c r="D2980" t="s">
        <v>6</v>
      </c>
      <c r="E2980">
        <v>4.2633669999999997</v>
      </c>
      <c r="F2980">
        <f t="shared" si="92"/>
        <v>-1.9563000000000663E-2</v>
      </c>
      <c r="G2980">
        <f t="shared" si="93"/>
        <v>88.592510538658757</v>
      </c>
    </row>
    <row r="2981" spans="2:7">
      <c r="B2981" t="s">
        <v>2</v>
      </c>
      <c r="C2981" s="2">
        <v>37735</v>
      </c>
      <c r="D2981" t="s">
        <v>6</v>
      </c>
      <c r="E2981">
        <v>4.2829300000000003</v>
      </c>
      <c r="F2981">
        <f t="shared" si="92"/>
        <v>-9.6711999999999243E-2</v>
      </c>
      <c r="G2981">
        <f t="shared" si="93"/>
        <v>89.339451637550866</v>
      </c>
    </row>
    <row r="2982" spans="2:7">
      <c r="B2982" t="s">
        <v>2</v>
      </c>
      <c r="C2982" s="2">
        <v>37734</v>
      </c>
      <c r="D2982" t="s">
        <v>6</v>
      </c>
      <c r="E2982">
        <v>4.3796419999999996</v>
      </c>
      <c r="F2982">
        <f t="shared" si="92"/>
        <v>-3.6100000000072185E-4</v>
      </c>
      <c r="G2982">
        <f t="shared" si="93"/>
        <v>87.211338432830814</v>
      </c>
    </row>
    <row r="2983" spans="2:7">
      <c r="B2983" t="s">
        <v>2</v>
      </c>
      <c r="C2983" s="2">
        <v>37733</v>
      </c>
      <c r="D2983" t="s">
        <v>6</v>
      </c>
      <c r="E2983">
        <v>4.3800030000000003</v>
      </c>
      <c r="F2983">
        <f t="shared" si="92"/>
        <v>3.2290000000001484E-3</v>
      </c>
      <c r="G2983">
        <f t="shared" si="93"/>
        <v>88.501391400673569</v>
      </c>
    </row>
    <row r="2984" spans="2:7">
      <c r="B2984" t="s">
        <v>2</v>
      </c>
      <c r="C2984" s="2">
        <v>37732</v>
      </c>
      <c r="D2984" t="s">
        <v>6</v>
      </c>
      <c r="E2984">
        <v>4.3767740000000002</v>
      </c>
      <c r="F2984">
        <f t="shared" si="92"/>
        <v>1.7163000000000039E-2</v>
      </c>
      <c r="G2984">
        <f t="shared" si="93"/>
        <v>88.923362404293414</v>
      </c>
    </row>
    <row r="2985" spans="2:7">
      <c r="B2985" t="s">
        <v>2</v>
      </c>
      <c r="C2985" s="2">
        <v>37728</v>
      </c>
      <c r="D2985" t="s">
        <v>6</v>
      </c>
      <c r="E2985">
        <v>4.3596110000000001</v>
      </c>
      <c r="F2985">
        <f t="shared" si="92"/>
        <v>1.191299999999984E-2</v>
      </c>
      <c r="G2985">
        <f t="shared" si="93"/>
        <v>89.043341151550962</v>
      </c>
    </row>
    <row r="2986" spans="2:7">
      <c r="B2986" t="s">
        <v>2</v>
      </c>
      <c r="C2986" s="2">
        <v>37727</v>
      </c>
      <c r="D2986" t="s">
        <v>6</v>
      </c>
      <c r="E2986">
        <v>4.3476980000000003</v>
      </c>
      <c r="F2986">
        <f t="shared" si="92"/>
        <v>-2.3028000000000048E-2</v>
      </c>
      <c r="G2986">
        <f t="shared" si="93"/>
        <v>89.753168946127829</v>
      </c>
    </row>
    <row r="2987" spans="2:7">
      <c r="B2987" t="s">
        <v>2</v>
      </c>
      <c r="C2987" s="2">
        <v>37726</v>
      </c>
      <c r="D2987" t="s">
        <v>6</v>
      </c>
      <c r="E2987">
        <v>4.3707260000000003</v>
      </c>
      <c r="F2987">
        <f t="shared" si="92"/>
        <v>-5.504799999999932E-2</v>
      </c>
      <c r="G2987">
        <f t="shared" si="93"/>
        <v>90.123313011233392</v>
      </c>
    </row>
    <row r="2988" spans="2:7">
      <c r="B2988" t="s">
        <v>2</v>
      </c>
      <c r="C2988" s="2">
        <v>37725</v>
      </c>
      <c r="D2988" t="s">
        <v>6</v>
      </c>
      <c r="E2988">
        <v>4.4257739999999997</v>
      </c>
      <c r="F2988">
        <f t="shared" si="92"/>
        <v>3.4834000000000032E-2</v>
      </c>
      <c r="G2988">
        <f t="shared" si="93"/>
        <v>89.883463510252355</v>
      </c>
    </row>
    <row r="2989" spans="2:7">
      <c r="B2989" t="s">
        <v>2</v>
      </c>
      <c r="C2989" s="2">
        <v>37722</v>
      </c>
      <c r="D2989" t="s">
        <v>6</v>
      </c>
      <c r="E2989">
        <v>4.3909399999999996</v>
      </c>
      <c r="F2989">
        <f t="shared" si="92"/>
        <v>4.2175999999999547E-2</v>
      </c>
      <c r="G2989">
        <f t="shared" si="93"/>
        <v>89.568739336467999</v>
      </c>
    </row>
    <row r="2990" spans="2:7">
      <c r="B2990" t="s">
        <v>2</v>
      </c>
      <c r="C2990" s="2">
        <v>37721</v>
      </c>
      <c r="D2990" t="s">
        <v>6</v>
      </c>
      <c r="E2990">
        <v>4.3487640000000001</v>
      </c>
      <c r="F2990">
        <f t="shared" si="92"/>
        <v>3.5338000000000314E-2</v>
      </c>
      <c r="G2990">
        <f t="shared" si="93"/>
        <v>89.130983465343249</v>
      </c>
    </row>
    <row r="2991" spans="2:7">
      <c r="B2991" t="s">
        <v>2</v>
      </c>
      <c r="C2991" s="2">
        <v>37720</v>
      </c>
      <c r="D2991" t="s">
        <v>6</v>
      </c>
      <c r="E2991">
        <v>4.3134259999999998</v>
      </c>
      <c r="F2991">
        <f t="shared" si="92"/>
        <v>-3.8428000000000573E-2</v>
      </c>
      <c r="G2991">
        <f t="shared" si="93"/>
        <v>89.685262488993288</v>
      </c>
    </row>
    <row r="2992" spans="2:7">
      <c r="B2992" t="s">
        <v>2</v>
      </c>
      <c r="C2992" s="2">
        <v>37719</v>
      </c>
      <c r="D2992" t="s">
        <v>6</v>
      </c>
      <c r="E2992">
        <v>4.3518540000000003</v>
      </c>
      <c r="F2992">
        <f t="shared" si="92"/>
        <v>-8.5373999999999839E-2</v>
      </c>
      <c r="G2992">
        <f t="shared" si="93"/>
        <v>89.448343653507237</v>
      </c>
    </row>
    <row r="2993" spans="2:7">
      <c r="B2993" t="s">
        <v>2</v>
      </c>
      <c r="C2993" s="2">
        <v>37718</v>
      </c>
      <c r="D2993" t="s">
        <v>6</v>
      </c>
      <c r="E2993">
        <v>4.4372280000000002</v>
      </c>
      <c r="F2993">
        <f t="shared" si="92"/>
        <v>5.8882000000000545E-2</v>
      </c>
      <c r="G2993">
        <f t="shared" si="93"/>
        <v>87.89049367767862</v>
      </c>
    </row>
    <row r="2994" spans="2:7">
      <c r="B2994" t="s">
        <v>2</v>
      </c>
      <c r="C2994" s="2">
        <v>37715</v>
      </c>
      <c r="D2994" t="s">
        <v>6</v>
      </c>
      <c r="E2994">
        <v>4.3783459999999996</v>
      </c>
      <c r="F2994">
        <f t="shared" si="92"/>
        <v>3.0218999999999774E-2</v>
      </c>
      <c r="G2994">
        <f t="shared" si="93"/>
        <v>94.736883782233178</v>
      </c>
    </row>
    <row r="2995" spans="2:7">
      <c r="B2995" t="s">
        <v>2</v>
      </c>
      <c r="C2995" s="2">
        <v>37714</v>
      </c>
      <c r="D2995" t="s">
        <v>6</v>
      </c>
      <c r="E2995">
        <v>4.3481269999999999</v>
      </c>
      <c r="F2995">
        <f t="shared" si="92"/>
        <v>-3.0251999999999946E-2</v>
      </c>
      <c r="G2995">
        <f t="shared" si="93"/>
        <v>94.875932503620191</v>
      </c>
    </row>
    <row r="2996" spans="2:7">
      <c r="B2996" t="s">
        <v>2</v>
      </c>
      <c r="C2996" s="2">
        <v>37713</v>
      </c>
      <c r="D2996" t="s">
        <v>6</v>
      </c>
      <c r="E2996">
        <v>4.3783789999999998</v>
      </c>
      <c r="F2996">
        <f t="shared" si="92"/>
        <v>0.11274300000000004</v>
      </c>
      <c r="G2996">
        <f t="shared" si="93"/>
        <v>95.14616942440567</v>
      </c>
    </row>
    <row r="2997" spans="2:7">
      <c r="B2997" t="s">
        <v>2</v>
      </c>
      <c r="C2997" s="2">
        <v>37712</v>
      </c>
      <c r="D2997" t="s">
        <v>6</v>
      </c>
      <c r="E2997">
        <v>4.2656359999999998</v>
      </c>
      <c r="F2997">
        <f t="shared" si="92"/>
        <v>8.123999999999576E-3</v>
      </c>
      <c r="G2997">
        <f t="shared" si="93"/>
        <v>92.223983203461927</v>
      </c>
    </row>
    <row r="2998" spans="2:7">
      <c r="B2998" t="s">
        <v>2</v>
      </c>
      <c r="C2998" s="2">
        <v>37711</v>
      </c>
      <c r="D2998" t="s">
        <v>6</v>
      </c>
      <c r="E2998">
        <v>4.2575120000000002</v>
      </c>
      <c r="F2998">
        <f t="shared" si="92"/>
        <v>-8.7461999999999485E-2</v>
      </c>
      <c r="G2998">
        <f t="shared" si="93"/>
        <v>92.210754541072362</v>
      </c>
    </row>
    <row r="2999" spans="2:7">
      <c r="B2999" t="s">
        <v>2</v>
      </c>
      <c r="C2999" s="2">
        <v>37708</v>
      </c>
      <c r="D2999" t="s">
        <v>6</v>
      </c>
      <c r="E2999">
        <v>4.3449739999999997</v>
      </c>
      <c r="F2999">
        <f t="shared" si="92"/>
        <v>-2.5916000000000494E-2</v>
      </c>
      <c r="G2999">
        <f t="shared" si="93"/>
        <v>100.35980174930759</v>
      </c>
    </row>
    <row r="3000" spans="2:7">
      <c r="B3000" t="s">
        <v>2</v>
      </c>
      <c r="C3000" s="2">
        <v>37707</v>
      </c>
      <c r="D3000" t="s">
        <v>6</v>
      </c>
      <c r="E3000">
        <v>4.3708900000000002</v>
      </c>
      <c r="F3000">
        <f t="shared" si="92"/>
        <v>-2.0553999999999739E-2</v>
      </c>
      <c r="G3000">
        <f t="shared" si="93"/>
        <v>100.4635424365779</v>
      </c>
    </row>
    <row r="3001" spans="2:7">
      <c r="B3001" t="s">
        <v>2</v>
      </c>
      <c r="C3001" s="2">
        <v>37706</v>
      </c>
      <c r="D3001" t="s">
        <v>6</v>
      </c>
      <c r="E3001">
        <v>4.3914439999999999</v>
      </c>
      <c r="F3001">
        <f t="shared" si="92"/>
        <v>-1.6887999999999792E-2</v>
      </c>
      <c r="G3001">
        <f t="shared" si="93"/>
        <v>100.58875334667535</v>
      </c>
    </row>
    <row r="3002" spans="2:7">
      <c r="B3002" t="s">
        <v>2</v>
      </c>
      <c r="C3002" s="2">
        <v>37705</v>
      </c>
      <c r="D3002" t="s">
        <v>6</v>
      </c>
      <c r="E3002">
        <v>4.4083319999999997</v>
      </c>
      <c r="F3002">
        <f t="shared" si="92"/>
        <v>-2.3172000000000637E-2</v>
      </c>
      <c r="G3002">
        <f t="shared" si="93"/>
        <v>102.71652240339037</v>
      </c>
    </row>
    <row r="3003" spans="2:7">
      <c r="B3003" t="s">
        <v>2</v>
      </c>
      <c r="C3003" s="2">
        <v>37704</v>
      </c>
      <c r="D3003" t="s">
        <v>6</v>
      </c>
      <c r="E3003">
        <v>4.4315040000000003</v>
      </c>
      <c r="F3003">
        <f t="shared" si="92"/>
        <v>-0.14136799999999994</v>
      </c>
      <c r="G3003">
        <f t="shared" si="93"/>
        <v>102.67462540137589</v>
      </c>
    </row>
    <row r="3004" spans="2:7">
      <c r="B3004" t="s">
        <v>2</v>
      </c>
      <c r="C3004" s="2">
        <v>37701</v>
      </c>
      <c r="D3004" t="s">
        <v>6</v>
      </c>
      <c r="E3004">
        <v>4.5728720000000003</v>
      </c>
      <c r="F3004">
        <f t="shared" si="92"/>
        <v>0.10326900000000006</v>
      </c>
      <c r="G3004">
        <f t="shared" si="93"/>
        <v>98.674543748467528</v>
      </c>
    </row>
    <row r="3005" spans="2:7">
      <c r="B3005" t="s">
        <v>2</v>
      </c>
      <c r="C3005" s="2">
        <v>37700</v>
      </c>
      <c r="D3005" t="s">
        <v>6</v>
      </c>
      <c r="E3005">
        <v>4.4696030000000002</v>
      </c>
      <c r="F3005">
        <f t="shared" si="92"/>
        <v>5.0253000000000547E-2</v>
      </c>
      <c r="G3005">
        <f t="shared" si="93"/>
        <v>96.475759787281291</v>
      </c>
    </row>
    <row r="3006" spans="2:7">
      <c r="B3006" t="s">
        <v>2</v>
      </c>
      <c r="C3006" s="2">
        <v>37699</v>
      </c>
      <c r="D3006" t="s">
        <v>6</v>
      </c>
      <c r="E3006">
        <v>4.4193499999999997</v>
      </c>
      <c r="F3006">
        <f t="shared" si="92"/>
        <v>7.1444999999999759E-2</v>
      </c>
      <c r="G3006">
        <f t="shared" si="93"/>
        <v>95.933483362598324</v>
      </c>
    </row>
    <row r="3007" spans="2:7">
      <c r="B3007" t="s">
        <v>2</v>
      </c>
      <c r="C3007" s="2">
        <v>37698</v>
      </c>
      <c r="D3007" t="s">
        <v>6</v>
      </c>
      <c r="E3007">
        <v>4.3479049999999999</v>
      </c>
      <c r="F3007">
        <f t="shared" si="92"/>
        <v>7.8368999999999467E-2</v>
      </c>
      <c r="G3007">
        <f t="shared" si="93"/>
        <v>96.503081813216994</v>
      </c>
    </row>
    <row r="3008" spans="2:7">
      <c r="B3008" t="s">
        <v>2</v>
      </c>
      <c r="C3008" s="2">
        <v>37697</v>
      </c>
      <c r="D3008" t="s">
        <v>6</v>
      </c>
      <c r="E3008">
        <v>4.2695360000000004</v>
      </c>
      <c r="F3008">
        <f t="shared" si="92"/>
        <v>0.11916500000000063</v>
      </c>
      <c r="G3008">
        <f t="shared" si="93"/>
        <v>95.817876344155223</v>
      </c>
    </row>
    <row r="3009" spans="2:7">
      <c r="B3009" t="s">
        <v>2</v>
      </c>
      <c r="C3009" s="2">
        <v>37694</v>
      </c>
      <c r="D3009" t="s">
        <v>6</v>
      </c>
      <c r="E3009">
        <v>4.1503709999999998</v>
      </c>
      <c r="F3009">
        <f t="shared" si="92"/>
        <v>-2.4640999999999913E-2</v>
      </c>
      <c r="G3009">
        <f t="shared" si="93"/>
        <v>92.372446995232337</v>
      </c>
    </row>
    <row r="3010" spans="2:7">
      <c r="B3010" t="s">
        <v>2</v>
      </c>
      <c r="C3010" s="2">
        <v>37693</v>
      </c>
      <c r="D3010" t="s">
        <v>6</v>
      </c>
      <c r="E3010">
        <v>4.1750119999999997</v>
      </c>
      <c r="F3010">
        <f t="shared" si="92"/>
        <v>0.14740999999999982</v>
      </c>
      <c r="G3010">
        <f t="shared" si="93"/>
        <v>93.355308429479663</v>
      </c>
    </row>
    <row r="3011" spans="2:7">
      <c r="B3011" t="s">
        <v>2</v>
      </c>
      <c r="C3011" s="2">
        <v>37692</v>
      </c>
      <c r="D3011" t="s">
        <v>6</v>
      </c>
      <c r="E3011">
        <v>4.0276019999999999</v>
      </c>
      <c r="F3011">
        <f t="shared" ref="F3011:F3074" si="94">E3011-E3012</f>
        <v>6.8619999999999237E-3</v>
      </c>
      <c r="G3011">
        <f t="shared" ref="G3011:G3074" si="95">STDEV(F3011:F3070)*SQRT(250)*100</f>
        <v>88.982452583797027</v>
      </c>
    </row>
    <row r="3012" spans="2:7">
      <c r="B3012" t="s">
        <v>2</v>
      </c>
      <c r="C3012" s="2">
        <v>37691</v>
      </c>
      <c r="D3012" t="s">
        <v>6</v>
      </c>
      <c r="E3012">
        <v>4.02074</v>
      </c>
      <c r="F3012">
        <f t="shared" si="94"/>
        <v>1.5185999999999922E-2</v>
      </c>
      <c r="G3012">
        <f t="shared" si="95"/>
        <v>89.063563293904579</v>
      </c>
    </row>
    <row r="3013" spans="2:7">
      <c r="B3013" t="s">
        <v>2</v>
      </c>
      <c r="C3013" s="2">
        <v>37690</v>
      </c>
      <c r="D3013" t="s">
        <v>6</v>
      </c>
      <c r="E3013">
        <v>4.0055540000000001</v>
      </c>
      <c r="F3013">
        <f t="shared" si="94"/>
        <v>-4.1646000000000072E-2</v>
      </c>
      <c r="G3013">
        <f t="shared" si="95"/>
        <v>89.499276471777989</v>
      </c>
    </row>
    <row r="3014" spans="2:7">
      <c r="B3014" t="s">
        <v>2</v>
      </c>
      <c r="C3014" s="2">
        <v>37687</v>
      </c>
      <c r="D3014" t="s">
        <v>6</v>
      </c>
      <c r="E3014">
        <v>4.0472000000000001</v>
      </c>
      <c r="F3014">
        <f t="shared" si="94"/>
        <v>-3.0833999999999584E-2</v>
      </c>
      <c r="G3014">
        <f t="shared" si="95"/>
        <v>89.236742105679738</v>
      </c>
    </row>
    <row r="3015" spans="2:7">
      <c r="B3015" t="s">
        <v>2</v>
      </c>
      <c r="C3015" s="2">
        <v>37686</v>
      </c>
      <c r="D3015" t="s">
        <v>6</v>
      </c>
      <c r="E3015">
        <v>4.0780339999999997</v>
      </c>
      <c r="F3015">
        <f t="shared" si="94"/>
        <v>4.3592999999999549E-2</v>
      </c>
      <c r="G3015">
        <f t="shared" si="95"/>
        <v>89.443600594114116</v>
      </c>
    </row>
    <row r="3016" spans="2:7">
      <c r="B3016" t="s">
        <v>2</v>
      </c>
      <c r="C3016" s="2">
        <v>37685</v>
      </c>
      <c r="D3016" t="s">
        <v>6</v>
      </c>
      <c r="E3016">
        <v>4.0344410000000002</v>
      </c>
      <c r="F3016">
        <f t="shared" si="94"/>
        <v>-2.8270000000000017E-2</v>
      </c>
      <c r="G3016">
        <f t="shared" si="95"/>
        <v>88.886673431734934</v>
      </c>
    </row>
    <row r="3017" spans="2:7">
      <c r="B3017" t="s">
        <v>2</v>
      </c>
      <c r="C3017" s="2">
        <v>37684</v>
      </c>
      <c r="D3017" t="s">
        <v>6</v>
      </c>
      <c r="E3017">
        <v>4.0627110000000002</v>
      </c>
      <c r="F3017">
        <f t="shared" si="94"/>
        <v>-2.9138999999999804E-2</v>
      </c>
      <c r="G3017">
        <f t="shared" si="95"/>
        <v>89.40517278028257</v>
      </c>
    </row>
    <row r="3018" spans="2:7">
      <c r="B3018" t="s">
        <v>2</v>
      </c>
      <c r="C3018" s="2">
        <v>37683</v>
      </c>
      <c r="D3018" t="s">
        <v>6</v>
      </c>
      <c r="E3018">
        <v>4.09185</v>
      </c>
      <c r="F3018">
        <f t="shared" si="94"/>
        <v>-1.9142000000000436E-2</v>
      </c>
      <c r="G3018">
        <f t="shared" si="95"/>
        <v>89.739021046197109</v>
      </c>
    </row>
    <row r="3019" spans="2:7">
      <c r="B3019" t="s">
        <v>2</v>
      </c>
      <c r="C3019" s="2">
        <v>37680</v>
      </c>
      <c r="D3019" t="s">
        <v>6</v>
      </c>
      <c r="E3019">
        <v>4.1109920000000004</v>
      </c>
      <c r="F3019">
        <f t="shared" si="94"/>
        <v>-6.0548999999999964E-2</v>
      </c>
      <c r="G3019">
        <f t="shared" si="95"/>
        <v>89.754800383622708</v>
      </c>
    </row>
    <row r="3020" spans="2:7">
      <c r="B3020" t="s">
        <v>2</v>
      </c>
      <c r="C3020" s="2">
        <v>37679</v>
      </c>
      <c r="D3020" t="s">
        <v>6</v>
      </c>
      <c r="E3020">
        <v>4.1715410000000004</v>
      </c>
      <c r="F3020">
        <f t="shared" si="94"/>
        <v>-1.9880999999999815E-2</v>
      </c>
      <c r="G3020">
        <f t="shared" si="95"/>
        <v>89.152879529953225</v>
      </c>
    </row>
    <row r="3021" spans="2:7">
      <c r="B3021" t="s">
        <v>2</v>
      </c>
      <c r="C3021" s="2">
        <v>37678</v>
      </c>
      <c r="D3021" t="s">
        <v>6</v>
      </c>
      <c r="E3021">
        <v>4.1914220000000002</v>
      </c>
      <c r="F3021">
        <f t="shared" si="94"/>
        <v>-2.5094999999999423E-2</v>
      </c>
      <c r="G3021">
        <f t="shared" si="95"/>
        <v>89.19635855338278</v>
      </c>
    </row>
    <row r="3022" spans="2:7">
      <c r="B3022" t="s">
        <v>2</v>
      </c>
      <c r="C3022" s="2">
        <v>37677</v>
      </c>
      <c r="D3022" t="s">
        <v>6</v>
      </c>
      <c r="E3022">
        <v>4.2165169999999996</v>
      </c>
      <c r="F3022">
        <f t="shared" si="94"/>
        <v>-3.4129000000000076E-2</v>
      </c>
      <c r="G3022">
        <f t="shared" si="95"/>
        <v>96.166596634882353</v>
      </c>
    </row>
    <row r="3023" spans="2:7">
      <c r="B3023" t="s">
        <v>2</v>
      </c>
      <c r="C3023" s="2">
        <v>37676</v>
      </c>
      <c r="D3023" t="s">
        <v>6</v>
      </c>
      <c r="E3023">
        <v>4.2506459999999997</v>
      </c>
      <c r="F3023">
        <f t="shared" si="94"/>
        <v>-5.2489000000000452E-2</v>
      </c>
      <c r="G3023">
        <f t="shared" si="95"/>
        <v>97.960082524770755</v>
      </c>
    </row>
    <row r="3024" spans="2:7">
      <c r="B3024" t="s">
        <v>2</v>
      </c>
      <c r="C3024" s="2">
        <v>37673</v>
      </c>
      <c r="D3024" t="s">
        <v>6</v>
      </c>
      <c r="E3024">
        <v>4.3031350000000002</v>
      </c>
      <c r="F3024">
        <f t="shared" si="94"/>
        <v>5.446500000000043E-2</v>
      </c>
      <c r="G3024">
        <f t="shared" si="95"/>
        <v>97.525136133128882</v>
      </c>
    </row>
    <row r="3025" spans="2:7">
      <c r="B3025" t="s">
        <v>2</v>
      </c>
      <c r="C3025" s="2">
        <v>37672</v>
      </c>
      <c r="D3025" t="s">
        <v>6</v>
      </c>
      <c r="E3025">
        <v>4.2486699999999997</v>
      </c>
      <c r="F3025">
        <f t="shared" si="94"/>
        <v>-3.8965000000000138E-2</v>
      </c>
      <c r="G3025">
        <f t="shared" si="95"/>
        <v>97.292996824403815</v>
      </c>
    </row>
    <row r="3026" spans="2:7">
      <c r="B3026" t="s">
        <v>2</v>
      </c>
      <c r="C3026" s="2">
        <v>37671</v>
      </c>
      <c r="D3026" t="s">
        <v>6</v>
      </c>
      <c r="E3026">
        <v>4.2876349999999999</v>
      </c>
      <c r="F3026">
        <f t="shared" si="94"/>
        <v>-6.8846999999999881E-2</v>
      </c>
      <c r="G3026">
        <f t="shared" si="95"/>
        <v>98.404882629983931</v>
      </c>
    </row>
    <row r="3027" spans="2:7">
      <c r="B3027" t="s">
        <v>2</v>
      </c>
      <c r="C3027" s="2">
        <v>37670</v>
      </c>
      <c r="D3027" t="s">
        <v>6</v>
      </c>
      <c r="E3027">
        <v>4.3564819999999997</v>
      </c>
      <c r="F3027">
        <f t="shared" si="94"/>
        <v>-1.2315000000000076E-2</v>
      </c>
      <c r="G3027">
        <f t="shared" si="95"/>
        <v>99.056746071986751</v>
      </c>
    </row>
    <row r="3028" spans="2:7">
      <c r="B3028" t="s">
        <v>2</v>
      </c>
      <c r="C3028" s="2">
        <v>37666</v>
      </c>
      <c r="D3028" t="s">
        <v>6</v>
      </c>
      <c r="E3028">
        <v>4.3687969999999998</v>
      </c>
      <c r="F3028">
        <f t="shared" si="94"/>
        <v>7.0738999999999663E-2</v>
      </c>
      <c r="G3028">
        <f t="shared" si="95"/>
        <v>99.300546539523268</v>
      </c>
    </row>
    <row r="3029" spans="2:7">
      <c r="B3029" t="s">
        <v>2</v>
      </c>
      <c r="C3029" s="2">
        <v>37665</v>
      </c>
      <c r="D3029" t="s">
        <v>6</v>
      </c>
      <c r="E3029">
        <v>4.2980580000000002</v>
      </c>
      <c r="F3029">
        <f t="shared" si="94"/>
        <v>-4.2135000000000034E-2</v>
      </c>
      <c r="G3029">
        <f t="shared" si="95"/>
        <v>98.616304747967902</v>
      </c>
    </row>
    <row r="3030" spans="2:7">
      <c r="B3030" t="s">
        <v>2</v>
      </c>
      <c r="C3030" s="2">
        <v>37664</v>
      </c>
      <c r="D3030" t="s">
        <v>6</v>
      </c>
      <c r="E3030">
        <v>4.3401930000000002</v>
      </c>
      <c r="F3030">
        <f t="shared" si="94"/>
        <v>-4.533900000000024E-2</v>
      </c>
      <c r="G3030">
        <f t="shared" si="95"/>
        <v>98.466149683443774</v>
      </c>
    </row>
    <row r="3031" spans="2:7">
      <c r="B3031" t="s">
        <v>2</v>
      </c>
      <c r="C3031" s="2">
        <v>37663</v>
      </c>
      <c r="D3031" t="s">
        <v>6</v>
      </c>
      <c r="E3031">
        <v>4.3855320000000004</v>
      </c>
      <c r="F3031">
        <f t="shared" si="94"/>
        <v>-2.9983999999999789E-2</v>
      </c>
      <c r="G3031">
        <f t="shared" si="95"/>
        <v>105.29679558283871</v>
      </c>
    </row>
    <row r="3032" spans="2:7">
      <c r="B3032" t="s">
        <v>2</v>
      </c>
      <c r="C3032" s="2">
        <v>37662</v>
      </c>
      <c r="D3032" t="s">
        <v>6</v>
      </c>
      <c r="E3032">
        <v>4.4155160000000002</v>
      </c>
      <c r="F3032">
        <f t="shared" si="94"/>
        <v>4.4896000000000491E-2</v>
      </c>
      <c r="G3032">
        <f t="shared" si="95"/>
        <v>105.10283235848992</v>
      </c>
    </row>
    <row r="3033" spans="2:7">
      <c r="B3033" t="s">
        <v>2</v>
      </c>
      <c r="C3033" s="2">
        <v>37659</v>
      </c>
      <c r="D3033" t="s">
        <v>6</v>
      </c>
      <c r="E3033">
        <v>4.3706199999999997</v>
      </c>
      <c r="F3033">
        <f t="shared" si="94"/>
        <v>-1.3892000000000237E-2</v>
      </c>
      <c r="G3033">
        <f t="shared" si="95"/>
        <v>104.85553941522885</v>
      </c>
    </row>
    <row r="3034" spans="2:7">
      <c r="B3034" t="s">
        <v>2</v>
      </c>
      <c r="C3034" s="2">
        <v>37658</v>
      </c>
      <c r="D3034" t="s">
        <v>6</v>
      </c>
      <c r="E3034">
        <v>4.384512</v>
      </c>
      <c r="F3034">
        <f t="shared" si="94"/>
        <v>-5.6556999999999746E-2</v>
      </c>
      <c r="G3034">
        <f t="shared" si="95"/>
        <v>105.02276096133005</v>
      </c>
    </row>
    <row r="3035" spans="2:7">
      <c r="B3035" t="s">
        <v>2</v>
      </c>
      <c r="C3035" s="2">
        <v>37657</v>
      </c>
      <c r="D3035" t="s">
        <v>6</v>
      </c>
      <c r="E3035">
        <v>4.4410689999999997</v>
      </c>
      <c r="F3035">
        <f t="shared" si="94"/>
        <v>6.2230999999999703E-2</v>
      </c>
      <c r="G3035">
        <f t="shared" si="95"/>
        <v>111.26452797134606</v>
      </c>
    </row>
    <row r="3036" spans="2:7">
      <c r="B3036" t="s">
        <v>2</v>
      </c>
      <c r="C3036" s="2">
        <v>37656</v>
      </c>
      <c r="D3036" t="s">
        <v>6</v>
      </c>
      <c r="E3036">
        <v>4.378838</v>
      </c>
      <c r="F3036">
        <f t="shared" si="94"/>
        <v>-5.5606000000000044E-2</v>
      </c>
      <c r="G3036">
        <f t="shared" si="95"/>
        <v>112.04319091858066</v>
      </c>
    </row>
    <row r="3037" spans="2:7">
      <c r="B3037" t="s">
        <v>2</v>
      </c>
      <c r="C3037" s="2">
        <v>37655</v>
      </c>
      <c r="D3037" t="s">
        <v>6</v>
      </c>
      <c r="E3037">
        <v>4.4344440000000001</v>
      </c>
      <c r="F3037">
        <f t="shared" si="94"/>
        <v>1.654499999999981E-2</v>
      </c>
      <c r="G3037">
        <f t="shared" si="95"/>
        <v>111.73646283323251</v>
      </c>
    </row>
    <row r="3038" spans="2:7">
      <c r="B3038" t="s">
        <v>2</v>
      </c>
      <c r="C3038" s="2">
        <v>37652</v>
      </c>
      <c r="D3038" t="s">
        <v>6</v>
      </c>
      <c r="E3038">
        <v>4.4178990000000002</v>
      </c>
      <c r="F3038">
        <f t="shared" si="94"/>
        <v>-1.468999999999987E-2</v>
      </c>
      <c r="G3038">
        <f t="shared" si="95"/>
        <v>112.27462799866859</v>
      </c>
    </row>
    <row r="3039" spans="2:7">
      <c r="B3039" t="s">
        <v>2</v>
      </c>
      <c r="C3039" s="2">
        <v>37651</v>
      </c>
      <c r="D3039" t="s">
        <v>6</v>
      </c>
      <c r="E3039">
        <v>4.4325890000000001</v>
      </c>
      <c r="F3039">
        <f t="shared" si="94"/>
        <v>-5.722999999999967E-2</v>
      </c>
      <c r="G3039">
        <f t="shared" si="95"/>
        <v>112.9865132157455</v>
      </c>
    </row>
    <row r="3040" spans="2:7">
      <c r="B3040" t="s">
        <v>2</v>
      </c>
      <c r="C3040" s="2">
        <v>37650</v>
      </c>
      <c r="D3040" t="s">
        <v>6</v>
      </c>
      <c r="E3040">
        <v>4.4898189999999998</v>
      </c>
      <c r="F3040">
        <f t="shared" si="94"/>
        <v>5.5208999999999619E-2</v>
      </c>
      <c r="G3040">
        <f t="shared" si="95"/>
        <v>112.83604578096067</v>
      </c>
    </row>
    <row r="3041" spans="2:7">
      <c r="B3041" t="s">
        <v>2</v>
      </c>
      <c r="C3041" s="2">
        <v>37649</v>
      </c>
      <c r="D3041" t="s">
        <v>6</v>
      </c>
      <c r="E3041">
        <v>4.4346100000000002</v>
      </c>
      <c r="F3041">
        <f t="shared" si="94"/>
        <v>1.1581999999999759E-2</v>
      </c>
      <c r="G3041">
        <f t="shared" si="95"/>
        <v>112.28931543411926</v>
      </c>
    </row>
    <row r="3042" spans="2:7">
      <c r="B3042" t="s">
        <v>2</v>
      </c>
      <c r="C3042" s="2">
        <v>37648</v>
      </c>
      <c r="D3042" t="s">
        <v>6</v>
      </c>
      <c r="E3042">
        <v>4.4230280000000004</v>
      </c>
      <c r="F3042">
        <f t="shared" si="94"/>
        <v>7.303000000000015E-2</v>
      </c>
      <c r="G3042">
        <f t="shared" si="95"/>
        <v>116.47468225497894</v>
      </c>
    </row>
    <row r="3043" spans="2:7">
      <c r="B3043" t="s">
        <v>2</v>
      </c>
      <c r="C3043" s="2">
        <v>37645</v>
      </c>
      <c r="D3043" t="s">
        <v>6</v>
      </c>
      <c r="E3043">
        <v>4.3499980000000003</v>
      </c>
      <c r="F3043">
        <f t="shared" si="94"/>
        <v>-4.2025999999999897E-2</v>
      </c>
      <c r="G3043">
        <f t="shared" si="95"/>
        <v>115.48279523906628</v>
      </c>
    </row>
    <row r="3044" spans="2:7">
      <c r="B3044" t="s">
        <v>2</v>
      </c>
      <c r="C3044" s="2">
        <v>37644</v>
      </c>
      <c r="D3044" t="s">
        <v>6</v>
      </c>
      <c r="E3044">
        <v>4.3920240000000002</v>
      </c>
      <c r="F3044">
        <f t="shared" si="94"/>
        <v>2.8194000000000052E-2</v>
      </c>
      <c r="G3044">
        <f t="shared" si="95"/>
        <v>115.90339465714905</v>
      </c>
    </row>
    <row r="3045" spans="2:7">
      <c r="B3045" t="s">
        <v>2</v>
      </c>
      <c r="C3045" s="2">
        <v>37643</v>
      </c>
      <c r="D3045" t="s">
        <v>6</v>
      </c>
      <c r="E3045">
        <v>4.3638300000000001</v>
      </c>
      <c r="F3045">
        <f t="shared" si="94"/>
        <v>-5.6792999999999871E-2</v>
      </c>
      <c r="G3045">
        <f t="shared" si="95"/>
        <v>117.31251965044729</v>
      </c>
    </row>
    <row r="3046" spans="2:7">
      <c r="B3046" t="s">
        <v>2</v>
      </c>
      <c r="C3046" s="2">
        <v>37642</v>
      </c>
      <c r="D3046" t="s">
        <v>6</v>
      </c>
      <c r="E3046">
        <v>4.420623</v>
      </c>
      <c r="F3046">
        <f t="shared" si="94"/>
        <v>-4.656199999999977E-2</v>
      </c>
      <c r="G3046">
        <f t="shared" si="95"/>
        <v>116.93721262258636</v>
      </c>
    </row>
    <row r="3047" spans="2:7">
      <c r="B3047" t="s">
        <v>2</v>
      </c>
      <c r="C3047" s="2">
        <v>37638</v>
      </c>
      <c r="D3047" t="s">
        <v>6</v>
      </c>
      <c r="E3047">
        <v>4.4671849999999997</v>
      </c>
      <c r="F3047">
        <f t="shared" si="94"/>
        <v>-4.4489000000000445E-2</v>
      </c>
      <c r="G3047">
        <f t="shared" si="95"/>
        <v>117.00797005415575</v>
      </c>
    </row>
    <row r="3048" spans="2:7">
      <c r="B3048" t="s">
        <v>2</v>
      </c>
      <c r="C3048" s="2">
        <v>37637</v>
      </c>
      <c r="D3048" t="s">
        <v>6</v>
      </c>
      <c r="E3048">
        <v>4.5116740000000002</v>
      </c>
      <c r="F3048">
        <f t="shared" si="94"/>
        <v>1.1899999999975819E-4</v>
      </c>
      <c r="G3048">
        <f t="shared" si="95"/>
        <v>118.71042125419092</v>
      </c>
    </row>
    <row r="3049" spans="2:7">
      <c r="B3049" t="s">
        <v>2</v>
      </c>
      <c r="C3049" s="2">
        <v>37636</v>
      </c>
      <c r="D3049" t="s">
        <v>6</v>
      </c>
      <c r="E3049">
        <v>4.5115550000000004</v>
      </c>
      <c r="F3049">
        <f t="shared" si="94"/>
        <v>-1.4663999999999788E-2</v>
      </c>
      <c r="G3049">
        <f t="shared" si="95"/>
        <v>118.71274811946807</v>
      </c>
    </row>
    <row r="3050" spans="2:7">
      <c r="B3050" t="s">
        <v>2</v>
      </c>
      <c r="C3050" s="2">
        <v>37635</v>
      </c>
      <c r="D3050" t="s">
        <v>6</v>
      </c>
      <c r="E3050">
        <v>4.5262190000000002</v>
      </c>
      <c r="F3050">
        <f t="shared" si="94"/>
        <v>-6.6019999999999968E-2</v>
      </c>
      <c r="G3050">
        <f t="shared" si="95"/>
        <v>121.03753675673394</v>
      </c>
    </row>
    <row r="3051" spans="2:7">
      <c r="B3051" t="s">
        <v>2</v>
      </c>
      <c r="C3051" s="2">
        <v>37634</v>
      </c>
      <c r="D3051" t="s">
        <v>6</v>
      </c>
      <c r="E3051">
        <v>4.5922390000000002</v>
      </c>
      <c r="F3051">
        <f t="shared" si="94"/>
        <v>-1.6786999999999885E-2</v>
      </c>
      <c r="G3051">
        <f t="shared" si="95"/>
        <v>120.46347180802017</v>
      </c>
    </row>
    <row r="3052" spans="2:7">
      <c r="B3052" t="s">
        <v>2</v>
      </c>
      <c r="C3052" s="2">
        <v>37631</v>
      </c>
      <c r="D3052" t="s">
        <v>6</v>
      </c>
      <c r="E3052">
        <v>4.6090260000000001</v>
      </c>
      <c r="F3052">
        <f t="shared" si="94"/>
        <v>1.0111000000000203E-2</v>
      </c>
      <c r="G3052">
        <f t="shared" si="95"/>
        <v>126.13367838093865</v>
      </c>
    </row>
    <row r="3053" spans="2:7">
      <c r="B3053" t="s">
        <v>2</v>
      </c>
      <c r="C3053" s="2">
        <v>37630</v>
      </c>
      <c r="D3053" t="s">
        <v>6</v>
      </c>
      <c r="E3053">
        <v>4.5989149999999999</v>
      </c>
      <c r="F3053">
        <f t="shared" si="94"/>
        <v>0.1804610000000002</v>
      </c>
      <c r="G3053">
        <f t="shared" si="95"/>
        <v>127.34537221635902</v>
      </c>
    </row>
    <row r="3054" spans="2:7">
      <c r="B3054" t="s">
        <v>2</v>
      </c>
      <c r="C3054" s="2">
        <v>37629</v>
      </c>
      <c r="D3054" t="s">
        <v>6</v>
      </c>
      <c r="E3054">
        <v>4.4184539999999997</v>
      </c>
      <c r="F3054">
        <f t="shared" si="94"/>
        <v>-4.1434000000000637E-2</v>
      </c>
      <c r="G3054">
        <f t="shared" si="95"/>
        <v>122.96673726183569</v>
      </c>
    </row>
    <row r="3055" spans="2:7">
      <c r="B3055" t="s">
        <v>2</v>
      </c>
      <c r="C3055" s="2">
        <v>37628</v>
      </c>
      <c r="D3055" t="s">
        <v>6</v>
      </c>
      <c r="E3055">
        <v>4.4598880000000003</v>
      </c>
      <c r="F3055">
        <f t="shared" si="94"/>
        <v>-4.6833999999999598E-2</v>
      </c>
      <c r="G3055">
        <f t="shared" si="95"/>
        <v>123.01680970787157</v>
      </c>
    </row>
    <row r="3056" spans="2:7">
      <c r="B3056" t="s">
        <v>2</v>
      </c>
      <c r="C3056" s="2">
        <v>37627</v>
      </c>
      <c r="D3056" t="s">
        <v>6</v>
      </c>
      <c r="E3056">
        <v>4.5067219999999999</v>
      </c>
      <c r="F3056">
        <f t="shared" si="94"/>
        <v>1.8460000000000143E-2</v>
      </c>
      <c r="G3056">
        <f t="shared" si="95"/>
        <v>122.58712540899907</v>
      </c>
    </row>
    <row r="3057" spans="2:7">
      <c r="B3057" t="s">
        <v>2</v>
      </c>
      <c r="C3057" s="2">
        <v>37624</v>
      </c>
      <c r="D3057" t="s">
        <v>6</v>
      </c>
      <c r="E3057">
        <v>4.4882619999999998</v>
      </c>
      <c r="F3057">
        <f t="shared" si="94"/>
        <v>5.3779999999994388E-3</v>
      </c>
      <c r="G3057">
        <f t="shared" si="95"/>
        <v>122.8840953825198</v>
      </c>
    </row>
    <row r="3058" spans="2:7">
      <c r="B3058" t="s">
        <v>2</v>
      </c>
      <c r="C3058" s="2">
        <v>37623</v>
      </c>
      <c r="D3058" t="s">
        <v>6</v>
      </c>
      <c r="E3058">
        <v>4.4828840000000003</v>
      </c>
      <c r="F3058">
        <f t="shared" si="94"/>
        <v>0.20957900000000063</v>
      </c>
      <c r="G3058">
        <f t="shared" si="95"/>
        <v>122.94307519097831</v>
      </c>
    </row>
    <row r="3059" spans="2:7">
      <c r="B3059" t="s">
        <v>2</v>
      </c>
      <c r="C3059" s="2">
        <v>37621</v>
      </c>
      <c r="D3059" t="s">
        <v>6</v>
      </c>
      <c r="E3059">
        <v>4.2733049999999997</v>
      </c>
      <c r="F3059">
        <f t="shared" si="94"/>
        <v>3.7151999999999852E-2</v>
      </c>
      <c r="G3059">
        <f t="shared" si="95"/>
        <v>115.20355194874563</v>
      </c>
    </row>
    <row r="3060" spans="2:7">
      <c r="B3060" t="s">
        <v>2</v>
      </c>
      <c r="C3060" s="2">
        <v>37620</v>
      </c>
      <c r="D3060" t="s">
        <v>6</v>
      </c>
      <c r="E3060">
        <v>4.2361529999999998</v>
      </c>
      <c r="F3060">
        <f t="shared" si="94"/>
        <v>-3.1158000000000463E-2</v>
      </c>
      <c r="G3060">
        <f t="shared" si="95"/>
        <v>114.95937659317781</v>
      </c>
    </row>
    <row r="3061" spans="2:7">
      <c r="B3061" t="s">
        <v>2</v>
      </c>
      <c r="C3061" s="2">
        <v>37617</v>
      </c>
      <c r="D3061" t="s">
        <v>6</v>
      </c>
      <c r="E3061">
        <v>4.2673110000000003</v>
      </c>
      <c r="F3061">
        <f t="shared" si="94"/>
        <v>-0.10130999999999979</v>
      </c>
      <c r="G3061">
        <f t="shared" si="95"/>
        <v>115.66706552593369</v>
      </c>
    </row>
    <row r="3062" spans="2:7">
      <c r="B3062" t="s">
        <v>2</v>
      </c>
      <c r="C3062" s="2">
        <v>37616</v>
      </c>
      <c r="D3062" t="s">
        <v>6</v>
      </c>
      <c r="E3062">
        <v>4.3686210000000001</v>
      </c>
      <c r="F3062">
        <f t="shared" si="94"/>
        <v>-1.8451999999999913E-2</v>
      </c>
      <c r="G3062">
        <f t="shared" si="95"/>
        <v>114.41586559485179</v>
      </c>
    </row>
    <row r="3063" spans="2:7">
      <c r="B3063" t="s">
        <v>2</v>
      </c>
      <c r="C3063" s="2">
        <v>37614</v>
      </c>
      <c r="D3063" t="s">
        <v>6</v>
      </c>
      <c r="E3063">
        <v>4.387073</v>
      </c>
      <c r="F3063">
        <f t="shared" si="94"/>
        <v>-3.6287999999999876E-2</v>
      </c>
      <c r="G3063">
        <f t="shared" si="95"/>
        <v>115.38966229454195</v>
      </c>
    </row>
    <row r="3064" spans="2:7">
      <c r="B3064" t="s">
        <v>2</v>
      </c>
      <c r="C3064" s="2">
        <v>37613</v>
      </c>
      <c r="D3064" t="s">
        <v>6</v>
      </c>
      <c r="E3064">
        <v>4.4233609999999999</v>
      </c>
      <c r="F3064">
        <f t="shared" si="94"/>
        <v>1.5100999999999587E-2</v>
      </c>
      <c r="G3064">
        <f t="shared" si="95"/>
        <v>115.16943272607676</v>
      </c>
    </row>
    <row r="3065" spans="2:7">
      <c r="B3065" t="s">
        <v>2</v>
      </c>
      <c r="C3065" s="2">
        <v>37610</v>
      </c>
      <c r="D3065" t="s">
        <v>6</v>
      </c>
      <c r="E3065">
        <v>4.4082600000000003</v>
      </c>
      <c r="F3065">
        <f t="shared" si="94"/>
        <v>1.7279999999999518E-3</v>
      </c>
      <c r="G3065">
        <f t="shared" si="95"/>
        <v>116.62843265632121</v>
      </c>
    </row>
    <row r="3066" spans="2:7">
      <c r="B3066" t="s">
        <v>2</v>
      </c>
      <c r="C3066" s="2">
        <v>37609</v>
      </c>
      <c r="D3066" t="s">
        <v>6</v>
      </c>
      <c r="E3066">
        <v>4.4065320000000003</v>
      </c>
      <c r="F3066">
        <f t="shared" si="94"/>
        <v>-8.9751999999999832E-2</v>
      </c>
      <c r="G3066">
        <f t="shared" si="95"/>
        <v>116.63024657206098</v>
      </c>
    </row>
    <row r="3067" spans="2:7">
      <c r="B3067" t="s">
        <v>2</v>
      </c>
      <c r="C3067" s="2">
        <v>37608</v>
      </c>
      <c r="D3067" t="s">
        <v>6</v>
      </c>
      <c r="E3067">
        <v>4.4962840000000002</v>
      </c>
      <c r="F3067">
        <f t="shared" si="94"/>
        <v>-6.3810999999999396E-2</v>
      </c>
      <c r="G3067">
        <f t="shared" si="95"/>
        <v>116.0395512231007</v>
      </c>
    </row>
    <row r="3068" spans="2:7">
      <c r="B3068" t="s">
        <v>2</v>
      </c>
      <c r="C3068" s="2">
        <v>37607</v>
      </c>
      <c r="D3068" t="s">
        <v>6</v>
      </c>
      <c r="E3068">
        <v>4.5600949999999996</v>
      </c>
      <c r="F3068">
        <f t="shared" si="94"/>
        <v>-2.5440000000000573E-2</v>
      </c>
      <c r="G3068">
        <f t="shared" si="95"/>
        <v>115.38282063361973</v>
      </c>
    </row>
    <row r="3069" spans="2:7">
      <c r="B3069" t="s">
        <v>2</v>
      </c>
      <c r="C3069" s="2">
        <v>37606</v>
      </c>
      <c r="D3069" t="s">
        <v>6</v>
      </c>
      <c r="E3069">
        <v>4.5855350000000001</v>
      </c>
      <c r="F3069">
        <f t="shared" si="94"/>
        <v>6.1552999999999969E-2</v>
      </c>
      <c r="G3069">
        <f t="shared" si="95"/>
        <v>116.09796498920899</v>
      </c>
    </row>
    <row r="3070" spans="2:7">
      <c r="B3070" t="s">
        <v>2</v>
      </c>
      <c r="C3070" s="2">
        <v>37603</v>
      </c>
      <c r="D3070" t="s">
        <v>6</v>
      </c>
      <c r="E3070">
        <v>4.5239820000000002</v>
      </c>
      <c r="F3070">
        <f t="shared" si="94"/>
        <v>6.3314000000000092E-2</v>
      </c>
      <c r="G3070">
        <f t="shared" si="95"/>
        <v>115.46303271656842</v>
      </c>
    </row>
    <row r="3071" spans="2:7">
      <c r="B3071" t="s">
        <v>2</v>
      </c>
      <c r="C3071" s="2">
        <v>37602</v>
      </c>
      <c r="D3071" t="s">
        <v>6</v>
      </c>
      <c r="E3071">
        <v>4.4606680000000001</v>
      </c>
      <c r="F3071">
        <f t="shared" si="94"/>
        <v>1.6029999999999767E-2</v>
      </c>
      <c r="G3071">
        <f t="shared" si="95"/>
        <v>114.90195228300661</v>
      </c>
    </row>
    <row r="3072" spans="2:7">
      <c r="B3072" t="s">
        <v>2</v>
      </c>
      <c r="C3072" s="2">
        <v>37601</v>
      </c>
      <c r="D3072" t="s">
        <v>6</v>
      </c>
      <c r="E3072">
        <v>4.4446380000000003</v>
      </c>
      <c r="F3072">
        <f t="shared" si="94"/>
        <v>-5.6219999999999715E-2</v>
      </c>
      <c r="G3072">
        <f t="shared" si="95"/>
        <v>115.08196508731527</v>
      </c>
    </row>
    <row r="3073" spans="2:7">
      <c r="B3073" t="s">
        <v>2</v>
      </c>
      <c r="C3073" s="2">
        <v>37600</v>
      </c>
      <c r="D3073" t="s">
        <v>6</v>
      </c>
      <c r="E3073">
        <v>4.500858</v>
      </c>
      <c r="F3073">
        <f t="shared" si="94"/>
        <v>-2.5040000000000617E-3</v>
      </c>
      <c r="G3073">
        <f t="shared" si="95"/>
        <v>115.15754982222668</v>
      </c>
    </row>
    <row r="3074" spans="2:7">
      <c r="B3074" t="s">
        <v>2</v>
      </c>
      <c r="C3074" s="2">
        <v>37599</v>
      </c>
      <c r="D3074" t="s">
        <v>6</v>
      </c>
      <c r="E3074">
        <v>4.5033620000000001</v>
      </c>
      <c r="F3074">
        <f t="shared" si="94"/>
        <v>-4.5225000000000293E-2</v>
      </c>
      <c r="G3074">
        <f t="shared" si="95"/>
        <v>117.18120597716172</v>
      </c>
    </row>
    <row r="3075" spans="2:7">
      <c r="B3075" t="s">
        <v>2</v>
      </c>
      <c r="C3075" s="2">
        <v>37596</v>
      </c>
      <c r="D3075" t="s">
        <v>6</v>
      </c>
      <c r="E3075">
        <v>4.5485870000000004</v>
      </c>
      <c r="F3075">
        <f t="shared" ref="F3075:F3138" si="96">E3075-E3076</f>
        <v>-2.7487999999999957E-2</v>
      </c>
      <c r="G3075">
        <f t="shared" ref="G3075:G3138" si="97">STDEV(F3075:F3134)*SQRT(250)*100</f>
        <v>117.32131022322262</v>
      </c>
    </row>
    <row r="3076" spans="2:7">
      <c r="B3076" t="s">
        <v>2</v>
      </c>
      <c r="C3076" s="2">
        <v>37595</v>
      </c>
      <c r="D3076" t="s">
        <v>6</v>
      </c>
      <c r="E3076">
        <v>4.5760750000000003</v>
      </c>
      <c r="F3076">
        <f t="shared" si="96"/>
        <v>-5.970699999999951E-2</v>
      </c>
      <c r="G3076">
        <f t="shared" si="97"/>
        <v>117.50384124223379</v>
      </c>
    </row>
    <row r="3077" spans="2:7">
      <c r="B3077" t="s">
        <v>2</v>
      </c>
      <c r="C3077" s="2">
        <v>37594</v>
      </c>
      <c r="D3077" t="s">
        <v>6</v>
      </c>
      <c r="E3077">
        <v>4.6357819999999998</v>
      </c>
      <c r="F3077">
        <f t="shared" si="96"/>
        <v>-5.2023000000000152E-2</v>
      </c>
      <c r="G3077">
        <f t="shared" si="97"/>
        <v>116.87704696370848</v>
      </c>
    </row>
    <row r="3078" spans="2:7">
      <c r="B3078" t="s">
        <v>2</v>
      </c>
      <c r="C3078" s="2">
        <v>37593</v>
      </c>
      <c r="D3078" t="s">
        <v>6</v>
      </c>
      <c r="E3078">
        <v>4.687805</v>
      </c>
      <c r="F3078">
        <f t="shared" si="96"/>
        <v>2.7010000000000645E-3</v>
      </c>
      <c r="G3078">
        <f t="shared" si="97"/>
        <v>120.16735132744236</v>
      </c>
    </row>
    <row r="3079" spans="2:7">
      <c r="B3079" t="s">
        <v>2</v>
      </c>
      <c r="C3079" s="2">
        <v>37592</v>
      </c>
      <c r="D3079" t="s">
        <v>6</v>
      </c>
      <c r="E3079">
        <v>4.6851039999999999</v>
      </c>
      <c r="F3079">
        <f t="shared" si="96"/>
        <v>-1.886999999999972E-2</v>
      </c>
      <c r="G3079">
        <f t="shared" si="97"/>
        <v>120.42675551076502</v>
      </c>
    </row>
    <row r="3080" spans="2:7">
      <c r="B3080" t="s">
        <v>2</v>
      </c>
      <c r="C3080" s="2">
        <v>37589</v>
      </c>
      <c r="D3080" t="s">
        <v>6</v>
      </c>
      <c r="E3080">
        <v>4.7039739999999997</v>
      </c>
      <c r="F3080">
        <f t="shared" si="96"/>
        <v>-2.6334000000000302E-2</v>
      </c>
      <c r="G3080">
        <f t="shared" si="97"/>
        <v>120.40972955278104</v>
      </c>
    </row>
    <row r="3081" spans="2:7">
      <c r="B3081" t="s">
        <v>2</v>
      </c>
      <c r="C3081" s="2">
        <v>37587</v>
      </c>
      <c r="D3081" t="s">
        <v>6</v>
      </c>
      <c r="E3081">
        <v>4.730308</v>
      </c>
      <c r="F3081">
        <f t="shared" si="96"/>
        <v>0.16814499999999999</v>
      </c>
      <c r="G3081">
        <f t="shared" si="97"/>
        <v>124.42711575936418</v>
      </c>
    </row>
    <row r="3082" spans="2:7">
      <c r="B3082" t="s">
        <v>2</v>
      </c>
      <c r="C3082" s="2">
        <v>37586</v>
      </c>
      <c r="D3082" t="s">
        <v>6</v>
      </c>
      <c r="E3082">
        <v>4.562163</v>
      </c>
      <c r="F3082">
        <f t="shared" si="96"/>
        <v>-0.1011350000000002</v>
      </c>
      <c r="G3082">
        <f t="shared" si="97"/>
        <v>119.5985410924751</v>
      </c>
    </row>
    <row r="3083" spans="2:7">
      <c r="B3083" t="s">
        <v>2</v>
      </c>
      <c r="C3083" s="2">
        <v>37585</v>
      </c>
      <c r="D3083" t="s">
        <v>6</v>
      </c>
      <c r="E3083">
        <v>4.6632980000000002</v>
      </c>
      <c r="F3083">
        <f t="shared" si="96"/>
        <v>4.4269999999997367E-3</v>
      </c>
      <c r="G3083">
        <f t="shared" si="97"/>
        <v>118.38831323488392</v>
      </c>
    </row>
    <row r="3084" spans="2:7">
      <c r="B3084" t="s">
        <v>2</v>
      </c>
      <c r="C3084" s="2">
        <v>37582</v>
      </c>
      <c r="D3084" t="s">
        <v>6</v>
      </c>
      <c r="E3084">
        <v>4.6588710000000004</v>
      </c>
      <c r="F3084">
        <f t="shared" si="96"/>
        <v>4.4881000000000171E-2</v>
      </c>
      <c r="G3084">
        <f t="shared" si="97"/>
        <v>119.00790025826589</v>
      </c>
    </row>
    <row r="3085" spans="2:7">
      <c r="B3085" t="s">
        <v>2</v>
      </c>
      <c r="C3085" s="2">
        <v>37581</v>
      </c>
      <c r="D3085" t="s">
        <v>6</v>
      </c>
      <c r="E3085">
        <v>4.6139900000000003</v>
      </c>
      <c r="F3085">
        <f t="shared" si="96"/>
        <v>7.4093000000000409E-2</v>
      </c>
      <c r="G3085">
        <f t="shared" si="97"/>
        <v>119.98896280325533</v>
      </c>
    </row>
    <row r="3086" spans="2:7">
      <c r="B3086" t="s">
        <v>2</v>
      </c>
      <c r="C3086" s="2">
        <v>37580</v>
      </c>
      <c r="D3086" t="s">
        <v>6</v>
      </c>
      <c r="E3086">
        <v>4.5398969999999998</v>
      </c>
      <c r="F3086">
        <f t="shared" si="96"/>
        <v>8.2976999999999634E-2</v>
      </c>
      <c r="G3086">
        <f t="shared" si="97"/>
        <v>119.09890584457526</v>
      </c>
    </row>
    <row r="3087" spans="2:7">
      <c r="B3087" t="s">
        <v>2</v>
      </c>
      <c r="C3087" s="2">
        <v>37579</v>
      </c>
      <c r="D3087" t="s">
        <v>6</v>
      </c>
      <c r="E3087">
        <v>4.4569200000000002</v>
      </c>
      <c r="F3087">
        <f t="shared" si="96"/>
        <v>-3.7238999999999578E-2</v>
      </c>
      <c r="G3087">
        <f t="shared" si="97"/>
        <v>118.91078536031866</v>
      </c>
    </row>
    <row r="3088" spans="2:7">
      <c r="B3088" t="s">
        <v>2</v>
      </c>
      <c r="C3088" s="2">
        <v>37578</v>
      </c>
      <c r="D3088" t="s">
        <v>6</v>
      </c>
      <c r="E3088">
        <v>4.4941589999999998</v>
      </c>
      <c r="F3088">
        <f t="shared" si="96"/>
        <v>-5.060100000000034E-2</v>
      </c>
      <c r="G3088">
        <f t="shared" si="97"/>
        <v>121.13699922911442</v>
      </c>
    </row>
    <row r="3089" spans="2:7">
      <c r="B3089" t="s">
        <v>2</v>
      </c>
      <c r="C3089" s="2">
        <v>37575</v>
      </c>
      <c r="D3089" t="s">
        <v>6</v>
      </c>
      <c r="E3089">
        <v>4.5447600000000001</v>
      </c>
      <c r="F3089">
        <f t="shared" si="96"/>
        <v>2.4550000000000516E-2</v>
      </c>
      <c r="G3089">
        <f t="shared" si="97"/>
        <v>120.76862721297314</v>
      </c>
    </row>
    <row r="3090" spans="2:7">
      <c r="B3090" t="s">
        <v>2</v>
      </c>
      <c r="C3090" s="2">
        <v>37574</v>
      </c>
      <c r="D3090" t="s">
        <v>6</v>
      </c>
      <c r="E3090">
        <v>4.5202099999999996</v>
      </c>
      <c r="F3090">
        <f t="shared" si="96"/>
        <v>0.18548799999999943</v>
      </c>
      <c r="G3090">
        <f t="shared" si="97"/>
        <v>125.22371976649711</v>
      </c>
    </row>
    <row r="3091" spans="2:7">
      <c r="B3091" t="s">
        <v>2</v>
      </c>
      <c r="C3091" s="2">
        <v>37573</v>
      </c>
      <c r="D3091" t="s">
        <v>6</v>
      </c>
      <c r="E3091">
        <v>4.3347220000000002</v>
      </c>
      <c r="F3091">
        <f t="shared" si="96"/>
        <v>-5.2800000000008396E-4</v>
      </c>
      <c r="G3091">
        <f t="shared" si="97"/>
        <v>118.74731388865389</v>
      </c>
    </row>
    <row r="3092" spans="2:7">
      <c r="B3092" t="s">
        <v>2</v>
      </c>
      <c r="C3092" s="2">
        <v>37572</v>
      </c>
      <c r="D3092" t="s">
        <v>6</v>
      </c>
      <c r="E3092">
        <v>4.3352500000000003</v>
      </c>
      <c r="F3092">
        <f t="shared" si="96"/>
        <v>2.7359000000000577E-2</v>
      </c>
      <c r="G3092">
        <f t="shared" si="97"/>
        <v>124.45472624391761</v>
      </c>
    </row>
    <row r="3093" spans="2:7">
      <c r="B3093" t="s">
        <v>2</v>
      </c>
      <c r="C3093" s="2">
        <v>37568</v>
      </c>
      <c r="D3093" t="s">
        <v>6</v>
      </c>
      <c r="E3093">
        <v>4.3078909999999997</v>
      </c>
      <c r="F3093">
        <f t="shared" si="96"/>
        <v>-3.1458999999999904E-2</v>
      </c>
      <c r="G3093">
        <f t="shared" si="97"/>
        <v>126.77135294069902</v>
      </c>
    </row>
    <row r="3094" spans="2:7">
      <c r="B3094" t="s">
        <v>2</v>
      </c>
      <c r="C3094" s="2">
        <v>37567</v>
      </c>
      <c r="D3094" t="s">
        <v>6</v>
      </c>
      <c r="E3094">
        <v>4.3393499999999996</v>
      </c>
      <c r="F3094">
        <f t="shared" si="96"/>
        <v>-0.18747700000000034</v>
      </c>
      <c r="G3094">
        <f t="shared" si="97"/>
        <v>127.17150827274057</v>
      </c>
    </row>
    <row r="3095" spans="2:7">
      <c r="B3095" t="s">
        <v>2</v>
      </c>
      <c r="C3095" s="2">
        <v>37566</v>
      </c>
      <c r="D3095" t="s">
        <v>6</v>
      </c>
      <c r="E3095">
        <v>4.5268269999999999</v>
      </c>
      <c r="F3095">
        <f t="shared" si="96"/>
        <v>-9.3964999999999854E-2</v>
      </c>
      <c r="G3095">
        <f t="shared" si="97"/>
        <v>123.32027499278708</v>
      </c>
    </row>
    <row r="3096" spans="2:7">
      <c r="B3096" t="s">
        <v>2</v>
      </c>
      <c r="C3096" s="2">
        <v>37565</v>
      </c>
      <c r="D3096" t="s">
        <v>6</v>
      </c>
      <c r="E3096">
        <v>4.6207919999999998</v>
      </c>
      <c r="F3096">
        <f t="shared" si="96"/>
        <v>3.0058999999999614E-2</v>
      </c>
      <c r="G3096">
        <f t="shared" si="97"/>
        <v>122.34540207275732</v>
      </c>
    </row>
    <row r="3097" spans="2:7">
      <c r="B3097" t="s">
        <v>2</v>
      </c>
      <c r="C3097" s="2">
        <v>37564</v>
      </c>
      <c r="D3097" t="s">
        <v>6</v>
      </c>
      <c r="E3097">
        <v>4.5907330000000002</v>
      </c>
      <c r="F3097">
        <f t="shared" si="96"/>
        <v>5.4276999999999909E-2</v>
      </c>
      <c r="G3097">
        <f t="shared" si="97"/>
        <v>125.06628700924551</v>
      </c>
    </row>
    <row r="3098" spans="2:7">
      <c r="B3098" t="s">
        <v>2</v>
      </c>
      <c r="C3098" s="2">
        <v>37561</v>
      </c>
      <c r="D3098" t="s">
        <v>6</v>
      </c>
      <c r="E3098">
        <v>4.5364560000000003</v>
      </c>
      <c r="F3098">
        <f t="shared" si="96"/>
        <v>6.1609999999999943E-2</v>
      </c>
      <c r="G3098">
        <f t="shared" si="97"/>
        <v>125.23109459940444</v>
      </c>
    </row>
    <row r="3099" spans="2:7">
      <c r="B3099" t="s">
        <v>2</v>
      </c>
      <c r="C3099" s="2">
        <v>37560</v>
      </c>
      <c r="D3099" t="s">
        <v>6</v>
      </c>
      <c r="E3099">
        <v>4.4748460000000003</v>
      </c>
      <c r="F3099">
        <f t="shared" si="96"/>
        <v>-4.963499999999943E-2</v>
      </c>
      <c r="G3099">
        <f t="shared" si="97"/>
        <v>125.66261326940902</v>
      </c>
    </row>
    <row r="3100" spans="2:7">
      <c r="B3100" t="s">
        <v>2</v>
      </c>
      <c r="C3100" s="2">
        <v>37559</v>
      </c>
      <c r="D3100" t="s">
        <v>6</v>
      </c>
      <c r="E3100">
        <v>4.5244809999999998</v>
      </c>
      <c r="F3100">
        <f t="shared" si="96"/>
        <v>1.4742000000000033E-2</v>
      </c>
      <c r="G3100">
        <f t="shared" si="97"/>
        <v>128.22800047147442</v>
      </c>
    </row>
    <row r="3101" spans="2:7">
      <c r="B3101" t="s">
        <v>2</v>
      </c>
      <c r="C3101" s="2">
        <v>37558</v>
      </c>
      <c r="D3101" t="s">
        <v>6</v>
      </c>
      <c r="E3101">
        <v>4.5097389999999997</v>
      </c>
      <c r="F3101">
        <f t="shared" si="96"/>
        <v>-0.15361899999999995</v>
      </c>
      <c r="G3101">
        <f t="shared" si="97"/>
        <v>128.20249857860267</v>
      </c>
    </row>
    <row r="3102" spans="2:7">
      <c r="B3102" t="s">
        <v>2</v>
      </c>
      <c r="C3102" s="2">
        <v>37557</v>
      </c>
      <c r="D3102" t="s">
        <v>6</v>
      </c>
      <c r="E3102">
        <v>4.6633579999999997</v>
      </c>
      <c r="F3102">
        <f t="shared" si="96"/>
        <v>-3.0121000000000286E-2</v>
      </c>
      <c r="G3102">
        <f t="shared" si="97"/>
        <v>127.2394860176733</v>
      </c>
    </row>
    <row r="3103" spans="2:7">
      <c r="B3103" t="s">
        <v>2</v>
      </c>
      <c r="C3103" s="2">
        <v>37554</v>
      </c>
      <c r="D3103" t="s">
        <v>6</v>
      </c>
      <c r="E3103">
        <v>4.693479</v>
      </c>
      <c r="F3103">
        <f t="shared" si="96"/>
        <v>-6.5925000000000011E-2</v>
      </c>
      <c r="G3103">
        <f t="shared" si="97"/>
        <v>127.63389182965767</v>
      </c>
    </row>
    <row r="3104" spans="2:7">
      <c r="B3104" t="s">
        <v>2</v>
      </c>
      <c r="C3104" s="2">
        <v>37553</v>
      </c>
      <c r="D3104" t="s">
        <v>6</v>
      </c>
      <c r="E3104">
        <v>4.759404</v>
      </c>
      <c r="F3104">
        <f t="shared" si="96"/>
        <v>-0.10212500000000002</v>
      </c>
      <c r="G3104">
        <f t="shared" si="97"/>
        <v>130.37926243173393</v>
      </c>
    </row>
    <row r="3105" spans="2:7">
      <c r="B3105" t="s">
        <v>2</v>
      </c>
      <c r="C3105" s="2">
        <v>37552</v>
      </c>
      <c r="D3105" t="s">
        <v>6</v>
      </c>
      <c r="E3105">
        <v>4.861529</v>
      </c>
      <c r="F3105">
        <f t="shared" si="96"/>
        <v>-2.5431000000000203E-2</v>
      </c>
      <c r="G3105">
        <f t="shared" si="97"/>
        <v>129.31130707193336</v>
      </c>
    </row>
    <row r="3106" spans="2:7">
      <c r="B3106" t="s">
        <v>2</v>
      </c>
      <c r="C3106" s="2">
        <v>37551</v>
      </c>
      <c r="D3106" t="s">
        <v>6</v>
      </c>
      <c r="E3106">
        <v>4.8869600000000002</v>
      </c>
      <c r="F3106">
        <f t="shared" si="96"/>
        <v>3.7081999999999837E-2</v>
      </c>
      <c r="G3106">
        <f t="shared" si="97"/>
        <v>133.49574225733258</v>
      </c>
    </row>
    <row r="3107" spans="2:7">
      <c r="B3107" t="s">
        <v>2</v>
      </c>
      <c r="C3107" s="2">
        <v>37550</v>
      </c>
      <c r="D3107" t="s">
        <v>6</v>
      </c>
      <c r="E3107">
        <v>4.8498780000000004</v>
      </c>
      <c r="F3107">
        <f t="shared" si="96"/>
        <v>9.9782000000000259E-2</v>
      </c>
      <c r="G3107">
        <f t="shared" si="97"/>
        <v>133.31547067686404</v>
      </c>
    </row>
    <row r="3108" spans="2:7">
      <c r="B3108" t="s">
        <v>2</v>
      </c>
      <c r="C3108" s="2">
        <v>37547</v>
      </c>
      <c r="D3108" t="s">
        <v>6</v>
      </c>
      <c r="E3108">
        <v>4.7500960000000001</v>
      </c>
      <c r="F3108">
        <f t="shared" si="96"/>
        <v>1.4870000000000161E-3</v>
      </c>
      <c r="G3108">
        <f t="shared" si="97"/>
        <v>131.64921251812052</v>
      </c>
    </row>
    <row r="3109" spans="2:7">
      <c r="B3109" t="s">
        <v>2</v>
      </c>
      <c r="C3109" s="2">
        <v>37546</v>
      </c>
      <c r="D3109" t="s">
        <v>6</v>
      </c>
      <c r="E3109">
        <v>4.7486090000000001</v>
      </c>
      <c r="F3109">
        <f t="shared" si="96"/>
        <v>0.1124010000000002</v>
      </c>
      <c r="G3109">
        <f t="shared" si="97"/>
        <v>131.65675994501896</v>
      </c>
    </row>
    <row r="3110" spans="2:7">
      <c r="B3110" t="s">
        <v>2</v>
      </c>
      <c r="C3110" s="2">
        <v>37545</v>
      </c>
      <c r="D3110" t="s">
        <v>6</v>
      </c>
      <c r="E3110">
        <v>4.6362079999999999</v>
      </c>
      <c r="F3110">
        <f t="shared" si="96"/>
        <v>2.9808000000000057E-2</v>
      </c>
      <c r="G3110">
        <f t="shared" si="97"/>
        <v>129.44570747381937</v>
      </c>
    </row>
    <row r="3111" spans="2:7">
      <c r="B3111" t="s">
        <v>2</v>
      </c>
      <c r="C3111" s="2">
        <v>37544</v>
      </c>
      <c r="D3111" t="s">
        <v>6</v>
      </c>
      <c r="E3111">
        <v>4.6063999999999998</v>
      </c>
      <c r="F3111">
        <f t="shared" si="96"/>
        <v>0.18400499999999997</v>
      </c>
      <c r="G3111">
        <f t="shared" si="97"/>
        <v>130.38569549657825</v>
      </c>
    </row>
    <row r="3112" spans="2:7">
      <c r="B3112" t="s">
        <v>2</v>
      </c>
      <c r="C3112" s="2">
        <v>37540</v>
      </c>
      <c r="D3112" t="s">
        <v>6</v>
      </c>
      <c r="E3112">
        <v>4.4223949999999999</v>
      </c>
      <c r="F3112">
        <f t="shared" si="96"/>
        <v>8.9142999999999972E-2</v>
      </c>
      <c r="G3112">
        <f t="shared" si="97"/>
        <v>124.38498139292646</v>
      </c>
    </row>
    <row r="3113" spans="2:7">
      <c r="B3113" t="s">
        <v>2</v>
      </c>
      <c r="C3113" s="2">
        <v>37539</v>
      </c>
      <c r="D3113" t="s">
        <v>6</v>
      </c>
      <c r="E3113">
        <v>4.3332519999999999</v>
      </c>
      <c r="F3113">
        <f t="shared" si="96"/>
        <v>7.7223000000000042E-2</v>
      </c>
      <c r="G3113">
        <f t="shared" si="97"/>
        <v>122.93972419644186</v>
      </c>
    </row>
    <row r="3114" spans="2:7">
      <c r="B3114" t="s">
        <v>2</v>
      </c>
      <c r="C3114" s="2">
        <v>37538</v>
      </c>
      <c r="D3114" t="s">
        <v>6</v>
      </c>
      <c r="E3114">
        <v>4.2560289999999998</v>
      </c>
      <c r="F3114">
        <f t="shared" si="96"/>
        <v>-4.4614000000000154E-2</v>
      </c>
      <c r="G3114">
        <f t="shared" si="97"/>
        <v>121.51279050862136</v>
      </c>
    </row>
    <row r="3115" spans="2:7">
      <c r="B3115" t="s">
        <v>2</v>
      </c>
      <c r="C3115" s="2">
        <v>37537</v>
      </c>
      <c r="D3115" t="s">
        <v>6</v>
      </c>
      <c r="E3115">
        <v>4.300643</v>
      </c>
      <c r="F3115">
        <f t="shared" si="96"/>
        <v>3.3459999999996271E-3</v>
      </c>
      <c r="G3115">
        <f t="shared" si="97"/>
        <v>123.90607652671018</v>
      </c>
    </row>
    <row r="3116" spans="2:7">
      <c r="B3116" t="s">
        <v>2</v>
      </c>
      <c r="C3116" s="2">
        <v>37536</v>
      </c>
      <c r="D3116" t="s">
        <v>6</v>
      </c>
      <c r="E3116">
        <v>4.2972970000000004</v>
      </c>
      <c r="F3116">
        <f t="shared" si="96"/>
        <v>-4.1274999999999729E-2</v>
      </c>
      <c r="G3116">
        <f t="shared" si="97"/>
        <v>124.1164644131707</v>
      </c>
    </row>
    <row r="3117" spans="2:7">
      <c r="B3117" t="s">
        <v>2</v>
      </c>
      <c r="C3117" s="2">
        <v>37533</v>
      </c>
      <c r="D3117" t="s">
        <v>6</v>
      </c>
      <c r="E3117">
        <v>4.3385720000000001</v>
      </c>
      <c r="F3117">
        <f t="shared" si="96"/>
        <v>2.1328999999999709E-2</v>
      </c>
      <c r="G3117">
        <f t="shared" si="97"/>
        <v>123.98389230552542</v>
      </c>
    </row>
    <row r="3118" spans="2:7">
      <c r="B3118" t="s">
        <v>2</v>
      </c>
      <c r="C3118" s="2">
        <v>37532</v>
      </c>
      <c r="D3118" t="s">
        <v>6</v>
      </c>
      <c r="E3118">
        <v>4.3172430000000004</v>
      </c>
      <c r="F3118">
        <f t="shared" si="96"/>
        <v>-1.5639999999992327E-3</v>
      </c>
      <c r="G3118">
        <f t="shared" si="97"/>
        <v>123.83239360676458</v>
      </c>
    </row>
    <row r="3119" spans="2:7">
      <c r="B3119" t="s">
        <v>2</v>
      </c>
      <c r="C3119" s="2">
        <v>37531</v>
      </c>
      <c r="D3119" t="s">
        <v>6</v>
      </c>
      <c r="E3119">
        <v>4.3188069999999996</v>
      </c>
      <c r="F3119">
        <f t="shared" si="96"/>
        <v>-1.3128000000000029E-2</v>
      </c>
      <c r="G3119">
        <f t="shared" si="97"/>
        <v>125.57843289701489</v>
      </c>
    </row>
    <row r="3120" spans="2:7">
      <c r="B3120" t="s">
        <v>2</v>
      </c>
      <c r="C3120" s="2">
        <v>37530</v>
      </c>
      <c r="D3120" t="s">
        <v>6</v>
      </c>
      <c r="E3120">
        <v>4.3319349999999996</v>
      </c>
      <c r="F3120">
        <f t="shared" si="96"/>
        <v>6.8336999999999648E-2</v>
      </c>
      <c r="G3120">
        <f t="shared" si="97"/>
        <v>126.26305530574358</v>
      </c>
    </row>
    <row r="3121" spans="2:7">
      <c r="B3121" t="s">
        <v>2</v>
      </c>
      <c r="C3121" s="2">
        <v>37529</v>
      </c>
      <c r="D3121" t="s">
        <v>6</v>
      </c>
      <c r="E3121">
        <v>4.263598</v>
      </c>
      <c r="F3121">
        <f t="shared" si="96"/>
        <v>-5.9198999999999558E-2</v>
      </c>
      <c r="G3121">
        <f t="shared" si="97"/>
        <v>125.20773667924441</v>
      </c>
    </row>
    <row r="3122" spans="2:7">
      <c r="B3122" t="s">
        <v>2</v>
      </c>
      <c r="C3122" s="2">
        <v>37526</v>
      </c>
      <c r="D3122" t="s">
        <v>6</v>
      </c>
      <c r="E3122">
        <v>4.3227969999999996</v>
      </c>
      <c r="F3122">
        <f t="shared" si="96"/>
        <v>-7.4757000000000851E-2</v>
      </c>
      <c r="G3122">
        <f t="shared" si="97"/>
        <v>128.50077792034097</v>
      </c>
    </row>
    <row r="3123" spans="2:7">
      <c r="B3123" t="s">
        <v>2</v>
      </c>
      <c r="C3123" s="2">
        <v>37525</v>
      </c>
      <c r="D3123" t="s">
        <v>6</v>
      </c>
      <c r="E3123">
        <v>4.3975540000000004</v>
      </c>
      <c r="F3123">
        <f t="shared" si="96"/>
        <v>1.1845000000000105E-2</v>
      </c>
      <c r="G3123">
        <f t="shared" si="97"/>
        <v>128.08076638096165</v>
      </c>
    </row>
    <row r="3124" spans="2:7">
      <c r="B3124" t="s">
        <v>2</v>
      </c>
      <c r="C3124" s="2">
        <v>37524</v>
      </c>
      <c r="D3124" t="s">
        <v>6</v>
      </c>
      <c r="E3124">
        <v>4.3857090000000003</v>
      </c>
      <c r="F3124">
        <f t="shared" si="96"/>
        <v>9.1669000000000445E-2</v>
      </c>
      <c r="G3124">
        <f t="shared" si="97"/>
        <v>128.6496552876645</v>
      </c>
    </row>
    <row r="3125" spans="2:7">
      <c r="B3125" t="s">
        <v>2</v>
      </c>
      <c r="C3125" s="2">
        <v>37523</v>
      </c>
      <c r="D3125" t="s">
        <v>6</v>
      </c>
      <c r="E3125">
        <v>4.2940399999999999</v>
      </c>
      <c r="F3125">
        <f t="shared" si="96"/>
        <v>-1.2850000000002026E-3</v>
      </c>
      <c r="G3125">
        <f t="shared" si="97"/>
        <v>126.70088197496683</v>
      </c>
    </row>
    <row r="3126" spans="2:7">
      <c r="B3126" t="s">
        <v>2</v>
      </c>
      <c r="C3126" s="2">
        <v>37522</v>
      </c>
      <c r="D3126" t="s">
        <v>6</v>
      </c>
      <c r="E3126">
        <v>4.2953250000000001</v>
      </c>
      <c r="F3126">
        <f t="shared" si="96"/>
        <v>-6.9942000000000171E-2</v>
      </c>
      <c r="G3126">
        <f t="shared" si="97"/>
        <v>126.86006828060718</v>
      </c>
    </row>
    <row r="3127" spans="2:7">
      <c r="B3127" t="s">
        <v>2</v>
      </c>
      <c r="C3127" s="2">
        <v>37519</v>
      </c>
      <c r="D3127" t="s">
        <v>6</v>
      </c>
      <c r="E3127">
        <v>4.3652670000000002</v>
      </c>
      <c r="F3127">
        <f t="shared" si="96"/>
        <v>3.2570000000000654E-2</v>
      </c>
      <c r="G3127">
        <f t="shared" si="97"/>
        <v>129.25032219489069</v>
      </c>
    </row>
    <row r="3128" spans="2:7">
      <c r="B3128" t="s">
        <v>2</v>
      </c>
      <c r="C3128" s="2">
        <v>37518</v>
      </c>
      <c r="D3128" t="s">
        <v>6</v>
      </c>
      <c r="E3128">
        <v>4.3326969999999996</v>
      </c>
      <c r="F3128">
        <f t="shared" si="96"/>
        <v>-6.5404000000000018E-2</v>
      </c>
      <c r="G3128">
        <f t="shared" si="97"/>
        <v>131.64120066945998</v>
      </c>
    </row>
    <row r="3129" spans="2:7">
      <c r="B3129" t="s">
        <v>2</v>
      </c>
      <c r="C3129" s="2">
        <v>37517</v>
      </c>
      <c r="D3129" t="s">
        <v>6</v>
      </c>
      <c r="E3129">
        <v>4.3981009999999996</v>
      </c>
      <c r="F3129">
        <f t="shared" si="96"/>
        <v>3.5669999999994317E-3</v>
      </c>
      <c r="G3129">
        <f t="shared" si="97"/>
        <v>131.37620645322983</v>
      </c>
    </row>
    <row r="3130" spans="2:7">
      <c r="B3130" t="s">
        <v>2</v>
      </c>
      <c r="C3130" s="2">
        <v>37516</v>
      </c>
      <c r="D3130" t="s">
        <v>6</v>
      </c>
      <c r="E3130">
        <v>4.3945340000000002</v>
      </c>
      <c r="F3130">
        <f t="shared" si="96"/>
        <v>-2.6553999999999967E-2</v>
      </c>
      <c r="G3130">
        <f t="shared" si="97"/>
        <v>133.07056625657168</v>
      </c>
    </row>
    <row r="3131" spans="2:7">
      <c r="B3131" t="s">
        <v>2</v>
      </c>
      <c r="C3131" s="2">
        <v>37515</v>
      </c>
      <c r="D3131" t="s">
        <v>6</v>
      </c>
      <c r="E3131">
        <v>4.4210880000000001</v>
      </c>
      <c r="F3131">
        <f t="shared" si="96"/>
        <v>-3.4785000000000288E-2</v>
      </c>
      <c r="G3131">
        <f t="shared" si="97"/>
        <v>133.66652193325922</v>
      </c>
    </row>
    <row r="3132" spans="2:7">
      <c r="B3132" t="s">
        <v>2</v>
      </c>
      <c r="C3132" s="2">
        <v>37512</v>
      </c>
      <c r="D3132" t="s">
        <v>6</v>
      </c>
      <c r="E3132">
        <v>4.4558730000000004</v>
      </c>
      <c r="F3132">
        <f t="shared" si="96"/>
        <v>-5.9773999999999994E-2</v>
      </c>
      <c r="G3132">
        <f t="shared" si="97"/>
        <v>135.63920907958163</v>
      </c>
    </row>
    <row r="3133" spans="2:7">
      <c r="B3133" t="s">
        <v>2</v>
      </c>
      <c r="C3133" s="2">
        <v>37511</v>
      </c>
      <c r="D3133" t="s">
        <v>6</v>
      </c>
      <c r="E3133">
        <v>4.5156470000000004</v>
      </c>
      <c r="F3133">
        <f t="shared" si="96"/>
        <v>-0.10645999999999933</v>
      </c>
      <c r="G3133">
        <f t="shared" si="97"/>
        <v>138.33803366190656</v>
      </c>
    </row>
    <row r="3134" spans="2:7">
      <c r="B3134" t="s">
        <v>2</v>
      </c>
      <c r="C3134" s="2">
        <v>37510</v>
      </c>
      <c r="D3134" t="s">
        <v>6</v>
      </c>
      <c r="E3134">
        <v>4.6221069999999997</v>
      </c>
      <c r="F3134">
        <f t="shared" si="96"/>
        <v>5.0932999999999673E-2</v>
      </c>
      <c r="G3134">
        <f t="shared" si="97"/>
        <v>137.03607390400794</v>
      </c>
    </row>
    <row r="3135" spans="2:7">
      <c r="B3135" t="s">
        <v>2</v>
      </c>
      <c r="C3135" s="2">
        <v>37509</v>
      </c>
      <c r="D3135" t="s">
        <v>6</v>
      </c>
      <c r="E3135">
        <v>4.5711740000000001</v>
      </c>
      <c r="F3135">
        <f t="shared" si="96"/>
        <v>-4.2212000000000138E-2</v>
      </c>
      <c r="G3135">
        <f t="shared" si="97"/>
        <v>137.19612469915248</v>
      </c>
    </row>
    <row r="3136" spans="2:7">
      <c r="B3136" t="s">
        <v>2</v>
      </c>
      <c r="C3136" s="2">
        <v>37508</v>
      </c>
      <c r="D3136" t="s">
        <v>6</v>
      </c>
      <c r="E3136">
        <v>4.6133860000000002</v>
      </c>
      <c r="F3136">
        <f t="shared" si="96"/>
        <v>9.5770000000001687E-3</v>
      </c>
      <c r="G3136">
        <f t="shared" si="97"/>
        <v>138.43346041412136</v>
      </c>
    </row>
    <row r="3137" spans="2:7">
      <c r="B3137" t="s">
        <v>2</v>
      </c>
      <c r="C3137" s="2">
        <v>37505</v>
      </c>
      <c r="D3137" t="s">
        <v>6</v>
      </c>
      <c r="E3137">
        <v>4.603809</v>
      </c>
      <c r="F3137">
        <f t="shared" si="96"/>
        <v>0.14830900000000025</v>
      </c>
      <c r="G3137">
        <f t="shared" si="97"/>
        <v>138.40469975347506</v>
      </c>
    </row>
    <row r="3138" spans="2:7">
      <c r="B3138" t="s">
        <v>2</v>
      </c>
      <c r="C3138" s="2">
        <v>37504</v>
      </c>
      <c r="D3138" t="s">
        <v>6</v>
      </c>
      <c r="E3138">
        <v>4.4554999999999998</v>
      </c>
      <c r="F3138">
        <f t="shared" si="96"/>
        <v>-3.4829000000000221E-2</v>
      </c>
      <c r="G3138">
        <f t="shared" si="97"/>
        <v>134.21258040676662</v>
      </c>
    </row>
    <row r="3139" spans="2:7">
      <c r="B3139" t="s">
        <v>2</v>
      </c>
      <c r="C3139" s="2">
        <v>37503</v>
      </c>
      <c r="D3139" t="s">
        <v>6</v>
      </c>
      <c r="E3139">
        <v>4.490329</v>
      </c>
      <c r="F3139">
        <f t="shared" ref="F3139:F3202" si="98">E3139-E3140</f>
        <v>-1.6563999999999801E-2</v>
      </c>
      <c r="G3139">
        <f t="shared" ref="G3139:G3202" si="99">STDEV(F3139:F3198)*SQRT(250)*100</f>
        <v>134.67964259248305</v>
      </c>
    </row>
    <row r="3140" spans="2:7">
      <c r="B3140" t="s">
        <v>2</v>
      </c>
      <c r="C3140" s="2">
        <v>37502</v>
      </c>
      <c r="D3140" t="s">
        <v>6</v>
      </c>
      <c r="E3140">
        <v>4.5068929999999998</v>
      </c>
      <c r="F3140">
        <f t="shared" si="98"/>
        <v>-0.1527820000000002</v>
      </c>
      <c r="G3140">
        <f t="shared" si="99"/>
        <v>134.67914849182239</v>
      </c>
    </row>
    <row r="3141" spans="2:7">
      <c r="B3141" t="s">
        <v>2</v>
      </c>
      <c r="C3141" s="2">
        <v>37498</v>
      </c>
      <c r="D3141" t="s">
        <v>6</v>
      </c>
      <c r="E3141">
        <v>4.659675</v>
      </c>
      <c r="F3141">
        <f t="shared" si="98"/>
        <v>-2.5151000000000145E-2</v>
      </c>
      <c r="G3141">
        <f t="shared" si="99"/>
        <v>133.16663459533865</v>
      </c>
    </row>
    <row r="3142" spans="2:7">
      <c r="B3142" t="s">
        <v>2</v>
      </c>
      <c r="C3142" s="2">
        <v>37497</v>
      </c>
      <c r="D3142" t="s">
        <v>6</v>
      </c>
      <c r="E3142">
        <v>4.6848260000000002</v>
      </c>
      <c r="F3142">
        <f t="shared" si="98"/>
        <v>-5.7304999999999495E-2</v>
      </c>
      <c r="G3142">
        <f t="shared" si="99"/>
        <v>133.16821217603058</v>
      </c>
    </row>
    <row r="3143" spans="2:7">
      <c r="B3143" t="s">
        <v>2</v>
      </c>
      <c r="C3143" s="2">
        <v>37496</v>
      </c>
      <c r="D3143" t="s">
        <v>6</v>
      </c>
      <c r="E3143">
        <v>4.7421309999999997</v>
      </c>
      <c r="F3143">
        <f t="shared" si="98"/>
        <v>-6.1112000000000499E-2</v>
      </c>
      <c r="G3143">
        <f t="shared" si="99"/>
        <v>133.32227683242499</v>
      </c>
    </row>
    <row r="3144" spans="2:7">
      <c r="B3144" t="s">
        <v>2</v>
      </c>
      <c r="C3144" s="2">
        <v>37495</v>
      </c>
      <c r="D3144" t="s">
        <v>6</v>
      </c>
      <c r="E3144">
        <v>4.8032430000000002</v>
      </c>
      <c r="F3144">
        <f t="shared" si="98"/>
        <v>8.5898000000000252E-2</v>
      </c>
      <c r="G3144">
        <f t="shared" si="99"/>
        <v>133.02153790397617</v>
      </c>
    </row>
    <row r="3145" spans="2:7">
      <c r="B3145" t="s">
        <v>2</v>
      </c>
      <c r="C3145" s="2">
        <v>37494</v>
      </c>
      <c r="D3145" t="s">
        <v>6</v>
      </c>
      <c r="E3145">
        <v>4.7173449999999999</v>
      </c>
      <c r="F3145">
        <f t="shared" si="98"/>
        <v>-3.1943000000000055E-2</v>
      </c>
      <c r="G3145">
        <f t="shared" si="99"/>
        <v>131.49135694805818</v>
      </c>
    </row>
    <row r="3146" spans="2:7">
      <c r="B3146" t="s">
        <v>2</v>
      </c>
      <c r="C3146" s="2">
        <v>37491</v>
      </c>
      <c r="D3146" t="s">
        <v>6</v>
      </c>
      <c r="E3146">
        <v>4.749288</v>
      </c>
      <c r="F3146">
        <f t="shared" si="98"/>
        <v>-8.6548999999999765E-2</v>
      </c>
      <c r="G3146">
        <f t="shared" si="99"/>
        <v>131.60001816007062</v>
      </c>
    </row>
    <row r="3147" spans="2:7">
      <c r="B3147" t="s">
        <v>2</v>
      </c>
      <c r="C3147" s="2">
        <v>37490</v>
      </c>
      <c r="D3147" t="s">
        <v>6</v>
      </c>
      <c r="E3147">
        <v>4.8358369999999997</v>
      </c>
      <c r="F3147">
        <f t="shared" si="98"/>
        <v>0.11174399999999984</v>
      </c>
      <c r="G3147">
        <f t="shared" si="99"/>
        <v>130.77531865297871</v>
      </c>
    </row>
    <row r="3148" spans="2:7">
      <c r="B3148" t="s">
        <v>2</v>
      </c>
      <c r="C3148" s="2">
        <v>37489</v>
      </c>
      <c r="D3148" t="s">
        <v>6</v>
      </c>
      <c r="E3148">
        <v>4.7240929999999999</v>
      </c>
      <c r="F3148">
        <f t="shared" si="98"/>
        <v>8.0700000000000216E-3</v>
      </c>
      <c r="G3148">
        <f t="shared" si="99"/>
        <v>128.70666336855049</v>
      </c>
    </row>
    <row r="3149" spans="2:7">
      <c r="B3149" t="s">
        <v>2</v>
      </c>
      <c r="C3149" s="2">
        <v>37488</v>
      </c>
      <c r="D3149" t="s">
        <v>6</v>
      </c>
      <c r="E3149">
        <v>4.7160229999999999</v>
      </c>
      <c r="F3149">
        <f t="shared" si="98"/>
        <v>-0.16787500000000044</v>
      </c>
      <c r="G3149">
        <f t="shared" si="99"/>
        <v>128.61958138486779</v>
      </c>
    </row>
    <row r="3150" spans="2:7">
      <c r="B3150" t="s">
        <v>2</v>
      </c>
      <c r="C3150" s="2">
        <v>37487</v>
      </c>
      <c r="D3150" t="s">
        <v>6</v>
      </c>
      <c r="E3150">
        <v>4.8838980000000003</v>
      </c>
      <c r="F3150">
        <f t="shared" si="98"/>
        <v>-4.3910000000000338E-3</v>
      </c>
      <c r="G3150">
        <f t="shared" si="99"/>
        <v>124.67167110715974</v>
      </c>
    </row>
    <row r="3151" spans="2:7">
      <c r="B3151" t="s">
        <v>2</v>
      </c>
      <c r="C3151" s="2">
        <v>37484</v>
      </c>
      <c r="D3151" t="s">
        <v>6</v>
      </c>
      <c r="E3151">
        <v>4.8882890000000003</v>
      </c>
      <c r="F3151">
        <f t="shared" si="98"/>
        <v>0.17336000000000062</v>
      </c>
      <c r="G3151">
        <f t="shared" si="99"/>
        <v>125.40446572273845</v>
      </c>
    </row>
    <row r="3152" spans="2:7">
      <c r="B3152" t="s">
        <v>2</v>
      </c>
      <c r="C3152" s="2">
        <v>37483</v>
      </c>
      <c r="D3152" t="s">
        <v>6</v>
      </c>
      <c r="E3152">
        <v>4.7149289999999997</v>
      </c>
      <c r="F3152">
        <f t="shared" si="98"/>
        <v>0.11615199999999959</v>
      </c>
      <c r="G3152">
        <f t="shared" si="99"/>
        <v>119.42050012083114</v>
      </c>
    </row>
    <row r="3153" spans="2:7">
      <c r="B3153" t="s">
        <v>2</v>
      </c>
      <c r="C3153" s="2">
        <v>37482</v>
      </c>
      <c r="D3153" t="s">
        <v>6</v>
      </c>
      <c r="E3153">
        <v>4.5987770000000001</v>
      </c>
      <c r="F3153">
        <f t="shared" si="98"/>
        <v>-6.0710000000000264E-2</v>
      </c>
      <c r="G3153">
        <f t="shared" si="99"/>
        <v>116.46780854181623</v>
      </c>
    </row>
    <row r="3154" spans="2:7">
      <c r="B3154" t="s">
        <v>2</v>
      </c>
      <c r="C3154" s="2">
        <v>37481</v>
      </c>
      <c r="D3154" t="s">
        <v>6</v>
      </c>
      <c r="E3154">
        <v>4.6594870000000004</v>
      </c>
      <c r="F3154">
        <f t="shared" si="98"/>
        <v>-0.1078739999999998</v>
      </c>
      <c r="G3154">
        <f t="shared" si="99"/>
        <v>116.66677564859403</v>
      </c>
    </row>
    <row r="3155" spans="2:7">
      <c r="B3155" t="s">
        <v>2</v>
      </c>
      <c r="C3155" s="2">
        <v>37480</v>
      </c>
      <c r="D3155" t="s">
        <v>6</v>
      </c>
      <c r="E3155">
        <v>4.7673610000000002</v>
      </c>
      <c r="F3155">
        <f t="shared" si="98"/>
        <v>-5.367899999999981E-2</v>
      </c>
      <c r="G3155">
        <f t="shared" si="99"/>
        <v>116.08261694046071</v>
      </c>
    </row>
    <row r="3156" spans="2:7">
      <c r="B3156" t="s">
        <v>2</v>
      </c>
      <c r="C3156" s="2">
        <v>37477</v>
      </c>
      <c r="D3156" t="s">
        <v>6</v>
      </c>
      <c r="E3156">
        <v>4.82104</v>
      </c>
      <c r="F3156">
        <f t="shared" si="98"/>
        <v>-0.13546999999999976</v>
      </c>
      <c r="G3156">
        <f t="shared" si="99"/>
        <v>116.34608900257106</v>
      </c>
    </row>
    <row r="3157" spans="2:7">
      <c r="B3157" t="s">
        <v>2</v>
      </c>
      <c r="C3157" s="2">
        <v>37476</v>
      </c>
      <c r="D3157" t="s">
        <v>6</v>
      </c>
      <c r="E3157">
        <v>4.9565099999999997</v>
      </c>
      <c r="F3157">
        <f t="shared" si="98"/>
        <v>6.186999999999987E-2</v>
      </c>
      <c r="G3157">
        <f t="shared" si="99"/>
        <v>113.97457658936912</v>
      </c>
    </row>
    <row r="3158" spans="2:7">
      <c r="B3158" t="s">
        <v>2</v>
      </c>
      <c r="C3158" s="2">
        <v>37475</v>
      </c>
      <c r="D3158" t="s">
        <v>6</v>
      </c>
      <c r="E3158">
        <v>4.8946399999999999</v>
      </c>
      <c r="F3158">
        <f t="shared" si="98"/>
        <v>-9.2680999999999791E-2</v>
      </c>
      <c r="G3158">
        <f t="shared" si="99"/>
        <v>114.06031794455191</v>
      </c>
    </row>
    <row r="3159" spans="2:7">
      <c r="B3159" t="s">
        <v>2</v>
      </c>
      <c r="C3159" s="2">
        <v>37474</v>
      </c>
      <c r="D3159" t="s">
        <v>6</v>
      </c>
      <c r="E3159">
        <v>4.9873209999999997</v>
      </c>
      <c r="F3159">
        <f t="shared" si="98"/>
        <v>0.12398199999999981</v>
      </c>
      <c r="G3159">
        <f t="shared" si="99"/>
        <v>114.90256906986549</v>
      </c>
    </row>
    <row r="3160" spans="2:7">
      <c r="B3160" t="s">
        <v>2</v>
      </c>
      <c r="C3160" s="2">
        <v>37473</v>
      </c>
      <c r="D3160" t="s">
        <v>6</v>
      </c>
      <c r="E3160">
        <v>4.8633389999999999</v>
      </c>
      <c r="F3160">
        <f t="shared" si="98"/>
        <v>-2.2516000000000425E-2</v>
      </c>
      <c r="G3160">
        <f t="shared" si="99"/>
        <v>111.62809338392852</v>
      </c>
    </row>
    <row r="3161" spans="2:7">
      <c r="B3161" t="s">
        <v>2</v>
      </c>
      <c r="C3161" s="2">
        <v>37470</v>
      </c>
      <c r="D3161" t="s">
        <v>6</v>
      </c>
      <c r="E3161">
        <v>4.8858550000000003</v>
      </c>
      <c r="F3161">
        <f t="shared" si="98"/>
        <v>-0.13241999999999976</v>
      </c>
      <c r="G3161">
        <f t="shared" si="99"/>
        <v>111.79305929678422</v>
      </c>
    </row>
    <row r="3162" spans="2:7">
      <c r="B3162" t="s">
        <v>2</v>
      </c>
      <c r="C3162" s="2">
        <v>37469</v>
      </c>
      <c r="D3162" t="s">
        <v>6</v>
      </c>
      <c r="E3162">
        <v>5.018275</v>
      </c>
      <c r="F3162">
        <f t="shared" si="98"/>
        <v>-6.0445999999999778E-2</v>
      </c>
      <c r="G3162">
        <f t="shared" si="99"/>
        <v>114.63620378126905</v>
      </c>
    </row>
    <row r="3163" spans="2:7">
      <c r="B3163" t="s">
        <v>2</v>
      </c>
      <c r="C3163" s="2">
        <v>37468</v>
      </c>
      <c r="D3163" t="s">
        <v>6</v>
      </c>
      <c r="E3163">
        <v>5.0787209999999998</v>
      </c>
      <c r="F3163">
        <f t="shared" si="98"/>
        <v>-0.14915500000000037</v>
      </c>
      <c r="G3163">
        <f t="shared" si="99"/>
        <v>114.17325410696182</v>
      </c>
    </row>
    <row r="3164" spans="2:7">
      <c r="B3164" t="s">
        <v>2</v>
      </c>
      <c r="C3164" s="2">
        <v>37467</v>
      </c>
      <c r="D3164" t="s">
        <v>6</v>
      </c>
      <c r="E3164">
        <v>5.2278760000000002</v>
      </c>
      <c r="F3164">
        <f t="shared" si="98"/>
        <v>4.4226000000000099E-2</v>
      </c>
      <c r="G3164">
        <f t="shared" si="99"/>
        <v>110.61278846858799</v>
      </c>
    </row>
    <row r="3165" spans="2:7">
      <c r="B3165" t="s">
        <v>2</v>
      </c>
      <c r="C3165" s="2">
        <v>37466</v>
      </c>
      <c r="D3165" t="s">
        <v>6</v>
      </c>
      <c r="E3165">
        <v>5.1836500000000001</v>
      </c>
      <c r="F3165">
        <f t="shared" si="98"/>
        <v>0.15870600000000046</v>
      </c>
      <c r="G3165">
        <f t="shared" si="99"/>
        <v>110.44032680817801</v>
      </c>
    </row>
    <row r="3166" spans="2:7">
      <c r="B3166" t="s">
        <v>2</v>
      </c>
      <c r="C3166" s="2">
        <v>37463</v>
      </c>
      <c r="D3166" t="s">
        <v>6</v>
      </c>
      <c r="E3166">
        <v>5.0249439999999996</v>
      </c>
      <c r="F3166">
        <f t="shared" si="98"/>
        <v>1.8235999999999919E-2</v>
      </c>
      <c r="G3166">
        <f t="shared" si="99"/>
        <v>105.78096557184958</v>
      </c>
    </row>
    <row r="3167" spans="2:7">
      <c r="B3167" t="s">
        <v>2</v>
      </c>
      <c r="C3167" s="2">
        <v>37462</v>
      </c>
      <c r="D3167" t="s">
        <v>6</v>
      </c>
      <c r="E3167">
        <v>5.0067079999999997</v>
      </c>
      <c r="F3167">
        <f t="shared" si="98"/>
        <v>1.1377999999999666E-2</v>
      </c>
      <c r="G3167">
        <f t="shared" si="99"/>
        <v>105.75012685411301</v>
      </c>
    </row>
    <row r="3168" spans="2:7">
      <c r="B3168" t="s">
        <v>2</v>
      </c>
      <c r="C3168" s="2">
        <v>37461</v>
      </c>
      <c r="D3168" t="s">
        <v>6</v>
      </c>
      <c r="E3168">
        <v>4.99533</v>
      </c>
      <c r="F3168">
        <f t="shared" si="98"/>
        <v>4.7530000000000072E-3</v>
      </c>
      <c r="G3168">
        <f t="shared" si="99"/>
        <v>105.81392575844882</v>
      </c>
    </row>
    <row r="3169" spans="2:7">
      <c r="B3169" t="s">
        <v>2</v>
      </c>
      <c r="C3169" s="2">
        <v>37460</v>
      </c>
      <c r="D3169" t="s">
        <v>6</v>
      </c>
      <c r="E3169">
        <v>4.990577</v>
      </c>
      <c r="F3169">
        <f t="shared" si="98"/>
        <v>-1.8843999999999639E-2</v>
      </c>
      <c r="G3169">
        <f t="shared" si="99"/>
        <v>106.06760066423033</v>
      </c>
    </row>
    <row r="3170" spans="2:7">
      <c r="B3170" t="s">
        <v>2</v>
      </c>
      <c r="C3170" s="2">
        <v>37459</v>
      </c>
      <c r="D3170" t="s">
        <v>6</v>
      </c>
      <c r="E3170">
        <v>5.0094209999999997</v>
      </c>
      <c r="F3170">
        <f t="shared" si="98"/>
        <v>-9.1708000000000567E-2</v>
      </c>
      <c r="G3170">
        <f t="shared" si="99"/>
        <v>106.12530623863957</v>
      </c>
    </row>
    <row r="3171" spans="2:7">
      <c r="B3171" t="s">
        <v>2</v>
      </c>
      <c r="C3171" s="2">
        <v>37456</v>
      </c>
      <c r="D3171" t="s">
        <v>6</v>
      </c>
      <c r="E3171">
        <v>5.1011290000000002</v>
      </c>
      <c r="F3171">
        <f t="shared" si="98"/>
        <v>-5.0650000000000084E-2</v>
      </c>
      <c r="G3171">
        <f t="shared" si="99"/>
        <v>104.81991671946815</v>
      </c>
    </row>
    <row r="3172" spans="2:7">
      <c r="B3172" t="s">
        <v>2</v>
      </c>
      <c r="C3172" s="2">
        <v>37455</v>
      </c>
      <c r="D3172" t="s">
        <v>6</v>
      </c>
      <c r="E3172">
        <v>5.1517790000000003</v>
      </c>
      <c r="F3172">
        <f t="shared" si="98"/>
        <v>-5.8968999999999383E-2</v>
      </c>
      <c r="G3172">
        <f t="shared" si="99"/>
        <v>105.97049621690743</v>
      </c>
    </row>
    <row r="3173" spans="2:7">
      <c r="B3173" t="s">
        <v>2</v>
      </c>
      <c r="C3173" s="2">
        <v>37454</v>
      </c>
      <c r="D3173" t="s">
        <v>6</v>
      </c>
      <c r="E3173">
        <v>5.2107479999999997</v>
      </c>
      <c r="F3173">
        <f t="shared" si="98"/>
        <v>-3.4965000000000579E-2</v>
      </c>
      <c r="G3173">
        <f t="shared" si="99"/>
        <v>105.48799951302452</v>
      </c>
    </row>
    <row r="3174" spans="2:7">
      <c r="B3174" t="s">
        <v>2</v>
      </c>
      <c r="C3174" s="2">
        <v>37453</v>
      </c>
      <c r="D3174" t="s">
        <v>6</v>
      </c>
      <c r="E3174">
        <v>5.2457130000000003</v>
      </c>
      <c r="F3174">
        <f t="shared" si="98"/>
        <v>0.10610600000000048</v>
      </c>
      <c r="G3174">
        <f t="shared" si="99"/>
        <v>105.56375109457869</v>
      </c>
    </row>
    <row r="3175" spans="2:7">
      <c r="B3175" t="s">
        <v>2</v>
      </c>
      <c r="C3175" s="2">
        <v>37452</v>
      </c>
      <c r="D3175" t="s">
        <v>6</v>
      </c>
      <c r="E3175">
        <v>5.1396069999999998</v>
      </c>
      <c r="F3175">
        <f t="shared" si="98"/>
        <v>2.5256999999999863E-2</v>
      </c>
      <c r="G3175">
        <f t="shared" si="99"/>
        <v>102.81910635703507</v>
      </c>
    </row>
    <row r="3176" spans="2:7">
      <c r="B3176" t="s">
        <v>2</v>
      </c>
      <c r="C3176" s="2">
        <v>37449</v>
      </c>
      <c r="D3176" t="s">
        <v>6</v>
      </c>
      <c r="E3176">
        <v>5.11435</v>
      </c>
      <c r="F3176">
        <f t="shared" si="98"/>
        <v>-1.4451000000000214E-2</v>
      </c>
      <c r="G3176">
        <f t="shared" si="99"/>
        <v>102.53420637593744</v>
      </c>
    </row>
    <row r="3177" spans="2:7">
      <c r="B3177" t="s">
        <v>2</v>
      </c>
      <c r="C3177" s="2">
        <v>37448</v>
      </c>
      <c r="D3177" t="s">
        <v>6</v>
      </c>
      <c r="E3177">
        <v>5.1288010000000002</v>
      </c>
      <c r="F3177">
        <f t="shared" si="98"/>
        <v>-3.1916999999999973E-2</v>
      </c>
      <c r="G3177">
        <f t="shared" si="99"/>
        <v>102.79029205071917</v>
      </c>
    </row>
    <row r="3178" spans="2:7">
      <c r="B3178" t="s">
        <v>2</v>
      </c>
      <c r="C3178" s="2">
        <v>37447</v>
      </c>
      <c r="D3178" t="s">
        <v>6</v>
      </c>
      <c r="E3178">
        <v>5.1607180000000001</v>
      </c>
      <c r="F3178">
        <f t="shared" si="98"/>
        <v>-0.11728899999999953</v>
      </c>
      <c r="G3178">
        <f t="shared" si="99"/>
        <v>102.92971962475679</v>
      </c>
    </row>
    <row r="3179" spans="2:7">
      <c r="B3179" t="s">
        <v>2</v>
      </c>
      <c r="C3179" s="2">
        <v>37446</v>
      </c>
      <c r="D3179" t="s">
        <v>6</v>
      </c>
      <c r="E3179">
        <v>5.2780069999999997</v>
      </c>
      <c r="F3179">
        <f t="shared" si="98"/>
        <v>-8.0428000000000388E-2</v>
      </c>
      <c r="G3179">
        <f t="shared" si="99"/>
        <v>100.56152767600067</v>
      </c>
    </row>
    <row r="3180" spans="2:7">
      <c r="B3180" t="s">
        <v>2</v>
      </c>
      <c r="C3180" s="2">
        <v>37445</v>
      </c>
      <c r="D3180" t="s">
        <v>6</v>
      </c>
      <c r="E3180">
        <v>5.3584350000000001</v>
      </c>
      <c r="F3180">
        <f t="shared" si="98"/>
        <v>-5.2926999999999502E-2</v>
      </c>
      <c r="G3180">
        <f t="shared" si="99"/>
        <v>99.559709483803047</v>
      </c>
    </row>
    <row r="3181" spans="2:7">
      <c r="B3181" t="s">
        <v>2</v>
      </c>
      <c r="C3181" s="2">
        <v>37442</v>
      </c>
      <c r="D3181" t="s">
        <v>6</v>
      </c>
      <c r="E3181">
        <v>5.4113619999999996</v>
      </c>
      <c r="F3181">
        <f t="shared" si="98"/>
        <v>0.12889899999999965</v>
      </c>
      <c r="G3181">
        <f t="shared" si="99"/>
        <v>99.136144983726467</v>
      </c>
    </row>
    <row r="3182" spans="2:7">
      <c r="B3182" t="s">
        <v>2</v>
      </c>
      <c r="C3182" s="2">
        <v>37440</v>
      </c>
      <c r="D3182" t="s">
        <v>6</v>
      </c>
      <c r="E3182">
        <v>5.2824629999999999</v>
      </c>
      <c r="F3182">
        <f t="shared" si="98"/>
        <v>1.6380999999999979E-2</v>
      </c>
      <c r="G3182">
        <f t="shared" si="99"/>
        <v>95.073158125413869</v>
      </c>
    </row>
    <row r="3183" spans="2:7">
      <c r="B3183" t="s">
        <v>2</v>
      </c>
      <c r="C3183" s="2">
        <v>37439</v>
      </c>
      <c r="D3183" t="s">
        <v>6</v>
      </c>
      <c r="E3183">
        <v>5.2660819999999999</v>
      </c>
      <c r="F3183">
        <f t="shared" si="98"/>
        <v>-7.9895999999999745E-2</v>
      </c>
      <c r="G3183">
        <f t="shared" si="99"/>
        <v>95.007054622137659</v>
      </c>
    </row>
    <row r="3184" spans="2:7">
      <c r="B3184" t="s">
        <v>2</v>
      </c>
      <c r="C3184" s="2">
        <v>37438</v>
      </c>
      <c r="D3184" t="s">
        <v>6</v>
      </c>
      <c r="E3184">
        <v>5.3459779999999997</v>
      </c>
      <c r="F3184">
        <f t="shared" si="98"/>
        <v>-1.0972000000000648E-2</v>
      </c>
      <c r="G3184">
        <f t="shared" si="99"/>
        <v>94.526588847823575</v>
      </c>
    </row>
    <row r="3185" spans="2:7">
      <c r="B3185" t="s">
        <v>2</v>
      </c>
      <c r="C3185" s="2">
        <v>37435</v>
      </c>
      <c r="D3185" t="s">
        <v>6</v>
      </c>
      <c r="E3185">
        <v>5.3569500000000003</v>
      </c>
      <c r="F3185">
        <f t="shared" si="98"/>
        <v>1.7332000000000569E-2</v>
      </c>
      <c r="G3185">
        <f t="shared" si="99"/>
        <v>95.400622142950283</v>
      </c>
    </row>
    <row r="3186" spans="2:7">
      <c r="B3186" t="s">
        <v>2</v>
      </c>
      <c r="C3186" s="2">
        <v>37434</v>
      </c>
      <c r="D3186" t="s">
        <v>6</v>
      </c>
      <c r="E3186">
        <v>5.3396179999999998</v>
      </c>
      <c r="F3186">
        <f t="shared" si="98"/>
        <v>0.11594899999999964</v>
      </c>
      <c r="G3186">
        <f t="shared" si="99"/>
        <v>95.243443447763909</v>
      </c>
    </row>
    <row r="3187" spans="2:7">
      <c r="B3187" t="s">
        <v>2</v>
      </c>
      <c r="C3187" s="2">
        <v>37433</v>
      </c>
      <c r="D3187" t="s">
        <v>6</v>
      </c>
      <c r="E3187">
        <v>5.2236690000000001</v>
      </c>
      <c r="F3187">
        <f t="shared" si="98"/>
        <v>-0.1464129999999999</v>
      </c>
      <c r="G3187">
        <f t="shared" si="99"/>
        <v>92.562925130195453</v>
      </c>
    </row>
    <row r="3188" spans="2:7">
      <c r="B3188" t="s">
        <v>2</v>
      </c>
      <c r="C3188" s="2">
        <v>37432</v>
      </c>
      <c r="D3188" t="s">
        <v>6</v>
      </c>
      <c r="E3188">
        <v>5.370082</v>
      </c>
      <c r="F3188">
        <f t="shared" si="98"/>
        <v>1.0384000000000171E-2</v>
      </c>
      <c r="G3188">
        <f t="shared" si="99"/>
        <v>89.836437018207647</v>
      </c>
    </row>
    <row r="3189" spans="2:7">
      <c r="B3189" t="s">
        <v>2</v>
      </c>
      <c r="C3189" s="2">
        <v>37431</v>
      </c>
      <c r="D3189" t="s">
        <v>6</v>
      </c>
      <c r="E3189">
        <v>5.3596979999999999</v>
      </c>
      <c r="F3189">
        <f t="shared" si="98"/>
        <v>8.9237999999999928E-2</v>
      </c>
      <c r="G3189">
        <f t="shared" si="99"/>
        <v>89.885725742879387</v>
      </c>
    </row>
    <row r="3190" spans="2:7">
      <c r="B3190" t="s">
        <v>2</v>
      </c>
      <c r="C3190" s="2">
        <v>37428</v>
      </c>
      <c r="D3190" t="s">
        <v>6</v>
      </c>
      <c r="E3190">
        <v>5.2704599999999999</v>
      </c>
      <c r="F3190">
        <f t="shared" si="98"/>
        <v>-7.734799999999975E-2</v>
      </c>
      <c r="G3190">
        <f t="shared" si="99"/>
        <v>89.357787647060945</v>
      </c>
    </row>
    <row r="3191" spans="2:7">
      <c r="B3191" t="s">
        <v>2</v>
      </c>
      <c r="C3191" s="2">
        <v>37427</v>
      </c>
      <c r="D3191" t="s">
        <v>6</v>
      </c>
      <c r="E3191">
        <v>5.3478079999999997</v>
      </c>
      <c r="F3191">
        <f t="shared" si="98"/>
        <v>9.9498999999999782E-2</v>
      </c>
      <c r="G3191">
        <f t="shared" si="99"/>
        <v>88.422177518095808</v>
      </c>
    </row>
    <row r="3192" spans="2:7">
      <c r="B3192" t="s">
        <v>2</v>
      </c>
      <c r="C3192" s="2">
        <v>37426</v>
      </c>
      <c r="D3192" t="s">
        <v>6</v>
      </c>
      <c r="E3192">
        <v>5.2483089999999999</v>
      </c>
      <c r="F3192">
        <f t="shared" si="98"/>
        <v>-0.15379900000000024</v>
      </c>
      <c r="G3192">
        <f t="shared" si="99"/>
        <v>86.412586720243468</v>
      </c>
    </row>
    <row r="3193" spans="2:7">
      <c r="B3193" t="s">
        <v>2</v>
      </c>
      <c r="C3193" s="2">
        <v>37425</v>
      </c>
      <c r="D3193" t="s">
        <v>6</v>
      </c>
      <c r="E3193">
        <v>5.4021080000000001</v>
      </c>
      <c r="F3193">
        <f t="shared" si="98"/>
        <v>-3.785999999999845E-3</v>
      </c>
      <c r="G3193">
        <f t="shared" si="99"/>
        <v>81.521432506555485</v>
      </c>
    </row>
    <row r="3194" spans="2:7">
      <c r="B3194" t="s">
        <v>2</v>
      </c>
      <c r="C3194" s="2">
        <v>37424</v>
      </c>
      <c r="D3194" t="s">
        <v>6</v>
      </c>
      <c r="E3194">
        <v>5.405894</v>
      </c>
      <c r="F3194">
        <f t="shared" si="98"/>
        <v>5.8576999999999657E-2</v>
      </c>
      <c r="G3194">
        <f t="shared" si="99"/>
        <v>81.571268822332826</v>
      </c>
    </row>
    <row r="3195" spans="2:7">
      <c r="B3195" t="s">
        <v>2</v>
      </c>
      <c r="C3195" s="2">
        <v>37421</v>
      </c>
      <c r="D3195" t="s">
        <v>6</v>
      </c>
      <c r="E3195">
        <v>5.3473170000000003</v>
      </c>
      <c r="F3195">
        <f t="shared" si="98"/>
        <v>-0.10768399999999989</v>
      </c>
      <c r="G3195">
        <f t="shared" si="99"/>
        <v>80.324828862523972</v>
      </c>
    </row>
    <row r="3196" spans="2:7">
      <c r="B3196" t="s">
        <v>2</v>
      </c>
      <c r="C3196" s="2">
        <v>37420</v>
      </c>
      <c r="D3196" t="s">
        <v>6</v>
      </c>
      <c r="E3196">
        <v>5.4550010000000002</v>
      </c>
      <c r="F3196">
        <f t="shared" si="98"/>
        <v>-3.4050999999999831E-2</v>
      </c>
      <c r="G3196">
        <f t="shared" si="99"/>
        <v>79.611029837114728</v>
      </c>
    </row>
    <row r="3197" spans="2:7">
      <c r="B3197" t="s">
        <v>2</v>
      </c>
      <c r="C3197" s="2">
        <v>37419</v>
      </c>
      <c r="D3197" t="s">
        <v>6</v>
      </c>
      <c r="E3197">
        <v>5.489052</v>
      </c>
      <c r="F3197">
        <f t="shared" si="98"/>
        <v>-2.5901000000000174E-2</v>
      </c>
      <c r="G3197">
        <f t="shared" si="99"/>
        <v>79.614895322348701</v>
      </c>
    </row>
    <row r="3198" spans="2:7">
      <c r="B3198" t="s">
        <v>2</v>
      </c>
      <c r="C3198" s="2">
        <v>37418</v>
      </c>
      <c r="D3198" t="s">
        <v>6</v>
      </c>
      <c r="E3198">
        <v>5.5149530000000002</v>
      </c>
      <c r="F3198">
        <f t="shared" si="98"/>
        <v>-7.4977999999999767E-2</v>
      </c>
      <c r="G3198">
        <f t="shared" si="99"/>
        <v>80.145420321385203</v>
      </c>
    </row>
    <row r="3199" spans="2:7">
      <c r="B3199" t="s">
        <v>2</v>
      </c>
      <c r="C3199" s="2">
        <v>37417</v>
      </c>
      <c r="D3199" t="s">
        <v>6</v>
      </c>
      <c r="E3199">
        <v>5.589931</v>
      </c>
      <c r="F3199">
        <f t="shared" si="98"/>
        <v>-1.8494999999999706E-2</v>
      </c>
      <c r="G3199">
        <f t="shared" si="99"/>
        <v>79.641558460001491</v>
      </c>
    </row>
    <row r="3200" spans="2:7">
      <c r="B3200" t="s">
        <v>2</v>
      </c>
      <c r="C3200" s="2">
        <v>37414</v>
      </c>
      <c r="D3200" t="s">
        <v>6</v>
      </c>
      <c r="E3200">
        <v>5.6084259999999997</v>
      </c>
      <c r="F3200">
        <f t="shared" si="98"/>
        <v>7.8599999999999781E-2</v>
      </c>
      <c r="G3200">
        <f t="shared" si="99"/>
        <v>85.196016382109264</v>
      </c>
    </row>
    <row r="3201" spans="2:7">
      <c r="B3201" t="s">
        <v>2</v>
      </c>
      <c r="C3201" s="2">
        <v>37413</v>
      </c>
      <c r="D3201" t="s">
        <v>6</v>
      </c>
      <c r="E3201">
        <v>5.5298259999999999</v>
      </c>
      <c r="F3201">
        <f t="shared" si="98"/>
        <v>-2.5606999999999935E-2</v>
      </c>
      <c r="G3201">
        <f t="shared" si="99"/>
        <v>83.700670061813668</v>
      </c>
    </row>
    <row r="3202" spans="2:7">
      <c r="B3202" t="s">
        <v>2</v>
      </c>
      <c r="C3202" s="2">
        <v>37412</v>
      </c>
      <c r="D3202" t="s">
        <v>6</v>
      </c>
      <c r="E3202">
        <v>5.5554329999999998</v>
      </c>
      <c r="F3202">
        <f t="shared" si="98"/>
        <v>3.9874999999999439E-2</v>
      </c>
      <c r="G3202">
        <f t="shared" si="99"/>
        <v>83.70104817636404</v>
      </c>
    </row>
    <row r="3203" spans="2:7">
      <c r="B3203" t="s">
        <v>2</v>
      </c>
      <c r="C3203" s="2">
        <v>37411</v>
      </c>
      <c r="D3203" t="s">
        <v>6</v>
      </c>
      <c r="E3203">
        <v>5.5155580000000004</v>
      </c>
      <c r="F3203">
        <f t="shared" ref="F3203:F3266" si="100">E3203-E3204</f>
        <v>-3.4036999999999651E-2</v>
      </c>
      <c r="G3203">
        <f t="shared" ref="G3203:G3266" si="101">STDEV(F3203:F3262)*SQRT(250)*100</f>
        <v>83.114141298706272</v>
      </c>
    </row>
    <row r="3204" spans="2:7">
      <c r="B3204" t="s">
        <v>2</v>
      </c>
      <c r="C3204" s="2">
        <v>37410</v>
      </c>
      <c r="D3204" t="s">
        <v>6</v>
      </c>
      <c r="E3204">
        <v>5.5495950000000001</v>
      </c>
      <c r="F3204">
        <f t="shared" si="100"/>
        <v>2.8269999999999129E-3</v>
      </c>
      <c r="G3204">
        <f t="shared" si="101"/>
        <v>87.585998582422192</v>
      </c>
    </row>
    <row r="3205" spans="2:7">
      <c r="B3205" t="s">
        <v>2</v>
      </c>
      <c r="C3205" s="2">
        <v>37407</v>
      </c>
      <c r="D3205" t="s">
        <v>6</v>
      </c>
      <c r="E3205">
        <v>5.5467680000000001</v>
      </c>
      <c r="F3205">
        <f t="shared" si="100"/>
        <v>1.8508999999999887E-2</v>
      </c>
      <c r="G3205">
        <f t="shared" si="101"/>
        <v>95.833248515453676</v>
      </c>
    </row>
    <row r="3206" spans="2:7">
      <c r="B3206" t="s">
        <v>2</v>
      </c>
      <c r="C3206" s="2">
        <v>37406</v>
      </c>
      <c r="D3206" t="s">
        <v>6</v>
      </c>
      <c r="E3206">
        <v>5.5282590000000003</v>
      </c>
      <c r="F3206">
        <f t="shared" si="100"/>
        <v>-3.1831999999999638E-2</v>
      </c>
      <c r="G3206">
        <f t="shared" si="101"/>
        <v>96.030485777094412</v>
      </c>
    </row>
    <row r="3207" spans="2:7">
      <c r="B3207" t="s">
        <v>2</v>
      </c>
      <c r="C3207" s="2">
        <v>37405</v>
      </c>
      <c r="D3207" t="s">
        <v>6</v>
      </c>
      <c r="E3207">
        <v>5.5600909999999999</v>
      </c>
      <c r="F3207">
        <f t="shared" si="100"/>
        <v>-6.868099999999977E-2</v>
      </c>
      <c r="G3207">
        <f t="shared" si="101"/>
        <v>95.900872748406513</v>
      </c>
    </row>
    <row r="3208" spans="2:7">
      <c r="B3208" t="s">
        <v>2</v>
      </c>
      <c r="C3208" s="2">
        <v>37404</v>
      </c>
      <c r="D3208" t="s">
        <v>6</v>
      </c>
      <c r="E3208">
        <v>5.6287719999999997</v>
      </c>
      <c r="F3208">
        <f t="shared" si="100"/>
        <v>-1.9512999999999892E-2</v>
      </c>
      <c r="G3208">
        <f t="shared" si="101"/>
        <v>94.99531415227338</v>
      </c>
    </row>
    <row r="3209" spans="2:7">
      <c r="B3209" t="s">
        <v>2</v>
      </c>
      <c r="C3209" s="2">
        <v>37400</v>
      </c>
      <c r="D3209" t="s">
        <v>6</v>
      </c>
      <c r="E3209">
        <v>5.6482849999999996</v>
      </c>
      <c r="F3209">
        <f t="shared" si="100"/>
        <v>-1.2132000000000254E-2</v>
      </c>
      <c r="G3209">
        <f t="shared" si="101"/>
        <v>98.071440132434603</v>
      </c>
    </row>
    <row r="3210" spans="2:7">
      <c r="B3210" t="s">
        <v>2</v>
      </c>
      <c r="C3210" s="2">
        <v>37399</v>
      </c>
      <c r="D3210" t="s">
        <v>6</v>
      </c>
      <c r="E3210">
        <v>5.6604169999999998</v>
      </c>
      <c r="F3210">
        <f t="shared" si="100"/>
        <v>5.3798999999999708E-2</v>
      </c>
      <c r="G3210">
        <f t="shared" si="101"/>
        <v>98.036259388632544</v>
      </c>
    </row>
    <row r="3211" spans="2:7">
      <c r="B3211" t="s">
        <v>2</v>
      </c>
      <c r="C3211" s="2">
        <v>37398</v>
      </c>
      <c r="D3211" t="s">
        <v>6</v>
      </c>
      <c r="E3211">
        <v>5.6066180000000001</v>
      </c>
      <c r="F3211">
        <f t="shared" si="100"/>
        <v>-3.4130000000000216E-2</v>
      </c>
      <c r="G3211">
        <f t="shared" si="101"/>
        <v>100.85695209638055</v>
      </c>
    </row>
    <row r="3212" spans="2:7">
      <c r="B3212" t="s">
        <v>2</v>
      </c>
      <c r="C3212" s="2">
        <v>37397</v>
      </c>
      <c r="D3212" t="s">
        <v>6</v>
      </c>
      <c r="E3212">
        <v>5.6407480000000003</v>
      </c>
      <c r="F3212">
        <f t="shared" si="100"/>
        <v>-5.2151999999999532E-2</v>
      </c>
      <c r="G3212">
        <f t="shared" si="101"/>
        <v>101.66784163124993</v>
      </c>
    </row>
    <row r="3213" spans="2:7">
      <c r="B3213" t="s">
        <v>2</v>
      </c>
      <c r="C3213" s="2">
        <v>37396</v>
      </c>
      <c r="D3213" t="s">
        <v>6</v>
      </c>
      <c r="E3213">
        <v>5.6928999999999998</v>
      </c>
      <c r="F3213">
        <f t="shared" si="100"/>
        <v>-7.209600000000016E-2</v>
      </c>
      <c r="G3213">
        <f t="shared" si="101"/>
        <v>101.2129447358578</v>
      </c>
    </row>
    <row r="3214" spans="2:7">
      <c r="B3214" t="s">
        <v>2</v>
      </c>
      <c r="C3214" s="2">
        <v>37393</v>
      </c>
      <c r="D3214" t="s">
        <v>6</v>
      </c>
      <c r="E3214">
        <v>5.764996</v>
      </c>
      <c r="F3214">
        <f t="shared" si="100"/>
        <v>5.3882999999999903E-2</v>
      </c>
      <c r="G3214">
        <f t="shared" si="101"/>
        <v>100.32069373539107</v>
      </c>
    </row>
    <row r="3215" spans="2:7">
      <c r="B3215" t="s">
        <v>2</v>
      </c>
      <c r="C3215" s="2">
        <v>37392</v>
      </c>
      <c r="D3215" t="s">
        <v>6</v>
      </c>
      <c r="E3215">
        <v>5.7111130000000001</v>
      </c>
      <c r="F3215">
        <f t="shared" si="100"/>
        <v>-6.9484000000000101E-2</v>
      </c>
      <c r="G3215">
        <f t="shared" si="101"/>
        <v>99.796660022923263</v>
      </c>
    </row>
    <row r="3216" spans="2:7">
      <c r="B3216" t="s">
        <v>2</v>
      </c>
      <c r="C3216" s="2">
        <v>37391</v>
      </c>
      <c r="D3216" t="s">
        <v>6</v>
      </c>
      <c r="E3216">
        <v>5.7805970000000002</v>
      </c>
      <c r="F3216">
        <f t="shared" si="100"/>
        <v>-5.4635000000000211E-2</v>
      </c>
      <c r="G3216">
        <f t="shared" si="101"/>
        <v>98.730007666803104</v>
      </c>
    </row>
    <row r="3217" spans="2:7">
      <c r="B3217" t="s">
        <v>2</v>
      </c>
      <c r="C3217" s="2">
        <v>37390</v>
      </c>
      <c r="D3217" t="s">
        <v>6</v>
      </c>
      <c r="E3217">
        <v>5.8352320000000004</v>
      </c>
      <c r="F3217">
        <f t="shared" si="100"/>
        <v>6.482900000000047E-2</v>
      </c>
      <c r="G3217">
        <f t="shared" si="101"/>
        <v>98.116574036775134</v>
      </c>
    </row>
    <row r="3218" spans="2:7">
      <c r="B3218" t="s">
        <v>2</v>
      </c>
      <c r="C3218" s="2">
        <v>37389</v>
      </c>
      <c r="D3218" t="s">
        <v>6</v>
      </c>
      <c r="E3218">
        <v>5.7704029999999999</v>
      </c>
      <c r="F3218">
        <f t="shared" si="100"/>
        <v>9.1293000000000291E-2</v>
      </c>
      <c r="G3218">
        <f t="shared" si="101"/>
        <v>99.434365961786312</v>
      </c>
    </row>
    <row r="3219" spans="2:7">
      <c r="B3219" t="s">
        <v>2</v>
      </c>
      <c r="C3219" s="2">
        <v>37386</v>
      </c>
      <c r="D3219" t="s">
        <v>6</v>
      </c>
      <c r="E3219">
        <v>5.6791099999999997</v>
      </c>
      <c r="F3219">
        <f t="shared" si="100"/>
        <v>-4.8305000000000042E-2</v>
      </c>
      <c r="G3219">
        <f t="shared" si="101"/>
        <v>98.191295412081587</v>
      </c>
    </row>
    <row r="3220" spans="2:7">
      <c r="B3220" t="s">
        <v>2</v>
      </c>
      <c r="C3220" s="2">
        <v>37385</v>
      </c>
      <c r="D3220" t="s">
        <v>6</v>
      </c>
      <c r="E3220">
        <v>5.7274149999999997</v>
      </c>
      <c r="F3220">
        <f t="shared" si="100"/>
        <v>-4.5129000000000197E-2</v>
      </c>
      <c r="G3220">
        <f t="shared" si="101"/>
        <v>97.736709345754889</v>
      </c>
    </row>
    <row r="3221" spans="2:7">
      <c r="B3221" t="s">
        <v>2</v>
      </c>
      <c r="C3221" s="2">
        <v>37384</v>
      </c>
      <c r="D3221" t="s">
        <v>6</v>
      </c>
      <c r="E3221">
        <v>5.7725439999999999</v>
      </c>
      <c r="F3221">
        <f t="shared" si="100"/>
        <v>0.15973599999999966</v>
      </c>
      <c r="G3221">
        <f t="shared" si="101"/>
        <v>97.949637492068703</v>
      </c>
    </row>
    <row r="3222" spans="2:7">
      <c r="B3222" t="s">
        <v>2</v>
      </c>
      <c r="C3222" s="2">
        <v>37383</v>
      </c>
      <c r="D3222" t="s">
        <v>6</v>
      </c>
      <c r="E3222">
        <v>5.6128080000000002</v>
      </c>
      <c r="F3222">
        <f t="shared" si="100"/>
        <v>-1.9004999999999939E-2</v>
      </c>
      <c r="G3222">
        <f t="shared" si="101"/>
        <v>92.322862271747269</v>
      </c>
    </row>
    <row r="3223" spans="2:7">
      <c r="B3223" t="s">
        <v>2</v>
      </c>
      <c r="C3223" s="2">
        <v>37382</v>
      </c>
      <c r="D3223" t="s">
        <v>6</v>
      </c>
      <c r="E3223">
        <v>5.6318130000000002</v>
      </c>
      <c r="F3223">
        <f t="shared" si="100"/>
        <v>2.5457000000000285E-2</v>
      </c>
      <c r="G3223">
        <f t="shared" si="101"/>
        <v>92.674098925205982</v>
      </c>
    </row>
    <row r="3224" spans="2:7">
      <c r="B3224" t="s">
        <v>2</v>
      </c>
      <c r="C3224" s="2">
        <v>37379</v>
      </c>
      <c r="D3224" t="s">
        <v>6</v>
      </c>
      <c r="E3224">
        <v>5.6063559999999999</v>
      </c>
      <c r="F3224">
        <f t="shared" si="100"/>
        <v>-4.8709999999999809E-2</v>
      </c>
      <c r="G3224">
        <f t="shared" si="101"/>
        <v>92.649228777268249</v>
      </c>
    </row>
    <row r="3225" spans="2:7">
      <c r="B3225" t="s">
        <v>2</v>
      </c>
      <c r="C3225" s="2">
        <v>37378</v>
      </c>
      <c r="D3225" t="s">
        <v>6</v>
      </c>
      <c r="E3225">
        <v>5.6550659999999997</v>
      </c>
      <c r="F3225">
        <f t="shared" si="100"/>
        <v>5.6496999999999353E-2</v>
      </c>
      <c r="G3225">
        <f t="shared" si="101"/>
        <v>92.337547001970407</v>
      </c>
    </row>
    <row r="3226" spans="2:7">
      <c r="B3226" t="s">
        <v>2</v>
      </c>
      <c r="C3226" s="2">
        <v>37377</v>
      </c>
      <c r="D3226" t="s">
        <v>6</v>
      </c>
      <c r="E3226">
        <v>5.5985690000000004</v>
      </c>
      <c r="F3226">
        <f t="shared" si="100"/>
        <v>-3.5378999999999827E-2</v>
      </c>
      <c r="G3226">
        <f t="shared" si="101"/>
        <v>91.643446302784852</v>
      </c>
    </row>
    <row r="3227" spans="2:7">
      <c r="B3227" t="s">
        <v>2</v>
      </c>
      <c r="C3227" s="2">
        <v>37376</v>
      </c>
      <c r="D3227" t="s">
        <v>6</v>
      </c>
      <c r="E3227">
        <v>5.6339480000000002</v>
      </c>
      <c r="F3227">
        <f t="shared" si="100"/>
        <v>-3.9404999999999468E-2</v>
      </c>
      <c r="G3227">
        <f t="shared" si="101"/>
        <v>92.916727530607631</v>
      </c>
    </row>
    <row r="3228" spans="2:7">
      <c r="B3228" t="s">
        <v>2</v>
      </c>
      <c r="C3228" s="2">
        <v>37375</v>
      </c>
      <c r="D3228" t="s">
        <v>6</v>
      </c>
      <c r="E3228">
        <v>5.6733529999999996</v>
      </c>
      <c r="F3228">
        <f t="shared" si="100"/>
        <v>2.7879999999999683E-2</v>
      </c>
      <c r="G3228">
        <f t="shared" si="101"/>
        <v>92.961325094072123</v>
      </c>
    </row>
    <row r="3229" spans="2:7">
      <c r="B3229" t="s">
        <v>2</v>
      </c>
      <c r="C3229" s="2">
        <v>37372</v>
      </c>
      <c r="D3229" t="s">
        <v>6</v>
      </c>
      <c r="E3229">
        <v>5.645473</v>
      </c>
      <c r="F3229">
        <f t="shared" si="100"/>
        <v>-2.9725000000000001E-2</v>
      </c>
      <c r="G3229">
        <f t="shared" si="101"/>
        <v>93.150187686804287</v>
      </c>
    </row>
    <row r="3230" spans="2:7">
      <c r="B3230" t="s">
        <v>2</v>
      </c>
      <c r="C3230" s="2">
        <v>37371</v>
      </c>
      <c r="D3230" t="s">
        <v>6</v>
      </c>
      <c r="E3230">
        <v>5.675198</v>
      </c>
      <c r="F3230">
        <f t="shared" si="100"/>
        <v>8.3500000000036323E-4</v>
      </c>
      <c r="G3230">
        <f t="shared" si="101"/>
        <v>92.966284585791854</v>
      </c>
    </row>
    <row r="3231" spans="2:7">
      <c r="B3231" t="s">
        <v>2</v>
      </c>
      <c r="C3231" s="2">
        <v>37370</v>
      </c>
      <c r="D3231" t="s">
        <v>6</v>
      </c>
      <c r="E3231">
        <v>5.6743629999999996</v>
      </c>
      <c r="F3231">
        <f t="shared" si="100"/>
        <v>-9.5848000000000155E-2</v>
      </c>
      <c r="G3231">
        <f t="shared" si="101"/>
        <v>94.047700994357939</v>
      </c>
    </row>
    <row r="3232" spans="2:7">
      <c r="B3232" t="s">
        <v>2</v>
      </c>
      <c r="C3232" s="2">
        <v>37369</v>
      </c>
      <c r="D3232" t="s">
        <v>6</v>
      </c>
      <c r="E3232">
        <v>5.7702109999999998</v>
      </c>
      <c r="F3232">
        <f t="shared" si="100"/>
        <v>-9.9810000000006838E-3</v>
      </c>
      <c r="G3232">
        <f t="shared" si="101"/>
        <v>92.002193204095434</v>
      </c>
    </row>
    <row r="3233" spans="2:7">
      <c r="B3233" t="s">
        <v>2</v>
      </c>
      <c r="C3233" s="2">
        <v>37368</v>
      </c>
      <c r="D3233" t="s">
        <v>6</v>
      </c>
      <c r="E3233">
        <v>5.7801920000000004</v>
      </c>
      <c r="F3233">
        <f t="shared" si="100"/>
        <v>-4.1536999999999935E-2</v>
      </c>
      <c r="G3233">
        <f t="shared" si="101"/>
        <v>92.499427354659744</v>
      </c>
    </row>
    <row r="3234" spans="2:7">
      <c r="B3234" t="s">
        <v>2</v>
      </c>
      <c r="C3234" s="2">
        <v>37365</v>
      </c>
      <c r="D3234" t="s">
        <v>6</v>
      </c>
      <c r="E3234">
        <v>5.8217290000000004</v>
      </c>
      <c r="F3234">
        <f t="shared" si="100"/>
        <v>-2.2475999999999274E-2</v>
      </c>
      <c r="G3234">
        <f t="shared" si="101"/>
        <v>92.177178315477832</v>
      </c>
    </row>
    <row r="3235" spans="2:7">
      <c r="B3235" t="s">
        <v>2</v>
      </c>
      <c r="C3235" s="2">
        <v>37364</v>
      </c>
      <c r="D3235" t="s">
        <v>6</v>
      </c>
      <c r="E3235">
        <v>5.8442049999999997</v>
      </c>
      <c r="F3235">
        <f t="shared" si="100"/>
        <v>-8.9500000000004576E-3</v>
      </c>
      <c r="G3235">
        <f t="shared" si="101"/>
        <v>94.357123345759518</v>
      </c>
    </row>
    <row r="3236" spans="2:7">
      <c r="B3236" t="s">
        <v>2</v>
      </c>
      <c r="C3236" s="2">
        <v>37363</v>
      </c>
      <c r="D3236" t="s">
        <v>6</v>
      </c>
      <c r="E3236">
        <v>5.8531550000000001</v>
      </c>
      <c r="F3236">
        <f t="shared" si="100"/>
        <v>2.3312999999999917E-2</v>
      </c>
      <c r="G3236">
        <f t="shared" si="101"/>
        <v>94.325008845124316</v>
      </c>
    </row>
    <row r="3237" spans="2:7">
      <c r="B3237" t="s">
        <v>2</v>
      </c>
      <c r="C3237" s="2">
        <v>37362</v>
      </c>
      <c r="D3237" t="s">
        <v>6</v>
      </c>
      <c r="E3237">
        <v>5.8298420000000002</v>
      </c>
      <c r="F3237">
        <f t="shared" si="100"/>
        <v>2.2002000000000521E-2</v>
      </c>
      <c r="G3237">
        <f t="shared" si="101"/>
        <v>94.768363107860907</v>
      </c>
    </row>
    <row r="3238" spans="2:7">
      <c r="B3238" t="s">
        <v>2</v>
      </c>
      <c r="C3238" s="2">
        <v>37361</v>
      </c>
      <c r="D3238" t="s">
        <v>6</v>
      </c>
      <c r="E3238">
        <v>5.8078399999999997</v>
      </c>
      <c r="F3238">
        <f t="shared" si="100"/>
        <v>-2.1827000000000041E-2</v>
      </c>
      <c r="G3238">
        <f t="shared" si="101"/>
        <v>97.507139618859952</v>
      </c>
    </row>
    <row r="3239" spans="2:7">
      <c r="B3239" t="s">
        <v>2</v>
      </c>
      <c r="C3239" s="2">
        <v>37358</v>
      </c>
      <c r="D3239" t="s">
        <v>6</v>
      </c>
      <c r="E3239">
        <v>5.8296669999999997</v>
      </c>
      <c r="F3239">
        <f t="shared" si="100"/>
        <v>-2.8869000000000256E-2</v>
      </c>
      <c r="G3239">
        <f t="shared" si="101"/>
        <v>97.511232490525629</v>
      </c>
    </row>
    <row r="3240" spans="2:7">
      <c r="B3240" t="s">
        <v>2</v>
      </c>
      <c r="C3240" s="2">
        <v>37357</v>
      </c>
      <c r="D3240" t="s">
        <v>6</v>
      </c>
      <c r="E3240">
        <v>5.858536</v>
      </c>
      <c r="F3240">
        <f t="shared" si="100"/>
        <v>-1.5320000000000888E-3</v>
      </c>
      <c r="G3240">
        <f t="shared" si="101"/>
        <v>97.487504340169593</v>
      </c>
    </row>
    <row r="3241" spans="2:7">
      <c r="B3241" t="s">
        <v>2</v>
      </c>
      <c r="C3241" s="2">
        <v>37356</v>
      </c>
      <c r="D3241" t="s">
        <v>6</v>
      </c>
      <c r="E3241">
        <v>5.8600680000000001</v>
      </c>
      <c r="F3241">
        <f t="shared" si="100"/>
        <v>7.4420000000001707E-3</v>
      </c>
      <c r="G3241">
        <f t="shared" si="101"/>
        <v>97.567278680443664</v>
      </c>
    </row>
    <row r="3242" spans="2:7">
      <c r="B3242" t="s">
        <v>2</v>
      </c>
      <c r="C3242" s="2">
        <v>37355</v>
      </c>
      <c r="D3242" t="s">
        <v>6</v>
      </c>
      <c r="E3242">
        <v>5.8526259999999999</v>
      </c>
      <c r="F3242">
        <f t="shared" si="100"/>
        <v>-2.9722999999999722E-2</v>
      </c>
      <c r="G3242">
        <f t="shared" si="101"/>
        <v>101.08973397210448</v>
      </c>
    </row>
    <row r="3243" spans="2:7">
      <c r="B3243" t="s">
        <v>2</v>
      </c>
      <c r="C3243" s="2">
        <v>37354</v>
      </c>
      <c r="D3243" t="s">
        <v>6</v>
      </c>
      <c r="E3243">
        <v>5.8823489999999996</v>
      </c>
      <c r="F3243">
        <f t="shared" si="100"/>
        <v>4.4085999999999181E-2</v>
      </c>
      <c r="G3243">
        <f t="shared" si="101"/>
        <v>102.69964596421524</v>
      </c>
    </row>
    <row r="3244" spans="2:7">
      <c r="B3244" t="s">
        <v>2</v>
      </c>
      <c r="C3244" s="2">
        <v>37351</v>
      </c>
      <c r="D3244" t="s">
        <v>6</v>
      </c>
      <c r="E3244">
        <v>5.8382630000000004</v>
      </c>
      <c r="F3244">
        <f t="shared" si="100"/>
        <v>-7.1339999999999293E-2</v>
      </c>
      <c r="G3244">
        <f t="shared" si="101"/>
        <v>102.32894158043347</v>
      </c>
    </row>
    <row r="3245" spans="2:7">
      <c r="B3245" t="s">
        <v>2</v>
      </c>
      <c r="C3245" s="2">
        <v>37350</v>
      </c>
      <c r="D3245" t="s">
        <v>6</v>
      </c>
      <c r="E3245">
        <v>5.9096029999999997</v>
      </c>
      <c r="F3245">
        <f t="shared" si="100"/>
        <v>-1.2734000000000023E-2</v>
      </c>
      <c r="G3245">
        <f t="shared" si="101"/>
        <v>101.21519550299283</v>
      </c>
    </row>
    <row r="3246" spans="2:7">
      <c r="B3246" t="s">
        <v>2</v>
      </c>
      <c r="C3246" s="2">
        <v>37349</v>
      </c>
      <c r="D3246" t="s">
        <v>6</v>
      </c>
      <c r="E3246">
        <v>5.9223369999999997</v>
      </c>
      <c r="F3246">
        <f t="shared" si="100"/>
        <v>-7.7022000000000368E-2</v>
      </c>
      <c r="G3246">
        <f t="shared" si="101"/>
        <v>104.29676430859666</v>
      </c>
    </row>
    <row r="3247" spans="2:7">
      <c r="B3247" t="s">
        <v>2</v>
      </c>
      <c r="C3247" s="2">
        <v>37348</v>
      </c>
      <c r="D3247" t="s">
        <v>6</v>
      </c>
      <c r="E3247">
        <v>5.9993590000000001</v>
      </c>
      <c r="F3247">
        <f t="shared" si="100"/>
        <v>-9.1237999999999708E-2</v>
      </c>
      <c r="G3247">
        <f t="shared" si="101"/>
        <v>103.03809769250604</v>
      </c>
    </row>
    <row r="3248" spans="2:7">
      <c r="B3248" t="s">
        <v>2</v>
      </c>
      <c r="C3248" s="2">
        <v>37347</v>
      </c>
      <c r="D3248" t="s">
        <v>6</v>
      </c>
      <c r="E3248">
        <v>6.0905969999999998</v>
      </c>
      <c r="F3248">
        <f t="shared" si="100"/>
        <v>1.4651999999999887E-2</v>
      </c>
      <c r="G3248">
        <f t="shared" si="101"/>
        <v>102.1856777641602</v>
      </c>
    </row>
    <row r="3249" spans="2:7">
      <c r="B3249" t="s">
        <v>2</v>
      </c>
      <c r="C3249" s="2">
        <v>37343</v>
      </c>
      <c r="D3249" t="s">
        <v>6</v>
      </c>
      <c r="E3249">
        <v>6.0759449999999999</v>
      </c>
      <c r="F3249">
        <f t="shared" si="100"/>
        <v>7.7536000000000271E-2</v>
      </c>
      <c r="G3249">
        <f t="shared" si="101"/>
        <v>105.02585028094028</v>
      </c>
    </row>
    <row r="3250" spans="2:7">
      <c r="B3250" t="s">
        <v>2</v>
      </c>
      <c r="C3250" s="2">
        <v>37342</v>
      </c>
      <c r="D3250" t="s">
        <v>6</v>
      </c>
      <c r="E3250">
        <v>5.9984089999999997</v>
      </c>
      <c r="F3250">
        <f t="shared" si="100"/>
        <v>9.1339999999995314E-3</v>
      </c>
      <c r="G3250">
        <f t="shared" si="101"/>
        <v>105.87071754294779</v>
      </c>
    </row>
    <row r="3251" spans="2:7">
      <c r="B3251" t="s">
        <v>2</v>
      </c>
      <c r="C3251" s="2">
        <v>37341</v>
      </c>
      <c r="D3251" t="s">
        <v>6</v>
      </c>
      <c r="E3251">
        <v>5.9892750000000001</v>
      </c>
      <c r="F3251">
        <f t="shared" si="100"/>
        <v>-7.6781999999999684E-2</v>
      </c>
      <c r="G3251">
        <f t="shared" si="101"/>
        <v>105.88044660542579</v>
      </c>
    </row>
    <row r="3252" spans="2:7">
      <c r="B3252" t="s">
        <v>2</v>
      </c>
      <c r="C3252" s="2">
        <v>37340</v>
      </c>
      <c r="D3252" t="s">
        <v>6</v>
      </c>
      <c r="E3252">
        <v>6.0660569999999998</v>
      </c>
      <c r="F3252">
        <f t="shared" si="100"/>
        <v>1.3360999999999734E-2</v>
      </c>
      <c r="G3252">
        <f t="shared" si="101"/>
        <v>106.46550199059541</v>
      </c>
    </row>
    <row r="3253" spans="2:7">
      <c r="B3253" t="s">
        <v>2</v>
      </c>
      <c r="C3253" s="2">
        <v>37337</v>
      </c>
      <c r="D3253" t="s">
        <v>6</v>
      </c>
      <c r="E3253">
        <v>6.0526960000000001</v>
      </c>
      <c r="F3253">
        <f t="shared" si="100"/>
        <v>4.7399999999999665E-3</v>
      </c>
      <c r="G3253">
        <f t="shared" si="101"/>
        <v>106.88262842367908</v>
      </c>
    </row>
    <row r="3254" spans="2:7">
      <c r="B3254" t="s">
        <v>2</v>
      </c>
      <c r="C3254" s="2">
        <v>37336</v>
      </c>
      <c r="D3254" t="s">
        <v>6</v>
      </c>
      <c r="E3254">
        <v>6.0479560000000001</v>
      </c>
      <c r="F3254">
        <f t="shared" si="100"/>
        <v>-2.2851000000000177E-2</v>
      </c>
      <c r="G3254">
        <f t="shared" si="101"/>
        <v>107.339390075612</v>
      </c>
    </row>
    <row r="3255" spans="2:7">
      <c r="B3255" t="s">
        <v>2</v>
      </c>
      <c r="C3255" s="2">
        <v>37335</v>
      </c>
      <c r="D3255" t="s">
        <v>6</v>
      </c>
      <c r="E3255">
        <v>6.0708070000000003</v>
      </c>
      <c r="F3255">
        <f t="shared" si="100"/>
        <v>7.1520000000000472E-2</v>
      </c>
      <c r="G3255">
        <f t="shared" si="101"/>
        <v>107.57120732455326</v>
      </c>
    </row>
    <row r="3256" spans="2:7">
      <c r="B3256" t="s">
        <v>2</v>
      </c>
      <c r="C3256" s="2">
        <v>37334</v>
      </c>
      <c r="D3256" t="s">
        <v>6</v>
      </c>
      <c r="E3256">
        <v>5.9992869999999998</v>
      </c>
      <c r="F3256">
        <f t="shared" si="100"/>
        <v>1.7043999999999393E-2</v>
      </c>
      <c r="G3256">
        <f t="shared" si="101"/>
        <v>106.74358307101646</v>
      </c>
    </row>
    <row r="3257" spans="2:7">
      <c r="B3257" t="s">
        <v>2</v>
      </c>
      <c r="C3257" s="2">
        <v>37333</v>
      </c>
      <c r="D3257" t="s">
        <v>6</v>
      </c>
      <c r="E3257">
        <v>5.9822430000000004</v>
      </c>
      <c r="F3257">
        <f t="shared" si="100"/>
        <v>-5.6473999999999691E-2</v>
      </c>
      <c r="G3257">
        <f t="shared" si="101"/>
        <v>109.11026202046786</v>
      </c>
    </row>
    <row r="3258" spans="2:7">
      <c r="B3258" t="s">
        <v>2</v>
      </c>
      <c r="C3258" s="2">
        <v>37330</v>
      </c>
      <c r="D3258" t="s">
        <v>6</v>
      </c>
      <c r="E3258">
        <v>6.0387170000000001</v>
      </c>
      <c r="F3258">
        <f t="shared" si="100"/>
        <v>-5.8661999999999992E-2</v>
      </c>
      <c r="G3258">
        <f t="shared" si="101"/>
        <v>112.55917482236666</v>
      </c>
    </row>
    <row r="3259" spans="2:7">
      <c r="B3259" t="s">
        <v>2</v>
      </c>
      <c r="C3259" s="2">
        <v>37329</v>
      </c>
      <c r="D3259" t="s">
        <v>6</v>
      </c>
      <c r="E3259">
        <v>6.0973790000000001</v>
      </c>
      <c r="F3259">
        <f t="shared" si="100"/>
        <v>0.14029999999999987</v>
      </c>
      <c r="G3259">
        <f t="shared" si="101"/>
        <v>113.779315918709</v>
      </c>
    </row>
    <row r="3260" spans="2:7">
      <c r="B3260" t="s">
        <v>2</v>
      </c>
      <c r="C3260" s="2">
        <v>37328</v>
      </c>
      <c r="D3260" t="s">
        <v>6</v>
      </c>
      <c r="E3260">
        <v>5.9570790000000002</v>
      </c>
      <c r="F3260">
        <f t="shared" si="100"/>
        <v>-4.3398999999999965E-2</v>
      </c>
      <c r="G3260">
        <f t="shared" si="101"/>
        <v>112.12975266657735</v>
      </c>
    </row>
    <row r="3261" spans="2:7">
      <c r="B3261" t="s">
        <v>2</v>
      </c>
      <c r="C3261" s="2">
        <v>37327</v>
      </c>
      <c r="D3261" t="s">
        <v>6</v>
      </c>
      <c r="E3261">
        <v>6.0004780000000002</v>
      </c>
      <c r="F3261">
        <f t="shared" si="100"/>
        <v>-2.5648999999999589E-2</v>
      </c>
      <c r="G3261">
        <f t="shared" si="101"/>
        <v>115.42151397924918</v>
      </c>
    </row>
    <row r="3262" spans="2:7">
      <c r="B3262" t="s">
        <v>2</v>
      </c>
      <c r="C3262" s="2">
        <v>37326</v>
      </c>
      <c r="D3262" t="s">
        <v>6</v>
      </c>
      <c r="E3262">
        <v>6.0261269999999998</v>
      </c>
      <c r="F3262">
        <f t="shared" si="100"/>
        <v>-6.3480000000000203E-3</v>
      </c>
      <c r="G3262">
        <f t="shared" si="101"/>
        <v>117.54050237499878</v>
      </c>
    </row>
    <row r="3263" spans="2:7">
      <c r="B3263" t="s">
        <v>2</v>
      </c>
      <c r="C3263" s="2">
        <v>37323</v>
      </c>
      <c r="D3263" t="s">
        <v>6</v>
      </c>
      <c r="E3263">
        <v>6.0324749999999998</v>
      </c>
      <c r="F3263">
        <f t="shared" si="100"/>
        <v>0.12961499999999937</v>
      </c>
      <c r="G3263">
        <f t="shared" si="101"/>
        <v>118.08811570041733</v>
      </c>
    </row>
    <row r="3264" spans="2:7">
      <c r="B3264" t="s">
        <v>2</v>
      </c>
      <c r="C3264" s="2">
        <v>37322</v>
      </c>
      <c r="D3264" t="s">
        <v>6</v>
      </c>
      <c r="E3264">
        <v>5.9028600000000004</v>
      </c>
      <c r="F3264">
        <f t="shared" si="100"/>
        <v>0.18470900000000068</v>
      </c>
      <c r="G3264">
        <f t="shared" si="101"/>
        <v>115.1435231161571</v>
      </c>
    </row>
    <row r="3265" spans="2:7">
      <c r="B3265" t="s">
        <v>2</v>
      </c>
      <c r="C3265" s="2">
        <v>37321</v>
      </c>
      <c r="D3265" t="s">
        <v>6</v>
      </c>
      <c r="E3265">
        <v>5.7181509999999998</v>
      </c>
      <c r="F3265">
        <f t="shared" si="100"/>
        <v>3.3933999999999465E-2</v>
      </c>
      <c r="G3265">
        <f t="shared" si="101"/>
        <v>112.97842785013739</v>
      </c>
    </row>
    <row r="3266" spans="2:7">
      <c r="B3266" t="s">
        <v>2</v>
      </c>
      <c r="C3266" s="2">
        <v>37320</v>
      </c>
      <c r="D3266" t="s">
        <v>6</v>
      </c>
      <c r="E3266">
        <v>5.6842170000000003</v>
      </c>
      <c r="F3266">
        <f t="shared" si="100"/>
        <v>1.4829000000000647E-2</v>
      </c>
      <c r="G3266">
        <f t="shared" si="101"/>
        <v>115.11765141508124</v>
      </c>
    </row>
    <row r="3267" spans="2:7">
      <c r="B3267" t="s">
        <v>2</v>
      </c>
      <c r="C3267" s="2">
        <v>37319</v>
      </c>
      <c r="D3267" t="s">
        <v>6</v>
      </c>
      <c r="E3267">
        <v>5.6693879999999996</v>
      </c>
      <c r="F3267">
        <f t="shared" ref="F3267:F3330" si="102">E3267-E3268</f>
        <v>2.1086999999999634E-2</v>
      </c>
      <c r="G3267">
        <f t="shared" ref="G3267:G3330" si="103">STDEV(F3267:F3326)*SQRT(250)*100</f>
        <v>127.26122704010645</v>
      </c>
    </row>
    <row r="3268" spans="2:7">
      <c r="B3268" t="s">
        <v>2</v>
      </c>
      <c r="C3268" s="2">
        <v>37316</v>
      </c>
      <c r="D3268" t="s">
        <v>6</v>
      </c>
      <c r="E3268">
        <v>5.648301</v>
      </c>
      <c r="F3268">
        <f t="shared" si="102"/>
        <v>0.12097200000000008</v>
      </c>
      <c r="G3268">
        <f t="shared" si="103"/>
        <v>128.58989655774252</v>
      </c>
    </row>
    <row r="3269" spans="2:7">
      <c r="B3269" t="s">
        <v>2</v>
      </c>
      <c r="C3269" s="2">
        <v>37315</v>
      </c>
      <c r="D3269" t="s">
        <v>6</v>
      </c>
      <c r="E3269">
        <v>5.5273289999999999</v>
      </c>
      <c r="F3269">
        <f t="shared" si="102"/>
        <v>8.691999999999922E-3</v>
      </c>
      <c r="G3269">
        <f t="shared" si="103"/>
        <v>126.35866752021026</v>
      </c>
    </row>
    <row r="3270" spans="2:7">
      <c r="B3270" t="s">
        <v>2</v>
      </c>
      <c r="C3270" s="2">
        <v>37314</v>
      </c>
      <c r="D3270" t="s">
        <v>6</v>
      </c>
      <c r="E3270">
        <v>5.518637</v>
      </c>
      <c r="F3270">
        <f t="shared" si="102"/>
        <v>-0.12579000000000029</v>
      </c>
      <c r="G3270">
        <f t="shared" si="103"/>
        <v>127.00034651130213</v>
      </c>
    </row>
    <row r="3271" spans="2:7">
      <c r="B3271" t="s">
        <v>2</v>
      </c>
      <c r="C3271" s="2">
        <v>37313</v>
      </c>
      <c r="D3271" t="s">
        <v>6</v>
      </c>
      <c r="E3271">
        <v>5.6444270000000003</v>
      </c>
      <c r="F3271">
        <f t="shared" si="102"/>
        <v>7.1366000000000263E-2</v>
      </c>
      <c r="G3271">
        <f t="shared" si="103"/>
        <v>128.74493307900016</v>
      </c>
    </row>
    <row r="3272" spans="2:7">
      <c r="B3272" t="s">
        <v>2</v>
      </c>
      <c r="C3272" s="2">
        <v>37312</v>
      </c>
      <c r="D3272" t="s">
        <v>6</v>
      </c>
      <c r="E3272">
        <v>5.573061</v>
      </c>
      <c r="F3272">
        <f t="shared" si="102"/>
        <v>2.8880000000000017E-2</v>
      </c>
      <c r="G3272">
        <f t="shared" si="103"/>
        <v>128.07529067498672</v>
      </c>
    </row>
    <row r="3273" spans="2:7">
      <c r="B3273" t="s">
        <v>2</v>
      </c>
      <c r="C3273" s="2">
        <v>37309</v>
      </c>
      <c r="D3273" t="s">
        <v>6</v>
      </c>
      <c r="E3273">
        <v>5.544181</v>
      </c>
      <c r="F3273">
        <f t="shared" si="102"/>
        <v>-3.4150000000000347E-2</v>
      </c>
      <c r="G3273">
        <f t="shared" si="103"/>
        <v>128.28671843259295</v>
      </c>
    </row>
    <row r="3274" spans="2:7">
      <c r="B3274" t="s">
        <v>2</v>
      </c>
      <c r="C3274" s="2">
        <v>37308</v>
      </c>
      <c r="D3274" t="s">
        <v>6</v>
      </c>
      <c r="E3274">
        <v>5.5783310000000004</v>
      </c>
      <c r="F3274">
        <f t="shared" si="102"/>
        <v>-9.958999999999385E-3</v>
      </c>
      <c r="G3274">
        <f t="shared" si="103"/>
        <v>128.1191215603269</v>
      </c>
    </row>
    <row r="3275" spans="2:7">
      <c r="B3275" t="s">
        <v>2</v>
      </c>
      <c r="C3275" s="2">
        <v>37307</v>
      </c>
      <c r="D3275" t="s">
        <v>6</v>
      </c>
      <c r="E3275">
        <v>5.5882899999999998</v>
      </c>
      <c r="F3275">
        <f t="shared" si="102"/>
        <v>-1.1211000000000304E-2</v>
      </c>
      <c r="G3275">
        <f t="shared" si="103"/>
        <v>128.47375180382227</v>
      </c>
    </row>
    <row r="3276" spans="2:7">
      <c r="B3276" t="s">
        <v>2</v>
      </c>
      <c r="C3276" s="2">
        <v>37306</v>
      </c>
      <c r="D3276" t="s">
        <v>6</v>
      </c>
      <c r="E3276">
        <v>5.5995010000000001</v>
      </c>
      <c r="F3276">
        <f t="shared" si="102"/>
        <v>2.7222000000000079E-2</v>
      </c>
      <c r="G3276">
        <f t="shared" si="103"/>
        <v>130.83585074505996</v>
      </c>
    </row>
    <row r="3277" spans="2:7">
      <c r="B3277" t="s">
        <v>2</v>
      </c>
      <c r="C3277" s="2">
        <v>37302</v>
      </c>
      <c r="D3277" t="s">
        <v>6</v>
      </c>
      <c r="E3277">
        <v>5.572279</v>
      </c>
      <c r="F3277">
        <f t="shared" si="102"/>
        <v>-9.6775000000000055E-2</v>
      </c>
      <c r="G3277">
        <f t="shared" si="103"/>
        <v>133.08355007997463</v>
      </c>
    </row>
    <row r="3278" spans="2:7">
      <c r="B3278" t="s">
        <v>2</v>
      </c>
      <c r="C3278" s="2">
        <v>37301</v>
      </c>
      <c r="D3278" t="s">
        <v>6</v>
      </c>
      <c r="E3278">
        <v>5.669054</v>
      </c>
      <c r="F3278">
        <f t="shared" si="102"/>
        <v>-4.8894999999999911E-2</v>
      </c>
      <c r="G3278">
        <f t="shared" si="103"/>
        <v>135.42776363963259</v>
      </c>
    </row>
    <row r="3279" spans="2:7">
      <c r="B3279" t="s">
        <v>2</v>
      </c>
      <c r="C3279" s="2">
        <v>37300</v>
      </c>
      <c r="D3279" t="s">
        <v>6</v>
      </c>
      <c r="E3279">
        <v>5.7179489999999999</v>
      </c>
      <c r="F3279">
        <f t="shared" si="102"/>
        <v>1.469699999999996E-2</v>
      </c>
      <c r="G3279">
        <f t="shared" si="103"/>
        <v>139.07761062514896</v>
      </c>
    </row>
    <row r="3280" spans="2:7">
      <c r="B3280" t="s">
        <v>2</v>
      </c>
      <c r="C3280" s="2">
        <v>37299</v>
      </c>
      <c r="D3280" t="s">
        <v>6</v>
      </c>
      <c r="E3280">
        <v>5.703252</v>
      </c>
      <c r="F3280">
        <f t="shared" si="102"/>
        <v>5.724600000000013E-2</v>
      </c>
      <c r="G3280">
        <f t="shared" si="103"/>
        <v>149.92915634330652</v>
      </c>
    </row>
    <row r="3281" spans="2:7">
      <c r="B3281" t="s">
        <v>2</v>
      </c>
      <c r="C3281" s="2">
        <v>37298</v>
      </c>
      <c r="D3281" t="s">
        <v>6</v>
      </c>
      <c r="E3281">
        <v>5.6460059999999999</v>
      </c>
      <c r="F3281">
        <f t="shared" si="102"/>
        <v>3.1599999999976092E-4</v>
      </c>
      <c r="G3281">
        <f t="shared" si="103"/>
        <v>151.88477290505753</v>
      </c>
    </row>
    <row r="3282" spans="2:7">
      <c r="B3282" t="s">
        <v>2</v>
      </c>
      <c r="C3282" s="2">
        <v>37295</v>
      </c>
      <c r="D3282" t="s">
        <v>6</v>
      </c>
      <c r="E3282">
        <v>5.6456900000000001</v>
      </c>
      <c r="F3282">
        <f t="shared" si="102"/>
        <v>-4.3959000000000081E-2</v>
      </c>
      <c r="G3282">
        <f t="shared" si="103"/>
        <v>152.39203044592418</v>
      </c>
    </row>
    <row r="3283" spans="2:7">
      <c r="B3283" t="s">
        <v>2</v>
      </c>
      <c r="C3283" s="2">
        <v>37294</v>
      </c>
      <c r="D3283" t="s">
        <v>6</v>
      </c>
      <c r="E3283">
        <v>5.6896490000000002</v>
      </c>
      <c r="F3283">
        <f t="shared" si="102"/>
        <v>2.3312999999999917E-2</v>
      </c>
      <c r="G3283">
        <f t="shared" si="103"/>
        <v>151.96363791316779</v>
      </c>
    </row>
    <row r="3284" spans="2:7">
      <c r="B3284" t="s">
        <v>2</v>
      </c>
      <c r="C3284" s="2">
        <v>37293</v>
      </c>
      <c r="D3284" t="s">
        <v>6</v>
      </c>
      <c r="E3284">
        <v>5.6663360000000003</v>
      </c>
      <c r="F3284">
        <f t="shared" si="102"/>
        <v>3.0959000000000181E-2</v>
      </c>
      <c r="G3284">
        <f t="shared" si="103"/>
        <v>152.93933037636768</v>
      </c>
    </row>
    <row r="3285" spans="2:7">
      <c r="B3285" t="s">
        <v>2</v>
      </c>
      <c r="C3285" s="2">
        <v>37292</v>
      </c>
      <c r="D3285" t="s">
        <v>6</v>
      </c>
      <c r="E3285">
        <v>5.6353770000000001</v>
      </c>
      <c r="F3285">
        <f t="shared" si="102"/>
        <v>1.3446000000000069E-2</v>
      </c>
      <c r="G3285">
        <f t="shared" si="103"/>
        <v>154.51716234395346</v>
      </c>
    </row>
    <row r="3286" spans="2:7">
      <c r="B3286" t="s">
        <v>2</v>
      </c>
      <c r="C3286" s="2">
        <v>37291</v>
      </c>
      <c r="D3286" t="s">
        <v>6</v>
      </c>
      <c r="E3286">
        <v>5.621931</v>
      </c>
      <c r="F3286">
        <f t="shared" si="102"/>
        <v>-8.2899000000000278E-2</v>
      </c>
      <c r="G3286">
        <f t="shared" si="103"/>
        <v>155.19980821538567</v>
      </c>
    </row>
    <row r="3287" spans="2:7">
      <c r="B3287" t="s">
        <v>2</v>
      </c>
      <c r="C3287" s="2">
        <v>37288</v>
      </c>
      <c r="D3287" t="s">
        <v>6</v>
      </c>
      <c r="E3287">
        <v>5.7048300000000003</v>
      </c>
      <c r="F3287">
        <f t="shared" si="102"/>
        <v>-4.1884999999999728E-2</v>
      </c>
      <c r="G3287">
        <f t="shared" si="103"/>
        <v>154.72516073114818</v>
      </c>
    </row>
    <row r="3288" spans="2:7">
      <c r="B3288" t="s">
        <v>2</v>
      </c>
      <c r="C3288" s="2">
        <v>37287</v>
      </c>
      <c r="D3288" t="s">
        <v>6</v>
      </c>
      <c r="E3288">
        <v>5.746715</v>
      </c>
      <c r="F3288">
        <f t="shared" si="102"/>
        <v>3.975099999999987E-2</v>
      </c>
      <c r="G3288">
        <f t="shared" si="103"/>
        <v>157.28310455345752</v>
      </c>
    </row>
    <row r="3289" spans="2:7">
      <c r="B3289" t="s">
        <v>2</v>
      </c>
      <c r="C3289" s="2">
        <v>37286</v>
      </c>
      <c r="D3289" t="s">
        <v>6</v>
      </c>
      <c r="E3289">
        <v>5.7069640000000001</v>
      </c>
      <c r="F3289">
        <f t="shared" si="102"/>
        <v>-6.0519999999995022E-3</v>
      </c>
      <c r="G3289">
        <f t="shared" si="103"/>
        <v>158.39367864052156</v>
      </c>
    </row>
    <row r="3290" spans="2:7">
      <c r="B3290" t="s">
        <v>2</v>
      </c>
      <c r="C3290" s="2">
        <v>37285</v>
      </c>
      <c r="D3290" t="s">
        <v>6</v>
      </c>
      <c r="E3290">
        <v>5.7130159999999997</v>
      </c>
      <c r="F3290">
        <f t="shared" si="102"/>
        <v>-7.0340000000000735E-2</v>
      </c>
      <c r="G3290">
        <f t="shared" si="103"/>
        <v>161.75803256555824</v>
      </c>
    </row>
    <row r="3291" spans="2:7">
      <c r="B3291" t="s">
        <v>2</v>
      </c>
      <c r="C3291" s="2">
        <v>37284</v>
      </c>
      <c r="D3291" t="s">
        <v>6</v>
      </c>
      <c r="E3291">
        <v>5.7833560000000004</v>
      </c>
      <c r="F3291">
        <f t="shared" si="102"/>
        <v>-3.4760000000000346E-3</v>
      </c>
      <c r="G3291">
        <f t="shared" si="103"/>
        <v>161.68445921850261</v>
      </c>
    </row>
    <row r="3292" spans="2:7">
      <c r="B3292" t="s">
        <v>2</v>
      </c>
      <c r="C3292" s="2">
        <v>37281</v>
      </c>
      <c r="D3292" t="s">
        <v>6</v>
      </c>
      <c r="E3292">
        <v>5.7868320000000004</v>
      </c>
      <c r="F3292">
        <f t="shared" si="102"/>
        <v>4.7837000000000351E-2</v>
      </c>
      <c r="G3292">
        <f t="shared" si="103"/>
        <v>162.04534956349295</v>
      </c>
    </row>
    <row r="3293" spans="2:7">
      <c r="B3293" t="s">
        <v>2</v>
      </c>
      <c r="C3293" s="2">
        <v>37280</v>
      </c>
      <c r="D3293" t="s">
        <v>6</v>
      </c>
      <c r="E3293">
        <v>5.7389950000000001</v>
      </c>
      <c r="F3293">
        <f t="shared" si="102"/>
        <v>2.1785999999999639E-2</v>
      </c>
      <c r="G3293">
        <f t="shared" si="103"/>
        <v>161.86265158452653</v>
      </c>
    </row>
    <row r="3294" spans="2:7">
      <c r="B3294" t="s">
        <v>2</v>
      </c>
      <c r="C3294" s="2">
        <v>37279</v>
      </c>
      <c r="D3294" t="s">
        <v>6</v>
      </c>
      <c r="E3294">
        <v>5.7172090000000004</v>
      </c>
      <c r="F3294">
        <f t="shared" si="102"/>
        <v>0.10396500000000053</v>
      </c>
      <c r="G3294">
        <f t="shared" si="103"/>
        <v>162.60503286667793</v>
      </c>
    </row>
    <row r="3295" spans="2:7">
      <c r="B3295" t="s">
        <v>2</v>
      </c>
      <c r="C3295" s="2">
        <v>37278</v>
      </c>
      <c r="D3295" t="s">
        <v>6</v>
      </c>
      <c r="E3295">
        <v>5.6132439999999999</v>
      </c>
      <c r="F3295">
        <f t="shared" si="102"/>
        <v>8.9649999999998897E-3</v>
      </c>
      <c r="G3295">
        <f t="shared" si="103"/>
        <v>161.87242392874413</v>
      </c>
    </row>
    <row r="3296" spans="2:7">
      <c r="B3296" t="s">
        <v>2</v>
      </c>
      <c r="C3296" s="2">
        <v>37274</v>
      </c>
      <c r="D3296" t="s">
        <v>6</v>
      </c>
      <c r="E3296">
        <v>5.604279</v>
      </c>
      <c r="F3296">
        <f t="shared" si="102"/>
        <v>-4.5084000000000124E-2</v>
      </c>
      <c r="G3296">
        <f t="shared" si="103"/>
        <v>161.92599301069382</v>
      </c>
    </row>
    <row r="3297" spans="2:7">
      <c r="B3297" t="s">
        <v>2</v>
      </c>
      <c r="C3297" s="2">
        <v>37273</v>
      </c>
      <c r="D3297" t="s">
        <v>6</v>
      </c>
      <c r="E3297">
        <v>5.6493630000000001</v>
      </c>
      <c r="F3297">
        <f t="shared" si="102"/>
        <v>0.11675400000000025</v>
      </c>
      <c r="G3297">
        <f t="shared" si="103"/>
        <v>161.60151322459885</v>
      </c>
    </row>
    <row r="3298" spans="2:7">
      <c r="B3298" t="s">
        <v>2</v>
      </c>
      <c r="C3298" s="2">
        <v>37272</v>
      </c>
      <c r="D3298" t="s">
        <v>6</v>
      </c>
      <c r="E3298">
        <v>5.5326089999999999</v>
      </c>
      <c r="F3298">
        <f t="shared" si="102"/>
        <v>3.2250999999999586E-2</v>
      </c>
      <c r="G3298">
        <f t="shared" si="103"/>
        <v>160.13231787148851</v>
      </c>
    </row>
    <row r="3299" spans="2:7">
      <c r="B3299" t="s">
        <v>2</v>
      </c>
      <c r="C3299" s="2">
        <v>37271</v>
      </c>
      <c r="D3299" t="s">
        <v>6</v>
      </c>
      <c r="E3299">
        <v>5.5003580000000003</v>
      </c>
      <c r="F3299">
        <f t="shared" si="102"/>
        <v>-2.7241999999999322E-2</v>
      </c>
      <c r="G3299">
        <f t="shared" si="103"/>
        <v>160.03138023642413</v>
      </c>
    </row>
    <row r="3300" spans="2:7">
      <c r="B3300" t="s">
        <v>2</v>
      </c>
      <c r="C3300" s="2">
        <v>37270</v>
      </c>
      <c r="D3300" t="s">
        <v>6</v>
      </c>
      <c r="E3300">
        <v>5.5275999999999996</v>
      </c>
      <c r="F3300">
        <f t="shared" si="102"/>
        <v>-1.4976000000000766E-2</v>
      </c>
      <c r="G3300">
        <f t="shared" si="103"/>
        <v>159.956487015303</v>
      </c>
    </row>
    <row r="3301" spans="2:7">
      <c r="B3301" t="s">
        <v>2</v>
      </c>
      <c r="C3301" s="2">
        <v>37267</v>
      </c>
      <c r="D3301" t="s">
        <v>6</v>
      </c>
      <c r="E3301">
        <v>5.5425760000000004</v>
      </c>
      <c r="F3301">
        <f t="shared" si="102"/>
        <v>-0.12435599999999969</v>
      </c>
      <c r="G3301">
        <f t="shared" si="103"/>
        <v>160.24767012105337</v>
      </c>
    </row>
    <row r="3302" spans="2:7">
      <c r="B3302" t="s">
        <v>2</v>
      </c>
      <c r="C3302" s="2">
        <v>37266</v>
      </c>
      <c r="D3302" t="s">
        <v>6</v>
      </c>
      <c r="E3302">
        <v>5.6669320000000001</v>
      </c>
      <c r="F3302">
        <f t="shared" si="102"/>
        <v>-9.1153000000000262E-2</v>
      </c>
      <c r="G3302">
        <f t="shared" si="103"/>
        <v>158.58633136818978</v>
      </c>
    </row>
    <row r="3303" spans="2:7">
      <c r="B3303" t="s">
        <v>2</v>
      </c>
      <c r="C3303" s="2">
        <v>37265</v>
      </c>
      <c r="D3303" t="s">
        <v>6</v>
      </c>
      <c r="E3303">
        <v>5.7580850000000003</v>
      </c>
      <c r="F3303">
        <f t="shared" si="102"/>
        <v>1.4200000000030855E-4</v>
      </c>
      <c r="G3303">
        <f t="shared" si="103"/>
        <v>157.41092502575972</v>
      </c>
    </row>
    <row r="3304" spans="2:7">
      <c r="B3304" t="s">
        <v>2</v>
      </c>
      <c r="C3304" s="2">
        <v>37264</v>
      </c>
      <c r="D3304" t="s">
        <v>6</v>
      </c>
      <c r="E3304">
        <v>5.757943</v>
      </c>
      <c r="F3304">
        <f t="shared" si="102"/>
        <v>7.2660000000004388E-3</v>
      </c>
      <c r="G3304">
        <f t="shared" si="103"/>
        <v>158.69708785877543</v>
      </c>
    </row>
    <row r="3305" spans="2:7">
      <c r="B3305" t="s">
        <v>2</v>
      </c>
      <c r="C3305" s="2">
        <v>37263</v>
      </c>
      <c r="D3305" t="s">
        <v>6</v>
      </c>
      <c r="E3305">
        <v>5.7506769999999996</v>
      </c>
      <c r="F3305">
        <f t="shared" si="102"/>
        <v>-0.12136400000000069</v>
      </c>
      <c r="G3305">
        <f t="shared" si="103"/>
        <v>158.70657761493604</v>
      </c>
    </row>
    <row r="3306" spans="2:7">
      <c r="B3306" t="s">
        <v>2</v>
      </c>
      <c r="C3306" s="2">
        <v>37260</v>
      </c>
      <c r="D3306" t="s">
        <v>6</v>
      </c>
      <c r="E3306">
        <v>5.8720410000000003</v>
      </c>
      <c r="F3306">
        <f t="shared" si="102"/>
        <v>4.666000000000281E-3</v>
      </c>
      <c r="G3306">
        <f t="shared" si="103"/>
        <v>157.54859343795772</v>
      </c>
    </row>
    <row r="3307" spans="2:7">
      <c r="B3307" t="s">
        <v>2</v>
      </c>
      <c r="C3307" s="2">
        <v>37259</v>
      </c>
      <c r="D3307" t="s">
        <v>6</v>
      </c>
      <c r="E3307">
        <v>5.867375</v>
      </c>
      <c r="F3307">
        <f t="shared" si="102"/>
        <v>-6.5718999999999639E-2</v>
      </c>
      <c r="G3307">
        <f t="shared" si="103"/>
        <v>157.54290879751011</v>
      </c>
    </row>
    <row r="3308" spans="2:7">
      <c r="B3308" t="s">
        <v>2</v>
      </c>
      <c r="C3308" s="2">
        <v>37258</v>
      </c>
      <c r="D3308" t="s">
        <v>6</v>
      </c>
      <c r="E3308">
        <v>5.9330939999999996</v>
      </c>
      <c r="F3308">
        <f t="shared" si="102"/>
        <v>0.12189499999999942</v>
      </c>
      <c r="G3308">
        <f t="shared" si="103"/>
        <v>156.72565667789871</v>
      </c>
    </row>
    <row r="3309" spans="2:7">
      <c r="B3309" t="s">
        <v>2</v>
      </c>
      <c r="C3309" s="2">
        <v>37256</v>
      </c>
      <c r="D3309" t="s">
        <v>6</v>
      </c>
      <c r="E3309">
        <v>5.8111990000000002</v>
      </c>
      <c r="F3309">
        <f t="shared" si="102"/>
        <v>-9.5852999999999966E-2</v>
      </c>
      <c r="G3309">
        <f t="shared" si="103"/>
        <v>155.46554819721257</v>
      </c>
    </row>
    <row r="3310" spans="2:7">
      <c r="B3310" t="s">
        <v>2</v>
      </c>
      <c r="C3310" s="2">
        <v>37253</v>
      </c>
      <c r="D3310" t="s">
        <v>6</v>
      </c>
      <c r="E3310">
        <v>5.9070520000000002</v>
      </c>
      <c r="F3310">
        <f t="shared" si="102"/>
        <v>1.1851000000000056E-2</v>
      </c>
      <c r="G3310">
        <f t="shared" si="103"/>
        <v>154.10510345438163</v>
      </c>
    </row>
    <row r="3311" spans="2:7">
      <c r="B3311" t="s">
        <v>2</v>
      </c>
      <c r="C3311" s="2">
        <v>37252</v>
      </c>
      <c r="D3311" t="s">
        <v>6</v>
      </c>
      <c r="E3311">
        <v>5.8952010000000001</v>
      </c>
      <c r="F3311">
        <f t="shared" si="102"/>
        <v>-9.3696999999999697E-2</v>
      </c>
      <c r="G3311">
        <f t="shared" si="103"/>
        <v>154.16705358573586</v>
      </c>
    </row>
    <row r="3312" spans="2:7">
      <c r="B3312" t="s">
        <v>2</v>
      </c>
      <c r="C3312" s="2">
        <v>37251</v>
      </c>
      <c r="D3312" t="s">
        <v>6</v>
      </c>
      <c r="E3312">
        <v>5.9888979999999998</v>
      </c>
      <c r="F3312">
        <f t="shared" si="102"/>
        <v>4.8899999999999721E-2</v>
      </c>
      <c r="G3312">
        <f t="shared" si="103"/>
        <v>152.65620522135345</v>
      </c>
    </row>
    <row r="3313" spans="2:7">
      <c r="B3313" t="s">
        <v>2</v>
      </c>
      <c r="C3313" s="2">
        <v>37249</v>
      </c>
      <c r="D3313" t="s">
        <v>6</v>
      </c>
      <c r="E3313">
        <v>5.9399980000000001</v>
      </c>
      <c r="F3313">
        <f t="shared" si="102"/>
        <v>5.0377000000000116E-2</v>
      </c>
      <c r="G3313">
        <f t="shared" si="103"/>
        <v>154.13726695556468</v>
      </c>
    </row>
    <row r="3314" spans="2:7">
      <c r="B3314" t="s">
        <v>2</v>
      </c>
      <c r="C3314" s="2">
        <v>37246</v>
      </c>
      <c r="D3314" t="s">
        <v>6</v>
      </c>
      <c r="E3314">
        <v>5.889621</v>
      </c>
      <c r="F3314">
        <f t="shared" si="102"/>
        <v>4.6287000000000411E-2</v>
      </c>
      <c r="G3314">
        <f t="shared" si="103"/>
        <v>154.84348274707915</v>
      </c>
    </row>
    <row r="3315" spans="2:7">
      <c r="B3315" t="s">
        <v>2</v>
      </c>
      <c r="C3315" s="2">
        <v>37245</v>
      </c>
      <c r="D3315" t="s">
        <v>6</v>
      </c>
      <c r="E3315">
        <v>5.8433339999999996</v>
      </c>
      <c r="F3315">
        <f t="shared" si="102"/>
        <v>2.4712999999999319E-2</v>
      </c>
      <c r="G3315">
        <f t="shared" si="103"/>
        <v>154.68053707985626</v>
      </c>
    </row>
    <row r="3316" spans="2:7">
      <c r="B3316" t="s">
        <v>2</v>
      </c>
      <c r="C3316" s="2">
        <v>37244</v>
      </c>
      <c r="D3316" t="s">
        <v>6</v>
      </c>
      <c r="E3316">
        <v>5.8186210000000003</v>
      </c>
      <c r="F3316">
        <f t="shared" si="102"/>
        <v>-0.10886999999999958</v>
      </c>
      <c r="G3316">
        <f t="shared" si="103"/>
        <v>154.72793571634801</v>
      </c>
    </row>
    <row r="3317" spans="2:7">
      <c r="B3317" t="s">
        <v>2</v>
      </c>
      <c r="C3317" s="2">
        <v>37243</v>
      </c>
      <c r="D3317" t="s">
        <v>6</v>
      </c>
      <c r="E3317">
        <v>5.9274909999999998</v>
      </c>
      <c r="F3317">
        <f t="shared" si="102"/>
        <v>-0.14560800000000018</v>
      </c>
      <c r="G3317">
        <f t="shared" si="103"/>
        <v>153.54077457643308</v>
      </c>
    </row>
    <row r="3318" spans="2:7">
      <c r="B3318" t="s">
        <v>2</v>
      </c>
      <c r="C3318" s="2">
        <v>37242</v>
      </c>
      <c r="D3318" t="s">
        <v>6</v>
      </c>
      <c r="E3318">
        <v>6.073099</v>
      </c>
      <c r="F3318">
        <f t="shared" si="102"/>
        <v>0.1009979999999997</v>
      </c>
      <c r="G3318">
        <f t="shared" si="103"/>
        <v>150.21146918585987</v>
      </c>
    </row>
    <row r="3319" spans="2:7">
      <c r="B3319" t="s">
        <v>2</v>
      </c>
      <c r="C3319" s="2">
        <v>37239</v>
      </c>
      <c r="D3319" t="s">
        <v>6</v>
      </c>
      <c r="E3319">
        <v>5.9721010000000003</v>
      </c>
      <c r="F3319">
        <f t="shared" si="102"/>
        <v>0.10372599999999998</v>
      </c>
      <c r="G3319">
        <f t="shared" si="103"/>
        <v>150.04131577178168</v>
      </c>
    </row>
    <row r="3320" spans="2:7">
      <c r="B3320" t="s">
        <v>2</v>
      </c>
      <c r="C3320" s="2">
        <v>37238</v>
      </c>
      <c r="D3320" t="s">
        <v>6</v>
      </c>
      <c r="E3320">
        <v>5.8683750000000003</v>
      </c>
      <c r="F3320">
        <f t="shared" si="102"/>
        <v>0.143872</v>
      </c>
      <c r="G3320">
        <f t="shared" si="103"/>
        <v>149.65727084694515</v>
      </c>
    </row>
    <row r="3321" spans="2:7">
      <c r="B3321" t="s">
        <v>2</v>
      </c>
      <c r="C3321" s="2">
        <v>37237</v>
      </c>
      <c r="D3321" t="s">
        <v>6</v>
      </c>
      <c r="E3321">
        <v>5.7245030000000003</v>
      </c>
      <c r="F3321">
        <f t="shared" si="102"/>
        <v>-0.10799699999999923</v>
      </c>
      <c r="G3321">
        <f t="shared" si="103"/>
        <v>147.0689002822229</v>
      </c>
    </row>
    <row r="3322" spans="2:7">
      <c r="B3322" t="s">
        <v>2</v>
      </c>
      <c r="C3322" s="2">
        <v>37236</v>
      </c>
      <c r="D3322" t="s">
        <v>6</v>
      </c>
      <c r="E3322">
        <v>5.8324999999999996</v>
      </c>
      <c r="F3322">
        <f t="shared" si="102"/>
        <v>-5.3105000000000402E-2</v>
      </c>
      <c r="G3322">
        <f t="shared" si="103"/>
        <v>146.73751782355092</v>
      </c>
    </row>
    <row r="3323" spans="2:7">
      <c r="B3323" t="s">
        <v>2</v>
      </c>
      <c r="C3323" s="2">
        <v>37235</v>
      </c>
      <c r="D3323" t="s">
        <v>6</v>
      </c>
      <c r="E3323">
        <v>5.885605</v>
      </c>
      <c r="F3323">
        <f t="shared" si="102"/>
        <v>1.5842000000000134E-2</v>
      </c>
      <c r="G3323">
        <f t="shared" si="103"/>
        <v>147.86519147653351</v>
      </c>
    </row>
    <row r="3324" spans="2:7">
      <c r="B3324" t="s">
        <v>2</v>
      </c>
      <c r="C3324" s="2">
        <v>37232</v>
      </c>
      <c r="D3324" t="s">
        <v>6</v>
      </c>
      <c r="E3324">
        <v>5.8697629999999998</v>
      </c>
      <c r="F3324">
        <f t="shared" si="102"/>
        <v>0.14980999999999955</v>
      </c>
      <c r="G3324">
        <f t="shared" si="103"/>
        <v>148.21828303582132</v>
      </c>
    </row>
    <row r="3325" spans="2:7">
      <c r="B3325" t="s">
        <v>2</v>
      </c>
      <c r="C3325" s="2">
        <v>37231</v>
      </c>
      <c r="D3325" t="s">
        <v>6</v>
      </c>
      <c r="E3325">
        <v>5.7199530000000003</v>
      </c>
      <c r="F3325">
        <f t="shared" si="102"/>
        <v>0.11298900000000067</v>
      </c>
      <c r="G3325">
        <f t="shared" si="103"/>
        <v>145.08267070048035</v>
      </c>
    </row>
    <row r="3326" spans="2:7">
      <c r="B3326" t="s">
        <v>2</v>
      </c>
      <c r="C3326" s="2">
        <v>37230</v>
      </c>
      <c r="D3326" t="s">
        <v>6</v>
      </c>
      <c r="E3326">
        <v>5.6069639999999996</v>
      </c>
      <c r="F3326">
        <f t="shared" si="102"/>
        <v>0.26719699999999946</v>
      </c>
      <c r="G3326">
        <f t="shared" si="103"/>
        <v>143.61945220103507</v>
      </c>
    </row>
    <row r="3327" spans="2:7">
      <c r="B3327" t="s">
        <v>2</v>
      </c>
      <c r="C3327" s="2">
        <v>37229</v>
      </c>
      <c r="D3327" t="s">
        <v>6</v>
      </c>
      <c r="E3327">
        <v>5.3397670000000002</v>
      </c>
      <c r="F3327">
        <f t="shared" si="102"/>
        <v>-8.6476999999999471E-2</v>
      </c>
      <c r="G3327">
        <f t="shared" si="103"/>
        <v>133.01322761101349</v>
      </c>
    </row>
    <row r="3328" spans="2:7">
      <c r="B3328" t="s">
        <v>2</v>
      </c>
      <c r="C3328" s="2">
        <v>37228</v>
      </c>
      <c r="D3328" t="s">
        <v>6</v>
      </c>
      <c r="E3328">
        <v>5.4262439999999996</v>
      </c>
      <c r="F3328">
        <f t="shared" si="102"/>
        <v>-2.2167000000000492E-2</v>
      </c>
      <c r="G3328">
        <f t="shared" si="103"/>
        <v>134.64475201585992</v>
      </c>
    </row>
    <row r="3329" spans="2:7">
      <c r="B3329" t="s">
        <v>2</v>
      </c>
      <c r="C3329" s="2">
        <v>37225</v>
      </c>
      <c r="D3329" t="s">
        <v>6</v>
      </c>
      <c r="E3329">
        <v>5.4484110000000001</v>
      </c>
      <c r="F3329">
        <f t="shared" si="102"/>
        <v>-6.172299999999975E-2</v>
      </c>
      <c r="G3329">
        <f t="shared" si="103"/>
        <v>134.76285700824508</v>
      </c>
    </row>
    <row r="3330" spans="2:7">
      <c r="B3330" t="s">
        <v>2</v>
      </c>
      <c r="C3330" s="2">
        <v>37224</v>
      </c>
      <c r="D3330" t="s">
        <v>6</v>
      </c>
      <c r="E3330">
        <v>5.5101339999999999</v>
      </c>
      <c r="F3330">
        <f t="shared" si="102"/>
        <v>-0.1623720000000004</v>
      </c>
      <c r="G3330">
        <f t="shared" si="103"/>
        <v>139.64471154150661</v>
      </c>
    </row>
    <row r="3331" spans="2:7">
      <c r="B3331" t="s">
        <v>2</v>
      </c>
      <c r="C3331" s="2">
        <v>37223</v>
      </c>
      <c r="D3331" t="s">
        <v>6</v>
      </c>
      <c r="E3331">
        <v>5.6725060000000003</v>
      </c>
      <c r="F3331">
        <f t="shared" ref="F3331:F3394" si="104">E3331-E3332</f>
        <v>3.3085999999999949E-2</v>
      </c>
      <c r="G3331">
        <f t="shared" ref="G3331:G3394" si="105">STDEV(F3331:F3390)*SQRT(250)*100</f>
        <v>135.96464724939284</v>
      </c>
    </row>
    <row r="3332" spans="2:7">
      <c r="B3332" t="s">
        <v>2</v>
      </c>
      <c r="C3332" s="2">
        <v>37222</v>
      </c>
      <c r="D3332" t="s">
        <v>6</v>
      </c>
      <c r="E3332">
        <v>5.6394200000000003</v>
      </c>
      <c r="F3332">
        <f t="shared" si="104"/>
        <v>-4.8845000000000027E-2</v>
      </c>
      <c r="G3332">
        <f t="shared" si="105"/>
        <v>135.91305964945687</v>
      </c>
    </row>
    <row r="3333" spans="2:7">
      <c r="B3333" t="s">
        <v>2</v>
      </c>
      <c r="C3333" s="2">
        <v>37221</v>
      </c>
      <c r="D3333" t="s">
        <v>6</v>
      </c>
      <c r="E3333">
        <v>5.6882650000000003</v>
      </c>
      <c r="F3333">
        <f t="shared" si="104"/>
        <v>1.4660000000006335E-3</v>
      </c>
      <c r="G3333">
        <f t="shared" si="105"/>
        <v>137.21300067524606</v>
      </c>
    </row>
    <row r="3334" spans="2:7">
      <c r="B3334" t="s">
        <v>2</v>
      </c>
      <c r="C3334" s="2">
        <v>37218</v>
      </c>
      <c r="D3334" t="s">
        <v>6</v>
      </c>
      <c r="E3334">
        <v>5.6867989999999997</v>
      </c>
      <c r="F3334">
        <f t="shared" si="104"/>
        <v>4.5791999999999611E-2</v>
      </c>
      <c r="G3334">
        <f t="shared" si="105"/>
        <v>138.8591591679795</v>
      </c>
    </row>
    <row r="3335" spans="2:7">
      <c r="B3335" t="s">
        <v>2</v>
      </c>
      <c r="C3335" s="2">
        <v>37216</v>
      </c>
      <c r="D3335" t="s">
        <v>6</v>
      </c>
      <c r="E3335">
        <v>5.6410070000000001</v>
      </c>
      <c r="F3335">
        <f t="shared" si="104"/>
        <v>0.12099599999999988</v>
      </c>
      <c r="G3335">
        <f t="shared" si="105"/>
        <v>138.53782143410885</v>
      </c>
    </row>
    <row r="3336" spans="2:7">
      <c r="B3336" t="s">
        <v>2</v>
      </c>
      <c r="C3336" s="2">
        <v>37215</v>
      </c>
      <c r="D3336" t="s">
        <v>6</v>
      </c>
      <c r="E3336">
        <v>5.5200110000000002</v>
      </c>
      <c r="F3336">
        <f t="shared" si="104"/>
        <v>0.12307700000000033</v>
      </c>
      <c r="G3336">
        <f t="shared" si="105"/>
        <v>136.46682720132975</v>
      </c>
    </row>
    <row r="3337" spans="2:7">
      <c r="B3337" t="s">
        <v>2</v>
      </c>
      <c r="C3337" s="2">
        <v>37214</v>
      </c>
      <c r="D3337" t="s">
        <v>6</v>
      </c>
      <c r="E3337">
        <v>5.3969339999999999</v>
      </c>
      <c r="F3337">
        <f t="shared" si="104"/>
        <v>-0.15471799999999991</v>
      </c>
      <c r="G3337">
        <f t="shared" si="105"/>
        <v>134.01520223967535</v>
      </c>
    </row>
    <row r="3338" spans="2:7">
      <c r="B3338" t="s">
        <v>2</v>
      </c>
      <c r="C3338" s="2">
        <v>37211</v>
      </c>
      <c r="D3338" t="s">
        <v>6</v>
      </c>
      <c r="E3338">
        <v>5.5516519999999998</v>
      </c>
      <c r="F3338">
        <f t="shared" si="104"/>
        <v>0.16628099999999968</v>
      </c>
      <c r="G3338">
        <f t="shared" si="105"/>
        <v>130.45227472248681</v>
      </c>
    </row>
    <row r="3339" spans="2:7">
      <c r="B3339" t="s">
        <v>2</v>
      </c>
      <c r="C3339" s="2">
        <v>37210</v>
      </c>
      <c r="D3339" t="s">
        <v>6</v>
      </c>
      <c r="E3339">
        <v>5.3853710000000001</v>
      </c>
      <c r="F3339">
        <f t="shared" si="104"/>
        <v>0.27989599999999992</v>
      </c>
      <c r="G3339">
        <f t="shared" si="105"/>
        <v>125.67001257237132</v>
      </c>
    </row>
    <row r="3340" spans="2:7">
      <c r="B3340" t="s">
        <v>2</v>
      </c>
      <c r="C3340" s="2">
        <v>37209</v>
      </c>
      <c r="D3340" t="s">
        <v>6</v>
      </c>
      <c r="E3340">
        <v>5.1054750000000002</v>
      </c>
      <c r="F3340">
        <f t="shared" si="104"/>
        <v>0.1375270000000004</v>
      </c>
      <c r="G3340">
        <f t="shared" si="105"/>
        <v>111.79846979684136</v>
      </c>
    </row>
    <row r="3341" spans="2:7">
      <c r="B3341" t="s">
        <v>2</v>
      </c>
      <c r="C3341" s="2">
        <v>37208</v>
      </c>
      <c r="D3341" t="s">
        <v>6</v>
      </c>
      <c r="E3341">
        <v>4.9679479999999998</v>
      </c>
      <c r="F3341">
        <f t="shared" si="104"/>
        <v>7.3367000000000182E-2</v>
      </c>
      <c r="G3341">
        <f t="shared" si="105"/>
        <v>108.47092169094135</v>
      </c>
    </row>
    <row r="3342" spans="2:7">
      <c r="B3342" t="s">
        <v>2</v>
      </c>
      <c r="C3342" s="2">
        <v>37204</v>
      </c>
      <c r="D3342" t="s">
        <v>6</v>
      </c>
      <c r="E3342">
        <v>4.8945809999999996</v>
      </c>
      <c r="F3342">
        <f t="shared" si="104"/>
        <v>4.5499999999965013E-4</v>
      </c>
      <c r="G3342">
        <f t="shared" si="105"/>
        <v>107.13089505714841</v>
      </c>
    </row>
    <row r="3343" spans="2:7">
      <c r="B3343" t="s">
        <v>2</v>
      </c>
      <c r="C3343" s="2">
        <v>37203</v>
      </c>
      <c r="D3343" t="s">
        <v>6</v>
      </c>
      <c r="E3343">
        <v>4.894126</v>
      </c>
      <c r="F3343">
        <f t="shared" si="104"/>
        <v>9.8201999999999678E-2</v>
      </c>
      <c r="G3343">
        <f t="shared" si="105"/>
        <v>107.59252403041044</v>
      </c>
    </row>
    <row r="3344" spans="2:7">
      <c r="B3344" t="s">
        <v>2</v>
      </c>
      <c r="C3344" s="2">
        <v>37202</v>
      </c>
      <c r="D3344" t="s">
        <v>6</v>
      </c>
      <c r="E3344">
        <v>4.7959240000000003</v>
      </c>
      <c r="F3344">
        <f t="shared" si="104"/>
        <v>-9.4962999999999909E-2</v>
      </c>
      <c r="G3344">
        <f t="shared" si="105"/>
        <v>105.13461470592685</v>
      </c>
    </row>
    <row r="3345" spans="2:7">
      <c r="B3345" t="s">
        <v>2</v>
      </c>
      <c r="C3345" s="2">
        <v>37201</v>
      </c>
      <c r="D3345" t="s">
        <v>6</v>
      </c>
      <c r="E3345">
        <v>4.8908870000000002</v>
      </c>
      <c r="F3345">
        <f t="shared" si="104"/>
        <v>-5.8850999999999765E-2</v>
      </c>
      <c r="G3345">
        <f t="shared" si="105"/>
        <v>104.10068954450414</v>
      </c>
    </row>
    <row r="3346" spans="2:7">
      <c r="B3346" t="s">
        <v>2</v>
      </c>
      <c r="C3346" s="2">
        <v>37200</v>
      </c>
      <c r="D3346" t="s">
        <v>6</v>
      </c>
      <c r="E3346">
        <v>4.949738</v>
      </c>
      <c r="F3346">
        <f t="shared" si="104"/>
        <v>-6.2217999999999662E-2</v>
      </c>
      <c r="G3346">
        <f t="shared" si="105"/>
        <v>103.95392277362801</v>
      </c>
    </row>
    <row r="3347" spans="2:7">
      <c r="B3347" t="s">
        <v>2</v>
      </c>
      <c r="C3347" s="2">
        <v>37197</v>
      </c>
      <c r="D3347" t="s">
        <v>6</v>
      </c>
      <c r="E3347">
        <v>5.0119559999999996</v>
      </c>
      <c r="F3347">
        <f t="shared" si="104"/>
        <v>0.16113799999999934</v>
      </c>
      <c r="G3347">
        <f t="shared" si="105"/>
        <v>104.00861990039454</v>
      </c>
    </row>
    <row r="3348" spans="2:7">
      <c r="B3348" t="s">
        <v>2</v>
      </c>
      <c r="C3348" s="2">
        <v>37196</v>
      </c>
      <c r="D3348" t="s">
        <v>6</v>
      </c>
      <c r="E3348">
        <v>4.8508180000000003</v>
      </c>
      <c r="F3348">
        <f t="shared" si="104"/>
        <v>-8.0625999999999642E-2</v>
      </c>
      <c r="G3348">
        <f t="shared" si="105"/>
        <v>99.456384590284046</v>
      </c>
    </row>
    <row r="3349" spans="2:7">
      <c r="B3349" t="s">
        <v>2</v>
      </c>
      <c r="C3349" s="2">
        <v>37195</v>
      </c>
      <c r="D3349" t="s">
        <v>6</v>
      </c>
      <c r="E3349">
        <v>4.9314439999999999</v>
      </c>
      <c r="F3349">
        <f t="shared" si="104"/>
        <v>-0.14868799999999993</v>
      </c>
      <c r="G3349">
        <f t="shared" si="105"/>
        <v>98.784029067682027</v>
      </c>
    </row>
    <row r="3350" spans="2:7">
      <c r="B3350" t="s">
        <v>2</v>
      </c>
      <c r="C3350" s="2">
        <v>37194</v>
      </c>
      <c r="D3350" t="s">
        <v>6</v>
      </c>
      <c r="E3350">
        <v>5.0801319999999999</v>
      </c>
      <c r="F3350">
        <f t="shared" si="104"/>
        <v>-6.6792000000000407E-2</v>
      </c>
      <c r="G3350">
        <f t="shared" si="105"/>
        <v>94.938486214926527</v>
      </c>
    </row>
    <row r="3351" spans="2:7">
      <c r="B3351" t="s">
        <v>2</v>
      </c>
      <c r="C3351" s="2">
        <v>37193</v>
      </c>
      <c r="D3351" t="s">
        <v>6</v>
      </c>
      <c r="E3351">
        <v>5.1469240000000003</v>
      </c>
      <c r="F3351">
        <f t="shared" si="104"/>
        <v>-4.4008999999999965E-2</v>
      </c>
      <c r="G3351">
        <f t="shared" si="105"/>
        <v>94.818779721756783</v>
      </c>
    </row>
    <row r="3352" spans="2:7">
      <c r="B3352" t="s">
        <v>2</v>
      </c>
      <c r="C3352" s="2">
        <v>37190</v>
      </c>
      <c r="D3352" t="s">
        <v>6</v>
      </c>
      <c r="E3352">
        <v>5.1909330000000002</v>
      </c>
      <c r="F3352">
        <f t="shared" si="104"/>
        <v>1.1850000000004357E-3</v>
      </c>
      <c r="G3352">
        <f t="shared" si="105"/>
        <v>96.126216080157562</v>
      </c>
    </row>
    <row r="3353" spans="2:7">
      <c r="B3353" t="s">
        <v>2</v>
      </c>
      <c r="C3353" s="2">
        <v>37189</v>
      </c>
      <c r="D3353" t="s">
        <v>6</v>
      </c>
      <c r="E3353">
        <v>5.1897479999999998</v>
      </c>
      <c r="F3353">
        <f t="shared" si="104"/>
        <v>-6.8171000000000426E-2</v>
      </c>
      <c r="G3353">
        <f t="shared" si="105"/>
        <v>96.567806220602861</v>
      </c>
    </row>
    <row r="3354" spans="2:7">
      <c r="B3354" t="s">
        <v>2</v>
      </c>
      <c r="C3354" s="2">
        <v>37188</v>
      </c>
      <c r="D3354" t="s">
        <v>6</v>
      </c>
      <c r="E3354">
        <v>5.2579190000000002</v>
      </c>
      <c r="F3354">
        <f t="shared" si="104"/>
        <v>-5.6327999999999712E-2</v>
      </c>
      <c r="G3354">
        <f t="shared" si="105"/>
        <v>96.655313340436024</v>
      </c>
    </row>
    <row r="3355" spans="2:7">
      <c r="B3355" t="s">
        <v>2</v>
      </c>
      <c r="C3355" s="2">
        <v>37187</v>
      </c>
      <c r="D3355" t="s">
        <v>6</v>
      </c>
      <c r="E3355">
        <v>5.3142469999999999</v>
      </c>
      <c r="F3355">
        <f t="shared" si="104"/>
        <v>2.5717000000000212E-2</v>
      </c>
      <c r="G3355">
        <f t="shared" si="105"/>
        <v>96.194499341648481</v>
      </c>
    </row>
    <row r="3356" spans="2:7">
      <c r="B3356" t="s">
        <v>2</v>
      </c>
      <c r="C3356" s="2">
        <v>37186</v>
      </c>
      <c r="D3356" t="s">
        <v>6</v>
      </c>
      <c r="E3356">
        <v>5.2885299999999997</v>
      </c>
      <c r="F3356">
        <f t="shared" si="104"/>
        <v>-3.9810000000004564E-3</v>
      </c>
      <c r="G3356">
        <f t="shared" si="105"/>
        <v>96.46694516838798</v>
      </c>
    </row>
    <row r="3357" spans="2:7">
      <c r="B3357" t="s">
        <v>2</v>
      </c>
      <c r="C3357" s="2">
        <v>37183</v>
      </c>
      <c r="D3357" t="s">
        <v>6</v>
      </c>
      <c r="E3357">
        <v>5.2925110000000002</v>
      </c>
      <c r="F3357">
        <f t="shared" si="104"/>
        <v>4.0855999999999781E-2</v>
      </c>
      <c r="G3357">
        <f t="shared" si="105"/>
        <v>96.463430171515341</v>
      </c>
    </row>
    <row r="3358" spans="2:7">
      <c r="B3358" t="s">
        <v>2</v>
      </c>
      <c r="C3358" s="2">
        <v>37182</v>
      </c>
      <c r="D3358" t="s">
        <v>6</v>
      </c>
      <c r="E3358">
        <v>5.2516550000000004</v>
      </c>
      <c r="F3358">
        <f t="shared" si="104"/>
        <v>9.9000000000071253E-4</v>
      </c>
      <c r="G3358">
        <f t="shared" si="105"/>
        <v>97.658104846191506</v>
      </c>
    </row>
    <row r="3359" spans="2:7">
      <c r="B3359" t="s">
        <v>2</v>
      </c>
      <c r="C3359" s="2">
        <v>37181</v>
      </c>
      <c r="D3359" t="s">
        <v>6</v>
      </c>
      <c r="E3359">
        <v>5.2506649999999997</v>
      </c>
      <c r="F3359">
        <f t="shared" si="104"/>
        <v>-1.6395000000000159E-2</v>
      </c>
      <c r="G3359">
        <f t="shared" si="105"/>
        <v>97.628713310659435</v>
      </c>
    </row>
    <row r="3360" spans="2:7">
      <c r="B3360" t="s">
        <v>2</v>
      </c>
      <c r="C3360" s="2">
        <v>37180</v>
      </c>
      <c r="D3360" t="s">
        <v>6</v>
      </c>
      <c r="E3360">
        <v>5.2670599999999999</v>
      </c>
      <c r="F3360">
        <f t="shared" si="104"/>
        <v>-4.6552000000000149E-2</v>
      </c>
      <c r="G3360">
        <f t="shared" si="105"/>
        <v>97.637466314824778</v>
      </c>
    </row>
    <row r="3361" spans="2:7">
      <c r="B3361" t="s">
        <v>2</v>
      </c>
      <c r="C3361" s="2">
        <v>37179</v>
      </c>
      <c r="D3361" t="s">
        <v>6</v>
      </c>
      <c r="E3361">
        <v>5.313612</v>
      </c>
      <c r="F3361">
        <f t="shared" si="104"/>
        <v>-5.9410999999999881E-2</v>
      </c>
      <c r="G3361">
        <f t="shared" si="105"/>
        <v>97.40175795883647</v>
      </c>
    </row>
    <row r="3362" spans="2:7">
      <c r="B3362" t="s">
        <v>2</v>
      </c>
      <c r="C3362" s="2">
        <v>37176</v>
      </c>
      <c r="D3362" t="s">
        <v>6</v>
      </c>
      <c r="E3362">
        <v>5.3730229999999999</v>
      </c>
      <c r="F3362">
        <f t="shared" si="104"/>
        <v>-1.8514999999999837E-2</v>
      </c>
      <c r="G3362">
        <f t="shared" si="105"/>
        <v>96.915657426607353</v>
      </c>
    </row>
    <row r="3363" spans="2:7">
      <c r="B3363" t="s">
        <v>2</v>
      </c>
      <c r="C3363" s="2">
        <v>37175</v>
      </c>
      <c r="D3363" t="s">
        <v>6</v>
      </c>
      <c r="E3363">
        <v>5.3915379999999997</v>
      </c>
      <c r="F3363">
        <f t="shared" si="104"/>
        <v>0.10517699999999941</v>
      </c>
      <c r="G3363">
        <f t="shared" si="105"/>
        <v>98.860468116402416</v>
      </c>
    </row>
    <row r="3364" spans="2:7">
      <c r="B3364" t="s">
        <v>2</v>
      </c>
      <c r="C3364" s="2">
        <v>37174</v>
      </c>
      <c r="D3364" t="s">
        <v>6</v>
      </c>
      <c r="E3364">
        <v>5.2863610000000003</v>
      </c>
      <c r="F3364">
        <f t="shared" si="104"/>
        <v>-6.5399999999993241E-4</v>
      </c>
      <c r="G3364">
        <f t="shared" si="105"/>
        <v>96.027076784264068</v>
      </c>
    </row>
    <row r="3365" spans="2:7">
      <c r="B3365" t="s">
        <v>2</v>
      </c>
      <c r="C3365" s="2">
        <v>37173</v>
      </c>
      <c r="D3365" t="s">
        <v>6</v>
      </c>
      <c r="E3365">
        <v>5.2870150000000002</v>
      </c>
      <c r="F3365">
        <f t="shared" si="104"/>
        <v>0.10181299999999993</v>
      </c>
      <c r="G3365">
        <f t="shared" si="105"/>
        <v>97.428314923325786</v>
      </c>
    </row>
    <row r="3366" spans="2:7">
      <c r="B3366" t="s">
        <v>2</v>
      </c>
      <c r="C3366" s="2">
        <v>37169</v>
      </c>
      <c r="D3366" t="s">
        <v>6</v>
      </c>
      <c r="E3366">
        <v>5.1852020000000003</v>
      </c>
      <c r="F3366">
        <f t="shared" si="104"/>
        <v>1.3700000000000045E-2</v>
      </c>
      <c r="G3366">
        <f t="shared" si="105"/>
        <v>94.478933195455966</v>
      </c>
    </row>
    <row r="3367" spans="2:7">
      <c r="B3367" t="s">
        <v>2</v>
      </c>
      <c r="C3367" s="2">
        <v>37168</v>
      </c>
      <c r="D3367" t="s">
        <v>6</v>
      </c>
      <c r="E3367">
        <v>5.1715020000000003</v>
      </c>
      <c r="F3367">
        <f t="shared" si="104"/>
        <v>1.7172000000000409E-2</v>
      </c>
      <c r="G3367">
        <f t="shared" si="105"/>
        <v>94.317236014048987</v>
      </c>
    </row>
    <row r="3368" spans="2:7">
      <c r="B3368" t="s">
        <v>2</v>
      </c>
      <c r="C3368" s="2">
        <v>37167</v>
      </c>
      <c r="D3368" t="s">
        <v>6</v>
      </c>
      <c r="E3368">
        <v>5.1543299999999999</v>
      </c>
      <c r="F3368">
        <f t="shared" si="104"/>
        <v>-4.2032999999999987E-2</v>
      </c>
      <c r="G3368">
        <f t="shared" si="105"/>
        <v>94.163389965970794</v>
      </c>
    </row>
    <row r="3369" spans="2:7">
      <c r="B3369" t="s">
        <v>2</v>
      </c>
      <c r="C3369" s="2">
        <v>37166</v>
      </c>
      <c r="D3369" t="s">
        <v>6</v>
      </c>
      <c r="E3369">
        <v>5.1963629999999998</v>
      </c>
      <c r="F3369">
        <f t="shared" si="104"/>
        <v>-2.7125999999999983E-2</v>
      </c>
      <c r="G3369">
        <f t="shared" si="105"/>
        <v>94.429988024709431</v>
      </c>
    </row>
    <row r="3370" spans="2:7">
      <c r="B3370" t="s">
        <v>2</v>
      </c>
      <c r="C3370" s="2">
        <v>37165</v>
      </c>
      <c r="D3370" t="s">
        <v>6</v>
      </c>
      <c r="E3370">
        <v>5.2234889999999998</v>
      </c>
      <c r="F3370">
        <f t="shared" si="104"/>
        <v>-1.0029000000000288E-2</v>
      </c>
      <c r="G3370">
        <f t="shared" si="105"/>
        <v>94.421762836901763</v>
      </c>
    </row>
    <row r="3371" spans="2:7">
      <c r="B3371" t="s">
        <v>2</v>
      </c>
      <c r="C3371" s="2">
        <v>37162</v>
      </c>
      <c r="D3371" t="s">
        <v>6</v>
      </c>
      <c r="E3371">
        <v>5.2335180000000001</v>
      </c>
      <c r="F3371">
        <f t="shared" si="104"/>
        <v>-1.919000000000004E-3</v>
      </c>
      <c r="G3371">
        <f t="shared" si="105"/>
        <v>94.83300013371715</v>
      </c>
    </row>
    <row r="3372" spans="2:7">
      <c r="B3372" t="s">
        <v>2</v>
      </c>
      <c r="C3372" s="2">
        <v>37161</v>
      </c>
      <c r="D3372" t="s">
        <v>6</v>
      </c>
      <c r="E3372">
        <v>5.2354370000000001</v>
      </c>
      <c r="F3372">
        <f t="shared" si="104"/>
        <v>-9.8832999999999949E-2</v>
      </c>
      <c r="G3372">
        <f t="shared" si="105"/>
        <v>95.061211498824832</v>
      </c>
    </row>
    <row r="3373" spans="2:7">
      <c r="B3373" t="s">
        <v>2</v>
      </c>
      <c r="C3373" s="2">
        <v>37160</v>
      </c>
      <c r="D3373" t="s">
        <v>6</v>
      </c>
      <c r="E3373">
        <v>5.3342700000000001</v>
      </c>
      <c r="F3373">
        <f t="shared" si="104"/>
        <v>-7.3743999999999588E-2</v>
      </c>
      <c r="G3373">
        <f t="shared" si="105"/>
        <v>94.114411477305921</v>
      </c>
    </row>
    <row r="3374" spans="2:7">
      <c r="B3374" t="s">
        <v>2</v>
      </c>
      <c r="C3374" s="2">
        <v>37159</v>
      </c>
      <c r="D3374" t="s">
        <v>6</v>
      </c>
      <c r="E3374">
        <v>5.4080139999999997</v>
      </c>
      <c r="F3374">
        <f t="shared" si="104"/>
        <v>-1.0041000000000189E-2</v>
      </c>
      <c r="G3374">
        <f t="shared" si="105"/>
        <v>93.499100875805524</v>
      </c>
    </row>
    <row r="3375" spans="2:7">
      <c r="B3375" t="s">
        <v>2</v>
      </c>
      <c r="C3375" s="2">
        <v>37158</v>
      </c>
      <c r="D3375" t="s">
        <v>6</v>
      </c>
      <c r="E3375">
        <v>5.4180549999999998</v>
      </c>
      <c r="F3375">
        <f t="shared" si="104"/>
        <v>3.2735999999999876E-2</v>
      </c>
      <c r="G3375">
        <f t="shared" si="105"/>
        <v>94.940887426581199</v>
      </c>
    </row>
    <row r="3376" spans="2:7">
      <c r="B3376" t="s">
        <v>2</v>
      </c>
      <c r="C3376" s="2">
        <v>37155</v>
      </c>
      <c r="D3376" t="s">
        <v>6</v>
      </c>
      <c r="E3376">
        <v>5.385319</v>
      </c>
      <c r="F3376">
        <f t="shared" si="104"/>
        <v>-6.2607999999999997E-2</v>
      </c>
      <c r="G3376">
        <f t="shared" si="105"/>
        <v>98.001614616455285</v>
      </c>
    </row>
    <row r="3377" spans="2:7">
      <c r="B3377" t="s">
        <v>2</v>
      </c>
      <c r="C3377" s="2">
        <v>37154</v>
      </c>
      <c r="D3377" t="s">
        <v>6</v>
      </c>
      <c r="E3377">
        <v>5.447927</v>
      </c>
      <c r="F3377">
        <f t="shared" si="104"/>
        <v>-7.5800000000025847E-4</v>
      </c>
      <c r="G3377">
        <f t="shared" si="105"/>
        <v>97.889757630407829</v>
      </c>
    </row>
    <row r="3378" spans="2:7">
      <c r="B3378" t="s">
        <v>2</v>
      </c>
      <c r="C3378" s="2">
        <v>37153</v>
      </c>
      <c r="D3378" t="s">
        <v>6</v>
      </c>
      <c r="E3378">
        <v>5.4486850000000002</v>
      </c>
      <c r="F3378">
        <f t="shared" si="104"/>
        <v>-7.6341000000000214E-2</v>
      </c>
      <c r="G3378">
        <f t="shared" si="105"/>
        <v>99.870611465776278</v>
      </c>
    </row>
    <row r="3379" spans="2:7">
      <c r="B3379" t="s">
        <v>2</v>
      </c>
      <c r="C3379" s="2">
        <v>37152</v>
      </c>
      <c r="D3379" t="s">
        <v>6</v>
      </c>
      <c r="E3379">
        <v>5.5250260000000004</v>
      </c>
      <c r="F3379">
        <f t="shared" si="104"/>
        <v>8.8423000000000584E-2</v>
      </c>
      <c r="G3379">
        <f t="shared" si="105"/>
        <v>98.945185895930507</v>
      </c>
    </row>
    <row r="3380" spans="2:7">
      <c r="B3380" t="s">
        <v>2</v>
      </c>
      <c r="C3380" s="2">
        <v>37151</v>
      </c>
      <c r="D3380" t="s">
        <v>6</v>
      </c>
      <c r="E3380">
        <v>5.4366029999999999</v>
      </c>
      <c r="F3380">
        <f t="shared" si="104"/>
        <v>3.4645000000000259E-2</v>
      </c>
      <c r="G3380">
        <f t="shared" si="105"/>
        <v>98.331332671034161</v>
      </c>
    </row>
    <row r="3381" spans="2:7">
      <c r="B3381" t="s">
        <v>2</v>
      </c>
      <c r="C3381" s="2">
        <v>37148</v>
      </c>
      <c r="D3381" t="s">
        <v>6</v>
      </c>
      <c r="E3381">
        <v>5.4019579999999996</v>
      </c>
      <c r="F3381">
        <f t="shared" si="104"/>
        <v>-9.7374000000000294E-2</v>
      </c>
      <c r="G3381">
        <f t="shared" si="105"/>
        <v>97.898212367900356</v>
      </c>
    </row>
    <row r="3382" spans="2:7">
      <c r="B3382" t="s">
        <v>2</v>
      </c>
      <c r="C3382" s="2">
        <v>37147</v>
      </c>
      <c r="D3382" t="s">
        <v>6</v>
      </c>
      <c r="E3382">
        <v>5.4993319999999999</v>
      </c>
      <c r="F3382">
        <f t="shared" si="104"/>
        <v>-0.10083800000000043</v>
      </c>
      <c r="G3382">
        <f t="shared" si="105"/>
        <v>96.338355507117129</v>
      </c>
    </row>
    <row r="3383" spans="2:7">
      <c r="B3383" t="s">
        <v>2</v>
      </c>
      <c r="C3383" s="2">
        <v>37146</v>
      </c>
      <c r="D3383" t="s">
        <v>6</v>
      </c>
      <c r="E3383">
        <v>5.6001700000000003</v>
      </c>
      <c r="F3383">
        <f t="shared" si="104"/>
        <v>-4.6774000000000093E-2</v>
      </c>
      <c r="G3383">
        <f t="shared" si="105"/>
        <v>94.476100726940942</v>
      </c>
    </row>
    <row r="3384" spans="2:7">
      <c r="B3384" t="s">
        <v>2</v>
      </c>
      <c r="C3384" s="2">
        <v>37145</v>
      </c>
      <c r="D3384" t="s">
        <v>6</v>
      </c>
      <c r="E3384">
        <v>5.6469440000000004</v>
      </c>
      <c r="F3384">
        <f t="shared" si="104"/>
        <v>0</v>
      </c>
      <c r="G3384">
        <f t="shared" si="105"/>
        <v>94.427232609179583</v>
      </c>
    </row>
    <row r="3385" spans="2:7">
      <c r="B3385" t="s">
        <v>2</v>
      </c>
      <c r="C3385" s="2">
        <v>37144</v>
      </c>
      <c r="D3385" t="s">
        <v>6</v>
      </c>
      <c r="E3385">
        <v>5.6469440000000004</v>
      </c>
      <c r="F3385">
        <f t="shared" si="104"/>
        <v>5.2064000000000554E-2</v>
      </c>
      <c r="G3385">
        <f t="shared" si="105"/>
        <v>95.146077481259937</v>
      </c>
    </row>
    <row r="3386" spans="2:7">
      <c r="B3386" t="s">
        <v>2</v>
      </c>
      <c r="C3386" s="2">
        <v>37141</v>
      </c>
      <c r="D3386" t="s">
        <v>6</v>
      </c>
      <c r="E3386">
        <v>5.5948799999999999</v>
      </c>
      <c r="F3386">
        <f t="shared" si="104"/>
        <v>-6.1830000000000496E-2</v>
      </c>
      <c r="G3386">
        <f t="shared" si="105"/>
        <v>94.397198809927716</v>
      </c>
    </row>
    <row r="3387" spans="2:7">
      <c r="B3387" t="s">
        <v>2</v>
      </c>
      <c r="C3387" s="2">
        <v>37140</v>
      </c>
      <c r="D3387" t="s">
        <v>6</v>
      </c>
      <c r="E3387">
        <v>5.6567100000000003</v>
      </c>
      <c r="F3387">
        <f t="shared" si="104"/>
        <v>-0.1354299999999995</v>
      </c>
      <c r="G3387">
        <f t="shared" si="105"/>
        <v>93.805251109912717</v>
      </c>
    </row>
    <row r="3388" spans="2:7">
      <c r="B3388" t="s">
        <v>2</v>
      </c>
      <c r="C3388" s="2">
        <v>37139</v>
      </c>
      <c r="D3388" t="s">
        <v>6</v>
      </c>
      <c r="E3388">
        <v>5.7921399999999998</v>
      </c>
      <c r="F3388">
        <f t="shared" si="104"/>
        <v>-3.7930000000000241E-2</v>
      </c>
      <c r="G3388">
        <f t="shared" si="105"/>
        <v>90.455906746619448</v>
      </c>
    </row>
    <row r="3389" spans="2:7">
      <c r="B3389" t="s">
        <v>2</v>
      </c>
      <c r="C3389" s="2">
        <v>37138</v>
      </c>
      <c r="D3389" t="s">
        <v>6</v>
      </c>
      <c r="E3389">
        <v>5.8300700000000001</v>
      </c>
      <c r="F3389">
        <f t="shared" si="104"/>
        <v>0.18251500000000043</v>
      </c>
      <c r="G3389">
        <f t="shared" si="105"/>
        <v>90.810869123546411</v>
      </c>
    </row>
    <row r="3390" spans="2:7">
      <c r="B3390" t="s">
        <v>2</v>
      </c>
      <c r="C3390" s="2">
        <v>37134</v>
      </c>
      <c r="D3390" t="s">
        <v>6</v>
      </c>
      <c r="E3390">
        <v>5.6475549999999997</v>
      </c>
      <c r="F3390">
        <f t="shared" si="104"/>
        <v>4.6897999999999662E-2</v>
      </c>
      <c r="G3390">
        <f t="shared" si="105"/>
        <v>83.229871779089592</v>
      </c>
    </row>
    <row r="3391" spans="2:7">
      <c r="B3391" t="s">
        <v>2</v>
      </c>
      <c r="C3391" s="2">
        <v>37133</v>
      </c>
      <c r="D3391" t="s">
        <v>6</v>
      </c>
      <c r="E3391">
        <v>5.600657</v>
      </c>
      <c r="F3391">
        <f t="shared" si="104"/>
        <v>2.7396999999999672E-2</v>
      </c>
      <c r="G3391">
        <f t="shared" si="105"/>
        <v>83.377843977803849</v>
      </c>
    </row>
    <row r="3392" spans="2:7">
      <c r="B3392" t="s">
        <v>2</v>
      </c>
      <c r="C3392" s="2">
        <v>37132</v>
      </c>
      <c r="D3392" t="s">
        <v>6</v>
      </c>
      <c r="E3392">
        <v>5.5732600000000003</v>
      </c>
      <c r="F3392">
        <f t="shared" si="104"/>
        <v>-0.10341299999999976</v>
      </c>
      <c r="G3392">
        <f t="shared" si="105"/>
        <v>83.068746520101669</v>
      </c>
    </row>
    <row r="3393" spans="2:7">
      <c r="B3393" t="s">
        <v>2</v>
      </c>
      <c r="C3393" s="2">
        <v>37131</v>
      </c>
      <c r="D3393" t="s">
        <v>6</v>
      </c>
      <c r="E3393">
        <v>5.6766730000000001</v>
      </c>
      <c r="F3393">
        <f t="shared" si="104"/>
        <v>-0.10427300000000006</v>
      </c>
      <c r="G3393">
        <f t="shared" si="105"/>
        <v>81.723585338633953</v>
      </c>
    </row>
    <row r="3394" spans="2:7">
      <c r="B3394" t="s">
        <v>2</v>
      </c>
      <c r="C3394" s="2">
        <v>37130</v>
      </c>
      <c r="D3394" t="s">
        <v>6</v>
      </c>
      <c r="E3394">
        <v>5.7809460000000001</v>
      </c>
      <c r="F3394">
        <f t="shared" si="104"/>
        <v>1.1060999999999765E-2</v>
      </c>
      <c r="G3394">
        <f t="shared" si="105"/>
        <v>79.502740271058229</v>
      </c>
    </row>
    <row r="3395" spans="2:7">
      <c r="B3395" t="s">
        <v>2</v>
      </c>
      <c r="C3395" s="2">
        <v>37127</v>
      </c>
      <c r="D3395" t="s">
        <v>6</v>
      </c>
      <c r="E3395">
        <v>5.7698850000000004</v>
      </c>
      <c r="F3395">
        <f t="shared" ref="F3395:F3458" si="106">E3395-E3396</f>
        <v>4.0643000000000207E-2</v>
      </c>
      <c r="G3395">
        <f t="shared" ref="G3395:G3458" si="107">STDEV(F3395:F3454)*SQRT(250)*100</f>
        <v>79.622730191508211</v>
      </c>
    </row>
    <row r="3396" spans="2:7">
      <c r="B3396" t="s">
        <v>2</v>
      </c>
      <c r="C3396" s="2">
        <v>37126</v>
      </c>
      <c r="D3396" t="s">
        <v>6</v>
      </c>
      <c r="E3396">
        <v>5.7292420000000002</v>
      </c>
      <c r="F3396">
        <f t="shared" si="106"/>
        <v>-3.1150999999999485E-2</v>
      </c>
      <c r="G3396">
        <f t="shared" si="107"/>
        <v>82.801106788789014</v>
      </c>
    </row>
    <row r="3397" spans="2:7">
      <c r="B3397" t="s">
        <v>2</v>
      </c>
      <c r="C3397" s="2">
        <v>37125</v>
      </c>
      <c r="D3397" t="s">
        <v>6</v>
      </c>
      <c r="E3397">
        <v>5.7603929999999997</v>
      </c>
      <c r="F3397">
        <f t="shared" si="106"/>
        <v>1.1976999999999904E-2</v>
      </c>
      <c r="G3397">
        <f t="shared" si="107"/>
        <v>82.775766842383462</v>
      </c>
    </row>
    <row r="3398" spans="2:7">
      <c r="B3398" t="s">
        <v>2</v>
      </c>
      <c r="C3398" s="2">
        <v>37124</v>
      </c>
      <c r="D3398" t="s">
        <v>6</v>
      </c>
      <c r="E3398">
        <v>5.7484159999999997</v>
      </c>
      <c r="F3398">
        <f t="shared" si="106"/>
        <v>-2.4519999999999875E-2</v>
      </c>
      <c r="G3398">
        <f t="shared" si="107"/>
        <v>82.886983759113903</v>
      </c>
    </row>
    <row r="3399" spans="2:7">
      <c r="B3399" t="s">
        <v>2</v>
      </c>
      <c r="C3399" s="2">
        <v>37123</v>
      </c>
      <c r="D3399" t="s">
        <v>6</v>
      </c>
      <c r="E3399">
        <v>5.7729359999999996</v>
      </c>
      <c r="F3399">
        <f t="shared" si="106"/>
        <v>6.4484999999999459E-2</v>
      </c>
      <c r="G3399">
        <f t="shared" si="107"/>
        <v>82.864248789297221</v>
      </c>
    </row>
    <row r="3400" spans="2:7">
      <c r="B3400" t="s">
        <v>2</v>
      </c>
      <c r="C3400" s="2">
        <v>37120</v>
      </c>
      <c r="D3400" t="s">
        <v>6</v>
      </c>
      <c r="E3400">
        <v>5.7084510000000002</v>
      </c>
      <c r="F3400">
        <f t="shared" si="106"/>
        <v>-8.2781999999999911E-2</v>
      </c>
      <c r="G3400">
        <f t="shared" si="107"/>
        <v>84.563936123807594</v>
      </c>
    </row>
    <row r="3401" spans="2:7">
      <c r="B3401" t="s">
        <v>2</v>
      </c>
      <c r="C3401" s="2">
        <v>37119</v>
      </c>
      <c r="D3401" t="s">
        <v>6</v>
      </c>
      <c r="E3401">
        <v>5.7912330000000001</v>
      </c>
      <c r="F3401">
        <f t="shared" si="106"/>
        <v>-4.5359999999999623E-2</v>
      </c>
      <c r="G3401">
        <f t="shared" si="107"/>
        <v>83.19222354909364</v>
      </c>
    </row>
    <row r="3402" spans="2:7">
      <c r="B3402" t="s">
        <v>2</v>
      </c>
      <c r="C3402" s="2">
        <v>37118</v>
      </c>
      <c r="D3402" t="s">
        <v>6</v>
      </c>
      <c r="E3402">
        <v>5.8365929999999997</v>
      </c>
      <c r="F3402">
        <f t="shared" si="106"/>
        <v>3.5492999999999775E-2</v>
      </c>
      <c r="G3402">
        <f t="shared" si="107"/>
        <v>82.796596239619205</v>
      </c>
    </row>
    <row r="3403" spans="2:7">
      <c r="B3403" t="s">
        <v>2</v>
      </c>
      <c r="C3403" s="2">
        <v>37117</v>
      </c>
      <c r="D3403" t="s">
        <v>6</v>
      </c>
      <c r="E3403">
        <v>5.8010999999999999</v>
      </c>
      <c r="F3403">
        <f t="shared" si="106"/>
        <v>1.0004999999999598E-2</v>
      </c>
      <c r="G3403">
        <f t="shared" si="107"/>
        <v>82.382831052816087</v>
      </c>
    </row>
    <row r="3404" spans="2:7">
      <c r="B3404" t="s">
        <v>2</v>
      </c>
      <c r="C3404" s="2">
        <v>37116</v>
      </c>
      <c r="D3404" t="s">
        <v>6</v>
      </c>
      <c r="E3404">
        <v>5.7910950000000003</v>
      </c>
      <c r="F3404">
        <f t="shared" si="106"/>
        <v>-4.932999999999943E-2</v>
      </c>
      <c r="G3404">
        <f t="shared" si="107"/>
        <v>82.700000292711906</v>
      </c>
    </row>
    <row r="3405" spans="2:7">
      <c r="B3405" t="s">
        <v>2</v>
      </c>
      <c r="C3405" s="2">
        <v>37113</v>
      </c>
      <c r="D3405" t="s">
        <v>6</v>
      </c>
      <c r="E3405">
        <v>5.8404249999999998</v>
      </c>
      <c r="F3405">
        <f t="shared" si="106"/>
        <v>-4.9471000000000487E-2</v>
      </c>
      <c r="G3405">
        <f t="shared" si="107"/>
        <v>82.554727444051224</v>
      </c>
    </row>
    <row r="3406" spans="2:7">
      <c r="B3406" t="s">
        <v>2</v>
      </c>
      <c r="C3406" s="2">
        <v>37112</v>
      </c>
      <c r="D3406" t="s">
        <v>6</v>
      </c>
      <c r="E3406">
        <v>5.8898960000000002</v>
      </c>
      <c r="F3406">
        <f t="shared" si="106"/>
        <v>3.5258000000000678E-2</v>
      </c>
      <c r="G3406">
        <f t="shared" si="107"/>
        <v>82.313582685975859</v>
      </c>
    </row>
    <row r="3407" spans="2:7">
      <c r="B3407" t="s">
        <v>2</v>
      </c>
      <c r="C3407" s="2">
        <v>37111</v>
      </c>
      <c r="D3407" t="s">
        <v>6</v>
      </c>
      <c r="E3407">
        <v>5.8546379999999996</v>
      </c>
      <c r="F3407">
        <f t="shared" si="106"/>
        <v>-0.11452700000000071</v>
      </c>
      <c r="G3407">
        <f t="shared" si="107"/>
        <v>82.597639014710182</v>
      </c>
    </row>
    <row r="3408" spans="2:7">
      <c r="B3408" t="s">
        <v>2</v>
      </c>
      <c r="C3408" s="2">
        <v>37110</v>
      </c>
      <c r="D3408" t="s">
        <v>6</v>
      </c>
      <c r="E3408">
        <v>5.9691650000000003</v>
      </c>
      <c r="F3408">
        <f t="shared" si="106"/>
        <v>1.0247000000000561E-2</v>
      </c>
      <c r="G3408">
        <f t="shared" si="107"/>
        <v>80.908829213416041</v>
      </c>
    </row>
    <row r="3409" spans="2:7">
      <c r="B3409" t="s">
        <v>2</v>
      </c>
      <c r="C3409" s="2">
        <v>37109</v>
      </c>
      <c r="D3409" t="s">
        <v>6</v>
      </c>
      <c r="E3409">
        <v>5.9589179999999997</v>
      </c>
      <c r="F3409">
        <f t="shared" si="106"/>
        <v>-1.0267000000000692E-2</v>
      </c>
      <c r="G3409">
        <f t="shared" si="107"/>
        <v>95.0922885329081</v>
      </c>
    </row>
    <row r="3410" spans="2:7">
      <c r="B3410" t="s">
        <v>2</v>
      </c>
      <c r="C3410" s="2">
        <v>37106</v>
      </c>
      <c r="D3410" t="s">
        <v>6</v>
      </c>
      <c r="E3410">
        <v>5.9691850000000004</v>
      </c>
      <c r="F3410">
        <f t="shared" si="106"/>
        <v>3.3482000000000234E-2</v>
      </c>
      <c r="G3410">
        <f t="shared" si="107"/>
        <v>99.080671928980692</v>
      </c>
    </row>
    <row r="3411" spans="2:7">
      <c r="B3411" t="s">
        <v>2</v>
      </c>
      <c r="C3411" s="2">
        <v>37105</v>
      </c>
      <c r="D3411" t="s">
        <v>6</v>
      </c>
      <c r="E3411">
        <v>5.9357030000000002</v>
      </c>
      <c r="F3411">
        <f t="shared" si="106"/>
        <v>7.0903000000000382E-2</v>
      </c>
      <c r="G3411">
        <f t="shared" si="107"/>
        <v>99.367409441335028</v>
      </c>
    </row>
    <row r="3412" spans="2:7">
      <c r="B3412" t="s">
        <v>2</v>
      </c>
      <c r="C3412" s="2">
        <v>37104</v>
      </c>
      <c r="D3412" t="s">
        <v>6</v>
      </c>
      <c r="E3412">
        <v>5.8647999999999998</v>
      </c>
      <c r="F3412">
        <f t="shared" si="106"/>
        <v>3.5479999999999734E-2</v>
      </c>
      <c r="G3412">
        <f t="shared" si="107"/>
        <v>98.256099805943649</v>
      </c>
    </row>
    <row r="3413" spans="2:7">
      <c r="B3413" t="s">
        <v>2</v>
      </c>
      <c r="C3413" s="2">
        <v>37103</v>
      </c>
      <c r="D3413" t="s">
        <v>6</v>
      </c>
      <c r="E3413">
        <v>5.8293200000000001</v>
      </c>
      <c r="F3413">
        <f t="shared" si="106"/>
        <v>-7.1543000000000134E-2</v>
      </c>
      <c r="G3413">
        <f t="shared" si="107"/>
        <v>98.115060024447729</v>
      </c>
    </row>
    <row r="3414" spans="2:7">
      <c r="B3414" t="s">
        <v>2</v>
      </c>
      <c r="C3414" s="2">
        <v>37102</v>
      </c>
      <c r="D3414" t="s">
        <v>6</v>
      </c>
      <c r="E3414">
        <v>5.9008630000000002</v>
      </c>
      <c r="F3414">
        <f t="shared" si="106"/>
        <v>-5.6099999999998929E-3</v>
      </c>
      <c r="G3414">
        <f t="shared" si="107"/>
        <v>97.260309489621406</v>
      </c>
    </row>
    <row r="3415" spans="2:7">
      <c r="B3415" t="s">
        <v>2</v>
      </c>
      <c r="C3415" s="2">
        <v>37099</v>
      </c>
      <c r="D3415" t="s">
        <v>6</v>
      </c>
      <c r="E3415">
        <v>5.9064730000000001</v>
      </c>
      <c r="F3415">
        <f t="shared" si="106"/>
        <v>-6.1163999999999774E-2</v>
      </c>
      <c r="G3415">
        <f t="shared" si="107"/>
        <v>98.566540005225349</v>
      </c>
    </row>
    <row r="3416" spans="2:7">
      <c r="B3416" t="s">
        <v>2</v>
      </c>
      <c r="C3416" s="2">
        <v>37098</v>
      </c>
      <c r="D3416" t="s">
        <v>6</v>
      </c>
      <c r="E3416">
        <v>5.9676369999999999</v>
      </c>
      <c r="F3416">
        <f t="shared" si="106"/>
        <v>-1.7719999999999736E-2</v>
      </c>
      <c r="G3416">
        <f t="shared" si="107"/>
        <v>97.99889762775004</v>
      </c>
    </row>
    <row r="3417" spans="2:7">
      <c r="B3417" t="s">
        <v>2</v>
      </c>
      <c r="C3417" s="2">
        <v>37097</v>
      </c>
      <c r="D3417" t="s">
        <v>6</v>
      </c>
      <c r="E3417">
        <v>5.9853569999999996</v>
      </c>
      <c r="F3417">
        <f t="shared" si="106"/>
        <v>7.9247999999999763E-2</v>
      </c>
      <c r="G3417">
        <f t="shared" si="107"/>
        <v>98.317920611734095</v>
      </c>
    </row>
    <row r="3418" spans="2:7">
      <c r="B3418" t="s">
        <v>2</v>
      </c>
      <c r="C3418" s="2">
        <v>37096</v>
      </c>
      <c r="D3418" t="s">
        <v>6</v>
      </c>
      <c r="E3418">
        <v>5.9061089999999998</v>
      </c>
      <c r="F3418">
        <f t="shared" si="106"/>
        <v>-1.4047999999999838E-2</v>
      </c>
      <c r="G3418">
        <f t="shared" si="107"/>
        <v>96.894207074146266</v>
      </c>
    </row>
    <row r="3419" spans="2:7">
      <c r="B3419" t="s">
        <v>2</v>
      </c>
      <c r="C3419" s="2">
        <v>37095</v>
      </c>
      <c r="D3419" t="s">
        <v>6</v>
      </c>
      <c r="E3419">
        <v>5.9201569999999997</v>
      </c>
      <c r="F3419">
        <f t="shared" si="106"/>
        <v>-1.9398999999999944E-2</v>
      </c>
      <c r="G3419">
        <f t="shared" si="107"/>
        <v>99.834891440093372</v>
      </c>
    </row>
    <row r="3420" spans="2:7">
      <c r="B3420" t="s">
        <v>2</v>
      </c>
      <c r="C3420" s="2">
        <v>37092</v>
      </c>
      <c r="D3420" t="s">
        <v>6</v>
      </c>
      <c r="E3420">
        <v>5.9395559999999996</v>
      </c>
      <c r="F3420">
        <f t="shared" si="106"/>
        <v>3.121999999999403E-3</v>
      </c>
      <c r="G3420">
        <f t="shared" si="107"/>
        <v>101.05568428605392</v>
      </c>
    </row>
    <row r="3421" spans="2:7">
      <c r="B3421" t="s">
        <v>2</v>
      </c>
      <c r="C3421" s="2">
        <v>37091</v>
      </c>
      <c r="D3421" t="s">
        <v>6</v>
      </c>
      <c r="E3421">
        <v>5.9364340000000002</v>
      </c>
      <c r="F3421">
        <f t="shared" si="106"/>
        <v>5.2560000000001494E-3</v>
      </c>
      <c r="G3421">
        <f t="shared" si="107"/>
        <v>101.83076802203215</v>
      </c>
    </row>
    <row r="3422" spans="2:7">
      <c r="B3422" t="s">
        <v>2</v>
      </c>
      <c r="C3422" s="2">
        <v>37090</v>
      </c>
      <c r="D3422" t="s">
        <v>6</v>
      </c>
      <c r="E3422">
        <v>5.9311780000000001</v>
      </c>
      <c r="F3422">
        <f t="shared" si="106"/>
        <v>-0.10519699999999954</v>
      </c>
      <c r="G3422">
        <f t="shared" si="107"/>
        <v>101.88137453300511</v>
      </c>
    </row>
    <row r="3423" spans="2:7">
      <c r="B3423" t="s">
        <v>2</v>
      </c>
      <c r="C3423" s="2">
        <v>37089</v>
      </c>
      <c r="D3423" t="s">
        <v>6</v>
      </c>
      <c r="E3423">
        <v>6.0363749999999996</v>
      </c>
      <c r="F3423">
        <f t="shared" si="106"/>
        <v>1.268899999999995E-2</v>
      </c>
      <c r="G3423">
        <f t="shared" si="107"/>
        <v>100.34544253848834</v>
      </c>
    </row>
    <row r="3424" spans="2:7">
      <c r="B3424" t="s">
        <v>2</v>
      </c>
      <c r="C3424" s="2">
        <v>37088</v>
      </c>
      <c r="D3424" t="s">
        <v>6</v>
      </c>
      <c r="E3424">
        <v>6.0236859999999997</v>
      </c>
      <c r="F3424">
        <f t="shared" si="106"/>
        <v>-9.4008000000000536E-2</v>
      </c>
      <c r="G3424">
        <f t="shared" si="107"/>
        <v>100.30524006458764</v>
      </c>
    </row>
    <row r="3425" spans="2:7">
      <c r="B3425" t="s">
        <v>2</v>
      </c>
      <c r="C3425" s="2">
        <v>37085</v>
      </c>
      <c r="D3425" t="s">
        <v>6</v>
      </c>
      <c r="E3425">
        <v>6.1176940000000002</v>
      </c>
      <c r="F3425">
        <f t="shared" si="106"/>
        <v>0</v>
      </c>
      <c r="G3425">
        <f t="shared" si="107"/>
        <v>102.04483359649615</v>
      </c>
    </row>
    <row r="3426" spans="2:7">
      <c r="B3426" t="s">
        <v>2</v>
      </c>
      <c r="C3426" s="2">
        <v>37084</v>
      </c>
      <c r="D3426" t="s">
        <v>6</v>
      </c>
      <c r="E3426">
        <v>6.1176940000000002</v>
      </c>
      <c r="F3426">
        <f t="shared" si="106"/>
        <v>-2.8350999999999793E-2</v>
      </c>
      <c r="G3426">
        <f t="shared" si="107"/>
        <v>105.40084579361057</v>
      </c>
    </row>
    <row r="3427" spans="2:7">
      <c r="B3427" t="s">
        <v>2</v>
      </c>
      <c r="C3427" s="2">
        <v>37083</v>
      </c>
      <c r="D3427" t="s">
        <v>6</v>
      </c>
      <c r="E3427">
        <v>6.146045</v>
      </c>
      <c r="F3427">
        <f t="shared" si="106"/>
        <v>4.6099999999995589E-3</v>
      </c>
      <c r="G3427">
        <f t="shared" si="107"/>
        <v>107.19516205370294</v>
      </c>
    </row>
    <row r="3428" spans="2:7">
      <c r="B3428" t="s">
        <v>2</v>
      </c>
      <c r="C3428" s="2">
        <v>37082</v>
      </c>
      <c r="D3428" t="s">
        <v>6</v>
      </c>
      <c r="E3428">
        <v>6.1414350000000004</v>
      </c>
      <c r="F3428">
        <f t="shared" si="106"/>
        <v>-5.9416999999999831E-2</v>
      </c>
      <c r="G3428">
        <f t="shared" si="107"/>
        <v>111.02867428732092</v>
      </c>
    </row>
    <row r="3429" spans="2:7">
      <c r="B3429" t="s">
        <v>2</v>
      </c>
      <c r="C3429" s="2">
        <v>37081</v>
      </c>
      <c r="D3429" t="s">
        <v>6</v>
      </c>
      <c r="E3429">
        <v>6.2008520000000003</v>
      </c>
      <c r="F3429">
        <f t="shared" si="106"/>
        <v>-2.5182000000000038E-2</v>
      </c>
      <c r="G3429">
        <f t="shared" si="107"/>
        <v>110.66863945316466</v>
      </c>
    </row>
    <row r="3430" spans="2:7">
      <c r="B3430" t="s">
        <v>2</v>
      </c>
      <c r="C3430" s="2">
        <v>37078</v>
      </c>
      <c r="D3430" t="s">
        <v>6</v>
      </c>
      <c r="E3430">
        <v>6.2260340000000003</v>
      </c>
      <c r="F3430">
        <f t="shared" si="106"/>
        <v>-6.0571999999999626E-2</v>
      </c>
      <c r="G3430">
        <f t="shared" si="107"/>
        <v>110.64851120088221</v>
      </c>
    </row>
    <row r="3431" spans="2:7">
      <c r="B3431" t="s">
        <v>2</v>
      </c>
      <c r="C3431" s="2">
        <v>37077</v>
      </c>
      <c r="D3431" t="s">
        <v>6</v>
      </c>
      <c r="E3431">
        <v>6.2866059999999999</v>
      </c>
      <c r="F3431">
        <f t="shared" si="106"/>
        <v>1.8138999999999683E-2</v>
      </c>
      <c r="G3431">
        <f t="shared" si="107"/>
        <v>113.70759153488011</v>
      </c>
    </row>
    <row r="3432" spans="2:7">
      <c r="B3432" t="s">
        <v>2</v>
      </c>
      <c r="C3432" s="2">
        <v>37075</v>
      </c>
      <c r="D3432" t="s">
        <v>6</v>
      </c>
      <c r="E3432">
        <v>6.2684670000000002</v>
      </c>
      <c r="F3432">
        <f t="shared" si="106"/>
        <v>3.5060000000000535E-2</v>
      </c>
      <c r="G3432">
        <f t="shared" si="107"/>
        <v>113.87314220594438</v>
      </c>
    </row>
    <row r="3433" spans="2:7">
      <c r="B3433" t="s">
        <v>2</v>
      </c>
      <c r="C3433" s="2">
        <v>37074</v>
      </c>
      <c r="D3433" t="s">
        <v>6</v>
      </c>
      <c r="E3433">
        <v>6.2334069999999997</v>
      </c>
      <c r="F3433">
        <f t="shared" si="106"/>
        <v>-4.2273999999999923E-2</v>
      </c>
      <c r="G3433">
        <f t="shared" si="107"/>
        <v>116.32862855446935</v>
      </c>
    </row>
    <row r="3434" spans="2:7">
      <c r="B3434" t="s">
        <v>2</v>
      </c>
      <c r="C3434" s="2">
        <v>37071</v>
      </c>
      <c r="D3434" t="s">
        <v>6</v>
      </c>
      <c r="E3434">
        <v>6.2756809999999996</v>
      </c>
      <c r="F3434">
        <f t="shared" si="106"/>
        <v>6.633899999999926E-2</v>
      </c>
      <c r="G3434">
        <f t="shared" si="107"/>
        <v>116.28975068092416</v>
      </c>
    </row>
    <row r="3435" spans="2:7">
      <c r="B3435" t="s">
        <v>2</v>
      </c>
      <c r="C3435" s="2">
        <v>37070</v>
      </c>
      <c r="D3435" t="s">
        <v>6</v>
      </c>
      <c r="E3435">
        <v>6.2093420000000004</v>
      </c>
      <c r="F3435">
        <f t="shared" si="106"/>
        <v>0.11391700000000071</v>
      </c>
      <c r="G3435">
        <f t="shared" si="107"/>
        <v>115.85458553907782</v>
      </c>
    </row>
    <row r="3436" spans="2:7">
      <c r="B3436" t="s">
        <v>2</v>
      </c>
      <c r="C3436" s="2">
        <v>37069</v>
      </c>
      <c r="D3436" t="s">
        <v>6</v>
      </c>
      <c r="E3436">
        <v>6.0954249999999996</v>
      </c>
      <c r="F3436">
        <f t="shared" si="106"/>
        <v>3.5286999999999402E-2</v>
      </c>
      <c r="G3436">
        <f t="shared" si="107"/>
        <v>113.81762344324517</v>
      </c>
    </row>
    <row r="3437" spans="2:7">
      <c r="B3437" t="s">
        <v>2</v>
      </c>
      <c r="C3437" s="2">
        <v>37068</v>
      </c>
      <c r="D3437" t="s">
        <v>6</v>
      </c>
      <c r="E3437">
        <v>6.0601380000000002</v>
      </c>
      <c r="F3437">
        <f t="shared" si="106"/>
        <v>8.7073000000000178E-2</v>
      </c>
      <c r="G3437">
        <f t="shared" si="107"/>
        <v>113.81688586378039</v>
      </c>
    </row>
    <row r="3438" spans="2:7">
      <c r="B3438" t="s">
        <v>2</v>
      </c>
      <c r="C3438" s="2">
        <v>37067</v>
      </c>
      <c r="D3438" t="s">
        <v>6</v>
      </c>
      <c r="E3438">
        <v>5.9730650000000001</v>
      </c>
      <c r="F3438">
        <f t="shared" si="106"/>
        <v>1.0024999999999729E-2</v>
      </c>
      <c r="G3438">
        <f t="shared" si="107"/>
        <v>113.20491024981547</v>
      </c>
    </row>
    <row r="3439" spans="2:7">
      <c r="B3439" t="s">
        <v>2</v>
      </c>
      <c r="C3439" s="2">
        <v>37064</v>
      </c>
      <c r="D3439" t="s">
        <v>6</v>
      </c>
      <c r="E3439">
        <v>5.9630400000000003</v>
      </c>
      <c r="F3439">
        <f t="shared" si="106"/>
        <v>-8.9976999999999308E-2</v>
      </c>
      <c r="G3439">
        <f t="shared" si="107"/>
        <v>113.21914462949665</v>
      </c>
    </row>
    <row r="3440" spans="2:7">
      <c r="B3440" t="s">
        <v>2</v>
      </c>
      <c r="C3440" s="2">
        <v>37063</v>
      </c>
      <c r="D3440" t="s">
        <v>6</v>
      </c>
      <c r="E3440">
        <v>6.0530169999999996</v>
      </c>
      <c r="F3440">
        <f t="shared" si="106"/>
        <v>-1.7881000000000036E-2</v>
      </c>
      <c r="G3440">
        <f t="shared" si="107"/>
        <v>111.65429621364005</v>
      </c>
    </row>
    <row r="3441" spans="2:7">
      <c r="B3441" t="s">
        <v>2</v>
      </c>
      <c r="C3441" s="2">
        <v>37062</v>
      </c>
      <c r="D3441" t="s">
        <v>6</v>
      </c>
      <c r="E3441">
        <v>6.0708979999999997</v>
      </c>
      <c r="F3441">
        <f t="shared" si="106"/>
        <v>-3.0117000000000616E-2</v>
      </c>
      <c r="G3441">
        <f t="shared" si="107"/>
        <v>115.87783826209348</v>
      </c>
    </row>
    <row r="3442" spans="2:7">
      <c r="B3442" t="s">
        <v>2</v>
      </c>
      <c r="C3442" s="2">
        <v>37061</v>
      </c>
      <c r="D3442" t="s">
        <v>6</v>
      </c>
      <c r="E3442">
        <v>6.1010150000000003</v>
      </c>
      <c r="F3442">
        <f t="shared" si="106"/>
        <v>-8.2179999999993925E-3</v>
      </c>
      <c r="G3442">
        <f t="shared" si="107"/>
        <v>116.08517878913585</v>
      </c>
    </row>
    <row r="3443" spans="2:7">
      <c r="B3443" t="s">
        <v>2</v>
      </c>
      <c r="C3443" s="2">
        <v>37060</v>
      </c>
      <c r="D3443" t="s">
        <v>6</v>
      </c>
      <c r="E3443">
        <v>6.1092329999999997</v>
      </c>
      <c r="F3443">
        <f t="shared" si="106"/>
        <v>2.814599999999956E-2</v>
      </c>
      <c r="G3443">
        <f t="shared" si="107"/>
        <v>117.33678041313227</v>
      </c>
    </row>
    <row r="3444" spans="2:7">
      <c r="B3444" t="s">
        <v>2</v>
      </c>
      <c r="C3444" s="2">
        <v>37057</v>
      </c>
      <c r="D3444" t="s">
        <v>6</v>
      </c>
      <c r="E3444">
        <v>6.0810870000000001</v>
      </c>
      <c r="F3444">
        <f t="shared" si="106"/>
        <v>5.0302000000000291E-2</v>
      </c>
      <c r="G3444">
        <f t="shared" si="107"/>
        <v>117.73930940216728</v>
      </c>
    </row>
    <row r="3445" spans="2:7">
      <c r="B3445" t="s">
        <v>2</v>
      </c>
      <c r="C3445" s="2">
        <v>37056</v>
      </c>
      <c r="D3445" t="s">
        <v>6</v>
      </c>
      <c r="E3445">
        <v>6.0307849999999998</v>
      </c>
      <c r="F3445">
        <f t="shared" si="106"/>
        <v>-1.8697000000000408E-2</v>
      </c>
      <c r="G3445">
        <f t="shared" si="107"/>
        <v>117.79937121000152</v>
      </c>
    </row>
    <row r="3446" spans="2:7">
      <c r="B3446" t="s">
        <v>2</v>
      </c>
      <c r="C3446" s="2">
        <v>37055</v>
      </c>
      <c r="D3446" t="s">
        <v>6</v>
      </c>
      <c r="E3446">
        <v>6.0494820000000002</v>
      </c>
      <c r="F3446">
        <f t="shared" si="106"/>
        <v>1.2586000000000652E-2</v>
      </c>
      <c r="G3446">
        <f t="shared" si="107"/>
        <v>118.2941978902122</v>
      </c>
    </row>
    <row r="3447" spans="2:7">
      <c r="B3447" t="s">
        <v>2</v>
      </c>
      <c r="C3447" s="2">
        <v>37054</v>
      </c>
      <c r="D3447" t="s">
        <v>6</v>
      </c>
      <c r="E3447">
        <v>6.0368959999999996</v>
      </c>
      <c r="F3447">
        <f t="shared" si="106"/>
        <v>-5.3374000000000699E-2</v>
      </c>
      <c r="G3447">
        <f t="shared" si="107"/>
        <v>118.85096337290987</v>
      </c>
    </row>
    <row r="3448" spans="2:7">
      <c r="B3448" t="s">
        <v>2</v>
      </c>
      <c r="C3448" s="2">
        <v>37053</v>
      </c>
      <c r="D3448" t="s">
        <v>6</v>
      </c>
      <c r="E3448">
        <v>6.0902700000000003</v>
      </c>
      <c r="F3448">
        <f t="shared" si="106"/>
        <v>-5.6060999999999694E-2</v>
      </c>
      <c r="G3448">
        <f t="shared" si="107"/>
        <v>119.09205134071512</v>
      </c>
    </row>
    <row r="3449" spans="2:7">
      <c r="B3449" t="s">
        <v>2</v>
      </c>
      <c r="C3449" s="2">
        <v>37050</v>
      </c>
      <c r="D3449" t="s">
        <v>6</v>
      </c>
      <c r="E3449">
        <v>6.146331</v>
      </c>
      <c r="F3449">
        <f t="shared" si="106"/>
        <v>6.0852999999999824E-2</v>
      </c>
      <c r="G3449">
        <f t="shared" si="107"/>
        <v>118.99166100302938</v>
      </c>
    </row>
    <row r="3450" spans="2:7">
      <c r="B3450" t="s">
        <v>2</v>
      </c>
      <c r="C3450" s="2">
        <v>37049</v>
      </c>
      <c r="D3450" t="s">
        <v>6</v>
      </c>
      <c r="E3450">
        <v>6.0854780000000002</v>
      </c>
      <c r="F3450">
        <f t="shared" si="106"/>
        <v>5.2026999999999823E-2</v>
      </c>
      <c r="G3450">
        <f t="shared" si="107"/>
        <v>120.27927744254896</v>
      </c>
    </row>
    <row r="3451" spans="2:7">
      <c r="B3451" t="s">
        <v>2</v>
      </c>
      <c r="C3451" s="2">
        <v>37048</v>
      </c>
      <c r="D3451" t="s">
        <v>6</v>
      </c>
      <c r="E3451">
        <v>6.0334510000000003</v>
      </c>
      <c r="F3451">
        <f t="shared" si="106"/>
        <v>-9.8149999999996851E-3</v>
      </c>
      <c r="G3451">
        <f t="shared" si="107"/>
        <v>120.10826112708371</v>
      </c>
    </row>
    <row r="3452" spans="2:7">
      <c r="B3452" t="s">
        <v>2</v>
      </c>
      <c r="C3452" s="2">
        <v>37047</v>
      </c>
      <c r="D3452" t="s">
        <v>6</v>
      </c>
      <c r="E3452">
        <v>6.043266</v>
      </c>
      <c r="F3452">
        <f t="shared" si="106"/>
        <v>-7.0459999999999745E-2</v>
      </c>
      <c r="G3452">
        <f t="shared" si="107"/>
        <v>120.08268960716291</v>
      </c>
    </row>
    <row r="3453" spans="2:7">
      <c r="B3453" t="s">
        <v>2</v>
      </c>
      <c r="C3453" s="2">
        <v>37046</v>
      </c>
      <c r="D3453" t="s">
        <v>6</v>
      </c>
      <c r="E3453">
        <v>6.1137259999999998</v>
      </c>
      <c r="F3453">
        <f t="shared" si="106"/>
        <v>-3.9330000000000531E-2</v>
      </c>
      <c r="G3453">
        <f t="shared" si="107"/>
        <v>119.87697615673758</v>
      </c>
    </row>
    <row r="3454" spans="2:7">
      <c r="B3454" t="s">
        <v>2</v>
      </c>
      <c r="C3454" s="2">
        <v>37043</v>
      </c>
      <c r="D3454" t="s">
        <v>6</v>
      </c>
      <c r="E3454">
        <v>6.1530560000000003</v>
      </c>
      <c r="F3454">
        <f t="shared" si="106"/>
        <v>-3.4178999999999959E-2</v>
      </c>
      <c r="G3454">
        <f t="shared" si="107"/>
        <v>119.70114900404715</v>
      </c>
    </row>
    <row r="3455" spans="2:7">
      <c r="B3455" t="s">
        <v>2</v>
      </c>
      <c r="C3455" s="2">
        <v>37042</v>
      </c>
      <c r="D3455" t="s">
        <v>6</v>
      </c>
      <c r="E3455">
        <v>6.1872350000000003</v>
      </c>
      <c r="F3455">
        <f t="shared" si="106"/>
        <v>-0.12914199999999987</v>
      </c>
      <c r="G3455">
        <f t="shared" si="107"/>
        <v>120.09134335624414</v>
      </c>
    </row>
    <row r="3456" spans="2:7">
      <c r="B3456" t="s">
        <v>2</v>
      </c>
      <c r="C3456" s="2">
        <v>37041</v>
      </c>
      <c r="D3456" t="s">
        <v>6</v>
      </c>
      <c r="E3456">
        <v>6.3163770000000001</v>
      </c>
      <c r="F3456">
        <f t="shared" si="106"/>
        <v>9.8479999999998569E-3</v>
      </c>
      <c r="G3456">
        <f t="shared" si="107"/>
        <v>116.86801435561276</v>
      </c>
    </row>
    <row r="3457" spans="2:7">
      <c r="B3457" t="s">
        <v>2</v>
      </c>
      <c r="C3457" s="2">
        <v>37040</v>
      </c>
      <c r="D3457" t="s">
        <v>6</v>
      </c>
      <c r="E3457">
        <v>6.3065290000000003</v>
      </c>
      <c r="F3457">
        <f t="shared" si="106"/>
        <v>2.0569000000000059E-2</v>
      </c>
      <c r="G3457">
        <f t="shared" si="107"/>
        <v>116.88558420897274</v>
      </c>
    </row>
    <row r="3458" spans="2:7">
      <c r="B3458" t="s">
        <v>2</v>
      </c>
      <c r="C3458" s="2">
        <v>37036</v>
      </c>
      <c r="D3458" t="s">
        <v>6</v>
      </c>
      <c r="E3458">
        <v>6.2859600000000002</v>
      </c>
      <c r="F3458">
        <f t="shared" si="106"/>
        <v>3.9530000000000953E-3</v>
      </c>
      <c r="G3458">
        <f t="shared" si="107"/>
        <v>118.26905904427198</v>
      </c>
    </row>
    <row r="3459" spans="2:7">
      <c r="B3459" t="s">
        <v>2</v>
      </c>
      <c r="C3459" s="2">
        <v>37035</v>
      </c>
      <c r="D3459" t="s">
        <v>6</v>
      </c>
      <c r="E3459">
        <v>6.2820070000000001</v>
      </c>
      <c r="F3459">
        <f t="shared" ref="F3459:F3522" si="108">E3459-E3460</f>
        <v>0.10134799999999977</v>
      </c>
      <c r="G3459">
        <f t="shared" ref="G3459:G3522" si="109">STDEV(F3459:F3518)*SQRT(250)*100</f>
        <v>118.81469138738778</v>
      </c>
    </row>
    <row r="3460" spans="2:7">
      <c r="B3460" t="s">
        <v>2</v>
      </c>
      <c r="C3460" s="2">
        <v>37034</v>
      </c>
      <c r="D3460" t="s">
        <v>6</v>
      </c>
      <c r="E3460">
        <v>6.1806590000000003</v>
      </c>
      <c r="F3460">
        <f t="shared" si="108"/>
        <v>1.0159999999999947E-2</v>
      </c>
      <c r="G3460">
        <f t="shared" si="109"/>
        <v>118.95405467376798</v>
      </c>
    </row>
    <row r="3461" spans="2:7">
      <c r="B3461" t="s">
        <v>2</v>
      </c>
      <c r="C3461" s="2">
        <v>37033</v>
      </c>
      <c r="D3461" t="s">
        <v>6</v>
      </c>
      <c r="E3461">
        <v>6.1704990000000004</v>
      </c>
      <c r="F3461">
        <f t="shared" si="108"/>
        <v>-5.408999999999331E-3</v>
      </c>
      <c r="G3461">
        <f t="shared" si="109"/>
        <v>121.47021152462088</v>
      </c>
    </row>
    <row r="3462" spans="2:7">
      <c r="B3462" t="s">
        <v>2</v>
      </c>
      <c r="C3462" s="2">
        <v>37032</v>
      </c>
      <c r="D3462" t="s">
        <v>6</v>
      </c>
      <c r="E3462">
        <v>6.1759079999999997</v>
      </c>
      <c r="F3462">
        <f t="shared" si="108"/>
        <v>4.1719999999996205E-3</v>
      </c>
      <c r="G3462">
        <f t="shared" si="109"/>
        <v>121.86451921679236</v>
      </c>
    </row>
    <row r="3463" spans="2:7">
      <c r="B3463" t="s">
        <v>2</v>
      </c>
      <c r="C3463" s="2">
        <v>37029</v>
      </c>
      <c r="D3463" t="s">
        <v>6</v>
      </c>
      <c r="E3463">
        <v>6.1717360000000001</v>
      </c>
      <c r="F3463">
        <f t="shared" si="108"/>
        <v>-4.5533999999999963E-2</v>
      </c>
      <c r="G3463">
        <f t="shared" si="109"/>
        <v>122.13302930891213</v>
      </c>
    </row>
    <row r="3464" spans="2:7">
      <c r="B3464" t="s">
        <v>2</v>
      </c>
      <c r="C3464" s="2">
        <v>37028</v>
      </c>
      <c r="D3464" t="s">
        <v>6</v>
      </c>
      <c r="E3464">
        <v>6.2172700000000001</v>
      </c>
      <c r="F3464">
        <f t="shared" si="108"/>
        <v>-4.1995000000000005E-2</v>
      </c>
      <c r="G3464">
        <f t="shared" si="109"/>
        <v>121.83104217206268</v>
      </c>
    </row>
    <row r="3465" spans="2:7">
      <c r="B3465" t="s">
        <v>2</v>
      </c>
      <c r="C3465" s="2">
        <v>37027</v>
      </c>
      <c r="D3465" t="s">
        <v>6</v>
      </c>
      <c r="E3465">
        <v>6.2592650000000001</v>
      </c>
      <c r="F3465">
        <f t="shared" si="108"/>
        <v>-3.6475999999999509E-2</v>
      </c>
      <c r="G3465">
        <f t="shared" si="109"/>
        <v>121.55916363216413</v>
      </c>
    </row>
    <row r="3466" spans="2:7">
      <c r="B3466" t="s">
        <v>2</v>
      </c>
      <c r="C3466" s="2">
        <v>37026</v>
      </c>
      <c r="D3466" t="s">
        <v>6</v>
      </c>
      <c r="E3466">
        <v>6.2957409999999996</v>
      </c>
      <c r="F3466">
        <f t="shared" si="108"/>
        <v>4.6841999999999828E-2</v>
      </c>
      <c r="G3466">
        <f t="shared" si="109"/>
        <v>121.29331583628762</v>
      </c>
    </row>
    <row r="3467" spans="2:7">
      <c r="B3467" t="s">
        <v>2</v>
      </c>
      <c r="C3467" s="2">
        <v>37025</v>
      </c>
      <c r="D3467" t="s">
        <v>6</v>
      </c>
      <c r="E3467">
        <v>6.2488989999999998</v>
      </c>
      <c r="F3467">
        <f t="shared" si="108"/>
        <v>-7.8401000000000387E-2</v>
      </c>
      <c r="G3467">
        <f t="shared" si="109"/>
        <v>123.29804221076853</v>
      </c>
    </row>
    <row r="3468" spans="2:7">
      <c r="B3468" t="s">
        <v>2</v>
      </c>
      <c r="C3468" s="2">
        <v>37022</v>
      </c>
      <c r="D3468" t="s">
        <v>6</v>
      </c>
      <c r="E3468">
        <v>6.3273000000000001</v>
      </c>
      <c r="F3468">
        <f t="shared" si="108"/>
        <v>0.23907900000000026</v>
      </c>
      <c r="G3468">
        <f t="shared" si="109"/>
        <v>123.1956862883313</v>
      </c>
    </row>
    <row r="3469" spans="2:7">
      <c r="B3469" t="s">
        <v>2</v>
      </c>
      <c r="C3469" s="2">
        <v>37021</v>
      </c>
      <c r="D3469" t="s">
        <v>6</v>
      </c>
      <c r="E3469">
        <v>6.0882209999999999</v>
      </c>
      <c r="F3469">
        <f t="shared" si="108"/>
        <v>0.13456400000000013</v>
      </c>
      <c r="G3469">
        <f t="shared" si="109"/>
        <v>114.04610748877437</v>
      </c>
    </row>
    <row r="3470" spans="2:7">
      <c r="B3470" t="s">
        <v>2</v>
      </c>
      <c r="C3470" s="2">
        <v>37020</v>
      </c>
      <c r="D3470" t="s">
        <v>6</v>
      </c>
      <c r="E3470">
        <v>5.9536569999999998</v>
      </c>
      <c r="F3470">
        <f t="shared" si="108"/>
        <v>-5.0375999999999976E-2</v>
      </c>
      <c r="G3470">
        <f t="shared" si="109"/>
        <v>110.87032716925624</v>
      </c>
    </row>
    <row r="3471" spans="2:7">
      <c r="B3471" t="s">
        <v>2</v>
      </c>
      <c r="C3471" s="2">
        <v>37019</v>
      </c>
      <c r="D3471" t="s">
        <v>6</v>
      </c>
      <c r="E3471">
        <v>6.0040329999999997</v>
      </c>
      <c r="F3471">
        <f t="shared" si="108"/>
        <v>7.4659999999999727E-3</v>
      </c>
      <c r="G3471">
        <f t="shared" si="109"/>
        <v>110.4589222050562</v>
      </c>
    </row>
    <row r="3472" spans="2:7">
      <c r="B3472" t="s">
        <v>2</v>
      </c>
      <c r="C3472" s="2">
        <v>37018</v>
      </c>
      <c r="D3472" t="s">
        <v>6</v>
      </c>
      <c r="E3472">
        <v>5.9965669999999998</v>
      </c>
      <c r="F3472">
        <f t="shared" si="108"/>
        <v>2.550799999999942E-2</v>
      </c>
      <c r="G3472">
        <f t="shared" si="109"/>
        <v>111.73212075320038</v>
      </c>
    </row>
    <row r="3473" spans="2:7">
      <c r="B3473" t="s">
        <v>2</v>
      </c>
      <c r="C3473" s="2">
        <v>37015</v>
      </c>
      <c r="D3473" t="s">
        <v>6</v>
      </c>
      <c r="E3473">
        <v>5.9710590000000003</v>
      </c>
      <c r="F3473">
        <f t="shared" si="108"/>
        <v>-3.1875999999999571E-2</v>
      </c>
      <c r="G3473">
        <f t="shared" si="109"/>
        <v>111.64534053374311</v>
      </c>
    </row>
    <row r="3474" spans="2:7">
      <c r="B3474" t="s">
        <v>2</v>
      </c>
      <c r="C3474" s="2">
        <v>37014</v>
      </c>
      <c r="D3474" t="s">
        <v>6</v>
      </c>
      <c r="E3474">
        <v>6.0029349999999999</v>
      </c>
      <c r="F3474">
        <f t="shared" si="108"/>
        <v>-8.0087999999999937E-2</v>
      </c>
      <c r="G3474">
        <f t="shared" si="109"/>
        <v>111.83114205308952</v>
      </c>
    </row>
    <row r="3475" spans="2:7">
      <c r="B3475" t="s">
        <v>2</v>
      </c>
      <c r="C3475" s="2">
        <v>37013</v>
      </c>
      <c r="D3475" t="s">
        <v>6</v>
      </c>
      <c r="E3475">
        <v>6.0830229999999998</v>
      </c>
      <c r="F3475">
        <f t="shared" si="108"/>
        <v>-3.0726000000000475E-2</v>
      </c>
      <c r="G3475">
        <f t="shared" si="109"/>
        <v>111.30929868203663</v>
      </c>
    </row>
    <row r="3476" spans="2:7">
      <c r="B3476" t="s">
        <v>2</v>
      </c>
      <c r="C3476" s="2">
        <v>37012</v>
      </c>
      <c r="D3476" t="s">
        <v>6</v>
      </c>
      <c r="E3476">
        <v>6.1137490000000003</v>
      </c>
      <c r="F3476">
        <f t="shared" si="108"/>
        <v>-4.3946000000000041E-2</v>
      </c>
      <c r="G3476">
        <f t="shared" si="109"/>
        <v>111.18663685857615</v>
      </c>
    </row>
    <row r="3477" spans="2:7">
      <c r="B3477" t="s">
        <v>2</v>
      </c>
      <c r="C3477" s="2">
        <v>37011</v>
      </c>
      <c r="D3477" t="s">
        <v>6</v>
      </c>
      <c r="E3477">
        <v>6.1576950000000004</v>
      </c>
      <c r="F3477">
        <f t="shared" si="108"/>
        <v>1.3173000000000101E-2</v>
      </c>
      <c r="G3477">
        <f t="shared" si="109"/>
        <v>113.15749734288019</v>
      </c>
    </row>
    <row r="3478" spans="2:7">
      <c r="B3478" t="s">
        <v>2</v>
      </c>
      <c r="C3478" s="2">
        <v>37008</v>
      </c>
      <c r="D3478" t="s">
        <v>6</v>
      </c>
      <c r="E3478">
        <v>6.1445220000000003</v>
      </c>
      <c r="F3478">
        <f t="shared" si="108"/>
        <v>0.11447400000000041</v>
      </c>
      <c r="G3478">
        <f t="shared" si="109"/>
        <v>114.87731830518814</v>
      </c>
    </row>
    <row r="3479" spans="2:7">
      <c r="B3479" t="s">
        <v>2</v>
      </c>
      <c r="C3479" s="2">
        <v>37007</v>
      </c>
      <c r="D3479" t="s">
        <v>6</v>
      </c>
      <c r="E3479">
        <v>6.0300479999999999</v>
      </c>
      <c r="F3479">
        <f t="shared" si="108"/>
        <v>-8.0306000000000211E-2</v>
      </c>
      <c r="G3479">
        <f t="shared" si="109"/>
        <v>114.16615289303334</v>
      </c>
    </row>
    <row r="3480" spans="2:7">
      <c r="B3480" t="s">
        <v>2</v>
      </c>
      <c r="C3480" s="2">
        <v>37006</v>
      </c>
      <c r="D3480" t="s">
        <v>6</v>
      </c>
      <c r="E3480">
        <v>6.1103540000000001</v>
      </c>
      <c r="F3480">
        <f t="shared" si="108"/>
        <v>5.8785000000000309E-2</v>
      </c>
      <c r="G3480">
        <f t="shared" si="109"/>
        <v>114.75109934242846</v>
      </c>
    </row>
    <row r="3481" spans="2:7">
      <c r="B3481" t="s">
        <v>2</v>
      </c>
      <c r="C3481" s="2">
        <v>37005</v>
      </c>
      <c r="D3481" t="s">
        <v>6</v>
      </c>
      <c r="E3481">
        <v>6.0515689999999998</v>
      </c>
      <c r="F3481">
        <f t="shared" si="108"/>
        <v>1.5298999999999729E-2</v>
      </c>
      <c r="G3481">
        <f t="shared" si="109"/>
        <v>114.17420927316519</v>
      </c>
    </row>
    <row r="3482" spans="2:7">
      <c r="B3482" t="s">
        <v>2</v>
      </c>
      <c r="C3482" s="2">
        <v>37004</v>
      </c>
      <c r="D3482" t="s">
        <v>6</v>
      </c>
      <c r="E3482">
        <v>6.03627</v>
      </c>
      <c r="F3482">
        <f t="shared" si="108"/>
        <v>-6.0100000000000264E-2</v>
      </c>
      <c r="G3482">
        <f t="shared" si="109"/>
        <v>114.18081640282016</v>
      </c>
    </row>
    <row r="3483" spans="2:7">
      <c r="B3483" t="s">
        <v>2</v>
      </c>
      <c r="C3483" s="2">
        <v>37001</v>
      </c>
      <c r="D3483" t="s">
        <v>6</v>
      </c>
      <c r="E3483">
        <v>6.0963700000000003</v>
      </c>
      <c r="F3483">
        <f t="shared" si="108"/>
        <v>-7.9299999999982163E-4</v>
      </c>
      <c r="G3483">
        <f t="shared" si="109"/>
        <v>114.03972824395356</v>
      </c>
    </row>
    <row r="3484" spans="2:7">
      <c r="B3484" t="s">
        <v>2</v>
      </c>
      <c r="C3484" s="2">
        <v>37000</v>
      </c>
      <c r="D3484" t="s">
        <v>6</v>
      </c>
      <c r="E3484">
        <v>6.0971630000000001</v>
      </c>
      <c r="F3484">
        <f t="shared" si="108"/>
        <v>0.13207199999999997</v>
      </c>
      <c r="G3484">
        <f t="shared" si="109"/>
        <v>114.05143881823925</v>
      </c>
    </row>
    <row r="3485" spans="2:7">
      <c r="B3485" t="s">
        <v>2</v>
      </c>
      <c r="C3485" s="2">
        <v>36999</v>
      </c>
      <c r="D3485" t="s">
        <v>6</v>
      </c>
      <c r="E3485">
        <v>5.9650910000000001</v>
      </c>
      <c r="F3485">
        <f t="shared" si="108"/>
        <v>-0.12670099999999973</v>
      </c>
      <c r="G3485">
        <f t="shared" si="109"/>
        <v>111.78273866884444</v>
      </c>
    </row>
    <row r="3486" spans="2:7">
      <c r="B3486" t="s">
        <v>2</v>
      </c>
      <c r="C3486" s="2">
        <v>36998</v>
      </c>
      <c r="D3486" t="s">
        <v>6</v>
      </c>
      <c r="E3486">
        <v>6.0917919999999999</v>
      </c>
      <c r="F3486">
        <f t="shared" si="108"/>
        <v>-9.9140000000000228E-2</v>
      </c>
      <c r="G3486">
        <f t="shared" si="109"/>
        <v>109.64611597462999</v>
      </c>
    </row>
    <row r="3487" spans="2:7">
      <c r="B3487" t="s">
        <v>2</v>
      </c>
      <c r="C3487" s="2">
        <v>36997</v>
      </c>
      <c r="D3487" t="s">
        <v>6</v>
      </c>
      <c r="E3487">
        <v>6.1909320000000001</v>
      </c>
      <c r="F3487">
        <f t="shared" si="108"/>
        <v>0.14096099999999989</v>
      </c>
      <c r="G3487">
        <f t="shared" si="109"/>
        <v>108.99776199322191</v>
      </c>
    </row>
    <row r="3488" spans="2:7">
      <c r="B3488" t="s">
        <v>2</v>
      </c>
      <c r="C3488" s="2">
        <v>36993</v>
      </c>
      <c r="D3488" t="s">
        <v>6</v>
      </c>
      <c r="E3488">
        <v>6.0499710000000002</v>
      </c>
      <c r="F3488">
        <f t="shared" si="108"/>
        <v>4.643400000000053E-2</v>
      </c>
      <c r="G3488">
        <f t="shared" si="109"/>
        <v>106.62553239991328</v>
      </c>
    </row>
    <row r="3489" spans="2:7">
      <c r="B3489" t="s">
        <v>2</v>
      </c>
      <c r="C3489" s="2">
        <v>36992</v>
      </c>
      <c r="D3489" t="s">
        <v>6</v>
      </c>
      <c r="E3489">
        <v>6.0035369999999997</v>
      </c>
      <c r="F3489">
        <f t="shared" si="108"/>
        <v>3.0814999999999593E-2</v>
      </c>
      <c r="G3489">
        <f t="shared" si="109"/>
        <v>107.59288759631622</v>
      </c>
    </row>
    <row r="3490" spans="2:7">
      <c r="B3490" t="s">
        <v>2</v>
      </c>
      <c r="C3490" s="2">
        <v>36991</v>
      </c>
      <c r="D3490" t="s">
        <v>6</v>
      </c>
      <c r="E3490">
        <v>5.9727220000000001</v>
      </c>
      <c r="F3490">
        <f t="shared" si="108"/>
        <v>0.14958899999999975</v>
      </c>
      <c r="G3490">
        <f t="shared" si="109"/>
        <v>107.40109213987657</v>
      </c>
    </row>
    <row r="3491" spans="2:7">
      <c r="B3491" t="s">
        <v>2</v>
      </c>
      <c r="C3491" s="2">
        <v>36990</v>
      </c>
      <c r="D3491" t="s">
        <v>6</v>
      </c>
      <c r="E3491">
        <v>5.8231330000000003</v>
      </c>
      <c r="F3491">
        <f t="shared" si="108"/>
        <v>3.9429000000000158E-2</v>
      </c>
      <c r="G3491">
        <f t="shared" si="109"/>
        <v>106.63578206581235</v>
      </c>
    </row>
    <row r="3492" spans="2:7">
      <c r="B3492" t="s">
        <v>2</v>
      </c>
      <c r="C3492" s="2">
        <v>36987</v>
      </c>
      <c r="D3492" t="s">
        <v>6</v>
      </c>
      <c r="E3492">
        <v>5.7837040000000002</v>
      </c>
      <c r="F3492">
        <f t="shared" si="108"/>
        <v>-0.11203999999999947</v>
      </c>
      <c r="G3492">
        <f t="shared" si="109"/>
        <v>106.81707109888079</v>
      </c>
    </row>
    <row r="3493" spans="2:7">
      <c r="B3493" t="s">
        <v>2</v>
      </c>
      <c r="C3493" s="2">
        <v>36986</v>
      </c>
      <c r="D3493" t="s">
        <v>6</v>
      </c>
      <c r="E3493">
        <v>5.8957439999999997</v>
      </c>
      <c r="F3493">
        <f t="shared" si="108"/>
        <v>5.2871999999999808E-2</v>
      </c>
      <c r="G3493">
        <f t="shared" si="109"/>
        <v>108.79836165387368</v>
      </c>
    </row>
    <row r="3494" spans="2:7">
      <c r="B3494" t="s">
        <v>2</v>
      </c>
      <c r="C3494" s="2">
        <v>36985</v>
      </c>
      <c r="D3494" t="s">
        <v>6</v>
      </c>
      <c r="E3494">
        <v>5.8428719999999998</v>
      </c>
      <c r="F3494">
        <f t="shared" si="108"/>
        <v>-2.8297000000000239E-2</v>
      </c>
      <c r="G3494">
        <f t="shared" si="109"/>
        <v>109.19793705867366</v>
      </c>
    </row>
    <row r="3495" spans="2:7">
      <c r="B3495" t="s">
        <v>2</v>
      </c>
      <c r="C3495" s="2">
        <v>36984</v>
      </c>
      <c r="D3495" t="s">
        <v>6</v>
      </c>
      <c r="E3495">
        <v>5.8711690000000001</v>
      </c>
      <c r="F3495">
        <f t="shared" si="108"/>
        <v>-2.6157999999999682E-2</v>
      </c>
      <c r="G3495">
        <f t="shared" si="109"/>
        <v>109.56928071802319</v>
      </c>
    </row>
    <row r="3496" spans="2:7">
      <c r="B3496" t="s">
        <v>2</v>
      </c>
      <c r="C3496" s="2">
        <v>36983</v>
      </c>
      <c r="D3496" t="s">
        <v>6</v>
      </c>
      <c r="E3496">
        <v>5.8973269999999998</v>
      </c>
      <c r="F3496">
        <f t="shared" si="108"/>
        <v>3.5224999999999618E-2</v>
      </c>
      <c r="G3496">
        <f t="shared" si="109"/>
        <v>113.5762981834369</v>
      </c>
    </row>
    <row r="3497" spans="2:7">
      <c r="B3497" t="s">
        <v>2</v>
      </c>
      <c r="C3497" s="2">
        <v>36980</v>
      </c>
      <c r="D3497" t="s">
        <v>6</v>
      </c>
      <c r="E3497">
        <v>5.8621020000000001</v>
      </c>
      <c r="F3497">
        <f t="shared" si="108"/>
        <v>-6.0755999999999588E-2</v>
      </c>
      <c r="G3497">
        <f t="shared" si="109"/>
        <v>117.19877629961164</v>
      </c>
    </row>
    <row r="3498" spans="2:7">
      <c r="B3498" t="s">
        <v>2</v>
      </c>
      <c r="C3498" s="2">
        <v>36979</v>
      </c>
      <c r="D3498" t="s">
        <v>6</v>
      </c>
      <c r="E3498">
        <v>5.9228579999999997</v>
      </c>
      <c r="F3498">
        <f t="shared" si="108"/>
        <v>-1.2151000000000245E-2</v>
      </c>
      <c r="G3498">
        <f t="shared" si="109"/>
        <v>122.48450340704353</v>
      </c>
    </row>
    <row r="3499" spans="2:7">
      <c r="B3499" t="s">
        <v>2</v>
      </c>
      <c r="C3499" s="2">
        <v>36978</v>
      </c>
      <c r="D3499" t="s">
        <v>6</v>
      </c>
      <c r="E3499">
        <v>5.935009</v>
      </c>
      <c r="F3499">
        <f t="shared" si="108"/>
        <v>-1.7899999999997362E-3</v>
      </c>
      <c r="G3499">
        <f t="shared" si="109"/>
        <v>133.53992182161966</v>
      </c>
    </row>
    <row r="3500" spans="2:7">
      <c r="B3500" t="s">
        <v>2</v>
      </c>
      <c r="C3500" s="2">
        <v>36977</v>
      </c>
      <c r="D3500" t="s">
        <v>6</v>
      </c>
      <c r="E3500">
        <v>5.9367989999999997</v>
      </c>
      <c r="F3500">
        <f t="shared" si="108"/>
        <v>0.15547199999999961</v>
      </c>
      <c r="G3500">
        <f t="shared" si="109"/>
        <v>133.55407703112206</v>
      </c>
    </row>
    <row r="3501" spans="2:7">
      <c r="B3501" t="s">
        <v>2</v>
      </c>
      <c r="C3501" s="2">
        <v>36976</v>
      </c>
      <c r="D3501" t="s">
        <v>6</v>
      </c>
      <c r="E3501">
        <v>5.7813270000000001</v>
      </c>
      <c r="F3501">
        <f t="shared" si="108"/>
        <v>5.4581999999999908E-2</v>
      </c>
      <c r="G3501">
        <f t="shared" si="109"/>
        <v>129.70288968988345</v>
      </c>
    </row>
    <row r="3502" spans="2:7">
      <c r="B3502" t="s">
        <v>2</v>
      </c>
      <c r="C3502" s="2">
        <v>36973</v>
      </c>
      <c r="D3502" t="s">
        <v>6</v>
      </c>
      <c r="E3502">
        <v>5.7267450000000002</v>
      </c>
      <c r="F3502">
        <f t="shared" si="108"/>
        <v>9.1498999999999775E-2</v>
      </c>
      <c r="G3502">
        <f t="shared" si="109"/>
        <v>130.44099945446635</v>
      </c>
    </row>
    <row r="3503" spans="2:7">
      <c r="B3503" t="s">
        <v>2</v>
      </c>
      <c r="C3503" s="2">
        <v>36972</v>
      </c>
      <c r="D3503" t="s">
        <v>6</v>
      </c>
      <c r="E3503">
        <v>5.6352460000000004</v>
      </c>
      <c r="F3503">
        <f t="shared" si="108"/>
        <v>-4.4355999999999618E-2</v>
      </c>
      <c r="G3503">
        <f t="shared" si="109"/>
        <v>129.13795804621799</v>
      </c>
    </row>
    <row r="3504" spans="2:7">
      <c r="B3504" t="s">
        <v>2</v>
      </c>
      <c r="C3504" s="2">
        <v>36971</v>
      </c>
      <c r="D3504" t="s">
        <v>6</v>
      </c>
      <c r="E3504">
        <v>5.679602</v>
      </c>
      <c r="F3504">
        <f t="shared" si="108"/>
        <v>-4.2073000000000249E-2</v>
      </c>
      <c r="G3504">
        <f t="shared" si="109"/>
        <v>128.89872679441976</v>
      </c>
    </row>
    <row r="3505" spans="2:7">
      <c r="B3505" t="s">
        <v>2</v>
      </c>
      <c r="C3505" s="2">
        <v>36970</v>
      </c>
      <c r="D3505" t="s">
        <v>6</v>
      </c>
      <c r="E3505">
        <v>5.7216750000000003</v>
      </c>
      <c r="F3505">
        <f t="shared" si="108"/>
        <v>-5.2684999999999427E-2</v>
      </c>
      <c r="G3505">
        <f t="shared" si="109"/>
        <v>128.97189214073578</v>
      </c>
    </row>
    <row r="3506" spans="2:7">
      <c r="B3506" t="s">
        <v>2</v>
      </c>
      <c r="C3506" s="2">
        <v>36969</v>
      </c>
      <c r="D3506" t="s">
        <v>6</v>
      </c>
      <c r="E3506">
        <v>5.7743599999999997</v>
      </c>
      <c r="F3506">
        <f t="shared" si="108"/>
        <v>6.1326999999999465E-2</v>
      </c>
      <c r="G3506">
        <f t="shared" si="109"/>
        <v>130.04187518251641</v>
      </c>
    </row>
    <row r="3507" spans="2:7">
      <c r="B3507" t="s">
        <v>2</v>
      </c>
      <c r="C3507" s="2">
        <v>36966</v>
      </c>
      <c r="D3507" t="s">
        <v>6</v>
      </c>
      <c r="E3507">
        <v>5.7130330000000002</v>
      </c>
      <c r="F3507">
        <f t="shared" si="108"/>
        <v>-6.3954999999999984E-2</v>
      </c>
      <c r="G3507">
        <f t="shared" si="109"/>
        <v>130.24411953578499</v>
      </c>
    </row>
    <row r="3508" spans="2:7">
      <c r="B3508" t="s">
        <v>2</v>
      </c>
      <c r="C3508" s="2">
        <v>36965</v>
      </c>
      <c r="D3508" t="s">
        <v>6</v>
      </c>
      <c r="E3508">
        <v>5.7769880000000002</v>
      </c>
      <c r="F3508">
        <f t="shared" si="108"/>
        <v>-5.1274999999999515E-2</v>
      </c>
      <c r="G3508">
        <f t="shared" si="109"/>
        <v>129.92290549695693</v>
      </c>
    </row>
    <row r="3509" spans="2:7">
      <c r="B3509" t="s">
        <v>2</v>
      </c>
      <c r="C3509" s="2">
        <v>36964</v>
      </c>
      <c r="D3509" t="s">
        <v>6</v>
      </c>
      <c r="E3509">
        <v>5.8282629999999997</v>
      </c>
      <c r="F3509">
        <f t="shared" si="108"/>
        <v>-9.8526999999999809E-2</v>
      </c>
      <c r="G3509">
        <f t="shared" si="109"/>
        <v>129.84612901555502</v>
      </c>
    </row>
    <row r="3510" spans="2:7">
      <c r="B3510" t="s">
        <v>2</v>
      </c>
      <c r="C3510" s="2">
        <v>36963</v>
      </c>
      <c r="D3510" t="s">
        <v>6</v>
      </c>
      <c r="E3510">
        <v>5.9267899999999996</v>
      </c>
      <c r="F3510">
        <f t="shared" si="108"/>
        <v>4.0991E-2</v>
      </c>
      <c r="G3510">
        <f t="shared" si="109"/>
        <v>129.60384100982236</v>
      </c>
    </row>
    <row r="3511" spans="2:7">
      <c r="B3511" t="s">
        <v>2</v>
      </c>
      <c r="C3511" s="2">
        <v>36962</v>
      </c>
      <c r="D3511" t="s">
        <v>6</v>
      </c>
      <c r="E3511">
        <v>5.8857989999999996</v>
      </c>
      <c r="F3511">
        <f t="shared" si="108"/>
        <v>5.5739999999993017E-3</v>
      </c>
      <c r="G3511">
        <f t="shared" si="109"/>
        <v>130.14036597344963</v>
      </c>
    </row>
    <row r="3512" spans="2:7">
      <c r="B3512" t="s">
        <v>2</v>
      </c>
      <c r="C3512" s="2">
        <v>36959</v>
      </c>
      <c r="D3512" t="s">
        <v>6</v>
      </c>
      <c r="E3512">
        <v>5.8802250000000003</v>
      </c>
      <c r="F3512">
        <f t="shared" si="108"/>
        <v>6.993700000000036E-2</v>
      </c>
      <c r="G3512">
        <f t="shared" si="109"/>
        <v>130.11108643204685</v>
      </c>
    </row>
    <row r="3513" spans="2:7">
      <c r="B3513" t="s">
        <v>2</v>
      </c>
      <c r="C3513" s="2">
        <v>36958</v>
      </c>
      <c r="D3513" t="s">
        <v>6</v>
      </c>
      <c r="E3513">
        <v>5.8102879999999999</v>
      </c>
      <c r="F3513">
        <f t="shared" si="108"/>
        <v>-2.6231000000000115E-2</v>
      </c>
      <c r="G3513">
        <f t="shared" si="109"/>
        <v>129.23371778978773</v>
      </c>
    </row>
    <row r="3514" spans="2:7">
      <c r="B3514" t="s">
        <v>2</v>
      </c>
      <c r="C3514" s="2">
        <v>36957</v>
      </c>
      <c r="D3514" t="s">
        <v>6</v>
      </c>
      <c r="E3514">
        <v>5.836519</v>
      </c>
      <c r="F3514">
        <f t="shared" si="108"/>
        <v>-5.6148000000000309E-2</v>
      </c>
      <c r="G3514">
        <f t="shared" si="109"/>
        <v>129.30955306382862</v>
      </c>
    </row>
    <row r="3515" spans="2:7">
      <c r="B3515" t="s">
        <v>2</v>
      </c>
      <c r="C3515" s="2">
        <v>36956</v>
      </c>
      <c r="D3515" t="s">
        <v>6</v>
      </c>
      <c r="E3515">
        <v>5.8926670000000003</v>
      </c>
      <c r="F3515">
        <f t="shared" si="108"/>
        <v>2.3086000000000162E-2</v>
      </c>
      <c r="G3515">
        <f t="shared" si="109"/>
        <v>129.47339772189713</v>
      </c>
    </row>
    <row r="3516" spans="2:7">
      <c r="B3516" t="s">
        <v>2</v>
      </c>
      <c r="C3516" s="2">
        <v>36955</v>
      </c>
      <c r="D3516" t="s">
        <v>6</v>
      </c>
      <c r="E3516">
        <v>5.8695810000000002</v>
      </c>
      <c r="F3516">
        <f t="shared" si="108"/>
        <v>1.7630000000000479E-2</v>
      </c>
      <c r="G3516">
        <f t="shared" si="109"/>
        <v>131.84786113099912</v>
      </c>
    </row>
    <row r="3517" spans="2:7">
      <c r="B3517" t="s">
        <v>2</v>
      </c>
      <c r="C3517" s="2">
        <v>36952</v>
      </c>
      <c r="D3517" t="s">
        <v>6</v>
      </c>
      <c r="E3517">
        <v>5.8519509999999997</v>
      </c>
      <c r="F3517">
        <f t="shared" si="108"/>
        <v>9.6700999999999482E-2</v>
      </c>
      <c r="G3517">
        <f t="shared" si="109"/>
        <v>133.68424047649319</v>
      </c>
    </row>
    <row r="3518" spans="2:7">
      <c r="B3518" t="s">
        <v>2</v>
      </c>
      <c r="C3518" s="2">
        <v>36951</v>
      </c>
      <c r="D3518" t="s">
        <v>6</v>
      </c>
      <c r="E3518">
        <v>5.7552500000000002</v>
      </c>
      <c r="F3518">
        <f t="shared" si="108"/>
        <v>-4.7012999999999749E-2</v>
      </c>
      <c r="G3518">
        <f t="shared" si="109"/>
        <v>131.71728768995214</v>
      </c>
    </row>
    <row r="3519" spans="2:7">
      <c r="B3519" t="s">
        <v>2</v>
      </c>
      <c r="C3519" s="2">
        <v>36950</v>
      </c>
      <c r="D3519" t="s">
        <v>6</v>
      </c>
      <c r="E3519">
        <v>5.8022629999999999</v>
      </c>
      <c r="F3519">
        <f t="shared" si="108"/>
        <v>-9.2621000000000286E-2</v>
      </c>
      <c r="G3519">
        <f t="shared" si="109"/>
        <v>132.07390288376115</v>
      </c>
    </row>
    <row r="3520" spans="2:7">
      <c r="B3520" t="s">
        <v>2</v>
      </c>
      <c r="C3520" s="2">
        <v>36949</v>
      </c>
      <c r="D3520" t="s">
        <v>6</v>
      </c>
      <c r="E3520">
        <v>5.8948840000000002</v>
      </c>
      <c r="F3520">
        <f t="shared" si="108"/>
        <v>-0.11594699999999936</v>
      </c>
      <c r="G3520">
        <f t="shared" si="109"/>
        <v>131.79611955413392</v>
      </c>
    </row>
    <row r="3521" spans="2:7">
      <c r="B3521" t="s">
        <v>2</v>
      </c>
      <c r="C3521" s="2">
        <v>36948</v>
      </c>
      <c r="D3521" t="s">
        <v>6</v>
      </c>
      <c r="E3521">
        <v>6.0108309999999996</v>
      </c>
      <c r="F3521">
        <f t="shared" si="108"/>
        <v>-4.5886000000000315E-2</v>
      </c>
      <c r="G3521">
        <f t="shared" si="109"/>
        <v>130.20037215848913</v>
      </c>
    </row>
    <row r="3522" spans="2:7">
      <c r="B3522" t="s">
        <v>2</v>
      </c>
      <c r="C3522" s="2">
        <v>36945</v>
      </c>
      <c r="D3522" t="s">
        <v>6</v>
      </c>
      <c r="E3522">
        <v>6.0567169999999999</v>
      </c>
      <c r="F3522">
        <f t="shared" si="108"/>
        <v>-3.776600000000041E-2</v>
      </c>
      <c r="G3522">
        <f t="shared" si="109"/>
        <v>130.29883111924562</v>
      </c>
    </row>
    <row r="3523" spans="2:7">
      <c r="B3523" t="s">
        <v>2</v>
      </c>
      <c r="C3523" s="2">
        <v>36944</v>
      </c>
      <c r="D3523" t="s">
        <v>6</v>
      </c>
      <c r="E3523">
        <v>6.0944830000000003</v>
      </c>
      <c r="F3523">
        <f t="shared" ref="F3523:F3586" si="110">E3523-E3524</f>
        <v>2.4420000000000108E-2</v>
      </c>
      <c r="G3523">
        <f t="shared" ref="G3523:G3586" si="111">STDEV(F3523:F3582)*SQRT(250)*100</f>
        <v>130.20239040894529</v>
      </c>
    </row>
    <row r="3524" spans="2:7">
      <c r="B3524" t="s">
        <v>2</v>
      </c>
      <c r="C3524" s="2">
        <v>36943</v>
      </c>
      <c r="D3524" t="s">
        <v>6</v>
      </c>
      <c r="E3524">
        <v>6.0700630000000002</v>
      </c>
      <c r="F3524">
        <f t="shared" si="110"/>
        <v>2.4538999999999866E-2</v>
      </c>
      <c r="G3524">
        <f t="shared" si="111"/>
        <v>130.11230754435559</v>
      </c>
    </row>
    <row r="3525" spans="2:7">
      <c r="B3525" t="s">
        <v>2</v>
      </c>
      <c r="C3525" s="2">
        <v>36942</v>
      </c>
      <c r="D3525" t="s">
        <v>6</v>
      </c>
      <c r="E3525">
        <v>6.0455240000000003</v>
      </c>
      <c r="F3525">
        <f t="shared" si="110"/>
        <v>-6.1700000000000088E-3</v>
      </c>
      <c r="G3525">
        <f t="shared" si="111"/>
        <v>130.08155384887326</v>
      </c>
    </row>
    <row r="3526" spans="2:7">
      <c r="B3526" t="s">
        <v>2</v>
      </c>
      <c r="C3526" s="2">
        <v>36938</v>
      </c>
      <c r="D3526" t="s">
        <v>6</v>
      </c>
      <c r="E3526">
        <v>6.0516940000000004</v>
      </c>
      <c r="F3526">
        <f t="shared" si="110"/>
        <v>-0.11353499999999972</v>
      </c>
      <c r="G3526">
        <f t="shared" si="111"/>
        <v>130.1122303011112</v>
      </c>
    </row>
    <row r="3527" spans="2:7">
      <c r="B3527" t="s">
        <v>2</v>
      </c>
      <c r="C3527" s="2">
        <v>36937</v>
      </c>
      <c r="D3527" t="s">
        <v>6</v>
      </c>
      <c r="E3527">
        <v>6.1652290000000001</v>
      </c>
      <c r="F3527">
        <f t="shared" si="110"/>
        <v>8.0073999999999756E-2</v>
      </c>
      <c r="G3527">
        <f t="shared" si="111"/>
        <v>128.43864202553578</v>
      </c>
    </row>
    <row r="3528" spans="2:7">
      <c r="B3528" t="s">
        <v>2</v>
      </c>
      <c r="C3528" s="2">
        <v>36936</v>
      </c>
      <c r="D3528" t="s">
        <v>6</v>
      </c>
      <c r="E3528">
        <v>6.0851550000000003</v>
      </c>
      <c r="F3528">
        <f t="shared" si="110"/>
        <v>7.103100000000051E-2</v>
      </c>
      <c r="G3528">
        <f t="shared" si="111"/>
        <v>127.36751492274381</v>
      </c>
    </row>
    <row r="3529" spans="2:7">
      <c r="B3529" t="s">
        <v>2</v>
      </c>
      <c r="C3529" s="2">
        <v>36935</v>
      </c>
      <c r="D3529" t="s">
        <v>6</v>
      </c>
      <c r="E3529">
        <v>6.0141239999999998</v>
      </c>
      <c r="F3529">
        <f t="shared" si="110"/>
        <v>3.4209999999999852E-2</v>
      </c>
      <c r="G3529">
        <f t="shared" si="111"/>
        <v>126.26452166132982</v>
      </c>
    </row>
    <row r="3530" spans="2:7">
      <c r="B3530" t="s">
        <v>2</v>
      </c>
      <c r="C3530" s="2">
        <v>36934</v>
      </c>
      <c r="D3530" t="s">
        <v>6</v>
      </c>
      <c r="E3530">
        <v>5.979914</v>
      </c>
      <c r="F3530">
        <f t="shared" si="110"/>
        <v>2.0252000000000159E-2</v>
      </c>
      <c r="G3530">
        <f t="shared" si="111"/>
        <v>126.03572933094438</v>
      </c>
    </row>
    <row r="3531" spans="2:7">
      <c r="B3531" t="s">
        <v>2</v>
      </c>
      <c r="C3531" s="2">
        <v>36931</v>
      </c>
      <c r="D3531" t="s">
        <v>6</v>
      </c>
      <c r="E3531">
        <v>5.9596619999999998</v>
      </c>
      <c r="F3531">
        <f t="shared" si="110"/>
        <v>-8.2056000000000573E-2</v>
      </c>
      <c r="G3531">
        <f t="shared" si="111"/>
        <v>125.82364792253169</v>
      </c>
    </row>
    <row r="3532" spans="2:7">
      <c r="B3532" t="s">
        <v>2</v>
      </c>
      <c r="C3532" s="2">
        <v>36930</v>
      </c>
      <c r="D3532" t="s">
        <v>6</v>
      </c>
      <c r="E3532">
        <v>6.0417180000000004</v>
      </c>
      <c r="F3532">
        <f t="shared" si="110"/>
        <v>1.4549000000000589E-2</v>
      </c>
      <c r="G3532">
        <f t="shared" si="111"/>
        <v>125.14311294663358</v>
      </c>
    </row>
    <row r="3533" spans="2:7">
      <c r="B3533" t="s">
        <v>2</v>
      </c>
      <c r="C3533" s="2">
        <v>36929</v>
      </c>
      <c r="D3533" t="s">
        <v>6</v>
      </c>
      <c r="E3533">
        <v>6.0271689999999998</v>
      </c>
      <c r="F3533">
        <f t="shared" si="110"/>
        <v>-4.4982000000000077E-2</v>
      </c>
      <c r="G3533">
        <f t="shared" si="111"/>
        <v>125.07618955230062</v>
      </c>
    </row>
    <row r="3534" spans="2:7">
      <c r="B3534" t="s">
        <v>2</v>
      </c>
      <c r="C3534" s="2">
        <v>36928</v>
      </c>
      <c r="D3534" t="s">
        <v>6</v>
      </c>
      <c r="E3534">
        <v>6.0721509999999999</v>
      </c>
      <c r="F3534">
        <f t="shared" si="110"/>
        <v>6.0590999999999617E-2</v>
      </c>
      <c r="G3534">
        <f t="shared" si="111"/>
        <v>125.04454849059807</v>
      </c>
    </row>
    <row r="3535" spans="2:7">
      <c r="B3535" t="s">
        <v>2</v>
      </c>
      <c r="C3535" s="2">
        <v>36927</v>
      </c>
      <c r="D3535" t="s">
        <v>6</v>
      </c>
      <c r="E3535">
        <v>6.0115600000000002</v>
      </c>
      <c r="F3535">
        <f t="shared" si="110"/>
        <v>2.1695000000000242E-2</v>
      </c>
      <c r="G3535">
        <f t="shared" si="111"/>
        <v>124.10769856902061</v>
      </c>
    </row>
    <row r="3536" spans="2:7">
      <c r="B3536" t="s">
        <v>2</v>
      </c>
      <c r="C3536" s="2">
        <v>36924</v>
      </c>
      <c r="D3536" t="s">
        <v>6</v>
      </c>
      <c r="E3536">
        <v>5.989865</v>
      </c>
      <c r="F3536">
        <f t="shared" si="110"/>
        <v>0.11598600000000037</v>
      </c>
      <c r="G3536">
        <f t="shared" si="111"/>
        <v>123.92714408955008</v>
      </c>
    </row>
    <row r="3537" spans="2:7">
      <c r="B3537" t="s">
        <v>2</v>
      </c>
      <c r="C3537" s="2">
        <v>36923</v>
      </c>
      <c r="D3537" t="s">
        <v>6</v>
      </c>
      <c r="E3537">
        <v>5.8738789999999996</v>
      </c>
      <c r="F3537">
        <f t="shared" si="110"/>
        <v>-9.2809000000000808E-2</v>
      </c>
      <c r="G3537">
        <f t="shared" si="111"/>
        <v>121.60558309275862</v>
      </c>
    </row>
    <row r="3538" spans="2:7">
      <c r="B3538" t="s">
        <v>2</v>
      </c>
      <c r="C3538" s="2">
        <v>36922</v>
      </c>
      <c r="D3538" t="s">
        <v>6</v>
      </c>
      <c r="E3538">
        <v>5.9666880000000004</v>
      </c>
      <c r="F3538">
        <f t="shared" si="110"/>
        <v>-9.3531999999999726E-2</v>
      </c>
      <c r="G3538">
        <f t="shared" si="111"/>
        <v>122.12720147740504</v>
      </c>
    </row>
    <row r="3539" spans="2:7">
      <c r="B3539" t="s">
        <v>2</v>
      </c>
      <c r="C3539" s="2">
        <v>36921</v>
      </c>
      <c r="D3539" t="s">
        <v>6</v>
      </c>
      <c r="E3539">
        <v>6.0602200000000002</v>
      </c>
      <c r="F3539">
        <f t="shared" si="110"/>
        <v>-9.8144999999999705E-2</v>
      </c>
      <c r="G3539">
        <f t="shared" si="111"/>
        <v>121.04572513152138</v>
      </c>
    </row>
    <row r="3540" spans="2:7">
      <c r="B3540" t="s">
        <v>2</v>
      </c>
      <c r="C3540" s="2">
        <v>36920</v>
      </c>
      <c r="D3540" t="s">
        <v>6</v>
      </c>
      <c r="E3540">
        <v>6.1583649999999999</v>
      </c>
      <c r="F3540">
        <f t="shared" si="110"/>
        <v>2.0599999999999952E-2</v>
      </c>
      <c r="G3540">
        <f t="shared" si="111"/>
        <v>119.91477657358203</v>
      </c>
    </row>
    <row r="3541" spans="2:7">
      <c r="B3541" t="s">
        <v>2</v>
      </c>
      <c r="C3541" s="2">
        <v>36917</v>
      </c>
      <c r="D3541" t="s">
        <v>6</v>
      </c>
      <c r="E3541">
        <v>6.1377649999999999</v>
      </c>
      <c r="F3541">
        <f t="shared" si="110"/>
        <v>-1.9771999999999679E-2</v>
      </c>
      <c r="G3541">
        <f t="shared" si="111"/>
        <v>119.93377554871714</v>
      </c>
    </row>
    <row r="3542" spans="2:7">
      <c r="B3542" t="s">
        <v>2</v>
      </c>
      <c r="C3542" s="2">
        <v>36916</v>
      </c>
      <c r="D3542" t="s">
        <v>6</v>
      </c>
      <c r="E3542">
        <v>6.1575369999999996</v>
      </c>
      <c r="F3542">
        <f t="shared" si="110"/>
        <v>-5.3149000000000335E-2</v>
      </c>
      <c r="G3542">
        <f t="shared" si="111"/>
        <v>119.95772504762247</v>
      </c>
    </row>
    <row r="3543" spans="2:7">
      <c r="B3543" t="s">
        <v>2</v>
      </c>
      <c r="C3543" s="2">
        <v>36915</v>
      </c>
      <c r="D3543" t="s">
        <v>6</v>
      </c>
      <c r="E3543">
        <v>6.2106859999999999</v>
      </c>
      <c r="F3543">
        <f t="shared" si="110"/>
        <v>6.1619999999997788E-3</v>
      </c>
      <c r="G3543">
        <f t="shared" si="111"/>
        <v>120.25290317700983</v>
      </c>
    </row>
    <row r="3544" spans="2:7">
      <c r="B3544" t="s">
        <v>2</v>
      </c>
      <c r="C3544" s="2">
        <v>36914</v>
      </c>
      <c r="D3544" t="s">
        <v>6</v>
      </c>
      <c r="E3544">
        <v>6.2045240000000002</v>
      </c>
      <c r="F3544">
        <f t="shared" si="110"/>
        <v>7.4904000000000082E-2</v>
      </c>
      <c r="G3544">
        <f t="shared" si="111"/>
        <v>120.35267676459864</v>
      </c>
    </row>
    <row r="3545" spans="2:7">
      <c r="B3545" t="s">
        <v>2</v>
      </c>
      <c r="C3545" s="2">
        <v>36913</v>
      </c>
      <c r="D3545" t="s">
        <v>6</v>
      </c>
      <c r="E3545">
        <v>6.1296200000000001</v>
      </c>
      <c r="F3545">
        <f t="shared" si="110"/>
        <v>6.6711999999999883E-2</v>
      </c>
      <c r="G3545">
        <f t="shared" si="111"/>
        <v>119.58235435042586</v>
      </c>
    </row>
    <row r="3546" spans="2:7">
      <c r="B3546" t="s">
        <v>2</v>
      </c>
      <c r="C3546" s="2">
        <v>36910</v>
      </c>
      <c r="D3546" t="s">
        <v>6</v>
      </c>
      <c r="E3546">
        <v>6.0629080000000002</v>
      </c>
      <c r="F3546">
        <f t="shared" si="110"/>
        <v>8.5004000000000524E-2</v>
      </c>
      <c r="G3546">
        <f t="shared" si="111"/>
        <v>118.92285642131183</v>
      </c>
    </row>
    <row r="3547" spans="2:7">
      <c r="B3547" t="s">
        <v>2</v>
      </c>
      <c r="C3547" s="2">
        <v>36909</v>
      </c>
      <c r="D3547" t="s">
        <v>6</v>
      </c>
      <c r="E3547">
        <v>5.9779039999999997</v>
      </c>
      <c r="F3547">
        <f t="shared" si="110"/>
        <v>-8.3931000000000644E-2</v>
      </c>
      <c r="G3547">
        <f t="shared" si="111"/>
        <v>117.64370779591972</v>
      </c>
    </row>
    <row r="3548" spans="2:7">
      <c r="B3548" t="s">
        <v>2</v>
      </c>
      <c r="C3548" s="2">
        <v>36908</v>
      </c>
      <c r="D3548" t="s">
        <v>6</v>
      </c>
      <c r="E3548">
        <v>6.0618350000000003</v>
      </c>
      <c r="F3548">
        <f t="shared" si="110"/>
        <v>-8.5971999999999937E-2</v>
      </c>
      <c r="G3548">
        <f t="shared" si="111"/>
        <v>116.79217732521469</v>
      </c>
    </row>
    <row r="3549" spans="2:7">
      <c r="B3549" t="s">
        <v>2</v>
      </c>
      <c r="C3549" s="2">
        <v>36907</v>
      </c>
      <c r="D3549" t="s">
        <v>6</v>
      </c>
      <c r="E3549">
        <v>6.1478070000000002</v>
      </c>
      <c r="F3549">
        <f t="shared" si="110"/>
        <v>9.3459999999998544E-3</v>
      </c>
      <c r="G3549">
        <f t="shared" si="111"/>
        <v>116.03876123372818</v>
      </c>
    </row>
    <row r="3550" spans="2:7">
      <c r="B3550" t="s">
        <v>2</v>
      </c>
      <c r="C3550" s="2">
        <v>36903</v>
      </c>
      <c r="D3550" t="s">
        <v>6</v>
      </c>
      <c r="E3550">
        <v>6.1384610000000004</v>
      </c>
      <c r="F3550">
        <f t="shared" si="110"/>
        <v>0.13633500000000076</v>
      </c>
      <c r="G3550">
        <f t="shared" si="111"/>
        <v>115.95709383672308</v>
      </c>
    </row>
    <row r="3551" spans="2:7">
      <c r="B3551" t="s">
        <v>2</v>
      </c>
      <c r="C3551" s="2">
        <v>36902</v>
      </c>
      <c r="D3551" t="s">
        <v>6</v>
      </c>
      <c r="E3551">
        <v>6.0021259999999996</v>
      </c>
      <c r="F3551">
        <f t="shared" si="110"/>
        <v>4.9108999999999625E-2</v>
      </c>
      <c r="G3551">
        <f t="shared" si="111"/>
        <v>112.30273000547935</v>
      </c>
    </row>
    <row r="3552" spans="2:7">
      <c r="B3552" t="s">
        <v>2</v>
      </c>
      <c r="C3552" s="2">
        <v>36901</v>
      </c>
      <c r="D3552" t="s">
        <v>6</v>
      </c>
      <c r="E3552">
        <v>5.953017</v>
      </c>
      <c r="F3552">
        <f t="shared" si="110"/>
        <v>0.14932600000000029</v>
      </c>
      <c r="G3552">
        <f t="shared" si="111"/>
        <v>111.58423915227485</v>
      </c>
    </row>
    <row r="3553" spans="2:7">
      <c r="B3553" t="s">
        <v>2</v>
      </c>
      <c r="C3553" s="2">
        <v>36900</v>
      </c>
      <c r="D3553" t="s">
        <v>6</v>
      </c>
      <c r="E3553">
        <v>5.8036909999999997</v>
      </c>
      <c r="F3553">
        <f t="shared" si="110"/>
        <v>7.006299999999932E-2</v>
      </c>
      <c r="G3553">
        <f t="shared" si="111"/>
        <v>106.16557353129159</v>
      </c>
    </row>
    <row r="3554" spans="2:7">
      <c r="B3554" t="s">
        <v>2</v>
      </c>
      <c r="C3554" s="2">
        <v>36899</v>
      </c>
      <c r="D3554" t="s">
        <v>6</v>
      </c>
      <c r="E3554">
        <v>5.7336280000000004</v>
      </c>
      <c r="F3554">
        <f t="shared" si="110"/>
        <v>-5.1406999999999314E-2</v>
      </c>
      <c r="G3554">
        <f t="shared" si="111"/>
        <v>104.57610957194463</v>
      </c>
    </row>
    <row r="3555" spans="2:7">
      <c r="B3555" t="s">
        <v>2</v>
      </c>
      <c r="C3555" s="2">
        <v>36896</v>
      </c>
      <c r="D3555" t="s">
        <v>6</v>
      </c>
      <c r="E3555">
        <v>5.7850349999999997</v>
      </c>
      <c r="F3555">
        <f t="shared" si="110"/>
        <v>-0.14725100000000069</v>
      </c>
      <c r="G3555">
        <f t="shared" si="111"/>
        <v>104.38156184731918</v>
      </c>
    </row>
    <row r="3556" spans="2:7">
      <c r="B3556" t="s">
        <v>2</v>
      </c>
      <c r="C3556" s="2">
        <v>36895</v>
      </c>
      <c r="D3556" t="s">
        <v>6</v>
      </c>
      <c r="E3556">
        <v>5.9322860000000004</v>
      </c>
      <c r="F3556">
        <f t="shared" si="110"/>
        <v>-0.14744099999999971</v>
      </c>
      <c r="G3556">
        <f t="shared" si="111"/>
        <v>101.18872387666231</v>
      </c>
    </row>
    <row r="3557" spans="2:7">
      <c r="B3557" t="s">
        <v>2</v>
      </c>
      <c r="C3557" s="2">
        <v>36894</v>
      </c>
      <c r="D3557" t="s">
        <v>6</v>
      </c>
      <c r="E3557">
        <v>6.0797270000000001</v>
      </c>
      <c r="F3557">
        <f t="shared" si="110"/>
        <v>0.18113699999999966</v>
      </c>
      <c r="G3557">
        <f t="shared" si="111"/>
        <v>97.525321793257973</v>
      </c>
    </row>
    <row r="3558" spans="2:7">
      <c r="B3558" t="s">
        <v>2</v>
      </c>
      <c r="C3558" s="2">
        <v>36893</v>
      </c>
      <c r="D3558" t="s">
        <v>6</v>
      </c>
      <c r="E3558">
        <v>5.8985900000000004</v>
      </c>
      <c r="F3558">
        <f t="shared" si="110"/>
        <v>-0.26033099999999987</v>
      </c>
      <c r="G3558">
        <f t="shared" si="111"/>
        <v>88.628090605904632</v>
      </c>
    </row>
    <row r="3559" spans="2:7">
      <c r="B3559" t="s">
        <v>2</v>
      </c>
      <c r="C3559" s="2">
        <v>36889</v>
      </c>
      <c r="D3559" t="s">
        <v>6</v>
      </c>
      <c r="E3559">
        <v>6.1589210000000003</v>
      </c>
      <c r="F3559">
        <f t="shared" si="110"/>
        <v>-1.3492999999999533E-2</v>
      </c>
      <c r="G3559">
        <f t="shared" si="111"/>
        <v>74.243583546795833</v>
      </c>
    </row>
    <row r="3560" spans="2:7">
      <c r="B3560" t="s">
        <v>2</v>
      </c>
      <c r="C3560" s="2">
        <v>36888</v>
      </c>
      <c r="D3560" t="s">
        <v>6</v>
      </c>
      <c r="E3560">
        <v>6.1724139999999998</v>
      </c>
      <c r="F3560">
        <f t="shared" si="110"/>
        <v>3.7463999999999942E-2</v>
      </c>
      <c r="G3560">
        <f t="shared" si="111"/>
        <v>75.064870378605974</v>
      </c>
    </row>
    <row r="3561" spans="2:7">
      <c r="B3561" t="s">
        <v>2</v>
      </c>
      <c r="C3561" s="2">
        <v>36887</v>
      </c>
      <c r="D3561" t="s">
        <v>6</v>
      </c>
      <c r="E3561">
        <v>6.1349499999999999</v>
      </c>
      <c r="F3561">
        <f t="shared" si="110"/>
        <v>8.4681999999999924E-2</v>
      </c>
      <c r="G3561">
        <f t="shared" si="111"/>
        <v>74.383758508529411</v>
      </c>
    </row>
    <row r="3562" spans="2:7">
      <c r="B3562" t="s">
        <v>2</v>
      </c>
      <c r="C3562" s="2">
        <v>36886</v>
      </c>
      <c r="D3562" t="s">
        <v>6</v>
      </c>
      <c r="E3562">
        <v>6.050268</v>
      </c>
      <c r="F3562">
        <f t="shared" si="110"/>
        <v>3.2853000000000243E-2</v>
      </c>
      <c r="G3562">
        <f t="shared" si="111"/>
        <v>71.642018823287415</v>
      </c>
    </row>
    <row r="3563" spans="2:7">
      <c r="B3563" t="s">
        <v>2</v>
      </c>
      <c r="C3563" s="2">
        <v>36882</v>
      </c>
      <c r="D3563" t="s">
        <v>6</v>
      </c>
      <c r="E3563">
        <v>6.0174149999999997</v>
      </c>
      <c r="F3563">
        <f t="shared" si="110"/>
        <v>-9.0080000000005711E-3</v>
      </c>
      <c r="G3563">
        <f t="shared" si="111"/>
        <v>70.986976561884902</v>
      </c>
    </row>
    <row r="3564" spans="2:7">
      <c r="B3564" t="s">
        <v>2</v>
      </c>
      <c r="C3564" s="2">
        <v>36881</v>
      </c>
      <c r="D3564" t="s">
        <v>6</v>
      </c>
      <c r="E3564">
        <v>6.0264230000000003</v>
      </c>
      <c r="F3564">
        <f t="shared" si="110"/>
        <v>-4.7767999999999589E-2</v>
      </c>
      <c r="G3564">
        <f t="shared" si="111"/>
        <v>71.22507971956658</v>
      </c>
    </row>
    <row r="3565" spans="2:7">
      <c r="B3565" t="s">
        <v>2</v>
      </c>
      <c r="C3565" s="2">
        <v>36880</v>
      </c>
      <c r="D3565" t="s">
        <v>6</v>
      </c>
      <c r="E3565">
        <v>6.0741909999999999</v>
      </c>
      <c r="F3565">
        <f t="shared" si="110"/>
        <v>-9.9514000000000102E-2</v>
      </c>
      <c r="G3565">
        <f t="shared" si="111"/>
        <v>70.939746900182868</v>
      </c>
    </row>
    <row r="3566" spans="2:7">
      <c r="B3566" t="s">
        <v>2</v>
      </c>
      <c r="C3566" s="2">
        <v>36879</v>
      </c>
      <c r="D3566" t="s">
        <v>6</v>
      </c>
      <c r="E3566">
        <v>6.173705</v>
      </c>
      <c r="F3566">
        <f t="shared" si="110"/>
        <v>6.992900000000013E-2</v>
      </c>
      <c r="G3566">
        <f t="shared" si="111"/>
        <v>68.743534556894829</v>
      </c>
    </row>
    <row r="3567" spans="2:7">
      <c r="B3567" t="s">
        <v>2</v>
      </c>
      <c r="C3567" s="2">
        <v>36878</v>
      </c>
      <c r="D3567" t="s">
        <v>6</v>
      </c>
      <c r="E3567">
        <v>6.1037759999999999</v>
      </c>
      <c r="F3567">
        <f t="shared" si="110"/>
        <v>-4.3046000000000362E-2</v>
      </c>
      <c r="G3567">
        <f t="shared" si="111"/>
        <v>66.805615754819925</v>
      </c>
    </row>
    <row r="3568" spans="2:7">
      <c r="B3568" t="s">
        <v>2</v>
      </c>
      <c r="C3568" s="2">
        <v>36875</v>
      </c>
      <c r="D3568" t="s">
        <v>6</v>
      </c>
      <c r="E3568">
        <v>6.1468220000000002</v>
      </c>
      <c r="F3568">
        <f t="shared" si="110"/>
        <v>-4.5721999999999596E-2</v>
      </c>
      <c r="G3568">
        <f t="shared" si="111"/>
        <v>66.737404379753514</v>
      </c>
    </row>
    <row r="3569" spans="2:7">
      <c r="B3569" t="s">
        <v>2</v>
      </c>
      <c r="C3569" s="2">
        <v>36874</v>
      </c>
      <c r="D3569" t="s">
        <v>6</v>
      </c>
      <c r="E3569">
        <v>6.1925439999999998</v>
      </c>
      <c r="F3569">
        <f t="shared" si="110"/>
        <v>-9.0129000000000126E-2</v>
      </c>
      <c r="G3569">
        <f t="shared" si="111"/>
        <v>67.2823864095446</v>
      </c>
    </row>
    <row r="3570" spans="2:7">
      <c r="B3570" t="s">
        <v>2</v>
      </c>
      <c r="C3570" s="2">
        <v>36873</v>
      </c>
      <c r="D3570" t="s">
        <v>6</v>
      </c>
      <c r="E3570">
        <v>6.282673</v>
      </c>
      <c r="F3570">
        <f t="shared" si="110"/>
        <v>-8.1704000000000221E-2</v>
      </c>
      <c r="G3570">
        <f t="shared" si="111"/>
        <v>65.560116518399099</v>
      </c>
    </row>
    <row r="3571" spans="2:7">
      <c r="B3571" t="s">
        <v>2</v>
      </c>
      <c r="C3571" s="2">
        <v>36872</v>
      </c>
      <c r="D3571" t="s">
        <v>6</v>
      </c>
      <c r="E3571">
        <v>6.3643770000000002</v>
      </c>
      <c r="F3571">
        <f t="shared" si="110"/>
        <v>-5.5589999999998696E-3</v>
      </c>
      <c r="G3571">
        <f t="shared" si="111"/>
        <v>64.03364022183429</v>
      </c>
    </row>
    <row r="3572" spans="2:7">
      <c r="B3572" t="s">
        <v>2</v>
      </c>
      <c r="C3572" s="2">
        <v>36871</v>
      </c>
      <c r="D3572" t="s">
        <v>6</v>
      </c>
      <c r="E3572">
        <v>6.369936</v>
      </c>
      <c r="F3572">
        <f t="shared" si="110"/>
        <v>1.9617000000000218E-2</v>
      </c>
      <c r="G3572">
        <f t="shared" si="111"/>
        <v>64.101088339534812</v>
      </c>
    </row>
    <row r="3573" spans="2:7">
      <c r="B3573" t="s">
        <v>2</v>
      </c>
      <c r="C3573" s="2">
        <v>36868</v>
      </c>
      <c r="D3573" t="s">
        <v>6</v>
      </c>
      <c r="E3573">
        <v>6.3503189999999998</v>
      </c>
      <c r="F3573">
        <f t="shared" si="110"/>
        <v>1.9177E-2</v>
      </c>
      <c r="G3573">
        <f t="shared" si="111"/>
        <v>64.813865806229089</v>
      </c>
    </row>
    <row r="3574" spans="2:7">
      <c r="B3574" t="s">
        <v>2</v>
      </c>
      <c r="C3574" s="2">
        <v>36867</v>
      </c>
      <c r="D3574" t="s">
        <v>6</v>
      </c>
      <c r="E3574">
        <v>6.3311419999999998</v>
      </c>
      <c r="F3574">
        <f t="shared" si="110"/>
        <v>-6.5662999999999805E-2</v>
      </c>
      <c r="G3574">
        <f t="shared" si="111"/>
        <v>65.113949641864494</v>
      </c>
    </row>
    <row r="3575" spans="2:7">
      <c r="B3575" t="s">
        <v>2</v>
      </c>
      <c r="C3575" s="2">
        <v>36866</v>
      </c>
      <c r="D3575" t="s">
        <v>6</v>
      </c>
      <c r="E3575">
        <v>6.3968049999999996</v>
      </c>
      <c r="F3575">
        <f t="shared" si="110"/>
        <v>-0.13510000000000044</v>
      </c>
      <c r="G3575">
        <f t="shared" si="111"/>
        <v>64.199783554732988</v>
      </c>
    </row>
    <row r="3576" spans="2:7">
      <c r="B3576" t="s">
        <v>2</v>
      </c>
      <c r="C3576" s="2">
        <v>36865</v>
      </c>
      <c r="D3576" t="s">
        <v>6</v>
      </c>
      <c r="E3576">
        <v>6.5319050000000001</v>
      </c>
      <c r="F3576">
        <f t="shared" si="110"/>
        <v>-0.12356400000000001</v>
      </c>
      <c r="G3576">
        <f t="shared" si="111"/>
        <v>58.850997676328966</v>
      </c>
    </row>
    <row r="3577" spans="2:7">
      <c r="B3577" t="s">
        <v>2</v>
      </c>
      <c r="C3577" s="2">
        <v>36864</v>
      </c>
      <c r="D3577" t="s">
        <v>6</v>
      </c>
      <c r="E3577">
        <v>6.6554690000000001</v>
      </c>
      <c r="F3577">
        <f t="shared" si="110"/>
        <v>-1.2801999999999758E-2</v>
      </c>
      <c r="G3577">
        <f t="shared" si="111"/>
        <v>53.758922503315652</v>
      </c>
    </row>
    <row r="3578" spans="2:7">
      <c r="B3578" t="s">
        <v>2</v>
      </c>
      <c r="C3578" s="2">
        <v>36861</v>
      </c>
      <c r="D3578" t="s">
        <v>6</v>
      </c>
      <c r="E3578">
        <v>6.6682709999999998</v>
      </c>
      <c r="F3578">
        <f t="shared" si="110"/>
        <v>4.2796000000000056E-2</v>
      </c>
      <c r="G3578">
        <f t="shared" si="111"/>
        <v>54.654983299218372</v>
      </c>
    </row>
    <row r="3579" spans="2:7">
      <c r="B3579" t="s">
        <v>2</v>
      </c>
      <c r="C3579" s="2">
        <v>36860</v>
      </c>
      <c r="D3579" t="s">
        <v>6</v>
      </c>
      <c r="E3579">
        <v>6.6254749999999998</v>
      </c>
      <c r="F3579">
        <f t="shared" si="110"/>
        <v>-8.0785999999999802E-2</v>
      </c>
      <c r="G3579">
        <f t="shared" si="111"/>
        <v>54.956529337640745</v>
      </c>
    </row>
    <row r="3580" spans="2:7">
      <c r="B3580" t="s">
        <v>2</v>
      </c>
      <c r="C3580" s="2">
        <v>36859</v>
      </c>
      <c r="D3580" t="s">
        <v>6</v>
      </c>
      <c r="E3580">
        <v>6.7062609999999996</v>
      </c>
      <c r="F3580">
        <f t="shared" si="110"/>
        <v>-4.0342000000000766E-2</v>
      </c>
      <c r="G3580">
        <f t="shared" si="111"/>
        <v>52.756362070246951</v>
      </c>
    </row>
    <row r="3581" spans="2:7">
      <c r="B3581" t="s">
        <v>2</v>
      </c>
      <c r="C3581" s="2">
        <v>36858</v>
      </c>
      <c r="D3581" t="s">
        <v>6</v>
      </c>
      <c r="E3581">
        <v>6.7466030000000003</v>
      </c>
      <c r="F3581">
        <f t="shared" si="110"/>
        <v>-5.3938999999999737E-2</v>
      </c>
      <c r="G3581">
        <f t="shared" si="111"/>
        <v>54.742451565009752</v>
      </c>
    </row>
    <row r="3582" spans="2:7">
      <c r="B3582" t="s">
        <v>2</v>
      </c>
      <c r="C3582" s="2">
        <v>36857</v>
      </c>
      <c r="D3582" t="s">
        <v>6</v>
      </c>
      <c r="E3582">
        <v>6.8005420000000001</v>
      </c>
      <c r="F3582">
        <f t="shared" si="110"/>
        <v>-4.0529999999998623E-3</v>
      </c>
      <c r="G3582">
        <f t="shared" si="111"/>
        <v>56.001144077649286</v>
      </c>
    </row>
    <row r="3583" spans="2:7">
      <c r="B3583" t="s">
        <v>2</v>
      </c>
      <c r="C3583" s="2">
        <v>36854</v>
      </c>
      <c r="D3583" t="s">
        <v>6</v>
      </c>
      <c r="E3583">
        <v>6.8045949999999999</v>
      </c>
      <c r="F3583">
        <f t="shared" si="110"/>
        <v>1.5773999999999511E-2</v>
      </c>
      <c r="G3583">
        <f t="shared" si="111"/>
        <v>56.111560342045841</v>
      </c>
    </row>
    <row r="3584" spans="2:7">
      <c r="B3584" t="s">
        <v>2</v>
      </c>
      <c r="C3584" s="2">
        <v>36852</v>
      </c>
      <c r="D3584" t="s">
        <v>6</v>
      </c>
      <c r="E3584">
        <v>6.7888210000000004</v>
      </c>
      <c r="F3584">
        <f t="shared" si="110"/>
        <v>-4.7052999999999123E-2</v>
      </c>
      <c r="G3584">
        <f t="shared" si="111"/>
        <v>57.038930496138761</v>
      </c>
    </row>
    <row r="3585" spans="2:7">
      <c r="B3585" t="s">
        <v>2</v>
      </c>
      <c r="C3585" s="2">
        <v>36851</v>
      </c>
      <c r="D3585" t="s">
        <v>6</v>
      </c>
      <c r="E3585">
        <v>6.8358739999999996</v>
      </c>
      <c r="F3585">
        <f t="shared" si="110"/>
        <v>2.2739999999998872E-3</v>
      </c>
      <c r="G3585">
        <f t="shared" si="111"/>
        <v>57.322441616161704</v>
      </c>
    </row>
    <row r="3586" spans="2:7">
      <c r="B3586" t="s">
        <v>2</v>
      </c>
      <c r="C3586" s="2">
        <v>36850</v>
      </c>
      <c r="D3586" t="s">
        <v>6</v>
      </c>
      <c r="E3586">
        <v>6.8335999999999997</v>
      </c>
      <c r="F3586">
        <f t="shared" si="110"/>
        <v>-3.5040000000003957E-3</v>
      </c>
      <c r="G3586">
        <f t="shared" si="111"/>
        <v>57.317083683194461</v>
      </c>
    </row>
    <row r="3587" spans="2:7">
      <c r="B3587" t="s">
        <v>2</v>
      </c>
      <c r="C3587" s="2">
        <v>36847</v>
      </c>
      <c r="D3587" t="s">
        <v>6</v>
      </c>
      <c r="E3587">
        <v>6.8371040000000001</v>
      </c>
      <c r="F3587">
        <f t="shared" ref="F3587:F3650" si="112">E3587-E3588</f>
        <v>3.2414000000000165E-2</v>
      </c>
      <c r="G3587">
        <f t="shared" ref="G3587:G3650" si="113">STDEV(F3587:F3646)*SQRT(250)*100</f>
        <v>57.463810721026064</v>
      </c>
    </row>
    <row r="3588" spans="2:7">
      <c r="B3588" t="s">
        <v>2</v>
      </c>
      <c r="C3588" s="2">
        <v>36846</v>
      </c>
      <c r="D3588" t="s">
        <v>6</v>
      </c>
      <c r="E3588">
        <v>6.8046899999999999</v>
      </c>
      <c r="F3588">
        <f t="shared" si="112"/>
        <v>-3.3756000000000341E-2</v>
      </c>
      <c r="G3588">
        <f t="shared" si="113"/>
        <v>57.874346356517904</v>
      </c>
    </row>
    <row r="3589" spans="2:7">
      <c r="B3589" t="s">
        <v>2</v>
      </c>
      <c r="C3589" s="2">
        <v>36845</v>
      </c>
      <c r="D3589" t="s">
        <v>6</v>
      </c>
      <c r="E3589">
        <v>6.8384460000000002</v>
      </c>
      <c r="F3589">
        <f t="shared" si="112"/>
        <v>-4.6051999999999538E-2</v>
      </c>
      <c r="G3589">
        <f t="shared" si="113"/>
        <v>57.592497198476167</v>
      </c>
    </row>
    <row r="3590" spans="2:7">
      <c r="B3590" t="s">
        <v>2</v>
      </c>
      <c r="C3590" s="2">
        <v>36844</v>
      </c>
      <c r="D3590" t="s">
        <v>6</v>
      </c>
      <c r="E3590">
        <v>6.8844979999999998</v>
      </c>
      <c r="F3590">
        <f t="shared" si="112"/>
        <v>-1.2706999999999802E-2</v>
      </c>
      <c r="G3590">
        <f t="shared" si="113"/>
        <v>57.029002357928974</v>
      </c>
    </row>
    <row r="3591" spans="2:7">
      <c r="B3591" t="s">
        <v>2</v>
      </c>
      <c r="C3591" s="2">
        <v>36843</v>
      </c>
      <c r="D3591" t="s">
        <v>6</v>
      </c>
      <c r="E3591">
        <v>6.8972049999999996</v>
      </c>
      <c r="F3591">
        <f t="shared" si="112"/>
        <v>-3.6059999999999981E-2</v>
      </c>
      <c r="G3591">
        <f t="shared" si="113"/>
        <v>57.117995518414823</v>
      </c>
    </row>
    <row r="3592" spans="2:7">
      <c r="B3592" t="s">
        <v>2</v>
      </c>
      <c r="C3592" s="2">
        <v>36840</v>
      </c>
      <c r="D3592" t="s">
        <v>6</v>
      </c>
      <c r="E3592">
        <v>6.9332649999999996</v>
      </c>
      <c r="F3592">
        <f t="shared" si="112"/>
        <v>6.8349999999997024E-3</v>
      </c>
      <c r="G3592">
        <f t="shared" si="113"/>
        <v>56.704400355260844</v>
      </c>
    </row>
    <row r="3593" spans="2:7">
      <c r="B3593" t="s">
        <v>2</v>
      </c>
      <c r="C3593" s="2">
        <v>36839</v>
      </c>
      <c r="D3593" t="s">
        <v>6</v>
      </c>
      <c r="E3593">
        <v>6.9264299999999999</v>
      </c>
      <c r="F3593">
        <f t="shared" si="112"/>
        <v>-4.1691000000000145E-2</v>
      </c>
      <c r="G3593">
        <f t="shared" si="113"/>
        <v>56.85729603016285</v>
      </c>
    </row>
    <row r="3594" spans="2:7">
      <c r="B3594" t="s">
        <v>2</v>
      </c>
      <c r="C3594" s="2">
        <v>36838</v>
      </c>
      <c r="D3594" t="s">
        <v>6</v>
      </c>
      <c r="E3594">
        <v>6.968121</v>
      </c>
      <c r="F3594">
        <f t="shared" si="112"/>
        <v>1.0149999999997661E-3</v>
      </c>
      <c r="G3594">
        <f t="shared" si="113"/>
        <v>56.327555792537552</v>
      </c>
    </row>
    <row r="3595" spans="2:7">
      <c r="B3595" t="s">
        <v>2</v>
      </c>
      <c r="C3595" s="2">
        <v>36837</v>
      </c>
      <c r="D3595" t="s">
        <v>6</v>
      </c>
      <c r="E3595">
        <v>6.9671060000000002</v>
      </c>
      <c r="F3595">
        <f t="shared" si="112"/>
        <v>3.1569999999998544E-3</v>
      </c>
      <c r="G3595">
        <f t="shared" si="113"/>
        <v>56.424908499002036</v>
      </c>
    </row>
    <row r="3596" spans="2:7">
      <c r="B3596" t="s">
        <v>2</v>
      </c>
      <c r="C3596" s="2">
        <v>36836</v>
      </c>
      <c r="D3596" t="s">
        <v>6</v>
      </c>
      <c r="E3596">
        <v>6.9639490000000004</v>
      </c>
      <c r="F3596">
        <f t="shared" si="112"/>
        <v>4.7853000000000812E-2</v>
      </c>
      <c r="G3596">
        <f t="shared" si="113"/>
        <v>57.061193698613799</v>
      </c>
    </row>
    <row r="3597" spans="2:7">
      <c r="B3597" t="s">
        <v>2</v>
      </c>
      <c r="C3597" s="2">
        <v>36833</v>
      </c>
      <c r="D3597" t="s">
        <v>6</v>
      </c>
      <c r="E3597">
        <v>6.9160959999999996</v>
      </c>
      <c r="F3597">
        <f t="shared" si="112"/>
        <v>7.8442999999999152E-2</v>
      </c>
      <c r="G3597">
        <f t="shared" si="113"/>
        <v>56.782015435531108</v>
      </c>
    </row>
    <row r="3598" spans="2:7">
      <c r="B3598" t="s">
        <v>2</v>
      </c>
      <c r="C3598" s="2">
        <v>36832</v>
      </c>
      <c r="D3598" t="s">
        <v>6</v>
      </c>
      <c r="E3598">
        <v>6.8376530000000004</v>
      </c>
      <c r="F3598">
        <f t="shared" si="112"/>
        <v>-1.1229999999997631E-3</v>
      </c>
      <c r="G3598">
        <f t="shared" si="113"/>
        <v>54.264987461945026</v>
      </c>
    </row>
    <row r="3599" spans="2:7">
      <c r="B3599" t="s">
        <v>2</v>
      </c>
      <c r="C3599" s="2">
        <v>36831</v>
      </c>
      <c r="D3599" t="s">
        <v>6</v>
      </c>
      <c r="E3599">
        <v>6.8387760000000002</v>
      </c>
      <c r="F3599">
        <f t="shared" si="112"/>
        <v>-4.253899999999966E-2</v>
      </c>
      <c r="G3599">
        <f t="shared" si="113"/>
        <v>55.095410690857037</v>
      </c>
    </row>
    <row r="3600" spans="2:7">
      <c r="B3600" t="s">
        <v>2</v>
      </c>
      <c r="C3600" s="2">
        <v>36830</v>
      </c>
      <c r="D3600" t="s">
        <v>6</v>
      </c>
      <c r="E3600">
        <v>6.8813149999999998</v>
      </c>
      <c r="F3600">
        <f t="shared" si="112"/>
        <v>2.2208000000000006E-2</v>
      </c>
      <c r="G3600">
        <f t="shared" si="113"/>
        <v>54.874472673321762</v>
      </c>
    </row>
    <row r="3601" spans="2:7">
      <c r="B3601" t="s">
        <v>2</v>
      </c>
      <c r="C3601" s="2">
        <v>36829</v>
      </c>
      <c r="D3601" t="s">
        <v>6</v>
      </c>
      <c r="E3601">
        <v>6.8591069999999998</v>
      </c>
      <c r="F3601">
        <f t="shared" si="112"/>
        <v>2.251000000000225E-3</v>
      </c>
      <c r="G3601">
        <f t="shared" si="113"/>
        <v>56.120647823631408</v>
      </c>
    </row>
    <row r="3602" spans="2:7">
      <c r="B3602" t="s">
        <v>2</v>
      </c>
      <c r="C3602" s="2">
        <v>36826</v>
      </c>
      <c r="D3602" t="s">
        <v>6</v>
      </c>
      <c r="E3602">
        <v>6.8568559999999996</v>
      </c>
      <c r="F3602">
        <f t="shared" si="112"/>
        <v>4.8058999999999408E-2</v>
      </c>
      <c r="G3602">
        <f t="shared" si="113"/>
        <v>56.43317834612683</v>
      </c>
    </row>
    <row r="3603" spans="2:7">
      <c r="B3603" t="s">
        <v>2</v>
      </c>
      <c r="C3603" s="2">
        <v>36825</v>
      </c>
      <c r="D3603" t="s">
        <v>6</v>
      </c>
      <c r="E3603">
        <v>6.8087970000000002</v>
      </c>
      <c r="F3603">
        <f t="shared" si="112"/>
        <v>1.8831000000000486E-2</v>
      </c>
      <c r="G3603">
        <f t="shared" si="113"/>
        <v>55.54524265610862</v>
      </c>
    </row>
    <row r="3604" spans="2:7">
      <c r="B3604" t="s">
        <v>2</v>
      </c>
      <c r="C3604" s="2">
        <v>36824</v>
      </c>
      <c r="D3604" t="s">
        <v>6</v>
      </c>
      <c r="E3604">
        <v>6.7899659999999997</v>
      </c>
      <c r="F3604">
        <f t="shared" si="112"/>
        <v>4.3366999999999933E-2</v>
      </c>
      <c r="G3604">
        <f t="shared" si="113"/>
        <v>55.520704302342075</v>
      </c>
    </row>
    <row r="3605" spans="2:7">
      <c r="B3605" t="s">
        <v>2</v>
      </c>
      <c r="C3605" s="2">
        <v>36823</v>
      </c>
      <c r="D3605" t="s">
        <v>6</v>
      </c>
      <c r="E3605">
        <v>6.7465989999999998</v>
      </c>
      <c r="F3605">
        <f t="shared" si="112"/>
        <v>3.6948999999999899E-2</v>
      </c>
      <c r="G3605">
        <f t="shared" si="113"/>
        <v>54.5419567521473</v>
      </c>
    </row>
    <row r="3606" spans="2:7">
      <c r="B3606" t="s">
        <v>2</v>
      </c>
      <c r="C3606" s="2">
        <v>36822</v>
      </c>
      <c r="D3606" t="s">
        <v>6</v>
      </c>
      <c r="E3606">
        <v>6.7096499999999999</v>
      </c>
      <c r="F3606">
        <f t="shared" si="112"/>
        <v>-5.9578000000000131E-2</v>
      </c>
      <c r="G3606">
        <f t="shared" si="113"/>
        <v>54.785324724730899</v>
      </c>
    </row>
    <row r="3607" spans="2:7">
      <c r="B3607" t="s">
        <v>2</v>
      </c>
      <c r="C3607" s="2">
        <v>36819</v>
      </c>
      <c r="D3607" t="s">
        <v>6</v>
      </c>
      <c r="E3607">
        <v>6.769228</v>
      </c>
      <c r="F3607">
        <f t="shared" si="112"/>
        <v>-3.1596999999999653E-2</v>
      </c>
      <c r="G3607">
        <f t="shared" si="113"/>
        <v>53.843365093511949</v>
      </c>
    </row>
    <row r="3608" spans="2:7">
      <c r="B3608" t="s">
        <v>2</v>
      </c>
      <c r="C3608" s="2">
        <v>36818</v>
      </c>
      <c r="D3608" t="s">
        <v>6</v>
      </c>
      <c r="E3608">
        <v>6.8008249999999997</v>
      </c>
      <c r="F3608">
        <f t="shared" si="112"/>
        <v>-4.8492000000000424E-2</v>
      </c>
      <c r="G3608">
        <f t="shared" si="113"/>
        <v>53.618226446548078</v>
      </c>
    </row>
    <row r="3609" spans="2:7">
      <c r="B3609" t="s">
        <v>2</v>
      </c>
      <c r="C3609" s="2">
        <v>36817</v>
      </c>
      <c r="D3609" t="s">
        <v>6</v>
      </c>
      <c r="E3609">
        <v>6.8493170000000001</v>
      </c>
      <c r="F3609">
        <f t="shared" si="112"/>
        <v>-1.0315000000000296E-2</v>
      </c>
      <c r="G3609">
        <f t="shared" si="113"/>
        <v>52.940480758629349</v>
      </c>
    </row>
    <row r="3610" spans="2:7">
      <c r="B3610" t="s">
        <v>2</v>
      </c>
      <c r="C3610" s="2">
        <v>36816</v>
      </c>
      <c r="D3610" t="s">
        <v>6</v>
      </c>
      <c r="E3610">
        <v>6.8596320000000004</v>
      </c>
      <c r="F3610">
        <f t="shared" si="112"/>
        <v>-6.6897999999999236E-2</v>
      </c>
      <c r="G3610">
        <f t="shared" si="113"/>
        <v>53.750541573536218</v>
      </c>
    </row>
    <row r="3611" spans="2:7">
      <c r="B3611" t="s">
        <v>2</v>
      </c>
      <c r="C3611" s="2">
        <v>36815</v>
      </c>
      <c r="D3611" t="s">
        <v>6</v>
      </c>
      <c r="E3611">
        <v>6.9265299999999996</v>
      </c>
      <c r="F3611">
        <f t="shared" si="112"/>
        <v>4.5690000000000452E-3</v>
      </c>
      <c r="G3611">
        <f t="shared" si="113"/>
        <v>52.26206608088102</v>
      </c>
    </row>
    <row r="3612" spans="2:7">
      <c r="B3612" t="s">
        <v>2</v>
      </c>
      <c r="C3612" s="2">
        <v>36812</v>
      </c>
      <c r="D3612" t="s">
        <v>6</v>
      </c>
      <c r="E3612">
        <v>6.9219609999999996</v>
      </c>
      <c r="F3612">
        <f t="shared" si="112"/>
        <v>-1.8573000000000839E-2</v>
      </c>
      <c r="G3612">
        <f t="shared" si="113"/>
        <v>63.72516963616647</v>
      </c>
    </row>
    <row r="3613" spans="2:7">
      <c r="B3613" t="s">
        <v>2</v>
      </c>
      <c r="C3613" s="2">
        <v>36811</v>
      </c>
      <c r="D3613" t="s">
        <v>6</v>
      </c>
      <c r="E3613">
        <v>6.9405340000000004</v>
      </c>
      <c r="F3613">
        <f t="shared" si="112"/>
        <v>-3.2885999999999527E-2</v>
      </c>
      <c r="G3613">
        <f t="shared" si="113"/>
        <v>63.925799616128707</v>
      </c>
    </row>
    <row r="3614" spans="2:7">
      <c r="B3614" t="s">
        <v>2</v>
      </c>
      <c r="C3614" s="2">
        <v>36810</v>
      </c>
      <c r="D3614" t="s">
        <v>6</v>
      </c>
      <c r="E3614">
        <v>6.97342</v>
      </c>
      <c r="F3614">
        <f t="shared" si="112"/>
        <v>-1.8786000000000413E-2</v>
      </c>
      <c r="G3614">
        <f t="shared" si="113"/>
        <v>63.824381928196097</v>
      </c>
    </row>
    <row r="3615" spans="2:7">
      <c r="B3615" t="s">
        <v>2</v>
      </c>
      <c r="C3615" s="2">
        <v>36809</v>
      </c>
      <c r="D3615" t="s">
        <v>6</v>
      </c>
      <c r="E3615">
        <v>6.9922060000000004</v>
      </c>
      <c r="F3615">
        <f t="shared" si="112"/>
        <v>1.3059000000000154E-2</v>
      </c>
      <c r="G3615">
        <f t="shared" si="113"/>
        <v>65.401215285118951</v>
      </c>
    </row>
    <row r="3616" spans="2:7">
      <c r="B3616" t="s">
        <v>2</v>
      </c>
      <c r="C3616" s="2">
        <v>36805</v>
      </c>
      <c r="D3616" t="s">
        <v>6</v>
      </c>
      <c r="E3616">
        <v>6.9791470000000002</v>
      </c>
      <c r="F3616">
        <f t="shared" si="112"/>
        <v>-1.7405999999999366E-2</v>
      </c>
      <c r="G3616">
        <f t="shared" si="113"/>
        <v>70.192775371796472</v>
      </c>
    </row>
    <row r="3617" spans="2:7">
      <c r="B3617" t="s">
        <v>2</v>
      </c>
      <c r="C3617" s="2">
        <v>36804</v>
      </c>
      <c r="D3617" t="s">
        <v>6</v>
      </c>
      <c r="E3617">
        <v>6.9965529999999996</v>
      </c>
      <c r="F3617">
        <f t="shared" si="112"/>
        <v>-6.4160000000006434E-3</v>
      </c>
      <c r="G3617">
        <f t="shared" si="113"/>
        <v>72.122568044478967</v>
      </c>
    </row>
    <row r="3618" spans="2:7">
      <c r="B3618" t="s">
        <v>2</v>
      </c>
      <c r="C3618" s="2">
        <v>36803</v>
      </c>
      <c r="D3618" t="s">
        <v>6</v>
      </c>
      <c r="E3618">
        <v>7.0029690000000002</v>
      </c>
      <c r="F3618">
        <f t="shared" si="112"/>
        <v>5.1271999999999984E-2</v>
      </c>
      <c r="G3618">
        <f t="shared" si="113"/>
        <v>72.315108249432285</v>
      </c>
    </row>
    <row r="3619" spans="2:7">
      <c r="B3619" t="s">
        <v>2</v>
      </c>
      <c r="C3619" s="2">
        <v>36802</v>
      </c>
      <c r="D3619" t="s">
        <v>6</v>
      </c>
      <c r="E3619">
        <v>6.9516970000000002</v>
      </c>
      <c r="F3619">
        <f t="shared" si="112"/>
        <v>4.1042000000000023E-2</v>
      </c>
      <c r="G3619">
        <f t="shared" si="113"/>
        <v>71.70226853566281</v>
      </c>
    </row>
    <row r="3620" spans="2:7">
      <c r="B3620" t="s">
        <v>2</v>
      </c>
      <c r="C3620" s="2">
        <v>36801</v>
      </c>
      <c r="D3620" t="s">
        <v>6</v>
      </c>
      <c r="E3620">
        <v>6.9106550000000002</v>
      </c>
      <c r="F3620">
        <f t="shared" si="112"/>
        <v>-2.2599999999997067E-3</v>
      </c>
      <c r="G3620">
        <f t="shared" si="113"/>
        <v>71.725171650205212</v>
      </c>
    </row>
    <row r="3621" spans="2:7">
      <c r="B3621" t="s">
        <v>2</v>
      </c>
      <c r="C3621" s="2">
        <v>36798</v>
      </c>
      <c r="D3621" t="s">
        <v>6</v>
      </c>
      <c r="E3621">
        <v>6.9129149999999999</v>
      </c>
      <c r="F3621">
        <f t="shared" si="112"/>
        <v>-3.0507000000000062E-2</v>
      </c>
      <c r="G3621">
        <f t="shared" si="113"/>
        <v>72.639997589473509</v>
      </c>
    </row>
    <row r="3622" spans="2:7">
      <c r="B3622" t="s">
        <v>2</v>
      </c>
      <c r="C3622" s="2">
        <v>36797</v>
      </c>
      <c r="D3622" t="s">
        <v>6</v>
      </c>
      <c r="E3622">
        <v>6.943422</v>
      </c>
      <c r="F3622">
        <f t="shared" si="112"/>
        <v>-2.6402000000000037E-2</v>
      </c>
      <c r="G3622">
        <f t="shared" si="113"/>
        <v>73.439407054483468</v>
      </c>
    </row>
    <row r="3623" spans="2:7">
      <c r="B3623" t="s">
        <v>2</v>
      </c>
      <c r="C3623" s="2">
        <v>36796</v>
      </c>
      <c r="D3623" t="s">
        <v>6</v>
      </c>
      <c r="E3623">
        <v>6.969824</v>
      </c>
      <c r="F3623">
        <f t="shared" si="112"/>
        <v>1.3359999999999594E-2</v>
      </c>
      <c r="G3623">
        <f t="shared" si="113"/>
        <v>73.727803669392074</v>
      </c>
    </row>
    <row r="3624" spans="2:7">
      <c r="B3624" t="s">
        <v>2</v>
      </c>
      <c r="C3624" s="2">
        <v>36795</v>
      </c>
      <c r="D3624" t="s">
        <v>6</v>
      </c>
      <c r="E3624">
        <v>6.9564640000000004</v>
      </c>
      <c r="F3624">
        <f t="shared" si="112"/>
        <v>-2.5113999999999415E-2</v>
      </c>
      <c r="G3624">
        <f t="shared" si="113"/>
        <v>74.236043359581913</v>
      </c>
    </row>
    <row r="3625" spans="2:7">
      <c r="B3625" t="s">
        <v>2</v>
      </c>
      <c r="C3625" s="2">
        <v>36794</v>
      </c>
      <c r="D3625" t="s">
        <v>6</v>
      </c>
      <c r="E3625">
        <v>6.9815779999999998</v>
      </c>
      <c r="F3625">
        <f t="shared" si="112"/>
        <v>-1.2048000000000059E-2</v>
      </c>
      <c r="G3625">
        <f t="shared" si="113"/>
        <v>74.168035854169617</v>
      </c>
    </row>
    <row r="3626" spans="2:7">
      <c r="B3626" t="s">
        <v>2</v>
      </c>
      <c r="C3626" s="2">
        <v>36791</v>
      </c>
      <c r="D3626" t="s">
        <v>6</v>
      </c>
      <c r="E3626">
        <v>6.9936259999999999</v>
      </c>
      <c r="F3626">
        <f t="shared" si="112"/>
        <v>-4.5455000000000467E-2</v>
      </c>
      <c r="G3626">
        <f t="shared" si="113"/>
        <v>75.577363527390958</v>
      </c>
    </row>
    <row r="3627" spans="2:7">
      <c r="B3627" t="s">
        <v>2</v>
      </c>
      <c r="C3627" s="2">
        <v>36790</v>
      </c>
      <c r="D3627" t="s">
        <v>6</v>
      </c>
      <c r="E3627">
        <v>7.0390810000000004</v>
      </c>
      <c r="F3627">
        <f t="shared" si="112"/>
        <v>-3.8809999999999789E-2</v>
      </c>
      <c r="G3627">
        <f t="shared" si="113"/>
        <v>75.761289264200485</v>
      </c>
    </row>
    <row r="3628" spans="2:7">
      <c r="B3628" t="s">
        <v>2</v>
      </c>
      <c r="C3628" s="2">
        <v>36789</v>
      </c>
      <c r="D3628" t="s">
        <v>6</v>
      </c>
      <c r="E3628">
        <v>7.0778910000000002</v>
      </c>
      <c r="F3628">
        <f t="shared" si="112"/>
        <v>3.6921000000000426E-2</v>
      </c>
      <c r="G3628">
        <f t="shared" si="113"/>
        <v>75.427691362895018</v>
      </c>
    </row>
    <row r="3629" spans="2:7">
      <c r="B3629" t="s">
        <v>2</v>
      </c>
      <c r="C3629" s="2">
        <v>36788</v>
      </c>
      <c r="D3629" t="s">
        <v>6</v>
      </c>
      <c r="E3629">
        <v>7.0409699999999997</v>
      </c>
      <c r="F3629">
        <f t="shared" si="112"/>
        <v>9.0719999999997469E-3</v>
      </c>
      <c r="G3629">
        <f t="shared" si="113"/>
        <v>77.025633158594246</v>
      </c>
    </row>
    <row r="3630" spans="2:7">
      <c r="B3630" t="s">
        <v>2</v>
      </c>
      <c r="C3630" s="2">
        <v>36787</v>
      </c>
      <c r="D3630" t="s">
        <v>6</v>
      </c>
      <c r="E3630">
        <v>7.031898</v>
      </c>
      <c r="F3630">
        <f t="shared" si="112"/>
        <v>3.0749999999999389E-3</v>
      </c>
      <c r="G3630">
        <f t="shared" si="113"/>
        <v>77.395617083163074</v>
      </c>
    </row>
    <row r="3631" spans="2:7">
      <c r="B3631" t="s">
        <v>2</v>
      </c>
      <c r="C3631" s="2">
        <v>36784</v>
      </c>
      <c r="D3631" t="s">
        <v>6</v>
      </c>
      <c r="E3631">
        <v>7.028823</v>
      </c>
      <c r="F3631">
        <f t="shared" si="112"/>
        <v>4.2879999999998475E-3</v>
      </c>
      <c r="G3631">
        <f t="shared" si="113"/>
        <v>77.704306827100737</v>
      </c>
    </row>
    <row r="3632" spans="2:7">
      <c r="B3632" t="s">
        <v>2</v>
      </c>
      <c r="C3632" s="2">
        <v>36783</v>
      </c>
      <c r="D3632" t="s">
        <v>6</v>
      </c>
      <c r="E3632">
        <v>7.0245350000000002</v>
      </c>
      <c r="F3632">
        <f t="shared" si="112"/>
        <v>4.486699999999999E-2</v>
      </c>
      <c r="G3632">
        <f t="shared" si="113"/>
        <v>79.752999765496753</v>
      </c>
    </row>
    <row r="3633" spans="2:7">
      <c r="B3633" t="s">
        <v>2</v>
      </c>
      <c r="C3633" s="2">
        <v>36782</v>
      </c>
      <c r="D3633" t="s">
        <v>6</v>
      </c>
      <c r="E3633">
        <v>6.9796680000000002</v>
      </c>
      <c r="F3633">
        <f t="shared" si="112"/>
        <v>-5.3955999999999449E-2</v>
      </c>
      <c r="G3633">
        <f t="shared" si="113"/>
        <v>80.315504868274047</v>
      </c>
    </row>
    <row r="3634" spans="2:7">
      <c r="B3634" t="s">
        <v>2</v>
      </c>
      <c r="C3634" s="2">
        <v>36781</v>
      </c>
      <c r="D3634" t="s">
        <v>6</v>
      </c>
      <c r="E3634">
        <v>7.0336239999999997</v>
      </c>
      <c r="F3634">
        <f t="shared" si="112"/>
        <v>2.3789999999994649E-3</v>
      </c>
      <c r="G3634">
        <f t="shared" si="113"/>
        <v>79.889083728147824</v>
      </c>
    </row>
    <row r="3635" spans="2:7">
      <c r="B3635" t="s">
        <v>2</v>
      </c>
      <c r="C3635" s="2">
        <v>36780</v>
      </c>
      <c r="D3635" t="s">
        <v>6</v>
      </c>
      <c r="E3635">
        <v>7.0312450000000002</v>
      </c>
      <c r="F3635">
        <f t="shared" si="112"/>
        <v>7.0510000000005846E-3</v>
      </c>
      <c r="G3635">
        <f t="shared" si="113"/>
        <v>81.597265727546628</v>
      </c>
    </row>
    <row r="3636" spans="2:7">
      <c r="B3636" t="s">
        <v>2</v>
      </c>
      <c r="C3636" s="2">
        <v>36777</v>
      </c>
      <c r="D3636" t="s">
        <v>6</v>
      </c>
      <c r="E3636">
        <v>7.0241939999999996</v>
      </c>
      <c r="F3636">
        <f t="shared" si="112"/>
        <v>-5.4510000000007608E-3</v>
      </c>
      <c r="G3636">
        <f t="shared" si="113"/>
        <v>81.626986517261031</v>
      </c>
    </row>
    <row r="3637" spans="2:7">
      <c r="B3637" t="s">
        <v>2</v>
      </c>
      <c r="C3637" s="2">
        <v>36776</v>
      </c>
      <c r="D3637" t="s">
        <v>6</v>
      </c>
      <c r="E3637">
        <v>7.0296450000000004</v>
      </c>
      <c r="F3637">
        <f t="shared" si="112"/>
        <v>4.2620000000000324E-2</v>
      </c>
      <c r="G3637">
        <f t="shared" si="113"/>
        <v>82.172401002490588</v>
      </c>
    </row>
    <row r="3638" spans="2:7">
      <c r="B3638" t="s">
        <v>2</v>
      </c>
      <c r="C3638" s="2">
        <v>36775</v>
      </c>
      <c r="D3638" t="s">
        <v>6</v>
      </c>
      <c r="E3638">
        <v>6.987025</v>
      </c>
      <c r="F3638">
        <f t="shared" si="112"/>
        <v>5.0323999999999813E-2</v>
      </c>
      <c r="G3638">
        <f t="shared" si="113"/>
        <v>81.643661443224872</v>
      </c>
    </row>
    <row r="3639" spans="2:7">
      <c r="B3639" t="s">
        <v>2</v>
      </c>
      <c r="C3639" s="2">
        <v>36774</v>
      </c>
      <c r="D3639" t="s">
        <v>6</v>
      </c>
      <c r="E3639">
        <v>6.9367010000000002</v>
      </c>
      <c r="F3639">
        <f t="shared" si="112"/>
        <v>1.1023999999999923E-2</v>
      </c>
      <c r="G3639">
        <f t="shared" si="113"/>
        <v>81.536363717111087</v>
      </c>
    </row>
    <row r="3640" spans="2:7">
      <c r="B3640" t="s">
        <v>2</v>
      </c>
      <c r="C3640" s="2">
        <v>36770</v>
      </c>
      <c r="D3640" t="s">
        <v>6</v>
      </c>
      <c r="E3640">
        <v>6.9256770000000003</v>
      </c>
      <c r="F3640">
        <f t="shared" si="112"/>
        <v>-8.3755999999999275E-2</v>
      </c>
      <c r="G3640">
        <f t="shared" si="113"/>
        <v>81.467491996673729</v>
      </c>
    </row>
    <row r="3641" spans="2:7">
      <c r="B3641" t="s">
        <v>2</v>
      </c>
      <c r="C3641" s="2">
        <v>36769</v>
      </c>
      <c r="D3641" t="s">
        <v>6</v>
      </c>
      <c r="E3641">
        <v>7.0094329999999996</v>
      </c>
      <c r="F3641">
        <f t="shared" si="112"/>
        <v>-8.0257000000000467E-2</v>
      </c>
      <c r="G3641">
        <f t="shared" si="113"/>
        <v>80.337193244657072</v>
      </c>
    </row>
    <row r="3642" spans="2:7">
      <c r="B3642" t="s">
        <v>2</v>
      </c>
      <c r="C3642" s="2">
        <v>36768</v>
      </c>
      <c r="D3642" t="s">
        <v>6</v>
      </c>
      <c r="E3642">
        <v>7.08969</v>
      </c>
      <c r="F3642">
        <f t="shared" si="112"/>
        <v>1.2421999999999933E-2</v>
      </c>
      <c r="G3642">
        <f t="shared" si="113"/>
        <v>78.968934531548641</v>
      </c>
    </row>
    <row r="3643" spans="2:7">
      <c r="B3643" t="s">
        <v>2</v>
      </c>
      <c r="C3643" s="2">
        <v>36767</v>
      </c>
      <c r="D3643" t="s">
        <v>6</v>
      </c>
      <c r="E3643">
        <v>7.0772680000000001</v>
      </c>
      <c r="F3643">
        <f t="shared" si="112"/>
        <v>4.9382000000000481E-2</v>
      </c>
      <c r="G3643">
        <f t="shared" si="113"/>
        <v>79.243185293427217</v>
      </c>
    </row>
    <row r="3644" spans="2:7">
      <c r="B3644" t="s">
        <v>2</v>
      </c>
      <c r="C3644" s="2">
        <v>36766</v>
      </c>
      <c r="D3644" t="s">
        <v>6</v>
      </c>
      <c r="E3644">
        <v>7.0278859999999996</v>
      </c>
      <c r="F3644">
        <f t="shared" si="112"/>
        <v>4.8672999999999966E-2</v>
      </c>
      <c r="G3644">
        <f t="shared" si="113"/>
        <v>80.186578345360132</v>
      </c>
    </row>
    <row r="3645" spans="2:7">
      <c r="B3645" t="s">
        <v>2</v>
      </c>
      <c r="C3645" s="2">
        <v>36763</v>
      </c>
      <c r="D3645" t="s">
        <v>6</v>
      </c>
      <c r="E3645">
        <v>6.9792129999999997</v>
      </c>
      <c r="F3645">
        <f t="shared" si="112"/>
        <v>3.1499999999962114E-4</v>
      </c>
      <c r="G3645">
        <f t="shared" si="113"/>
        <v>82.228945576228696</v>
      </c>
    </row>
    <row r="3646" spans="2:7">
      <c r="B3646" t="s">
        <v>2</v>
      </c>
      <c r="C3646" s="2">
        <v>36762</v>
      </c>
      <c r="D3646" t="s">
        <v>6</v>
      </c>
      <c r="E3646">
        <v>6.978898</v>
      </c>
      <c r="F3646">
        <f t="shared" si="112"/>
        <v>-2.2537999999999947E-2</v>
      </c>
      <c r="G3646">
        <f t="shared" si="113"/>
        <v>85.282509326902485</v>
      </c>
    </row>
    <row r="3647" spans="2:7">
      <c r="B3647" t="s">
        <v>2</v>
      </c>
      <c r="C3647" s="2">
        <v>36761</v>
      </c>
      <c r="D3647" t="s">
        <v>6</v>
      </c>
      <c r="E3647">
        <v>7.001436</v>
      </c>
      <c r="F3647">
        <f t="shared" si="112"/>
        <v>-5.2470999999999712E-2</v>
      </c>
      <c r="G3647">
        <f t="shared" si="113"/>
        <v>86.208638752436016</v>
      </c>
    </row>
    <row r="3648" spans="2:7">
      <c r="B3648" t="s">
        <v>2</v>
      </c>
      <c r="C3648" s="2">
        <v>36760</v>
      </c>
      <c r="D3648" t="s">
        <v>6</v>
      </c>
      <c r="E3648">
        <v>7.0539069999999997</v>
      </c>
      <c r="F3648">
        <f t="shared" si="112"/>
        <v>-1.4841000000000548E-2</v>
      </c>
      <c r="G3648">
        <f t="shared" si="113"/>
        <v>87.057842444250895</v>
      </c>
    </row>
    <row r="3649" spans="2:7">
      <c r="B3649" t="s">
        <v>2</v>
      </c>
      <c r="C3649" s="2">
        <v>36759</v>
      </c>
      <c r="D3649" t="s">
        <v>6</v>
      </c>
      <c r="E3649">
        <v>7.0687480000000003</v>
      </c>
      <c r="F3649">
        <f t="shared" si="112"/>
        <v>1.3988000000000334E-2</v>
      </c>
      <c r="G3649">
        <f t="shared" si="113"/>
        <v>87.184816775109695</v>
      </c>
    </row>
    <row r="3650" spans="2:7">
      <c r="B3650" t="s">
        <v>2</v>
      </c>
      <c r="C3650" s="2">
        <v>36756</v>
      </c>
      <c r="D3650" t="s">
        <v>6</v>
      </c>
      <c r="E3650">
        <v>7.0547599999999999</v>
      </c>
      <c r="F3650">
        <f t="shared" si="112"/>
        <v>-2.1232000000000362E-2</v>
      </c>
      <c r="G3650">
        <f t="shared" si="113"/>
        <v>88.094540954441996</v>
      </c>
    </row>
    <row r="3651" spans="2:7">
      <c r="B3651" t="s">
        <v>2</v>
      </c>
      <c r="C3651" s="2">
        <v>36755</v>
      </c>
      <c r="D3651" t="s">
        <v>6</v>
      </c>
      <c r="E3651">
        <v>7.0759920000000003</v>
      </c>
      <c r="F3651">
        <f t="shared" ref="F3651:F3714" si="114">E3651-E3652</f>
        <v>-3.7889999999993762E-3</v>
      </c>
      <c r="G3651">
        <f t="shared" ref="G3651:G3714" si="115">STDEV(F3651:F3710)*SQRT(250)*100</f>
        <v>88.104656313829139</v>
      </c>
    </row>
    <row r="3652" spans="2:7">
      <c r="B3652" t="s">
        <v>2</v>
      </c>
      <c r="C3652" s="2">
        <v>36754</v>
      </c>
      <c r="D3652" t="s">
        <v>6</v>
      </c>
      <c r="E3652">
        <v>7.0797809999999997</v>
      </c>
      <c r="F3652">
        <f t="shared" si="114"/>
        <v>1.9889000000000046E-2</v>
      </c>
      <c r="G3652">
        <f t="shared" si="115"/>
        <v>88.158443699862957</v>
      </c>
    </row>
    <row r="3653" spans="2:7">
      <c r="B3653" t="s">
        <v>2</v>
      </c>
      <c r="C3653" s="2">
        <v>36753</v>
      </c>
      <c r="D3653" t="s">
        <v>6</v>
      </c>
      <c r="E3653">
        <v>7.0598919999999996</v>
      </c>
      <c r="F3653">
        <f t="shared" si="114"/>
        <v>1.1553999999999398E-2</v>
      </c>
      <c r="G3653">
        <f t="shared" si="115"/>
        <v>89.135555621138707</v>
      </c>
    </row>
    <row r="3654" spans="2:7">
      <c r="B3654" t="s">
        <v>2</v>
      </c>
      <c r="C3654" s="2">
        <v>36752</v>
      </c>
      <c r="D3654" t="s">
        <v>6</v>
      </c>
      <c r="E3654">
        <v>7.0483380000000002</v>
      </c>
      <c r="F3654">
        <f t="shared" si="114"/>
        <v>-1.778299999999966E-2</v>
      </c>
      <c r="G3654">
        <f t="shared" si="115"/>
        <v>89.441099238501707</v>
      </c>
    </row>
    <row r="3655" spans="2:7">
      <c r="B3655" t="s">
        <v>2</v>
      </c>
      <c r="C3655" s="2">
        <v>36749</v>
      </c>
      <c r="D3655" t="s">
        <v>6</v>
      </c>
      <c r="E3655">
        <v>7.0661209999999999</v>
      </c>
      <c r="F3655">
        <f t="shared" si="114"/>
        <v>4.0183999999999997E-2</v>
      </c>
      <c r="G3655">
        <f t="shared" si="115"/>
        <v>91.825105021451265</v>
      </c>
    </row>
    <row r="3656" spans="2:7">
      <c r="B3656" t="s">
        <v>2</v>
      </c>
      <c r="C3656" s="2">
        <v>36748</v>
      </c>
      <c r="D3656" t="s">
        <v>6</v>
      </c>
      <c r="E3656">
        <v>7.0259369999999999</v>
      </c>
      <c r="F3656">
        <f t="shared" si="114"/>
        <v>-4.3199000000000431E-2</v>
      </c>
      <c r="G3656">
        <f t="shared" si="115"/>
        <v>92.517607186290135</v>
      </c>
    </row>
    <row r="3657" spans="2:7">
      <c r="B3657" t="s">
        <v>2</v>
      </c>
      <c r="C3657" s="2">
        <v>36747</v>
      </c>
      <c r="D3657" t="s">
        <v>6</v>
      </c>
      <c r="E3657">
        <v>7.0691360000000003</v>
      </c>
      <c r="F3657">
        <f t="shared" si="114"/>
        <v>4.7960000000006886E-3</v>
      </c>
      <c r="G3657">
        <f t="shared" si="115"/>
        <v>93.506224936936206</v>
      </c>
    </row>
    <row r="3658" spans="2:7">
      <c r="B3658" t="s">
        <v>2</v>
      </c>
      <c r="C3658" s="2">
        <v>36746</v>
      </c>
      <c r="D3658" t="s">
        <v>6</v>
      </c>
      <c r="E3658">
        <v>7.0643399999999996</v>
      </c>
      <c r="F3658">
        <f t="shared" si="114"/>
        <v>-5.058700000000016E-2</v>
      </c>
      <c r="G3658">
        <f t="shared" si="115"/>
        <v>93.435783897359755</v>
      </c>
    </row>
    <row r="3659" spans="2:7">
      <c r="B3659" t="s">
        <v>2</v>
      </c>
      <c r="C3659" s="2">
        <v>36745</v>
      </c>
      <c r="D3659" t="s">
        <v>6</v>
      </c>
      <c r="E3659">
        <v>7.1149269999999998</v>
      </c>
      <c r="F3659">
        <f t="shared" si="114"/>
        <v>2.6127999999999929E-2</v>
      </c>
      <c r="G3659">
        <f t="shared" si="115"/>
        <v>95.537564817435836</v>
      </c>
    </row>
    <row r="3660" spans="2:7">
      <c r="B3660" t="s">
        <v>2</v>
      </c>
      <c r="C3660" s="2">
        <v>36742</v>
      </c>
      <c r="D3660" t="s">
        <v>6</v>
      </c>
      <c r="E3660">
        <v>7.0887989999999999</v>
      </c>
      <c r="F3660">
        <f t="shared" si="114"/>
        <v>-6.714600000000015E-2</v>
      </c>
      <c r="G3660">
        <f t="shared" si="115"/>
        <v>95.231917564913019</v>
      </c>
    </row>
    <row r="3661" spans="2:7">
      <c r="B3661" t="s">
        <v>2</v>
      </c>
      <c r="C3661" s="2">
        <v>36741</v>
      </c>
      <c r="D3661" t="s">
        <v>6</v>
      </c>
      <c r="E3661">
        <v>7.155945</v>
      </c>
      <c r="F3661">
        <f t="shared" si="114"/>
        <v>-3.5033000000000314E-2</v>
      </c>
      <c r="G3661">
        <f t="shared" si="115"/>
        <v>94.788817666526086</v>
      </c>
    </row>
    <row r="3662" spans="2:7">
      <c r="B3662" t="s">
        <v>2</v>
      </c>
      <c r="C3662" s="2">
        <v>36740</v>
      </c>
      <c r="D3662" t="s">
        <v>6</v>
      </c>
      <c r="E3662">
        <v>7.1909780000000003</v>
      </c>
      <c r="F3662">
        <f t="shared" si="114"/>
        <v>-3.0724999999999447E-2</v>
      </c>
      <c r="G3662">
        <f t="shared" si="115"/>
        <v>94.948414615259708</v>
      </c>
    </row>
    <row r="3663" spans="2:7">
      <c r="B3663" t="s">
        <v>2</v>
      </c>
      <c r="C3663" s="2">
        <v>36739</v>
      </c>
      <c r="D3663" t="s">
        <v>6</v>
      </c>
      <c r="E3663">
        <v>7.2217029999999998</v>
      </c>
      <c r="F3663">
        <f t="shared" si="114"/>
        <v>-3.218399999999999E-2</v>
      </c>
      <c r="G3663">
        <f t="shared" si="115"/>
        <v>95.499214526393786</v>
      </c>
    </row>
    <row r="3664" spans="2:7">
      <c r="B3664" t="s">
        <v>2</v>
      </c>
      <c r="C3664" s="2">
        <v>36738</v>
      </c>
      <c r="D3664" t="s">
        <v>6</v>
      </c>
      <c r="E3664">
        <v>7.2538869999999998</v>
      </c>
      <c r="F3664">
        <f t="shared" si="114"/>
        <v>2.1259999999996282E-3</v>
      </c>
      <c r="G3664">
        <f t="shared" si="115"/>
        <v>96.687309175193903</v>
      </c>
    </row>
    <row r="3665" spans="2:7">
      <c r="B3665" t="s">
        <v>2</v>
      </c>
      <c r="C3665" s="2">
        <v>36735</v>
      </c>
      <c r="D3665" t="s">
        <v>6</v>
      </c>
      <c r="E3665">
        <v>7.2517610000000001</v>
      </c>
      <c r="F3665">
        <f t="shared" si="114"/>
        <v>4.3416000000000565E-2</v>
      </c>
      <c r="G3665">
        <f t="shared" si="115"/>
        <v>99.012563647331831</v>
      </c>
    </row>
    <row r="3666" spans="2:7">
      <c r="B3666" t="s">
        <v>2</v>
      </c>
      <c r="C3666" s="2">
        <v>36734</v>
      </c>
      <c r="D3666" t="s">
        <v>6</v>
      </c>
      <c r="E3666">
        <v>7.2083449999999996</v>
      </c>
      <c r="F3666">
        <f t="shared" si="114"/>
        <v>-2.3639000000000188E-2</v>
      </c>
      <c r="G3666">
        <f t="shared" si="115"/>
        <v>102.74056610319751</v>
      </c>
    </row>
    <row r="3667" spans="2:7">
      <c r="B3667" t="s">
        <v>2</v>
      </c>
      <c r="C3667" s="2">
        <v>36733</v>
      </c>
      <c r="D3667" t="s">
        <v>6</v>
      </c>
      <c r="E3667">
        <v>7.2319839999999997</v>
      </c>
      <c r="F3667">
        <f t="shared" si="114"/>
        <v>-1.0360000000000369E-2</v>
      </c>
      <c r="G3667">
        <f t="shared" si="115"/>
        <v>103.5728569436185</v>
      </c>
    </row>
    <row r="3668" spans="2:7">
      <c r="B3668" t="s">
        <v>2</v>
      </c>
      <c r="C3668" s="2">
        <v>36732</v>
      </c>
      <c r="D3668" t="s">
        <v>6</v>
      </c>
      <c r="E3668">
        <v>7.2423440000000001</v>
      </c>
      <c r="F3668">
        <f t="shared" si="114"/>
        <v>-2.5969999999997384E-3</v>
      </c>
      <c r="G3668">
        <f t="shared" si="115"/>
        <v>103.9067811297873</v>
      </c>
    </row>
    <row r="3669" spans="2:7">
      <c r="B3669" t="s">
        <v>2</v>
      </c>
      <c r="C3669" s="2">
        <v>36731</v>
      </c>
      <c r="D3669" t="s">
        <v>6</v>
      </c>
      <c r="E3669">
        <v>7.2449409999999999</v>
      </c>
      <c r="F3669">
        <f t="shared" si="114"/>
        <v>3.9169999999999483E-2</v>
      </c>
      <c r="G3669">
        <f t="shared" si="115"/>
        <v>103.98459573274627</v>
      </c>
    </row>
    <row r="3670" spans="2:7">
      <c r="B3670" t="s">
        <v>2</v>
      </c>
      <c r="C3670" s="2">
        <v>36728</v>
      </c>
      <c r="D3670" t="s">
        <v>6</v>
      </c>
      <c r="E3670">
        <v>7.2057710000000004</v>
      </c>
      <c r="F3670">
        <f t="shared" si="114"/>
        <v>4.0630000000003719E-3</v>
      </c>
      <c r="G3670">
        <f t="shared" si="115"/>
        <v>106.20458712954934</v>
      </c>
    </row>
    <row r="3671" spans="2:7">
      <c r="B3671" t="s">
        <v>2</v>
      </c>
      <c r="C3671" s="2">
        <v>36727</v>
      </c>
      <c r="D3671" t="s">
        <v>6</v>
      </c>
      <c r="E3671">
        <v>7.201708</v>
      </c>
      <c r="F3671">
        <f t="shared" si="114"/>
        <v>-0.18361699999999992</v>
      </c>
      <c r="G3671">
        <f t="shared" si="115"/>
        <v>106.22783373333917</v>
      </c>
    </row>
    <row r="3672" spans="2:7">
      <c r="B3672" t="s">
        <v>2</v>
      </c>
      <c r="C3672" s="2">
        <v>36726</v>
      </c>
      <c r="D3672" t="s">
        <v>6</v>
      </c>
      <c r="E3672">
        <v>7.3853249999999999</v>
      </c>
      <c r="F3672">
        <f t="shared" si="114"/>
        <v>1.9598000000000226E-2</v>
      </c>
      <c r="G3672">
        <f t="shared" si="115"/>
        <v>101.12061392096827</v>
      </c>
    </row>
    <row r="3673" spans="2:7">
      <c r="B3673" t="s">
        <v>2</v>
      </c>
      <c r="C3673" s="2">
        <v>36725</v>
      </c>
      <c r="D3673" t="s">
        <v>6</v>
      </c>
      <c r="E3673">
        <v>7.3657269999999997</v>
      </c>
      <c r="F3673">
        <f t="shared" si="114"/>
        <v>1.2777999999999956E-2</v>
      </c>
      <c r="G3673">
        <f t="shared" si="115"/>
        <v>101.0881137738414</v>
      </c>
    </row>
    <row r="3674" spans="2:7">
      <c r="B3674" t="s">
        <v>2</v>
      </c>
      <c r="C3674" s="2">
        <v>36724</v>
      </c>
      <c r="D3674" t="s">
        <v>6</v>
      </c>
      <c r="E3674">
        <v>7.3529489999999997</v>
      </c>
      <c r="F3674">
        <f t="shared" si="114"/>
        <v>6.495599999999957E-2</v>
      </c>
      <c r="G3674">
        <f t="shared" si="115"/>
        <v>101.14481187153166</v>
      </c>
    </row>
    <row r="3675" spans="2:7">
      <c r="B3675" t="s">
        <v>2</v>
      </c>
      <c r="C3675" s="2">
        <v>36721</v>
      </c>
      <c r="D3675" t="s">
        <v>6</v>
      </c>
      <c r="E3675">
        <v>7.2879930000000002</v>
      </c>
      <c r="F3675">
        <f t="shared" si="114"/>
        <v>0.1209699999999998</v>
      </c>
      <c r="G3675">
        <f t="shared" si="115"/>
        <v>100.90456971638953</v>
      </c>
    </row>
    <row r="3676" spans="2:7">
      <c r="B3676" t="s">
        <v>2</v>
      </c>
      <c r="C3676" s="2">
        <v>36720</v>
      </c>
      <c r="D3676" t="s">
        <v>6</v>
      </c>
      <c r="E3676">
        <v>7.1670230000000004</v>
      </c>
      <c r="F3676">
        <f t="shared" si="114"/>
        <v>-8.5363999999999329E-2</v>
      </c>
      <c r="G3676">
        <f t="shared" si="115"/>
        <v>97.818566224441795</v>
      </c>
    </row>
    <row r="3677" spans="2:7">
      <c r="B3677" t="s">
        <v>2</v>
      </c>
      <c r="C3677" s="2">
        <v>36719</v>
      </c>
      <c r="D3677" t="s">
        <v>6</v>
      </c>
      <c r="E3677">
        <v>7.2523869999999997</v>
      </c>
      <c r="F3677">
        <f t="shared" si="114"/>
        <v>2.1700000000000053E-2</v>
      </c>
      <c r="G3677">
        <f t="shared" si="115"/>
        <v>96.585132954663649</v>
      </c>
    </row>
    <row r="3678" spans="2:7">
      <c r="B3678" t="s">
        <v>2</v>
      </c>
      <c r="C3678" s="2">
        <v>36718</v>
      </c>
      <c r="D3678" t="s">
        <v>6</v>
      </c>
      <c r="E3678">
        <v>7.2306869999999996</v>
      </c>
      <c r="F3678">
        <f t="shared" si="114"/>
        <v>2.7174999999999727E-2</v>
      </c>
      <c r="G3678">
        <f t="shared" si="115"/>
        <v>96.652341789078505</v>
      </c>
    </row>
    <row r="3679" spans="2:7">
      <c r="B3679" t="s">
        <v>2</v>
      </c>
      <c r="C3679" s="2">
        <v>36717</v>
      </c>
      <c r="D3679" t="s">
        <v>6</v>
      </c>
      <c r="E3679">
        <v>7.2035119999999999</v>
      </c>
      <c r="F3679">
        <f t="shared" si="114"/>
        <v>4.1890999999999678E-2</v>
      </c>
      <c r="G3679">
        <f t="shared" si="115"/>
        <v>97.209020334319035</v>
      </c>
    </row>
    <row r="3680" spans="2:7">
      <c r="B3680" t="s">
        <v>2</v>
      </c>
      <c r="C3680" s="2">
        <v>36714</v>
      </c>
      <c r="D3680" t="s">
        <v>6</v>
      </c>
      <c r="E3680">
        <v>7.1616210000000002</v>
      </c>
      <c r="F3680">
        <f t="shared" si="114"/>
        <v>-6.0548999999999964E-2</v>
      </c>
      <c r="G3680">
        <f t="shared" si="115"/>
        <v>97.525872083136335</v>
      </c>
    </row>
    <row r="3681" spans="2:7">
      <c r="B3681" t="s">
        <v>2</v>
      </c>
      <c r="C3681" s="2">
        <v>36713</v>
      </c>
      <c r="D3681" t="s">
        <v>6</v>
      </c>
      <c r="E3681">
        <v>7.2221700000000002</v>
      </c>
      <c r="F3681">
        <f t="shared" si="114"/>
        <v>5.416000000000043E-2</v>
      </c>
      <c r="G3681">
        <f t="shared" si="115"/>
        <v>97.283134475632266</v>
      </c>
    </row>
    <row r="3682" spans="2:7">
      <c r="B3682" t="s">
        <v>2</v>
      </c>
      <c r="C3682" s="2">
        <v>36712</v>
      </c>
      <c r="D3682" t="s">
        <v>6</v>
      </c>
      <c r="E3682">
        <v>7.1680099999999998</v>
      </c>
      <c r="F3682">
        <f t="shared" si="114"/>
        <v>-4.272400000000065E-2</v>
      </c>
      <c r="G3682">
        <f t="shared" si="115"/>
        <v>96.656754460855282</v>
      </c>
    </row>
    <row r="3683" spans="2:7">
      <c r="B3683" t="s">
        <v>2</v>
      </c>
      <c r="C3683" s="2">
        <v>36710</v>
      </c>
      <c r="D3683" t="s">
        <v>6</v>
      </c>
      <c r="E3683">
        <v>7.2107340000000004</v>
      </c>
      <c r="F3683">
        <f t="shared" si="114"/>
        <v>-5.0320999999999394E-2</v>
      </c>
      <c r="G3683">
        <f t="shared" si="115"/>
        <v>96.603895504483873</v>
      </c>
    </row>
    <row r="3684" spans="2:7">
      <c r="B3684" t="s">
        <v>2</v>
      </c>
      <c r="C3684" s="2">
        <v>36707</v>
      </c>
      <c r="D3684" t="s">
        <v>6</v>
      </c>
      <c r="E3684">
        <v>7.2610549999999998</v>
      </c>
      <c r="F3684">
        <f t="shared" si="114"/>
        <v>-1.7890000000000406E-2</v>
      </c>
      <c r="G3684">
        <f t="shared" si="115"/>
        <v>96.094443555961135</v>
      </c>
    </row>
    <row r="3685" spans="2:7">
      <c r="B3685" t="s">
        <v>2</v>
      </c>
      <c r="C3685" s="2">
        <v>36706</v>
      </c>
      <c r="D3685" t="s">
        <v>6</v>
      </c>
      <c r="E3685">
        <v>7.2789450000000002</v>
      </c>
      <c r="F3685">
        <f t="shared" si="114"/>
        <v>-7.6368999999999687E-2</v>
      </c>
      <c r="G3685">
        <f t="shared" si="115"/>
        <v>96.32253979855939</v>
      </c>
    </row>
    <row r="3686" spans="2:7">
      <c r="B3686" t="s">
        <v>2</v>
      </c>
      <c r="C3686" s="2">
        <v>36705</v>
      </c>
      <c r="D3686" t="s">
        <v>6</v>
      </c>
      <c r="E3686">
        <v>7.3553139999999999</v>
      </c>
      <c r="F3686">
        <f t="shared" si="114"/>
        <v>4.2343999999999937E-2</v>
      </c>
      <c r="G3686">
        <f t="shared" si="115"/>
        <v>97.510677220222007</v>
      </c>
    </row>
    <row r="3687" spans="2:7">
      <c r="B3687" t="s">
        <v>2</v>
      </c>
      <c r="C3687" s="2">
        <v>36704</v>
      </c>
      <c r="D3687" t="s">
        <v>6</v>
      </c>
      <c r="E3687">
        <v>7.31297</v>
      </c>
      <c r="F3687">
        <f t="shared" si="114"/>
        <v>-2.4509999999997589E-3</v>
      </c>
      <c r="G3687">
        <f t="shared" si="115"/>
        <v>97.400471907188106</v>
      </c>
    </row>
    <row r="3688" spans="2:7">
      <c r="B3688" t="s">
        <v>2</v>
      </c>
      <c r="C3688" s="2">
        <v>36703</v>
      </c>
      <c r="D3688" t="s">
        <v>6</v>
      </c>
      <c r="E3688">
        <v>7.3154209999999997</v>
      </c>
      <c r="F3688">
        <f t="shared" si="114"/>
        <v>-9.1686000000000156E-2</v>
      </c>
      <c r="G3688">
        <f t="shared" si="115"/>
        <v>98.139552763825122</v>
      </c>
    </row>
    <row r="3689" spans="2:7">
      <c r="B3689" t="s">
        <v>2</v>
      </c>
      <c r="C3689" s="2">
        <v>36700</v>
      </c>
      <c r="D3689" t="s">
        <v>6</v>
      </c>
      <c r="E3689">
        <v>7.4071069999999999</v>
      </c>
      <c r="F3689">
        <f t="shared" si="114"/>
        <v>3.3756999999999593E-2</v>
      </c>
      <c r="G3689">
        <f t="shared" si="115"/>
        <v>97.749605487734655</v>
      </c>
    </row>
    <row r="3690" spans="2:7">
      <c r="B3690" t="s">
        <v>2</v>
      </c>
      <c r="C3690" s="2">
        <v>36699</v>
      </c>
      <c r="D3690" t="s">
        <v>6</v>
      </c>
      <c r="E3690">
        <v>7.3733500000000003</v>
      </c>
      <c r="F3690">
        <f t="shared" si="114"/>
        <v>2.9211000000000098E-2</v>
      </c>
      <c r="G3690">
        <f t="shared" si="115"/>
        <v>97.628664666288444</v>
      </c>
    </row>
    <row r="3691" spans="2:7">
      <c r="B3691" t="s">
        <v>2</v>
      </c>
      <c r="C3691" s="2">
        <v>36698</v>
      </c>
      <c r="D3691" t="s">
        <v>6</v>
      </c>
      <c r="E3691">
        <v>7.3441390000000002</v>
      </c>
      <c r="F3691">
        <f t="shared" si="114"/>
        <v>8.3104999999999762E-2</v>
      </c>
      <c r="G3691">
        <f t="shared" si="115"/>
        <v>97.590855076006477</v>
      </c>
    </row>
    <row r="3692" spans="2:7">
      <c r="B3692" t="s">
        <v>2</v>
      </c>
      <c r="C3692" s="2">
        <v>36697</v>
      </c>
      <c r="D3692" t="s">
        <v>6</v>
      </c>
      <c r="E3692">
        <v>7.2610340000000004</v>
      </c>
      <c r="F3692">
        <f t="shared" si="114"/>
        <v>6.3236000000000736E-2</v>
      </c>
      <c r="G3692">
        <f t="shared" si="115"/>
        <v>96.176229398940364</v>
      </c>
    </row>
    <row r="3693" spans="2:7">
      <c r="B3693" t="s">
        <v>2</v>
      </c>
      <c r="C3693" s="2">
        <v>36696</v>
      </c>
      <c r="D3693" t="s">
        <v>6</v>
      </c>
      <c r="E3693">
        <v>7.1977979999999997</v>
      </c>
      <c r="F3693">
        <f t="shared" si="114"/>
        <v>2.8508999999999673E-2</v>
      </c>
      <c r="G3693">
        <f t="shared" si="115"/>
        <v>96.208474866968459</v>
      </c>
    </row>
    <row r="3694" spans="2:7">
      <c r="B3694" t="s">
        <v>2</v>
      </c>
      <c r="C3694" s="2">
        <v>36693</v>
      </c>
      <c r="D3694" t="s">
        <v>6</v>
      </c>
      <c r="E3694">
        <v>7.169289</v>
      </c>
      <c r="F3694">
        <f t="shared" si="114"/>
        <v>-8.384199999999975E-2</v>
      </c>
      <c r="G3694">
        <f t="shared" si="115"/>
        <v>96.191369736389049</v>
      </c>
    </row>
    <row r="3695" spans="2:7">
      <c r="B3695" t="s">
        <v>2</v>
      </c>
      <c r="C3695" s="2">
        <v>36692</v>
      </c>
      <c r="D3695" t="s">
        <v>6</v>
      </c>
      <c r="E3695">
        <v>7.2531309999999998</v>
      </c>
      <c r="F3695">
        <f t="shared" si="114"/>
        <v>-1.9239999999999924E-2</v>
      </c>
      <c r="G3695">
        <f t="shared" si="115"/>
        <v>95.004645930047957</v>
      </c>
    </row>
    <row r="3696" spans="2:7">
      <c r="B3696" t="s">
        <v>2</v>
      </c>
      <c r="C3696" s="2">
        <v>36691</v>
      </c>
      <c r="D3696" t="s">
        <v>6</v>
      </c>
      <c r="E3696">
        <v>7.2723709999999997</v>
      </c>
      <c r="F3696">
        <f t="shared" si="114"/>
        <v>-5.0438000000000649E-2</v>
      </c>
      <c r="G3696">
        <f t="shared" si="115"/>
        <v>95.145462220366113</v>
      </c>
    </row>
    <row r="3697" spans="2:7">
      <c r="B3697" t="s">
        <v>2</v>
      </c>
      <c r="C3697" s="2">
        <v>36690</v>
      </c>
      <c r="D3697" t="s">
        <v>6</v>
      </c>
      <c r="E3697">
        <v>7.3228090000000003</v>
      </c>
      <c r="F3697">
        <f t="shared" si="114"/>
        <v>-2.1665999999999741E-2</v>
      </c>
      <c r="G3697">
        <f t="shared" si="115"/>
        <v>94.756995128976513</v>
      </c>
    </row>
    <row r="3698" spans="2:7">
      <c r="B3698" t="s">
        <v>2</v>
      </c>
      <c r="C3698" s="2">
        <v>36689</v>
      </c>
      <c r="D3698" t="s">
        <v>6</v>
      </c>
      <c r="E3698">
        <v>7.3444750000000001</v>
      </c>
      <c r="F3698">
        <f t="shared" si="114"/>
        <v>-6.0349999999999682E-2</v>
      </c>
      <c r="G3698">
        <f t="shared" si="115"/>
        <v>95.980095905040002</v>
      </c>
    </row>
    <row r="3699" spans="2:7">
      <c r="B3699" t="s">
        <v>2</v>
      </c>
      <c r="C3699" s="2">
        <v>36686</v>
      </c>
      <c r="D3699" t="s">
        <v>6</v>
      </c>
      <c r="E3699">
        <v>7.4048249999999998</v>
      </c>
      <c r="F3699">
        <f t="shared" si="114"/>
        <v>1.7329999999997625E-3</v>
      </c>
      <c r="G3699">
        <f t="shared" si="115"/>
        <v>95.586143681843865</v>
      </c>
    </row>
    <row r="3700" spans="2:7">
      <c r="B3700" t="s">
        <v>2</v>
      </c>
      <c r="C3700" s="2">
        <v>36685</v>
      </c>
      <c r="D3700" t="s">
        <v>6</v>
      </c>
      <c r="E3700">
        <v>7.403092</v>
      </c>
      <c r="F3700">
        <f t="shared" si="114"/>
        <v>3.2731000000000066E-2</v>
      </c>
      <c r="G3700">
        <f t="shared" si="115"/>
        <v>95.60311576463431</v>
      </c>
    </row>
    <row r="3701" spans="2:7">
      <c r="B3701" t="s">
        <v>2</v>
      </c>
      <c r="C3701" s="2">
        <v>36684</v>
      </c>
      <c r="D3701" t="s">
        <v>6</v>
      </c>
      <c r="E3701">
        <v>7.3703609999999999</v>
      </c>
      <c r="F3701">
        <f t="shared" si="114"/>
        <v>1.6897000000000162E-2</v>
      </c>
      <c r="G3701">
        <f t="shared" si="115"/>
        <v>95.481059888855924</v>
      </c>
    </row>
    <row r="3702" spans="2:7">
      <c r="B3702" t="s">
        <v>2</v>
      </c>
      <c r="C3702" s="2">
        <v>36683</v>
      </c>
      <c r="D3702" t="s">
        <v>6</v>
      </c>
      <c r="E3702">
        <v>7.3534639999999998</v>
      </c>
      <c r="F3702">
        <f t="shared" si="114"/>
        <v>3.1841000000000008E-2</v>
      </c>
      <c r="G3702">
        <f t="shared" si="115"/>
        <v>95.408126266240473</v>
      </c>
    </row>
    <row r="3703" spans="2:7">
      <c r="B3703" t="s">
        <v>2</v>
      </c>
      <c r="C3703" s="2">
        <v>36682</v>
      </c>
      <c r="D3703" t="s">
        <v>6</v>
      </c>
      <c r="E3703">
        <v>7.3216229999999998</v>
      </c>
      <c r="F3703">
        <f t="shared" si="114"/>
        <v>-8.6002000000000578E-2</v>
      </c>
      <c r="G3703">
        <f t="shared" si="115"/>
        <v>95.854842190876582</v>
      </c>
    </row>
    <row r="3704" spans="2:7">
      <c r="B3704" t="s">
        <v>2</v>
      </c>
      <c r="C3704" s="2">
        <v>36679</v>
      </c>
      <c r="D3704" t="s">
        <v>6</v>
      </c>
      <c r="E3704">
        <v>7.4076250000000003</v>
      </c>
      <c r="F3704">
        <f t="shared" si="114"/>
        <v>-0.1125689999999997</v>
      </c>
      <c r="G3704">
        <f t="shared" si="115"/>
        <v>94.335220133228802</v>
      </c>
    </row>
    <row r="3705" spans="2:7">
      <c r="B3705" t="s">
        <v>2</v>
      </c>
      <c r="C3705" s="2">
        <v>36678</v>
      </c>
      <c r="D3705" t="s">
        <v>6</v>
      </c>
      <c r="E3705">
        <v>7.520194</v>
      </c>
      <c r="F3705">
        <f t="shared" si="114"/>
        <v>-0.12037799999999965</v>
      </c>
      <c r="G3705">
        <f t="shared" si="115"/>
        <v>91.396605238140495</v>
      </c>
    </row>
    <row r="3706" spans="2:7">
      <c r="B3706" t="s">
        <v>2</v>
      </c>
      <c r="C3706" s="2">
        <v>36677</v>
      </c>
      <c r="D3706" t="s">
        <v>6</v>
      </c>
      <c r="E3706">
        <v>7.6405719999999997</v>
      </c>
      <c r="F3706">
        <f t="shared" si="114"/>
        <v>-7.3672000000000182E-2</v>
      </c>
      <c r="G3706">
        <f t="shared" si="115"/>
        <v>87.845485069083651</v>
      </c>
    </row>
    <row r="3707" spans="2:7">
      <c r="B3707" t="s">
        <v>2</v>
      </c>
      <c r="C3707" s="2">
        <v>36676</v>
      </c>
      <c r="D3707" t="s">
        <v>6</v>
      </c>
      <c r="E3707">
        <v>7.7142439999999999</v>
      </c>
      <c r="F3707">
        <f t="shared" si="114"/>
        <v>6.1162999999999634E-2</v>
      </c>
      <c r="G3707">
        <f t="shared" si="115"/>
        <v>86.749426812056441</v>
      </c>
    </row>
    <row r="3708" spans="2:7">
      <c r="B3708" t="s">
        <v>2</v>
      </c>
      <c r="C3708" s="2">
        <v>36672</v>
      </c>
      <c r="D3708" t="s">
        <v>6</v>
      </c>
      <c r="E3708">
        <v>7.6530810000000002</v>
      </c>
      <c r="F3708">
        <f t="shared" si="114"/>
        <v>-3.3469999999999445E-2</v>
      </c>
      <c r="G3708">
        <f t="shared" si="115"/>
        <v>86.646919494454792</v>
      </c>
    </row>
    <row r="3709" spans="2:7">
      <c r="B3709" t="s">
        <v>2</v>
      </c>
      <c r="C3709" s="2">
        <v>36671</v>
      </c>
      <c r="D3709" t="s">
        <v>6</v>
      </c>
      <c r="E3709">
        <v>7.6865509999999997</v>
      </c>
      <c r="F3709">
        <f t="shared" si="114"/>
        <v>-7.7317999999999998E-2</v>
      </c>
      <c r="G3709">
        <f t="shared" si="115"/>
        <v>86.302044614194358</v>
      </c>
    </row>
    <row r="3710" spans="2:7">
      <c r="B3710" t="s">
        <v>2</v>
      </c>
      <c r="C3710" s="2">
        <v>36670</v>
      </c>
      <c r="D3710" t="s">
        <v>6</v>
      </c>
      <c r="E3710">
        <v>7.7638689999999997</v>
      </c>
      <c r="F3710">
        <f t="shared" si="114"/>
        <v>-6.5000000000203784E-5</v>
      </c>
      <c r="G3710">
        <f t="shared" si="115"/>
        <v>85.175602854331885</v>
      </c>
    </row>
    <row r="3711" spans="2:7">
      <c r="B3711" t="s">
        <v>2</v>
      </c>
      <c r="C3711" s="2">
        <v>36669</v>
      </c>
      <c r="D3711" t="s">
        <v>6</v>
      </c>
      <c r="E3711">
        <v>7.7639339999999999</v>
      </c>
      <c r="F3711">
        <f t="shared" si="114"/>
        <v>5.3890000000000882E-3</v>
      </c>
      <c r="G3711">
        <f t="shared" si="115"/>
        <v>85.302970033370599</v>
      </c>
    </row>
    <row r="3712" spans="2:7">
      <c r="B3712" t="s">
        <v>2</v>
      </c>
      <c r="C3712" s="2">
        <v>36668</v>
      </c>
      <c r="D3712" t="s">
        <v>6</v>
      </c>
      <c r="E3712">
        <v>7.7585449999999998</v>
      </c>
      <c r="F3712">
        <f t="shared" si="114"/>
        <v>-8.370600000000028E-2</v>
      </c>
      <c r="G3712">
        <f t="shared" si="115"/>
        <v>86.402047084274017</v>
      </c>
    </row>
    <row r="3713" spans="2:7">
      <c r="B3713" t="s">
        <v>2</v>
      </c>
      <c r="C3713" s="2">
        <v>36665</v>
      </c>
      <c r="D3713" t="s">
        <v>6</v>
      </c>
      <c r="E3713">
        <v>7.8422510000000001</v>
      </c>
      <c r="F3713">
        <f t="shared" si="114"/>
        <v>-5.7444999999999524E-2</v>
      </c>
      <c r="G3713">
        <f t="shared" si="115"/>
        <v>84.368381693410271</v>
      </c>
    </row>
    <row r="3714" spans="2:7">
      <c r="B3714" t="s">
        <v>2</v>
      </c>
      <c r="C3714" s="2">
        <v>36664</v>
      </c>
      <c r="D3714" t="s">
        <v>6</v>
      </c>
      <c r="E3714">
        <v>7.8996959999999996</v>
      </c>
      <c r="F3714">
        <f t="shared" si="114"/>
        <v>8.7776999999999994E-2</v>
      </c>
      <c r="G3714">
        <f t="shared" si="115"/>
        <v>84.868880667699003</v>
      </c>
    </row>
    <row r="3715" spans="2:7">
      <c r="B3715" t="s">
        <v>2</v>
      </c>
      <c r="C3715" s="2">
        <v>36663</v>
      </c>
      <c r="D3715" t="s">
        <v>6</v>
      </c>
      <c r="E3715">
        <v>7.8119189999999996</v>
      </c>
      <c r="F3715">
        <f t="shared" ref="F3715:F3778" si="116">E3715-E3716</f>
        <v>6.3663000000000025E-2</v>
      </c>
      <c r="G3715">
        <f t="shared" ref="G3715:G3778" si="117">STDEV(F3715:F3774)*SQRT(250)*100</f>
        <v>84.222195594459606</v>
      </c>
    </row>
    <row r="3716" spans="2:7">
      <c r="B3716" t="s">
        <v>2</v>
      </c>
      <c r="C3716" s="2">
        <v>36662</v>
      </c>
      <c r="D3716" t="s">
        <v>6</v>
      </c>
      <c r="E3716">
        <v>7.7482559999999996</v>
      </c>
      <c r="F3716">
        <f t="shared" si="116"/>
        <v>-8.5117000000000331E-2</v>
      </c>
      <c r="G3716">
        <f t="shared" si="117"/>
        <v>87.943509963983729</v>
      </c>
    </row>
    <row r="3717" spans="2:7">
      <c r="B3717" t="s">
        <v>2</v>
      </c>
      <c r="C3717" s="2">
        <v>36661</v>
      </c>
      <c r="D3717" t="s">
        <v>6</v>
      </c>
      <c r="E3717">
        <v>7.8333729999999999</v>
      </c>
      <c r="F3717">
        <f t="shared" si="116"/>
        <v>-1.4407000000000281E-2</v>
      </c>
      <c r="G3717">
        <f t="shared" si="117"/>
        <v>87.279854997465037</v>
      </c>
    </row>
    <row r="3718" spans="2:7">
      <c r="B3718" t="s">
        <v>2</v>
      </c>
      <c r="C3718" s="2">
        <v>36658</v>
      </c>
      <c r="D3718" t="s">
        <v>6</v>
      </c>
      <c r="E3718">
        <v>7.8477800000000002</v>
      </c>
      <c r="F3718">
        <f t="shared" si="116"/>
        <v>9.2407000000000572E-2</v>
      </c>
      <c r="G3718">
        <f t="shared" si="117"/>
        <v>87.204281038429357</v>
      </c>
    </row>
    <row r="3719" spans="2:7">
      <c r="B3719" t="s">
        <v>2</v>
      </c>
      <c r="C3719" s="2">
        <v>36657</v>
      </c>
      <c r="D3719" t="s">
        <v>6</v>
      </c>
      <c r="E3719">
        <v>7.7553729999999996</v>
      </c>
      <c r="F3719">
        <f t="shared" si="116"/>
        <v>-1.0158000000000555E-2</v>
      </c>
      <c r="G3719">
        <f t="shared" si="117"/>
        <v>85.66070654038036</v>
      </c>
    </row>
    <row r="3720" spans="2:7">
      <c r="B3720" t="s">
        <v>2</v>
      </c>
      <c r="C3720" s="2">
        <v>36656</v>
      </c>
      <c r="D3720" t="s">
        <v>6</v>
      </c>
      <c r="E3720">
        <v>7.7655310000000002</v>
      </c>
      <c r="F3720">
        <f t="shared" si="116"/>
        <v>-4.5074999999999754E-2</v>
      </c>
      <c r="G3720">
        <f t="shared" si="117"/>
        <v>85.982653119536636</v>
      </c>
    </row>
    <row r="3721" spans="2:7">
      <c r="B3721" t="s">
        <v>2</v>
      </c>
      <c r="C3721" s="2">
        <v>36655</v>
      </c>
      <c r="D3721" t="s">
        <v>6</v>
      </c>
      <c r="E3721">
        <v>7.8106059999999999</v>
      </c>
      <c r="F3721">
        <f t="shared" si="116"/>
        <v>-4.6950999999999965E-2</v>
      </c>
      <c r="G3721">
        <f t="shared" si="117"/>
        <v>86.653171648540379</v>
      </c>
    </row>
    <row r="3722" spans="2:7">
      <c r="B3722" t="s">
        <v>2</v>
      </c>
      <c r="C3722" s="2">
        <v>36654</v>
      </c>
      <c r="D3722" t="s">
        <v>6</v>
      </c>
      <c r="E3722">
        <v>7.8575569999999999</v>
      </c>
      <c r="F3722">
        <f t="shared" si="116"/>
        <v>4.3217999999999535E-2</v>
      </c>
      <c r="G3722">
        <f t="shared" si="117"/>
        <v>86.347171445740329</v>
      </c>
    </row>
    <row r="3723" spans="2:7">
      <c r="B3723" t="s">
        <v>2</v>
      </c>
      <c r="C3723" s="2">
        <v>36651</v>
      </c>
      <c r="D3723" t="s">
        <v>6</v>
      </c>
      <c r="E3723">
        <v>7.8143390000000004</v>
      </c>
      <c r="F3723">
        <f t="shared" si="116"/>
        <v>6.7925999999999931E-2</v>
      </c>
      <c r="G3723">
        <f t="shared" si="117"/>
        <v>87.280842616130684</v>
      </c>
    </row>
    <row r="3724" spans="2:7">
      <c r="B3724" t="s">
        <v>2</v>
      </c>
      <c r="C3724" s="2">
        <v>36650</v>
      </c>
      <c r="D3724" t="s">
        <v>6</v>
      </c>
      <c r="E3724">
        <v>7.7464130000000004</v>
      </c>
      <c r="F3724">
        <f t="shared" si="116"/>
        <v>9.6648000000000067E-2</v>
      </c>
      <c r="G3724">
        <f t="shared" si="117"/>
        <v>87.396326668542841</v>
      </c>
    </row>
    <row r="3725" spans="2:7">
      <c r="B3725" t="s">
        <v>2</v>
      </c>
      <c r="C3725" s="2">
        <v>36649</v>
      </c>
      <c r="D3725" t="s">
        <v>6</v>
      </c>
      <c r="E3725">
        <v>7.6497650000000004</v>
      </c>
      <c r="F3725">
        <f t="shared" si="116"/>
        <v>0.13619100000000017</v>
      </c>
      <c r="G3725">
        <f t="shared" si="117"/>
        <v>86.470906624060547</v>
      </c>
    </row>
    <row r="3726" spans="2:7">
      <c r="B3726" t="s">
        <v>2</v>
      </c>
      <c r="C3726" s="2">
        <v>36648</v>
      </c>
      <c r="D3726" t="s">
        <v>6</v>
      </c>
      <c r="E3726">
        <v>7.5135740000000002</v>
      </c>
      <c r="F3726">
        <f t="shared" si="116"/>
        <v>6.2138000000000027E-2</v>
      </c>
      <c r="G3726">
        <f t="shared" si="117"/>
        <v>83.046228310473751</v>
      </c>
    </row>
    <row r="3727" spans="2:7">
      <c r="B3727" t="s">
        <v>2</v>
      </c>
      <c r="C3727" s="2">
        <v>36647</v>
      </c>
      <c r="D3727" t="s">
        <v>6</v>
      </c>
      <c r="E3727">
        <v>7.4514360000000002</v>
      </c>
      <c r="F3727">
        <f t="shared" si="116"/>
        <v>3.7799000000000582E-2</v>
      </c>
      <c r="G3727">
        <f t="shared" si="117"/>
        <v>82.251599465395273</v>
      </c>
    </row>
    <row r="3728" spans="2:7">
      <c r="B3728" t="s">
        <v>2</v>
      </c>
      <c r="C3728" s="2">
        <v>36644</v>
      </c>
      <c r="D3728" t="s">
        <v>6</v>
      </c>
      <c r="E3728">
        <v>7.4136369999999996</v>
      </c>
      <c r="F3728">
        <f t="shared" si="116"/>
        <v>-2.2565000000000168E-2</v>
      </c>
      <c r="G3728">
        <f t="shared" si="117"/>
        <v>83.044875336622283</v>
      </c>
    </row>
    <row r="3729" spans="2:7">
      <c r="B3729" t="s">
        <v>2</v>
      </c>
      <c r="C3729" s="2">
        <v>36643</v>
      </c>
      <c r="D3729" t="s">
        <v>6</v>
      </c>
      <c r="E3729">
        <v>7.4362019999999998</v>
      </c>
      <c r="F3729">
        <f t="shared" si="116"/>
        <v>0.1103499999999995</v>
      </c>
      <c r="G3729">
        <f t="shared" si="117"/>
        <v>83.114017821225559</v>
      </c>
    </row>
    <row r="3730" spans="2:7">
      <c r="B3730" t="s">
        <v>2</v>
      </c>
      <c r="C3730" s="2">
        <v>36642</v>
      </c>
      <c r="D3730" t="s">
        <v>6</v>
      </c>
      <c r="E3730">
        <v>7.3258520000000003</v>
      </c>
      <c r="F3730">
        <f t="shared" si="116"/>
        <v>1.0407999999999973E-2</v>
      </c>
      <c r="G3730">
        <f t="shared" si="117"/>
        <v>80.868887925500772</v>
      </c>
    </row>
    <row r="3731" spans="2:7">
      <c r="B3731" t="s">
        <v>2</v>
      </c>
      <c r="C3731" s="2">
        <v>36641</v>
      </c>
      <c r="D3731" t="s">
        <v>6</v>
      </c>
      <c r="E3731">
        <v>7.3154440000000003</v>
      </c>
      <c r="F3731">
        <f t="shared" si="116"/>
        <v>9.4651999999999958E-2</v>
      </c>
      <c r="G3731">
        <f t="shared" si="117"/>
        <v>82.151486715023623</v>
      </c>
    </row>
    <row r="3732" spans="2:7">
      <c r="B3732" t="s">
        <v>2</v>
      </c>
      <c r="C3732" s="2">
        <v>36640</v>
      </c>
      <c r="D3732" t="s">
        <v>6</v>
      </c>
      <c r="E3732">
        <v>7.2207920000000003</v>
      </c>
      <c r="F3732">
        <f t="shared" si="116"/>
        <v>1.4123000000000552E-2</v>
      </c>
      <c r="G3732">
        <f t="shared" si="117"/>
        <v>80.060206214353144</v>
      </c>
    </row>
    <row r="3733" spans="2:7">
      <c r="B3733" t="s">
        <v>2</v>
      </c>
      <c r="C3733" s="2">
        <v>36636</v>
      </c>
      <c r="D3733" t="s">
        <v>6</v>
      </c>
      <c r="E3733">
        <v>7.2066689999999998</v>
      </c>
      <c r="F3733">
        <f t="shared" si="116"/>
        <v>2.2005000000000052E-2</v>
      </c>
      <c r="G3733">
        <f t="shared" si="117"/>
        <v>80.089822745189878</v>
      </c>
    </row>
    <row r="3734" spans="2:7">
      <c r="B3734" t="s">
        <v>2</v>
      </c>
      <c r="C3734" s="2">
        <v>36635</v>
      </c>
      <c r="D3734" t="s">
        <v>6</v>
      </c>
      <c r="E3734">
        <v>7.1846639999999997</v>
      </c>
      <c r="F3734">
        <f t="shared" si="116"/>
        <v>-5.1445000000000185E-2</v>
      </c>
      <c r="G3734">
        <f t="shared" si="117"/>
        <v>79.929472956853104</v>
      </c>
    </row>
    <row r="3735" spans="2:7">
      <c r="B3735" t="s">
        <v>2</v>
      </c>
      <c r="C3735" s="2">
        <v>36634</v>
      </c>
      <c r="D3735" t="s">
        <v>6</v>
      </c>
      <c r="E3735">
        <v>7.2361089999999999</v>
      </c>
      <c r="F3735">
        <f t="shared" si="116"/>
        <v>1.2977000000000238E-2</v>
      </c>
      <c r="G3735">
        <f t="shared" si="117"/>
        <v>79.340982986473549</v>
      </c>
    </row>
    <row r="3736" spans="2:7">
      <c r="B3736" t="s">
        <v>2</v>
      </c>
      <c r="C3736" s="2">
        <v>36633</v>
      </c>
      <c r="D3736" t="s">
        <v>6</v>
      </c>
      <c r="E3736">
        <v>7.2231319999999997</v>
      </c>
      <c r="F3736">
        <f t="shared" si="116"/>
        <v>4.0708999999999662E-2</v>
      </c>
      <c r="G3736">
        <f t="shared" si="117"/>
        <v>81.824050250093336</v>
      </c>
    </row>
    <row r="3737" spans="2:7">
      <c r="B3737" t="s">
        <v>2</v>
      </c>
      <c r="C3737" s="2">
        <v>36630</v>
      </c>
      <c r="D3737" t="s">
        <v>6</v>
      </c>
      <c r="E3737">
        <v>7.182423</v>
      </c>
      <c r="F3737">
        <f t="shared" si="116"/>
        <v>-2.6526999999999745E-2</v>
      </c>
      <c r="G3737">
        <f t="shared" si="117"/>
        <v>81.286598844162711</v>
      </c>
    </row>
    <row r="3738" spans="2:7">
      <c r="B3738" t="s">
        <v>2</v>
      </c>
      <c r="C3738" s="2">
        <v>36629</v>
      </c>
      <c r="D3738" t="s">
        <v>6</v>
      </c>
      <c r="E3738">
        <v>7.2089499999999997</v>
      </c>
      <c r="F3738">
        <f t="shared" si="116"/>
        <v>-5.7828999999999908E-2</v>
      </c>
      <c r="G3738">
        <f t="shared" si="117"/>
        <v>81.449020405660278</v>
      </c>
    </row>
    <row r="3739" spans="2:7">
      <c r="B3739" t="s">
        <v>2</v>
      </c>
      <c r="C3739" s="2">
        <v>36628</v>
      </c>
      <c r="D3739" t="s">
        <v>6</v>
      </c>
      <c r="E3739">
        <v>7.2667789999999997</v>
      </c>
      <c r="F3739">
        <f t="shared" si="116"/>
        <v>5.6426000000000087E-2</v>
      </c>
      <c r="G3739">
        <f t="shared" si="117"/>
        <v>80.760192836828125</v>
      </c>
    </row>
    <row r="3740" spans="2:7">
      <c r="B3740" t="s">
        <v>2</v>
      </c>
      <c r="C3740" s="2">
        <v>36627</v>
      </c>
      <c r="D3740" t="s">
        <v>6</v>
      </c>
      <c r="E3740">
        <v>7.2103529999999996</v>
      </c>
      <c r="F3740">
        <f t="shared" si="116"/>
        <v>5.0752999999999382E-2</v>
      </c>
      <c r="G3740">
        <f t="shared" si="117"/>
        <v>80.899822602040757</v>
      </c>
    </row>
    <row r="3741" spans="2:7">
      <c r="B3741" t="s">
        <v>2</v>
      </c>
      <c r="C3741" s="2">
        <v>36626</v>
      </c>
      <c r="D3741" t="s">
        <v>6</v>
      </c>
      <c r="E3741">
        <v>7.1596000000000002</v>
      </c>
      <c r="F3741">
        <f t="shared" si="116"/>
        <v>-1.394999999999591E-3</v>
      </c>
      <c r="G3741">
        <f t="shared" si="117"/>
        <v>80.937034060221123</v>
      </c>
    </row>
    <row r="3742" spans="2:7">
      <c r="B3742" t="s">
        <v>2</v>
      </c>
      <c r="C3742" s="2">
        <v>36623</v>
      </c>
      <c r="D3742" t="s">
        <v>6</v>
      </c>
      <c r="E3742">
        <v>7.1609949999999998</v>
      </c>
      <c r="F3742">
        <f t="shared" si="116"/>
        <v>-3.9813000000000542E-2</v>
      </c>
      <c r="G3742">
        <f t="shared" si="117"/>
        <v>82.30842708945832</v>
      </c>
    </row>
    <row r="3743" spans="2:7">
      <c r="B3743" t="s">
        <v>2</v>
      </c>
      <c r="C3743" s="2">
        <v>36622</v>
      </c>
      <c r="D3743" t="s">
        <v>6</v>
      </c>
      <c r="E3743">
        <v>7.2008080000000003</v>
      </c>
      <c r="F3743">
        <f t="shared" si="116"/>
        <v>1.7752000000000656E-2</v>
      </c>
      <c r="G3743">
        <f t="shared" si="117"/>
        <v>82.338741084283228</v>
      </c>
    </row>
    <row r="3744" spans="2:7">
      <c r="B3744" t="s">
        <v>2</v>
      </c>
      <c r="C3744" s="2">
        <v>36621</v>
      </c>
      <c r="D3744" t="s">
        <v>6</v>
      </c>
      <c r="E3744">
        <v>7.1830559999999997</v>
      </c>
      <c r="F3744">
        <f t="shared" si="116"/>
        <v>3.9495999999999754E-2</v>
      </c>
      <c r="G3744">
        <f t="shared" si="117"/>
        <v>85.979618684274357</v>
      </c>
    </row>
    <row r="3745" spans="2:7">
      <c r="B3745" t="s">
        <v>2</v>
      </c>
      <c r="C3745" s="2">
        <v>36620</v>
      </c>
      <c r="D3745" t="s">
        <v>6</v>
      </c>
      <c r="E3745">
        <v>7.1435599999999999</v>
      </c>
      <c r="F3745">
        <f t="shared" si="116"/>
        <v>-0.10559199999999969</v>
      </c>
      <c r="G3745">
        <f t="shared" si="117"/>
        <v>86.208897434356828</v>
      </c>
    </row>
    <row r="3746" spans="2:7">
      <c r="B3746" t="s">
        <v>2</v>
      </c>
      <c r="C3746" s="2">
        <v>36619</v>
      </c>
      <c r="D3746" t="s">
        <v>6</v>
      </c>
      <c r="E3746">
        <v>7.2491519999999996</v>
      </c>
      <c r="F3746">
        <f t="shared" si="116"/>
        <v>-3.3372000000000845E-2</v>
      </c>
      <c r="G3746">
        <f t="shared" si="117"/>
        <v>84.945909418510894</v>
      </c>
    </row>
    <row r="3747" spans="2:7">
      <c r="B3747" t="s">
        <v>2</v>
      </c>
      <c r="C3747" s="2">
        <v>36616</v>
      </c>
      <c r="D3747" t="s">
        <v>6</v>
      </c>
      <c r="E3747">
        <v>7.2825240000000004</v>
      </c>
      <c r="F3747">
        <f t="shared" si="116"/>
        <v>-5.8412999999999826E-2</v>
      </c>
      <c r="G3747">
        <f t="shared" si="117"/>
        <v>85.106231858100415</v>
      </c>
    </row>
    <row r="3748" spans="2:7">
      <c r="B3748" t="s">
        <v>2</v>
      </c>
      <c r="C3748" s="2">
        <v>36615</v>
      </c>
      <c r="D3748" t="s">
        <v>6</v>
      </c>
      <c r="E3748">
        <v>7.3409370000000003</v>
      </c>
      <c r="F3748">
        <f t="shared" si="116"/>
        <v>-8.121899999999993E-2</v>
      </c>
      <c r="G3748">
        <f t="shared" si="117"/>
        <v>86.622320651411897</v>
      </c>
    </row>
    <row r="3749" spans="2:7">
      <c r="B3749" t="s">
        <v>2</v>
      </c>
      <c r="C3749" s="2">
        <v>36614</v>
      </c>
      <c r="D3749" t="s">
        <v>6</v>
      </c>
      <c r="E3749">
        <v>7.4221560000000002</v>
      </c>
      <c r="F3749">
        <f t="shared" si="116"/>
        <v>2.4252000000000606E-2</v>
      </c>
      <c r="G3749">
        <f t="shared" si="117"/>
        <v>85.513235788430848</v>
      </c>
    </row>
    <row r="3750" spans="2:7">
      <c r="B3750" t="s">
        <v>2</v>
      </c>
      <c r="C3750" s="2">
        <v>36613</v>
      </c>
      <c r="D3750" t="s">
        <v>6</v>
      </c>
      <c r="E3750">
        <v>7.3979039999999996</v>
      </c>
      <c r="F3750">
        <f t="shared" si="116"/>
        <v>2.6110999999999329E-2</v>
      </c>
      <c r="G3750">
        <f t="shared" si="117"/>
        <v>1499.657130726808</v>
      </c>
    </row>
    <row r="3751" spans="2:7">
      <c r="B3751" t="s">
        <v>2</v>
      </c>
      <c r="C3751" s="2">
        <v>36612</v>
      </c>
      <c r="D3751" t="s">
        <v>6</v>
      </c>
      <c r="E3751">
        <v>7.3717930000000003</v>
      </c>
      <c r="F3751">
        <f t="shared" si="116"/>
        <v>2.3488000000000397E-2</v>
      </c>
      <c r="G3751">
        <f t="shared" si="117"/>
        <v>1512.3930875262054</v>
      </c>
    </row>
    <row r="3752" spans="2:7">
      <c r="B3752" t="s">
        <v>2</v>
      </c>
      <c r="C3752" s="2">
        <v>36609</v>
      </c>
      <c r="D3752" t="s">
        <v>6</v>
      </c>
      <c r="E3752">
        <v>7.3483049999999999</v>
      </c>
      <c r="F3752">
        <f t="shared" si="116"/>
        <v>6.4357999999999471E-2</v>
      </c>
      <c r="G3752">
        <f t="shared" si="117"/>
        <v>1525.4514864810699</v>
      </c>
    </row>
    <row r="3753" spans="2:7">
      <c r="B3753" t="s">
        <v>2</v>
      </c>
      <c r="C3753" s="2">
        <v>36608</v>
      </c>
      <c r="D3753" t="s">
        <v>6</v>
      </c>
      <c r="E3753">
        <v>7.2839470000000004</v>
      </c>
      <c r="F3753">
        <f t="shared" si="116"/>
        <v>-3.1069999999999709E-2</v>
      </c>
      <c r="G3753">
        <f t="shared" si="117"/>
        <v>1538.953972106862</v>
      </c>
    </row>
    <row r="3754" spans="2:7">
      <c r="B3754" t="s">
        <v>2</v>
      </c>
      <c r="C3754" s="2">
        <v>36607</v>
      </c>
      <c r="D3754" t="s">
        <v>6</v>
      </c>
      <c r="E3754">
        <v>7.3150170000000001</v>
      </c>
      <c r="F3754">
        <f t="shared" si="116"/>
        <v>3.6489999999999689E-2</v>
      </c>
      <c r="G3754">
        <f t="shared" si="117"/>
        <v>1552.5054570629877</v>
      </c>
    </row>
    <row r="3755" spans="2:7">
      <c r="B3755" t="s">
        <v>2</v>
      </c>
      <c r="C3755" s="2">
        <v>36606</v>
      </c>
      <c r="D3755" t="s">
        <v>6</v>
      </c>
      <c r="E3755">
        <v>7.2785270000000004</v>
      </c>
      <c r="F3755">
        <f t="shared" si="116"/>
        <v>-3.186599999999995E-2</v>
      </c>
      <c r="G3755">
        <f t="shared" si="117"/>
        <v>1566.681260273029</v>
      </c>
    </row>
    <row r="3756" spans="2:7">
      <c r="B3756" t="s">
        <v>2</v>
      </c>
      <c r="C3756" s="2">
        <v>36605</v>
      </c>
      <c r="D3756" t="s">
        <v>6</v>
      </c>
      <c r="E3756">
        <v>7.3103930000000004</v>
      </c>
      <c r="F3756">
        <f t="shared" si="116"/>
        <v>2.8402000000000704E-2</v>
      </c>
      <c r="G3756">
        <f t="shared" si="117"/>
        <v>1580.9825851953458</v>
      </c>
    </row>
    <row r="3757" spans="2:7">
      <c r="B3757" t="s">
        <v>2</v>
      </c>
      <c r="C3757" s="2">
        <v>36602</v>
      </c>
      <c r="D3757" t="s">
        <v>6</v>
      </c>
      <c r="E3757">
        <v>7.2819909999999997</v>
      </c>
      <c r="F3757">
        <f t="shared" si="116"/>
        <v>-7.7142000000000266E-2</v>
      </c>
      <c r="G3757">
        <f t="shared" si="117"/>
        <v>1595.9363375581138</v>
      </c>
    </row>
    <row r="3758" spans="2:7">
      <c r="B3758" t="s">
        <v>2</v>
      </c>
      <c r="C3758" s="2">
        <v>36601</v>
      </c>
      <c r="D3758" t="s">
        <v>6</v>
      </c>
      <c r="E3758">
        <v>7.3591329999999999</v>
      </c>
      <c r="F3758">
        <f t="shared" si="116"/>
        <v>-4.3099999999999916E-2</v>
      </c>
      <c r="G3758">
        <f t="shared" si="117"/>
        <v>1610.7931672062271</v>
      </c>
    </row>
    <row r="3759" spans="2:7">
      <c r="B3759" t="s">
        <v>2</v>
      </c>
      <c r="C3759" s="2">
        <v>36600</v>
      </c>
      <c r="D3759" t="s">
        <v>6</v>
      </c>
      <c r="E3759">
        <v>7.4022329999999998</v>
      </c>
      <c r="F3759">
        <f t="shared" si="116"/>
        <v>-8.9760000000005391E-3</v>
      </c>
      <c r="G3759">
        <f t="shared" si="117"/>
        <v>1626.2871957198922</v>
      </c>
    </row>
    <row r="3760" spans="2:7">
      <c r="B3760" t="s">
        <v>2</v>
      </c>
      <c r="C3760" s="2">
        <v>36599</v>
      </c>
      <c r="D3760" t="s">
        <v>6</v>
      </c>
      <c r="E3760">
        <v>7.4112090000000004</v>
      </c>
      <c r="F3760">
        <f t="shared" si="116"/>
        <v>-2.4300999999999462E-2</v>
      </c>
      <c r="G3760">
        <f t="shared" si="117"/>
        <v>1642.4218912507417</v>
      </c>
    </row>
    <row r="3761" spans="2:7">
      <c r="B3761" t="s">
        <v>2</v>
      </c>
      <c r="C3761" s="2">
        <v>36598</v>
      </c>
      <c r="D3761" t="s">
        <v>6</v>
      </c>
      <c r="E3761">
        <v>7.4355099999999998</v>
      </c>
      <c r="F3761">
        <f t="shared" si="116"/>
        <v>-1.9410000000004146E-3</v>
      </c>
      <c r="G3761">
        <f t="shared" si="117"/>
        <v>1658.9655587802561</v>
      </c>
    </row>
    <row r="3762" spans="2:7">
      <c r="B3762" t="s">
        <v>2</v>
      </c>
      <c r="C3762" s="2">
        <v>36595</v>
      </c>
      <c r="D3762" t="s">
        <v>6</v>
      </c>
      <c r="E3762">
        <v>7.4374510000000003</v>
      </c>
      <c r="F3762">
        <f t="shared" si="116"/>
        <v>5.4546000000000205E-2</v>
      </c>
      <c r="G3762">
        <f t="shared" si="117"/>
        <v>1676.1386989249906</v>
      </c>
    </row>
    <row r="3763" spans="2:7">
      <c r="B3763" t="s">
        <v>2</v>
      </c>
      <c r="C3763" s="2">
        <v>36594</v>
      </c>
      <c r="D3763" t="s">
        <v>6</v>
      </c>
      <c r="E3763">
        <v>7.3829050000000001</v>
      </c>
      <c r="F3763">
        <f t="shared" si="116"/>
        <v>-2.2649999999999615E-2</v>
      </c>
      <c r="G3763">
        <f t="shared" si="117"/>
        <v>1694.0945192664337</v>
      </c>
    </row>
    <row r="3764" spans="2:7">
      <c r="B3764" t="s">
        <v>2</v>
      </c>
      <c r="C3764" s="2">
        <v>36593</v>
      </c>
      <c r="D3764" t="s">
        <v>6</v>
      </c>
      <c r="E3764">
        <v>7.4055549999999997</v>
      </c>
      <c r="F3764">
        <f t="shared" si="116"/>
        <v>5.676999999999488E-3</v>
      </c>
      <c r="G3764">
        <f t="shared" si="117"/>
        <v>1712.2789975397004</v>
      </c>
    </row>
    <row r="3765" spans="2:7">
      <c r="B3765" t="s">
        <v>2</v>
      </c>
      <c r="C3765" s="2">
        <v>36592</v>
      </c>
      <c r="D3765" t="s">
        <v>6</v>
      </c>
      <c r="E3765">
        <v>7.3998780000000002</v>
      </c>
      <c r="F3765">
        <f t="shared" si="116"/>
        <v>-1.053000000000015E-2</v>
      </c>
      <c r="G3765">
        <f t="shared" si="117"/>
        <v>1731.2228058034982</v>
      </c>
    </row>
    <row r="3766" spans="2:7">
      <c r="B3766" t="s">
        <v>2</v>
      </c>
      <c r="C3766" s="2">
        <v>36591</v>
      </c>
      <c r="D3766" t="s">
        <v>6</v>
      </c>
      <c r="E3766">
        <v>7.4104080000000003</v>
      </c>
      <c r="F3766">
        <f t="shared" si="116"/>
        <v>4.5399999999999885E-2</v>
      </c>
      <c r="G3766">
        <f t="shared" si="117"/>
        <v>1750.7177829180453</v>
      </c>
    </row>
    <row r="3767" spans="2:7">
      <c r="B3767" t="s">
        <v>2</v>
      </c>
      <c r="C3767" s="2">
        <v>36588</v>
      </c>
      <c r="D3767" t="s">
        <v>6</v>
      </c>
      <c r="E3767">
        <v>7.3650080000000004</v>
      </c>
      <c r="F3767">
        <f t="shared" si="116"/>
        <v>-4.7470999999999819E-2</v>
      </c>
      <c r="G3767">
        <f t="shared" si="117"/>
        <v>1771.1768675168823</v>
      </c>
    </row>
    <row r="3768" spans="2:7">
      <c r="B3768" t="s">
        <v>2</v>
      </c>
      <c r="C3768" s="2">
        <v>36587</v>
      </c>
      <c r="D3768" t="s">
        <v>6</v>
      </c>
      <c r="E3768">
        <v>7.4124790000000003</v>
      </c>
      <c r="F3768">
        <f t="shared" si="116"/>
        <v>9.2579999999999885E-3</v>
      </c>
      <c r="G3768">
        <f t="shared" si="117"/>
        <v>1791.81307096914</v>
      </c>
    </row>
    <row r="3769" spans="2:7">
      <c r="B3769" t="s">
        <v>2</v>
      </c>
      <c r="C3769" s="2">
        <v>36586</v>
      </c>
      <c r="D3769" t="s">
        <v>6</v>
      </c>
      <c r="E3769">
        <v>7.4032210000000003</v>
      </c>
      <c r="F3769">
        <f t="shared" si="116"/>
        <v>-4.2104000000000141E-2</v>
      </c>
      <c r="G3769">
        <f t="shared" si="117"/>
        <v>1813.5789048275772</v>
      </c>
    </row>
    <row r="3770" spans="2:7">
      <c r="B3770" t="s">
        <v>2</v>
      </c>
      <c r="C3770" s="2">
        <v>36585</v>
      </c>
      <c r="D3770" t="s">
        <v>6</v>
      </c>
      <c r="E3770">
        <v>7.4453250000000004</v>
      </c>
      <c r="F3770">
        <f t="shared" si="116"/>
        <v>-1.807299999999934E-2</v>
      </c>
      <c r="G3770">
        <f t="shared" si="117"/>
        <v>1835.7956679989932</v>
      </c>
    </row>
    <row r="3771" spans="2:7">
      <c r="B3771" t="s">
        <v>2</v>
      </c>
      <c r="C3771" s="2">
        <v>36584</v>
      </c>
      <c r="D3771" t="s">
        <v>6</v>
      </c>
      <c r="E3771">
        <v>7.4633979999999998</v>
      </c>
      <c r="F3771">
        <f t="shared" si="116"/>
        <v>7.2302999999999784E-2</v>
      </c>
      <c r="G3771">
        <f t="shared" si="117"/>
        <v>1859.0373868115562</v>
      </c>
    </row>
    <row r="3772" spans="2:7">
      <c r="B3772" t="s">
        <v>2</v>
      </c>
      <c r="C3772" s="2">
        <v>36581</v>
      </c>
      <c r="D3772" t="s">
        <v>6</v>
      </c>
      <c r="E3772">
        <v>7.391095</v>
      </c>
      <c r="F3772">
        <f t="shared" si="116"/>
        <v>4.4279999999998765E-3</v>
      </c>
      <c r="G3772">
        <f t="shared" si="117"/>
        <v>1883.7310994937588</v>
      </c>
    </row>
    <row r="3773" spans="2:7">
      <c r="B3773" t="s">
        <v>2</v>
      </c>
      <c r="C3773" s="2">
        <v>36580</v>
      </c>
      <c r="D3773" t="s">
        <v>6</v>
      </c>
      <c r="E3773">
        <v>7.3866670000000001</v>
      </c>
      <c r="F3773">
        <f t="shared" si="116"/>
        <v>-7.1350999999999942E-2</v>
      </c>
      <c r="G3773">
        <f t="shared" si="117"/>
        <v>1909.0400711055534</v>
      </c>
    </row>
    <row r="3774" spans="2:7">
      <c r="B3774" t="s">
        <v>2</v>
      </c>
      <c r="C3774" s="2">
        <v>36579</v>
      </c>
      <c r="D3774" t="s">
        <v>6</v>
      </c>
      <c r="E3774">
        <v>7.458018</v>
      </c>
      <c r="F3774">
        <f t="shared" si="116"/>
        <v>6.9742999999999888E-2</v>
      </c>
      <c r="G3774">
        <f t="shared" si="117"/>
        <v>1934.7272543436748</v>
      </c>
    </row>
    <row r="3775" spans="2:7">
      <c r="B3775" t="s">
        <v>2</v>
      </c>
      <c r="C3775" s="2">
        <v>36578</v>
      </c>
      <c r="D3775" t="s">
        <v>6</v>
      </c>
      <c r="E3775">
        <v>7.3882750000000001</v>
      </c>
      <c r="F3775">
        <f t="shared" si="116"/>
        <v>-0.13060899999999975</v>
      </c>
      <c r="G3775">
        <f t="shared" si="117"/>
        <v>1962.6090958308491</v>
      </c>
    </row>
    <row r="3776" spans="2:7">
      <c r="B3776" t="s">
        <v>2</v>
      </c>
      <c r="C3776" s="2">
        <v>36574</v>
      </c>
      <c r="D3776" t="s">
        <v>6</v>
      </c>
      <c r="E3776">
        <v>7.5188839999999999</v>
      </c>
      <c r="F3776">
        <f t="shared" si="116"/>
        <v>-6.8084999999999951E-2</v>
      </c>
      <c r="G3776">
        <f t="shared" si="117"/>
        <v>1989.8369415704942</v>
      </c>
    </row>
    <row r="3777" spans="2:7">
      <c r="B3777" t="s">
        <v>2</v>
      </c>
      <c r="C3777" s="2">
        <v>36573</v>
      </c>
      <c r="D3777" t="s">
        <v>6</v>
      </c>
      <c r="E3777">
        <v>7.5869689999999999</v>
      </c>
      <c r="F3777">
        <f t="shared" si="116"/>
        <v>1.0584999999999845E-2</v>
      </c>
      <c r="G3777">
        <f t="shared" si="117"/>
        <v>2019.0221518810213</v>
      </c>
    </row>
    <row r="3778" spans="2:7">
      <c r="B3778" t="s">
        <v>2</v>
      </c>
      <c r="C3778" s="2">
        <v>36572</v>
      </c>
      <c r="D3778" t="s">
        <v>6</v>
      </c>
      <c r="E3778">
        <v>7.576384</v>
      </c>
      <c r="F3778">
        <f t="shared" si="116"/>
        <v>4.2829000000000228E-2</v>
      </c>
      <c r="G3778">
        <f t="shared" si="117"/>
        <v>2050.3532328409392</v>
      </c>
    </row>
    <row r="3779" spans="2:7">
      <c r="B3779" t="s">
        <v>2</v>
      </c>
      <c r="C3779" s="2">
        <v>36571</v>
      </c>
      <c r="D3779" t="s">
        <v>6</v>
      </c>
      <c r="E3779">
        <v>7.5335549999999998</v>
      </c>
      <c r="F3779">
        <f t="shared" ref="F3779:F3809" si="118">E3779-E3780</f>
        <v>4.2980000000000018E-2</v>
      </c>
      <c r="G3779">
        <f t="shared" ref="G3779:G3809" si="119">STDEV(F3779:F3838)*SQRT(250)*100</f>
        <v>2083.4693956286533</v>
      </c>
    </row>
    <row r="3780" spans="2:7">
      <c r="B3780" t="s">
        <v>2</v>
      </c>
      <c r="C3780" s="2">
        <v>36570</v>
      </c>
      <c r="D3780" t="s">
        <v>6</v>
      </c>
      <c r="E3780">
        <v>7.4905749999999998</v>
      </c>
      <c r="F3780">
        <f t="shared" si="118"/>
        <v>-6.7571000000000048E-2</v>
      </c>
      <c r="G3780">
        <f t="shared" si="119"/>
        <v>2118.2456076206845</v>
      </c>
    </row>
    <row r="3781" spans="2:7">
      <c r="B3781" t="s">
        <v>2</v>
      </c>
      <c r="C3781" s="2">
        <v>36567</v>
      </c>
      <c r="D3781" t="s">
        <v>6</v>
      </c>
      <c r="E3781">
        <v>7.5581459999999998</v>
      </c>
      <c r="F3781">
        <f t="shared" si="118"/>
        <v>-3.2822000000000351E-2</v>
      </c>
      <c r="G3781">
        <f t="shared" si="119"/>
        <v>2153.5822527195364</v>
      </c>
    </row>
    <row r="3782" spans="2:7">
      <c r="B3782" t="s">
        <v>2</v>
      </c>
      <c r="C3782" s="2">
        <v>36566</v>
      </c>
      <c r="D3782" t="s">
        <v>6</v>
      </c>
      <c r="E3782">
        <v>7.5909680000000002</v>
      </c>
      <c r="F3782">
        <f t="shared" si="118"/>
        <v>7.7580000000000204E-2</v>
      </c>
      <c r="G3782">
        <f t="shared" si="119"/>
        <v>2191.2172761803649</v>
      </c>
    </row>
    <row r="3783" spans="2:7">
      <c r="B3783" t="s">
        <v>2</v>
      </c>
      <c r="C3783" s="2">
        <v>36565</v>
      </c>
      <c r="D3783" t="s">
        <v>6</v>
      </c>
      <c r="E3783">
        <v>7.513388</v>
      </c>
      <c r="F3783">
        <f t="shared" si="118"/>
        <v>7.1603999999999779E-2</v>
      </c>
      <c r="G3783">
        <f t="shared" si="119"/>
        <v>2232.1221060153784</v>
      </c>
    </row>
    <row r="3784" spans="2:7">
      <c r="B3784" t="s">
        <v>2</v>
      </c>
      <c r="C3784" s="2">
        <v>36564</v>
      </c>
      <c r="D3784" t="s">
        <v>6</v>
      </c>
      <c r="E3784">
        <v>7.4417840000000002</v>
      </c>
      <c r="F3784">
        <f t="shared" si="118"/>
        <v>-6.5831000000000195E-2</v>
      </c>
      <c r="G3784">
        <f t="shared" si="119"/>
        <v>2275.3523569357881</v>
      </c>
    </row>
    <row r="3785" spans="2:7">
      <c r="B3785" t="s">
        <v>2</v>
      </c>
      <c r="C3785" s="2">
        <v>36563</v>
      </c>
      <c r="D3785" t="s">
        <v>6</v>
      </c>
      <c r="E3785">
        <v>7.5076150000000004</v>
      </c>
      <c r="F3785">
        <f t="shared" si="118"/>
        <v>6.7832000000000114E-2</v>
      </c>
      <c r="G3785">
        <f t="shared" si="119"/>
        <v>2319.3790516168692</v>
      </c>
    </row>
    <row r="3786" spans="2:7">
      <c r="B3786" t="s">
        <v>2</v>
      </c>
      <c r="C3786" s="2">
        <v>36560</v>
      </c>
      <c r="D3786" t="s">
        <v>6</v>
      </c>
      <c r="E3786">
        <v>7.4397830000000003</v>
      </c>
      <c r="F3786">
        <f t="shared" si="118"/>
        <v>2.6355000000000572E-2</v>
      </c>
      <c r="G3786">
        <f t="shared" si="119"/>
        <v>2367.9721845389827</v>
      </c>
    </row>
    <row r="3787" spans="2:7">
      <c r="B3787" t="s">
        <v>2</v>
      </c>
      <c r="C3787" s="2">
        <v>36559</v>
      </c>
      <c r="D3787" t="s">
        <v>6</v>
      </c>
      <c r="E3787">
        <v>7.4134279999999997</v>
      </c>
      <c r="F3787">
        <f t="shared" si="118"/>
        <v>-6.7639000000000671E-2</v>
      </c>
      <c r="G3787">
        <f t="shared" si="119"/>
        <v>2419.2208949445367</v>
      </c>
    </row>
    <row r="3788" spans="2:7">
      <c r="B3788" t="s">
        <v>2</v>
      </c>
      <c r="C3788" s="2">
        <v>36558</v>
      </c>
      <c r="D3788" t="s">
        <v>6</v>
      </c>
      <c r="E3788">
        <v>7.4810670000000004</v>
      </c>
      <c r="F3788">
        <f t="shared" si="118"/>
        <v>2.6647000000000531E-2</v>
      </c>
      <c r="G3788">
        <f t="shared" si="119"/>
        <v>2472.3268171802756</v>
      </c>
    </row>
    <row r="3789" spans="2:7">
      <c r="B3789" t="s">
        <v>2</v>
      </c>
      <c r="C3789" s="2">
        <v>36557</v>
      </c>
      <c r="D3789" t="s">
        <v>6</v>
      </c>
      <c r="E3789">
        <v>7.4544199999999998</v>
      </c>
      <c r="F3789">
        <f t="shared" si="118"/>
        <v>-6.4041000000000459E-2</v>
      </c>
      <c r="G3789">
        <f t="shared" si="119"/>
        <v>2530.8412982912164</v>
      </c>
    </row>
    <row r="3790" spans="2:7">
      <c r="B3790" t="s">
        <v>2</v>
      </c>
      <c r="C3790" s="2">
        <v>36556</v>
      </c>
      <c r="D3790" t="s">
        <v>6</v>
      </c>
      <c r="E3790">
        <v>7.5184610000000003</v>
      </c>
      <c r="F3790">
        <f t="shared" si="118"/>
        <v>6.8738999999999884E-2</v>
      </c>
      <c r="G3790">
        <f t="shared" si="119"/>
        <v>2591.9132994201241</v>
      </c>
    </row>
    <row r="3791" spans="2:7">
      <c r="B3791" t="s">
        <v>2</v>
      </c>
      <c r="C3791" s="2">
        <v>36553</v>
      </c>
      <c r="D3791" t="s">
        <v>6</v>
      </c>
      <c r="E3791">
        <v>7.4497220000000004</v>
      </c>
      <c r="F3791">
        <f t="shared" si="118"/>
        <v>3.5706000000000238E-2</v>
      </c>
      <c r="G3791">
        <f t="shared" si="119"/>
        <v>2660.3462110023388</v>
      </c>
    </row>
    <row r="3792" spans="2:7">
      <c r="B3792" t="s">
        <v>2</v>
      </c>
      <c r="C3792" s="2">
        <v>36552</v>
      </c>
      <c r="D3792" t="s">
        <v>6</v>
      </c>
      <c r="E3792">
        <v>7.4140160000000002</v>
      </c>
      <c r="F3792">
        <f t="shared" si="118"/>
        <v>1.7098999999999975E-2</v>
      </c>
      <c r="G3792">
        <f t="shared" si="119"/>
        <v>2733.8702369317107</v>
      </c>
    </row>
    <row r="3793" spans="2:7">
      <c r="B3793" t="s">
        <v>2</v>
      </c>
      <c r="C3793" s="2">
        <v>36551</v>
      </c>
      <c r="D3793" t="s">
        <v>6</v>
      </c>
      <c r="E3793">
        <v>7.3969170000000002</v>
      </c>
      <c r="F3793">
        <f t="shared" si="118"/>
        <v>-9.8959999999994608E-3</v>
      </c>
      <c r="G3793">
        <f t="shared" si="119"/>
        <v>2813.4300693532064</v>
      </c>
    </row>
    <row r="3794" spans="2:7">
      <c r="B3794" t="s">
        <v>2</v>
      </c>
      <c r="C3794" s="2">
        <v>36550</v>
      </c>
      <c r="D3794" t="s">
        <v>6</v>
      </c>
      <c r="E3794">
        <v>7.4068129999999996</v>
      </c>
      <c r="F3794">
        <f t="shared" si="118"/>
        <v>7.4879999999994951E-3</v>
      </c>
      <c r="G3794">
        <f t="shared" si="119"/>
        <v>2899.6573987914053</v>
      </c>
    </row>
    <row r="3795" spans="2:7">
      <c r="B3795" t="s">
        <v>2</v>
      </c>
      <c r="C3795" s="2">
        <v>36549</v>
      </c>
      <c r="D3795" t="s">
        <v>6</v>
      </c>
      <c r="E3795">
        <v>7.3993250000000002</v>
      </c>
      <c r="F3795">
        <f t="shared" si="118"/>
        <v>-0.10227999999999948</v>
      </c>
      <c r="G3795">
        <f t="shared" si="119"/>
        <v>2994.8415871851735</v>
      </c>
    </row>
    <row r="3796" spans="2:7">
      <c r="B3796" t="s">
        <v>2</v>
      </c>
      <c r="C3796" s="2">
        <v>36546</v>
      </c>
      <c r="D3796" t="s">
        <v>6</v>
      </c>
      <c r="E3796">
        <v>7.5016049999999996</v>
      </c>
      <c r="F3796">
        <f t="shared" si="118"/>
        <v>-1.0207000000000299E-2</v>
      </c>
      <c r="G3796">
        <f t="shared" si="119"/>
        <v>3096.1138442469269</v>
      </c>
    </row>
    <row r="3797" spans="2:7">
      <c r="B3797" t="s">
        <v>2</v>
      </c>
      <c r="C3797" s="2">
        <v>36545</v>
      </c>
      <c r="D3797" t="s">
        <v>6</v>
      </c>
      <c r="E3797">
        <v>7.5118119999999999</v>
      </c>
      <c r="F3797">
        <f t="shared" si="118"/>
        <v>2.7912999999999855E-2</v>
      </c>
      <c r="G3797">
        <f t="shared" si="119"/>
        <v>3212.1416342464299</v>
      </c>
    </row>
    <row r="3798" spans="2:7">
      <c r="B3798" t="s">
        <v>2</v>
      </c>
      <c r="C3798" s="2">
        <v>36544</v>
      </c>
      <c r="D3798" t="s">
        <v>6</v>
      </c>
      <c r="E3798">
        <v>7.4838990000000001</v>
      </c>
      <c r="F3798">
        <f t="shared" si="118"/>
        <v>-1.9506999999999941E-2</v>
      </c>
      <c r="G3798">
        <f t="shared" si="119"/>
        <v>3343.8575698169134</v>
      </c>
    </row>
    <row r="3799" spans="2:7">
      <c r="B3799" t="s">
        <v>2</v>
      </c>
      <c r="C3799" s="2">
        <v>36543</v>
      </c>
      <c r="D3799" t="s">
        <v>6</v>
      </c>
      <c r="E3799">
        <v>7.503406</v>
      </c>
      <c r="F3799">
        <f t="shared" si="118"/>
        <v>6.0690000000000133E-2</v>
      </c>
      <c r="G3799">
        <f t="shared" si="119"/>
        <v>3490.9461480568425</v>
      </c>
    </row>
    <row r="3800" spans="2:7">
      <c r="B3800" t="s">
        <v>2</v>
      </c>
      <c r="C3800" s="2">
        <v>36539</v>
      </c>
      <c r="D3800" t="s">
        <v>6</v>
      </c>
      <c r="E3800">
        <v>7.4427159999999999</v>
      </c>
      <c r="F3800">
        <f t="shared" si="118"/>
        <v>5.2038999999999724E-2</v>
      </c>
      <c r="G3800">
        <f t="shared" si="119"/>
        <v>3663.7115582910055</v>
      </c>
    </row>
    <row r="3801" spans="2:7">
      <c r="B3801" t="s">
        <v>2</v>
      </c>
      <c r="C3801" s="2">
        <v>36538</v>
      </c>
      <c r="D3801" t="s">
        <v>6</v>
      </c>
      <c r="E3801">
        <v>7.3906770000000002</v>
      </c>
      <c r="F3801">
        <f t="shared" si="118"/>
        <v>-7.7236000000000082E-2</v>
      </c>
      <c r="G3801">
        <f t="shared" si="119"/>
        <v>3864.4852389314897</v>
      </c>
    </row>
    <row r="3802" spans="2:7">
      <c r="B3802" t="s">
        <v>2</v>
      </c>
      <c r="C3802" s="2">
        <v>36537</v>
      </c>
      <c r="D3802" t="s">
        <v>6</v>
      </c>
      <c r="E3802">
        <v>7.4679130000000002</v>
      </c>
      <c r="F3802">
        <f t="shared" si="118"/>
        <v>3.2417000000000584E-2</v>
      </c>
      <c r="G3802">
        <f t="shared" si="119"/>
        <v>4091.8704111663756</v>
      </c>
    </row>
    <row r="3803" spans="2:7">
      <c r="B3803" t="s">
        <v>2</v>
      </c>
      <c r="C3803" s="2">
        <v>36536</v>
      </c>
      <c r="D3803" t="s">
        <v>6</v>
      </c>
      <c r="E3803">
        <v>7.4354959999999997</v>
      </c>
      <c r="F3803">
        <f t="shared" si="118"/>
        <v>0.11898199999999992</v>
      </c>
      <c r="G3803">
        <f t="shared" si="119"/>
        <v>4375.7670079713553</v>
      </c>
    </row>
    <row r="3804" spans="2:7">
      <c r="B3804" t="s">
        <v>2</v>
      </c>
      <c r="C3804" s="2">
        <v>36535</v>
      </c>
      <c r="D3804" t="s">
        <v>6</v>
      </c>
      <c r="E3804">
        <v>7.3165139999999997</v>
      </c>
      <c r="F3804">
        <f t="shared" si="118"/>
        <v>4.9485999999999919E-2</v>
      </c>
      <c r="G3804">
        <f t="shared" si="119"/>
        <v>4738.968321341049</v>
      </c>
    </row>
    <row r="3805" spans="2:7">
      <c r="B3805" t="s">
        <v>2</v>
      </c>
      <c r="C3805" s="2">
        <v>36532</v>
      </c>
      <c r="D3805" t="s">
        <v>6</v>
      </c>
      <c r="E3805">
        <v>7.2670279999999998</v>
      </c>
      <c r="F3805">
        <f t="shared" si="118"/>
        <v>-7.7100000000000612E-2</v>
      </c>
      <c r="G3805">
        <f t="shared" si="119"/>
        <v>5200.5498286215616</v>
      </c>
    </row>
    <row r="3806" spans="2:7">
      <c r="B3806" t="s">
        <v>2</v>
      </c>
      <c r="C3806" s="2">
        <v>36531</v>
      </c>
      <c r="D3806" t="s">
        <v>6</v>
      </c>
      <c r="E3806">
        <v>7.3441280000000004</v>
      </c>
      <c r="F3806">
        <f t="shared" si="118"/>
        <v>-4.2267999999999972E-2</v>
      </c>
      <c r="G3806">
        <f t="shared" si="119"/>
        <v>5798.353961285191</v>
      </c>
    </row>
    <row r="3807" spans="2:7">
      <c r="B3807" t="s">
        <v>2</v>
      </c>
      <c r="C3807" s="2">
        <v>36530</v>
      </c>
      <c r="D3807" t="s">
        <v>6</v>
      </c>
      <c r="E3807">
        <v>7.3863960000000004</v>
      </c>
      <c r="F3807">
        <f t="shared" si="118"/>
        <v>9.7062000000000204E-2</v>
      </c>
      <c r="G3807">
        <f t="shared" si="119"/>
        <v>6674.6793811034477</v>
      </c>
    </row>
    <row r="3808" spans="2:7">
      <c r="B3808" t="s">
        <v>2</v>
      </c>
      <c r="C3808" s="2">
        <v>36529</v>
      </c>
      <c r="D3808" t="s">
        <v>6</v>
      </c>
      <c r="E3808">
        <v>7.2893340000000002</v>
      </c>
      <c r="F3808">
        <f t="shared" si="118"/>
        <v>-4.6588999999999992E-2</v>
      </c>
      <c r="G3808">
        <f t="shared" si="119"/>
        <v>8253.8993383539637</v>
      </c>
    </row>
    <row r="3809" spans="2:7">
      <c r="B3809" t="s">
        <v>2</v>
      </c>
      <c r="C3809" s="2">
        <v>36528</v>
      </c>
      <c r="D3809" t="s">
        <v>6</v>
      </c>
      <c r="E3809">
        <v>7.3359230000000002</v>
      </c>
      <c r="F3809">
        <f t="shared" si="118"/>
        <v>7.3359230000000002</v>
      </c>
      <c r="G3809" t="e">
        <f t="shared" si="119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Result</vt:lpstr>
      <vt:lpstr>5y10y Swaption Vol</vt:lpstr>
      <vt:lpstr>Realized Vol</vt:lpstr>
      <vt:lpstr>10y swap Vol</vt:lpstr>
      <vt:lpstr>'10y swap Vol'!temp</vt:lpstr>
      <vt:lpstr>'5y10y Swaption Vol'!temp</vt:lpstr>
      <vt:lpstr>'5y10y Swaption Vol'!temp_2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2015-04-01T16:14:14Z</dcterms:created>
  <dcterms:modified xsi:type="dcterms:W3CDTF">2015-04-01T20:47:16Z</dcterms:modified>
</cp:coreProperties>
</file>