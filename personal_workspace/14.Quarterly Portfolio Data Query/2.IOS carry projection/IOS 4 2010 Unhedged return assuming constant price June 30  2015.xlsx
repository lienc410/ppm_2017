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285" yWindow="975" windowWidth="16035" windowHeight="810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6" i="1" l="1"/>
  <c r="C8" i="1" l="1"/>
  <c r="C3" i="1"/>
  <c r="C4" i="1" l="1"/>
  <c r="C5" i="1"/>
  <c r="C7" i="1"/>
  <c r="D3" i="1"/>
  <c r="E3" i="1" s="1"/>
  <c r="G3" i="1" l="1"/>
  <c r="D7" i="1"/>
  <c r="E7" i="1" s="1"/>
  <c r="G7" i="1" s="1"/>
  <c r="D8" i="1"/>
  <c r="E8" i="1" s="1"/>
  <c r="G8" i="1" s="1"/>
  <c r="D6" i="1"/>
  <c r="E6" i="1" s="1"/>
  <c r="G6" i="1" s="1"/>
  <c r="D5" i="1"/>
  <c r="E5" i="1" s="1"/>
  <c r="G5" i="1" s="1"/>
  <c r="D4" i="1"/>
  <c r="E4" i="1" s="1"/>
  <c r="G4" i="1" s="1"/>
</calcChain>
</file>

<file path=xl/sharedStrings.xml><?xml version="1.0" encoding="utf-8"?>
<sst xmlns="http://schemas.openxmlformats.org/spreadsheetml/2006/main" count="8" uniqueCount="7">
  <si>
    <t>Horizon (month)</t>
  </si>
  <si>
    <t>Annualized return %</t>
  </si>
  <si>
    <t>Total Return %</t>
  </si>
  <si>
    <t>Monthly Return %</t>
  </si>
  <si>
    <t>CPR</t>
  </si>
  <si>
    <t>adjusted Monthly return %</t>
  </si>
  <si>
    <t>100% YB Model v21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</si>
</sst>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6" formatCode="\£\ #,##0_);[Red]\(\£\ #,##0\)"/>
    <numFmt numFmtId="167" formatCode="\¥\ #,##0_);[Red]\(\¥\ #,##0\)"/>
    <numFmt numFmtId="168" formatCode="\•\ \ @"/>
    <numFmt numFmtId="169" formatCode="_(&quot;$&quot;* #,##0_);_(&quot;$&quot;* \(#,##0.0\);_(&quot;$&quot;* &quot;-&quot;??_);_(@_)"/>
    <numFmt numFmtId="170" formatCode="&quot;$&quot;#,##0.000"/>
    <numFmt numFmtId="171" formatCode="&quot;$&quot;#,##0.000000_);\(&quot;$&quot;#,##0.000000\)"/>
    <numFmt numFmtId="172" formatCode="#,##0.0_);[Red]\(&quot;$&quot;#,##0.0\)"/>
    <numFmt numFmtId="173" formatCode="0.000_)"/>
    <numFmt numFmtId="174" formatCode="\ \ _•\–\ \ \ \ @"/>
    <numFmt numFmtId="175" formatCode="0.00&quot;%&quot;"/>
    <numFmt numFmtId="176" formatCode="0&quot;%&quot;"/>
    <numFmt numFmtId="177" formatCode="mmmm\ d\,\ yyyy"/>
    <numFmt numFmtId="178" formatCode="0.000"/>
    <numFmt numFmtId="179" formatCode="0.0000000"/>
    <numFmt numFmtId="180" formatCode="_([$€-2]* #,##0.00_);_([$€-2]* \(#,##0.00\);_([$€-2]* &quot;-&quot;??_)"/>
    <numFmt numFmtId="181" formatCode="dd\-mmm\-yy\ hh:mm:ss"/>
    <numFmt numFmtId="182" formatCode="0.00_)"/>
    <numFmt numFmtId="183" formatCode="0.0#\%;\-0.0#\%"/>
    <numFmt numFmtId="184" formatCode="#,##0.0\ ;\(#,##0.0\)"/>
    <numFmt numFmtId="185" formatCode="#,##0\ \ \ ;\(#,##0\)\ \ "/>
    <numFmt numFmtId="186" formatCode="0.0000_)"/>
    <numFmt numFmtId="187" formatCode="0.000;\-0.000"/>
    <numFmt numFmtId="188" formatCode="0.00;\-0.00"/>
    <numFmt numFmtId="189" formatCode="#,##0.0_);\(#,##0.0\)"/>
    <numFmt numFmtId="190" formatCode="mm/dd/yy"/>
    <numFmt numFmtId="191" formatCode="#,###\ &quot;Months&quot;"/>
    <numFmt numFmtId="192" formatCode="##########.###"/>
    <numFmt numFmtId="193" formatCode="0.0#%"/>
    <numFmt numFmtId="194" formatCode="0.0;\-0.0"/>
  </numFmts>
  <fonts count="1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EFEBE4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28">
    <xf numFmtId="0" fontId="0" fillId="0" borderId="0"/>
    <xf numFmtId="0" fontId="5" fillId="0" borderId="0"/>
    <xf numFmtId="43" fontId="5" fillId="0" borderId="0" applyFont="0" applyFill="0" applyBorder="0" applyAlignment="0" applyProtection="0"/>
    <xf numFmtId="0" fontId="2" fillId="0" borderId="0"/>
    <xf numFmtId="0" fontId="7" fillId="0" borderId="0" applyNumberFormat="0" applyFill="0" applyBorder="0" applyAlignment="0" applyProtection="0">
      <alignment horizontal="left" wrapText="1"/>
    </xf>
    <xf numFmtId="0" fontId="7" fillId="0" borderId="0" applyNumberFormat="0" applyFill="0" applyBorder="0" applyAlignment="0" applyProtection="0">
      <alignment horizontal="left" wrapText="1"/>
    </xf>
    <xf numFmtId="0" fontId="7" fillId="0" borderId="0" applyNumberFormat="0" applyFill="0" applyBorder="0" applyAlignment="0" applyProtection="0">
      <alignment horizontal="left" wrapText="1"/>
    </xf>
    <xf numFmtId="0" fontId="7" fillId="0" borderId="0" applyNumberFormat="0" applyFill="0" applyBorder="0" applyAlignment="0" applyProtection="0">
      <alignment horizontal="left" wrapText="1"/>
    </xf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9" fillId="9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11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9" fillId="6" borderId="0" applyNumberFormat="0" applyBorder="0" applyAlignment="0" applyProtection="0"/>
    <xf numFmtId="0" fontId="10" fillId="12" borderId="0" applyNumberFormat="0" applyBorder="0" applyAlignment="0" applyProtection="0"/>
    <xf numFmtId="0" fontId="11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14" borderId="0" applyNumberFormat="0" applyBorder="0" applyAlignment="0" applyProtection="0"/>
    <xf numFmtId="0" fontId="9" fillId="9" borderId="0" applyNumberFormat="0" applyBorder="0" applyAlignment="0" applyProtection="0"/>
    <xf numFmtId="0" fontId="10" fillId="9" borderId="0" applyNumberFormat="0" applyBorder="0" applyAlignment="0" applyProtection="0"/>
    <xf numFmtId="0" fontId="11" fillId="9" borderId="0" applyNumberFormat="0" applyBorder="0" applyAlignment="0" applyProtection="0"/>
    <xf numFmtId="0" fontId="9" fillId="16" borderId="0" applyNumberFormat="0" applyBorder="0" applyAlignment="0" applyProtection="0"/>
    <xf numFmtId="0" fontId="10" fillId="7" borderId="0" applyNumberFormat="0" applyBorder="0" applyAlignment="0" applyProtection="0"/>
    <xf numFmtId="0" fontId="11" fillId="17" borderId="0" applyNumberFormat="0" applyBorder="0" applyAlignment="0" applyProtection="0"/>
    <xf numFmtId="0" fontId="9" fillId="18" borderId="0" applyNumberFormat="0" applyBorder="0" applyAlignment="0" applyProtection="0"/>
    <xf numFmtId="0" fontId="10" fillId="18" borderId="0" applyNumberFormat="0" applyBorder="0" applyAlignment="0" applyProtection="0"/>
    <xf numFmtId="0" fontId="11" fillId="18" borderId="0" applyNumberFormat="0" applyBorder="0" applyAlignment="0" applyProtection="0"/>
    <xf numFmtId="0" fontId="9" fillId="11" borderId="0" applyNumberFormat="0" applyBorder="0" applyAlignment="0" applyProtection="0"/>
    <xf numFmtId="0" fontId="10" fillId="13" borderId="0" applyNumberFormat="0" applyBorder="0" applyAlignment="0" applyProtection="0"/>
    <xf numFmtId="0" fontId="11" fillId="19" borderId="0" applyNumberFormat="0" applyBorder="0" applyAlignment="0" applyProtection="0"/>
    <xf numFmtId="0" fontId="9" fillId="16" borderId="0" applyNumberFormat="0" applyBorder="0" applyAlignment="0" applyProtection="0"/>
    <xf numFmtId="0" fontId="10" fillId="20" borderId="0" applyNumberFormat="0" applyBorder="0" applyAlignment="0" applyProtection="0"/>
    <xf numFmtId="0" fontId="11" fillId="13" borderId="0" applyNumberFormat="0" applyBorder="0" applyAlignment="0" applyProtection="0"/>
    <xf numFmtId="0" fontId="9" fillId="17" borderId="0" applyNumberFormat="0" applyBorder="0" applyAlignment="0" applyProtection="0"/>
    <xf numFmtId="0" fontId="10" fillId="15" borderId="0" applyNumberFormat="0" applyBorder="0" applyAlignment="0" applyProtection="0"/>
    <xf numFmtId="0" fontId="11" fillId="17" borderId="0" applyNumberFormat="0" applyBorder="0" applyAlignment="0" applyProtection="0"/>
    <xf numFmtId="0" fontId="9" fillId="9" borderId="0" applyNumberFormat="0" applyBorder="0" applyAlignment="0" applyProtection="0"/>
    <xf numFmtId="0" fontId="10" fillId="9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0" applyNumberFormat="0" applyBorder="0" applyAlignment="0" applyProtection="0"/>
    <xf numFmtId="0" fontId="14" fillId="24" borderId="0" applyNumberFormat="0" applyBorder="0" applyAlignment="0" applyProtection="0"/>
    <xf numFmtId="0" fontId="12" fillId="18" borderId="0" applyNumberFormat="0" applyBorder="0" applyAlignment="0" applyProtection="0"/>
    <xf numFmtId="0" fontId="13" fillId="18" borderId="0" applyNumberFormat="0" applyBorder="0" applyAlignment="0" applyProtection="0"/>
    <xf numFmtId="0" fontId="14" fillId="18" borderId="0" applyNumberFormat="0" applyBorder="0" applyAlignment="0" applyProtection="0"/>
    <xf numFmtId="0" fontId="12" fillId="11" borderId="0" applyNumberFormat="0" applyBorder="0" applyAlignment="0" applyProtection="0"/>
    <xf numFmtId="0" fontId="13" fillId="13" borderId="0" applyNumberFormat="0" applyBorder="0" applyAlignment="0" applyProtection="0"/>
    <xf numFmtId="0" fontId="14" fillId="19" borderId="0" applyNumberFormat="0" applyBorder="0" applyAlignment="0" applyProtection="0"/>
    <xf numFmtId="0" fontId="12" fillId="16" borderId="0" applyNumberFormat="0" applyBorder="0" applyAlignment="0" applyProtection="0"/>
    <xf numFmtId="0" fontId="13" fillId="25" borderId="0" applyNumberFormat="0" applyBorder="0" applyAlignment="0" applyProtection="0"/>
    <xf numFmtId="0" fontId="14" fillId="26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0" applyNumberFormat="0" applyBorder="0" applyAlignment="0" applyProtection="0"/>
    <xf numFmtId="0" fontId="14" fillId="22" borderId="0" applyNumberFormat="0" applyBorder="0" applyAlignment="0" applyProtection="0"/>
    <xf numFmtId="0" fontId="12" fillId="9" borderId="0" applyNumberFormat="0" applyBorder="0" applyAlignment="0" applyProtection="0"/>
    <xf numFmtId="0" fontId="13" fillId="9" borderId="0" applyNumberFormat="0" applyBorder="0" applyAlignment="0" applyProtection="0"/>
    <xf numFmtId="0" fontId="14" fillId="27" borderId="0" applyNumberFormat="0" applyBorder="0" applyAlignment="0" applyProtection="0"/>
    <xf numFmtId="0" fontId="12" fillId="22" borderId="0" applyNumberFormat="0" applyBorder="0" applyAlignment="0" applyProtection="0"/>
    <xf numFmtId="0" fontId="13" fillId="28" borderId="0" applyNumberFormat="0" applyBorder="0" applyAlignment="0" applyProtection="0"/>
    <xf numFmtId="0" fontId="14" fillId="29" borderId="0" applyNumberFormat="0" applyBorder="0" applyAlignment="0" applyProtection="0"/>
    <xf numFmtId="0" fontId="12" fillId="30" borderId="0" applyNumberFormat="0" applyBorder="0" applyAlignment="0" applyProtection="0"/>
    <xf numFmtId="0" fontId="13" fillId="31" borderId="0" applyNumberFormat="0" applyBorder="0" applyAlignment="0" applyProtection="0"/>
    <xf numFmtId="0" fontId="14" fillId="30" borderId="0" applyNumberFormat="0" applyBorder="0" applyAlignment="0" applyProtection="0"/>
    <xf numFmtId="0" fontId="12" fillId="32" borderId="0" applyNumberFormat="0" applyBorder="0" applyAlignment="0" applyProtection="0"/>
    <xf numFmtId="0" fontId="13" fillId="31" borderId="0" applyNumberFormat="0" applyBorder="0" applyAlignment="0" applyProtection="0"/>
    <xf numFmtId="0" fontId="14" fillId="32" borderId="0" applyNumberFormat="0" applyBorder="0" applyAlignment="0" applyProtection="0"/>
    <xf numFmtId="0" fontId="12" fillId="28" borderId="0" applyNumberFormat="0" applyBorder="0" applyAlignment="0" applyProtection="0"/>
    <xf numFmtId="0" fontId="13" fillId="28" borderId="0" applyNumberFormat="0" applyBorder="0" applyAlignment="0" applyProtection="0"/>
    <xf numFmtId="0" fontId="14" fillId="26" borderId="0" applyNumberFormat="0" applyBorder="0" applyAlignment="0" applyProtection="0"/>
    <xf numFmtId="0" fontId="12" fillId="22" borderId="0" applyNumberFormat="0" applyBorder="0" applyAlignment="0" applyProtection="0"/>
    <xf numFmtId="0" fontId="13" fillId="32" borderId="0" applyNumberFormat="0" applyBorder="0" applyAlignment="0" applyProtection="0"/>
    <xf numFmtId="0" fontId="14" fillId="22" borderId="0" applyNumberFormat="0" applyBorder="0" applyAlignment="0" applyProtection="0"/>
    <xf numFmtId="0" fontId="12" fillId="33" borderId="0" applyNumberFormat="0" applyBorder="0" applyAlignment="0" applyProtection="0"/>
    <xf numFmtId="0" fontId="13" fillId="33" borderId="0" applyNumberFormat="0" applyBorder="0" applyAlignment="0" applyProtection="0"/>
    <xf numFmtId="0" fontId="14" fillId="33" borderId="0" applyNumberFormat="0" applyBorder="0" applyAlignment="0" applyProtection="0"/>
    <xf numFmtId="0" fontId="7" fillId="0" borderId="0"/>
    <xf numFmtId="17" fontId="7" fillId="0" borderId="0" applyFont="0" applyFill="0" applyBorder="0" applyProtection="0">
      <alignment horizontal="left"/>
    </xf>
    <xf numFmtId="0" fontId="7" fillId="0" borderId="0" applyFont="0" applyFill="0" applyBorder="0" applyProtection="0">
      <alignment horizontal="left"/>
    </xf>
    <xf numFmtId="0" fontId="15" fillId="10" borderId="0" applyNumberFormat="0" applyBorder="0" applyAlignment="0" applyProtection="0"/>
    <xf numFmtId="0" fontId="16" fillId="10" borderId="0" applyNumberFormat="0" applyBorder="0" applyAlignment="0" applyProtection="0"/>
    <xf numFmtId="0" fontId="17" fillId="10" borderId="0" applyNumberFormat="0" applyBorder="0" applyAlignment="0" applyProtection="0"/>
    <xf numFmtId="38" fontId="18" fillId="6" borderId="0"/>
    <xf numFmtId="0" fontId="19" fillId="0" borderId="0" applyNumberFormat="0" applyFill="0" applyBorder="0" applyAlignment="0" applyProtection="0"/>
    <xf numFmtId="0" fontId="20" fillId="34" borderId="0">
      <alignment horizontal="left"/>
    </xf>
    <xf numFmtId="2" fontId="21" fillId="35" borderId="3" applyProtection="0">
      <alignment horizontal="left"/>
      <protection locked="0"/>
    </xf>
    <xf numFmtId="0" fontId="22" fillId="0" borderId="0" applyNumberFormat="0" applyFill="0" applyBorder="0" applyAlignment="0" applyProtection="0"/>
    <xf numFmtId="0" fontId="23" fillId="0" borderId="4" applyNumberFormat="0" applyFill="0" applyAlignment="0" applyProtection="0"/>
    <xf numFmtId="0" fontId="7" fillId="36" borderId="0"/>
    <xf numFmtId="168" fontId="8" fillId="0" borderId="0" applyFont="0" applyFill="0" applyBorder="0" applyAlignment="0" applyProtection="0"/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70" fontId="7" fillId="0" borderId="0" applyFill="0" applyBorder="0" applyAlignment="0"/>
    <xf numFmtId="0" fontId="7" fillId="0" borderId="0" applyFill="0" applyBorder="0" applyAlignment="0"/>
    <xf numFmtId="171" fontId="7" fillId="0" borderId="0" applyFill="0" applyBorder="0" applyAlignment="0"/>
    <xf numFmtId="0" fontId="7" fillId="0" borderId="0" applyFill="0" applyBorder="0" applyAlignment="0"/>
    <xf numFmtId="169" fontId="25" fillId="0" borderId="0" applyFill="0" applyBorder="0" applyAlignment="0"/>
    <xf numFmtId="0" fontId="7" fillId="0" borderId="0" applyFill="0" applyBorder="0" applyAlignment="0"/>
    <xf numFmtId="172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70" fontId="7" fillId="0" borderId="0" applyFill="0" applyBorder="0" applyAlignment="0"/>
    <xf numFmtId="0" fontId="26" fillId="6" borderId="5" applyNumberFormat="0" applyAlignment="0" applyProtection="0"/>
    <xf numFmtId="0" fontId="27" fillId="14" borderId="5" applyNumberFormat="0" applyAlignment="0" applyProtection="0"/>
    <xf numFmtId="0" fontId="28" fillId="16" borderId="5" applyNumberFormat="0" applyAlignment="0" applyProtection="0"/>
    <xf numFmtId="0" fontId="29" fillId="37" borderId="6" applyNumberFormat="0"/>
    <xf numFmtId="0" fontId="30" fillId="38" borderId="7" applyBorder="0">
      <alignment horizontal="center" wrapText="1"/>
    </xf>
    <xf numFmtId="0" fontId="30" fillId="39" borderId="7" applyBorder="0">
      <alignment horizontal="center" wrapText="1"/>
    </xf>
    <xf numFmtId="0" fontId="6" fillId="40" borderId="6" applyNumberFormat="0"/>
    <xf numFmtId="0" fontId="6" fillId="41" borderId="6" applyNumberFormat="0"/>
    <xf numFmtId="0" fontId="4" fillId="41" borderId="6" applyNumberFormat="0"/>
    <xf numFmtId="0" fontId="31" fillId="40" borderId="6" applyNumberFormat="0"/>
    <xf numFmtId="0" fontId="32" fillId="42" borderId="8" applyNumberFormat="0" applyBorder="0"/>
    <xf numFmtId="0" fontId="31" fillId="37" borderId="6" applyNumberFormat="0"/>
    <xf numFmtId="0" fontId="29" fillId="37" borderId="6" applyNumberFormat="0"/>
    <xf numFmtId="0" fontId="32" fillId="42" borderId="8" applyNumberFormat="0" applyBorder="0"/>
    <xf numFmtId="0" fontId="32" fillId="42" borderId="8" applyNumberFormat="0"/>
    <xf numFmtId="14" fontId="33" fillId="40" borderId="9" applyNumberFormat="0" applyAlignment="0"/>
    <xf numFmtId="14" fontId="33" fillId="41" borderId="9" applyNumberFormat="0" applyAlignment="0"/>
    <xf numFmtId="14" fontId="34" fillId="41" borderId="9" applyNumberFormat="0" applyAlignment="0"/>
    <xf numFmtId="0" fontId="35" fillId="43" borderId="10" applyNumberFormat="0" applyAlignment="0" applyProtection="0"/>
    <xf numFmtId="0" fontId="36" fillId="43" borderId="10" applyNumberFormat="0" applyAlignment="0" applyProtection="0"/>
    <xf numFmtId="0" fontId="37" fillId="43" borderId="10" applyNumberFormat="0" applyAlignment="0" applyProtection="0"/>
    <xf numFmtId="0" fontId="38" fillId="0" borderId="0" applyNumberFormat="0" applyFill="0" applyBorder="0" applyAlignment="0" applyProtection="0"/>
    <xf numFmtId="173" fontId="39" fillId="0" borderId="0"/>
    <xf numFmtId="173" fontId="40" fillId="0" borderId="0"/>
    <xf numFmtId="173" fontId="39" fillId="0" borderId="0"/>
    <xf numFmtId="173" fontId="40" fillId="0" borderId="0"/>
    <xf numFmtId="173" fontId="39" fillId="0" borderId="0"/>
    <xf numFmtId="173" fontId="40" fillId="0" borderId="0"/>
    <xf numFmtId="173" fontId="39" fillId="0" borderId="0"/>
    <xf numFmtId="173" fontId="40" fillId="0" borderId="0"/>
    <xf numFmtId="173" fontId="39" fillId="0" borderId="0"/>
    <xf numFmtId="173" fontId="40" fillId="0" borderId="0"/>
    <xf numFmtId="173" fontId="39" fillId="0" borderId="0"/>
    <xf numFmtId="173" fontId="40" fillId="0" borderId="0"/>
    <xf numFmtId="173" fontId="39" fillId="0" borderId="0"/>
    <xf numFmtId="173" fontId="40" fillId="0" borderId="0"/>
    <xf numFmtId="173" fontId="39" fillId="0" borderId="0"/>
    <xf numFmtId="173" fontId="40" fillId="0" borderId="0"/>
    <xf numFmtId="0" fontId="24" fillId="0" borderId="0" applyFont="0" applyFill="0" applyBorder="0" applyAlignment="0" applyProtection="0"/>
    <xf numFmtId="16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3" fontId="7" fillId="0" borderId="0" applyFill="0" applyBorder="0" applyAlignment="0" applyProtection="0"/>
    <xf numFmtId="0" fontId="41" fillId="0" borderId="0"/>
    <xf numFmtId="0" fontId="42" fillId="0" borderId="0" applyNumberFormat="0" applyAlignment="0">
      <alignment horizontal="left"/>
    </xf>
    <xf numFmtId="0" fontId="43" fillId="0" borderId="0">
      <alignment horizontal="center"/>
    </xf>
    <xf numFmtId="0" fontId="41" fillId="0" borderId="0"/>
    <xf numFmtId="0" fontId="24" fillId="0" borderId="0" applyFont="0" applyFill="0" applyBorder="0" applyAlignment="0" applyProtection="0"/>
    <xf numFmtId="170" fontId="7" fillId="0" borderId="0" applyFont="0" applyFill="0" applyBorder="0" applyAlignment="0" applyProtection="0"/>
    <xf numFmtId="8" fontId="44" fillId="0" borderId="11">
      <protection locked="0"/>
    </xf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5" fontId="7" fillId="0" borderId="0" applyFill="0" applyBorder="0" applyAlignment="0" applyProtection="0"/>
    <xf numFmtId="174" fontId="8" fillId="0" borderId="0" applyFont="0" applyFill="0" applyBorder="0" applyAlignment="0" applyProtection="0"/>
    <xf numFmtId="10" fontId="7" fillId="0" borderId="0" applyFont="0" applyFill="0" applyBorder="0" applyProtection="0">
      <alignment horizontal="center"/>
    </xf>
    <xf numFmtId="175" fontId="7" fillId="0" borderId="0" applyFont="0" applyFill="0" applyBorder="0" applyProtection="0"/>
    <xf numFmtId="176" fontId="7" fillId="0" borderId="0" applyFont="0" applyFill="0" applyBorder="0" applyProtection="0"/>
    <xf numFmtId="15" fontId="45" fillId="0" borderId="0" applyFont="0" applyFill="0" applyBorder="0" applyAlignment="0" applyProtection="0"/>
    <xf numFmtId="0" fontId="41" fillId="0" borderId="0"/>
    <xf numFmtId="177" fontId="7" fillId="0" borderId="0" applyFill="0" applyBorder="0" applyAlignment="0" applyProtection="0"/>
    <xf numFmtId="177" fontId="7" fillId="0" borderId="0" applyFill="0" applyBorder="0" applyAlignment="0" applyProtection="0"/>
    <xf numFmtId="177" fontId="7" fillId="0" borderId="0" applyFill="0" applyBorder="0" applyAlignment="0" applyProtection="0"/>
    <xf numFmtId="177" fontId="7" fillId="0" borderId="0" applyFill="0" applyBorder="0" applyAlignment="0" applyProtection="0"/>
    <xf numFmtId="177" fontId="7" fillId="0" borderId="0" applyFill="0" applyBorder="0" applyAlignment="0" applyProtection="0"/>
    <xf numFmtId="15" fontId="10" fillId="6" borderId="0"/>
    <xf numFmtId="14" fontId="10" fillId="0" borderId="0" applyFill="0" applyBorder="0" applyAlignment="0"/>
    <xf numFmtId="0" fontId="43" fillId="35" borderId="0">
      <alignment horizontal="left"/>
    </xf>
    <xf numFmtId="177" fontId="7" fillId="0" borderId="0" applyFill="0" applyBorder="0" applyAlignment="0" applyProtection="0"/>
    <xf numFmtId="14" fontId="7" fillId="0" borderId="0"/>
    <xf numFmtId="0" fontId="46" fillId="18" borderId="0">
      <alignment horizontal="left"/>
    </xf>
    <xf numFmtId="0" fontId="47" fillId="0" borderId="0">
      <alignment horizontal="left"/>
    </xf>
    <xf numFmtId="38" fontId="48" fillId="0" borderId="12">
      <alignment vertical="center"/>
    </xf>
    <xf numFmtId="178" fontId="7" fillId="0" borderId="0">
      <alignment horizontal="right"/>
    </xf>
    <xf numFmtId="1" fontId="7" fillId="0" borderId="0">
      <alignment horizontal="right"/>
    </xf>
    <xf numFmtId="1" fontId="7" fillId="0" borderId="0">
      <alignment horizontal="right"/>
    </xf>
    <xf numFmtId="179" fontId="7" fillId="0" borderId="0">
      <alignment horizontal="right"/>
    </xf>
    <xf numFmtId="49" fontId="7" fillId="0" borderId="0">
      <alignment horizontal="left"/>
    </xf>
    <xf numFmtId="49" fontId="7" fillId="0" borderId="0">
      <alignment horizontal="left"/>
    </xf>
    <xf numFmtId="49" fontId="7" fillId="0" borderId="0">
      <alignment horizontal="right"/>
    </xf>
    <xf numFmtId="14" fontId="7" fillId="0" borderId="0">
      <alignment horizontal="left"/>
    </xf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70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70" fontId="7" fillId="0" borderId="0" applyFill="0" applyBorder="0" applyAlignment="0"/>
    <xf numFmtId="0" fontId="49" fillId="0" borderId="0" applyNumberFormat="0" applyAlignment="0">
      <alignment horizontal="left"/>
    </xf>
    <xf numFmtId="9" fontId="50" fillId="0" borderId="13" applyNumberFormat="0" applyBorder="0" applyAlignment="0">
      <protection locked="0"/>
    </xf>
    <xf numFmtId="180" fontId="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2" fontId="7" fillId="0" borderId="0" applyFill="0" applyBorder="0" applyAlignment="0" applyProtection="0"/>
    <xf numFmtId="181" fontId="7" fillId="0" borderId="0" applyFont="0" applyFill="0" applyBorder="0" applyAlignment="0" applyProtection="0"/>
    <xf numFmtId="0" fontId="10" fillId="6" borderId="0"/>
    <xf numFmtId="0" fontId="54" fillId="12" borderId="0" applyNumberFormat="0" applyBorder="0" applyAlignment="0" applyProtection="0"/>
    <xf numFmtId="0" fontId="55" fillId="15" borderId="0" applyNumberFormat="0" applyBorder="0" applyAlignment="0" applyProtection="0"/>
    <xf numFmtId="0" fontId="56" fillId="12" borderId="0" applyNumberFormat="0" applyBorder="0" applyAlignment="0" applyProtection="0"/>
    <xf numFmtId="2" fontId="57" fillId="35" borderId="3" applyProtection="0">
      <alignment horizontal="left"/>
      <protection locked="0"/>
    </xf>
    <xf numFmtId="38" fontId="38" fillId="44" borderId="0" applyNumberFormat="0" applyBorder="0" applyAlignment="0" applyProtection="0"/>
    <xf numFmtId="0" fontId="58" fillId="0" borderId="14" applyNumberFormat="0" applyAlignment="0" applyProtection="0">
      <alignment horizontal="left" vertical="center"/>
    </xf>
    <xf numFmtId="0" fontId="58" fillId="0" borderId="15">
      <alignment horizontal="left" vertical="center"/>
    </xf>
    <xf numFmtId="0" fontId="59" fillId="16" borderId="13">
      <alignment horizontal="centerContinuous"/>
    </xf>
    <xf numFmtId="0" fontId="60" fillId="0" borderId="16" applyNumberFormat="0" applyFill="0" applyAlignment="0" applyProtection="0"/>
    <xf numFmtId="0" fontId="61" fillId="0" borderId="17" applyNumberFormat="0" applyFill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18" applyNumberFormat="0" applyFill="0" applyAlignment="0" applyProtection="0"/>
    <xf numFmtId="0" fontId="65" fillId="0" borderId="19" applyNumberFormat="0" applyFill="0" applyAlignment="0" applyProtection="0"/>
    <xf numFmtId="0" fontId="66" fillId="0" borderId="20" applyNumberFormat="0" applyFill="0" applyAlignment="0" applyProtection="0"/>
    <xf numFmtId="0" fontId="4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7" fillId="0" borderId="19" applyNumberFormat="0" applyFill="0" applyAlignment="0" applyProtection="0"/>
    <xf numFmtId="0" fontId="68" fillId="0" borderId="21" applyNumberFormat="0" applyFill="0" applyAlignment="0" applyProtection="0"/>
    <xf numFmtId="0" fontId="69" fillId="0" borderId="22" applyNumberFormat="0" applyFill="0" applyAlignment="0" applyProtection="0"/>
    <xf numFmtId="0" fontId="70" fillId="0" borderId="23" applyNumberFormat="0" applyFill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6" borderId="0"/>
    <xf numFmtId="0" fontId="63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10" fontId="38" fillId="45" borderId="13" applyNumberFormat="0" applyBorder="0" applyAlignment="0" applyProtection="0"/>
    <xf numFmtId="2" fontId="73" fillId="0" borderId="24" applyNumberFormat="0" applyFill="0" applyBorder="0" applyAlignment="0">
      <alignment horizontal="center"/>
      <protection locked="0"/>
    </xf>
    <xf numFmtId="0" fontId="74" fillId="9" borderId="5" applyNumberFormat="0" applyAlignment="0" applyProtection="0"/>
    <xf numFmtId="0" fontId="74" fillId="9" borderId="5" applyNumberFormat="0" applyAlignment="0" applyProtection="0"/>
    <xf numFmtId="0" fontId="74" fillId="9" borderId="5" applyNumberFormat="0" applyAlignment="0" applyProtection="0"/>
    <xf numFmtId="0" fontId="74" fillId="9" borderId="5" applyNumberFormat="0" applyAlignment="0" applyProtection="0"/>
    <xf numFmtId="37" fontId="75" fillId="0" borderId="0" applyNumberFormat="0" applyAlignment="0">
      <protection locked="0"/>
    </xf>
    <xf numFmtId="0" fontId="76" fillId="0" borderId="0"/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70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70" fontId="7" fillId="0" borderId="0" applyFill="0" applyBorder="0" applyAlignment="0"/>
    <xf numFmtId="0" fontId="77" fillId="0" borderId="25" applyNumberFormat="0" applyFill="0" applyAlignment="0" applyProtection="0"/>
    <xf numFmtId="0" fontId="78" fillId="0" borderId="25" applyNumberFormat="0" applyFill="0" applyAlignment="0" applyProtection="0"/>
    <xf numFmtId="0" fontId="79" fillId="0" borderId="25" applyNumberFormat="0" applyFill="0" applyAlignment="0" applyProtection="0"/>
    <xf numFmtId="0" fontId="7" fillId="44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8" fontId="10" fillId="6" borderId="0"/>
    <xf numFmtId="0" fontId="80" fillId="9" borderId="0" applyNumberFormat="0" applyBorder="0" applyAlignment="0" applyProtection="0"/>
    <xf numFmtId="0" fontId="81" fillId="13" borderId="0" applyNumberFormat="0" applyBorder="0" applyAlignment="0" applyProtection="0"/>
    <xf numFmtId="0" fontId="82" fillId="36" borderId="0" applyNumberFormat="0" applyBorder="0" applyAlignment="0" applyProtection="0"/>
    <xf numFmtId="37" fontId="83" fillId="0" borderId="0"/>
    <xf numFmtId="0" fontId="46" fillId="6" borderId="0" applyNumberFormat="0" applyFont="0" applyFill="0" applyBorder="0" applyAlignment="0"/>
    <xf numFmtId="10" fontId="10" fillId="6" borderId="0"/>
    <xf numFmtId="182" fontId="8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41" borderId="0"/>
    <xf numFmtId="0" fontId="7" fillId="41" borderId="0"/>
    <xf numFmtId="0" fontId="7" fillId="0" borderId="0"/>
    <xf numFmtId="0" fontId="7" fillId="0" borderId="0"/>
    <xf numFmtId="0" fontId="31" fillId="40" borderId="0"/>
    <xf numFmtId="0" fontId="31" fillId="40" borderId="0"/>
    <xf numFmtId="0" fontId="31" fillId="4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7" fillId="0" borderId="0">
      <alignment vertical="top"/>
    </xf>
    <xf numFmtId="0" fontId="7" fillId="0" borderId="0">
      <alignment vertical="top"/>
    </xf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5" fillId="11" borderId="26" applyNumberFormat="0" applyFont="0" applyAlignment="0" applyProtection="0"/>
    <xf numFmtId="0" fontId="10" fillId="11" borderId="26" applyNumberFormat="0" applyFont="0" applyAlignment="0" applyProtection="0"/>
    <xf numFmtId="0" fontId="86" fillId="0" borderId="0"/>
    <xf numFmtId="0" fontId="11" fillId="11" borderId="26" applyNumberFormat="0" applyFont="0" applyAlignment="0" applyProtection="0"/>
    <xf numFmtId="0" fontId="31" fillId="4" borderId="2" applyNumberFormat="0" applyFont="0" applyAlignment="0" applyProtection="0"/>
    <xf numFmtId="0" fontId="31" fillId="4" borderId="2" applyNumberFormat="0" applyFont="0" applyAlignment="0" applyProtection="0"/>
    <xf numFmtId="0" fontId="2" fillId="4" borderId="2" applyNumberFormat="0" applyFont="0" applyAlignment="0" applyProtection="0"/>
    <xf numFmtId="0" fontId="2" fillId="4" borderId="2" applyNumberFormat="0" applyFont="0" applyAlignment="0" applyProtection="0"/>
    <xf numFmtId="0" fontId="2" fillId="4" borderId="2" applyNumberFormat="0" applyFont="0" applyAlignment="0" applyProtection="0"/>
    <xf numFmtId="183" fontId="24" fillId="0" borderId="0">
      <alignment horizontal="center"/>
    </xf>
    <xf numFmtId="37" fontId="7" fillId="0" borderId="0"/>
    <xf numFmtId="184" fontId="38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185" fontId="87" fillId="0" borderId="0" applyNumberFormat="0" applyFill="0" applyBorder="0" applyAlignment="0" applyProtection="0"/>
    <xf numFmtId="164" fontId="24" fillId="0" borderId="0">
      <alignment horizontal="center"/>
    </xf>
    <xf numFmtId="0" fontId="31" fillId="5" borderId="0" applyNumberFormat="0" applyFont="0" applyBorder="0" applyAlignment="0" applyProtection="0"/>
    <xf numFmtId="0" fontId="87" fillId="0" borderId="27"/>
    <xf numFmtId="2" fontId="88" fillId="35" borderId="3">
      <alignment horizontal="left"/>
    </xf>
    <xf numFmtId="0" fontId="89" fillId="6" borderId="28" applyNumberFormat="0" applyAlignment="0" applyProtection="0"/>
    <xf numFmtId="0" fontId="90" fillId="14" borderId="28" applyNumberFormat="0" applyAlignment="0" applyProtection="0"/>
    <xf numFmtId="0" fontId="91" fillId="16" borderId="28" applyNumberFormat="0" applyAlignment="0" applyProtection="0"/>
    <xf numFmtId="40" fontId="10" fillId="35" borderId="0">
      <alignment horizontal="right"/>
    </xf>
    <xf numFmtId="0" fontId="92" fillId="45" borderId="0">
      <alignment horizontal="center"/>
    </xf>
    <xf numFmtId="0" fontId="36" fillId="46" borderId="3"/>
    <xf numFmtId="0" fontId="93" fillId="0" borderId="0" applyBorder="0">
      <alignment horizontal="centerContinuous"/>
    </xf>
    <xf numFmtId="0" fontId="94" fillId="0" borderId="0" applyBorder="0">
      <alignment horizontal="centerContinuous"/>
    </xf>
    <xf numFmtId="0" fontId="58" fillId="0" borderId="0"/>
    <xf numFmtId="0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95" fillId="0" borderId="0" applyFont="0" applyFill="0" applyBorder="0" applyAlignment="0" applyProtection="0"/>
    <xf numFmtId="186" fontId="25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7" fillId="0" borderId="0"/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70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69" fontId="7" fillId="0" borderId="0" applyFill="0" applyBorder="0" applyAlignment="0"/>
    <xf numFmtId="0" fontId="24" fillId="0" borderId="0" applyFill="0" applyBorder="0" applyAlignment="0"/>
    <xf numFmtId="170" fontId="7" fillId="0" borderId="0" applyFill="0" applyBorder="0" applyAlignment="0"/>
    <xf numFmtId="187" fontId="24" fillId="0" borderId="0">
      <alignment horizontal="center"/>
    </xf>
    <xf numFmtId="188" fontId="24" fillId="0" borderId="13">
      <alignment horizontal="center"/>
    </xf>
    <xf numFmtId="0" fontId="96" fillId="0" borderId="29" applyAlignment="0">
      <alignment horizontal="center"/>
    </xf>
    <xf numFmtId="0" fontId="97" fillId="44" borderId="0"/>
    <xf numFmtId="0" fontId="48" fillId="0" borderId="0" applyNumberFormat="0" applyFont="0" applyFill="0" applyBorder="0" applyAlignment="0" applyProtection="0">
      <alignment horizontal="left"/>
    </xf>
    <xf numFmtId="0" fontId="98" fillId="0" borderId="30">
      <alignment horizontal="center"/>
    </xf>
    <xf numFmtId="0" fontId="45" fillId="0" borderId="0">
      <alignment vertical="top"/>
    </xf>
    <xf numFmtId="189" fontId="45" fillId="0" borderId="0">
      <alignment vertical="top"/>
    </xf>
    <xf numFmtId="0" fontId="96" fillId="0" borderId="0">
      <alignment horizontal="left"/>
    </xf>
    <xf numFmtId="0" fontId="96" fillId="0" borderId="0">
      <alignment horizontal="right"/>
    </xf>
    <xf numFmtId="0" fontId="10" fillId="0" borderId="3" applyNumberFormat="0" applyBorder="0" applyAlignment="0"/>
    <xf numFmtId="190" fontId="99" fillId="0" borderId="0" applyNumberFormat="0" applyFill="0" applyBorder="0" applyAlignment="0" applyProtection="0">
      <alignment horizontal="left"/>
    </xf>
    <xf numFmtId="0" fontId="46" fillId="32" borderId="0">
      <alignment horizontal="left"/>
    </xf>
    <xf numFmtId="0" fontId="100" fillId="0" borderId="31"/>
    <xf numFmtId="188" fontId="21" fillId="11" borderId="0">
      <alignment horizontal="center"/>
    </xf>
    <xf numFmtId="188" fontId="101" fillId="11" borderId="0">
      <alignment horizontal="center"/>
    </xf>
    <xf numFmtId="188" fontId="21" fillId="12" borderId="0">
      <alignment horizontal="center"/>
    </xf>
    <xf numFmtId="0" fontId="21" fillId="11" borderId="0">
      <alignment horizontal="left"/>
    </xf>
    <xf numFmtId="0" fontId="102" fillId="0" borderId="0" applyFont="0" applyFill="0" applyBorder="0" applyAlignment="0" applyProtection="0"/>
    <xf numFmtId="191" fontId="25" fillId="0" borderId="0" applyFont="0" applyFill="0" applyBorder="0" applyAlignment="0" applyProtection="0"/>
    <xf numFmtId="192" fontId="7" fillId="0" borderId="0"/>
    <xf numFmtId="0" fontId="7" fillId="0" borderId="0"/>
    <xf numFmtId="0" fontId="7" fillId="0" borderId="0">
      <alignment horizontal="left" wrapText="1"/>
    </xf>
    <xf numFmtId="0" fontId="21" fillId="11" borderId="0">
      <alignment horizontal="center"/>
    </xf>
    <xf numFmtId="0" fontId="96" fillId="0" borderId="0"/>
    <xf numFmtId="0" fontId="103" fillId="0" borderId="0"/>
    <xf numFmtId="40" fontId="104" fillId="0" borderId="0" applyBorder="0">
      <alignment horizontal="right"/>
    </xf>
    <xf numFmtId="0" fontId="7" fillId="35" borderId="26"/>
    <xf numFmtId="0" fontId="24" fillId="0" borderId="0">
      <alignment horizontal="center"/>
    </xf>
    <xf numFmtId="15" fontId="24" fillId="0" borderId="0">
      <alignment horizontal="center"/>
    </xf>
    <xf numFmtId="0" fontId="105" fillId="0" borderId="0">
      <alignment horizontal="center"/>
    </xf>
    <xf numFmtId="3" fontId="24" fillId="0" borderId="0">
      <alignment horizontal="center"/>
    </xf>
    <xf numFmtId="193" fontId="24" fillId="0" borderId="0">
      <alignment horizontal="center"/>
    </xf>
    <xf numFmtId="188" fontId="24" fillId="0" borderId="0">
      <alignment horizontal="center"/>
    </xf>
    <xf numFmtId="0" fontId="106" fillId="47" borderId="0"/>
    <xf numFmtId="194" fontId="24" fillId="0" borderId="0">
      <alignment horizontal="center"/>
    </xf>
    <xf numFmtId="194" fontId="24" fillId="0" borderId="32">
      <alignment horizontal="center"/>
    </xf>
    <xf numFmtId="0" fontId="24" fillId="0" borderId="0">
      <alignment horizontal="left"/>
    </xf>
    <xf numFmtId="0" fontId="107" fillId="0" borderId="0">
      <alignment horizontal="center"/>
    </xf>
    <xf numFmtId="0" fontId="108" fillId="0" borderId="0" applyNumberFormat="0" applyFill="0" applyBorder="0"/>
    <xf numFmtId="0" fontId="10" fillId="6" borderId="0"/>
    <xf numFmtId="49" fontId="10" fillId="0" borderId="0" applyFill="0" applyBorder="0" applyAlignment="0"/>
    <xf numFmtId="0" fontId="24" fillId="0" borderId="0" applyFill="0" applyBorder="0" applyAlignment="0"/>
    <xf numFmtId="170" fontId="7" fillId="0" borderId="0" applyFill="0" applyBorder="0" applyAlignment="0"/>
    <xf numFmtId="0" fontId="7" fillId="0" borderId="0" applyFill="0" applyBorder="0" applyAlignment="0"/>
    <xf numFmtId="172" fontId="7" fillId="0" borderId="0" applyFill="0" applyBorder="0" applyAlignment="0"/>
    <xf numFmtId="49" fontId="7" fillId="0" borderId="0"/>
    <xf numFmtId="0" fontId="109" fillId="0" borderId="0">
      <alignment horizontal="right"/>
    </xf>
    <xf numFmtId="0" fontId="110" fillId="0" borderId="0">
      <alignment horizontal="right"/>
      <protection locked="0"/>
    </xf>
    <xf numFmtId="0" fontId="11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8" fillId="6" borderId="0"/>
    <xf numFmtId="0" fontId="31" fillId="48" borderId="33" applyBorder="0">
      <alignment horizontal="center" wrapText="1"/>
    </xf>
    <xf numFmtId="0" fontId="30" fillId="38" borderId="7" applyBorder="0">
      <alignment horizontal="center" wrapText="1"/>
    </xf>
    <xf numFmtId="0" fontId="31" fillId="49" borderId="7" applyBorder="0">
      <alignment horizontal="center" wrapText="1"/>
    </xf>
    <xf numFmtId="0" fontId="30" fillId="39" borderId="7" applyBorder="0">
      <alignment horizontal="center" wrapText="1"/>
    </xf>
    <xf numFmtId="0" fontId="5" fillId="50" borderId="7" applyBorder="0">
      <alignment horizontal="center" wrapText="1"/>
    </xf>
    <xf numFmtId="0" fontId="30" fillId="51" borderId="7" applyBorder="0">
      <alignment horizontal="center" wrapText="1"/>
    </xf>
    <xf numFmtId="0" fontId="96" fillId="0" borderId="0" applyNumberFormat="0" applyFill="0" applyBorder="0" applyAlignment="0" applyProtection="0"/>
    <xf numFmtId="0" fontId="114" fillId="0" borderId="34" applyNumberFormat="0" applyFill="0" applyAlignment="0" applyProtection="0"/>
    <xf numFmtId="0" fontId="18" fillId="0" borderId="35" applyNumberFormat="0" applyFill="0" applyAlignment="0" applyProtection="0"/>
    <xf numFmtId="0" fontId="7" fillId="0" borderId="36" applyNumberFormat="0" applyFill="0" applyAlignment="0" applyProtection="0"/>
    <xf numFmtId="0" fontId="115" fillId="0" borderId="37" applyNumberFormat="0" applyFill="0" applyAlignment="0" applyProtection="0"/>
    <xf numFmtId="0" fontId="116" fillId="6" borderId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1" fontId="120" fillId="40" borderId="9"/>
    <xf numFmtId="1" fontId="120" fillId="41" borderId="9"/>
    <xf numFmtId="2" fontId="121" fillId="41" borderId="9"/>
    <xf numFmtId="0" fontId="122" fillId="40" borderId="8" applyNumberFormat="0" applyAlignment="0"/>
    <xf numFmtId="0" fontId="123" fillId="41" borderId="8" applyNumberFormat="0" applyAlignment="0"/>
    <xf numFmtId="1" fontId="124" fillId="41" borderId="9" applyNumberFormat="0"/>
    <xf numFmtId="178" fontId="125" fillId="41" borderId="9" applyNumberFormat="0"/>
    <xf numFmtId="0" fontId="7" fillId="0" borderId="0"/>
    <xf numFmtId="0" fontId="2" fillId="0" borderId="0"/>
    <xf numFmtId="0" fontId="31" fillId="40" borderId="0"/>
    <xf numFmtId="0" fontId="31" fillId="4" borderId="2" applyNumberFormat="0" applyFont="0" applyAlignment="0" applyProtection="0"/>
    <xf numFmtId="0" fontId="5" fillId="50" borderId="7" applyBorder="0">
      <alignment horizontal="center" wrapText="1"/>
    </xf>
    <xf numFmtId="0" fontId="3" fillId="3" borderId="1" applyNumberFormat="0" applyAlignment="0" applyProtection="0"/>
    <xf numFmtId="0" fontId="31" fillId="40" borderId="0"/>
    <xf numFmtId="0" fontId="6" fillId="40" borderId="6" applyNumberFormat="0"/>
    <xf numFmtId="0" fontId="32" fillId="42" borderId="8" applyNumberFormat="0" applyBorder="0"/>
    <xf numFmtId="2" fontId="73" fillId="0" borderId="24" applyNumberFormat="0" applyFill="0" applyBorder="0" applyAlignment="0">
      <alignment horizontal="center"/>
      <protection locked="0"/>
    </xf>
    <xf numFmtId="0" fontId="10" fillId="0" borderId="0"/>
    <xf numFmtId="0" fontId="7" fillId="0" borderId="0"/>
    <xf numFmtId="0" fontId="7" fillId="0" borderId="0"/>
    <xf numFmtId="0" fontId="85" fillId="11" borderId="26" applyNumberFormat="0" applyFont="0" applyAlignment="0" applyProtection="0"/>
    <xf numFmtId="0" fontId="5" fillId="50" borderId="7" applyBorder="0">
      <alignment horizontal="center" wrapText="1"/>
    </xf>
    <xf numFmtId="0" fontId="30" fillId="51" borderId="7" applyBorder="0">
      <alignment horizontal="center" wrapText="1"/>
    </xf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164" fontId="1" fillId="2" borderId="0" xfId="0" applyNumberFormat="1" applyFont="1" applyFill="1"/>
    <xf numFmtId="2" fontId="0" fillId="2" borderId="0" xfId="0" applyNumberFormat="1" applyFill="1"/>
  </cellXfs>
  <cellStyles count="528">
    <cellStyle name="_Bonds" xfId="4"/>
    <cellStyle name="_Bonds 2" xfId="5"/>
    <cellStyle name="_Offering" xfId="6"/>
    <cellStyle name="_Offering 2" xfId="7"/>
    <cellStyle name="£ BP" xfId="8"/>
    <cellStyle name="¥ JY" xfId="9"/>
    <cellStyle name="20% - Accent1 2" xfId="10"/>
    <cellStyle name="20% - Accent1 3" xfId="11"/>
    <cellStyle name="20% - Accent1 4" xfId="12"/>
    <cellStyle name="20% - Accent2 2" xfId="13"/>
    <cellStyle name="20% - Accent2 3" xfId="14"/>
    <cellStyle name="20% - Accent2 4" xfId="15"/>
    <cellStyle name="20% - Accent3 2" xfId="16"/>
    <cellStyle name="20% - Accent3 3" xfId="17"/>
    <cellStyle name="20% - Accent3 4" xfId="18"/>
    <cellStyle name="20% - Accent4 2" xfId="19"/>
    <cellStyle name="20% - Accent4 3" xfId="20"/>
    <cellStyle name="20% - Accent4 4" xfId="21"/>
    <cellStyle name="20% - Accent5 2" xfId="22"/>
    <cellStyle name="20% - Accent5 3" xfId="23"/>
    <cellStyle name="20% - Accent5 4" xfId="24"/>
    <cellStyle name="20% - Accent6 2" xfId="25"/>
    <cellStyle name="20% - Accent6 3" xfId="26"/>
    <cellStyle name="20% - Accent6 4" xfId="27"/>
    <cellStyle name="40% - Accent1 2" xfId="28"/>
    <cellStyle name="40% - Accent1 3" xfId="29"/>
    <cellStyle name="40% - Accent1 4" xfId="30"/>
    <cellStyle name="40% - Accent2 2" xfId="31"/>
    <cellStyle name="40% - Accent2 3" xfId="32"/>
    <cellStyle name="40% - Accent2 4" xfId="33"/>
    <cellStyle name="40% - Accent3 2" xfId="34"/>
    <cellStyle name="40% - Accent3 3" xfId="35"/>
    <cellStyle name="40% - Accent3 4" xfId="36"/>
    <cellStyle name="40% - Accent4 2" xfId="37"/>
    <cellStyle name="40% - Accent4 3" xfId="38"/>
    <cellStyle name="40% - Accent4 4" xfId="39"/>
    <cellStyle name="40% - Accent5 2" xfId="40"/>
    <cellStyle name="40% - Accent5 3" xfId="41"/>
    <cellStyle name="40% - Accent5 4" xfId="42"/>
    <cellStyle name="40% - Accent6 2" xfId="43"/>
    <cellStyle name="40% - Accent6 3" xfId="44"/>
    <cellStyle name="40% - Accent6 4" xfId="45"/>
    <cellStyle name="60% - Accent1 2" xfId="46"/>
    <cellStyle name="60% - Accent1 3" xfId="47"/>
    <cellStyle name="60% - Accent1 4" xfId="48"/>
    <cellStyle name="60% - Accent2 2" xfId="49"/>
    <cellStyle name="60% - Accent2 3" xfId="50"/>
    <cellStyle name="60% - Accent2 4" xfId="51"/>
    <cellStyle name="60% - Accent3 2" xfId="52"/>
    <cellStyle name="60% - Accent3 3" xfId="53"/>
    <cellStyle name="60% - Accent3 4" xfId="54"/>
    <cellStyle name="60% - Accent4 2" xfId="55"/>
    <cellStyle name="60% - Accent4 3" xfId="56"/>
    <cellStyle name="60% - Accent4 4" xfId="57"/>
    <cellStyle name="60% - Accent5 2" xfId="58"/>
    <cellStyle name="60% - Accent5 3" xfId="59"/>
    <cellStyle name="60% - Accent5 4" xfId="60"/>
    <cellStyle name="60% - Accent6 2" xfId="61"/>
    <cellStyle name="60% - Accent6 3" xfId="62"/>
    <cellStyle name="60% - Accent6 4" xfId="63"/>
    <cellStyle name="Accent1 2" xfId="64"/>
    <cellStyle name="Accent1 3" xfId="65"/>
    <cellStyle name="Accent1 4" xfId="66"/>
    <cellStyle name="Accent2 2" xfId="67"/>
    <cellStyle name="Accent2 3" xfId="68"/>
    <cellStyle name="Accent2 4" xfId="69"/>
    <cellStyle name="Accent3 2" xfId="70"/>
    <cellStyle name="Accent3 3" xfId="71"/>
    <cellStyle name="Accent3 4" xfId="72"/>
    <cellStyle name="Accent4 2" xfId="73"/>
    <cellStyle name="Accent4 3" xfId="74"/>
    <cellStyle name="Accent4 4" xfId="75"/>
    <cellStyle name="Accent5 2" xfId="76"/>
    <cellStyle name="Accent5 3" xfId="77"/>
    <cellStyle name="Accent5 4" xfId="78"/>
    <cellStyle name="Accent6 2" xfId="79"/>
    <cellStyle name="Accent6 3" xfId="80"/>
    <cellStyle name="Accent6 4" xfId="81"/>
    <cellStyle name="Auto_OpenAuto_CloseExtractD_Sheet1" xfId="82"/>
    <cellStyle name="Axis.EffectiveDate" xfId="83"/>
    <cellStyle name="Axis.Seasoning" xfId="84"/>
    <cellStyle name="Bad 2" xfId="85"/>
    <cellStyle name="Bad 3" xfId="86"/>
    <cellStyle name="Bad 4" xfId="87"/>
    <cellStyle name="Big Money" xfId="88"/>
    <cellStyle name="Blue" xfId="89"/>
    <cellStyle name="blue axis cells" xfId="90"/>
    <cellStyle name="blue text cells" xfId="91"/>
    <cellStyle name="Body" xfId="92"/>
    <cellStyle name="Bold/Border" xfId="93"/>
    <cellStyle name="Border" xfId="94"/>
    <cellStyle name="Bullet" xfId="95"/>
    <cellStyle name="Calc Currency (0)" xfId="96"/>
    <cellStyle name="Calc Currency (0) 2" xfId="97"/>
    <cellStyle name="Calc Currency (2)" xfId="98"/>
    <cellStyle name="Calc Currency (2) 2" xfId="99"/>
    <cellStyle name="Calc Percent (0)" xfId="100"/>
    <cellStyle name="Calc Percent (0) 2" xfId="101"/>
    <cellStyle name="Calc Percent (1)" xfId="102"/>
    <cellStyle name="Calc Percent (1) 2" xfId="103"/>
    <cellStyle name="Calc Percent (2)" xfId="104"/>
    <cellStyle name="Calc Percent (2) 2" xfId="105"/>
    <cellStyle name="Calc Units (0)" xfId="106"/>
    <cellStyle name="Calc Units (0) 2" xfId="107"/>
    <cellStyle name="Calc Units (1)" xfId="108"/>
    <cellStyle name="Calc Units (1) 2" xfId="109"/>
    <cellStyle name="Calc Units (2)" xfId="110"/>
    <cellStyle name="Calc Units (2) 2" xfId="111"/>
    <cellStyle name="Calculation 2" xfId="112"/>
    <cellStyle name="Calculation 3" xfId="113"/>
    <cellStyle name="Calculation 4" xfId="114"/>
    <cellStyle name="CCM Input" xfId="115"/>
    <cellStyle name="CCM Title Calculations" xfId="116"/>
    <cellStyle name="CCM Title Indicative" xfId="117"/>
    <cellStyle name="Cello Calculation" xfId="118"/>
    <cellStyle name="Cello Calculation 2" xfId="119"/>
    <cellStyle name="Cello Calculation 2 2" xfId="120"/>
    <cellStyle name="Cello Calculation 3" xfId="121"/>
    <cellStyle name="Cello Calculation 4" xfId="508"/>
    <cellStyle name="Cello Input" xfId="122"/>
    <cellStyle name="Cello Input 2" xfId="123"/>
    <cellStyle name="Cello Input 2 2" xfId="124"/>
    <cellStyle name="Cello Input 2 3" xfId="125"/>
    <cellStyle name="Cello Input 3" xfId="126"/>
    <cellStyle name="Cello Input 4" xfId="509"/>
    <cellStyle name="Cello Linked Cell" xfId="127"/>
    <cellStyle name="Cello Linked Cell 2" xfId="128"/>
    <cellStyle name="Cello Linked Cell 2 2" xfId="129"/>
    <cellStyle name="Check Cell 2" xfId="130"/>
    <cellStyle name="Check Cell 3" xfId="131"/>
    <cellStyle name="Check Cell 4" xfId="132"/>
    <cellStyle name="Co. Names" xfId="133"/>
    <cellStyle name="Comma" xfId="520"/>
    <cellStyle name="Comma" xfId="523"/>
    <cellStyle name="Comma" xfId="522"/>
    <cellStyle name="Comma  - Style1" xfId="134"/>
    <cellStyle name="Comma  - Style1 2" xfId="135"/>
    <cellStyle name="Comma  - Style2" xfId="136"/>
    <cellStyle name="Comma  - Style2 2" xfId="137"/>
    <cellStyle name="Comma  - Style3" xfId="138"/>
    <cellStyle name="Comma  - Style3 2" xfId="139"/>
    <cellStyle name="Comma  - Style4" xfId="140"/>
    <cellStyle name="Comma  - Style4 2" xfId="141"/>
    <cellStyle name="Comma  - Style5" xfId="142"/>
    <cellStyle name="Comma  - Style5 2" xfId="143"/>
    <cellStyle name="Comma  - Style6" xfId="144"/>
    <cellStyle name="Comma  - Style6 2" xfId="145"/>
    <cellStyle name="Comma  - Style7" xfId="146"/>
    <cellStyle name="Comma  - Style7 2" xfId="147"/>
    <cellStyle name="Comma  - Style8" xfId="148"/>
    <cellStyle name="Comma  - Style8 2" xfId="149"/>
    <cellStyle name="Comma [00]" xfId="150"/>
    <cellStyle name="Comma [00] 2" xfId="151"/>
    <cellStyle name="Comma 10" xfId="152"/>
    <cellStyle name="Comma 11" xfId="153"/>
    <cellStyle name="Comma 12" xfId="154"/>
    <cellStyle name="Comma 13" xfId="155"/>
    <cellStyle name="Comma 14" xfId="156"/>
    <cellStyle name="Comma 15" xfId="157"/>
    <cellStyle name="Comma 16" xfId="158"/>
    <cellStyle name="Comma 16 2" xfId="159"/>
    <cellStyle name="Comma 17" xfId="160"/>
    <cellStyle name="Comma 18" xfId="161"/>
    <cellStyle name="Comma 19" xfId="162"/>
    <cellStyle name="Comma 2" xfId="163"/>
    <cellStyle name="Comma 20" xfId="164"/>
    <cellStyle name="Comma 21" xfId="165"/>
    <cellStyle name="Comma 22" xfId="166"/>
    <cellStyle name="Comma 23" xfId="167"/>
    <cellStyle name="Comma 24" xfId="168"/>
    <cellStyle name="Comma 25" xfId="169"/>
    <cellStyle name="Comma 26" xfId="170"/>
    <cellStyle name="Comma 27" xfId="171"/>
    <cellStyle name="Comma 28" xfId="172"/>
    <cellStyle name="Comma 29" xfId="173"/>
    <cellStyle name="Comma 29 2" xfId="174"/>
    <cellStyle name="Comma 3" xfId="175"/>
    <cellStyle name="Comma 30" xfId="176"/>
    <cellStyle name="Comma 31" xfId="2"/>
    <cellStyle name="Comma 4" xfId="177"/>
    <cellStyle name="Comma 4 2" xfId="178"/>
    <cellStyle name="Comma 5" xfId="179"/>
    <cellStyle name="Comma 6" xfId="180"/>
    <cellStyle name="Comma 7" xfId="181"/>
    <cellStyle name="Comma 8" xfId="182"/>
    <cellStyle name="Comma 9" xfId="183"/>
    <cellStyle name="Comma0" xfId="184"/>
    <cellStyle name="Comma1 - Style1" xfId="185"/>
    <cellStyle name="Copied" xfId="186"/>
    <cellStyle name="CTDSwitchAnalysisHeader" xfId="187"/>
    <cellStyle name="Curren - Style2" xfId="188"/>
    <cellStyle name="Currency [00]" xfId="189"/>
    <cellStyle name="Currency [00] 2" xfId="190"/>
    <cellStyle name="Currency [2]" xfId="191"/>
    <cellStyle name="Currency 10" xfId="192"/>
    <cellStyle name="Currency 11" xfId="193"/>
    <cellStyle name="Currency 12" xfId="194"/>
    <cellStyle name="Currency 13" xfId="195"/>
    <cellStyle name="Currency 14" xfId="196"/>
    <cellStyle name="Currency 15" xfId="197"/>
    <cellStyle name="Currency 2" xfId="198"/>
    <cellStyle name="Currency 3" xfId="199"/>
    <cellStyle name="Currency 4" xfId="200"/>
    <cellStyle name="Currency 5" xfId="201"/>
    <cellStyle name="Currency 6" xfId="202"/>
    <cellStyle name="Currency 7" xfId="203"/>
    <cellStyle name="Currency 8" xfId="204"/>
    <cellStyle name="Currency 9" xfId="205"/>
    <cellStyle name="Currency0" xfId="206"/>
    <cellStyle name="Dash" xfId="207"/>
    <cellStyle name="Data.LongPercent" xfId="208"/>
    <cellStyle name="Data.NumPercent" xfId="209"/>
    <cellStyle name="Data.NumShortPercent" xfId="210"/>
    <cellStyle name="date" xfId="211"/>
    <cellStyle name="Date - Style3" xfId="212"/>
    <cellStyle name="Date 2" xfId="213"/>
    <cellStyle name="Date 3" xfId="214"/>
    <cellStyle name="Date 4" xfId="215"/>
    <cellStyle name="Date 5" xfId="216"/>
    <cellStyle name="Date 6" xfId="217"/>
    <cellStyle name="Date 7" xfId="218"/>
    <cellStyle name="Date Short" xfId="219"/>
    <cellStyle name="date title" xfId="220"/>
    <cellStyle name="Date_DV01" xfId="221"/>
    <cellStyle name="DateFormat" xfId="222"/>
    <cellStyle name="DBAHandle" xfId="223"/>
    <cellStyle name="DBAParameter" xfId="224"/>
    <cellStyle name="DELTA" xfId="225"/>
    <cellStyle name="DS 0" xfId="226"/>
    <cellStyle name="DS 1" xfId="227"/>
    <cellStyle name="DS 2" xfId="228"/>
    <cellStyle name="DS 3" xfId="229"/>
    <cellStyle name="DS 4" xfId="230"/>
    <cellStyle name="DS 5" xfId="231"/>
    <cellStyle name="DS 5 2" xfId="232"/>
    <cellStyle name="DS 6" xfId="233"/>
    <cellStyle name="Enter Currency (0)" xfId="234"/>
    <cellStyle name="Enter Currency (0) 2" xfId="235"/>
    <cellStyle name="Enter Currency (2)" xfId="236"/>
    <cellStyle name="Enter Currency (2) 2" xfId="237"/>
    <cellStyle name="Enter Units (0)" xfId="238"/>
    <cellStyle name="Enter Units (0) 2" xfId="239"/>
    <cellStyle name="Enter Units (1)" xfId="240"/>
    <cellStyle name="Enter Units (1) 2" xfId="241"/>
    <cellStyle name="Enter Units (2)" xfId="242"/>
    <cellStyle name="Enter Units (2) 2" xfId="243"/>
    <cellStyle name="Entered" xfId="244"/>
    <cellStyle name="Entries" xfId="245"/>
    <cellStyle name="Euro" xfId="246"/>
    <cellStyle name="Explanatory Text 2" xfId="247"/>
    <cellStyle name="Explanatory Text 3" xfId="248"/>
    <cellStyle name="Explanatory Text 4" xfId="249"/>
    <cellStyle name="Fixed" xfId="250"/>
    <cellStyle name="FullTime" xfId="251"/>
    <cellStyle name="General" xfId="252"/>
    <cellStyle name="Good 2" xfId="253"/>
    <cellStyle name="Good 3" xfId="254"/>
    <cellStyle name="Good 4" xfId="255"/>
    <cellStyle name="gray text cells" xfId="256"/>
    <cellStyle name="Grey" xfId="257"/>
    <cellStyle name="Header1" xfId="258"/>
    <cellStyle name="Header2" xfId="259"/>
    <cellStyle name="Heading" xfId="260"/>
    <cellStyle name="Heading 1 2" xfId="261"/>
    <cellStyle name="Heading 1 2 2" xfId="262"/>
    <cellStyle name="Heading 1 3" xfId="263"/>
    <cellStyle name="Heading 1 4" xfId="264"/>
    <cellStyle name="Heading 1 5" xfId="265"/>
    <cellStyle name="Heading 2 2" xfId="266"/>
    <cellStyle name="Heading 2 2 2" xfId="267"/>
    <cellStyle name="Heading 2 3" xfId="268"/>
    <cellStyle name="Heading 2 4" xfId="269"/>
    <cellStyle name="Heading 2 5" xfId="270"/>
    <cellStyle name="Heading 3 2" xfId="271"/>
    <cellStyle name="Heading 3 3" xfId="272"/>
    <cellStyle name="Heading 3 4" xfId="273"/>
    <cellStyle name="Heading 4 2" xfId="274"/>
    <cellStyle name="Heading 4 3" xfId="275"/>
    <cellStyle name="Heading 4 4" xfId="276"/>
    <cellStyle name="Heading 5" xfId="277"/>
    <cellStyle name="HEADING1" xfId="278"/>
    <cellStyle name="HEADING2" xfId="279"/>
    <cellStyle name="Hyperlink 2" xfId="280"/>
    <cellStyle name="Input [yellow]" xfId="281"/>
    <cellStyle name="Input 2" xfId="282"/>
    <cellStyle name="Input 2 2" xfId="510"/>
    <cellStyle name="Input 2 3" xfId="506"/>
    <cellStyle name="Input 3" xfId="283"/>
    <cellStyle name="Input 4" xfId="284"/>
    <cellStyle name="Input 5" xfId="285"/>
    <cellStyle name="Input 6" xfId="286"/>
    <cellStyle name="Input 7" xfId="287"/>
    <cellStyle name="Item" xfId="288"/>
    <cellStyle name="Link Currency (0)" xfId="289"/>
    <cellStyle name="Link Currency (0) 2" xfId="290"/>
    <cellStyle name="Link Currency (2)" xfId="291"/>
    <cellStyle name="Link Currency (2) 2" xfId="292"/>
    <cellStyle name="Link Units (0)" xfId="293"/>
    <cellStyle name="Link Units (0) 2" xfId="294"/>
    <cellStyle name="Link Units (1)" xfId="295"/>
    <cellStyle name="Link Units (1) 2" xfId="296"/>
    <cellStyle name="Link Units (2)" xfId="297"/>
    <cellStyle name="Link Units (2) 2" xfId="298"/>
    <cellStyle name="Linked Cell 2" xfId="299"/>
    <cellStyle name="Linked Cell 3" xfId="300"/>
    <cellStyle name="Linked Cell 4" xfId="301"/>
    <cellStyle name="Lookup" xfId="302"/>
    <cellStyle name="Milliers [0]_Basis" xfId="303"/>
    <cellStyle name="Milliers_Basis" xfId="304"/>
    <cellStyle name="Monétaire [0]_Basis" xfId="305"/>
    <cellStyle name="Monétaire_Basis" xfId="306"/>
    <cellStyle name="Money" xfId="307"/>
    <cellStyle name="Neutral 2" xfId="308"/>
    <cellStyle name="Neutral 3" xfId="309"/>
    <cellStyle name="Neutral 4" xfId="310"/>
    <cellStyle name="no dec" xfId="311"/>
    <cellStyle name="NoChange" xfId="312"/>
    <cellStyle name="Non Zero" xfId="313"/>
    <cellStyle name="Normal" xfId="519"/>
    <cellStyle name="Normal" xfId="524"/>
    <cellStyle name="Normal" xfId="521"/>
    <cellStyle name="Normal" xfId="0" builtinId="0"/>
    <cellStyle name="Normal - Style1" xfId="314"/>
    <cellStyle name="Normal 10" xfId="315"/>
    <cellStyle name="Normal 10 2" xfId="316"/>
    <cellStyle name="Normal 11" xfId="317"/>
    <cellStyle name="Normal 11 2" xfId="318"/>
    <cellStyle name="Normal 12" xfId="319"/>
    <cellStyle name="Normal 13" xfId="320"/>
    <cellStyle name="Normal 14" xfId="321"/>
    <cellStyle name="Normal 15" xfId="322"/>
    <cellStyle name="Normal 16" xfId="323"/>
    <cellStyle name="Normal 17" xfId="324"/>
    <cellStyle name="Normal 18" xfId="325"/>
    <cellStyle name="Normal 19" xfId="326"/>
    <cellStyle name="Normal 2" xfId="3"/>
    <cellStyle name="Normal 2 2" xfId="327"/>
    <cellStyle name="Normal 2 2 2" xfId="511"/>
    <cellStyle name="Normal 2 3" xfId="328"/>
    <cellStyle name="Normal 2 3 2" xfId="329"/>
    <cellStyle name="Normal 2 3 2 2" xfId="330"/>
    <cellStyle name="Normal 2 3 3" xfId="331"/>
    <cellStyle name="Normal 2 4" xfId="332"/>
    <cellStyle name="Normal 2 4 2" xfId="333"/>
    <cellStyle name="Normal 2 4 2 2" xfId="334"/>
    <cellStyle name="Normal 2 4 3" xfId="335"/>
    <cellStyle name="Normal 2 5" xfId="336"/>
    <cellStyle name="Normal 2 5 2" xfId="337"/>
    <cellStyle name="Normal 2 6" xfId="338"/>
    <cellStyle name="Normal 2 7" xfId="507"/>
    <cellStyle name="Normal 20" xfId="339"/>
    <cellStyle name="Normal 21" xfId="340"/>
    <cellStyle name="Normal 22" xfId="341"/>
    <cellStyle name="Normal 23" xfId="342"/>
    <cellStyle name="Normal 24" xfId="343"/>
    <cellStyle name="Normal 25" xfId="344"/>
    <cellStyle name="Normal 26" xfId="345"/>
    <cellStyle name="Normal 27" xfId="346"/>
    <cellStyle name="Normal 28" xfId="347"/>
    <cellStyle name="Normal 28 2" xfId="348"/>
    <cellStyle name="Normal 29" xfId="349"/>
    <cellStyle name="Normal 3" xfId="350"/>
    <cellStyle name="Normal 3 2" xfId="512"/>
    <cellStyle name="Normal 30" xfId="351"/>
    <cellStyle name="Normal 31" xfId="352"/>
    <cellStyle name="Normal 32" xfId="353"/>
    <cellStyle name="Normal 33" xfId="354"/>
    <cellStyle name="Normal 34" xfId="355"/>
    <cellStyle name="Normal 35" xfId="356"/>
    <cellStyle name="Normal 36" xfId="357"/>
    <cellStyle name="Normal 37" xfId="358"/>
    <cellStyle name="Normal 38" xfId="359"/>
    <cellStyle name="Normal 38 2" xfId="360"/>
    <cellStyle name="Normal 38 2 2" xfId="361"/>
    <cellStyle name="Normal 38 3" xfId="362"/>
    <cellStyle name="Normal 39" xfId="363"/>
    <cellStyle name="Normal 4" xfId="364"/>
    <cellStyle name="Normal 4 2" xfId="365"/>
    <cellStyle name="Normal 4 3" xfId="513"/>
    <cellStyle name="Normal 4 4" xfId="503"/>
    <cellStyle name="Normal 40" xfId="366"/>
    <cellStyle name="Normal 41" xfId="502"/>
    <cellStyle name="Normal 42" xfId="367"/>
    <cellStyle name="Normal 42 2" xfId="368"/>
    <cellStyle name="Normal 43" xfId="1"/>
    <cellStyle name="Normal 44" xfId="518"/>
    <cellStyle name="Normal 5" xfId="369"/>
    <cellStyle name="Normal 6" xfId="370"/>
    <cellStyle name="Normal 6 2" xfId="371"/>
    <cellStyle name="Normal 7" xfId="372"/>
    <cellStyle name="Normal 7 2" xfId="373"/>
    <cellStyle name="Normal 8" xfId="374"/>
    <cellStyle name="Normal 9" xfId="375"/>
    <cellStyle name="Normal 9 2" xfId="376"/>
    <cellStyle name="Note 2" xfId="377"/>
    <cellStyle name="Note 2 2" xfId="378"/>
    <cellStyle name="Note 2 3" xfId="514"/>
    <cellStyle name="Note 2 4" xfId="504"/>
    <cellStyle name="Note 3" xfId="379"/>
    <cellStyle name="Note 4" xfId="380"/>
    <cellStyle name="Note 5" xfId="381"/>
    <cellStyle name="Note 6" xfId="382"/>
    <cellStyle name="Note 7" xfId="383"/>
    <cellStyle name="Note 7 2" xfId="384"/>
    <cellStyle name="Note 8" xfId="385"/>
    <cellStyle name="NumberAsPercent" xfId="386"/>
    <cellStyle name="NumberFormat" xfId="387"/>
    <cellStyle name="Numbers" xfId="388"/>
    <cellStyle name="Numbers - Bold" xfId="389"/>
    <cellStyle name="Numbers_increm pf" xfId="390"/>
    <cellStyle name="NumberTo1DecPlace" xfId="391"/>
    <cellStyle name="OffWhite" xfId="392"/>
    <cellStyle name="Option" xfId="393"/>
    <cellStyle name="orange text cell" xfId="394"/>
    <cellStyle name="Output 2" xfId="395"/>
    <cellStyle name="Output 3" xfId="396"/>
    <cellStyle name="Output 4" xfId="397"/>
    <cellStyle name="Output Amounts" xfId="398"/>
    <cellStyle name="Output Column Headings" xfId="399"/>
    <cellStyle name="Output Line Items" xfId="400"/>
    <cellStyle name="Output Report Heading" xfId="401"/>
    <cellStyle name="Output Report Title" xfId="402"/>
    <cellStyle name="Pageheading" xfId="403"/>
    <cellStyle name="Percent" xfId="525"/>
    <cellStyle name="Percent" xfId="526"/>
    <cellStyle name="Percent" xfId="527"/>
    <cellStyle name="Percent [0]" xfId="404"/>
    <cellStyle name="Percent [0] 2" xfId="405"/>
    <cellStyle name="Percent [00]" xfId="406"/>
    <cellStyle name="Percent [00] 2" xfId="407"/>
    <cellStyle name="Percent [2]" xfId="408"/>
    <cellStyle name="Percent 2" xfId="409"/>
    <cellStyle name="Percent 2 2" xfId="410"/>
    <cellStyle name="Percent 3" xfId="411"/>
    <cellStyle name="Percent 4" xfId="517"/>
    <cellStyle name="Percentage" xfId="412"/>
    <cellStyle name="PrePop Currency (0)" xfId="413"/>
    <cellStyle name="PrePop Currency (0) 2" xfId="414"/>
    <cellStyle name="PrePop Currency (2)" xfId="415"/>
    <cellStyle name="PrePop Currency (2) 2" xfId="416"/>
    <cellStyle name="PrePop Units (0)" xfId="417"/>
    <cellStyle name="PrePop Units (0) 2" xfId="418"/>
    <cellStyle name="PrePop Units (1)" xfId="419"/>
    <cellStyle name="PrePop Units (1) 2" xfId="420"/>
    <cellStyle name="PrePop Units (2)" xfId="421"/>
    <cellStyle name="PrePop Units (2) 2" xfId="422"/>
    <cellStyle name="PriceTo3DecPlaces" xfId="423"/>
    <cellStyle name="PriceWithBorderAround" xfId="424"/>
    <cellStyle name="PRICING" xfId="425"/>
    <cellStyle name="Product Header" xfId="426"/>
    <cellStyle name="PSChar" xfId="427"/>
    <cellStyle name="PSHeading" xfId="428"/>
    <cellStyle name="r" xfId="429"/>
    <cellStyle name="r_pldt" xfId="430"/>
    <cellStyle name="ReportLeftHeader" xfId="431"/>
    <cellStyle name="ReportRightHeader" xfId="432"/>
    <cellStyle name="results" xfId="433"/>
    <cellStyle name="RevList" xfId="434"/>
    <cellStyle name="RVRQueryHandle" xfId="435"/>
    <cellStyle name="Section" xfId="436"/>
    <cellStyle name="SecuritiesPricingTable" xfId="437"/>
    <cellStyle name="SecuritiesPricingTableFinalData" xfId="438"/>
    <cellStyle name="SecuritiesPricingTableManualData" xfId="439"/>
    <cellStyle name="SecuritiesPricingTableText" xfId="440"/>
    <cellStyle name="Short $" xfId="441"/>
    <cellStyle name="Short $ 2" xfId="442"/>
    <cellStyle name="SIZE" xfId="443"/>
    <cellStyle name="Standard_Swaps-Bonds-Blending" xfId="444"/>
    <cellStyle name="Style 1" xfId="445"/>
    <cellStyle name="StyleSecuritiesPricingTableInteger" xfId="446"/>
    <cellStyle name="Subheading" xfId="447"/>
    <cellStyle name="subtitle" xfId="448"/>
    <cellStyle name="Subtotal" xfId="449"/>
    <cellStyle name="Table" xfId="450"/>
    <cellStyle name="Tablebody" xfId="451"/>
    <cellStyle name="TablebodyDate" xfId="452"/>
    <cellStyle name="TablebodyHeading" xfId="453"/>
    <cellStyle name="TablebodyOutstandingAmount" xfId="454"/>
    <cellStyle name="TablebodyPercent" xfId="455"/>
    <cellStyle name="TablebodyPrice" xfId="456"/>
    <cellStyle name="TablebodyReverse" xfId="457"/>
    <cellStyle name="TablebodySpread" xfId="458"/>
    <cellStyle name="TablebodySpreadBorder" xfId="459"/>
    <cellStyle name="TablebodyText" xfId="460"/>
    <cellStyle name="Tableheading" xfId="461"/>
    <cellStyle name="Text" xfId="462"/>
    <cellStyle name="Text 2" xfId="463"/>
    <cellStyle name="Text Indent A" xfId="464"/>
    <cellStyle name="Text Indent B" xfId="465"/>
    <cellStyle name="Text Indent B 2" xfId="466"/>
    <cellStyle name="Text Indent C" xfId="467"/>
    <cellStyle name="Text Indent C 2" xfId="468"/>
    <cellStyle name="TextStyle" xfId="469"/>
    <cellStyle name="tic display" xfId="470"/>
    <cellStyle name="tic input" xfId="471"/>
    <cellStyle name="Title - Underline" xfId="472"/>
    <cellStyle name="Title 2" xfId="473"/>
    <cellStyle name="Title 3" xfId="474"/>
    <cellStyle name="Title 4" xfId="475"/>
    <cellStyle name="Title 5" xfId="476"/>
    <cellStyle name="Title 6" xfId="477"/>
    <cellStyle name="Title 7" xfId="478"/>
    <cellStyle name="Title Calculations" xfId="479"/>
    <cellStyle name="Title Calculations 2" xfId="480"/>
    <cellStyle name="Title Indicative" xfId="481"/>
    <cellStyle name="Title Indicative 2" xfId="482"/>
    <cellStyle name="Title Pricing Assumptions" xfId="483"/>
    <cellStyle name="Title Pricing Assumptions 2" xfId="484"/>
    <cellStyle name="Title Pricing Assumptions 2 2" xfId="516"/>
    <cellStyle name="Title Pricing Assumptions 2 3" xfId="505"/>
    <cellStyle name="Title Pricing Assumptions 3" xfId="515"/>
    <cellStyle name="Titles - Other" xfId="485"/>
    <cellStyle name="Total 2" xfId="486"/>
    <cellStyle name="Total 2 2" xfId="487"/>
    <cellStyle name="Total 3" xfId="488"/>
    <cellStyle name="Total 4" xfId="489"/>
    <cellStyle name="Warning" xfId="490"/>
    <cellStyle name="Warning Text 2" xfId="491"/>
    <cellStyle name="Warning Text 3" xfId="492"/>
    <cellStyle name="Warning Text 4" xfId="493"/>
    <cellStyle name="YB Calculations" xfId="494"/>
    <cellStyle name="YB Calculations 2" xfId="495"/>
    <cellStyle name="YB Curve" xfId="496"/>
    <cellStyle name="YB Indicative" xfId="497"/>
    <cellStyle name="YBINDIC" xfId="498"/>
    <cellStyle name="YBIOPOBE" xfId="499"/>
    <cellStyle name="YBPRICE" xfId="500"/>
    <cellStyle name="一般_原始檔案" xfId="501"/>
  </cellStyles>
  <dxfs count="23">
    <dxf>
      <font>
        <b/>
        <i val="0"/>
      </font>
      <border>
        <top style="thin">
          <color rgb="FF2E398A"/>
        </top>
      </border>
    </dxf>
    <dxf>
      <font>
        <b val="0"/>
        <i val="0"/>
      </font>
      <fill>
        <patternFill>
          <bgColor rgb="FFEFEBE4"/>
        </patternFill>
      </fill>
      <border>
        <bottom style="thin">
          <color rgb="FF2E398A"/>
        </bottom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  <dxf>
      <border>
        <bottom style="thin">
          <color rgb="FF2E398A"/>
        </bottom>
      </border>
    </dxf>
    <dxf>
      <border>
        <bottom style="thin">
          <color rgb="FF2E398A"/>
        </bottom>
      </border>
    </dxf>
    <dxf>
      <font>
        <b/>
        <i val="0"/>
      </font>
      <border>
        <top style="thin">
          <color rgb="FF2E398A"/>
        </top>
      </border>
    </dxf>
    <dxf>
      <font>
        <b val="0"/>
        <i val="0"/>
      </font>
      <fill>
        <patternFill>
          <bgColor rgb="FFEFEBE4"/>
        </patternFill>
      </fill>
      <border>
        <bottom style="thin">
          <color rgb="FF2E398A"/>
        </bottom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  <dxf>
      <font>
        <b/>
        <i val="0"/>
        <color theme="5" tint="-0.24994659260841701"/>
      </font>
      <border>
        <left/>
        <right/>
        <top style="thin">
          <color rgb="FF2E398A"/>
        </top>
        <bottom style="thin">
          <color rgb="FF2E398A"/>
        </bottom>
        <vertical/>
      </border>
    </dxf>
    <dxf>
      <font>
        <b/>
        <i val="0"/>
        <color theme="1"/>
      </font>
      <fill>
        <patternFill>
          <bgColor theme="2"/>
        </patternFill>
      </fill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vertical style="thin">
          <color rgb="FF2E398A"/>
        </vertical>
        <horizontal/>
      </border>
    </dxf>
    <dxf>
      <fill>
        <patternFill>
          <bgColor rgb="FFEFEBE4"/>
        </patternFill>
      </fill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vertical style="thin">
          <color rgb="FF2E398A"/>
        </vertical>
        <horizontal/>
      </border>
    </dxf>
    <dxf>
      <font>
        <color auto="1"/>
      </font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  <dxf>
      <fill>
        <patternFill>
          <bgColor rgb="FFEFEBE4"/>
        </patternFill>
      </fill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vertical style="thin">
          <color rgb="FF2E398A"/>
        </vertical>
        <horizontal/>
      </border>
    </dxf>
    <dxf>
      <font>
        <color auto="1"/>
      </font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  <dxf>
      <border>
        <right style="thin">
          <color rgb="FF2E398A"/>
        </right>
      </border>
    </dxf>
    <dxf>
      <font>
        <b/>
        <i val="0"/>
      </font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  <dxf>
      <fill>
        <patternFill>
          <bgColor rgb="FFEFEBE4"/>
        </patternFill>
      </fill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  <dxf>
      <border>
        <right style="thin">
          <color rgb="FF2E398A"/>
        </right>
      </border>
    </dxf>
    <dxf>
      <font>
        <b/>
        <i val="0"/>
      </font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  <dxf>
      <fill>
        <patternFill>
          <bgColor rgb="FFEFEBE4"/>
        </patternFill>
      </fill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7" defaultTableStyle="TableStyleMedium2" defaultPivotStyle="PivotStyleLight16">
    <tableStyle name="Cell Report Style" table="0" count="4">
      <tableStyleElement type="wholeTable" dxfId="22"/>
      <tableStyleElement type="headerRow" dxfId="21"/>
      <tableStyleElement type="totalRow" dxfId="20"/>
      <tableStyleElement type="firstColumn" dxfId="19"/>
    </tableStyle>
    <tableStyle name="Cell Report Style 2" table="0" count="4">
      <tableStyleElement type="wholeTable" dxfId="18"/>
      <tableStyleElement type="headerRow" dxfId="17"/>
      <tableStyleElement type="totalRow" dxfId="16"/>
      <tableStyleElement type="firstColumnStripe" dxfId="15"/>
    </tableStyle>
    <tableStyle name="Cello Tabular Table Stype" pivot="0" count="2">
      <tableStyleElement type="wholeTable" dxfId="14"/>
      <tableStyleElement type="headerRow" dxfId="13"/>
    </tableStyle>
    <tableStyle name="Cello Tabular Table Stype 2" pivot="0" count="2">
      <tableStyleElement type="wholeTable" dxfId="12"/>
      <tableStyleElement type="headerRow" dxfId="11"/>
    </tableStyle>
    <tableStyle name="PivotTable Style Master" table="0" count="3">
      <tableStyleElement type="wholeTable" dxfId="10"/>
      <tableStyleElement type="headerRow" dxfId="9"/>
      <tableStyleElement type="firstRowSubheading" dxfId="8"/>
    </tableStyle>
    <tableStyle name="EDF PivotTable Style" table="0" count="5">
      <tableStyleElement type="wholeTable" dxfId="7"/>
      <tableStyleElement type="headerRow" dxfId="6"/>
      <tableStyleElement type="totalRow" dxfId="5"/>
      <tableStyleElement type="firstRowStripe" size="4" dxfId="4"/>
      <tableStyleElement type="secondRowStripe" size="4" dxfId="3"/>
    </tableStyle>
    <tableStyle name="Normal PivotTable Style" table="0" count="3">
      <tableStyleElement type="wholeTable" dxfId="2"/>
      <tableStyleElement type="headerRow" dxfId="1"/>
      <tableStyleElement type="total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21" sqref="G21"/>
    </sheetView>
  </sheetViews>
  <sheetFormatPr defaultRowHeight="15"/>
  <cols>
    <col min="1" max="1" width="15.7109375" customWidth="1"/>
    <col min="2" max="2" width="19.140625" customWidth="1"/>
    <col min="3" max="3" width="14.28515625" customWidth="1"/>
    <col min="4" max="4" width="17.42578125" customWidth="1"/>
    <col min="5" max="5" width="24.140625" hidden="1" customWidth="1"/>
    <col min="7" max="7" width="19.7109375" customWidth="1"/>
  </cols>
  <sheetData>
    <row r="1" spans="1:7">
      <c r="A1" s="1">
        <v>42185</v>
      </c>
      <c r="B1" t="s">
        <v>6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5</v>
      </c>
      <c r="F2" s="3" t="s">
        <v>4</v>
      </c>
      <c r="G2" s="3" t="s">
        <v>1</v>
      </c>
    </row>
    <row r="3" spans="1:7">
      <c r="A3">
        <v>1</v>
      </c>
      <c r="B3" s="6">
        <v>-7.4160000000000004</v>
      </c>
      <c r="C3" s="2">
        <f>100*((1+B3/100)^(A3/12)-1)</f>
        <v>-0.64005822334690654</v>
      </c>
      <c r="D3" s="2">
        <f>C3</f>
        <v>-0.64005822334690654</v>
      </c>
      <c r="E3" s="2">
        <f>D3</f>
        <v>-0.64005822334690654</v>
      </c>
      <c r="F3" s="5">
        <v>17.806000000000001</v>
      </c>
      <c r="G3" s="4">
        <f>100*((1+E3/100)^12-1)</f>
        <v>-7.4160000000000341</v>
      </c>
    </row>
    <row r="4" spans="1:7">
      <c r="A4">
        <v>2</v>
      </c>
      <c r="B4" s="6">
        <v>-5.7160000000000002</v>
      </c>
      <c r="C4" s="2">
        <f t="shared" ref="C4:C7" si="0">100*((1+B4/100)^(A4/12)-1)</f>
        <v>-0.97618213896495387</v>
      </c>
      <c r="D4" s="2">
        <f>100*((1+C4/100)/(1+C3/100)-1)</f>
        <v>-0.3382891632259688</v>
      </c>
      <c r="E4" s="2">
        <f>D4</f>
        <v>-0.3382891632259688</v>
      </c>
      <c r="F4" s="5">
        <v>15.576000000000001</v>
      </c>
      <c r="G4" s="4">
        <f t="shared" ref="G4:G8" si="1">100*((1+E4/100)^12-1)</f>
        <v>-3.9847851032575154</v>
      </c>
    </row>
    <row r="5" spans="1:7">
      <c r="A5">
        <v>3</v>
      </c>
      <c r="B5" s="6">
        <v>-4.298</v>
      </c>
      <c r="C5" s="2">
        <f t="shared" si="0"/>
        <v>-1.0922657093907939</v>
      </c>
      <c r="D5" s="2">
        <f t="shared" ref="D5:D8" si="2">100*((1+C5/100)/(1+C4/100)-1)</f>
        <v>-0.11722792852598696</v>
      </c>
      <c r="E5" s="2">
        <f t="shared" ref="E5:E8" si="3">D5</f>
        <v>-0.11722792852598696</v>
      </c>
      <c r="F5" s="5">
        <v>14.791</v>
      </c>
      <c r="G5" s="4">
        <f t="shared" si="1"/>
        <v>-1.3977005152500888</v>
      </c>
    </row>
    <row r="6" spans="1:7">
      <c r="A6">
        <v>4</v>
      </c>
      <c r="B6" s="6">
        <v>-3.3679999999999999</v>
      </c>
      <c r="C6" s="2">
        <f>100*((1+B6/100)^(A6/12)-1)</f>
        <v>-1.1355117317990771</v>
      </c>
      <c r="D6" s="2">
        <f t="shared" si="2"/>
        <v>-4.3723600301281973E-2</v>
      </c>
      <c r="E6" s="2">
        <f t="shared" si="3"/>
        <v>-4.3723600301281973E-2</v>
      </c>
      <c r="F6" s="5">
        <v>14.808999999999999</v>
      </c>
      <c r="G6" s="4">
        <f t="shared" si="1"/>
        <v>-0.52342328363227386</v>
      </c>
    </row>
    <row r="7" spans="1:7">
      <c r="A7">
        <v>5</v>
      </c>
      <c r="B7" s="6">
        <v>-2.8119999999999998</v>
      </c>
      <c r="C7" s="2">
        <f t="shared" si="0"/>
        <v>-1.1814215469357903</v>
      </c>
      <c r="D7" s="2">
        <f t="shared" si="2"/>
        <v>-4.6437114014252767E-2</v>
      </c>
      <c r="E7" s="2">
        <f t="shared" si="3"/>
        <v>-4.6437114014252767E-2</v>
      </c>
      <c r="F7" s="5">
        <v>13.141</v>
      </c>
      <c r="G7" s="4">
        <f t="shared" si="1"/>
        <v>-0.55582434122223301</v>
      </c>
    </row>
    <row r="8" spans="1:7">
      <c r="A8">
        <v>6</v>
      </c>
      <c r="B8" s="6">
        <v>-2.149</v>
      </c>
      <c r="C8" s="2">
        <f>100*((1+B8/100)^(A8/12)-1)</f>
        <v>-1.0803356253166418</v>
      </c>
      <c r="D8" s="2">
        <f t="shared" si="2"/>
        <v>0.10229445029625861</v>
      </c>
      <c r="E8" s="2">
        <f t="shared" si="3"/>
        <v>0.10229445029625861</v>
      </c>
      <c r="F8" s="5">
        <v>14.294</v>
      </c>
      <c r="G8" s="4">
        <f t="shared" si="1"/>
        <v>1.2344633492048285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Lien Chen</cp:lastModifiedBy>
  <dcterms:created xsi:type="dcterms:W3CDTF">2014-10-21T12:30:43Z</dcterms:created>
  <dcterms:modified xsi:type="dcterms:W3CDTF">2015-07-02T19:33:23Z</dcterms:modified>
</cp:coreProperties>
</file>