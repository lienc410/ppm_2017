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30" yWindow="585" windowWidth="15435" windowHeight="13740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E15" i="1" l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I158" i="1"/>
  <c r="H158" i="1"/>
  <c r="I146" i="1"/>
  <c r="H146" i="1"/>
  <c r="I135" i="1"/>
  <c r="H135" i="1"/>
  <c r="J167" i="1"/>
  <c r="J166" i="1"/>
  <c r="J168" i="1"/>
  <c r="J155" i="1"/>
  <c r="J154" i="1"/>
  <c r="J156" i="1"/>
  <c r="J143" i="1"/>
  <c r="J144" i="1"/>
  <c r="J142" i="1"/>
  <c r="J131" i="1"/>
  <c r="J132" i="1"/>
  <c r="J130" i="1"/>
  <c r="I110" i="1"/>
  <c r="H110" i="1"/>
  <c r="I98" i="1"/>
  <c r="H98" i="1"/>
  <c r="I86" i="1"/>
  <c r="H86" i="1"/>
  <c r="J119" i="1"/>
  <c r="J118" i="1"/>
  <c r="J120" i="1"/>
  <c r="J107" i="1"/>
  <c r="J108" i="1"/>
  <c r="J106" i="1"/>
  <c r="J95" i="1"/>
  <c r="J96" i="1"/>
  <c r="J94" i="1"/>
  <c r="J83" i="1"/>
  <c r="J82" i="1"/>
  <c r="J84" i="1"/>
  <c r="I168" i="1"/>
  <c r="H168" i="1"/>
  <c r="I156" i="1"/>
  <c r="H156" i="1"/>
  <c r="I144" i="1"/>
  <c r="H144" i="1"/>
  <c r="I132" i="1"/>
  <c r="H132" i="1"/>
  <c r="I120" i="1"/>
  <c r="H120" i="1"/>
  <c r="I108" i="1"/>
  <c r="H108" i="1"/>
  <c r="I96" i="1"/>
  <c r="H96" i="1"/>
  <c r="I84" i="1"/>
  <c r="H84" i="1"/>
  <c r="B4" i="4"/>
  <c r="P74" i="3"/>
  <c r="P62" i="3"/>
  <c r="P50" i="3"/>
  <c r="P38" i="3"/>
  <c r="P26" i="3"/>
  <c r="P14" i="3"/>
  <c r="E218" i="1"/>
  <c r="E174" i="1"/>
  <c r="E201" i="1"/>
  <c r="E206" i="1"/>
  <c r="E208" i="1"/>
  <c r="E198" i="1"/>
  <c r="E215" i="1"/>
  <c r="E190" i="1"/>
  <c r="E197" i="1"/>
  <c r="E220" i="1"/>
  <c r="E194" i="1"/>
  <c r="E179" i="1"/>
  <c r="E187" i="1"/>
  <c r="E173" i="1"/>
  <c r="E233" i="1"/>
  <c r="E176" i="1"/>
  <c r="E229" i="1"/>
  <c r="E188" i="1"/>
  <c r="E210" i="1"/>
  <c r="E235" i="1"/>
  <c r="E193" i="1"/>
  <c r="E182" i="1"/>
  <c r="E200" i="1"/>
  <c r="E166" i="1"/>
  <c r="E207" i="1"/>
  <c r="E243" i="1"/>
  <c r="E189" i="1"/>
  <c r="E212" i="1"/>
  <c r="E177" i="1"/>
  <c r="E191" i="1"/>
  <c r="E196" i="1"/>
  <c r="E240" i="1"/>
  <c r="E165" i="1"/>
  <c r="E202" i="1"/>
  <c r="E195" i="1"/>
  <c r="E185" i="1"/>
  <c r="E219" i="1"/>
  <c r="E192" i="1"/>
  <c r="E227" i="1"/>
  <c r="E199" i="1"/>
  <c r="E203" i="1"/>
  <c r="E181" i="1"/>
  <c r="E204" i="1"/>
  <c r="E241" i="1"/>
  <c r="E184" i="1"/>
  <c r="E237" i="1"/>
  <c r="E186" i="1"/>
  <c r="E183" i="1"/>
  <c r="E211" i="1"/>
  <c r="E242" i="1"/>
  <c r="E178" i="1"/>
  <c r="E225" i="1"/>
  <c r="E161" i="1"/>
  <c r="E232" i="1"/>
  <c r="E168" i="1"/>
  <c r="E239" i="1"/>
  <c r="E175" i="1"/>
  <c r="E221" i="1"/>
  <c r="B5" i="2"/>
  <c r="E180" i="1"/>
  <c r="E171" i="1"/>
  <c r="E53" i="1"/>
  <c r="E117" i="1"/>
  <c r="E147" i="1"/>
  <c r="E47" i="1"/>
  <c r="E111" i="1"/>
  <c r="E83" i="1"/>
  <c r="E86" i="1"/>
  <c r="E56" i="1"/>
  <c r="E120" i="1"/>
  <c r="E115" i="1"/>
  <c r="E78" i="1"/>
  <c r="E49" i="1"/>
  <c r="E113" i="1"/>
  <c r="E155" i="1"/>
  <c r="E34" i="1"/>
  <c r="E98" i="1"/>
  <c r="E234" i="1"/>
  <c r="E170" i="1"/>
  <c r="E217" i="1"/>
  <c r="E238" i="1"/>
  <c r="E224" i="1"/>
  <c r="E231" i="1"/>
  <c r="E167" i="1"/>
  <c r="E213" i="1"/>
  <c r="E236" i="1"/>
  <c r="E172" i="1"/>
  <c r="E131" i="1"/>
  <c r="E61" i="1"/>
  <c r="E125" i="1"/>
  <c r="E44" i="1"/>
  <c r="E55" i="1"/>
  <c r="E119" i="1"/>
  <c r="E123" i="1"/>
  <c r="E118" i="1"/>
  <c r="E64" i="1"/>
  <c r="E128" i="1"/>
  <c r="E139" i="1"/>
  <c r="E110" i="1"/>
  <c r="E57" i="1"/>
  <c r="E121" i="1"/>
  <c r="E60" i="1"/>
  <c r="E42" i="1"/>
  <c r="E106" i="1"/>
  <c r="E226" i="1"/>
  <c r="E162" i="1"/>
  <c r="E209" i="1"/>
  <c r="E214" i="1"/>
  <c r="E216" i="1"/>
  <c r="E230" i="1"/>
  <c r="E223" i="1"/>
  <c r="E222" i="1"/>
  <c r="E205" i="1"/>
  <c r="E228" i="1"/>
  <c r="E164" i="1"/>
  <c r="E107" i="1"/>
  <c r="E69" i="1"/>
  <c r="E133" i="1"/>
  <c r="E116" i="1"/>
  <c r="E63" i="1"/>
  <c r="E127" i="1"/>
  <c r="E36" i="1"/>
  <c r="E142" i="1"/>
  <c r="E72" i="1"/>
  <c r="E136" i="1"/>
  <c r="E28" i="1"/>
  <c r="E126" i="1"/>
  <c r="E65" i="1"/>
  <c r="E129" i="1"/>
  <c r="E100" i="1"/>
  <c r="E50" i="1"/>
  <c r="E114" i="1"/>
  <c r="E52" i="1"/>
  <c r="E40" i="1"/>
  <c r="E97" i="1"/>
  <c r="E146" i="1"/>
  <c r="E169" i="1"/>
  <c r="E163" i="1"/>
  <c r="E45" i="1"/>
  <c r="E51" i="1"/>
  <c r="E75" i="1"/>
  <c r="E90" i="1"/>
  <c r="E26" i="1"/>
  <c r="E112" i="1"/>
  <c r="E103" i="1"/>
  <c r="E82" i="1"/>
  <c r="E33" i="1"/>
  <c r="E38" i="1"/>
  <c r="E59" i="1"/>
  <c r="E74" i="1"/>
  <c r="E94" i="1"/>
  <c r="E153" i="1"/>
  <c r="E89" i="1"/>
  <c r="E25" i="1"/>
  <c r="E132" i="1"/>
  <c r="E160" i="1"/>
  <c r="E96" i="1"/>
  <c r="E32" i="1"/>
  <c r="E140" i="1"/>
  <c r="E151" i="1"/>
  <c r="E87" i="1"/>
  <c r="E102" i="1"/>
  <c r="E157" i="1"/>
  <c r="E93" i="1"/>
  <c r="E29" i="1"/>
  <c r="E84" i="1"/>
  <c r="E99" i="1"/>
  <c r="E41" i="1"/>
  <c r="E48" i="1"/>
  <c r="E23" i="1"/>
  <c r="E109" i="1"/>
  <c r="E134" i="1"/>
  <c r="E30" i="1"/>
  <c r="E104" i="1"/>
  <c r="E95" i="1"/>
  <c r="E101" i="1"/>
  <c r="E130" i="1"/>
  <c r="E66" i="1"/>
  <c r="E54" i="1"/>
  <c r="E145" i="1"/>
  <c r="E81" i="1"/>
  <c r="E39" i="1"/>
  <c r="E92" i="1"/>
  <c r="E152" i="1"/>
  <c r="E88" i="1"/>
  <c r="E24" i="1"/>
  <c r="E108" i="1"/>
  <c r="E143" i="1"/>
  <c r="E79" i="1"/>
  <c r="E62" i="1"/>
  <c r="E149" i="1"/>
  <c r="E85" i="1"/>
  <c r="E35" i="1"/>
  <c r="E124" i="1"/>
  <c r="E154" i="1"/>
  <c r="E105" i="1"/>
  <c r="E46" i="1"/>
  <c r="E70" i="1"/>
  <c r="E91" i="1"/>
  <c r="E43" i="1"/>
  <c r="E27" i="1"/>
  <c r="E159" i="1"/>
  <c r="E150" i="1"/>
  <c r="E37" i="1"/>
  <c r="E138" i="1"/>
  <c r="E122" i="1"/>
  <c r="E58" i="1"/>
  <c r="E156" i="1"/>
  <c r="E137" i="1"/>
  <c r="E73" i="1"/>
  <c r="E158" i="1"/>
  <c r="E68" i="1"/>
  <c r="E144" i="1"/>
  <c r="E80" i="1"/>
  <c r="E31" i="1"/>
  <c r="E76" i="1"/>
  <c r="E135" i="1"/>
  <c r="E71" i="1"/>
  <c r="E22" i="1"/>
  <c r="E141" i="1"/>
  <c r="E77" i="1"/>
  <c r="E67" i="1"/>
  <c r="E148" i="1"/>
  <c r="F148" i="1"/>
  <c r="F67" i="1"/>
  <c r="F77" i="1"/>
  <c r="F141" i="1"/>
  <c r="F22" i="1"/>
  <c r="F71" i="1"/>
  <c r="F72" i="1"/>
  <c r="F73" i="1"/>
  <c r="F74" i="1"/>
  <c r="F75" i="1"/>
  <c r="F76" i="1"/>
  <c r="F78" i="1"/>
  <c r="F79" i="1"/>
  <c r="F80" i="1"/>
  <c r="F81" i="1"/>
  <c r="F82" i="1"/>
  <c r="G82" i="1"/>
  <c r="V76" i="1"/>
  <c r="F135" i="1"/>
  <c r="F31" i="1"/>
  <c r="F144" i="1"/>
  <c r="F68" i="1"/>
  <c r="F158" i="1"/>
  <c r="F137" i="1"/>
  <c r="F156" i="1"/>
  <c r="F58" i="1"/>
  <c r="F122" i="1"/>
  <c r="F138" i="1"/>
  <c r="F37" i="1"/>
  <c r="F150" i="1"/>
  <c r="F159" i="1"/>
  <c r="F27" i="1"/>
  <c r="F43" i="1"/>
  <c r="F91" i="1"/>
  <c r="F70" i="1"/>
  <c r="F46" i="1"/>
  <c r="F105" i="1"/>
  <c r="F154" i="1"/>
  <c r="F124" i="1"/>
  <c r="F35" i="1"/>
  <c r="F36" i="1"/>
  <c r="F38" i="1"/>
  <c r="F39" i="1"/>
  <c r="F40" i="1"/>
  <c r="F41" i="1"/>
  <c r="F42" i="1"/>
  <c r="F44" i="1"/>
  <c r="F45" i="1"/>
  <c r="G46" i="1"/>
  <c r="F85" i="1"/>
  <c r="F149" i="1"/>
  <c r="F62" i="1"/>
  <c r="F143" i="1"/>
  <c r="F145" i="1"/>
  <c r="F146" i="1"/>
  <c r="F147" i="1"/>
  <c r="F151" i="1"/>
  <c r="F152" i="1"/>
  <c r="F153" i="1"/>
  <c r="G154" i="1"/>
  <c r="F108" i="1"/>
  <c r="F24" i="1"/>
  <c r="F88" i="1"/>
  <c r="F92" i="1"/>
  <c r="F54" i="1"/>
  <c r="F66" i="1"/>
  <c r="F130" i="1"/>
  <c r="F101" i="1"/>
  <c r="F95" i="1"/>
  <c r="F96" i="1"/>
  <c r="F97" i="1"/>
  <c r="F98" i="1"/>
  <c r="F99" i="1"/>
  <c r="F100" i="1"/>
  <c r="F102" i="1"/>
  <c r="F103" i="1"/>
  <c r="F104" i="1"/>
  <c r="F106" i="1"/>
  <c r="G106" i="1"/>
  <c r="F30" i="1"/>
  <c r="F134" i="1"/>
  <c r="F109" i="1"/>
  <c r="F23" i="1"/>
  <c r="F25" i="1"/>
  <c r="F26" i="1"/>
  <c r="F28" i="1"/>
  <c r="F29" i="1"/>
  <c r="F32" i="1"/>
  <c r="F33" i="1"/>
  <c r="F34" i="1"/>
  <c r="G34" i="1"/>
  <c r="F48" i="1"/>
  <c r="G29" i="1"/>
  <c r="F84" i="1"/>
  <c r="F93" i="1"/>
  <c r="F157" i="1"/>
  <c r="F87" i="1"/>
  <c r="F140" i="1"/>
  <c r="F160" i="1"/>
  <c r="F132" i="1"/>
  <c r="F89" i="1"/>
  <c r="F94" i="1"/>
  <c r="F59" i="1"/>
  <c r="F60" i="1"/>
  <c r="F61" i="1"/>
  <c r="F63" i="1"/>
  <c r="F64" i="1"/>
  <c r="F65" i="1"/>
  <c r="F69" i="1"/>
  <c r="G70" i="1"/>
  <c r="F112" i="1"/>
  <c r="F90" i="1"/>
  <c r="F51" i="1"/>
  <c r="F163" i="1"/>
  <c r="V40" i="1"/>
  <c r="F52" i="1"/>
  <c r="F114" i="1"/>
  <c r="F50" i="1"/>
  <c r="Q100" i="1"/>
  <c r="R100" i="1"/>
  <c r="F129" i="1"/>
  <c r="F126" i="1"/>
  <c r="V28" i="1"/>
  <c r="F136" i="1"/>
  <c r="F142" i="1"/>
  <c r="F127" i="1"/>
  <c r="F116" i="1"/>
  <c r="F133" i="1"/>
  <c r="F107" i="1"/>
  <c r="F110" i="1"/>
  <c r="F111" i="1"/>
  <c r="F113" i="1"/>
  <c r="F115" i="1"/>
  <c r="F117" i="1"/>
  <c r="F118" i="1"/>
  <c r="G118" i="1"/>
  <c r="F164" i="1"/>
  <c r="F162" i="1"/>
  <c r="F121" i="1"/>
  <c r="F57" i="1"/>
  <c r="F139" i="1"/>
  <c r="F128" i="1"/>
  <c r="V64" i="1"/>
  <c r="F123" i="1"/>
  <c r="F119" i="1"/>
  <c r="F120" i="1"/>
  <c r="F125" i="1"/>
  <c r="G130" i="1"/>
  <c r="F55" i="1"/>
  <c r="F131" i="1"/>
  <c r="G142" i="1"/>
  <c r="F167" i="1"/>
  <c r="F155" i="1"/>
  <c r="F161" i="1"/>
  <c r="F165" i="1"/>
  <c r="F166" i="1"/>
  <c r="G166" i="1"/>
  <c r="F49" i="1"/>
  <c r="F56" i="1"/>
  <c r="F86" i="1"/>
  <c r="F83" i="1"/>
  <c r="G94" i="1"/>
  <c r="V88" i="1"/>
  <c r="F47" i="1"/>
  <c r="F53" i="1"/>
  <c r="G58" i="1"/>
  <c r="V52" i="1"/>
</calcChain>
</file>

<file path=xl/sharedStrings.xml><?xml version="1.0" encoding="utf-8"?>
<sst xmlns="http://schemas.openxmlformats.org/spreadsheetml/2006/main" count="188" uniqueCount="58">
  <si>
    <t>1yr CPR</t>
  </si>
  <si>
    <t>1m CPR</t>
  </si>
  <si>
    <t>ProjectedCPR</t>
  </si>
  <si>
    <t>Month Index</t>
  </si>
  <si>
    <t>Conventional</t>
  </si>
  <si>
    <t>GNMA</t>
  </si>
  <si>
    <t>Whole Loans</t>
  </si>
  <si>
    <t>ARMs</t>
  </si>
  <si>
    <t>HELS</t>
  </si>
  <si>
    <t>Man Housing</t>
  </si>
  <si>
    <t>Alt-A</t>
  </si>
  <si>
    <t>GHLC</t>
  </si>
  <si>
    <t>Turnover Multiplier</t>
  </si>
  <si>
    <t>Turnover Seasoning</t>
  </si>
  <si>
    <t>Turnover Lockin</t>
  </si>
  <si>
    <t>Refinancing Multiplier</t>
  </si>
  <si>
    <t>Refinancing Elbow Shift</t>
  </si>
  <si>
    <t>Refinancing Curve Steepness</t>
  </si>
  <si>
    <t>Refinancing Burnout</t>
  </si>
  <si>
    <t>Refinancing Seasoning Adjustment</t>
  </si>
  <si>
    <t>Refinancing Media Effect</t>
  </si>
  <si>
    <t>Prepayment Decay</t>
  </si>
  <si>
    <t>Cashouts</t>
  </si>
  <si>
    <t>Credit Score Base</t>
  </si>
  <si>
    <t>Credit Score Slope</t>
  </si>
  <si>
    <t>LTV Base</t>
  </si>
  <si>
    <t>LTV Slope</t>
  </si>
  <si>
    <t>Loan Size Base</t>
  </si>
  <si>
    <t>Loan Size Slope</t>
  </si>
  <si>
    <t>Arm Spike Height</t>
  </si>
  <si>
    <t>Arm Spike Length</t>
  </si>
  <si>
    <t>IO Spike Height</t>
  </si>
  <si>
    <t>IO Spike Length</t>
  </si>
  <si>
    <t>IO Spike Elbow</t>
  </si>
  <si>
    <t>Agency Eligibility</t>
  </si>
  <si>
    <t>Default Multiplier</t>
  </si>
  <si>
    <t>Curtailment Multiplier</t>
  </si>
  <si>
    <t>shock</t>
  </si>
  <si>
    <t>shift</t>
  </si>
  <si>
    <t xml:space="preserve"> </t>
  </si>
  <si>
    <t>fn30.400.14(IOX)</t>
  </si>
  <si>
    <t>fnm30.300.13(GEN)</t>
  </si>
  <si>
    <t>f4267(CS)</t>
  </si>
  <si>
    <t>Cello Model</t>
  </si>
  <si>
    <t>Base</t>
  </si>
  <si>
    <t>Down 50</t>
  </si>
  <si>
    <t>Up 50</t>
  </si>
  <si>
    <t>Cello</t>
  </si>
  <si>
    <t>New YB</t>
  </si>
  <si>
    <t xml:space="preserve">Cello </t>
  </si>
  <si>
    <t>peak</t>
  </si>
  <si>
    <t>N14.14(SA)</t>
  </si>
  <si>
    <t>N13.98(SA)</t>
  </si>
  <si>
    <t>n13.80(AS)</t>
  </si>
  <si>
    <t>FHL.PC.339(S5)</t>
  </si>
  <si>
    <t>Y</t>
  </si>
  <si>
    <t>fn30.300.12(IOX)</t>
  </si>
  <si>
    <t>fn30.400.10(IOX)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</si>
</sst>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5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52"/>
      <name val="Calibri"/>
      <family val="2"/>
    </font>
    <font>
      <b/>
      <sz val="10"/>
      <name val="Calibri"/>
      <family val="2"/>
      <scheme val="minor"/>
    </font>
    <font>
      <sz val="10"/>
      <color theme="6" tint="-0.2499465926084170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0" fontId="0" fillId="0" borderId="0" xfId="0" quotePrefix="1"/>
    <xf numFmtId="17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MBSDIALS"/>
      <definedName name="YBSCE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V243"/>
  <sheetViews>
    <sheetView tabSelected="1" topLeftCell="A10" workbookViewId="0">
      <selection activeCell="V64" sqref="V64"/>
    </sheetView>
  </sheetViews>
  <sheetFormatPr defaultRowHeight="12.75" x14ac:dyDescent="0.2"/>
  <cols>
    <col min="4" max="4" width="13.42578125" customWidth="1"/>
    <col min="5" max="5" width="11.42578125" bestFit="1" customWidth="1"/>
    <col min="13" max="13" width="9.42578125" bestFit="1" customWidth="1"/>
  </cols>
  <sheetData>
    <row r="1" spans="2:16" x14ac:dyDescent="0.2">
      <c r="D1" t="s">
        <v>37</v>
      </c>
      <c r="E1" t="s">
        <v>38</v>
      </c>
      <c r="M1" t="s">
        <v>40</v>
      </c>
    </row>
    <row r="2" spans="2:16" x14ac:dyDescent="0.2">
      <c r="D2">
        <v>-25</v>
      </c>
      <c r="E2">
        <v>-29</v>
      </c>
      <c r="M2" t="s">
        <v>41</v>
      </c>
    </row>
    <row r="3" spans="2:16" x14ac:dyDescent="0.2">
      <c r="D3">
        <v>-50</v>
      </c>
      <c r="E3">
        <v>-62</v>
      </c>
      <c r="K3" t="s">
        <v>39</v>
      </c>
      <c r="M3" t="s">
        <v>39</v>
      </c>
    </row>
    <row r="4" spans="2:16" x14ac:dyDescent="0.2">
      <c r="B4" s="2" t="s">
        <v>53</v>
      </c>
      <c r="D4">
        <v>25</v>
      </c>
      <c r="E4">
        <v>23</v>
      </c>
    </row>
    <row r="5" spans="2:16" x14ac:dyDescent="0.2">
      <c r="B5" s="2" t="s">
        <v>53</v>
      </c>
      <c r="D5">
        <v>50</v>
      </c>
      <c r="E5">
        <v>47</v>
      </c>
      <c r="J5" t="s">
        <v>39</v>
      </c>
    </row>
    <row r="6" spans="2:16" x14ac:dyDescent="0.2">
      <c r="B6" s="2" t="s">
        <v>42</v>
      </c>
      <c r="D6">
        <v>100</v>
      </c>
      <c r="E6">
        <v>97</v>
      </c>
    </row>
    <row r="7" spans="2:16" x14ac:dyDescent="0.2">
      <c r="B7" s="2" t="s">
        <v>51</v>
      </c>
      <c r="D7">
        <v>150</v>
      </c>
      <c r="E7">
        <v>147</v>
      </c>
    </row>
    <row r="8" spans="2:16" x14ac:dyDescent="0.2">
      <c r="B8" s="2" t="s">
        <v>52</v>
      </c>
    </row>
    <row r="9" spans="2:16" x14ac:dyDescent="0.2">
      <c r="B9" s="2" t="s">
        <v>54</v>
      </c>
      <c r="E9" t="s">
        <v>0</v>
      </c>
      <c r="G9" t="s">
        <v>1</v>
      </c>
      <c r="M9" s="1">
        <v>42083</v>
      </c>
      <c r="P9" t="s">
        <v>39</v>
      </c>
    </row>
    <row r="10" spans="2:16" x14ac:dyDescent="0.2">
      <c r="B10" s="2" t="s">
        <v>56</v>
      </c>
      <c r="D10" s="1">
        <v>42185</v>
      </c>
      <c r="E10" t="s">
        <v>39</v>
      </c>
      <c r="M10" s="1">
        <v>42094</v>
      </c>
    </row>
    <row r="11" spans="2:16" x14ac:dyDescent="0.2">
      <c r="D11" s="2" t="s">
        <v>57</v>
      </c>
      <c r="E11">
        <v>0</v>
      </c>
      <c r="G11" t="s">
        <v>39</v>
      </c>
    </row>
    <row r="12" spans="2:16" x14ac:dyDescent="0.2">
      <c r="E12" s="7" t="s">
        <v>39</v>
      </c>
      <c r="G12" t="s">
        <v>39</v>
      </c>
    </row>
    <row r="13" spans="2:16" x14ac:dyDescent="0.2">
      <c r="H13" t="s">
        <v>39</v>
      </c>
    </row>
    <row r="14" spans="2:16" x14ac:dyDescent="0.2">
      <c r="D14" t="s">
        <v>3</v>
      </c>
      <c r="E14" t="s">
        <v>2</v>
      </c>
    </row>
    <row r="15" spans="2:16" x14ac:dyDescent="0.2">
      <c r="C15" s="8">
        <v>42156</v>
      </c>
      <c r="D15">
        <v>1</v>
      </c>
      <c r="E15">
        <f>[1]!YBSCEN($D$11,"0y","Market","ProjectedCPR","Swap",$D$10,"LMMSkew","","Model",100,0,0,"Immediate","ParShift|Y",$E$11,"Spread Change",0,100,"CPRPROJ",,,,"Default",D15,,,"Default",,)</f>
        <v>14.638</v>
      </c>
      <c r="F15">
        <f>((1-E15/100)^(1/12))</f>
        <v>0.98689749924454973</v>
      </c>
      <c r="H15" t="s">
        <v>43</v>
      </c>
      <c r="I15" t="s">
        <v>44</v>
      </c>
      <c r="J15" t="s">
        <v>47</v>
      </c>
      <c r="K15" t="s">
        <v>45</v>
      </c>
      <c r="L15" t="s">
        <v>49</v>
      </c>
      <c r="M15" t="s">
        <v>46</v>
      </c>
    </row>
    <row r="16" spans="2:16" x14ac:dyDescent="0.2">
      <c r="C16" s="8">
        <v>42186</v>
      </c>
      <c r="D16">
        <f>D15+1</f>
        <v>2</v>
      </c>
      <c r="E16">
        <f>[1]!YBSCEN($D$11,"0y","Market","ProjectedCPR","Swap",$D$10,"LMMSkew","","Model",100,0,0,"Immediate","ParShift|Y",$E$11,"Spread Change",0,100,"CPRPROJ",,,Sheet2!B$5,"Default",D16,,,"Default",,)</f>
        <v>14.662000000000001</v>
      </c>
      <c r="F16">
        <f>((1-E16/100)^(1/12))</f>
        <v>0.98687437362198638</v>
      </c>
    </row>
    <row r="17" spans="3:22" x14ac:dyDescent="0.2">
      <c r="C17" s="8">
        <v>42217</v>
      </c>
      <c r="D17">
        <f t="shared" ref="D17:D80" si="0">D16+1</f>
        <v>3</v>
      </c>
      <c r="E17">
        <f>[1]!YBSCEN($D$11,"0y","Market","ProjectedCPR","Swap",$D$10,"LMMSkew","","Model",100,0,0,"Immediate","ParShift|Y",$E$11,"Spread Change",0,100,"CPRPROJ",,,Sheet2!B$5,"Default",D17,,,"Default",,)</f>
        <v>13.016999999999999</v>
      </c>
      <c r="F17">
        <f>((1-E17/100)^(1/12))</f>
        <v>0.98844581090476402</v>
      </c>
      <c r="S17" t="s">
        <v>39</v>
      </c>
    </row>
    <row r="18" spans="3:22" x14ac:dyDescent="0.2">
      <c r="C18" s="8">
        <v>42248</v>
      </c>
      <c r="D18">
        <f t="shared" si="0"/>
        <v>4</v>
      </c>
      <c r="E18">
        <f>[1]!YBSCEN($D$11,"0y","Market","ProjectedCPR","Swap",$D$10,"LMMSkew","","Model",100,0,0,"Immediate","ParShift|Y",$E$11,"Spread Change",0,100,"CPRPROJ",,,Sheet2!B$5,"Default",D18,,,"Default",,)</f>
        <v>14.166</v>
      </c>
      <c r="F18">
        <f>((1-E18/100)^(1/12))</f>
        <v>0.9873510961362999</v>
      </c>
    </row>
    <row r="19" spans="3:22" x14ac:dyDescent="0.2">
      <c r="C19" s="8">
        <v>42278</v>
      </c>
      <c r="D19">
        <f t="shared" si="0"/>
        <v>5</v>
      </c>
      <c r="E19">
        <f>[1]!YBSCEN($D$11,"0y","Market","ProjectedCPR","Swap",$D$10,"LMMSkew","","Model",100,0,0,"Immediate","ParShift|Y",$E$11,"Spread Change",0,100,"CPRPROJ",,,Sheet2!B$5,"Default",D19,,,"Default",,)</f>
        <v>11.952</v>
      </c>
      <c r="F19">
        <f>((1-E19/100)^(1/12))</f>
        <v>0.98944872062350775</v>
      </c>
    </row>
    <row r="20" spans="3:22" x14ac:dyDescent="0.2">
      <c r="C20" s="8">
        <v>42309</v>
      </c>
      <c r="D20">
        <f t="shared" si="0"/>
        <v>6</v>
      </c>
      <c r="E20">
        <f>[1]!YBSCEN($D$11,"0y","Market","ProjectedCPR","Swap",$D$10,"LMMSkew","","Model",100,0,0,"Immediate","ParShift|Y",$E$11,"Spread Change",0,100,"CPRPROJ",,,Sheet2!B$5,"Default",D20,,,"Default",,)</f>
        <v>12.891999999999999</v>
      </c>
      <c r="F20">
        <f t="shared" ref="F20:F26" si="1">((1-E20/100)^(1/12))</f>
        <v>0.98856410453740617</v>
      </c>
    </row>
    <row r="21" spans="3:22" x14ac:dyDescent="0.2">
      <c r="C21" s="8">
        <v>42339</v>
      </c>
      <c r="D21">
        <f t="shared" si="0"/>
        <v>7</v>
      </c>
      <c r="E21">
        <f>[1]!YBSCEN($D$11,"0y","Market","ProjectedCPR","Swap",$D$10,"LMMSkew","","Model",100,0,0,"Immediate","ParShift|Y",$E$11,"Spread Change",0,100,"CPRPROJ",,,Sheet2!B$5,"Default",D21,,,"Default",,)</f>
        <v>15.249000000000001</v>
      </c>
      <c r="F21">
        <f t="shared" si="1"/>
        <v>0.98630689523746984</v>
      </c>
      <c r="K21" t="s">
        <v>39</v>
      </c>
    </row>
    <row r="22" spans="3:22" x14ac:dyDescent="0.2">
      <c r="C22" s="8">
        <v>42370</v>
      </c>
      <c r="D22">
        <f t="shared" si="0"/>
        <v>8</v>
      </c>
      <c r="E22">
        <f>[1]!YBSCEN($D$11,"0y","Market","ProjectedCPR","Swap",$D$10,"LMMSkew","","Model",100,0,0,"Immediate","ParShift|Y",$E$11,"Spread Change",0,100,"CPRPROJ",,,Sheet2!B$5,"Default",D22,,,"Default",,)</f>
        <v>14.802</v>
      </c>
      <c r="F22">
        <f t="shared" si="1"/>
        <v>0.98673935521742762</v>
      </c>
    </row>
    <row r="23" spans="3:22" x14ac:dyDescent="0.2">
      <c r="C23" s="8">
        <v>42401</v>
      </c>
      <c r="D23">
        <f t="shared" si="0"/>
        <v>9</v>
      </c>
      <c r="E23">
        <f>[1]!YBSCEN($D$11,"0y","Market","ProjectedCPR","Swap",$D$10,"LMMSkew","","Model",100,0,0,"Immediate","ParShift|Y",$E$11,"Spread Change",0,100,"CPRPROJ",,,Sheet2!B$5,"Default",D23,,,"Default",,)</f>
        <v>15.205</v>
      </c>
      <c r="F23">
        <f t="shared" si="1"/>
        <v>0.98634955666161561</v>
      </c>
    </row>
    <row r="24" spans="3:22" x14ac:dyDescent="0.2">
      <c r="C24" s="8">
        <v>42430</v>
      </c>
      <c r="D24">
        <f t="shared" si="0"/>
        <v>10</v>
      </c>
      <c r="E24">
        <f>[1]!YBSCEN($D$11,"0y","Market","ProjectedCPR","Swap",$D$10,"LMMSkew","","Model",100,0,0,"Immediate","ParShift|Y",$E$11,"Spread Change",0,100,"CPRPROJ",,,Sheet2!B$5,"Default",D24,,,"Default",,)</f>
        <v>16.422999999999998</v>
      </c>
      <c r="F24">
        <f t="shared" si="1"/>
        <v>0.98516104673892957</v>
      </c>
    </row>
    <row r="25" spans="3:22" x14ac:dyDescent="0.2">
      <c r="C25" s="8">
        <v>42461</v>
      </c>
      <c r="D25">
        <f t="shared" si="0"/>
        <v>11</v>
      </c>
      <c r="E25">
        <f>[1]!YBSCEN($D$11,"0y","Market","ProjectedCPR","Swap",$D$10,"LMMSkew","","Model",100,0,0,"Immediate","ParShift|Y",$E$11,"Spread Change",0,100,"CPRPROJ",,,Sheet2!B$5,"Default",D25,,,"Default",,)</f>
        <v>14.71</v>
      </c>
      <c r="F25">
        <f t="shared" si="1"/>
        <v>0.98682810448609282</v>
      </c>
    </row>
    <row r="26" spans="3:22" x14ac:dyDescent="0.2">
      <c r="C26" s="8">
        <v>42491</v>
      </c>
      <c r="D26">
        <f t="shared" si="0"/>
        <v>12</v>
      </c>
      <c r="E26">
        <f>[1]!YBSCEN($D$11,"0y","Market","ProjectedCPR","Swap",$D$10,"LMMSkew","","Model",100,0,0,"Immediate","ParShift|Y",$E$11,"Spread Change",0,100,"CPRPROJ",,,Sheet2!B$5,"Default",D26,,,"Default",,)</f>
        <v>16.295000000000002</v>
      </c>
      <c r="F26">
        <f t="shared" si="1"/>
        <v>0.98528669153802206</v>
      </c>
      <c r="G26" t="s">
        <v>39</v>
      </c>
      <c r="P26" t="s">
        <v>48</v>
      </c>
      <c r="S26" t="s">
        <v>48</v>
      </c>
      <c r="U26" t="s">
        <v>48</v>
      </c>
    </row>
    <row r="27" spans="3:22" x14ac:dyDescent="0.2">
      <c r="C27" s="8">
        <v>42522</v>
      </c>
      <c r="D27">
        <f t="shared" si="0"/>
        <v>13</v>
      </c>
      <c r="E27">
        <f>[1]!YBSCEN($D$11,"0y","Market","ProjectedCPR","Swap",$D$10,"LMMSkew","","Model",100,0,0,"Immediate","ParShift|Y",$E$11,"Spread Change",0,100,"CPRPROJ",,,Sheet2!B$5,"Default",D27,,,"Default",,)</f>
        <v>14.308999999999999</v>
      </c>
      <c r="F27">
        <f t="shared" ref="F27:F33" si="2">((1-E27/100)^(1/12))</f>
        <v>0.98721391357722021</v>
      </c>
      <c r="G27" t="s">
        <v>39</v>
      </c>
      <c r="H27">
        <v>0</v>
      </c>
      <c r="I27">
        <v>-47</v>
      </c>
      <c r="J27">
        <v>40</v>
      </c>
    </row>
    <row r="28" spans="3:22" x14ac:dyDescent="0.2">
      <c r="C28" s="8">
        <v>42552</v>
      </c>
      <c r="D28">
        <f t="shared" si="0"/>
        <v>14</v>
      </c>
      <c r="E28">
        <f>[1]!YBSCEN($D$11,"0y","Market","ProjectedCPR","Swap",$D$10,"LMMSkew","","Model",100,0,0,"Immediate","ParShift|Y",$E$11,"Spread Change",0,100,"CPRPROJ",,,Sheet2!B$5,"Default",D28,,,"Default",,)</f>
        <v>13.622999999999999</v>
      </c>
      <c r="F28">
        <f t="shared" si="2"/>
        <v>0.98787010510497764</v>
      </c>
      <c r="G28" t="s">
        <v>39</v>
      </c>
      <c r="H28">
        <v>5.5</v>
      </c>
      <c r="N28">
        <v>0.14837689951514596</v>
      </c>
      <c r="O28">
        <v>-0.13300557506768185</v>
      </c>
      <c r="P28">
        <v>8.1999999999999993</v>
      </c>
      <c r="Q28">
        <v>7.9701052882706307</v>
      </c>
      <c r="R28">
        <v>0.77010528827063052</v>
      </c>
      <c r="S28">
        <v>6.57</v>
      </c>
      <c r="T28">
        <v>-3.5422665106088935E-2</v>
      </c>
      <c r="U28">
        <v>9.44</v>
      </c>
      <c r="V28">
        <f>U28-E28+G34-L28</f>
        <v>9.7378642670357145</v>
      </c>
    </row>
    <row r="29" spans="3:22" x14ac:dyDescent="0.2">
      <c r="C29" s="8">
        <v>42583</v>
      </c>
      <c r="D29">
        <f t="shared" si="0"/>
        <v>15</v>
      </c>
      <c r="E29">
        <f>[1]!YBSCEN($D$11,"0y","Market","ProjectedCPR","Swap",$D$10,"LMMSkew","","Model",100,0,0,"Immediate","ParShift|Y",$E$11,"Spread Change",0,100,"CPRPROJ",,,Sheet2!B$5,"Default",D29,,,"Default",,)</f>
        <v>13.151999999999999</v>
      </c>
      <c r="F29">
        <f t="shared" si="2"/>
        <v>0.98831787862601561</v>
      </c>
      <c r="G29">
        <f>100*(1-PRODUCT(F18:F29))</f>
        <v>14.407791199258924</v>
      </c>
      <c r="H29">
        <v>6.2292122434053354</v>
      </c>
      <c r="I29">
        <v>8.5177793157346642</v>
      </c>
      <c r="J29" s="11">
        <v>4.3789878912964708</v>
      </c>
      <c r="K29" t="s">
        <v>39</v>
      </c>
    </row>
    <row r="30" spans="3:22" x14ac:dyDescent="0.2">
      <c r="C30" s="8">
        <v>42614</v>
      </c>
      <c r="D30">
        <f t="shared" si="0"/>
        <v>16</v>
      </c>
      <c r="E30">
        <f>[1]!YBSCEN($D$11,"0y","Market","ProjectedCPR","Swap",$D$10,"LMMSkew","","Model",100,0,0,"Immediate","ParShift|Y",$E$11,"Spread Change",0,100,"CPRPROJ",,,Sheet2!B$5,"Default",D30,,,"Default",,)</f>
        <v>13.003</v>
      </c>
      <c r="F30">
        <f t="shared" si="2"/>
        <v>0.9884590675378816</v>
      </c>
      <c r="J30" s="11"/>
    </row>
    <row r="31" spans="3:22" x14ac:dyDescent="0.2">
      <c r="C31" s="8">
        <v>42644</v>
      </c>
      <c r="D31">
        <f t="shared" si="0"/>
        <v>17</v>
      </c>
      <c r="E31">
        <f>[1]!YBSCEN($D$11,"0y","Market","ProjectedCPR","Swap",$D$10,"LMMSkew","","Model",100,0,0,"Immediate","ParShift|Y",$E$11,"Spread Change",0,100,"CPRPROJ",,,Sheet2!B$5,"Default",D31,,,"Default",,)</f>
        <v>11.686</v>
      </c>
      <c r="F31">
        <f t="shared" si="2"/>
        <v>0.98969747663146257</v>
      </c>
      <c r="J31" s="11"/>
      <c r="O31" t="s">
        <v>39</v>
      </c>
    </row>
    <row r="32" spans="3:22" x14ac:dyDescent="0.2">
      <c r="C32" s="8">
        <v>42675</v>
      </c>
      <c r="D32">
        <f t="shared" si="0"/>
        <v>18</v>
      </c>
      <c r="E32">
        <f>[1]!YBSCEN($D$11,"0y","Market","ProjectedCPR","Swap",$D$10,"LMMSkew","","Model",100,0,0,"Immediate","ParShift|Y",$E$11,"Spread Change",0,100,"CPRPROJ",,,Sheet2!B$5,"Default",D32,,,"Default",,)</f>
        <v>11.403</v>
      </c>
      <c r="F32">
        <f t="shared" si="2"/>
        <v>0.98996137765623649</v>
      </c>
      <c r="J32" s="11"/>
    </row>
    <row r="33" spans="3:22" x14ac:dyDescent="0.2">
      <c r="C33" s="8">
        <v>42705</v>
      </c>
      <c r="D33">
        <f t="shared" si="0"/>
        <v>19</v>
      </c>
      <c r="E33">
        <f>[1]!YBSCEN($D$11,"0y","Market","ProjectedCPR","Swap",$D$10,"LMMSkew","","Model",100,0,0,"Immediate","ParShift|Y",$E$11,"Spread Change",0,100,"CPRPROJ",,,Sheet2!B$5,"Default",D33,,,"Default",,)</f>
        <v>14.016999999999999</v>
      </c>
      <c r="F33">
        <f t="shared" si="2"/>
        <v>0.98749381191556429</v>
      </c>
      <c r="J33" s="11"/>
      <c r="O33" t="s">
        <v>39</v>
      </c>
      <c r="T33" t="s">
        <v>39</v>
      </c>
      <c r="V33" t="s">
        <v>39</v>
      </c>
    </row>
    <row r="34" spans="3:22" x14ac:dyDescent="0.2">
      <c r="C34" s="8">
        <v>42736</v>
      </c>
      <c r="D34">
        <f t="shared" si="0"/>
        <v>20</v>
      </c>
      <c r="E34">
        <f>[1]!YBSCEN($D$11,"0y","Market","ProjectedCPR","Swap",$D$10,"LMMSkew","","Model",100,0,0,"Immediate","ParShift|Y",$E$11,"Spread Change",0,100,"CPRPROJ",,,Sheet2!B$5,"Default",D34,,,"Default",,)</f>
        <v>13.061999999999999</v>
      </c>
      <c r="F34">
        <f t="shared" ref="F34:F40" si="3">((1-E34/100)^(1/12))</f>
        <v>0.98840318704734254</v>
      </c>
      <c r="G34">
        <f>100*(1-PRODUCT(F23:F34))</f>
        <v>13.920864267035714</v>
      </c>
      <c r="J34" s="11"/>
      <c r="S34" t="s">
        <v>39</v>
      </c>
    </row>
    <row r="35" spans="3:22" x14ac:dyDescent="0.2">
      <c r="C35" s="8">
        <v>42767</v>
      </c>
      <c r="D35">
        <f t="shared" si="0"/>
        <v>21</v>
      </c>
      <c r="E35">
        <f>[1]!YBSCEN($D$11,"0y","Market","ProjectedCPR","Swap",$D$10,"LMMSkew","","Model",100,0,0,"Immediate","ParShift|Y",$E$11,"Spread Change",0,100,"CPRPROJ",,,Sheet2!B$5,"Default",D35,,,"Default",,)</f>
        <v>14.64</v>
      </c>
      <c r="F35">
        <f t="shared" si="3"/>
        <v>0.98689557233699277</v>
      </c>
      <c r="J35" s="11"/>
      <c r="P35" t="s">
        <v>39</v>
      </c>
    </row>
    <row r="36" spans="3:22" x14ac:dyDescent="0.2">
      <c r="C36" s="8">
        <v>42795</v>
      </c>
      <c r="D36">
        <f t="shared" si="0"/>
        <v>22</v>
      </c>
      <c r="E36">
        <f>[1]!YBSCEN($D$11,"0y","Market","ProjectedCPR","Swap",$D$10,"LMMSkew","","Model",100,0,0,"Immediate","ParShift|Y",$E$11,"Spread Change",0,100,"CPRPROJ",,,Sheet2!B$5,"Default",D36,,,"Default",,)</f>
        <v>15.201000000000001</v>
      </c>
      <c r="F36">
        <f t="shared" si="3"/>
        <v>0.98635343396661268</v>
      </c>
      <c r="H36" s="9"/>
      <c r="I36" s="9"/>
      <c r="J36" s="11"/>
    </row>
    <row r="37" spans="3:22" x14ac:dyDescent="0.2">
      <c r="C37" s="8">
        <v>42826</v>
      </c>
      <c r="D37">
        <f t="shared" si="0"/>
        <v>23</v>
      </c>
      <c r="E37">
        <f>[1]!YBSCEN($D$11,"0y","Market","ProjectedCPR","Swap",$D$10,"LMMSkew","","Model",100,0,0,"Immediate","ParShift|Y",$E$11,"Spread Change",0,100,"CPRPROJ",,,Sheet2!B$5,"Default",D37,,,"Default",,)</f>
        <v>13.603</v>
      </c>
      <c r="F37">
        <f t="shared" si="3"/>
        <v>0.98788916429287787</v>
      </c>
      <c r="J37" s="11"/>
    </row>
    <row r="38" spans="3:22" x14ac:dyDescent="0.2">
      <c r="C38" s="8">
        <v>42856</v>
      </c>
      <c r="D38">
        <f t="shared" si="0"/>
        <v>24</v>
      </c>
      <c r="E38">
        <f>[1]!YBSCEN($D$11,"0y","Market","ProjectedCPR","Swap",$D$10,"LMMSkew","","Model",100,0,0,"Immediate","ParShift|Y",$E$11,"Spread Change",0,100,"CPRPROJ",,,Sheet2!B$5,"Default",D38,,,"Default",,)</f>
        <v>15.051</v>
      </c>
      <c r="F38">
        <f t="shared" si="3"/>
        <v>0.98649871201524375</v>
      </c>
      <c r="H38" s="9"/>
      <c r="I38" s="9"/>
      <c r="J38" s="11"/>
    </row>
    <row r="39" spans="3:22" x14ac:dyDescent="0.2">
      <c r="C39" s="8">
        <v>42887</v>
      </c>
      <c r="D39">
        <f t="shared" si="0"/>
        <v>25</v>
      </c>
      <c r="E39">
        <f>[1]!YBSCEN($D$11,"0y","Market","ProjectedCPR","Swap",$D$10,"LMMSkew","","Model",100,0,0,"Immediate","ParShift|Y",$E$11,"Spread Change",0,100,"CPRPROJ",,,Sheet2!B$5,"Default",D39,,,"Default",,)</f>
        <v>12.631</v>
      </c>
      <c r="F39">
        <f t="shared" si="3"/>
        <v>0.9888106008188563</v>
      </c>
      <c r="J39" s="11"/>
      <c r="L39" t="s">
        <v>39</v>
      </c>
    </row>
    <row r="40" spans="3:22" x14ac:dyDescent="0.2">
      <c r="C40" s="8">
        <v>42917</v>
      </c>
      <c r="D40">
        <f t="shared" si="0"/>
        <v>26</v>
      </c>
      <c r="E40">
        <f>[1]!YBSCEN($D$11,"0y","Market","ProjectedCPR","Swap",$D$10,"LMMSkew","","Model",100,0,0,"Immediate","ParShift|Y",$E$11,"Spread Change",0,100,"CPRPROJ",,,Sheet2!B$5,"Default",D40,,,"Default",,)</f>
        <v>13.045999999999999</v>
      </c>
      <c r="F40">
        <f t="shared" si="3"/>
        <v>0.98841834451318034</v>
      </c>
      <c r="G40" t="s">
        <v>39</v>
      </c>
      <c r="H40" s="9"/>
      <c r="I40" s="9"/>
      <c r="J40" s="11"/>
      <c r="L40" t="s">
        <v>39</v>
      </c>
      <c r="O40">
        <v>-2.1319009647646256E-2</v>
      </c>
      <c r="P40">
        <v>9.4</v>
      </c>
      <c r="Q40">
        <v>8.9739721969167405</v>
      </c>
      <c r="R40">
        <v>0.97397219691674053</v>
      </c>
      <c r="S40">
        <v>7.73</v>
      </c>
      <c r="T40">
        <v>0.31635861279884558</v>
      </c>
      <c r="U40">
        <v>10.68</v>
      </c>
      <c r="V40" t="e">
        <f>U40-E40+G46-L40</f>
        <v>#VALUE!</v>
      </c>
    </row>
    <row r="41" spans="3:22" x14ac:dyDescent="0.2">
      <c r="C41" s="8">
        <v>42948</v>
      </c>
      <c r="D41">
        <f t="shared" si="0"/>
        <v>27</v>
      </c>
      <c r="E41">
        <f>[1]!YBSCEN($D$11,"0y","Market","ProjectedCPR","Swap",$D$10,"LMMSkew","","Model",100,0,0,"Immediate","ParShift|Y",$E$11,"Spread Change",0,100,"CPRPROJ",,,Sheet2!B$5,"Default",D41,,,"Default",,)</f>
        <v>12.621</v>
      </c>
      <c r="F41">
        <f>((1-E41/100)^(1/12))</f>
        <v>0.98882003168804433</v>
      </c>
      <c r="G41" t="s">
        <v>39</v>
      </c>
      <c r="J41" s="11"/>
    </row>
    <row r="42" spans="3:22" x14ac:dyDescent="0.2">
      <c r="C42" s="8">
        <v>42979</v>
      </c>
      <c r="D42">
        <f t="shared" si="0"/>
        <v>28</v>
      </c>
      <c r="E42">
        <f>[1]!YBSCEN($D$11,"0y","Market","ProjectedCPR","Swap",$D$10,"LMMSkew","","Model",100,0,0,"Immediate","ParShift|Y",$E$11,"Spread Change",0,100,"CPRPROJ",,,Sheet2!B$5,"Default",D42,,,"Default",,)</f>
        <v>11.491</v>
      </c>
      <c r="F42">
        <f>((1-E42/100)^(1/12))</f>
        <v>0.98987939944233105</v>
      </c>
      <c r="G42" t="s">
        <v>39</v>
      </c>
      <c r="J42" s="11"/>
      <c r="K42" t="s">
        <v>39</v>
      </c>
    </row>
    <row r="43" spans="3:22" x14ac:dyDescent="0.2">
      <c r="C43" s="8">
        <v>43009</v>
      </c>
      <c r="D43">
        <f t="shared" si="0"/>
        <v>29</v>
      </c>
      <c r="E43">
        <f>[1]!YBSCEN($D$11,"0y","Market","ProjectedCPR","Swap",$D$10,"LMMSkew","","Model",100,0,0,"Immediate","ParShift|Y",$E$11,"Spread Change",0,100,"CPRPROJ",,,Sheet2!B$5,"Default",D43,,,"Default",,)</f>
        <v>11.135999999999999</v>
      </c>
      <c r="F43">
        <f t="shared" ref="F43:F106" si="4">((1-E43/100)^(1/12))</f>
        <v>0.990209651014339</v>
      </c>
      <c r="J43" s="11"/>
    </row>
    <row r="44" spans="3:22" x14ac:dyDescent="0.2">
      <c r="C44" s="8">
        <v>43040</v>
      </c>
      <c r="D44">
        <f t="shared" si="0"/>
        <v>30</v>
      </c>
      <c r="E44">
        <f>[1]!YBSCEN($D$11,"0y","Market","ProjectedCPR","Swap",$D$10,"LMMSkew","","Model",100,0,0,"Immediate","ParShift|Y",$E$11,"Spread Change",0,100,"CPRPROJ",,,Sheet2!B$5,"Default",D44,,,"Default",,)</f>
        <v>10.487</v>
      </c>
      <c r="F44">
        <f t="shared" si="4"/>
        <v>0.99081029252882491</v>
      </c>
      <c r="I44" t="s">
        <v>39</v>
      </c>
      <c r="J44" s="11"/>
    </row>
    <row r="45" spans="3:22" x14ac:dyDescent="0.2">
      <c r="C45" s="8">
        <v>43070</v>
      </c>
      <c r="D45">
        <f t="shared" si="0"/>
        <v>31</v>
      </c>
      <c r="E45">
        <f>[1]!YBSCEN($D$11,"0y","Market","ProjectedCPR","Swap",$D$10,"LMMSkew","","Model",100,0,0,"Immediate","ParShift|Y",$E$11,"Spread Change",0,100,"CPRPROJ",,,Sheet2!B$5,"Default",D45,,,"Default",,)</f>
        <v>12.454000000000001</v>
      </c>
      <c r="F45">
        <f t="shared" si="4"/>
        <v>0.98897738115571887</v>
      </c>
      <c r="G45" t="s">
        <v>39</v>
      </c>
      <c r="J45" s="11"/>
      <c r="L45" t="s">
        <v>39</v>
      </c>
      <c r="O45" t="s">
        <v>39</v>
      </c>
    </row>
    <row r="46" spans="3:22" x14ac:dyDescent="0.2">
      <c r="C46" s="8">
        <v>43101</v>
      </c>
      <c r="D46">
        <f t="shared" si="0"/>
        <v>32</v>
      </c>
      <c r="E46">
        <f>[1]!YBSCEN($D$11,"0y","Market","ProjectedCPR","Swap",$D$10,"LMMSkew","","Model",100,0,0,"Immediate","ParShift|Y",$E$11,"Spread Change",0,100,"CPRPROJ",,,Sheet2!B$5,"Default",D46,,,"Default",,)</f>
        <v>12.673</v>
      </c>
      <c r="F46">
        <f t="shared" si="4"/>
        <v>0.98877098036007893</v>
      </c>
      <c r="G46">
        <f>100*(1-PRODUCT(F35:F46))</f>
        <v>12.931373478221575</v>
      </c>
      <c r="H46">
        <v>5.75</v>
      </c>
      <c r="J46" s="11"/>
    </row>
    <row r="47" spans="3:22" x14ac:dyDescent="0.2">
      <c r="C47" s="8">
        <v>43132</v>
      </c>
      <c r="D47">
        <f t="shared" si="0"/>
        <v>33</v>
      </c>
      <c r="E47">
        <f>[1]!YBSCEN($D$11,"0y","Market","ProjectedCPR","Swap",$D$10,"LMMSkew","","Model",100,0,0,"Immediate","ParShift|Y",$E$11,"Spread Change",0,100,"CPRPROJ",,,Sheet2!B$5,"Default",D47,,,"Default",,)</f>
        <v>13.653</v>
      </c>
      <c r="F47">
        <f t="shared" si="4"/>
        <v>0.98784150873687637</v>
      </c>
      <c r="H47">
        <v>6.6462668207130982</v>
      </c>
      <c r="I47" s="10">
        <v>9.3178275057703264</v>
      </c>
      <c r="J47" s="11">
        <v>4.3789878912964708</v>
      </c>
      <c r="K47" t="s">
        <v>39</v>
      </c>
      <c r="M47" t="s">
        <v>39</v>
      </c>
    </row>
    <row r="48" spans="3:22" x14ac:dyDescent="0.2">
      <c r="C48" s="8">
        <v>43160</v>
      </c>
      <c r="D48">
        <f t="shared" si="0"/>
        <v>34</v>
      </c>
      <c r="E48">
        <f>[1]!YBSCEN($D$11,"0y","Market","ProjectedCPR","Swap",$D$10,"LMMSkew","","Model",100,0,0,"Immediate","ParShift|Y",$E$11,"Spread Change",0,100,"CPRPROJ",,,Sheet2!B$5,"Default",D48,,,"Default",,)</f>
        <v>13.641</v>
      </c>
      <c r="F48">
        <f t="shared" si="4"/>
        <v>0.98785294837684412</v>
      </c>
      <c r="H48" s="11"/>
      <c r="I48" s="10"/>
      <c r="J48" s="11"/>
    </row>
    <row r="49" spans="3:22" x14ac:dyDescent="0.2">
      <c r="C49" s="8">
        <v>43191</v>
      </c>
      <c r="D49">
        <f t="shared" si="0"/>
        <v>35</v>
      </c>
      <c r="E49">
        <f>[1]!YBSCEN($D$11,"0y","Market","ProjectedCPR","Swap",$D$10,"LMMSkew","","Model",100,0,0,"Immediate","ParShift|Y",$E$11,"Spread Change",0,100,"CPRPROJ",,,Sheet2!B$5,"Default",D49,,,"Default",,)</f>
        <v>13.295</v>
      </c>
      <c r="F49">
        <f t="shared" si="4"/>
        <v>0.98818216620678889</v>
      </c>
      <c r="I49" s="10"/>
      <c r="J49" s="11"/>
    </row>
    <row r="50" spans="3:22" x14ac:dyDescent="0.2">
      <c r="C50" s="8">
        <v>43221</v>
      </c>
      <c r="D50">
        <f t="shared" si="0"/>
        <v>36</v>
      </c>
      <c r="E50">
        <f>[1]!YBSCEN($D$11,"0y","Market","ProjectedCPR","Swap",$D$10,"LMMSkew","","Model",100,0,0,"Immediate","ParShift|Y",$E$11,"Spread Change",0,100,"CPRPROJ",,,Sheet2!B$5,"Default",D50,,,"Default",,)</f>
        <v>14.124000000000001</v>
      </c>
      <c r="F50">
        <f t="shared" si="4"/>
        <v>0.98739134771565085</v>
      </c>
      <c r="H50" s="11"/>
      <c r="I50" s="11"/>
      <c r="J50" s="11"/>
    </row>
    <row r="51" spans="3:22" x14ac:dyDescent="0.2">
      <c r="C51" s="8">
        <v>43252</v>
      </c>
      <c r="D51">
        <f t="shared" si="0"/>
        <v>37</v>
      </c>
      <c r="E51">
        <f>[1]!YBSCEN($D$11,"0y","Market","ProjectedCPR","Swap",$D$10,"LMMSkew","","Model",100,0,0,"Immediate","ParShift|Y",$E$11,"Spread Change",0,100,"CPRPROJ",,,Sheet2!B$5,"Default",D51,,,"Default",,)</f>
        <v>11.368</v>
      </c>
      <c r="F51">
        <f t="shared" si="4"/>
        <v>0.9899939618823782</v>
      </c>
      <c r="I51" s="10"/>
      <c r="J51" s="11"/>
    </row>
    <row r="52" spans="3:22" x14ac:dyDescent="0.2">
      <c r="C52" s="8">
        <v>43282</v>
      </c>
      <c r="D52">
        <f t="shared" si="0"/>
        <v>38</v>
      </c>
      <c r="E52">
        <f>[1]!YBSCEN($D$11,"0y","Market","ProjectedCPR","Swap",$D$10,"LMMSkew","","Model",100,0,0,"Immediate","ParShift|Y",$E$11,"Spread Change",0,100,"CPRPROJ",,,Sheet2!B$5,"Default",D52,,,"Default",,)</f>
        <v>12.773</v>
      </c>
      <c r="F52">
        <f t="shared" si="4"/>
        <v>0.98867657558320121</v>
      </c>
      <c r="G52" t="s">
        <v>39</v>
      </c>
      <c r="H52" s="9"/>
      <c r="I52" s="10"/>
      <c r="J52" s="11"/>
      <c r="L52" t="s">
        <v>39</v>
      </c>
      <c r="O52">
        <v>0.13905050249103484</v>
      </c>
      <c r="P52">
        <v>10.5</v>
      </c>
      <c r="Q52">
        <v>9.4185145870058768</v>
      </c>
      <c r="R52">
        <v>0.3185145870058772</v>
      </c>
      <c r="S52">
        <v>8.56</v>
      </c>
      <c r="T52">
        <v>3.92104237763089E-2</v>
      </c>
      <c r="U52">
        <v>12.6</v>
      </c>
      <c r="V52" t="e">
        <f>U52-E52+G58-L52</f>
        <v>#VALUE!</v>
      </c>
    </row>
    <row r="53" spans="3:22" x14ac:dyDescent="0.2">
      <c r="C53" s="8">
        <v>43313</v>
      </c>
      <c r="D53">
        <f t="shared" si="0"/>
        <v>39</v>
      </c>
      <c r="E53">
        <f>[1]!YBSCEN($D$11,"0y","Market","ProjectedCPR","Swap",$D$10,"LMMSkew","","Model",100,0,0,"Immediate","ParShift|Y",$E$11,"Spread Change",0,100,"CPRPROJ",,,Sheet2!B$5,"Default",D53,,,"Default",,)</f>
        <v>11.423</v>
      </c>
      <c r="F53">
        <f t="shared" si="4"/>
        <v>0.98994275280026811</v>
      </c>
      <c r="I53" s="10"/>
      <c r="J53" s="11"/>
      <c r="L53" t="s">
        <v>39</v>
      </c>
    </row>
    <row r="54" spans="3:22" x14ac:dyDescent="0.2">
      <c r="C54" s="8">
        <v>43344</v>
      </c>
      <c r="D54">
        <f t="shared" si="0"/>
        <v>40</v>
      </c>
      <c r="E54">
        <f>[1]!YBSCEN($D$11,"0y","Market","ProjectedCPR","Swap",$D$10,"LMMSkew","","Model",100,0,0,"Immediate","ParShift|Y",$E$11,"Spread Change",0,100,"CPRPROJ",,,Sheet2!B$5,"Default",D54,,,"Default",,)</f>
        <v>10.87</v>
      </c>
      <c r="F54">
        <f t="shared" si="4"/>
        <v>0.9904563154789553</v>
      </c>
      <c r="I54" s="10"/>
      <c r="J54" s="11"/>
    </row>
    <row r="55" spans="3:22" x14ac:dyDescent="0.2">
      <c r="C55" s="8">
        <v>43374</v>
      </c>
      <c r="D55">
        <f t="shared" si="0"/>
        <v>41</v>
      </c>
      <c r="E55">
        <f>[1]!YBSCEN($D$11,"0y","Market","ProjectedCPR","Swap",$D$10,"LMMSkew","","Model",100,0,0,"Immediate","ParShift|Y",$E$11,"Spread Change",0,100,"CPRPROJ",,,Sheet2!B$5,"Default",D55,,,"Default",,)</f>
        <v>10.474</v>
      </c>
      <c r="F55">
        <f t="shared" si="4"/>
        <v>0.99082228303719055</v>
      </c>
      <c r="I55" s="10"/>
      <c r="J55" s="11"/>
    </row>
    <row r="56" spans="3:22" x14ac:dyDescent="0.2">
      <c r="C56" s="8">
        <v>43405</v>
      </c>
      <c r="D56">
        <f t="shared" si="0"/>
        <v>42</v>
      </c>
      <c r="E56">
        <f>[1]!YBSCEN($D$11,"0y","Market","ProjectedCPR","Swap",$D$10,"LMMSkew","","Model",100,0,0,"Immediate","ParShift|Y",$E$11,"Spread Change",0,100,"CPRPROJ",,,Sheet2!B$5,"Default",D56,,,"Default",,)</f>
        <v>9.9030000000000005</v>
      </c>
      <c r="F56">
        <f t="shared" si="4"/>
        <v>0.99134737478519086</v>
      </c>
      <c r="G56" t="s">
        <v>39</v>
      </c>
      <c r="I56" s="10"/>
      <c r="J56" s="11"/>
    </row>
    <row r="57" spans="3:22" x14ac:dyDescent="0.2">
      <c r="C57" s="8">
        <v>43435</v>
      </c>
      <c r="D57">
        <f t="shared" si="0"/>
        <v>43</v>
      </c>
      <c r="E57">
        <f>[1]!YBSCEN($D$11,"0y","Market","ProjectedCPR","Swap",$D$10,"LMMSkew","","Model",100,0,0,"Immediate","ParShift|Y",$E$11,"Spread Change",0,100,"CPRPROJ",,,Sheet2!B$5,"Default",D57,,,"Default",,)</f>
        <v>11.303000000000001</v>
      </c>
      <c r="F57">
        <f t="shared" si="4"/>
        <v>0.99005444416489508</v>
      </c>
      <c r="I57" s="10"/>
      <c r="J57" s="11"/>
    </row>
    <row r="58" spans="3:22" x14ac:dyDescent="0.2">
      <c r="C58" s="8">
        <v>43466</v>
      </c>
      <c r="D58">
        <f t="shared" si="0"/>
        <v>44</v>
      </c>
      <c r="E58">
        <f>[1]!YBSCEN($D$11,"0y","Market","ProjectedCPR","Swap",$D$10,"LMMSkew","","Model",100,0,0,"Immediate","ParShift|Y",$E$11,"Spread Change",0,100,"CPRPROJ",,,Sheet2!B$5,"Default",D58,,,"Default",,)</f>
        <v>12.516999999999999</v>
      </c>
      <c r="F58">
        <f t="shared" si="4"/>
        <v>0.98891805412145295</v>
      </c>
      <c r="G58">
        <f>100*(1-PRODUCT(F47:F58))</f>
        <v>12.122214071874582</v>
      </c>
      <c r="I58" s="10"/>
      <c r="J58" s="11"/>
    </row>
    <row r="59" spans="3:22" x14ac:dyDescent="0.2">
      <c r="C59" s="8">
        <v>43497</v>
      </c>
      <c r="D59">
        <f t="shared" si="0"/>
        <v>45</v>
      </c>
      <c r="E59">
        <f>[1]!YBSCEN($D$11,"0y","Market","ProjectedCPR","Swap",$D$10,"LMMSkew","","Model",100,0,0,"Immediate","ParShift|Y",$E$11,"Spread Change",0,100,"CPRPROJ",,,Sheet2!B$5,"Default",D59,,,"Default",,)</f>
        <v>12.981</v>
      </c>
      <c r="F59">
        <f t="shared" si="4"/>
        <v>0.98847989543944215</v>
      </c>
      <c r="H59">
        <v>6.2886431448218483</v>
      </c>
      <c r="I59" s="10">
        <v>8.4806847310230253</v>
      </c>
      <c r="J59" s="11">
        <v>5.1207690966745822</v>
      </c>
    </row>
    <row r="60" spans="3:22" x14ac:dyDescent="0.2">
      <c r="C60" s="8">
        <v>43525</v>
      </c>
      <c r="D60">
        <f t="shared" si="0"/>
        <v>46</v>
      </c>
      <c r="E60">
        <f>[1]!YBSCEN($D$11,"0y","Market","ProjectedCPR","Swap",$D$10,"LMMSkew","","Model",100,0,0,"Immediate","ParShift|Y",$E$11,"Spread Change",0,100,"CPRPROJ",,,Sheet2!B$5,"Default",D60,,,"Default",,)</f>
        <v>12.446</v>
      </c>
      <c r="F60">
        <f t="shared" si="4"/>
        <v>0.98898491194686466</v>
      </c>
      <c r="H60" s="11">
        <v>6.2886431448218483</v>
      </c>
      <c r="I60" s="10">
        <v>7.9987394132711387</v>
      </c>
      <c r="J60" s="11">
        <v>5.120684865113212</v>
      </c>
    </row>
    <row r="61" spans="3:22" x14ac:dyDescent="0.2">
      <c r="C61" s="8">
        <v>43556</v>
      </c>
      <c r="D61">
        <f t="shared" si="0"/>
        <v>47</v>
      </c>
      <c r="E61">
        <f>[1]!YBSCEN($D$11,"0y","Market","ProjectedCPR","Swap",$D$10,"LMMSkew","","Model",100,0,0,"Immediate","ParShift|Y",$E$11,"Spread Change",0,100,"CPRPROJ",,,Sheet2!B$5,"Default",D61,,,"Default",,)</f>
        <v>13.183999999999999</v>
      </c>
      <c r="F61">
        <f t="shared" si="4"/>
        <v>0.98828752721289514</v>
      </c>
    </row>
    <row r="62" spans="3:22" x14ac:dyDescent="0.2">
      <c r="C62" s="8">
        <v>43586</v>
      </c>
      <c r="D62">
        <f t="shared" si="0"/>
        <v>48</v>
      </c>
      <c r="E62">
        <f>[1]!YBSCEN($D$11,"0y","Market","ProjectedCPR","Swap",$D$10,"LMMSkew","","Model",100,0,0,"Immediate","ParShift|Y",$E$11,"Spread Change",0,100,"CPRPROJ",,,Sheet2!B$5,"Default",D62,,,"Default",,)</f>
        <v>12.936999999999999</v>
      </c>
      <c r="F62">
        <f t="shared" si="4"/>
        <v>0.98852153676597054</v>
      </c>
      <c r="O62" t="s">
        <v>39</v>
      </c>
    </row>
    <row r="63" spans="3:22" x14ac:dyDescent="0.2">
      <c r="C63" s="8">
        <v>43617</v>
      </c>
      <c r="D63">
        <f t="shared" si="0"/>
        <v>49</v>
      </c>
      <c r="E63">
        <f>[1]!YBSCEN($D$11,"0y","Market","ProjectedCPR","Swap",$D$10,"LMMSkew","","Model",100,0,0,"Immediate","ParShift|Y",$E$11,"Spread Change",0,100,"CPRPROJ",,,Sheet2!B$5,"Default",D63,,,"Default",,)</f>
        <v>11.321999999999999</v>
      </c>
      <c r="F63">
        <f t="shared" si="4"/>
        <v>0.99003676893201198</v>
      </c>
    </row>
    <row r="64" spans="3:22" x14ac:dyDescent="0.2">
      <c r="C64" s="8">
        <v>43647</v>
      </c>
      <c r="D64">
        <f t="shared" si="0"/>
        <v>50</v>
      </c>
      <c r="E64">
        <f>[1]!YBSCEN($D$11,"0y","Market","ProjectedCPR","Swap",$D$10,"LMMSkew","","Model",100,0,0,"Immediate","ParShift|Y",$E$11,"Spread Change",0,100,"CPRPROJ",,,Sheet2!B$5,"Default",D64,,,"Default",,)</f>
        <v>12.15</v>
      </c>
      <c r="F64">
        <f t="shared" si="4"/>
        <v>0.98926310874117573</v>
      </c>
      <c r="G64" t="s">
        <v>39</v>
      </c>
      <c r="O64">
        <v>0.32455495904562204</v>
      </c>
      <c r="P64">
        <v>12.22</v>
      </c>
      <c r="Q64">
        <v>10.558396206010185</v>
      </c>
      <c r="R64">
        <v>-4.1603793989814619E-2</v>
      </c>
      <c r="S64">
        <v>9.51</v>
      </c>
      <c r="T64">
        <v>-0.35302722743220549</v>
      </c>
      <c r="U64">
        <v>15.3</v>
      </c>
      <c r="V64">
        <f>U64-E64+G70-L64</f>
        <v>14.734282638615062</v>
      </c>
    </row>
    <row r="65" spans="3:22" x14ac:dyDescent="0.2">
      <c r="C65" s="8">
        <v>43678</v>
      </c>
      <c r="D65">
        <f t="shared" si="0"/>
        <v>51</v>
      </c>
      <c r="E65">
        <f>[1]!YBSCEN($D$11,"0y","Market","ProjectedCPR","Swap",$D$10,"LMMSkew","","Model",100,0,0,"Immediate","ParShift|Y",$E$11,"Spread Change",0,100,"CPRPROJ",,,Sheet2!B$5,"Default",D65,,,"Default",,)</f>
        <v>10.433999999999999</v>
      </c>
      <c r="F65">
        <f t="shared" si="4"/>
        <v>0.99085916690102704</v>
      </c>
    </row>
    <row r="66" spans="3:22" x14ac:dyDescent="0.2">
      <c r="C66" s="8">
        <v>43709</v>
      </c>
      <c r="D66">
        <f t="shared" si="0"/>
        <v>52</v>
      </c>
      <c r="E66">
        <f>[1]!YBSCEN($D$11,"0y","Market","ProjectedCPR","Swap",$D$10,"LMMSkew","","Model",100,0,0,"Immediate","ParShift|Y",$E$11,"Spread Change",0,100,"CPRPROJ",,,Sheet2!B$5,"Default",D66,,,"Default",,)</f>
        <v>10.815</v>
      </c>
      <c r="F66">
        <f t="shared" si="4"/>
        <v>0.99050723332967627</v>
      </c>
      <c r="L66" t="s">
        <v>39</v>
      </c>
    </row>
    <row r="67" spans="3:22" x14ac:dyDescent="0.2">
      <c r="C67" s="8">
        <v>43739</v>
      </c>
      <c r="D67">
        <f t="shared" si="0"/>
        <v>53</v>
      </c>
      <c r="E67">
        <f>[1]!YBSCEN($D$11,"0y","Market","ProjectedCPR","Swap",$D$10,"LMMSkew","","Model",100,0,0,"Immediate","ParShift|Y",$E$11,"Spread Change",0,100,"CPRPROJ",,,Sheet2!B$5,"Default",D67,,,"Default",,)</f>
        <v>9.9779999999999998</v>
      </c>
      <c r="F67">
        <f t="shared" si="4"/>
        <v>0.99127857908388861</v>
      </c>
      <c r="P67" t="s">
        <v>39</v>
      </c>
    </row>
    <row r="68" spans="3:22" x14ac:dyDescent="0.2">
      <c r="C68" s="8">
        <v>43770</v>
      </c>
      <c r="D68">
        <f t="shared" si="0"/>
        <v>54</v>
      </c>
      <c r="E68">
        <f>[1]!YBSCEN($D$11,"0y","Market","ProjectedCPR","Swap",$D$10,"LMMSkew","","Model",100,0,0,"Immediate","ParShift|Y",$E$11,"Spread Change",0,100,"CPRPROJ",,,Sheet2!B$5,"Default",D68,,,"Default",,)</f>
        <v>9.4640000000000004</v>
      </c>
      <c r="F68">
        <f t="shared" si="4"/>
        <v>0.99174900913711284</v>
      </c>
    </row>
    <row r="69" spans="3:22" x14ac:dyDescent="0.2">
      <c r="C69" s="8">
        <v>43800</v>
      </c>
      <c r="D69">
        <f t="shared" si="0"/>
        <v>55</v>
      </c>
      <c r="E69">
        <f>[1]!YBSCEN($D$11,"0y","Market","ProjectedCPR","Swap",$D$10,"LMMSkew","","Model",100,0,0,"Immediate","ParShift|Y",$E$11,"Spread Change",0,100,"CPRPROJ",,,Sheet2!B$5,"Default",D69,,,"Default",,)</f>
        <v>11.237</v>
      </c>
      <c r="F69">
        <f t="shared" si="4"/>
        <v>0.99011581538616289</v>
      </c>
      <c r="U69" t="s">
        <v>39</v>
      </c>
    </row>
    <row r="70" spans="3:22" x14ac:dyDescent="0.2">
      <c r="C70" s="8">
        <v>43831</v>
      </c>
      <c r="D70">
        <f t="shared" si="0"/>
        <v>56</v>
      </c>
      <c r="E70">
        <f>[1]!YBSCEN($D$11,"0y","Market","ProjectedCPR","Swap",$D$10,"LMMSkew","","Model",100,0,0,"Immediate","ParShift|Y",$E$11,"Spread Change",0,100,"CPRPROJ",,,Sheet2!B$5,"Default",D70,,,"Default",,)</f>
        <v>11.968999999999999</v>
      </c>
      <c r="F70">
        <f t="shared" si="4"/>
        <v>0.98943279927289141</v>
      </c>
      <c r="G70">
        <f>100*(1-PRODUCT(F59:F70))</f>
        <v>11.584282638615061</v>
      </c>
      <c r="S70" t="s">
        <v>39</v>
      </c>
    </row>
    <row r="71" spans="3:22" x14ac:dyDescent="0.2">
      <c r="C71" s="8">
        <v>43862</v>
      </c>
      <c r="D71">
        <f t="shared" si="0"/>
        <v>57</v>
      </c>
      <c r="E71">
        <f>[1]!YBSCEN($D$11,"0y","Market","ProjectedCPR","Swap",$D$10,"LMMSkew","","Model",100,0,0,"Immediate","ParShift|Y",$E$11,"Spread Change",0,100,"CPRPROJ",,,Sheet2!B$5,"Default",D71,,,"Default",,)</f>
        <v>11.455</v>
      </c>
      <c r="F71">
        <f t="shared" si="4"/>
        <v>0.98991294501099736</v>
      </c>
      <c r="L71" t="s">
        <v>39</v>
      </c>
    </row>
    <row r="72" spans="3:22" x14ac:dyDescent="0.2">
      <c r="C72" s="8">
        <v>43891</v>
      </c>
      <c r="D72">
        <f t="shared" si="0"/>
        <v>58</v>
      </c>
      <c r="E72">
        <f>[1]!YBSCEN($D$11,"0y","Market","ProjectedCPR","Swap",$D$10,"LMMSkew","","Model",100,0,0,"Immediate","ParShift|Y",$E$11,"Spread Change",0,100,"CPRPROJ",,,Sheet2!B$5,"Default",D72,,,"Default",,)</f>
        <v>12.952</v>
      </c>
      <c r="F72">
        <f t="shared" si="4"/>
        <v>0.9885073430268857</v>
      </c>
      <c r="H72" s="9"/>
      <c r="I72" s="9"/>
      <c r="J72" s="9"/>
    </row>
    <row r="73" spans="3:22" x14ac:dyDescent="0.2">
      <c r="C73" s="8">
        <v>43922</v>
      </c>
      <c r="D73">
        <f t="shared" si="0"/>
        <v>59</v>
      </c>
      <c r="E73">
        <f>[1]!YBSCEN($D$11,"0y","Market","ProjectedCPR","Swap",$D$10,"LMMSkew","","Model",100,0,0,"Immediate","ParShift|Y",$E$11,"Spread Change",0,100,"CPRPROJ",,,Sheet2!B$5,"Default",D73,,,"Default",,)</f>
        <v>12.63</v>
      </c>
      <c r="F73">
        <f t="shared" si="4"/>
        <v>0.98881154395030035</v>
      </c>
      <c r="Q73" t="s">
        <v>39</v>
      </c>
    </row>
    <row r="74" spans="3:22" x14ac:dyDescent="0.2">
      <c r="C74" s="8">
        <v>43952</v>
      </c>
      <c r="D74">
        <f t="shared" si="0"/>
        <v>60</v>
      </c>
      <c r="E74">
        <f>[1]!YBSCEN($D$11,"0y","Market","ProjectedCPR","Swap",$D$10,"LMMSkew","","Model",100,0,0,"Immediate","ParShift|Y",$E$11,"Spread Change",0,100,"CPRPROJ",,,Sheet2!B$5,"Default",D74,,,"Default",,)</f>
        <v>11.903</v>
      </c>
      <c r="F74">
        <f t="shared" si="4"/>
        <v>0.98949459581392352</v>
      </c>
    </row>
    <row r="75" spans="3:22" x14ac:dyDescent="0.2">
      <c r="C75" s="8">
        <v>43983</v>
      </c>
      <c r="D75">
        <f t="shared" si="0"/>
        <v>61</v>
      </c>
      <c r="E75">
        <f>[1]!YBSCEN($D$11,"0y","Market","ProjectedCPR","Swap",$D$10,"LMMSkew","","Model",100,0,0,"Immediate","ParShift|Y",$E$11,"Spread Change",0,100,"CPRPROJ",,,Sheet2!B$5,"Default",D75,,,"Default",,)</f>
        <v>11.315</v>
      </c>
      <c r="F75">
        <f t="shared" si="4"/>
        <v>0.99004328126376406</v>
      </c>
    </row>
    <row r="76" spans="3:22" x14ac:dyDescent="0.2">
      <c r="C76" s="8">
        <v>44013</v>
      </c>
      <c r="D76">
        <f t="shared" si="0"/>
        <v>62</v>
      </c>
      <c r="E76">
        <f>[1]!YBSCEN($D$11,"0y","Market","ProjectedCPR","Swap",$D$10,"LMMSkew","","Model",100,0,0,"Immediate","ParShift|Y",$E$11,"Spread Change",0,100,"CPRPROJ",,,Sheet2!B$5,"Default",D76,,,"Default",,)</f>
        <v>11.175000000000001</v>
      </c>
      <c r="F76">
        <f t="shared" si="4"/>
        <v>0.99017342904723449</v>
      </c>
      <c r="G76" t="s">
        <v>39</v>
      </c>
      <c r="O76">
        <v>0.71418901422058045</v>
      </c>
      <c r="P76">
        <v>14.27</v>
      </c>
      <c r="Q76">
        <v>12.529318493664157</v>
      </c>
      <c r="R76">
        <v>0.12931849366415626</v>
      </c>
      <c r="S76">
        <v>10.75</v>
      </c>
      <c r="T76">
        <v>-0.401370575826002</v>
      </c>
      <c r="U76">
        <v>17.39</v>
      </c>
      <c r="V76">
        <f>U76-E76+G82-L76</f>
        <v>17.276286213671582</v>
      </c>
    </row>
    <row r="77" spans="3:22" x14ac:dyDescent="0.2">
      <c r="C77" s="8">
        <v>44044</v>
      </c>
      <c r="D77">
        <f t="shared" si="0"/>
        <v>63</v>
      </c>
      <c r="E77">
        <f>[1]!YBSCEN($D$11,"0y","Market","ProjectedCPR","Swap",$D$10,"LMMSkew","","Model",100,0,0,"Immediate","ParShift|Y",$E$11,"Spread Change",0,100,"CPRPROJ",,,Sheet2!B$5,"Default",D77,,,"Default",,)</f>
        <v>10.012</v>
      </c>
      <c r="F77">
        <f t="shared" si="4"/>
        <v>0.99124737439006871</v>
      </c>
    </row>
    <row r="78" spans="3:22" x14ac:dyDescent="0.2">
      <c r="C78" s="8">
        <v>44075</v>
      </c>
      <c r="D78">
        <f t="shared" si="0"/>
        <v>64</v>
      </c>
      <c r="E78">
        <f>[1]!YBSCEN($D$11,"0y","Market","ProjectedCPR","Swap",$D$10,"LMMSkew","","Model",100,0,0,"Immediate","ParShift|Y",$E$11,"Spread Change",0,100,"CPRPROJ",,,Sheet2!B$5,"Default",D78,,,"Default",,)</f>
        <v>10.782999999999999</v>
      </c>
      <c r="F78">
        <f t="shared" si="4"/>
        <v>0.99053684501713035</v>
      </c>
    </row>
    <row r="79" spans="3:22" x14ac:dyDescent="0.2">
      <c r="C79" s="8">
        <v>44105</v>
      </c>
      <c r="D79">
        <f t="shared" si="0"/>
        <v>65</v>
      </c>
      <c r="E79">
        <f>[1]!YBSCEN($D$11,"0y","Market","ProjectedCPR","Swap",$D$10,"LMMSkew","","Model",100,0,0,"Immediate","ParShift|Y",$E$11,"Spread Change",0,100,"CPRPROJ",,,Sheet2!B$5,"Default",D79,,,"Default",,)</f>
        <v>9.2919999999999998</v>
      </c>
      <c r="F79">
        <f t="shared" si="4"/>
        <v>0.991905882717807</v>
      </c>
      <c r="I79" t="s">
        <v>39</v>
      </c>
    </row>
    <row r="80" spans="3:22" x14ac:dyDescent="0.2">
      <c r="C80" s="8">
        <v>44136</v>
      </c>
      <c r="D80">
        <f t="shared" si="0"/>
        <v>66</v>
      </c>
      <c r="E80">
        <f>[1]!YBSCEN($D$11,"0y","Market","ProjectedCPR","Swap",$D$10,"LMMSkew","","Model",100,0,0,"Immediate","ParShift|Y",$E$11,"Spread Change",0,100,"CPRPROJ",,,Sheet2!B$5,"Default",D80,,,"Default",,)</f>
        <v>9.1470000000000002</v>
      </c>
      <c r="F80">
        <f t="shared" si="4"/>
        <v>0.99203791910961669</v>
      </c>
      <c r="S80" t="s">
        <v>39</v>
      </c>
    </row>
    <row r="81" spans="3:22" x14ac:dyDescent="0.2">
      <c r="C81" s="8">
        <v>44166</v>
      </c>
      <c r="D81">
        <f t="shared" ref="D81:D144" si="5">D80+1</f>
        <v>67</v>
      </c>
      <c r="E81">
        <f>[1]!YBSCEN($D$11,"0y","Market","ProjectedCPR","Swap",$D$10,"LMMSkew","","Model",100,0,0,"Immediate","ParShift|Y",$E$11,"Spread Change",0,100,"CPRPROJ",,,Sheet2!B$5,"Default",D81,,,"Default",,)</f>
        <v>10.798999999999999</v>
      </c>
      <c r="F81">
        <f t="shared" si="4"/>
        <v>0.99052204039061154</v>
      </c>
    </row>
    <row r="82" spans="3:22" x14ac:dyDescent="0.2">
      <c r="C82" s="8">
        <v>44197</v>
      </c>
      <c r="D82">
        <f t="shared" si="5"/>
        <v>68</v>
      </c>
      <c r="E82">
        <f>[1]!YBSCEN($D$11,"0y","Market","ProjectedCPR","Swap",$D$10,"LMMSkew","","Model",100,0,0,"Immediate","ParShift|Y",$E$11,"Spread Change",0,100,"CPRPROJ",,,Sheet2!B$5,"Default",D82,,,"Default",,)</f>
        <v>11.188000000000001</v>
      </c>
      <c r="F82">
        <f t="shared" si="4"/>
        <v>0.99016135181848663</v>
      </c>
      <c r="G82">
        <f>100*(1-PRODUCT(F71:F82))</f>
        <v>11.061286213671584</v>
      </c>
      <c r="H82">
        <v>6.1</v>
      </c>
      <c r="I82">
        <v>7.8</v>
      </c>
      <c r="J82">
        <f>I82-H82</f>
        <v>1.7000000000000002</v>
      </c>
    </row>
    <row r="83" spans="3:22" x14ac:dyDescent="0.2">
      <c r="C83" s="8">
        <v>44228</v>
      </c>
      <c r="D83">
        <f t="shared" si="5"/>
        <v>69</v>
      </c>
      <c r="E83">
        <f>[1]!YBSCEN($D$11,"0y","Market","ProjectedCPR","Swap",$D$10,"LMMSkew","","Model",100,0,0,"Immediate","ParShift|Y",$E$11,"Spread Change",0,100,"CPRPROJ",,,Sheet2!B$5,"Default",D83,,,"Default",,)</f>
        <v>11.48</v>
      </c>
      <c r="F83">
        <f t="shared" si="4"/>
        <v>0.98988965080396318</v>
      </c>
      <c r="H83">
        <v>6.2429573966445879</v>
      </c>
      <c r="I83">
        <v>8.0537605351180162</v>
      </c>
      <c r="J83">
        <f>I83-H83</f>
        <v>1.8108031384734282</v>
      </c>
      <c r="K83">
        <v>5.8901538875103636</v>
      </c>
      <c r="L83" t="s">
        <v>55</v>
      </c>
    </row>
    <row r="84" spans="3:22" x14ac:dyDescent="0.2">
      <c r="C84" s="8">
        <v>44256</v>
      </c>
      <c r="D84">
        <f t="shared" si="5"/>
        <v>70</v>
      </c>
      <c r="E84">
        <f>[1]!YBSCEN($D$11,"0y","Market","ProjectedCPR","Swap",$D$10,"LMMSkew","","Model",100,0,0,"Immediate","ParShift|Y",$E$11,"Spread Change",0,100,"CPRPROJ",,,Sheet2!B$5,"Default",D84,,,"Default",,)</f>
        <v>12.084</v>
      </c>
      <c r="F84">
        <f t="shared" si="4"/>
        <v>0.98932502193955685</v>
      </c>
      <c r="G84" t="s">
        <v>39</v>
      </c>
      <c r="H84" s="9">
        <f>H82/H83</f>
        <v>0.97710101358029067</v>
      </c>
      <c r="I84" s="9">
        <f>I82/I83</f>
        <v>0.96849167118745261</v>
      </c>
      <c r="J84" s="9">
        <f>J82/J83</f>
        <v>0.93880994785173666</v>
      </c>
    </row>
    <row r="85" spans="3:22" x14ac:dyDescent="0.2">
      <c r="C85" s="8">
        <v>44287</v>
      </c>
      <c r="D85">
        <f t="shared" si="5"/>
        <v>71</v>
      </c>
      <c r="E85">
        <f>[1]!YBSCEN($D$11,"0y","Market","ProjectedCPR","Swap",$D$10,"LMMSkew","","Model",100,0,0,"Immediate","ParShift|Y",$E$11,"Spread Change",0,100,"CPRPROJ",,,Sheet2!B$5,"Default",D85,,,"Default",,)</f>
        <v>11.654999999999999</v>
      </c>
      <c r="F85">
        <f t="shared" si="4"/>
        <v>0.98972642229395924</v>
      </c>
      <c r="H85" t="s">
        <v>39</v>
      </c>
      <c r="I85" t="s">
        <v>39</v>
      </c>
    </row>
    <row r="86" spans="3:22" x14ac:dyDescent="0.2">
      <c r="C86" s="8">
        <v>44317</v>
      </c>
      <c r="D86">
        <f t="shared" si="5"/>
        <v>72</v>
      </c>
      <c r="E86">
        <f>[1]!YBSCEN($D$11,"0y","Market","ProjectedCPR","Swap",$D$10,"LMMSkew","","Model",100,0,0,"Immediate","ParShift|Y",$E$11,"Spread Change",0,100,"CPRPROJ",,,Sheet2!B$5,"Default",D86,,,"Default",,)</f>
        <v>11.885999999999999</v>
      </c>
      <c r="F86">
        <f t="shared" si="4"/>
        <v>0.98951050623137682</v>
      </c>
      <c r="H86" t="e">
        <f>H82/H85</f>
        <v>#VALUE!</v>
      </c>
      <c r="I86" t="e">
        <f>I82/I85</f>
        <v>#VALUE!</v>
      </c>
    </row>
    <row r="87" spans="3:22" x14ac:dyDescent="0.2">
      <c r="C87" s="8">
        <v>44348</v>
      </c>
      <c r="D87">
        <f t="shared" si="5"/>
        <v>73</v>
      </c>
      <c r="E87">
        <f>[1]!YBSCEN($D$11,"0y","Market","ProjectedCPR","Swap",$D$10,"LMMSkew","","Model",100,0,0,"Immediate","ParShift|Y",$E$11,"Spread Change",0,100,"CPRPROJ",,,Sheet2!B$5,"Default",D87,,,"Default",,)</f>
        <v>10.574</v>
      </c>
      <c r="F87">
        <f t="shared" si="4"/>
        <v>0.99073000724558591</v>
      </c>
      <c r="K87" t="s">
        <v>39</v>
      </c>
    </row>
    <row r="88" spans="3:22" x14ac:dyDescent="0.2">
      <c r="C88" s="8">
        <v>44378</v>
      </c>
      <c r="D88">
        <f t="shared" si="5"/>
        <v>74</v>
      </c>
      <c r="E88">
        <f>[1]!YBSCEN($D$11,"0y","Market","ProjectedCPR","Swap",$D$10,"LMMSkew","","Model",100,0,0,"Immediate","ParShift|Y",$E$11,"Spread Change",0,100,"CPRPROJ",,,Sheet2!B$5,"Default",D88,,,"Default",,)</f>
        <v>10.744999999999999</v>
      </c>
      <c r="F88">
        <f t="shared" si="4"/>
        <v>0.99057199625331771</v>
      </c>
      <c r="G88" t="s">
        <v>39</v>
      </c>
      <c r="K88" t="s">
        <v>39</v>
      </c>
      <c r="O88">
        <v>1.5384278231874622</v>
      </c>
      <c r="P88">
        <v>14.832000000000001</v>
      </c>
      <c r="Q88">
        <v>13.576799769649476</v>
      </c>
      <c r="R88">
        <v>-1.0232002303505237</v>
      </c>
      <c r="S88">
        <v>13.39</v>
      </c>
      <c r="T88">
        <v>1.0038385061672805</v>
      </c>
      <c r="U88">
        <v>17.14</v>
      </c>
      <c r="V88">
        <f>U88-E88+G94-L88</f>
        <v>16.989188977820309</v>
      </c>
    </row>
    <row r="89" spans="3:22" x14ac:dyDescent="0.2">
      <c r="C89" s="8">
        <v>44409</v>
      </c>
      <c r="D89">
        <f t="shared" si="5"/>
        <v>75</v>
      </c>
      <c r="E89">
        <f>[1]!YBSCEN($D$11,"0y","Market","ProjectedCPR","Swap",$D$10,"LMMSkew","","Model",100,0,0,"Immediate","ParShift|Y",$E$11,"Spread Change",0,100,"CPRPROJ",,,Sheet2!B$5,"Default",D89,,,"Default",,)</f>
        <v>9.8350000000000009</v>
      </c>
      <c r="F89">
        <f t="shared" si="4"/>
        <v>0.99140970419447727</v>
      </c>
    </row>
    <row r="90" spans="3:22" x14ac:dyDescent="0.2">
      <c r="C90" s="8">
        <v>44440</v>
      </c>
      <c r="D90">
        <f t="shared" si="5"/>
        <v>76</v>
      </c>
      <c r="E90">
        <f>[1]!YBSCEN($D$11,"0y","Market","ProjectedCPR","Swap",$D$10,"LMMSkew","","Model",100,0,0,"Immediate","ParShift|Y",$E$11,"Spread Change",0,100,"CPRPROJ",,,Sheet2!B$5,"Default",D90,,,"Default",,)</f>
        <v>9.9949999999999992</v>
      </c>
      <c r="F90">
        <f t="shared" si="4"/>
        <v>0.99126297808766239</v>
      </c>
    </row>
    <row r="91" spans="3:22" x14ac:dyDescent="0.2">
      <c r="C91" s="8">
        <v>44470</v>
      </c>
      <c r="D91">
        <f t="shared" si="5"/>
        <v>77</v>
      </c>
      <c r="E91">
        <f>[1]!YBSCEN($D$11,"0y","Market","ProjectedCPR","Swap",$D$10,"LMMSkew","","Model",100,0,0,"Immediate","ParShift|Y",$E$11,"Spread Change",0,100,"CPRPROJ",,,Sheet2!B$5,"Default",D91,,,"Default",,)</f>
        <v>8.9380000000000006</v>
      </c>
      <c r="F91">
        <f t="shared" si="4"/>
        <v>0.99222789416031432</v>
      </c>
      <c r="J91" t="s">
        <v>39</v>
      </c>
      <c r="L91" t="s">
        <v>39</v>
      </c>
    </row>
    <row r="92" spans="3:22" x14ac:dyDescent="0.2">
      <c r="C92" s="8">
        <v>44501</v>
      </c>
      <c r="D92">
        <f t="shared" si="5"/>
        <v>78</v>
      </c>
      <c r="E92">
        <f>[1]!YBSCEN($D$11,"0y","Market","ProjectedCPR","Swap",$D$10,"LMMSkew","","Model",100,0,0,"Immediate","ParShift|Y",$E$11,"Spread Change",0,100,"CPRPROJ",,,Sheet2!B$5,"Default",D92,,,"Default",,)</f>
        <v>8.8070000000000004</v>
      </c>
      <c r="F92">
        <f t="shared" si="4"/>
        <v>0.99234676576187542</v>
      </c>
    </row>
    <row r="93" spans="3:22" x14ac:dyDescent="0.2">
      <c r="C93" s="8">
        <v>44531</v>
      </c>
      <c r="D93">
        <f t="shared" si="5"/>
        <v>79</v>
      </c>
      <c r="E93">
        <f>[1]!YBSCEN($D$11,"0y","Market","ProjectedCPR","Swap",$D$10,"LMMSkew","","Model",100,0,0,"Immediate","ParShift|Y",$E$11,"Spread Change",0,100,"CPRPROJ",,,Sheet2!B$5,"Default",D93,,,"Default",,)</f>
        <v>10.348000000000001</v>
      </c>
      <c r="F93">
        <f t="shared" si="4"/>
        <v>0.99093841610457123</v>
      </c>
    </row>
    <row r="94" spans="3:22" x14ac:dyDescent="0.2">
      <c r="C94" s="8">
        <v>44562</v>
      </c>
      <c r="D94">
        <f t="shared" si="5"/>
        <v>80</v>
      </c>
      <c r="E94">
        <f>[1]!YBSCEN($D$11,"0y","Market","ProjectedCPR","Swap",$D$10,"LMMSkew","","Model",100,0,0,"Immediate","ParShift|Y",$E$11,"Spread Change",0,100,"CPRPROJ",,,Sheet2!B$5,"Default",D94,,,"Default",,)</f>
        <v>10.712</v>
      </c>
      <c r="F94">
        <f t="shared" si="4"/>
        <v>0.99060251119905685</v>
      </c>
      <c r="G94">
        <f>100*(1-PRODUCT(F83:F94))</f>
        <v>10.594188977820307</v>
      </c>
      <c r="H94">
        <v>6.7</v>
      </c>
      <c r="I94">
        <v>8.8000000000000007</v>
      </c>
      <c r="J94">
        <f>I94-H94</f>
        <v>2.1000000000000005</v>
      </c>
      <c r="P94">
        <v>8.1</v>
      </c>
      <c r="R94" t="s">
        <v>39</v>
      </c>
    </row>
    <row r="95" spans="3:22" x14ac:dyDescent="0.2">
      <c r="C95" s="8">
        <v>44593</v>
      </c>
      <c r="D95">
        <f t="shared" si="5"/>
        <v>81</v>
      </c>
      <c r="E95">
        <f>[1]!YBSCEN($D$11,"0y","Market","ProjectedCPR","Swap",$D$10,"LMMSkew","","Model",100,0,0,"Immediate","ParShift|Y",$E$11,"Spread Change",0,100,"CPRPROJ",,,Sheet2!B$5,"Default",D95,,,"Default",,)</f>
        <v>10.984999999999999</v>
      </c>
      <c r="F95">
        <f t="shared" si="4"/>
        <v>0.99034975774516021</v>
      </c>
      <c r="H95">
        <v>6.8796233177895516</v>
      </c>
      <c r="I95">
        <v>9.0406404750027924</v>
      </c>
      <c r="J95">
        <f>I95-H95</f>
        <v>2.1610171572132408</v>
      </c>
      <c r="K95">
        <v>6.3150227045809304</v>
      </c>
      <c r="L95" t="s">
        <v>55</v>
      </c>
    </row>
    <row r="96" spans="3:22" x14ac:dyDescent="0.2">
      <c r="C96" s="8">
        <v>44621</v>
      </c>
      <c r="D96">
        <f t="shared" si="5"/>
        <v>82</v>
      </c>
      <c r="E96">
        <f>[1]!YBSCEN($D$11,"0y","Market","ProjectedCPR","Swap",$D$10,"LMMSkew","","Model",100,0,0,"Immediate","ParShift|Y",$E$11,"Spread Change",0,100,"CPRPROJ",,,Sheet2!B$5,"Default",D96,,,"Default",,)</f>
        <v>11.551</v>
      </c>
      <c r="F96">
        <f t="shared" si="4"/>
        <v>0.98982346235734087</v>
      </c>
      <c r="H96" s="9">
        <f>H94/H95</f>
        <v>0.97389053012174731</v>
      </c>
      <c r="I96" s="9">
        <f>I94/I95</f>
        <v>0.97338236426189517</v>
      </c>
      <c r="J96" s="9">
        <f>J94/J95</f>
        <v>0.9717646123217617</v>
      </c>
    </row>
    <row r="97" spans="3:21" x14ac:dyDescent="0.2">
      <c r="C97" s="8">
        <v>44652</v>
      </c>
      <c r="D97">
        <f t="shared" si="5"/>
        <v>83</v>
      </c>
      <c r="E97">
        <f>[1]!YBSCEN($D$11,"0y","Market","ProjectedCPR","Swap",$D$10,"LMMSkew","","Model",100,0,0,"Immediate","ParShift|Y",$E$11,"Spread Change",0,100,"CPRPROJ",,,Sheet2!B$5,"Default",D97,,,"Default",,)</f>
        <v>11.156000000000001</v>
      </c>
      <c r="F97">
        <f t="shared" si="4"/>
        <v>0.99019107746731438</v>
      </c>
      <c r="H97" t="s">
        <v>39</v>
      </c>
      <c r="I97" t="s">
        <v>39</v>
      </c>
    </row>
    <row r="98" spans="3:21" x14ac:dyDescent="0.2">
      <c r="C98" s="8">
        <v>44682</v>
      </c>
      <c r="D98">
        <f t="shared" si="5"/>
        <v>84</v>
      </c>
      <c r="E98">
        <f>[1]!YBSCEN($D$11,"0y","Market","ProjectedCPR","Swap",$D$10,"LMMSkew","","Model",100,0,0,"Immediate","ParShift|Y",$E$11,"Spread Change",0,100,"CPRPROJ",,,Sheet2!B$5,"Default",D98,,,"Default",,)</f>
        <v>11.375</v>
      </c>
      <c r="F98">
        <f t="shared" si="4"/>
        <v>0.9899874459808613</v>
      </c>
      <c r="H98" t="e">
        <f>H94/H97</f>
        <v>#VALUE!</v>
      </c>
      <c r="I98" t="e">
        <f>I94/I97</f>
        <v>#VALUE!</v>
      </c>
    </row>
    <row r="99" spans="3:21" x14ac:dyDescent="0.2">
      <c r="C99" s="8">
        <v>44713</v>
      </c>
      <c r="D99">
        <f t="shared" si="5"/>
        <v>85</v>
      </c>
      <c r="E99">
        <f>[1]!YBSCEN($D$11,"0y","Market","ProjectedCPR","Swap",$D$10,"LMMSkew","","Model",100,0,0,"Immediate","ParShift|Y",$E$11,"Spread Change",0,100,"CPRPROJ",,,Sheet2!B$5,"Default",D99,,,"Default",,)</f>
        <v>10.159000000000001</v>
      </c>
      <c r="F99">
        <f t="shared" si="4"/>
        <v>0.9911123354818987</v>
      </c>
    </row>
    <row r="100" spans="3:21" x14ac:dyDescent="0.2">
      <c r="C100" s="8">
        <v>44743</v>
      </c>
      <c r="D100">
        <f t="shared" si="5"/>
        <v>86</v>
      </c>
      <c r="E100">
        <f>[1]!YBSCEN($D$11,"0y","Market","ProjectedCPR","Swap",$D$10,"LMMSkew","","Model",100,0,0,"Immediate","ParShift|Y",$E$11,"Spread Change",0,100,"CPRPROJ",,,Sheet2!B$5,"Default",D100,,,"Default",,)</f>
        <v>10.324</v>
      </c>
      <c r="F100">
        <f t="shared" si="4"/>
        <v>0.99096051972416865</v>
      </c>
      <c r="G100" t="s">
        <v>39</v>
      </c>
      <c r="P100">
        <v>15.81</v>
      </c>
      <c r="Q100">
        <f>P100-E100+G106</f>
        <v>15.669499988573708</v>
      </c>
      <c r="R100">
        <f>Q100-H100</f>
        <v>15.669499988573708</v>
      </c>
      <c r="U100">
        <v>11.95</v>
      </c>
    </row>
    <row r="101" spans="3:21" x14ac:dyDescent="0.2">
      <c r="C101" s="8">
        <v>44774</v>
      </c>
      <c r="D101">
        <f t="shared" si="5"/>
        <v>87</v>
      </c>
      <c r="E101">
        <f>[1]!YBSCEN($D$11,"0y","Market","ProjectedCPR","Swap",$D$10,"LMMSkew","","Model",100,0,0,"Immediate","ParShift|Y",$E$11,"Spread Change",0,100,"CPRPROJ",,,Sheet2!B$5,"Default",D101,,,"Default",,)</f>
        <v>9.4789999999999992</v>
      </c>
      <c r="F101">
        <f t="shared" si="4"/>
        <v>0.99173531535332515</v>
      </c>
      <c r="L101" t="s">
        <v>39</v>
      </c>
    </row>
    <row r="102" spans="3:21" x14ac:dyDescent="0.2">
      <c r="C102" s="8">
        <v>44805</v>
      </c>
      <c r="D102">
        <f t="shared" si="5"/>
        <v>88</v>
      </c>
      <c r="E102">
        <f>[1]!YBSCEN($D$11,"0y","Market","ProjectedCPR","Swap",$D$10,"LMMSkew","","Model",100,0,0,"Immediate","ParShift|Y",$E$11,"Spread Change",0,100,"CPRPROJ",,,Sheet2!B$5,"Default",D102,,,"Default",,)</f>
        <v>9.6310000000000002</v>
      </c>
      <c r="F102">
        <f t="shared" si="4"/>
        <v>0.99159643422096277</v>
      </c>
      <c r="I102" t="s">
        <v>39</v>
      </c>
    </row>
    <row r="103" spans="3:21" x14ac:dyDescent="0.2">
      <c r="C103" s="8">
        <v>44835</v>
      </c>
      <c r="D103">
        <f t="shared" si="5"/>
        <v>89</v>
      </c>
      <c r="E103">
        <f>[1]!YBSCEN($D$11,"0y","Market","ProjectedCPR","Swap",$D$10,"LMMSkew","","Model",100,0,0,"Immediate","ParShift|Y",$E$11,"Spread Change",0,100,"CPRPROJ",,,Sheet2!B$5,"Default",D103,,,"Default",,)</f>
        <v>8.6579999999999995</v>
      </c>
      <c r="F103">
        <f t="shared" si="4"/>
        <v>0.99248178074469096</v>
      </c>
    </row>
    <row r="104" spans="3:21" x14ac:dyDescent="0.2">
      <c r="C104" s="8">
        <v>44866</v>
      </c>
      <c r="D104">
        <f t="shared" si="5"/>
        <v>90</v>
      </c>
      <c r="E104">
        <f>[1]!YBSCEN($D$11,"0y","Market","ProjectedCPR","Swap",$D$10,"LMMSkew","","Model",100,0,0,"Immediate","ParShift|Y",$E$11,"Spread Change",0,100,"CPRPROJ",,,Sheet2!B$5,"Default",D104,,,"Default",,)</f>
        <v>8.5370000000000008</v>
      </c>
      <c r="F104">
        <f t="shared" si="4"/>
        <v>0.99259127532207236</v>
      </c>
      <c r="S104" t="s">
        <v>39</v>
      </c>
    </row>
    <row r="105" spans="3:21" x14ac:dyDescent="0.2">
      <c r="C105" s="8">
        <v>44896</v>
      </c>
      <c r="D105">
        <f t="shared" si="5"/>
        <v>91</v>
      </c>
      <c r="E105">
        <f>[1]!YBSCEN($D$11,"0y","Market","ProjectedCPR","Swap",$D$10,"LMMSkew","","Model",100,0,0,"Immediate","ParShift|Y",$E$11,"Spread Change",0,100,"CPRPROJ",,,Sheet2!B$5,"Default",D105,,,"Default",,)</f>
        <v>9.9749999999999996</v>
      </c>
      <c r="F105">
        <f t="shared" si="4"/>
        <v>0.99128133192052459</v>
      </c>
    </row>
    <row r="106" spans="3:21" x14ac:dyDescent="0.2">
      <c r="C106" s="8">
        <v>44927</v>
      </c>
      <c r="D106">
        <f t="shared" si="5"/>
        <v>92</v>
      </c>
      <c r="E106">
        <f>[1]!YBSCEN($D$11,"0y","Market","ProjectedCPR","Swap",$D$10,"LMMSkew","","Model",100,0,0,"Immediate","ParShift|Y",$E$11,"Spread Change",0,100,"CPRPROJ",,,Sheet2!B$5,"Default",D106,,,"Default",,)</f>
        <v>10.311999999999999</v>
      </c>
      <c r="F106">
        <f t="shared" si="4"/>
        <v>0.9909715695005572</v>
      </c>
      <c r="G106">
        <f>100*(1-PRODUCT(F95:F106))</f>
        <v>10.183499988573708</v>
      </c>
      <c r="H106">
        <v>7.4</v>
      </c>
      <c r="I106">
        <v>9.9</v>
      </c>
      <c r="J106">
        <f>I106-H106</f>
        <v>2.5</v>
      </c>
    </row>
    <row r="107" spans="3:21" x14ac:dyDescent="0.2">
      <c r="C107" s="8">
        <v>44958</v>
      </c>
      <c r="D107">
        <f t="shared" si="5"/>
        <v>93</v>
      </c>
      <c r="E107">
        <f>[1]!YBSCEN($D$11,"0y","Market","ProjectedCPR","Swap",$D$10,"LMMSkew","","Model",100,0,0,"Immediate","ParShift|Y",$E$11,"Spread Change",0,100,"CPRPROJ",,,Sheet2!B$5,"Default",D107,,,"Default",,)</f>
        <v>10.566000000000001</v>
      </c>
      <c r="F107">
        <f t="shared" ref="F107:F167" si="6">((1-E107/100)^(1/12))</f>
        <v>0.99073739278884632</v>
      </c>
      <c r="H107">
        <v>7.7593580679614416</v>
      </c>
      <c r="I107">
        <v>9.9387837901089515</v>
      </c>
      <c r="J107">
        <f>I107-H107</f>
        <v>2.17942572214751</v>
      </c>
      <c r="K107">
        <v>6.7189186827402274</v>
      </c>
      <c r="L107" t="s">
        <v>55</v>
      </c>
    </row>
    <row r="108" spans="3:21" x14ac:dyDescent="0.2">
      <c r="C108" s="8">
        <v>44986</v>
      </c>
      <c r="D108">
        <f t="shared" si="5"/>
        <v>94</v>
      </c>
      <c r="E108">
        <f>[1]!YBSCEN($D$11,"0y","Market","ProjectedCPR","Swap",$D$10,"LMMSkew","","Model",100,0,0,"Immediate","ParShift|Y",$E$11,"Spread Change",0,100,"CPRPROJ",,,Sheet2!B$5,"Default",D108,,,"Default",,)</f>
        <v>11.093999999999999</v>
      </c>
      <c r="F108">
        <f t="shared" si="6"/>
        <v>0.99024864299362181</v>
      </c>
      <c r="H108" s="9">
        <f>H106/H107</f>
        <v>0.95368713947546269</v>
      </c>
      <c r="I108" s="9">
        <f>I106/I107</f>
        <v>0.99609773278823621</v>
      </c>
      <c r="J108" s="9">
        <f>J106/J107</f>
        <v>1.1470911692905095</v>
      </c>
    </row>
    <row r="109" spans="3:21" x14ac:dyDescent="0.2">
      <c r="C109" s="8">
        <v>45017</v>
      </c>
      <c r="D109">
        <f t="shared" si="5"/>
        <v>95</v>
      </c>
      <c r="E109">
        <f>[1]!YBSCEN($D$11,"0y","Market","ProjectedCPR","Swap",$D$10,"LMMSkew","","Model",100,0,0,"Immediate","ParShift|Y",$E$11,"Spread Change",0,100,"CPRPROJ",,,Sheet2!B$5,"Default",D109,,,"Default",,)</f>
        <v>10.73</v>
      </c>
      <c r="F109">
        <f t="shared" si="6"/>
        <v>0.99058586796504466</v>
      </c>
      <c r="H109" t="s">
        <v>39</v>
      </c>
      <c r="I109" t="s">
        <v>39</v>
      </c>
      <c r="L109" t="s">
        <v>39</v>
      </c>
    </row>
    <row r="110" spans="3:21" x14ac:dyDescent="0.2">
      <c r="C110" s="8">
        <v>45047</v>
      </c>
      <c r="D110">
        <f t="shared" si="5"/>
        <v>96</v>
      </c>
      <c r="E110">
        <f>[1]!YBSCEN($D$11,"0y","Market","ProjectedCPR","Swap",$D$10,"LMMSkew","","Model",100,0,0,"Immediate","ParShift|Y",$E$11,"Spread Change",0,100,"CPRPROJ",,,Sheet2!B$5,"Default",D110,,,"Default",,)</f>
        <v>10.939</v>
      </c>
      <c r="F110">
        <f t="shared" si="6"/>
        <v>0.99039239597316564</v>
      </c>
      <c r="H110" t="e">
        <f>H106/H109</f>
        <v>#VALUE!</v>
      </c>
      <c r="I110" t="e">
        <f>I106/I109</f>
        <v>#VALUE!</v>
      </c>
      <c r="M110" t="s">
        <v>39</v>
      </c>
    </row>
    <row r="111" spans="3:21" x14ac:dyDescent="0.2">
      <c r="C111" s="8">
        <v>45078</v>
      </c>
      <c r="D111">
        <f t="shared" si="5"/>
        <v>97</v>
      </c>
      <c r="E111">
        <f>[1]!YBSCEN($D$11,"0y","Market","ProjectedCPR","Swap",$D$10,"LMMSkew","","Model",100,0,0,"Immediate","ParShift|Y",$E$11,"Spread Change",0,100,"CPRPROJ",,,Sheet2!B$5,"Default",D111,,,"Default",,)</f>
        <v>9.8089999999999993</v>
      </c>
      <c r="F111">
        <f t="shared" si="6"/>
        <v>0.99143352464047685</v>
      </c>
      <c r="G111" t="s">
        <v>39</v>
      </c>
    </row>
    <row r="112" spans="3:21" x14ac:dyDescent="0.2">
      <c r="D112">
        <f t="shared" si="5"/>
        <v>98</v>
      </c>
      <c r="E112">
        <f>[1]!YBSCEN($D$11,"0y","Market","ProjectedCPR","Swap",$D$10,"LMMSkew","","Model",100,0,0,"Immediate","ParShift|Y",$E$11,"Spread Change",0,100,"CPRPROJ",,,Sheet2!B$5,"Default",D112,,,"Default",,)</f>
        <v>9.9719999999999995</v>
      </c>
      <c r="F112">
        <f t="shared" si="6"/>
        <v>0.99128408467307072</v>
      </c>
      <c r="L112" t="s">
        <v>39</v>
      </c>
    </row>
    <row r="113" spans="4:11" x14ac:dyDescent="0.2">
      <c r="D113">
        <f t="shared" si="5"/>
        <v>99</v>
      </c>
      <c r="E113">
        <f>[1]!YBSCEN($D$11,"0y","Market","ProjectedCPR","Swap",$D$10,"LMMSkew","","Model",100,0,0,"Immediate","ParShift|Y",$E$11,"Spread Change",0,100,"CPRPROJ",,,Sheet2!B$5,"Default",D113,,,"Default",,)</f>
        <v>9.1839999999999993</v>
      </c>
      <c r="F113">
        <f t="shared" si="6"/>
        <v>0.99200424543152821</v>
      </c>
    </row>
    <row r="114" spans="4:11" x14ac:dyDescent="0.2">
      <c r="D114">
        <f t="shared" si="5"/>
        <v>100</v>
      </c>
      <c r="E114">
        <f>[1]!YBSCEN($D$11,"0y","Market","ProjectedCPR","Swap",$D$10,"LMMSkew","","Model",100,0,0,"Immediate","ParShift|Y",$E$11,"Spread Change",0,100,"CPRPROJ",,,Sheet2!B$5,"Default",D114,,,"Default",,)</f>
        <v>9.3279999999999994</v>
      </c>
      <c r="F114">
        <f t="shared" si="6"/>
        <v>0.99187307128909585</v>
      </c>
    </row>
    <row r="115" spans="4:11" x14ac:dyDescent="0.2">
      <c r="D115">
        <f t="shared" si="5"/>
        <v>101</v>
      </c>
      <c r="E115">
        <f>[1]!YBSCEN($D$11,"0y","Market","ProjectedCPR","Swap",$D$10,"LMMSkew","","Model",100,0,0,"Immediate","ParShift|Y",$E$11,"Spread Change",0,100,"CPRPROJ",,,Sheet2!B$5,"Default",D115,,,"Default",,)</f>
        <v>8.4369999999999994</v>
      </c>
      <c r="F115">
        <f t="shared" si="6"/>
        <v>0.99268166653871359</v>
      </c>
    </row>
    <row r="116" spans="4:11" x14ac:dyDescent="0.2">
      <c r="D116">
        <f t="shared" si="5"/>
        <v>102</v>
      </c>
      <c r="E116">
        <f>[1]!YBSCEN($D$11,"0y","Market","ProjectedCPR","Swap",$D$10,"LMMSkew","","Model",100,0,0,"Immediate","ParShift|Y",$E$11,"Spread Change",0,100,"CPRPROJ",,,Sheet2!B$5,"Default",D116,,,"Default",,)</f>
        <v>8.3209999999999997</v>
      </c>
      <c r="F116">
        <f t="shared" si="6"/>
        <v>0.99278640704902599</v>
      </c>
    </row>
    <row r="117" spans="4:11" x14ac:dyDescent="0.2">
      <c r="D117">
        <f t="shared" si="5"/>
        <v>103</v>
      </c>
      <c r="E117">
        <f>[1]!YBSCEN($D$11,"0y","Market","ProjectedCPR","Swap",$D$10,"LMMSkew","","Model",100,0,0,"Immediate","ParShift|Y",$E$11,"Spread Change",0,100,"CPRPROJ",,,Sheet2!B$5,"Default",D117,,,"Default",,)</f>
        <v>9.6609999999999996</v>
      </c>
      <c r="F117">
        <f t="shared" si="6"/>
        <v>0.99156899817150057</v>
      </c>
    </row>
    <row r="118" spans="4:11" x14ac:dyDescent="0.2">
      <c r="D118">
        <f t="shared" si="5"/>
        <v>104</v>
      </c>
      <c r="E118">
        <f>[1]!YBSCEN($D$11,"0y","Market","ProjectedCPR","Swap",$D$10,"LMMSkew","","Model",100,0,0,"Immediate","ParShift|Y",$E$11,"Spread Change",0,100,"CPRPROJ",,,Sheet2!B$5,"Default",D118,,,"Default",,)</f>
        <v>9.9689999999999994</v>
      </c>
      <c r="F118">
        <f t="shared" si="6"/>
        <v>0.99128683734153245</v>
      </c>
      <c r="G118">
        <f>100*(1-PRODUCT(F107:F118))</f>
        <v>9.8383807791612377</v>
      </c>
      <c r="H118">
        <v>8.3000000000000007</v>
      </c>
      <c r="I118">
        <v>11.3</v>
      </c>
      <c r="J118">
        <f>I118-H118</f>
        <v>3</v>
      </c>
    </row>
    <row r="119" spans="4:11" x14ac:dyDescent="0.2">
      <c r="D119">
        <f t="shared" si="5"/>
        <v>105</v>
      </c>
      <c r="E119">
        <f>[1]!YBSCEN($D$11,"0y","Market","ProjectedCPR","Swap",$D$10,"LMMSkew","","Model",100,0,0,"Immediate","ParShift|Y",$E$11,"Spread Change",0,100,"CPRPROJ",,,Sheet2!B$5,"Default",D119,,,"Default",,)</f>
        <v>10.201000000000001</v>
      </c>
      <c r="F119">
        <f t="shared" si="6"/>
        <v>0.99107371573515635</v>
      </c>
      <c r="H119">
        <v>9.0547649253136733</v>
      </c>
      <c r="I119">
        <v>11.530709644489413</v>
      </c>
      <c r="J119">
        <f>I119-H119</f>
        <v>2.4759447191757396</v>
      </c>
      <c r="K119">
        <v>7.2882957513270119</v>
      </c>
    </row>
    <row r="120" spans="4:11" x14ac:dyDescent="0.2">
      <c r="D120">
        <f t="shared" si="5"/>
        <v>106</v>
      </c>
      <c r="E120">
        <f>[1]!YBSCEN($D$11,"0y","Market","ProjectedCPR","Swap",$D$10,"LMMSkew","","Model",100,0,0,"Immediate","ParShift|Y",$E$11,"Spread Change",0,100,"CPRPROJ",,,Sheet2!B$5,"Default",D120,,,"Default",,)</f>
        <v>10.693</v>
      </c>
      <c r="F120">
        <f t="shared" si="6"/>
        <v>0.99062007572087651</v>
      </c>
      <c r="H120" s="9">
        <f>H118/H119</f>
        <v>0.91664444836070369</v>
      </c>
      <c r="I120" s="9">
        <f>I118/I119</f>
        <v>0.97999172196659468</v>
      </c>
      <c r="J120" s="9">
        <f>J118/J119</f>
        <v>1.2116587162732464</v>
      </c>
    </row>
    <row r="121" spans="4:11" x14ac:dyDescent="0.2">
      <c r="D121">
        <f t="shared" si="5"/>
        <v>107</v>
      </c>
      <c r="E121">
        <f>[1]!YBSCEN($D$11,"0y","Market","ProjectedCPR","Swap",$D$10,"LMMSkew","","Model",100,0,0,"Immediate","ParShift|Y",$E$11,"Spread Change",0,100,"CPRPROJ",,,Sheet2!B$5,"Default",D121,,,"Default",,)</f>
        <v>10.356</v>
      </c>
      <c r="F121">
        <f t="shared" si="6"/>
        <v>0.99093104702601054</v>
      </c>
      <c r="H121" t="s">
        <v>39</v>
      </c>
      <c r="I121" t="s">
        <v>39</v>
      </c>
    </row>
    <row r="122" spans="4:11" x14ac:dyDescent="0.2">
      <c r="D122">
        <f t="shared" si="5"/>
        <v>108</v>
      </c>
      <c r="E122">
        <f>[1]!YBSCEN($D$11,"0y","Market","ProjectedCPR","Swap",$D$10,"LMMSkew","","Model",100,0,0,"Immediate","ParShift|Y",$E$11,"Spread Change",0,100,"CPRPROJ",,,Sheet2!B$5,"Default",D122,,,"Default",,)</f>
        <v>10.553000000000001</v>
      </c>
      <c r="F122">
        <f t="shared" si="6"/>
        <v>0.99074939300512621</v>
      </c>
    </row>
    <row r="123" spans="4:11" x14ac:dyDescent="0.2">
      <c r="D123">
        <f t="shared" si="5"/>
        <v>109</v>
      </c>
      <c r="E123">
        <f>[1]!YBSCEN($D$11,"0y","Market","ProjectedCPR","Swap",$D$10,"LMMSkew","","Model",100,0,0,"Immediate","ParShift|Y",$E$11,"Spread Change",0,100,"CPRPROJ",,,Sheet2!B$5,"Default",D123,,,"Default",,)</f>
        <v>9.5060000000000002</v>
      </c>
      <c r="F123">
        <f t="shared" si="6"/>
        <v>0.99171066129990226</v>
      </c>
    </row>
    <row r="124" spans="4:11" x14ac:dyDescent="0.2">
      <c r="D124">
        <f t="shared" si="5"/>
        <v>110</v>
      </c>
      <c r="E124">
        <f>[1]!YBSCEN($D$11,"0y","Market","ProjectedCPR","Swap",$D$10,"LMMSkew","","Model",100,0,0,"Immediate","ParShift|Y",$E$11,"Spread Change",0,100,"CPRPROJ",,,Sheet2!B$5,"Default",D124,,,"Default",,)</f>
        <v>9.6660000000000004</v>
      </c>
      <c r="F124">
        <f t="shared" si="6"/>
        <v>0.99156442468463168</v>
      </c>
    </row>
    <row r="125" spans="4:11" x14ac:dyDescent="0.2">
      <c r="D125">
        <f t="shared" si="5"/>
        <v>111</v>
      </c>
      <c r="E125">
        <f>[1]!YBSCEN($D$11,"0y","Market","ProjectedCPR","Swap",$D$10,"LMMSkew","","Model",100,0,0,"Immediate","ParShift|Y",$E$11,"Spread Change",0,100,"CPRPROJ",,,Sheet2!B$5,"Default",D125,,,"Default",,)</f>
        <v>8.9280000000000008</v>
      </c>
      <c r="F125">
        <f t="shared" si="6"/>
        <v>0.99223697385287579</v>
      </c>
      <c r="J125" t="s">
        <v>39</v>
      </c>
    </row>
    <row r="126" spans="4:11" x14ac:dyDescent="0.2">
      <c r="D126">
        <f t="shared" si="5"/>
        <v>112</v>
      </c>
      <c r="E126">
        <f>[1]!YBSCEN($D$11,"0y","Market","ProjectedCPR","Swap",$D$10,"LMMSkew","","Model",100,0,0,"Immediate","ParShift|Y",$E$11,"Spread Change",0,100,"CPRPROJ",,,Sheet2!B$5,"Default",D126,,,"Default",,)</f>
        <v>9.0630000000000006</v>
      </c>
      <c r="F126">
        <f t="shared" si="6"/>
        <v>0.99211432081851769</v>
      </c>
      <c r="I126" t="s">
        <v>39</v>
      </c>
    </row>
    <row r="127" spans="4:11" x14ac:dyDescent="0.2">
      <c r="D127">
        <f t="shared" si="5"/>
        <v>113</v>
      </c>
      <c r="E127">
        <f>[1]!YBSCEN($D$11,"0y","Market","ProjectedCPR","Swap",$D$10,"LMMSkew","","Model",100,0,0,"Immediate","ParShift|Y",$E$11,"Spread Change",0,100,"CPRPROJ",,,Sheet2!B$5,"Default",D127,,,"Default",,)</f>
        <v>8.2520000000000007</v>
      </c>
      <c r="F127">
        <f t="shared" si="6"/>
        <v>0.99284865198638128</v>
      </c>
    </row>
    <row r="128" spans="4:11" x14ac:dyDescent="0.2">
      <c r="D128">
        <f t="shared" si="5"/>
        <v>114</v>
      </c>
      <c r="E128">
        <f>[1]!YBSCEN($D$11,"0y","Market","ProjectedCPR","Swap",$D$10,"LMMSkew","","Model",100,0,0,"Immediate","ParShift|Y",$E$11,"Spread Change",0,100,"CPRPROJ",,,Sheet2!B$5,"Default",D128,,,"Default",,)</f>
        <v>8.14</v>
      </c>
      <c r="F128">
        <f t="shared" si="6"/>
        <v>0.99294959594995358</v>
      </c>
    </row>
    <row r="129" spans="4:13" x14ac:dyDescent="0.2">
      <c r="D129">
        <f t="shared" si="5"/>
        <v>115</v>
      </c>
      <c r="E129">
        <f>[1]!YBSCEN($D$11,"0y","Market","ProjectedCPR","Swap",$D$10,"LMMSkew","","Model",100,0,0,"Immediate","ParShift|Y",$E$11,"Spread Change",0,100,"CPRPROJ",,,Sheet2!B$5,"Default",D129,,,"Default",,)</f>
        <v>9.3879999999999999</v>
      </c>
      <c r="F129">
        <f t="shared" si="6"/>
        <v>0.99181835902816151</v>
      </c>
    </row>
    <row r="130" spans="4:13" x14ac:dyDescent="0.2">
      <c r="D130">
        <f t="shared" si="5"/>
        <v>116</v>
      </c>
      <c r="E130">
        <f>[1]!YBSCEN($D$11,"0y","Market","ProjectedCPR","Swap",$D$10,"LMMSkew","","Model",100,0,0,"Immediate","ParShift|Y",$E$11,"Spread Change",0,100,"CPRPROJ",,,Sheet2!B$5,"Default",D130,,,"Default",,)</f>
        <v>9.6660000000000004</v>
      </c>
      <c r="F130">
        <f t="shared" si="6"/>
        <v>0.99156442468463168</v>
      </c>
      <c r="G130">
        <f>100*(1-PRODUCT(F119:F130))</f>
        <v>9.537890424880235</v>
      </c>
      <c r="H130">
        <v>9.1</v>
      </c>
      <c r="I130">
        <v>12.6</v>
      </c>
      <c r="J130">
        <f>I130-H130</f>
        <v>3.5</v>
      </c>
    </row>
    <row r="131" spans="4:13" x14ac:dyDescent="0.2">
      <c r="D131">
        <f t="shared" si="5"/>
        <v>117</v>
      </c>
      <c r="E131">
        <f>[1]!YBSCEN($D$11,"0y","Market","ProjectedCPR","Swap",$D$10,"LMMSkew","","Model",100,0,0,"Immediate","ParShift|Y",$E$11,"Spread Change",0,100,"CPRPROJ",,,Sheet2!B$5,"Default",D131,,,"Default",,)</f>
        <v>9.8770000000000007</v>
      </c>
      <c r="F131">
        <f t="shared" si="6"/>
        <v>0.9913712117083977</v>
      </c>
      <c r="H131">
        <v>9.6456475868648806</v>
      </c>
      <c r="I131">
        <v>12.61960331294112</v>
      </c>
      <c r="J131">
        <f>I131-H131</f>
        <v>2.9739557260762393</v>
      </c>
      <c r="K131">
        <v>7.1370251323657596</v>
      </c>
      <c r="L131" t="s">
        <v>55</v>
      </c>
    </row>
    <row r="132" spans="4:13" x14ac:dyDescent="0.2">
      <c r="D132">
        <f t="shared" si="5"/>
        <v>118</v>
      </c>
      <c r="E132">
        <f>[1]!YBSCEN($D$11,"0y","Market","ProjectedCPR","Swap",$D$10,"LMMSkew","","Model",100,0,0,"Immediate","ParShift|Y",$E$11,"Spread Change",0,100,"CPRPROJ",,,Sheet2!B$5,"Default",D132,,,"Default",,)</f>
        <v>10.333</v>
      </c>
      <c r="F132">
        <f t="shared" si="6"/>
        <v>0.99095223150235534</v>
      </c>
      <c r="H132" s="9">
        <f>H130/H131</f>
        <v>0.94343069431564908</v>
      </c>
      <c r="I132" s="9">
        <f>I130/I131</f>
        <v>0.9984465983236559</v>
      </c>
      <c r="J132">
        <f>J130/J131</f>
        <v>1.1768836937656131</v>
      </c>
    </row>
    <row r="133" spans="4:13" x14ac:dyDescent="0.2">
      <c r="D133">
        <f t="shared" si="5"/>
        <v>119</v>
      </c>
      <c r="E133">
        <f>[1]!YBSCEN($D$11,"0y","Market","ProjectedCPR","Swap",$D$10,"LMMSkew","","Model",100,0,0,"Immediate","ParShift|Y",$E$11,"Spread Change",0,100,"CPRPROJ",,,Sheet2!B$5,"Default",D133,,,"Default",,)</f>
        <v>10.021000000000001</v>
      </c>
      <c r="F133">
        <f t="shared" si="6"/>
        <v>0.99123911251502272</v>
      </c>
    </row>
    <row r="134" spans="4:13" x14ac:dyDescent="0.2">
      <c r="D134">
        <f t="shared" si="5"/>
        <v>120</v>
      </c>
      <c r="E134">
        <f>[1]!YBSCEN($D$11,"0y","Market","ProjectedCPR","Swap",$D$10,"LMMSkew","","Model",100,0,0,"Immediate","ParShift|Y",$E$11,"Spread Change",0,100,"CPRPROJ",,,Sheet2!B$5,"Default",D134,,,"Default",,)</f>
        <v>10.205</v>
      </c>
      <c r="F134">
        <f t="shared" si="6"/>
        <v>0.99107003680053551</v>
      </c>
    </row>
    <row r="135" spans="4:13" x14ac:dyDescent="0.2">
      <c r="D135">
        <f t="shared" si="5"/>
        <v>121</v>
      </c>
      <c r="E135">
        <f>[1]!YBSCEN($D$11,"0y","Market","ProjectedCPR","Swap",$D$10,"LMMSkew","","Model",100,0,0,"Immediate","ParShift|Y",$E$11,"Spread Change",0,100,"CPRPROJ",,,Sheet2!B$5,"Default",D135,,,"Default",,)</f>
        <v>9.2319999999999993</v>
      </c>
      <c r="F135">
        <f t="shared" si="6"/>
        <v>0.99196054191506777</v>
      </c>
      <c r="H135" t="e">
        <f>H130/H134</f>
        <v>#DIV/0!</v>
      </c>
      <c r="I135" t="e">
        <f>I130/I134</f>
        <v>#DIV/0!</v>
      </c>
    </row>
    <row r="136" spans="4:13" x14ac:dyDescent="0.2">
      <c r="D136">
        <f t="shared" si="5"/>
        <v>122</v>
      </c>
      <c r="E136">
        <f>[1]!YBSCEN($D$11,"0y","Market","ProjectedCPR","Swap",$D$10,"LMMSkew","","Model",100,0,0,"Immediate","ParShift|Y",$E$11,"Spread Change",0,100,"CPRPROJ",,,Sheet2!B$5,"Default",D136,,,"Default",,)</f>
        <v>9.3879999999999999</v>
      </c>
      <c r="F136">
        <f t="shared" si="6"/>
        <v>0.99181835902816151</v>
      </c>
      <c r="L136" t="s">
        <v>39</v>
      </c>
    </row>
    <row r="137" spans="4:13" x14ac:dyDescent="0.2">
      <c r="D137">
        <f t="shared" si="5"/>
        <v>123</v>
      </c>
      <c r="E137">
        <f>[1]!YBSCEN($D$11,"0y","Market","ProjectedCPR","Swap",$D$10,"LMMSkew","","Model",100,0,0,"Immediate","ParShift|Y",$E$11,"Spread Change",0,100,"CPRPROJ",,,Sheet2!B$5,"Default",D137,,,"Default",,)</f>
        <v>8.6980000000000004</v>
      </c>
      <c r="F137">
        <f t="shared" si="6"/>
        <v>0.99244555494719766</v>
      </c>
    </row>
    <row r="138" spans="4:13" x14ac:dyDescent="0.2">
      <c r="D138">
        <f t="shared" si="5"/>
        <v>124</v>
      </c>
      <c r="E138">
        <f>[1]!YBSCEN($D$11,"0y","Market","ProjectedCPR","Swap",$D$10,"LMMSkew","","Model",100,0,0,"Immediate","ParShift|Y",$E$11,"Spread Change",0,100,"CPRPROJ",,,Sheet2!B$5,"Default",D138,,,"Default",,)</f>
        <v>8.8290000000000006</v>
      </c>
      <c r="F138">
        <f t="shared" si="6"/>
        <v>0.99232681353311192</v>
      </c>
      <c r="M138" t="s">
        <v>39</v>
      </c>
    </row>
    <row r="139" spans="4:13" x14ac:dyDescent="0.2">
      <c r="D139">
        <f t="shared" si="5"/>
        <v>125</v>
      </c>
      <c r="E139">
        <f>[1]!YBSCEN($D$11,"0y","Market","ProjectedCPR","Swap",$D$10,"LMMSkew","","Model",100,0,0,"Immediate","ParShift|Y",$E$11,"Spread Change",0,100,"CPRPROJ",,,Sheet2!B$5,"Default",D139,,,"Default",,)</f>
        <v>8.0860000000000003</v>
      </c>
      <c r="F139">
        <f t="shared" si="6"/>
        <v>0.99299822505662783</v>
      </c>
    </row>
    <row r="140" spans="4:13" x14ac:dyDescent="0.2">
      <c r="D140">
        <f t="shared" si="5"/>
        <v>126</v>
      </c>
      <c r="E140">
        <f>[1]!YBSCEN($D$11,"0y","Market","ProjectedCPR","Swap",$D$10,"LMMSkew","","Model",100,0,0,"Immediate","ParShift|Y",$E$11,"Spread Change",0,100,"CPRPROJ",,,Sheet2!B$5,"Default",D140,,,"Default",,)</f>
        <v>7.98</v>
      </c>
      <c r="F140">
        <f t="shared" si="6"/>
        <v>0.9930936060797324</v>
      </c>
    </row>
    <row r="141" spans="4:13" x14ac:dyDescent="0.2">
      <c r="D141">
        <f t="shared" si="5"/>
        <v>127</v>
      </c>
      <c r="E141">
        <f>[1]!YBSCEN($D$11,"0y","Market","ProjectedCPR","Swap",$D$10,"LMMSkew","","Model",100,0,0,"Immediate","ParShift|Y",$E$11,"Spread Change",0,100,"CPRPROJ",,,Sheet2!B$5,"Default",D141,,,"Default",,)</f>
        <v>9.1489999999999991</v>
      </c>
      <c r="F141">
        <f t="shared" si="6"/>
        <v>0.99203609923221681</v>
      </c>
    </row>
    <row r="142" spans="4:13" x14ac:dyDescent="0.2">
      <c r="D142">
        <f t="shared" si="5"/>
        <v>128</v>
      </c>
      <c r="E142">
        <f>[1]!YBSCEN($D$11,"0y","Market","ProjectedCPR","Swap",$D$10,"LMMSkew","","Model",100,0,0,"Immediate","ParShift|Y",$E$11,"Spread Change",0,100,"CPRPROJ",,,Sheet2!B$5,"Default",D142,,,"Default",,)</f>
        <v>9.41</v>
      </c>
      <c r="F142">
        <f t="shared" si="6"/>
        <v>0.99179828954471139</v>
      </c>
      <c r="G142">
        <f>100*(1-PRODUCT(F131:F142))</f>
        <v>9.2703477489779367</v>
      </c>
      <c r="H142">
        <v>9.9</v>
      </c>
      <c r="I142">
        <v>13.8</v>
      </c>
      <c r="J142">
        <f>I142-H142</f>
        <v>3.9000000000000004</v>
      </c>
      <c r="K142">
        <v>7.1101870386039216</v>
      </c>
      <c r="L142" t="s">
        <v>55</v>
      </c>
    </row>
    <row r="143" spans="4:13" x14ac:dyDescent="0.2">
      <c r="D143">
        <f t="shared" si="5"/>
        <v>129</v>
      </c>
      <c r="E143">
        <f>[1]!YBSCEN($D$11,"0y","Market","ProjectedCPR","Swap",$D$10,"LMMSkew","","Model",100,0,0,"Immediate","ParShift|Y",$E$11,"Spread Change",0,100,"CPRPROJ",,,Sheet2!B$5,"Default",D143,,,"Default",,)</f>
        <v>9.6110000000000007</v>
      </c>
      <c r="F143">
        <f t="shared" si="6"/>
        <v>0.99161472028264508</v>
      </c>
      <c r="H143">
        <v>10.401015777960854</v>
      </c>
      <c r="I143">
        <v>13.578164378271007</v>
      </c>
      <c r="J143">
        <f>I143-H143</f>
        <v>3.1771486003101526</v>
      </c>
      <c r="K143" t="s">
        <v>39</v>
      </c>
    </row>
    <row r="144" spans="4:13" x14ac:dyDescent="0.2">
      <c r="D144">
        <f t="shared" si="5"/>
        <v>130</v>
      </c>
      <c r="E144">
        <f>[1]!YBSCEN($D$11,"0y","Market","ProjectedCPR","Swap",$D$10,"LMMSkew","","Model",100,0,0,"Immediate","ParShift|Y",$E$11,"Spread Change",0,100,"CPRPROJ",,,Sheet2!B$5,"Default",D144,,,"Default",,)</f>
        <v>10.045</v>
      </c>
      <c r="F144">
        <f t="shared" si="6"/>
        <v>0.99121707714426088</v>
      </c>
      <c r="H144" s="9">
        <f>H142/H143</f>
        <v>0.95183011076452007</v>
      </c>
      <c r="I144" s="9">
        <f>I142/I143</f>
        <v>1.0163376738967747</v>
      </c>
      <c r="J144">
        <f>J142/J143</f>
        <v>1.2275157666906997</v>
      </c>
    </row>
    <row r="145" spans="4:11" x14ac:dyDescent="0.2">
      <c r="D145">
        <f t="shared" ref="D145:D208" si="7">D144+1</f>
        <v>131</v>
      </c>
      <c r="E145">
        <f>[1]!YBSCEN($D$11,"0y","Market","ProjectedCPR","Swap",$D$10,"LMMSkew","","Model",100,0,0,"Immediate","ParShift|Y",$E$11,"Spread Change",0,100,"CPRPROJ",,,Sheet2!B$5,"Default",D145,,,"Default",,)</f>
        <v>9.76</v>
      </c>
      <c r="F145">
        <f t="shared" si="6"/>
        <v>0.99147839991443909</v>
      </c>
    </row>
    <row r="146" spans="4:11" x14ac:dyDescent="0.2">
      <c r="D146">
        <f t="shared" si="7"/>
        <v>132</v>
      </c>
      <c r="E146">
        <f>[1]!YBSCEN($D$11,"0y","Market","ProjectedCPR","Swap",$D$10,"LMMSkew","","Model",100,0,0,"Immediate","ParShift|Y",$E$11,"Spread Change",0,100,"CPRPROJ",,,Sheet2!B$5,"Default",D146,,,"Default",,)</f>
        <v>9.9410000000000007</v>
      </c>
      <c r="F146">
        <f t="shared" si="6"/>
        <v>0.99131252486008148</v>
      </c>
      <c r="H146" t="e">
        <f>H142/H145</f>
        <v>#DIV/0!</v>
      </c>
      <c r="I146" t="e">
        <f>I142/I145</f>
        <v>#DIV/0!</v>
      </c>
    </row>
    <row r="147" spans="4:11" x14ac:dyDescent="0.2">
      <c r="D147">
        <f t="shared" si="7"/>
        <v>133</v>
      </c>
      <c r="E147">
        <f>[1]!YBSCEN($D$11,"0y","Market","ProjectedCPR","Swap",$D$10,"LMMSkew","","Model",100,0,0,"Immediate","ParShift|Y",$E$11,"Spread Change",0,100,"CPRPROJ",,,Sheet2!B$5,"Default",D147,,,"Default",,)</f>
        <v>9.032</v>
      </c>
      <c r="F147">
        <f t="shared" si="6"/>
        <v>0.99214250034539875</v>
      </c>
    </row>
    <row r="148" spans="4:11" x14ac:dyDescent="0.2">
      <c r="D148">
        <f t="shared" si="7"/>
        <v>134</v>
      </c>
      <c r="E148">
        <f>[1]!YBSCEN($D$11,"0y","Market","ProjectedCPR","Swap",$D$10,"LMMSkew","","Model",100,0,0,"Immediate","ParShift|Y",$E$11,"Spread Change",0,100,"CPRPROJ",,,Sheet2!B$5,"Default",D148,,,"Default",,)</f>
        <v>9.1829999999999998</v>
      </c>
      <c r="F148">
        <f t="shared" si="6"/>
        <v>0.99200515569627501</v>
      </c>
      <c r="K148" t="s">
        <v>39</v>
      </c>
    </row>
    <row r="149" spans="4:11" x14ac:dyDescent="0.2">
      <c r="D149">
        <f t="shared" si="7"/>
        <v>135</v>
      </c>
      <c r="E149">
        <f>[1]!YBSCEN($D$11,"0y","Market","ProjectedCPR","Swap",$D$10,"LMMSkew","","Model",100,0,0,"Immediate","ParShift|Y",$E$11,"Spread Change",0,100,"CPRPROJ",,,Sheet2!B$5,"Default",D149,,,"Default",,)</f>
        <v>8.5359999999999996</v>
      </c>
      <c r="F149">
        <f t="shared" si="6"/>
        <v>0.99259217968257996</v>
      </c>
    </row>
    <row r="150" spans="4:11" x14ac:dyDescent="0.2">
      <c r="D150">
        <f t="shared" si="7"/>
        <v>136</v>
      </c>
      <c r="E150">
        <f>[1]!YBSCEN($D$11,"0y","Market","ProjectedCPR","Swap",$D$10,"LMMSkew","","Model",100,0,0,"Immediate","ParShift|Y",$E$11,"Spread Change",0,100,"CPRPROJ",,,Sheet2!B$5,"Default",D150,,,"Default",,)</f>
        <v>8.6590000000000007</v>
      </c>
      <c r="F150">
        <f t="shared" si="6"/>
        <v>0.99248087527699735</v>
      </c>
    </row>
    <row r="151" spans="4:11" x14ac:dyDescent="0.2">
      <c r="D151">
        <f t="shared" si="7"/>
        <v>137</v>
      </c>
      <c r="E151">
        <f>[1]!YBSCEN($D$11,"0y","Market","ProjectedCPR","Swap",$D$10,"LMMSkew","","Model",100,0,0,"Immediate","ParShift|Y",$E$11,"Spread Change",0,100,"CPRPROJ",,,Sheet2!B$5,"Default",D151,,,"Default",,)</f>
        <v>7.9550000000000001</v>
      </c>
      <c r="F151">
        <f t="shared" si="6"/>
        <v>0.99311608692555153</v>
      </c>
      <c r="K151" t="s">
        <v>39</v>
      </c>
    </row>
    <row r="152" spans="4:11" x14ac:dyDescent="0.2">
      <c r="D152">
        <f t="shared" si="7"/>
        <v>138</v>
      </c>
      <c r="E152">
        <f>[1]!YBSCEN($D$11,"0y","Market","ProjectedCPR","Swap",$D$10,"LMMSkew","","Model",100,0,0,"Immediate","ParShift|Y",$E$11,"Spread Change",0,100,"CPRPROJ",,,Sheet2!B$5,"Default",D152,,,"Default",,)</f>
        <v>7.8559999999999999</v>
      </c>
      <c r="F152">
        <f t="shared" si="6"/>
        <v>0.99320505614194021</v>
      </c>
    </row>
    <row r="153" spans="4:11" x14ac:dyDescent="0.2">
      <c r="D153">
        <f t="shared" si="7"/>
        <v>139</v>
      </c>
      <c r="E153">
        <f>[1]!YBSCEN($D$11,"0y","Market","ProjectedCPR","Swap",$D$10,"LMMSkew","","Model",100,0,0,"Immediate","ParShift|Y",$E$11,"Spread Change",0,100,"CPRPROJ",,,Sheet2!B$5,"Default",D153,,,"Default",,)</f>
        <v>8.9589999999999996</v>
      </c>
      <c r="F153">
        <f t="shared" si="6"/>
        <v>0.99220882383049114</v>
      </c>
    </row>
    <row r="154" spans="4:11" x14ac:dyDescent="0.2">
      <c r="D154">
        <f t="shared" si="7"/>
        <v>140</v>
      </c>
      <c r="E154">
        <f>[1]!YBSCEN($D$11,"0y","Market","ProjectedCPR","Swap",$D$10,"LMMSkew","","Model",100,0,0,"Immediate","ParShift|Y",$E$11,"Spread Change",0,100,"CPRPROJ",,,Sheet2!B$5,"Default",D154,,,"Default",,)</f>
        <v>9.2059999999999995</v>
      </c>
      <c r="F154">
        <f t="shared" si="6"/>
        <v>0.99198421728220099</v>
      </c>
      <c r="G154">
        <f>100*(1-PRODUCT(F143:F154))</f>
        <v>9.0645214519265558</v>
      </c>
      <c r="H154">
        <v>10.5</v>
      </c>
      <c r="I154">
        <v>14.8</v>
      </c>
      <c r="J154">
        <f>I154-H154</f>
        <v>4.3000000000000007</v>
      </c>
      <c r="K154">
        <v>7.1588190674600654</v>
      </c>
    </row>
    <row r="155" spans="4:11" x14ac:dyDescent="0.2">
      <c r="D155">
        <f t="shared" si="7"/>
        <v>141</v>
      </c>
      <c r="E155">
        <f>[1]!YBSCEN($D$11,"0y","Market","ProjectedCPR","Swap",$D$10,"LMMSkew","","Model",100,0,0,"Immediate","ParShift|Y",$E$11,"Spread Change",0,100,"CPRPROJ",,,Sheet2!B$5,"Default",D155,,,"Default",,)</f>
        <v>9.3970000000000002</v>
      </c>
      <c r="F155">
        <f t="shared" si="6"/>
        <v>0.99181014932486722</v>
      </c>
      <c r="H155">
        <v>11.289674428475749</v>
      </c>
      <c r="I155">
        <v>14.601159852769097</v>
      </c>
      <c r="J155">
        <f>I155-H155</f>
        <v>3.3114854242933482</v>
      </c>
      <c r="K155" t="s">
        <v>39</v>
      </c>
    </row>
    <row r="156" spans="4:11" x14ac:dyDescent="0.2">
      <c r="D156">
        <f t="shared" si="7"/>
        <v>142</v>
      </c>
      <c r="E156">
        <f>[1]!YBSCEN($D$11,"0y","Market","ProjectedCPR","Swap",$D$10,"LMMSkew","","Model",100,0,0,"Immediate","ParShift|Y",$E$11,"Spread Change",0,100,"CPRPROJ",,,Sheet2!B$5,"Default",D156,,,"Default",,)</f>
        <v>9.8059999999999992</v>
      </c>
      <c r="F156">
        <f t="shared" si="6"/>
        <v>0.99143627274840929</v>
      </c>
      <c r="H156" s="9">
        <f>H154/H155</f>
        <v>0.93005339228525785</v>
      </c>
      <c r="I156" s="9">
        <f>I154/I155</f>
        <v>1.0136181063173002</v>
      </c>
      <c r="J156">
        <f>J154/J155</f>
        <v>1.2985109245702313</v>
      </c>
    </row>
    <row r="157" spans="4:11" x14ac:dyDescent="0.2">
      <c r="D157">
        <f t="shared" si="7"/>
        <v>143</v>
      </c>
      <c r="E157">
        <f>[1]!YBSCEN($D$11,"0y","Market","ProjectedCPR","Swap",$D$10,"LMMSkew","","Model",100,0,0,"Immediate","ParShift|Y",$E$11,"Spread Change",0,100,"CPRPROJ",,,Sheet2!B$5,"Default",D157,,,"Default",,)</f>
        <v>9.5359999999999996</v>
      </c>
      <c r="F157">
        <f t="shared" si="6"/>
        <v>0.99168325999767548</v>
      </c>
    </row>
    <row r="158" spans="4:11" x14ac:dyDescent="0.2">
      <c r="D158">
        <f t="shared" si="7"/>
        <v>144</v>
      </c>
      <c r="E158">
        <f>[1]!YBSCEN($D$11,"0y","Market","ProjectedCPR","Swap",$D$10,"LMMSkew","","Model",100,0,0,"Immediate","ParShift|Y",$E$11,"Spread Change",0,100,"CPRPROJ",,,Sheet2!B$5,"Default",D158,,,"Default",,)</f>
        <v>9.7050000000000001</v>
      </c>
      <c r="F158">
        <f t="shared" si="6"/>
        <v>0.99152874352105258</v>
      </c>
      <c r="H158" t="e">
        <f>H154/H157</f>
        <v>#DIV/0!</v>
      </c>
      <c r="I158" t="e">
        <f>I154/I157</f>
        <v>#DIV/0!</v>
      </c>
    </row>
    <row r="159" spans="4:11" x14ac:dyDescent="0.2">
      <c r="D159">
        <f t="shared" si="7"/>
        <v>145</v>
      </c>
      <c r="E159">
        <f>[1]!YBSCEN($D$11,"0y","Market","ProjectedCPR","Swap",$D$10,"LMMSkew","","Model",100,0,0,"Immediate","ParShift|Y",$E$11,"Spread Change",0,100,"CPRPROJ",,,Sheet2!B$5,"Default",D159,,,"Default",,)</f>
        <v>8.8460000000000001</v>
      </c>
      <c r="F159">
        <f t="shared" si="6"/>
        <v>0.99231139287878301</v>
      </c>
    </row>
    <row r="160" spans="4:11" x14ac:dyDescent="0.2">
      <c r="D160">
        <f t="shared" si="7"/>
        <v>146</v>
      </c>
      <c r="E160">
        <f>[1]!YBSCEN($D$11,"0y","Market","ProjectedCPR","Swap",$D$10,"LMMSkew","","Model",100,0,0,"Immediate","ParShift|Y",$E$11,"Spread Change",0,100,"CPRPROJ",,,Sheet2!B$5,"Default",D160,,,"Default",,)</f>
        <v>8.984</v>
      </c>
      <c r="F160">
        <f t="shared" si="6"/>
        <v>0.99218611579866578</v>
      </c>
    </row>
    <row r="161" spans="4:11" x14ac:dyDescent="0.2">
      <c r="D161">
        <f t="shared" si="7"/>
        <v>147</v>
      </c>
      <c r="E161">
        <f>[1]!YBSCEN($D$11,"0y","Market","ProjectedCPR","Swap",$D$10,"LMMSkew","","Model",100,0,0,"Immediate","ParShift|Y",$E$11,"Spread Change",0,100,"CPRPROJ",,,,"Default",D161,,,"Default",,)</f>
        <v>8.3759999999999994</v>
      </c>
      <c r="F161">
        <f t="shared" si="6"/>
        <v>0.99273676075414652</v>
      </c>
    </row>
    <row r="162" spans="4:11" x14ac:dyDescent="0.2">
      <c r="D162">
        <f t="shared" si="7"/>
        <v>148</v>
      </c>
      <c r="E162">
        <f>[1]!YBSCEN($D$11,"0y","Market","ProjectedCPR","Swap",$D$10,"LMMSkew","","Model",100,0,0,"Immediate","ParShift|Y",$E$11,"Spread Change",0,100,"CPRPROJ",,,,"Default",D162,,,"Default",,)</f>
        <v>8.4909999999999997</v>
      </c>
      <c r="F162">
        <f t="shared" si="6"/>
        <v>0.9926328665274825</v>
      </c>
    </row>
    <row r="163" spans="4:11" x14ac:dyDescent="0.2">
      <c r="D163">
        <f t="shared" si="7"/>
        <v>149</v>
      </c>
      <c r="E163">
        <f>[1]!YBSCEN($D$11,"0y","Market","ProjectedCPR","Swap",$D$10,"LMMSkew","","Model",100,0,0,"Immediate","ParShift|Y",$E$11,"Spread Change",0,100,"CPRPROJ",,,,"Default",D163,,,"Default",,)</f>
        <v>7.8220000000000001</v>
      </c>
      <c r="F163">
        <f t="shared" si="6"/>
        <v>0.99323559101332659</v>
      </c>
    </row>
    <row r="164" spans="4:11" x14ac:dyDescent="0.2">
      <c r="D164">
        <f t="shared" si="7"/>
        <v>150</v>
      </c>
      <c r="E164">
        <f>[1]!YBSCEN($D$11,"0y","Market","ProjectedCPR","Swap",$D$10,"LMMSkew","","Model",100,0,0,"Immediate","ParShift|Y",$E$11,"Spread Change",0,100,"CPRPROJ",,,,"Default",D164,,,"Default",,)</f>
        <v>7.73</v>
      </c>
      <c r="F164">
        <f t="shared" si="6"/>
        <v>0.99331816304827436</v>
      </c>
    </row>
    <row r="165" spans="4:11" x14ac:dyDescent="0.2">
      <c r="D165">
        <f t="shared" si="7"/>
        <v>151</v>
      </c>
      <c r="E165">
        <f>[1]!YBSCEN($D$11,"0y","Market","ProjectedCPR","Swap",$D$10,"LMMSkew","","Model",100,0,0,"Immediate","ParShift|Y",$E$11,"Spread Change",0,100,"CPRPROJ",,,,"Default",D165,,,"Default",,)</f>
        <v>8.7639999999999993</v>
      </c>
      <c r="F165">
        <f t="shared" si="6"/>
        <v>0.99238575056316414</v>
      </c>
    </row>
    <row r="166" spans="4:11" x14ac:dyDescent="0.2">
      <c r="D166">
        <f t="shared" si="7"/>
        <v>152</v>
      </c>
      <c r="E166">
        <f>[1]!YBSCEN($D$11,"0y","Market","ProjectedCPR","Swap",$D$10,"LMMSkew","","Model",100,0,0,"Immediate","ParShift|Y",$E$11,"Spread Change",0,100,"CPRPROJ",,,,"Default",D166,,,"Default",,)</f>
        <v>8.9990000000000006</v>
      </c>
      <c r="F166">
        <f t="shared" si="6"/>
        <v>0.99217248823497328</v>
      </c>
      <c r="G166">
        <f>100*(1-PRODUCT(F155:F166))</f>
        <v>8.8736718940670922</v>
      </c>
      <c r="H166">
        <v>11</v>
      </c>
      <c r="I166">
        <v>15.7</v>
      </c>
      <c r="J166">
        <f>I166-H166</f>
        <v>4.6999999999999993</v>
      </c>
    </row>
    <row r="167" spans="4:11" x14ac:dyDescent="0.2">
      <c r="D167">
        <f t="shared" si="7"/>
        <v>153</v>
      </c>
      <c r="E167">
        <f>[1]!YBSCEN($D$11,"0y","Market","ProjectedCPR","Swap",$D$10,"LMMSkew","","Model",100,0,0,"Immediate","ParShift|Y",$E$11,"Spread Change",0,100,"CPRPROJ",,,,"Default",D167,,,"Default",,)</f>
        <v>9.1790000000000003</v>
      </c>
      <c r="F167">
        <f t="shared" si="6"/>
        <v>0.99200879666338659</v>
      </c>
      <c r="H167">
        <v>10.227503120310599</v>
      </c>
      <c r="I167">
        <v>12.607769236237464</v>
      </c>
      <c r="J167">
        <f>I167-H167</f>
        <v>2.3802661159268652</v>
      </c>
      <c r="K167">
        <v>6.880848698929487</v>
      </c>
    </row>
    <row r="168" spans="4:11" x14ac:dyDescent="0.2">
      <c r="D168">
        <f t="shared" si="7"/>
        <v>154</v>
      </c>
      <c r="E168">
        <f>[1]!YBSCEN($D$11,"0y","Market","ProjectedCPR","Swap",$D$10,"LMMSkew","","Model",100,0,0,"Immediate","ParShift|Y",$E$11,"Spread Change",0,100,"CPRPROJ",,,,"Default",D168,,,"Default",,)</f>
        <v>9.5619999999999994</v>
      </c>
      <c r="H168" s="9">
        <f>H166/H167</f>
        <v>1.075531326717986</v>
      </c>
      <c r="I168" s="9">
        <f>I166/I167</f>
        <v>1.2452639087710133</v>
      </c>
      <c r="J168">
        <f>J166/J167</f>
        <v>1.9745691326492036</v>
      </c>
    </row>
    <row r="169" spans="4:11" x14ac:dyDescent="0.2">
      <c r="D169">
        <f t="shared" si="7"/>
        <v>155</v>
      </c>
      <c r="E169">
        <f>[1]!YBSCEN($D$11,"0y","Market","ProjectedCPR","Swap",$D$10,"LMMSkew","","Model",100,0,0,"Immediate","ParShift|Y",$E$11,"Spread Change",0,100,"CPRPROJ",,,,"Default",D169,,,"Default",,)</f>
        <v>9.3049999999999997</v>
      </c>
    </row>
    <row r="170" spans="4:11" x14ac:dyDescent="0.2">
      <c r="D170">
        <f t="shared" si="7"/>
        <v>156</v>
      </c>
      <c r="E170">
        <f>[1]!YBSCEN($D$11,"0y","Market","ProjectedCPR","Swap",$D$10,"LMMSkew","","Model",100,0,0,"Immediate","ParShift|Y",$E$11,"Spread Change",0,100,"CPRPROJ",,,,"Default",D170,,,"Default",,)</f>
        <v>9.4610000000000003</v>
      </c>
    </row>
    <row r="171" spans="4:11" x14ac:dyDescent="0.2">
      <c r="D171">
        <f t="shared" si="7"/>
        <v>157</v>
      </c>
      <c r="E171">
        <f>[1]!YBSCEN($D$11,"0y","Market","ProjectedCPR","Swap",$D$10,"LMMSkew","","Model",100,0,0,"Immediate","ParShift|Y",$E$11,"Spread Change",0,100,"CPRPROJ",,,,"Default",D171,,,"Default",,)</f>
        <v>8.6530000000000005</v>
      </c>
    </row>
    <row r="172" spans="4:11" x14ac:dyDescent="0.2">
      <c r="D172">
        <f t="shared" si="7"/>
        <v>158</v>
      </c>
      <c r="E172">
        <f>[1]!YBSCEN($D$11,"0y","Market","ProjectedCPR","Swap",$D$10,"LMMSkew","","Model",100,0,0,"Immediate","ParShift|Y",$E$11,"Spread Change",0,100,"CPRPROJ",,,,"Default",D172,,,"Default",,)</f>
        <v>8.7759999999999998</v>
      </c>
      <c r="H172" t="s">
        <v>39</v>
      </c>
    </row>
    <row r="173" spans="4:11" x14ac:dyDescent="0.2">
      <c r="D173">
        <f t="shared" si="7"/>
        <v>159</v>
      </c>
      <c r="E173">
        <f>[1]!YBSCEN($D$11,"0y","Market","ProjectedCPR","Swap",$D$10,"LMMSkew","","Model",100,0,0,"Immediate","ParShift|Y",$E$11,"Spread Change",0,100,"CPRPROJ",,,,"Default",D173,,,"Default",,)</f>
        <v>8.2080000000000002</v>
      </c>
    </row>
    <row r="174" spans="4:11" x14ac:dyDescent="0.2">
      <c r="D174">
        <f t="shared" si="7"/>
        <v>160</v>
      </c>
      <c r="E174">
        <f>[1]!YBSCEN($D$11,"0y","Market","ProjectedCPR","Swap",$D$10,"LMMSkew","","Model",100,0,0,"Immediate","ParShift|Y",$E$11,"Spread Change",0,100,"CPRPROJ",,,,"Default",D174,,,"Default",,)</f>
        <v>8.3130000000000006</v>
      </c>
      <c r="G174" t="s">
        <v>39</v>
      </c>
    </row>
    <row r="175" spans="4:11" x14ac:dyDescent="0.2">
      <c r="D175">
        <f t="shared" si="7"/>
        <v>161</v>
      </c>
      <c r="E175">
        <f>[1]!YBSCEN($D$11,"0y","Market","ProjectedCPR","Swap",$D$10,"LMMSkew","","Model",100,0,0,"Immediate","ParShift|Y",$E$11,"Spread Change",0,100,"CPRPROJ",,,,"Default",D175,,,"Default",,)</f>
        <v>7.6769999999999996</v>
      </c>
    </row>
    <row r="176" spans="4:11" x14ac:dyDescent="0.2">
      <c r="D176">
        <f t="shared" si="7"/>
        <v>162</v>
      </c>
      <c r="E176">
        <f>[1]!YBSCEN($D$11,"0y","Market","ProjectedCPR","Swap",$D$10,"LMMSkew","","Model",100,0,0,"Immediate","ParShift|Y",$E$11,"Spread Change",0,100,"CPRPROJ",,,,"Default",D176,,,"Default",,)</f>
        <v>7.593</v>
      </c>
    </row>
    <row r="177" spans="4:5" x14ac:dyDescent="0.2">
      <c r="D177">
        <f t="shared" si="7"/>
        <v>163</v>
      </c>
      <c r="E177">
        <f>[1]!YBSCEN($D$11,"0y","Market","ProjectedCPR","Swap",$D$10,"LMMSkew","","Model",100,0,0,"Immediate","ParShift|Y",$E$11,"Spread Change",0,100,"CPRPROJ",,,,"Default",D177,,,"Default",,)</f>
        <v>8.5579999999999998</v>
      </c>
    </row>
    <row r="178" spans="4:5" x14ac:dyDescent="0.2">
      <c r="D178">
        <f t="shared" si="7"/>
        <v>164</v>
      </c>
      <c r="E178">
        <f>[1]!YBSCEN($D$11,"0y","Market","ProjectedCPR","Swap",$D$10,"LMMSkew","","Model",100,0,0,"Immediate","ParShift|Y",$E$11,"Spread Change",0,100,"CPRPROJ",,,,"Default",D178,,,"Default",,)</f>
        <v>8.7810000000000006</v>
      </c>
    </row>
    <row r="179" spans="4:5" x14ac:dyDescent="0.2">
      <c r="D179">
        <f t="shared" si="7"/>
        <v>165</v>
      </c>
      <c r="E179">
        <f>[1]!YBSCEN($D$11,"0y","Market","ProjectedCPR","Swap",$D$10,"LMMSkew","","Model",100,0,0,"Immediate","ParShift|Y",$E$11,"Spread Change",0,100,"CPRPROJ",,,,"Default",D179,,,"Default",,)</f>
        <v>8.9499999999999993</v>
      </c>
    </row>
    <row r="180" spans="4:5" x14ac:dyDescent="0.2">
      <c r="D180">
        <f t="shared" si="7"/>
        <v>166</v>
      </c>
      <c r="E180">
        <f>[1]!YBSCEN($D$11,"0y","Market","ProjectedCPR","Swap",$D$10,"LMMSkew","","Model",100,0,0,"Immediate","ParShift|Y",$E$11,"Spread Change",0,100,"CPRPROJ",,,,"Default",D180,,,"Default",,)</f>
        <v>9.3070000000000004</v>
      </c>
    </row>
    <row r="181" spans="4:5" x14ac:dyDescent="0.2">
      <c r="D181">
        <f t="shared" si="7"/>
        <v>167</v>
      </c>
      <c r="E181">
        <f>[1]!YBSCEN($D$11,"0y","Market","ProjectedCPR","Swap",$D$10,"LMMSkew","","Model",100,0,0,"Immediate","ParShift|Y",$E$11,"Spread Change",0,100,"CPRPROJ",,,,"Default",D181,,,"Default",,)</f>
        <v>9.0640000000000001</v>
      </c>
    </row>
    <row r="182" spans="4:5" x14ac:dyDescent="0.2">
      <c r="D182">
        <f t="shared" si="7"/>
        <v>168</v>
      </c>
      <c r="E182">
        <f>[1]!YBSCEN($D$11,"0y","Market","ProjectedCPR","Swap",$D$10,"LMMSkew","","Model",100,0,0,"Immediate","ParShift|Y",$E$11,"Spread Change",0,100,"CPRPROJ",,,,"Default",D182,,,"Default",,)</f>
        <v>9.2040000000000006</v>
      </c>
    </row>
    <row r="183" spans="4:5" x14ac:dyDescent="0.2">
      <c r="D183">
        <f t="shared" si="7"/>
        <v>169</v>
      </c>
      <c r="E183">
        <f>[1]!YBSCEN($D$11,"0y","Market","ProjectedCPR","Swap",$D$10,"LMMSkew","","Model",100,0,0,"Immediate","ParShift|Y",$E$11,"Spread Change",0,100,"CPRPROJ",,,,"Default",D183,,,"Default",,)</f>
        <v>8.4469999999999992</v>
      </c>
    </row>
    <row r="184" spans="4:5" x14ac:dyDescent="0.2">
      <c r="D184">
        <f t="shared" si="7"/>
        <v>170</v>
      </c>
      <c r="E184">
        <f>[1]!YBSCEN($D$11,"0y","Market","ProjectedCPR","Swap",$D$10,"LMMSkew","","Model",100,0,0,"Immediate","ParShift|Y",$E$11,"Spread Change",0,100,"CPRPROJ",,,,"Default",D184,,,"Default",,)</f>
        <v>8.5530000000000008</v>
      </c>
    </row>
    <row r="185" spans="4:5" x14ac:dyDescent="0.2">
      <c r="D185">
        <f t="shared" si="7"/>
        <v>171</v>
      </c>
      <c r="E185">
        <f>[1]!YBSCEN($D$11,"0y","Market","ProjectedCPR","Swap",$D$10,"LMMSkew","","Model",100,0,0,"Immediate","ParShift|Y",$E$11,"Spread Change",0,100,"CPRPROJ",,,,"Default",D185,,,"Default",,)</f>
        <v>8.0259999999999998</v>
      </c>
    </row>
    <row r="186" spans="4:5" x14ac:dyDescent="0.2">
      <c r="D186">
        <f t="shared" si="7"/>
        <v>172</v>
      </c>
      <c r="E186">
        <f>[1]!YBSCEN($D$11,"0y","Market","ProjectedCPR","Swap",$D$10,"LMMSkew","","Model",100,0,0,"Immediate","ParShift|Y",$E$11,"Spread Change",0,100,"CPRPROJ",,,,"Default",D186,,,"Default",,)</f>
        <v>8.1210000000000004</v>
      </c>
    </row>
    <row r="187" spans="4:5" x14ac:dyDescent="0.2">
      <c r="D187">
        <f t="shared" si="7"/>
        <v>173</v>
      </c>
      <c r="E187">
        <f>[1]!YBSCEN($D$11,"0y","Market","ProjectedCPR","Swap",$D$10,"LMMSkew","","Model",100,0,0,"Immediate","ParShift|Y",$E$11,"Spread Change",0,100,"CPRPROJ",,,,"Default",D187,,,"Default",,)</f>
        <v>7.5190000000000001</v>
      </c>
    </row>
    <row r="188" spans="4:5" x14ac:dyDescent="0.2">
      <c r="D188">
        <f t="shared" si="7"/>
        <v>174</v>
      </c>
      <c r="E188">
        <f>[1]!YBSCEN($D$11,"0y","Market","ProjectedCPR","Swap",$D$10,"LMMSkew","","Model",100,0,0,"Immediate","ParShift|Y",$E$11,"Spread Change",0,100,"CPRPROJ",,,,"Default",D188,,,"Default",,)</f>
        <v>7.4489999999999998</v>
      </c>
    </row>
    <row r="189" spans="4:5" x14ac:dyDescent="0.2">
      <c r="D189">
        <f t="shared" si="7"/>
        <v>175</v>
      </c>
      <c r="E189">
        <f>[1]!YBSCEN($D$11,"0y","Market","ProjectedCPR","Swap",$D$10,"LMMSkew","","Model",100,0,0,"Immediate","ParShift|Y",$E$11,"Spread Change",0,100,"CPRPROJ",,,,"Default",D189,,,"Default",,)</f>
        <v>8.3450000000000006</v>
      </c>
    </row>
    <row r="190" spans="4:5" x14ac:dyDescent="0.2">
      <c r="D190">
        <f t="shared" si="7"/>
        <v>176</v>
      </c>
      <c r="E190">
        <f>[1]!YBSCEN($D$11,"0y","Market","ProjectedCPR","Swap",$D$10,"LMMSkew","","Model",100,0,0,"Immediate","ParShift|Y",$E$11,"Spread Change",0,100,"CPRPROJ",,,,"Default",D190,,,"Default",,)</f>
        <v>8.5619999999999994</v>
      </c>
    </row>
    <row r="191" spans="4:5" x14ac:dyDescent="0.2">
      <c r="D191">
        <f t="shared" si="7"/>
        <v>177</v>
      </c>
      <c r="E191">
        <f>[1]!YBSCEN($D$11,"0y","Market","ProjectedCPR","Swap",$D$10,"LMMSkew","","Model",100,0,0,"Immediate","ParShift|Y",$E$11,"Spread Change",0,100,"CPRPROJ",,,,"Default",D191,,,"Default",,)</f>
        <v>8.7260000000000009</v>
      </c>
    </row>
    <row r="192" spans="4:5" x14ac:dyDescent="0.2">
      <c r="D192">
        <f t="shared" si="7"/>
        <v>178</v>
      </c>
      <c r="E192">
        <f>[1]!YBSCEN($D$11,"0y","Market","ProjectedCPR","Swap",$D$10,"LMMSkew","","Model",100,0,0,"Immediate","ParShift|Y",$E$11,"Spread Change",0,100,"CPRPROJ",,,,"Default",D192,,,"Default",,)</f>
        <v>9.0579999999999998</v>
      </c>
    </row>
    <row r="193" spans="4:5" x14ac:dyDescent="0.2">
      <c r="D193">
        <f t="shared" si="7"/>
        <v>179</v>
      </c>
      <c r="E193">
        <f>[1]!YBSCEN($D$11,"0y","Market","ProjectedCPR","Swap",$D$10,"LMMSkew","","Model",100,0,0,"Immediate","ParShift|Y",$E$11,"Spread Change",0,100,"CPRPROJ",,,,"Default",D193,,,"Default",,)</f>
        <v>8.8330000000000002</v>
      </c>
    </row>
    <row r="194" spans="4:5" x14ac:dyDescent="0.2">
      <c r="D194">
        <f t="shared" si="7"/>
        <v>180</v>
      </c>
      <c r="E194">
        <f>[1]!YBSCEN($D$11,"0y","Market","ProjectedCPR","Swap",$D$10,"LMMSkew","","Model",100,0,0,"Immediate","ParShift|Y",$E$11,"Spread Change",0,100,"CPRPROJ",,,,"Default",D194,,,"Default",,)</f>
        <v>8.9619999999999997</v>
      </c>
    </row>
    <row r="195" spans="4:5" x14ac:dyDescent="0.2">
      <c r="D195">
        <f t="shared" si="7"/>
        <v>181</v>
      </c>
      <c r="E195">
        <f>[1]!YBSCEN($D$11,"0y","Market","ProjectedCPR","Swap",$D$10,"LMMSkew","","Model",100,0,0,"Immediate","ParShift|Y",$E$11,"Spread Change",0,100,"CPRPROJ",,,,"Default",D195,,,"Default",,)</f>
        <v>8.2609999999999992</v>
      </c>
    </row>
    <row r="196" spans="4:5" x14ac:dyDescent="0.2">
      <c r="D196">
        <f t="shared" si="7"/>
        <v>182</v>
      </c>
      <c r="E196">
        <f>[1]!YBSCEN($D$11,"0y","Market","ProjectedCPR","Swap",$D$10,"LMMSkew","","Model",100,0,0,"Immediate","ParShift|Y",$E$11,"Spread Change",0,100,"CPRPROJ",,,,"Default",D196,,,"Default",,)</f>
        <v>8.3529999999999998</v>
      </c>
    </row>
    <row r="197" spans="4:5" x14ac:dyDescent="0.2">
      <c r="D197">
        <f t="shared" si="7"/>
        <v>183</v>
      </c>
      <c r="E197">
        <f>[1]!YBSCEN($D$11,"0y","Market","ProjectedCPR","Swap",$D$10,"LMMSkew","","Model",100,0,0,"Immediate","ParShift|Y",$E$11,"Spread Change",0,100,"CPRPROJ",,,,"Default",D197,,,"Default",,)</f>
        <v>7.8849999999999998</v>
      </c>
    </row>
    <row r="198" spans="4:5" x14ac:dyDescent="0.2">
      <c r="D198">
        <f t="shared" si="7"/>
        <v>184</v>
      </c>
      <c r="E198">
        <f>[1]!YBSCEN($D$11,"0y","Market","ProjectedCPR","Swap",$D$10,"LMMSkew","","Model",100,0,0,"Immediate","ParShift|Y",$E$11,"Spread Change",0,100,"CPRPROJ",,,,"Default",D198,,,"Default",,)</f>
        <v>7.9930000000000003</v>
      </c>
    </row>
    <row r="199" spans="4:5" x14ac:dyDescent="0.2">
      <c r="D199">
        <f t="shared" si="7"/>
        <v>185</v>
      </c>
      <c r="E199">
        <f>[1]!YBSCEN($D$11,"0y","Market","ProjectedCPR","Swap",$D$10,"LMMSkew","","Model",100,0,0,"Immediate","ParShift|Y",$E$11,"Spread Change",0,100,"CPRPROJ",,,,"Default",D199,,,"Default",,)</f>
        <v>7.4429999999999996</v>
      </c>
    </row>
    <row r="200" spans="4:5" x14ac:dyDescent="0.2">
      <c r="D200">
        <f t="shared" si="7"/>
        <v>186</v>
      </c>
      <c r="E200">
        <f>[1]!YBSCEN($D$11,"0y","Market","ProjectedCPR","Swap",$D$10,"LMMSkew","","Model",100,0,0,"Immediate","ParShift|Y",$E$11,"Spread Change",0,100,"CPRPROJ",,,,"Default",D200,,,"Default",,)</f>
        <v>7.4080000000000004</v>
      </c>
    </row>
    <row r="201" spans="4:5" x14ac:dyDescent="0.2">
      <c r="D201">
        <f t="shared" si="7"/>
        <v>187</v>
      </c>
      <c r="E201">
        <f>[1]!YBSCEN($D$11,"0y","Market","ProjectedCPR","Swap",$D$10,"LMMSkew","","Model",100,0,0,"Immediate","ParShift|Y",$E$11,"Spread Change",0,100,"CPRPROJ",,,,"Default",D201,,,"Default",,)</f>
        <v>8.2469999999999999</v>
      </c>
    </row>
    <row r="202" spans="4:5" x14ac:dyDescent="0.2">
      <c r="D202">
        <f t="shared" si="7"/>
        <v>188</v>
      </c>
      <c r="E202">
        <f>[1]!YBSCEN($D$11,"0y","Market","ProjectedCPR","Swap",$D$10,"LMMSkew","","Model",100,0,0,"Immediate","ParShift|Y",$E$11,"Spread Change",0,100,"CPRPROJ",,,,"Default",D202,,,"Default",,)</f>
        <v>8.4789999999999992</v>
      </c>
    </row>
    <row r="203" spans="4:5" x14ac:dyDescent="0.2">
      <c r="D203">
        <f t="shared" si="7"/>
        <v>189</v>
      </c>
      <c r="E203">
        <f>[1]!YBSCEN($D$11,"0y","Market","ProjectedCPR","Swap",$D$10,"LMMSkew","","Model",100,0,0,"Immediate","ParShift|Y",$E$11,"Spread Change",0,100,"CPRPROJ",,,,"Default",D203,,,"Default",,)</f>
        <v>8.6560000000000006</v>
      </c>
    </row>
    <row r="204" spans="4:5" x14ac:dyDescent="0.2">
      <c r="D204">
        <f t="shared" si="7"/>
        <v>190</v>
      </c>
      <c r="E204">
        <f>[1]!YBSCEN($D$11,"0y","Market","ProjectedCPR","Swap",$D$10,"LMMSkew","","Model",100,0,0,"Immediate","ParShift|Y",$E$11,"Spread Change",0,100,"CPRPROJ",,,,"Default",D204,,,"Default",,)</f>
        <v>8.9809999999999999</v>
      </c>
    </row>
    <row r="205" spans="4:5" x14ac:dyDescent="0.2">
      <c r="D205">
        <f t="shared" si="7"/>
        <v>191</v>
      </c>
      <c r="E205">
        <f>[1]!YBSCEN($D$11,"0y","Market","ProjectedCPR","Swap",$D$10,"LMMSkew","","Model",100,0,0,"Immediate","ParShift|Y",$E$11,"Spread Change",0,100,"CPRPROJ",,,,"Default",D205,,,"Default",,)</f>
        <v>8.7940000000000005</v>
      </c>
    </row>
    <row r="206" spans="4:5" x14ac:dyDescent="0.2">
      <c r="D206">
        <f t="shared" si="7"/>
        <v>192</v>
      </c>
      <c r="E206">
        <f>[1]!YBSCEN($D$11,"0y","Market","ProjectedCPR","Swap",$D$10,"LMMSkew","","Model",100,0,0,"Immediate","ParShift|Y",$E$11,"Spread Change",0,100,"CPRPROJ",,,,"Default",D206,,,"Default",,)</f>
        <v>8.9260000000000002</v>
      </c>
    </row>
    <row r="207" spans="4:5" x14ac:dyDescent="0.2">
      <c r="D207">
        <f t="shared" si="7"/>
        <v>193</v>
      </c>
      <c r="E207">
        <f>[1]!YBSCEN($D$11,"0y","Market","ProjectedCPR","Swap",$D$10,"LMMSkew","","Model",100,0,0,"Immediate","ParShift|Y",$E$11,"Spread Change",0,100,"CPRPROJ",,,,"Default",D207,,,"Default",,)</f>
        <v>8.3079999999999998</v>
      </c>
    </row>
    <row r="208" spans="4:5" x14ac:dyDescent="0.2">
      <c r="D208">
        <f t="shared" si="7"/>
        <v>194</v>
      </c>
      <c r="E208">
        <f>[1]!YBSCEN($D$11,"0y","Market","ProjectedCPR","Swap",$D$10,"LMMSkew","","Model",100,0,0,"Immediate","ParShift|Y",$E$11,"Spread Change",0,100,"CPRPROJ",,,,"Default",D208,,,"Default",,)</f>
        <v>8.3960000000000008</v>
      </c>
    </row>
    <row r="209" spans="4:5" x14ac:dyDescent="0.2">
      <c r="D209">
        <f t="shared" ref="D209:D242" si="8">D208+1</f>
        <v>195</v>
      </c>
      <c r="E209">
        <f>[1]!YBSCEN($D$11,"0y","Market","ProjectedCPR","Swap",$D$10,"LMMSkew","","Model",100,0,0,"Immediate","ParShift|Y",$E$11,"Spread Change",0,100,"CPRPROJ",,,,"Default",D209,,,"Default",,)</f>
        <v>7.9960000000000004</v>
      </c>
    </row>
    <row r="210" spans="4:5" x14ac:dyDescent="0.2">
      <c r="D210">
        <f t="shared" si="8"/>
        <v>196</v>
      </c>
      <c r="E210">
        <f>[1]!YBSCEN($D$11,"0y","Market","ProjectedCPR","Swap",$D$10,"LMMSkew","","Model",100,0,0,"Immediate","ParShift|Y",$E$11,"Spread Change",0,100,"CPRPROJ",,,,"Default",D210,,,"Default",,)</f>
        <v>8.0950000000000006</v>
      </c>
    </row>
    <row r="211" spans="4:5" x14ac:dyDescent="0.2">
      <c r="D211">
        <f t="shared" si="8"/>
        <v>197</v>
      </c>
      <c r="E211">
        <f>[1]!YBSCEN($D$11,"0y","Market","ProjectedCPR","Swap",$D$10,"LMMSkew","","Model",100,0,0,"Immediate","ParShift|Y",$E$11,"Spread Change",0,100,"CPRPROJ",,,,"Default",D211,,,"Default",,)</f>
        <v>7.5709999999999997</v>
      </c>
    </row>
    <row r="212" spans="4:5" x14ac:dyDescent="0.2">
      <c r="D212">
        <f t="shared" si="8"/>
        <v>198</v>
      </c>
      <c r="E212">
        <f>[1]!YBSCEN($D$11,"0y","Market","ProjectedCPR","Swap",$D$10,"LMMSkew","","Model",100,0,0,"Immediate","ParShift|Y",$E$11,"Spread Change",0,100,"CPRPROJ",,,,"Default",D212,,,"Default",,)</f>
        <v>7.5529999999999999</v>
      </c>
    </row>
    <row r="213" spans="4:5" x14ac:dyDescent="0.2">
      <c r="D213">
        <f t="shared" si="8"/>
        <v>199</v>
      </c>
      <c r="E213">
        <f>[1]!YBSCEN($D$11,"0y","Market","ProjectedCPR","Swap",$D$10,"LMMSkew","","Model",100,0,0,"Immediate","ParShift|Y",$E$11,"Spread Change",0,100,"CPRPROJ",,,,"Default",D213,,,"Default",,)</f>
        <v>8.3040000000000003</v>
      </c>
    </row>
    <row r="214" spans="4:5" x14ac:dyDescent="0.2">
      <c r="D214">
        <f t="shared" si="8"/>
        <v>200</v>
      </c>
      <c r="E214">
        <f>[1]!YBSCEN($D$11,"0y","Market","ProjectedCPR","Swap",$D$10,"LMMSkew","","Model",100,0,0,"Immediate","ParShift|Y",$E$11,"Spread Change",0,100,"CPRPROJ",,,,"Default",D214,,,"Default",,)</f>
        <v>8.5299999999999994</v>
      </c>
    </row>
    <row r="215" spans="4:5" x14ac:dyDescent="0.2">
      <c r="D215">
        <f t="shared" si="8"/>
        <v>201</v>
      </c>
      <c r="E215">
        <f>[1]!YBSCEN($D$11,"0y","Market","ProjectedCPR","Swap",$D$10,"LMMSkew","","Model",100,0,0,"Immediate","ParShift|Y",$E$11,"Spread Change",0,100,"CPRPROJ",,,,"Default",D215,,,"Default",,)</f>
        <v>8.7010000000000005</v>
      </c>
    </row>
    <row r="216" spans="4:5" x14ac:dyDescent="0.2">
      <c r="D216">
        <f t="shared" si="8"/>
        <v>202</v>
      </c>
      <c r="E216">
        <f>[1]!YBSCEN($D$11,"0y","Market","ProjectedCPR","Swap",$D$10,"LMMSkew","","Model",100,0,0,"Immediate","ParShift|Y",$E$11,"Spread Change",0,100,"CPRPROJ",,,,"Default",D216,,,"Default",,)</f>
        <v>8.9949999999999992</v>
      </c>
    </row>
    <row r="217" spans="4:5" x14ac:dyDescent="0.2">
      <c r="D217">
        <f t="shared" si="8"/>
        <v>203</v>
      </c>
      <c r="E217">
        <f>[1]!YBSCEN($D$11,"0y","Market","ProjectedCPR","Swap",$D$10,"LMMSkew","","Model",100,0,0,"Immediate","ParShift|Y",$E$11,"Spread Change",0,100,"CPRPROJ",,,,"Default",D217,,,"Default",,)</f>
        <v>8.8230000000000004</v>
      </c>
    </row>
    <row r="218" spans="4:5" x14ac:dyDescent="0.2">
      <c r="D218">
        <f t="shared" si="8"/>
        <v>204</v>
      </c>
      <c r="E218">
        <f>[1]!YBSCEN($D$11,"0y","Market","ProjectedCPR","Swap",$D$10,"LMMSkew","","Model",100,0,0,"Immediate","ParShift|Y",$E$11,"Spread Change",0,100,"CPRPROJ",,,,"Default",D218,,,"Default",,)</f>
        <v>8.9359999999999999</v>
      </c>
    </row>
    <row r="219" spans="4:5" x14ac:dyDescent="0.2">
      <c r="D219">
        <f t="shared" si="8"/>
        <v>205</v>
      </c>
      <c r="E219">
        <f>[1]!YBSCEN($D$11,"0y","Market","ProjectedCPR","Swap",$D$10,"LMMSkew","","Model",100,0,0,"Immediate","ParShift|Y",$E$11,"Spread Change",0,100,"CPRPROJ",,,,"Default",D219,,,"Default",,)</f>
        <v>8.3810000000000002</v>
      </c>
    </row>
    <row r="220" spans="4:5" x14ac:dyDescent="0.2">
      <c r="D220">
        <f t="shared" si="8"/>
        <v>206</v>
      </c>
      <c r="E220">
        <f>[1]!YBSCEN($D$11,"0y","Market","ProjectedCPR","Swap",$D$10,"LMMSkew","","Model",100,0,0,"Immediate","ParShift|Y",$E$11,"Spread Change",0,100,"CPRPROJ",,,,"Default",D220,,,"Default",,)</f>
        <v>8.4410000000000007</v>
      </c>
    </row>
    <row r="221" spans="4:5" x14ac:dyDescent="0.2">
      <c r="D221">
        <f t="shared" si="8"/>
        <v>207</v>
      </c>
      <c r="E221">
        <f>[1]!YBSCEN($D$11,"0y","Market","ProjectedCPR","Swap",$D$10,"LMMSkew","","Model",100,0,0,"Immediate","ParShift|Y",$E$11,"Spread Change",0,100,"CPRPROJ",,,,"Default",D221,,,"Default",,)</f>
        <v>8.1</v>
      </c>
    </row>
    <row r="222" spans="4:5" x14ac:dyDescent="0.2">
      <c r="D222">
        <f t="shared" si="8"/>
        <v>208</v>
      </c>
      <c r="E222">
        <f>[1]!YBSCEN($D$11,"0y","Market","ProjectedCPR","Swap",$D$10,"LMMSkew","","Model",100,0,0,"Immediate","ParShift|Y",$E$11,"Spread Change",0,100,"CPRPROJ",,,,"Default",D222,,,"Default",,)</f>
        <v>8.1869999999999994</v>
      </c>
    </row>
    <row r="223" spans="4:5" x14ac:dyDescent="0.2">
      <c r="D223">
        <f t="shared" si="8"/>
        <v>209</v>
      </c>
      <c r="E223">
        <f>[1]!YBSCEN($D$11,"0y","Market","ProjectedCPR","Swap",$D$10,"LMMSkew","","Model",100,0,0,"Immediate","ParShift|Y",$E$11,"Spread Change",0,100,"CPRPROJ",,,,"Default",D223,,,"Default",,)</f>
        <v>7.6890000000000001</v>
      </c>
    </row>
    <row r="224" spans="4:5" x14ac:dyDescent="0.2">
      <c r="D224">
        <f t="shared" si="8"/>
        <v>210</v>
      </c>
      <c r="E224">
        <f>[1]!YBSCEN($D$11,"0y","Market","ProjectedCPR","Swap",$D$10,"LMMSkew","","Model",100,0,0,"Immediate","ParShift|Y",$E$11,"Spread Change",0,100,"CPRPROJ",,,,"Default",D224,,,"Default",,)</f>
        <v>7.6890000000000001</v>
      </c>
    </row>
    <row r="225" spans="4:5" x14ac:dyDescent="0.2">
      <c r="D225">
        <f t="shared" si="8"/>
        <v>211</v>
      </c>
      <c r="E225">
        <f>[1]!YBSCEN($D$11,"0y","Market","ProjectedCPR","Swap",$D$10,"LMMSkew","","Model",100,0,0,"Immediate","ParShift|Y",$E$11,"Spread Change",0,100,"CPRPROJ",,,,"Default",D225,,,"Default",,)</f>
        <v>8.3520000000000003</v>
      </c>
    </row>
    <row r="226" spans="4:5" x14ac:dyDescent="0.2">
      <c r="D226">
        <f t="shared" si="8"/>
        <v>212</v>
      </c>
      <c r="E226">
        <f>[1]!YBSCEN($D$11,"0y","Market","ProjectedCPR","Swap",$D$10,"LMMSkew","","Model",100,0,0,"Immediate","ParShift|Y",$E$11,"Spread Change",0,100,"CPRPROJ",,,,"Default",D226,,,"Default",,)</f>
        <v>8.5749999999999993</v>
      </c>
    </row>
    <row r="227" spans="4:5" x14ac:dyDescent="0.2">
      <c r="D227">
        <f t="shared" si="8"/>
        <v>213</v>
      </c>
      <c r="E227">
        <f>[1]!YBSCEN($D$11,"0y","Market","ProjectedCPR","Swap",$D$10,"LMMSkew","","Model",100,0,0,"Immediate","ParShift|Y",$E$11,"Spread Change",0,100,"CPRPROJ",,,,"Default",D227,,,"Default",,)</f>
        <v>8.7409999999999997</v>
      </c>
    </row>
    <row r="228" spans="4:5" x14ac:dyDescent="0.2">
      <c r="D228">
        <f t="shared" si="8"/>
        <v>214</v>
      </c>
      <c r="E228">
        <f>[1]!YBSCEN($D$11,"0y","Market","ProjectedCPR","Swap",$D$10,"LMMSkew","","Model",100,0,0,"Immediate","ParShift|Y",$E$11,"Spread Change",0,100,"CPRPROJ",,,,"Default",D228,,,"Default",,)</f>
        <v>9.0050000000000008</v>
      </c>
    </row>
    <row r="229" spans="4:5" x14ac:dyDescent="0.2">
      <c r="D229">
        <f t="shared" si="8"/>
        <v>215</v>
      </c>
      <c r="E229">
        <f>[1]!YBSCEN($D$11,"0y","Market","ProjectedCPR","Swap",$D$10,"LMMSkew","","Model",100,0,0,"Immediate","ParShift|Y",$E$11,"Spread Change",0,100,"CPRPROJ",,,,"Default",D229,,,"Default",,)</f>
        <v>8.8510000000000009</v>
      </c>
    </row>
    <row r="230" spans="4:5" x14ac:dyDescent="0.2">
      <c r="D230">
        <f t="shared" si="8"/>
        <v>216</v>
      </c>
      <c r="E230">
        <f>[1]!YBSCEN($D$11,"0y","Market","ProjectedCPR","Swap",$D$10,"LMMSkew","","Model",100,0,0,"Immediate","ParShift|Y",$E$11,"Spread Change",0,100,"CPRPROJ",,,,"Default",D230,,,"Default",,)</f>
        <v>8.9429999999999996</v>
      </c>
    </row>
    <row r="231" spans="4:5" x14ac:dyDescent="0.2">
      <c r="D231">
        <f t="shared" si="8"/>
        <v>217</v>
      </c>
      <c r="E231">
        <f>[1]!YBSCEN($D$11,"0y","Market","ProjectedCPR","Swap",$D$10,"LMMSkew","","Model",100,0,0,"Immediate","ParShift|Y",$E$11,"Spread Change",0,100,"CPRPROJ",,,,"Default",D231,,,"Default",,)</f>
        <v>8.4489999999999998</v>
      </c>
    </row>
    <row r="232" spans="4:5" x14ac:dyDescent="0.2">
      <c r="D232">
        <f t="shared" si="8"/>
        <v>218</v>
      </c>
      <c r="E232">
        <f>[1]!YBSCEN($D$11,"0y","Market","ProjectedCPR","Swap",$D$10,"LMMSkew","","Model",100,0,0,"Immediate","ParShift|Y",$E$11,"Spread Change",0,100,"CPRPROJ",,,,"Default",D232,,,"Default",,)</f>
        <v>8.4789999999999992</v>
      </c>
    </row>
    <row r="233" spans="4:5" x14ac:dyDescent="0.2">
      <c r="D233">
        <f t="shared" si="8"/>
        <v>219</v>
      </c>
      <c r="E233">
        <f>[1]!YBSCEN($D$11,"0y","Market","ProjectedCPR","Swap",$D$10,"LMMSkew","","Model",100,0,0,"Immediate","ParShift|Y",$E$11,"Spread Change",0,100,"CPRPROJ",,,,"Default",D233,,,"Default",,)</f>
        <v>8.1959999999999997</v>
      </c>
    </row>
    <row r="234" spans="4:5" x14ac:dyDescent="0.2">
      <c r="D234">
        <f t="shared" si="8"/>
        <v>220</v>
      </c>
      <c r="E234">
        <f>[1]!YBSCEN($D$11,"0y","Market","ProjectedCPR","Swap",$D$10,"LMMSkew","","Model",100,0,0,"Immediate","ParShift|Y",$E$11,"Spread Change",0,100,"CPRPROJ",,,,"Default",D234,,,"Default",,)</f>
        <v>8.2710000000000008</v>
      </c>
    </row>
    <row r="235" spans="4:5" x14ac:dyDescent="0.2">
      <c r="D235">
        <f t="shared" si="8"/>
        <v>221</v>
      </c>
      <c r="E235">
        <f>[1]!YBSCEN($D$11,"0y","Market","ProjectedCPR","Swap",$D$10,"LMMSkew","","Model",100,0,0,"Immediate","ParShift|Y",$E$11,"Spread Change",0,100,"CPRPROJ",,,,"Default",D235,,,"Default",,)</f>
        <v>7.7960000000000003</v>
      </c>
    </row>
    <row r="236" spans="4:5" x14ac:dyDescent="0.2">
      <c r="D236">
        <f t="shared" si="8"/>
        <v>222</v>
      </c>
      <c r="E236">
        <f>[1]!YBSCEN($D$11,"0y","Market","ProjectedCPR","Swap",$D$10,"LMMSkew","","Model",100,0,0,"Immediate","ParShift|Y",$E$11,"Spread Change",0,100,"CPRPROJ",,,,"Default",D236,,,"Default",,)</f>
        <v>7.8159999999999998</v>
      </c>
    </row>
    <row r="237" spans="4:5" x14ac:dyDescent="0.2">
      <c r="D237">
        <f t="shared" si="8"/>
        <v>223</v>
      </c>
      <c r="E237">
        <f>[1]!YBSCEN($D$11,"0y","Market","ProjectedCPR","Swap",$D$10,"LMMSkew","","Model",100,0,0,"Immediate","ParShift|Y",$E$11,"Spread Change",0,100,"CPRPROJ",,,,"Default",D237,,,"Default",,)</f>
        <v>8.3889999999999993</v>
      </c>
    </row>
    <row r="238" spans="4:5" x14ac:dyDescent="0.2">
      <c r="D238">
        <f t="shared" si="8"/>
        <v>224</v>
      </c>
      <c r="E238">
        <f>[1]!YBSCEN($D$11,"0y","Market","ProjectedCPR","Swap",$D$10,"LMMSkew","","Model",100,0,0,"Immediate","ParShift|Y",$E$11,"Spread Change",0,100,"CPRPROJ",,,,"Default",D238,,,"Default",,)</f>
        <v>8.6110000000000007</v>
      </c>
    </row>
    <row r="239" spans="4:5" x14ac:dyDescent="0.2">
      <c r="D239">
        <f t="shared" si="8"/>
        <v>225</v>
      </c>
      <c r="E239">
        <f>[1]!YBSCEN($D$11,"0y","Market","ProjectedCPR","Swap",$D$10,"LMMSkew","","Model",100,0,0,"Immediate","ParShift|Y",$E$11,"Spread Change",0,100,"CPRPROJ",,,,"Default",D239,,,"Default",,)</f>
        <v>8.7729999999999997</v>
      </c>
    </row>
    <row r="240" spans="4:5" x14ac:dyDescent="0.2">
      <c r="D240">
        <f t="shared" si="8"/>
        <v>226</v>
      </c>
      <c r="E240">
        <f>[1]!YBSCEN($D$11,"0y","Market","ProjectedCPR","Swap",$D$10,"LMMSkew","","Model",100,0,0,"Immediate","ParShift|Y",$E$11,"Spread Change",0,100,"CPRPROJ",,,,"Default",D240,,,"Default",,)</f>
        <v>9.0069999999999997</v>
      </c>
    </row>
    <row r="241" spans="4:5" x14ac:dyDescent="0.2">
      <c r="D241">
        <f t="shared" si="8"/>
        <v>227</v>
      </c>
      <c r="E241">
        <f>[1]!YBSCEN($D$11,"0y","Market","ProjectedCPR","Swap",$D$10,"LMMSkew","","Model",100,0,0,"Immediate","ParShift|Y",$E$11,"Spread Change",0,100,"CPRPROJ",,,,"Default",D241,,,"Default",,)</f>
        <v>8.8729999999999993</v>
      </c>
    </row>
    <row r="242" spans="4:5" x14ac:dyDescent="0.2">
      <c r="D242">
        <f t="shared" si="8"/>
        <v>228</v>
      </c>
      <c r="E242">
        <f>[1]!YBSCEN($D$11,"0y","Market","ProjectedCPR","Swap",$D$10,"LMMSkew","","Model",100,0,0,"Immediate","ParShift|Y",$E$11,"Spread Change",0,100,"CPRPROJ",,,,"Default",D242,,,"Default",,)</f>
        <v>8.9499999999999993</v>
      </c>
    </row>
    <row r="243" spans="4:5" x14ac:dyDescent="0.2">
      <c r="D243">
        <f>D242+1</f>
        <v>229</v>
      </c>
      <c r="E243">
        <f>[1]!YBSCEN($D$11,"0y","Market","ProjectedCPR","Swap",$D$10,"LMMSkew","","Model",100,0,0,"Immediate","ParShift|Y",$E$11,"Spread Change",0,100,"CPRPROJ",,,,"Default",D243,,,"Default",,)</f>
        <v>8.5259999999999998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5:J47"/>
  <sheetViews>
    <sheetView workbookViewId="0">
      <selection activeCell="C7" sqref="C7"/>
    </sheetView>
  </sheetViews>
  <sheetFormatPr defaultRowHeight="12.75" x14ac:dyDescent="0.2"/>
  <cols>
    <col min="2" max="2" width="28.5703125" bestFit="1" customWidth="1"/>
  </cols>
  <sheetData>
    <row r="5" spans="2:10" x14ac:dyDescent="0.2">
      <c r="B5" s="3" t="str">
        <f>[1]!YBMBSDIALS("CC+25","N","","Y",0,"N","Y","N","N","N",$C$6:$C$30,$D$6:$D$30,$E$6:$E$30,$F$6:$F$30,$G$6:$G$30,$H$6:$H$30,$I$6:$I$30,$J$6:$J$30,"","","","","","","",1,"","N","pssLookback(0)")</f>
        <v>YBDIALS_CC+25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2:10" x14ac:dyDescent="0.2">
      <c r="B6" s="5" t="s">
        <v>12</v>
      </c>
      <c r="C6" s="6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2:10" x14ac:dyDescent="0.2">
      <c r="B7" s="5" t="s">
        <v>13</v>
      </c>
      <c r="C7" s="6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2:10" x14ac:dyDescent="0.2">
      <c r="B8" s="5" t="s">
        <v>14</v>
      </c>
      <c r="C8" s="6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2:10" x14ac:dyDescent="0.2">
      <c r="B9" s="5" t="s">
        <v>15</v>
      </c>
      <c r="C9" s="6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2:10" x14ac:dyDescent="0.2">
      <c r="B10" s="5" t="s">
        <v>16</v>
      </c>
      <c r="C10" s="6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2:10" x14ac:dyDescent="0.2">
      <c r="B11" s="5" t="s">
        <v>17</v>
      </c>
      <c r="C11" s="6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2:10" x14ac:dyDescent="0.2">
      <c r="B12" s="5" t="s">
        <v>18</v>
      </c>
      <c r="C12" s="6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2:10" x14ac:dyDescent="0.2">
      <c r="B13" s="5" t="s">
        <v>19</v>
      </c>
      <c r="C13" s="6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2:10" x14ac:dyDescent="0.2">
      <c r="B14" s="5" t="s">
        <v>20</v>
      </c>
      <c r="C14" s="6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2:10" x14ac:dyDescent="0.2">
      <c r="B15" s="5" t="s">
        <v>21</v>
      </c>
      <c r="C15" s="6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2:10" x14ac:dyDescent="0.2">
      <c r="B16" s="5" t="s">
        <v>22</v>
      </c>
      <c r="C16" s="6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2:10" x14ac:dyDescent="0.2">
      <c r="B17" s="5" t="s">
        <v>23</v>
      </c>
      <c r="C17" s="6">
        <v>700</v>
      </c>
      <c r="D17" s="5">
        <v>700</v>
      </c>
      <c r="E17" s="5">
        <v>700</v>
      </c>
      <c r="F17" s="5">
        <v>700</v>
      </c>
      <c r="G17" s="5">
        <v>700</v>
      </c>
      <c r="H17" s="5">
        <v>700</v>
      </c>
      <c r="I17" s="5">
        <v>700</v>
      </c>
      <c r="J17" s="5">
        <v>700</v>
      </c>
    </row>
    <row r="18" spans="2:10" x14ac:dyDescent="0.2">
      <c r="B18" s="5" t="s">
        <v>24</v>
      </c>
      <c r="C18" s="6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</row>
    <row r="19" spans="2:10" x14ac:dyDescent="0.2">
      <c r="B19" s="5" t="s">
        <v>25</v>
      </c>
      <c r="C19" s="6">
        <v>80</v>
      </c>
      <c r="D19" s="5">
        <v>80</v>
      </c>
      <c r="E19" s="5">
        <v>80</v>
      </c>
      <c r="F19" s="5">
        <v>80</v>
      </c>
      <c r="G19" s="5">
        <v>80</v>
      </c>
      <c r="H19" s="5">
        <v>80</v>
      </c>
      <c r="I19" s="5">
        <v>80</v>
      </c>
      <c r="J19" s="5">
        <v>80</v>
      </c>
    </row>
    <row r="20" spans="2:10" x14ac:dyDescent="0.2">
      <c r="B20" s="5" t="s">
        <v>26</v>
      </c>
      <c r="C20" s="6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</row>
    <row r="21" spans="2:10" x14ac:dyDescent="0.2">
      <c r="B21" s="5" t="s">
        <v>27</v>
      </c>
      <c r="C21" s="6">
        <v>200</v>
      </c>
      <c r="D21" s="5">
        <v>200</v>
      </c>
      <c r="E21" s="5">
        <v>200</v>
      </c>
      <c r="F21" s="5">
        <v>200</v>
      </c>
      <c r="G21" s="5">
        <v>200</v>
      </c>
      <c r="H21" s="5">
        <v>200</v>
      </c>
      <c r="I21" s="5">
        <v>200</v>
      </c>
      <c r="J21" s="5">
        <v>200</v>
      </c>
    </row>
    <row r="22" spans="2:10" x14ac:dyDescent="0.2">
      <c r="B22" s="5" t="s">
        <v>28</v>
      </c>
      <c r="C22" s="6">
        <v>1</v>
      </c>
      <c r="D22" s="5"/>
      <c r="E22" s="5"/>
      <c r="F22" s="5">
        <v>1</v>
      </c>
      <c r="G22" s="5">
        <v>1</v>
      </c>
      <c r="H22" s="5">
        <v>1</v>
      </c>
      <c r="I22" s="5">
        <v>1</v>
      </c>
      <c r="J22" s="5">
        <v>1</v>
      </c>
    </row>
    <row r="23" spans="2:10" x14ac:dyDescent="0.2">
      <c r="B23" s="5" t="s">
        <v>29</v>
      </c>
      <c r="C23" s="6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2:10" x14ac:dyDescent="0.2">
      <c r="B24" s="5" t="s">
        <v>30</v>
      </c>
      <c r="C24" s="6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2:10" x14ac:dyDescent="0.2">
      <c r="B25" s="5" t="s">
        <v>31</v>
      </c>
      <c r="C25" s="6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2:10" x14ac:dyDescent="0.2">
      <c r="B26" s="5" t="s">
        <v>32</v>
      </c>
      <c r="C26" s="6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2:10" x14ac:dyDescent="0.2">
      <c r="B27" s="5" t="s">
        <v>33</v>
      </c>
      <c r="C27" s="6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2:10" x14ac:dyDescent="0.2">
      <c r="B28" s="5" t="s">
        <v>34</v>
      </c>
      <c r="C28" s="6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</row>
    <row r="29" spans="2:10" x14ac:dyDescent="0.2">
      <c r="B29" s="5" t="s">
        <v>35</v>
      </c>
      <c r="C29" s="6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</row>
    <row r="30" spans="2:10" x14ac:dyDescent="0.2">
      <c r="B30" s="5" t="s">
        <v>36</v>
      </c>
      <c r="C30" s="6">
        <v>1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</row>
    <row r="31" spans="2:10" x14ac:dyDescent="0.2"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2:10" x14ac:dyDescent="0.2"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3:10" x14ac:dyDescent="0.2"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3:10" x14ac:dyDescent="0.2"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3:10" x14ac:dyDescent="0.2"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3:10" x14ac:dyDescent="0.2"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3:10" x14ac:dyDescent="0.2"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3:10" x14ac:dyDescent="0.2"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3:10" x14ac:dyDescent="0.2"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3:10" x14ac:dyDescent="0.2"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3:10" x14ac:dyDescent="0.2"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3:10" x14ac:dyDescent="0.2"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3:10" x14ac:dyDescent="0.2"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6" spans="3:10" x14ac:dyDescent="0.2"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3:10" x14ac:dyDescent="0.2"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86"/>
  <sheetViews>
    <sheetView topLeftCell="A18" workbookViewId="0">
      <selection activeCell="A2" sqref="A2"/>
    </sheetView>
  </sheetViews>
  <sheetFormatPr defaultRowHeight="12.75" x14ac:dyDescent="0.2"/>
  <sheetData>
    <row r="1" spans="1:16" x14ac:dyDescent="0.2">
      <c r="A1" t="s">
        <v>42</v>
      </c>
      <c r="B1" t="s">
        <v>43</v>
      </c>
      <c r="C1" t="s">
        <v>44</v>
      </c>
      <c r="D1" t="s">
        <v>47</v>
      </c>
      <c r="E1" t="s">
        <v>45</v>
      </c>
      <c r="F1" t="s">
        <v>49</v>
      </c>
      <c r="G1" t="s">
        <v>46</v>
      </c>
    </row>
    <row r="7" spans="1:16" x14ac:dyDescent="0.2">
      <c r="E7" t="s">
        <v>39</v>
      </c>
    </row>
    <row r="12" spans="1:16" x14ac:dyDescent="0.2">
      <c r="J12" t="s">
        <v>48</v>
      </c>
      <c r="M12" t="s">
        <v>48</v>
      </c>
      <c r="O12" t="s">
        <v>48</v>
      </c>
    </row>
    <row r="13" spans="1:16" x14ac:dyDescent="0.2">
      <c r="A13" t="s">
        <v>39</v>
      </c>
    </row>
    <row r="14" spans="1:16" x14ac:dyDescent="0.2">
      <c r="A14">
        <v>6.0714335329355107</v>
      </c>
      <c r="B14">
        <v>7.5</v>
      </c>
      <c r="C14">
        <v>8.8274824642623919</v>
      </c>
      <c r="D14">
        <v>8.1999999999999993</v>
      </c>
      <c r="E14">
        <v>13.545197973128008</v>
      </c>
      <c r="F14">
        <v>5.4</v>
      </c>
      <c r="G14">
        <v>6.0714335329355107</v>
      </c>
      <c r="H14">
        <v>0.14837689951514596</v>
      </c>
      <c r="I14">
        <v>-0.13300557506768185</v>
      </c>
      <c r="J14">
        <v>8.0299999999999994</v>
      </c>
      <c r="K14">
        <v>7.4024824642623912</v>
      </c>
      <c r="L14">
        <v>-9.7517535737608796E-2</v>
      </c>
      <c r="M14">
        <v>9.67</v>
      </c>
      <c r="N14">
        <v>0.96819797312800837</v>
      </c>
      <c r="O14">
        <v>6.85</v>
      </c>
      <c r="P14" t="e">
        <f>O14-#REF!+A20-F14</f>
        <v>#REF!</v>
      </c>
    </row>
    <row r="17" spans="1:16" x14ac:dyDescent="0.2">
      <c r="I17" t="s">
        <v>39</v>
      </c>
    </row>
    <row r="19" spans="1:16" x14ac:dyDescent="0.2">
      <c r="I19" t="s">
        <v>39</v>
      </c>
      <c r="N19" t="s">
        <v>39</v>
      </c>
      <c r="P19" t="s">
        <v>39</v>
      </c>
    </row>
    <row r="20" spans="1:16" x14ac:dyDescent="0.2">
      <c r="A20">
        <v>6.6289663718097858</v>
      </c>
    </row>
    <row r="26" spans="1:16" x14ac:dyDescent="0.2">
      <c r="A26">
        <v>7.0289340095731623</v>
      </c>
      <c r="B26">
        <v>7.5</v>
      </c>
      <c r="C26">
        <v>9.4063071208568836</v>
      </c>
      <c r="D26">
        <v>9.3000000000000007</v>
      </c>
      <c r="E26">
        <v>14.392801456845882</v>
      </c>
      <c r="F26">
        <v>5.8</v>
      </c>
      <c r="G26">
        <v>7.0289340095731623</v>
      </c>
      <c r="H26">
        <v>0.36097504152544008</v>
      </c>
      <c r="I26">
        <v>-2.1319009647646256E-2</v>
      </c>
      <c r="J26">
        <v>8.64</v>
      </c>
      <c r="K26">
        <v>8.0323071208568848</v>
      </c>
      <c r="L26">
        <v>0.53230712085688481</v>
      </c>
      <c r="M26">
        <v>10.220000000000001</v>
      </c>
      <c r="N26">
        <v>0.53780145684588199</v>
      </c>
      <c r="O26">
        <v>7.57</v>
      </c>
      <c r="P26" t="e">
        <f>O26-#REF!+A32-F26</f>
        <v>#REF!</v>
      </c>
    </row>
    <row r="27" spans="1:16" x14ac:dyDescent="0.2">
      <c r="A27" t="s">
        <v>39</v>
      </c>
      <c r="C27" t="s">
        <v>39</v>
      </c>
      <c r="E27" t="s">
        <v>39</v>
      </c>
      <c r="G27" t="s">
        <v>39</v>
      </c>
    </row>
    <row r="28" spans="1:16" x14ac:dyDescent="0.2">
      <c r="A28" t="s">
        <v>39</v>
      </c>
      <c r="C28" t="s">
        <v>39</v>
      </c>
      <c r="E28" t="s">
        <v>39</v>
      </c>
      <c r="G28" t="s">
        <v>39</v>
      </c>
    </row>
    <row r="31" spans="1:16" x14ac:dyDescent="0.2">
      <c r="A31" t="s">
        <v>39</v>
      </c>
      <c r="C31" t="s">
        <v>39</v>
      </c>
      <c r="E31" t="s">
        <v>39</v>
      </c>
      <c r="G31" t="s">
        <v>39</v>
      </c>
      <c r="I31" t="s">
        <v>39</v>
      </c>
    </row>
    <row r="32" spans="1:16" x14ac:dyDescent="0.2">
      <c r="A32">
        <v>7.2738543583841793</v>
      </c>
    </row>
    <row r="38" spans="1:16" x14ac:dyDescent="0.2">
      <c r="A38">
        <v>7.4309409421489008</v>
      </c>
      <c r="B38">
        <v>8.4</v>
      </c>
      <c r="C38">
        <v>10.096493267477546</v>
      </c>
      <c r="D38">
        <v>10.8</v>
      </c>
      <c r="E38">
        <v>15.155854578076278</v>
      </c>
      <c r="F38">
        <v>6.3</v>
      </c>
      <c r="G38">
        <v>7.4309409421489008</v>
      </c>
      <c r="H38">
        <v>0.47436817666536274</v>
      </c>
      <c r="I38">
        <v>0.13905050249103484</v>
      </c>
      <c r="J38">
        <v>9.5299999999999994</v>
      </c>
      <c r="K38">
        <v>8.4544932674775453</v>
      </c>
      <c r="L38">
        <v>5.4493267477544904E-2</v>
      </c>
      <c r="M38">
        <v>11.73</v>
      </c>
      <c r="N38">
        <v>-0.19314542192372208</v>
      </c>
      <c r="O38">
        <v>8.2100000000000009</v>
      </c>
      <c r="P38" t="e">
        <f>O38-#REF!+A44-F38</f>
        <v>#REF!</v>
      </c>
    </row>
    <row r="42" spans="1:16" x14ac:dyDescent="0.2">
      <c r="A42" t="s">
        <v>39</v>
      </c>
      <c r="C42" t="s">
        <v>39</v>
      </c>
      <c r="E42" t="s">
        <v>39</v>
      </c>
      <c r="G42" t="s">
        <v>39</v>
      </c>
    </row>
    <row r="44" spans="1:16" x14ac:dyDescent="0.2">
      <c r="A44">
        <v>7.6792721055270903</v>
      </c>
    </row>
    <row r="50" spans="1:16" x14ac:dyDescent="0.2">
      <c r="A50">
        <v>8.100973233386032</v>
      </c>
      <c r="B50">
        <v>9.6</v>
      </c>
      <c r="C50">
        <v>11.226957325868003</v>
      </c>
      <c r="D50">
        <v>12.7</v>
      </c>
      <c r="E50">
        <v>15.765611359883035</v>
      </c>
      <c r="F50">
        <v>6.9</v>
      </c>
      <c r="G50">
        <v>8.100973233386032</v>
      </c>
      <c r="H50">
        <v>0.68302187758022281</v>
      </c>
      <c r="I50">
        <v>0.32455495904562204</v>
      </c>
      <c r="J50">
        <v>11.15</v>
      </c>
      <c r="K50">
        <v>9.5509573258680032</v>
      </c>
      <c r="L50">
        <v>-4.9042674131996478E-2</v>
      </c>
      <c r="M50">
        <v>14.14</v>
      </c>
      <c r="N50">
        <v>-0.4083886401169643</v>
      </c>
      <c r="O50">
        <v>9.27</v>
      </c>
      <c r="P50" t="e">
        <f>O50-#REF!+A56-F50</f>
        <v>#REF!</v>
      </c>
    </row>
    <row r="55" spans="1:16" x14ac:dyDescent="0.2">
      <c r="O55" t="s">
        <v>39</v>
      </c>
    </row>
    <row r="56" spans="1:16" x14ac:dyDescent="0.2">
      <c r="A56">
        <v>8.5798109353066305</v>
      </c>
      <c r="C56" t="s">
        <v>39</v>
      </c>
      <c r="E56" t="s">
        <v>39</v>
      </c>
      <c r="G56" t="s">
        <v>39</v>
      </c>
      <c r="H56" t="s">
        <v>39</v>
      </c>
    </row>
    <row r="62" spans="1:16" x14ac:dyDescent="0.2">
      <c r="A62">
        <v>9.1280594885951967</v>
      </c>
      <c r="B62">
        <v>11.2</v>
      </c>
      <c r="C62">
        <v>12.386593165616656</v>
      </c>
      <c r="D62">
        <v>14.9</v>
      </c>
      <c r="E62">
        <v>15.905839169598268</v>
      </c>
      <c r="F62">
        <v>7.7</v>
      </c>
      <c r="G62">
        <v>9.1280594885951967</v>
      </c>
      <c r="H62">
        <v>1.051361568874096</v>
      </c>
      <c r="I62">
        <v>0.71418901422058045</v>
      </c>
      <c r="J62">
        <v>13.08</v>
      </c>
      <c r="K62">
        <v>11.393593165616656</v>
      </c>
      <c r="L62">
        <v>0.19359316561665629</v>
      </c>
      <c r="M62">
        <v>16.399999999999999</v>
      </c>
      <c r="N62">
        <v>-0.38416083040173277</v>
      </c>
      <c r="O62">
        <v>10.42</v>
      </c>
      <c r="P62" t="e">
        <f>O62-#REF!+A68-F62</f>
        <v>#REF!</v>
      </c>
    </row>
    <row r="68" spans="1:16" x14ac:dyDescent="0.2">
      <c r="A68">
        <v>9.5198729309777246</v>
      </c>
    </row>
    <row r="70" spans="1:16" x14ac:dyDescent="0.2">
      <c r="A70" t="s">
        <v>39</v>
      </c>
      <c r="C70" t="s">
        <v>39</v>
      </c>
      <c r="E70" t="s">
        <v>39</v>
      </c>
      <c r="G70" t="s">
        <v>39</v>
      </c>
    </row>
    <row r="74" spans="1:16" x14ac:dyDescent="0.2">
      <c r="A74">
        <v>9.8155805406335066</v>
      </c>
      <c r="B74">
        <v>12.8</v>
      </c>
      <c r="C74">
        <v>13.109622588182457</v>
      </c>
      <c r="D74">
        <v>17.100000000000001</v>
      </c>
      <c r="E74">
        <v>15.703424748851846</v>
      </c>
      <c r="F74">
        <v>8.6</v>
      </c>
      <c r="G74">
        <v>9.8155805406335066</v>
      </c>
      <c r="H74">
        <v>1.6577979867555854</v>
      </c>
      <c r="I74">
        <v>1.5384278231874622</v>
      </c>
      <c r="J74">
        <v>13.92</v>
      </c>
      <c r="K74">
        <v>12.710622588182456</v>
      </c>
      <c r="L74">
        <v>-8.9377411817544328E-2</v>
      </c>
      <c r="M74">
        <v>16.37</v>
      </c>
      <c r="N74">
        <v>-6.4891627594009726</v>
      </c>
      <c r="O74">
        <v>10.85</v>
      </c>
      <c r="P74" t="e">
        <f>O74-#REF!+A80-F74</f>
        <v>#REF!</v>
      </c>
    </row>
    <row r="80" spans="1:16" x14ac:dyDescent="0.2">
      <c r="A80">
        <v>10.086215059431636</v>
      </c>
      <c r="L80" t="s">
        <v>39</v>
      </c>
    </row>
    <row r="86" spans="1:15" x14ac:dyDescent="0.2">
      <c r="A86">
        <v>10.30476333913165</v>
      </c>
      <c r="B86">
        <v>14.3</v>
      </c>
      <c r="C86">
        <v>13.553279211956394</v>
      </c>
      <c r="D86">
        <v>18.899999999999999</v>
      </c>
      <c r="F86">
        <v>9.3000000000000007</v>
      </c>
      <c r="G86">
        <v>10.30476333913165</v>
      </c>
      <c r="H86">
        <v>-0.3394012569254814</v>
      </c>
      <c r="J86">
        <v>15.81</v>
      </c>
      <c r="K86">
        <v>14.609279211956395</v>
      </c>
      <c r="L86">
        <v>0.30927921195639385</v>
      </c>
      <c r="O86">
        <v>11.95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B5" sqref="B5"/>
    </sheetView>
  </sheetViews>
  <sheetFormatPr defaultRowHeight="12.75" x14ac:dyDescent="0.2"/>
  <cols>
    <col min="1" max="1" width="9.42578125" bestFit="1" customWidth="1"/>
  </cols>
  <sheetData>
    <row r="2" spans="1:2" x14ac:dyDescent="0.2">
      <c r="A2" s="1">
        <v>42178</v>
      </c>
      <c r="B2">
        <v>3.9790000000000001</v>
      </c>
    </row>
    <row r="3" spans="1:2" x14ac:dyDescent="0.2">
      <c r="A3" t="s">
        <v>50</v>
      </c>
      <c r="B3">
        <v>3.55</v>
      </c>
    </row>
    <row r="4" spans="1:2" x14ac:dyDescent="0.2">
      <c r="B4">
        <f>B2-B3</f>
        <v>0.42900000000000027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2015-03-26T15:23:38Z</dcterms:created>
  <dcterms:modified xsi:type="dcterms:W3CDTF">2015-10-05T17:05:29Z</dcterms:modified>
</cp:coreProperties>
</file>