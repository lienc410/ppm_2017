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SC_Reade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821d4c6d6244e2e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6675" windowWidth="14850" windowHeight="2595"/>
  </bookViews>
  <sheets>
    <sheet name="Projected Carry" sheetId="5" r:id="rId1"/>
    <sheet name="Hedged Adj Projected Carry" sheetId="6" state="hidden" r:id="rId2"/>
    <sheet name="Time Series Data" sheetId="7" state="hidden" r:id="rId3"/>
  </sheets>
  <functionGroups builtInGroupCount="17"/>
  <externalReferences>
    <externalReference r:id="rId4"/>
  </externalReferences>
  <definedNames>
    <definedName name="AnnReturn">'Projected Carry'!$BR$7</definedName>
    <definedName name="CacheFileName">'Projected Carry'!$BB$4</definedName>
    <definedName name="curr_close_date">'Projected Carry'!$BM$71</definedName>
    <definedName name="CurrentCloseDate">'Projected Carry'!$BB$2</definedName>
    <definedName name="DatabaseEnv">'Projected Carry'!$BD$2</definedName>
    <definedName name="Down25" localSheetId="0">'Projected Carry'!$G$54</definedName>
    <definedName name="EffYieldAtHorizon" localSheetId="1">'Hedged Adj Projected Carry'!$BR$6</definedName>
    <definedName name="EffYieldAtHorizon">'Projected Carry'!$BR$6</definedName>
    <definedName name="Forward_TBA">'Hedged Adj Projected Carry'!$AH$18</definedName>
    <definedName name="Forward_TBA_Month">'Hedged Adj Projected Carry'!$G$23</definedName>
    <definedName name="Foward_TBA_Price">'Hedged Adj Projected Carry'!$AH$19</definedName>
    <definedName name="Front_TBA">'Hedged Adj Projected Carry'!$AG$18</definedName>
    <definedName name="Front_TBA_Full_Price">'Hedged Adj Projected Carry'!$AG$20</definedName>
    <definedName name="Front_TBA_Month">'Hedged Adj Projected Carry'!$G$22</definedName>
    <definedName name="Front_TBA_Price">'Hedged Adj Projected Carry'!$AG$19</definedName>
    <definedName name="LastEndTime">'Projected Carry'!$BB$13</definedName>
    <definedName name="LastStartTime">'Projected Carry'!$BB$12</definedName>
    <definedName name="LogFIleName">'Projected Carry'!$BB$5</definedName>
    <definedName name="OASChangeROR" localSheetId="1">'Hedged Adj Projected Carry'!$BR$2</definedName>
    <definedName name="OASChangeROR" localSheetId="0">'Projected Carry'!$BR$2</definedName>
    <definedName name="OASROR" localSheetId="1">'Hedged Adj Projected Carry'!$BR$4</definedName>
    <definedName name="OASROR" localSheetId="0">'Projected Carry'!$BR$4</definedName>
    <definedName name="PrepayModel">'Projected Carry'!$F$25</definedName>
    <definedName name="prev_close_date">'Projected Carry'!$BM$70</definedName>
    <definedName name="PrevCloseDate">'Projected Carry'!$BF$2</definedName>
    <definedName name="PriceChangeROR" localSheetId="1">'Hedged Adj Projected Carry'!$BR$3</definedName>
    <definedName name="PriceChangeROR" localSheetId="0">'Projected Carry'!$BR$3</definedName>
    <definedName name="PriceROR" localSheetId="1">'Hedged Adj Projected Carry'!$BR$5</definedName>
    <definedName name="PriceROR" localSheetId="0">'Projected Carry'!$BR$5</definedName>
    <definedName name="_xlnm.Print_Area" localSheetId="1">'Hedged Adj Projected Carry'!$H$70:$AJ$138</definedName>
    <definedName name="_xlnm.Print_Area" localSheetId="0">'Projected Carry'!$H$31:$AP$149</definedName>
    <definedName name="_xlnm.Print_Titles" localSheetId="1">'Hedged Adj Projected Carry'!$9:$30</definedName>
    <definedName name="_xlnm.Print_Titles" localSheetId="0">'Projected Carry'!$7:$30</definedName>
    <definedName name="Query_from_Cello_SQL_Server" localSheetId="2" hidden="1">'Time Series Data'!$A$1:$N$57</definedName>
    <definedName name="ReportFileName">'Projected Carry'!$BB$3</definedName>
    <definedName name="ScheduledRunDay">'Projected Carry'!$BB$9</definedName>
    <definedName name="ScheduledRunTime">'Projected Carry'!$BB$7</definedName>
    <definedName name="TBA_1Y_Return_Constant_OAS">'Hedged Adj Projected Carry'!$BK$70</definedName>
    <definedName name="TBA_1Y_Return_Constant_Price">'Hedged Adj Projected Carry'!$BQ$70</definedName>
    <definedName name="TBA_Roll">'Hedged Adj Projected Carry'!$AI$19</definedName>
    <definedName name="Up_25" localSheetId="0">'Projected Carry'!$G$85</definedName>
    <definedName name="useLastClose">'Projected Carry'!$BB$6</definedName>
  </definedNames>
  <calcPr calcId="145621"/>
</workbook>
</file>

<file path=xl/calcChain.xml><?xml version="1.0" encoding="utf-8"?>
<calcChain xmlns="http://schemas.openxmlformats.org/spreadsheetml/2006/main">
  <c r="I39" i="5" l="1"/>
  <c r="I38" i="5"/>
  <c r="I37" i="5"/>
  <c r="P2" i="7"/>
  <c r="J18" i="6"/>
  <c r="K18" i="6"/>
  <c r="L18" i="6"/>
  <c r="M18" i="6"/>
  <c r="M28" i="6"/>
  <c r="M29" i="6"/>
  <c r="N18" i="6"/>
  <c r="N28" i="6"/>
  <c r="N29" i="6"/>
  <c r="O18" i="6"/>
  <c r="O28" i="6"/>
  <c r="O29" i="6"/>
  <c r="P18" i="6"/>
  <c r="Q18" i="6"/>
  <c r="R18" i="6"/>
  <c r="S18" i="6"/>
  <c r="S28" i="6"/>
  <c r="S29" i="6"/>
  <c r="T18" i="6"/>
  <c r="T28" i="6"/>
  <c r="T29" i="6"/>
  <c r="U18" i="6"/>
  <c r="U28" i="6"/>
  <c r="U29" i="6"/>
  <c r="V18" i="6"/>
  <c r="W18" i="6"/>
  <c r="X18" i="6"/>
  <c r="Y18" i="6"/>
  <c r="Y28" i="6"/>
  <c r="Y29" i="6"/>
  <c r="Z18" i="6"/>
  <c r="Z28" i="6"/>
  <c r="Z29" i="6"/>
  <c r="AA18" i="6"/>
  <c r="AB18" i="6"/>
  <c r="AC18" i="6"/>
  <c r="AD18" i="6"/>
  <c r="AD28" i="6"/>
  <c r="AD29" i="6"/>
  <c r="AE18" i="6"/>
  <c r="AG18" i="6"/>
  <c r="AH18" i="6"/>
  <c r="I24" i="6"/>
  <c r="J25" i="6"/>
  <c r="J117" i="6"/>
  <c r="K25" i="6"/>
  <c r="K117" i="6"/>
  <c r="L25" i="6"/>
  <c r="M25" i="6"/>
  <c r="L117" i="6"/>
  <c r="N25" i="6"/>
  <c r="M117" i="6"/>
  <c r="O25" i="6"/>
  <c r="N117" i="6"/>
  <c r="P25" i="6"/>
  <c r="Q25" i="6"/>
  <c r="O117" i="6"/>
  <c r="R25" i="6"/>
  <c r="P117" i="6"/>
  <c r="S25" i="6"/>
  <c r="Q117" i="6"/>
  <c r="T25" i="6"/>
  <c r="R117" i="6"/>
  <c r="U25" i="6"/>
  <c r="S117" i="6"/>
  <c r="V25" i="6"/>
  <c r="T117" i="6"/>
  <c r="W25" i="6"/>
  <c r="U117" i="6"/>
  <c r="X25" i="6"/>
  <c r="V117" i="6"/>
  <c r="Y25" i="6"/>
  <c r="W117" i="6"/>
  <c r="Z25" i="6"/>
  <c r="X117" i="6"/>
  <c r="AA25" i="6"/>
  <c r="Y117" i="6"/>
  <c r="AB25" i="6"/>
  <c r="Z117" i="6"/>
  <c r="AC25" i="6"/>
  <c r="AA117" i="6"/>
  <c r="AD25" i="6"/>
  <c r="AB117" i="6"/>
  <c r="AE25" i="6"/>
  <c r="AC117" i="6"/>
  <c r="AI25" i="6"/>
  <c r="AJ25" i="6"/>
  <c r="J33" i="5"/>
  <c r="K33" i="5"/>
  <c r="L33" i="5"/>
  <c r="L34" i="6"/>
  <c r="M33" i="5"/>
  <c r="N33" i="5"/>
  <c r="N34" i="6"/>
  <c r="O33" i="5"/>
  <c r="P33" i="5"/>
  <c r="P34" i="6"/>
  <c r="Q33" i="5"/>
  <c r="Q34" i="6"/>
  <c r="Q54" i="6"/>
  <c r="Q134" i="5"/>
  <c r="R33" i="5"/>
  <c r="S33" i="5"/>
  <c r="S34" i="6"/>
  <c r="T33" i="5"/>
  <c r="CM32" i="5"/>
  <c r="T34" i="6"/>
  <c r="T46" i="6"/>
  <c r="T127" i="5"/>
  <c r="U33" i="5"/>
  <c r="U34" i="6"/>
  <c r="CQ32" i="5"/>
  <c r="V33" i="5"/>
  <c r="CU32" i="5"/>
  <c r="V34" i="6"/>
  <c r="W33" i="5"/>
  <c r="W34" i="6"/>
  <c r="W54" i="6"/>
  <c r="W134" i="5"/>
  <c r="W116" i="5"/>
  <c r="X33" i="5"/>
  <c r="X34" i="6"/>
  <c r="Y33" i="5"/>
  <c r="Y34" i="6"/>
  <c r="Z33" i="5"/>
  <c r="Z34" i="6"/>
  <c r="Z116" i="5"/>
  <c r="DK32" i="5"/>
  <c r="AA33" i="5"/>
  <c r="DO32" i="5"/>
  <c r="AA34" i="6"/>
  <c r="AA46" i="6"/>
  <c r="AA127" i="5"/>
  <c r="AB33" i="5"/>
  <c r="AB34" i="6"/>
  <c r="AC33" i="5"/>
  <c r="DW32" i="5"/>
  <c r="AD33" i="5"/>
  <c r="AD34" i="6"/>
  <c r="AE33" i="5"/>
  <c r="AE34" i="6"/>
  <c r="I35" i="6"/>
  <c r="I117" i="5"/>
  <c r="I36" i="6"/>
  <c r="I40" i="6"/>
  <c r="I123" i="6"/>
  <c r="I122" i="5"/>
  <c r="BV62" i="6"/>
  <c r="BW62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H155" i="5"/>
  <c r="H74" i="6"/>
  <c r="I34" i="5"/>
  <c r="I155" i="5"/>
  <c r="I74" i="6"/>
  <c r="H156" i="5"/>
  <c r="H75" i="6"/>
  <c r="I35" i="5"/>
  <c r="I156" i="5"/>
  <c r="I75" i="6"/>
  <c r="H157" i="5"/>
  <c r="H76" i="6"/>
  <c r="I36" i="5"/>
  <c r="I157" i="5"/>
  <c r="I76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H59" i="5"/>
  <c r="I59" i="5"/>
  <c r="H186" i="5"/>
  <c r="H82" i="6"/>
  <c r="H90" i="5"/>
  <c r="I90" i="5"/>
  <c r="I217" i="5"/>
  <c r="I90" i="6"/>
  <c r="H60" i="5"/>
  <c r="H187" i="5"/>
  <c r="H83" i="6"/>
  <c r="I60" i="5"/>
  <c r="H91" i="5"/>
  <c r="H218" i="5"/>
  <c r="H91" i="6"/>
  <c r="H61" i="5"/>
  <c r="H188" i="5"/>
  <c r="H84" i="6"/>
  <c r="H92" i="5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H217" i="5"/>
  <c r="H90" i="6"/>
  <c r="H118" i="6"/>
  <c r="H119" i="6"/>
  <c r="H123" i="6"/>
  <c r="BB3" i="5"/>
  <c r="BB4" i="5"/>
  <c r="BB5" i="5"/>
  <c r="BB7" i="5"/>
  <c r="I23" i="5"/>
  <c r="AY31" i="5"/>
  <c r="DS32" i="5"/>
  <c r="AY55" i="5"/>
  <c r="J58" i="5"/>
  <c r="AY57" i="5"/>
  <c r="K58" i="5"/>
  <c r="BC57" i="5"/>
  <c r="L58" i="5"/>
  <c r="BG57" i="5"/>
  <c r="M58" i="5"/>
  <c r="BK57" i="5"/>
  <c r="N58" i="5"/>
  <c r="BO57" i="5"/>
  <c r="O58" i="5"/>
  <c r="BS57" i="5"/>
  <c r="P58" i="5"/>
  <c r="BW57" i="5"/>
  <c r="Q58" i="5"/>
  <c r="CA57" i="5"/>
  <c r="R58" i="5"/>
  <c r="CE57" i="5"/>
  <c r="S58" i="5"/>
  <c r="CI57" i="5"/>
  <c r="T58" i="5"/>
  <c r="CM57" i="5"/>
  <c r="U58" i="5"/>
  <c r="CQ57" i="5"/>
  <c r="V58" i="5"/>
  <c r="CU57" i="5"/>
  <c r="W58" i="5"/>
  <c r="CY57" i="5"/>
  <c r="X58" i="5"/>
  <c r="DC57" i="5"/>
  <c r="Y58" i="5"/>
  <c r="DG57" i="5"/>
  <c r="Z58" i="5"/>
  <c r="DK57" i="5"/>
  <c r="AA58" i="5"/>
  <c r="DO57" i="5"/>
  <c r="AB58" i="5"/>
  <c r="DS57" i="5"/>
  <c r="AC58" i="5"/>
  <c r="DW57" i="5"/>
  <c r="AD58" i="5"/>
  <c r="EA57" i="5"/>
  <c r="AE58" i="5"/>
  <c r="EE57" i="5"/>
  <c r="AY86" i="5"/>
  <c r="J89" i="5"/>
  <c r="AY88" i="5"/>
  <c r="K89" i="5"/>
  <c r="BC88" i="5"/>
  <c r="L89" i="5"/>
  <c r="BG88" i="5"/>
  <c r="M89" i="5"/>
  <c r="BK88" i="5"/>
  <c r="N89" i="5"/>
  <c r="BO88" i="5"/>
  <c r="O89" i="5"/>
  <c r="BS88" i="5"/>
  <c r="P89" i="5"/>
  <c r="BW88" i="5"/>
  <c r="Q89" i="5"/>
  <c r="CA88" i="5"/>
  <c r="R89" i="5"/>
  <c r="CE88" i="5"/>
  <c r="S89" i="5"/>
  <c r="CI88" i="5"/>
  <c r="T89" i="5"/>
  <c r="CM88" i="5"/>
  <c r="U89" i="5"/>
  <c r="CQ88" i="5"/>
  <c r="V89" i="5"/>
  <c r="CU88" i="5"/>
  <c r="W89" i="5"/>
  <c r="CY88" i="5"/>
  <c r="X89" i="5"/>
  <c r="DC88" i="5"/>
  <c r="Y89" i="5"/>
  <c r="DG88" i="5"/>
  <c r="Z89" i="5"/>
  <c r="DK88" i="5"/>
  <c r="AA89" i="5"/>
  <c r="DO88" i="5"/>
  <c r="AB89" i="5"/>
  <c r="DS88" i="5"/>
  <c r="AC89" i="5"/>
  <c r="DW88" i="5"/>
  <c r="AD89" i="5"/>
  <c r="EA88" i="5"/>
  <c r="AE89" i="5"/>
  <c r="EE88" i="5"/>
  <c r="I119" i="5"/>
  <c r="I120" i="5"/>
  <c r="I121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I129" i="5"/>
  <c r="I130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I136" i="5"/>
  <c r="I137" i="5"/>
  <c r="AI28" i="6"/>
  <c r="BH68" i="6"/>
  <c r="P28" i="6"/>
  <c r="P29" i="6"/>
  <c r="L28" i="6"/>
  <c r="L29" i="6"/>
  <c r="BX62" i="6"/>
  <c r="BY62" i="6"/>
  <c r="I61" i="5"/>
  <c r="I186" i="5"/>
  <c r="I82" i="6"/>
  <c r="I91" i="5"/>
  <c r="I187" i="5"/>
  <c r="I83" i="6"/>
  <c r="I218" i="5"/>
  <c r="I91" i="6"/>
  <c r="DC32" i="5"/>
  <c r="K28" i="6"/>
  <c r="K29" i="6"/>
  <c r="EA32" i="5"/>
  <c r="V46" i="6"/>
  <c r="V127" i="5"/>
  <c r="DG32" i="5"/>
  <c r="L46" i="6"/>
  <c r="L127" i="5"/>
  <c r="Q116" i="5"/>
  <c r="Q46" i="6"/>
  <c r="Q127" i="5"/>
  <c r="N54" i="6"/>
  <c r="N134" i="5"/>
  <c r="N116" i="5"/>
  <c r="N46" i="6"/>
  <c r="N127" i="5"/>
  <c r="T54" i="6"/>
  <c r="T134" i="5"/>
  <c r="O34" i="6"/>
  <c r="AA54" i="6"/>
  <c r="AA134" i="5"/>
  <c r="Z46" i="6"/>
  <c r="Z127" i="5"/>
  <c r="R34" i="6"/>
  <c r="CY32" i="5"/>
  <c r="AA116" i="5"/>
  <c r="J34" i="6"/>
  <c r="AD46" i="6"/>
  <c r="AD127" i="5"/>
  <c r="AD54" i="6"/>
  <c r="AD134" i="5"/>
  <c r="AD116" i="5"/>
  <c r="S46" i="6"/>
  <c r="S127" i="5"/>
  <c r="Z54" i="6"/>
  <c r="Z134" i="5"/>
  <c r="AE54" i="6"/>
  <c r="AE134" i="5"/>
  <c r="AE116" i="5"/>
  <c r="AE46" i="6"/>
  <c r="AE127" i="5"/>
  <c r="W46" i="6"/>
  <c r="W127" i="5"/>
  <c r="EE32" i="5"/>
  <c r="T116" i="5"/>
  <c r="BA32" i="5"/>
  <c r="AC34" i="6"/>
  <c r="R54" i="6"/>
  <c r="R134" i="5"/>
  <c r="J54" i="6"/>
  <c r="J134" i="5"/>
  <c r="AC116" i="5"/>
  <c r="AC54" i="6"/>
  <c r="AC134" i="5"/>
  <c r="AC46" i="6"/>
  <c r="AC127" i="5"/>
  <c r="U46" i="6"/>
  <c r="U127" i="5"/>
  <c r="U54" i="6"/>
  <c r="U134" i="5"/>
  <c r="U116" i="5"/>
  <c r="AC28" i="6"/>
  <c r="AC29" i="6"/>
  <c r="X28" i="6"/>
  <c r="X29" i="6"/>
  <c r="V28" i="6"/>
  <c r="V29" i="6"/>
  <c r="Y116" i="5"/>
  <c r="Y46" i="6"/>
  <c r="Y127" i="5"/>
  <c r="Y54" i="6"/>
  <c r="Y134" i="5"/>
  <c r="I118" i="6"/>
  <c r="J116" i="5"/>
  <c r="J46" i="6"/>
  <c r="J127" i="5"/>
  <c r="M34" i="6"/>
  <c r="S54" i="6"/>
  <c r="S134" i="5"/>
  <c r="S116" i="5"/>
  <c r="AB28" i="6"/>
  <c r="AB29" i="6"/>
  <c r="W28" i="6"/>
  <c r="W29" i="6"/>
  <c r="K34" i="6"/>
  <c r="K46" i="6"/>
  <c r="K127" i="5"/>
  <c r="O36" i="5"/>
  <c r="M35" i="5"/>
  <c r="M36" i="6"/>
  <c r="M118" i="5"/>
  <c r="K36" i="5"/>
  <c r="R156" i="5"/>
  <c r="P35" i="5"/>
  <c r="P36" i="6"/>
  <c r="P118" i="5"/>
  <c r="P156" i="5"/>
  <c r="P75" i="6"/>
  <c r="Q35" i="5"/>
  <c r="Q36" i="6"/>
  <c r="O35" i="5"/>
  <c r="O36" i="6"/>
  <c r="O118" i="5"/>
  <c r="M156" i="5"/>
  <c r="M75" i="6"/>
  <c r="J36" i="5"/>
  <c r="R35" i="5"/>
  <c r="R36" i="6"/>
  <c r="R118" i="5"/>
  <c r="N157" i="5"/>
  <c r="N76" i="6"/>
  <c r="P157" i="5"/>
  <c r="P76" i="6"/>
  <c r="P36" i="5"/>
  <c r="Q156" i="5"/>
  <c r="O119" i="6"/>
  <c r="M157" i="5"/>
  <c r="M76" i="6"/>
  <c r="R36" i="5"/>
  <c r="N156" i="5"/>
  <c r="M119" i="6"/>
  <c r="N35" i="5"/>
  <c r="N36" i="6"/>
  <c r="K35" i="5"/>
  <c r="K36" i="6"/>
  <c r="K118" i="5"/>
  <c r="N36" i="5"/>
  <c r="Q36" i="5"/>
  <c r="J156" i="5"/>
  <c r="R157" i="5"/>
  <c r="R76" i="6"/>
  <c r="K157" i="5"/>
  <c r="K76" i="6"/>
  <c r="O156" i="5"/>
  <c r="O75" i="6"/>
  <c r="N119" i="6"/>
  <c r="L156" i="5"/>
  <c r="L75" i="6"/>
  <c r="L35" i="5"/>
  <c r="L36" i="6"/>
  <c r="Q157" i="5"/>
  <c r="Q76" i="6"/>
  <c r="J157" i="5"/>
  <c r="J76" i="6"/>
  <c r="K156" i="5"/>
  <c r="K75" i="6"/>
  <c r="O157" i="5"/>
  <c r="O76" i="6"/>
  <c r="M36" i="5"/>
  <c r="J35" i="5"/>
  <c r="J36" i="6"/>
  <c r="L157" i="5"/>
  <c r="L76" i="6"/>
  <c r="L36" i="5"/>
  <c r="K34" i="5"/>
  <c r="K35" i="6"/>
  <c r="K117" i="5"/>
  <c r="O34" i="5"/>
  <c r="O35" i="6"/>
  <c r="O117" i="5"/>
  <c r="J155" i="5"/>
  <c r="J118" i="6"/>
  <c r="L155" i="5"/>
  <c r="L74" i="6"/>
  <c r="L34" i="5"/>
  <c r="L35" i="6"/>
  <c r="L117" i="5"/>
  <c r="M34" i="5"/>
  <c r="M35" i="6"/>
  <c r="M117" i="5"/>
  <c r="R34" i="5"/>
  <c r="R35" i="6"/>
  <c r="R117" i="5"/>
  <c r="N155" i="5"/>
  <c r="N74" i="6"/>
  <c r="M155" i="5"/>
  <c r="K155" i="5"/>
  <c r="K118" i="6"/>
  <c r="R155" i="5"/>
  <c r="Q34" i="5"/>
  <c r="Q35" i="6"/>
  <c r="Q117" i="5"/>
  <c r="P155" i="5"/>
  <c r="P74" i="6"/>
  <c r="P34" i="5"/>
  <c r="P35" i="6"/>
  <c r="P117" i="5"/>
  <c r="N34" i="5"/>
  <c r="N35" i="6"/>
  <c r="N117" i="5"/>
  <c r="O155" i="5"/>
  <c r="Q155" i="5"/>
  <c r="J34" i="5"/>
  <c r="J35" i="6"/>
  <c r="J117" i="5"/>
  <c r="K116" i="5"/>
  <c r="K54" i="6"/>
  <c r="K134" i="5"/>
  <c r="R75" i="6"/>
  <c r="P119" i="6"/>
  <c r="N75" i="6"/>
  <c r="O118" i="6"/>
  <c r="Q74" i="6"/>
  <c r="O74" i="6"/>
  <c r="N118" i="6"/>
  <c r="R74" i="6"/>
  <c r="P118" i="6"/>
  <c r="K74" i="6"/>
  <c r="M74" i="6"/>
  <c r="L118" i="6"/>
  <c r="P38" i="5"/>
  <c r="L39" i="5"/>
  <c r="R39" i="5"/>
  <c r="M37" i="5"/>
  <c r="K38" i="5"/>
  <c r="M38" i="5"/>
  <c r="O38" i="5"/>
  <c r="Q38" i="5"/>
  <c r="L38" i="5"/>
  <c r="P39" i="5"/>
  <c r="O37" i="5"/>
  <c r="K39" i="5"/>
  <c r="M39" i="5"/>
  <c r="O39" i="5"/>
  <c r="Q39" i="5"/>
  <c r="J38" i="5"/>
  <c r="R38" i="5"/>
  <c r="N39" i="5"/>
  <c r="N38" i="5"/>
  <c r="J39" i="5"/>
  <c r="K37" i="5"/>
  <c r="Q37" i="5"/>
  <c r="J37" i="5"/>
  <c r="L37" i="5"/>
  <c r="N37" i="5"/>
  <c r="P37" i="5"/>
  <c r="R37" i="5"/>
  <c r="M46" i="6"/>
  <c r="M127" i="5"/>
  <c r="M54" i="6"/>
  <c r="M134" i="5"/>
  <c r="M116" i="5"/>
  <c r="J28" i="6"/>
  <c r="J29" i="6"/>
  <c r="X116" i="5"/>
  <c r="X46" i="6"/>
  <c r="X127" i="5"/>
  <c r="X54" i="6"/>
  <c r="X134" i="5"/>
  <c r="J118" i="5"/>
  <c r="L116" i="5"/>
  <c r="L54" i="6"/>
  <c r="L134" i="5"/>
  <c r="O116" i="5"/>
  <c r="O46" i="6"/>
  <c r="O127" i="5"/>
  <c r="O54" i="6"/>
  <c r="O134" i="5"/>
  <c r="I119" i="6"/>
  <c r="I118" i="5"/>
  <c r="AB54" i="6"/>
  <c r="AB134" i="5"/>
  <c r="AB46" i="6"/>
  <c r="AB127" i="5"/>
  <c r="AB116" i="5"/>
  <c r="AE28" i="6"/>
  <c r="AE29" i="6"/>
  <c r="J75" i="6"/>
  <c r="J119" i="6"/>
  <c r="P46" i="6"/>
  <c r="P127" i="5"/>
  <c r="P116" i="5"/>
  <c r="P54" i="6"/>
  <c r="P134" i="5"/>
  <c r="V54" i="6"/>
  <c r="V134" i="5"/>
  <c r="V116" i="5"/>
  <c r="R28" i="6"/>
  <c r="R29" i="6"/>
  <c r="R46" i="6"/>
  <c r="R127" i="5"/>
  <c r="R116" i="5"/>
  <c r="AA28" i="6"/>
  <c r="AA29" i="6"/>
  <c r="Q28" i="6"/>
  <c r="Q29" i="6"/>
  <c r="Q118" i="5"/>
  <c r="L118" i="5"/>
  <c r="N118" i="5"/>
  <c r="K119" i="6"/>
  <c r="L119" i="6"/>
  <c r="J74" i="6"/>
  <c r="Q75" i="6"/>
  <c r="M118" i="6"/>
  <c r="I92" i="5"/>
  <c r="H219" i="5"/>
  <c r="H92" i="6"/>
  <c r="I188" i="5"/>
  <c r="I84" i="6"/>
  <c r="I219" i="5"/>
  <c r="I92" i="6"/>
  <c r="AE76" i="5"/>
  <c r="Z29" i="5"/>
  <c r="AC29" i="5"/>
  <c r="N20" i="5"/>
  <c r="AK29" i="5"/>
  <c r="M172" i="5"/>
  <c r="W172" i="5"/>
  <c r="L76" i="5"/>
  <c r="V19" i="6"/>
  <c r="U45" i="5"/>
  <c r="Z27" i="5"/>
  <c r="U28" i="5"/>
  <c r="P19" i="6"/>
  <c r="L28" i="5"/>
  <c r="P76" i="5"/>
  <c r="Q172" i="5"/>
  <c r="AD29" i="5"/>
  <c r="L19" i="6"/>
  <c r="K29" i="5"/>
  <c r="Y76" i="5"/>
  <c r="Q76" i="5"/>
  <c r="Y28" i="5"/>
  <c r="K19" i="6"/>
  <c r="AA172" i="5"/>
  <c r="AA27" i="5"/>
  <c r="M20" i="5"/>
  <c r="U20" i="5"/>
  <c r="Y45" i="5"/>
  <c r="M45" i="5"/>
  <c r="U25" i="5"/>
  <c r="T20" i="5"/>
  <c r="AO27" i="5"/>
  <c r="Q28" i="5"/>
  <c r="AB76" i="5"/>
  <c r="K45" i="5"/>
  <c r="L29" i="5"/>
  <c r="R20" i="5"/>
  <c r="Z45" i="5"/>
  <c r="AC19" i="6"/>
  <c r="O29" i="5"/>
  <c r="AG19" i="6"/>
  <c r="AJ39" i="5"/>
  <c r="AC203" i="5"/>
  <c r="X76" i="5"/>
  <c r="AJ36" i="5"/>
  <c r="V76" i="5"/>
  <c r="Y20" i="5"/>
  <c r="O28" i="5"/>
  <c r="Q20" i="5"/>
  <c r="J28" i="5"/>
  <c r="R19" i="6"/>
  <c r="N25" i="5"/>
  <c r="W45" i="5"/>
  <c r="Y19" i="6"/>
  <c r="W19" i="6"/>
  <c r="AK26" i="5"/>
  <c r="AB27" i="5"/>
  <c r="Q25" i="5"/>
  <c r="AI26" i="6"/>
  <c r="S27" i="5"/>
  <c r="AM34" i="5"/>
  <c r="J19" i="6"/>
  <c r="U29" i="5"/>
  <c r="R28" i="5"/>
  <c r="W29" i="5"/>
  <c r="AB45" i="5"/>
  <c r="T203" i="5"/>
  <c r="AD19" i="6"/>
  <c r="AE27" i="5"/>
  <c r="AB29" i="5"/>
  <c r="O172" i="5"/>
  <c r="O203" i="5"/>
  <c r="AO25" i="5"/>
  <c r="X203" i="5"/>
  <c r="AE28" i="5"/>
  <c r="M29" i="5"/>
  <c r="R27" i="5"/>
  <c r="T29" i="5"/>
  <c r="N45" i="5"/>
  <c r="AB203" i="5"/>
  <c r="P20" i="5"/>
  <c r="BF2" i="5"/>
  <c r="AB19" i="6"/>
  <c r="AA29" i="5"/>
  <c r="U172" i="5"/>
  <c r="T28" i="5"/>
  <c r="F82" i="5"/>
  <c r="AJ27" i="5"/>
  <c r="S29" i="5"/>
  <c r="J27" i="5"/>
  <c r="AJ37" i="5"/>
  <c r="P45" i="5"/>
  <c r="Y29" i="5"/>
  <c r="P28" i="5"/>
  <c r="AI28" i="5"/>
  <c r="U76" i="5"/>
  <c r="U19" i="6"/>
  <c r="P27" i="5"/>
  <c r="X172" i="5"/>
  <c r="V29" i="5"/>
  <c r="AE29" i="5"/>
  <c r="AI25" i="5"/>
  <c r="AA203" i="5"/>
  <c r="K76" i="5"/>
  <c r="V203" i="5"/>
  <c r="T76" i="5"/>
  <c r="AC172" i="5"/>
  <c r="Y203" i="5"/>
  <c r="AA45" i="5"/>
  <c r="Y25" i="5"/>
  <c r="S19" i="6"/>
  <c r="AP25" i="5"/>
  <c r="L20" i="5"/>
  <c r="N203" i="5"/>
  <c r="P203" i="5"/>
  <c r="AP26" i="5"/>
  <c r="AC28" i="5"/>
  <c r="Z19" i="6"/>
  <c r="F52" i="5"/>
  <c r="K28" i="5"/>
  <c r="N172" i="5"/>
  <c r="X29" i="5"/>
  <c r="P29" i="5"/>
  <c r="R76" i="5"/>
  <c r="T25" i="5"/>
  <c r="X45" i="5"/>
  <c r="R25" i="5"/>
  <c r="AI26" i="5"/>
  <c r="AO29" i="5"/>
  <c r="R172" i="5"/>
  <c r="M19" i="6"/>
  <c r="Y172" i="5"/>
  <c r="M28" i="5"/>
  <c r="P172" i="5"/>
  <c r="W20" i="5"/>
  <c r="AC20" i="5"/>
  <c r="M27" i="5"/>
  <c r="Z20" i="5"/>
  <c r="AD27" i="5"/>
  <c r="AB28" i="5"/>
  <c r="AJ28" i="5"/>
  <c r="N29" i="5"/>
  <c r="AK28" i="5"/>
  <c r="AJ29" i="5"/>
  <c r="L25" i="5"/>
  <c r="AC45" i="5"/>
  <c r="Q19" i="6"/>
  <c r="J29" i="5"/>
  <c r="J76" i="5"/>
  <c r="L45" i="5"/>
  <c r="R45" i="5"/>
  <c r="T19" i="6"/>
  <c r="S45" i="5"/>
  <c r="V28" i="5"/>
  <c r="AE45" i="5"/>
  <c r="Z25" i="5"/>
  <c r="S28" i="5"/>
  <c r="O20" i="5"/>
  <c r="W27" i="5"/>
  <c r="O45" i="5"/>
  <c r="AA20" i="5"/>
  <c r="Y27" i="5"/>
  <c r="AA76" i="5"/>
  <c r="Q27" i="5"/>
  <c r="Z28" i="5"/>
  <c r="AE19" i="6"/>
  <c r="V27" i="5"/>
  <c r="AM35" i="5"/>
  <c r="P25" i="5"/>
  <c r="S20" i="5"/>
  <c r="AB20" i="5"/>
  <c r="T172" i="5"/>
  <c r="S76" i="5"/>
  <c r="W203" i="5"/>
  <c r="AO26" i="5"/>
  <c r="AB25" i="5"/>
  <c r="F83" i="5"/>
  <c r="Q203" i="5"/>
  <c r="S172" i="5"/>
  <c r="J45" i="5"/>
  <c r="R29" i="5"/>
  <c r="AJ26" i="5"/>
  <c r="X27" i="5"/>
  <c r="L27" i="5"/>
  <c r="AD45" i="5"/>
  <c r="V172" i="5"/>
  <c r="AO28" i="5"/>
  <c r="AE20" i="5"/>
  <c r="N28" i="5"/>
  <c r="K20" i="5"/>
  <c r="W28" i="5"/>
  <c r="S203" i="5"/>
  <c r="X20" i="5"/>
  <c r="AP28" i="5"/>
  <c r="V20" i="5"/>
  <c r="X28" i="5"/>
  <c r="AI27" i="5"/>
  <c r="AJ34" i="5"/>
  <c r="AC27" i="5"/>
  <c r="AH19" i="6"/>
  <c r="AJ38" i="5"/>
  <c r="M203" i="5"/>
  <c r="T45" i="5"/>
  <c r="X19" i="6"/>
  <c r="O19" i="6"/>
  <c r="AJ35" i="5"/>
  <c r="Z203" i="5"/>
  <c r="O27" i="5"/>
  <c r="AD20" i="5"/>
  <c r="J20" i="5"/>
  <c r="AC76" i="5"/>
  <c r="AA28" i="5"/>
  <c r="N27" i="5"/>
  <c r="AJ26" i="6"/>
  <c r="R203" i="5"/>
  <c r="AK25" i="5"/>
  <c r="Z76" i="5"/>
  <c r="Q45" i="5"/>
  <c r="M25" i="5"/>
  <c r="T27" i="5"/>
  <c r="AB172" i="5"/>
  <c r="K27" i="5"/>
  <c r="AK27" i="5"/>
  <c r="F51" i="5"/>
  <c r="AA19" i="6"/>
  <c r="AD28" i="5"/>
  <c r="U27" i="5"/>
  <c r="V45" i="5"/>
  <c r="W76" i="5"/>
  <c r="N19" i="6"/>
  <c r="AJ25" i="5"/>
  <c r="AI29" i="5"/>
  <c r="Z172" i="5"/>
  <c r="O76" i="5"/>
  <c r="AD76" i="5"/>
  <c r="Q29" i="5"/>
  <c r="M76" i="5"/>
  <c r="U203" i="5"/>
  <c r="N76" i="5"/>
  <c r="AP27" i="5"/>
  <c r="AP29" i="5"/>
  <c r="W25" i="5"/>
  <c r="AC25" i="5"/>
  <c r="O25" i="5"/>
  <c r="AA25" i="5"/>
  <c r="S25" i="5"/>
  <c r="AE25" i="5"/>
  <c r="K25" i="5"/>
  <c r="X25" i="5"/>
  <c r="V25" i="5"/>
  <c r="AD25" i="5"/>
  <c r="J25" i="5"/>
  <c r="AJ54" i="5"/>
  <c r="AM28" i="5"/>
  <c r="AM26" i="5"/>
  <c r="AM29" i="5"/>
  <c r="AM25" i="5"/>
  <c r="AI19" i="6"/>
  <c r="AM27" i="5"/>
  <c r="N27" i="6"/>
  <c r="Q46" i="5"/>
  <c r="EA36" i="5"/>
  <c r="EA39" i="5"/>
  <c r="X20" i="6"/>
  <c r="V26" i="5"/>
  <c r="CW35" i="5"/>
  <c r="DE36" i="5"/>
  <c r="DC34" i="5"/>
  <c r="EE34" i="5"/>
  <c r="EE36" i="5"/>
  <c r="W204" i="5"/>
  <c r="DU35" i="5"/>
  <c r="BA34" i="5"/>
  <c r="BC34" i="5"/>
  <c r="AA77" i="5"/>
  <c r="DQ35" i="5"/>
  <c r="AE46" i="5"/>
  <c r="Q27" i="6"/>
  <c r="DM35" i="5"/>
  <c r="DW38" i="5"/>
  <c r="AC26" i="5"/>
  <c r="CY37" i="5"/>
  <c r="CY39" i="5"/>
  <c r="X46" i="5"/>
  <c r="L26" i="5"/>
  <c r="V204" i="5"/>
  <c r="AK37" i="5"/>
  <c r="J27" i="6"/>
  <c r="R20" i="6"/>
  <c r="Y26" i="5"/>
  <c r="V77" i="5"/>
  <c r="BK70" i="6"/>
  <c r="AB77" i="5"/>
  <c r="CM36" i="5"/>
  <c r="Y46" i="5"/>
  <c r="CS39" i="5"/>
  <c r="K27" i="6"/>
  <c r="P27" i="6"/>
  <c r="AL29" i="5"/>
  <c r="CO34" i="5"/>
  <c r="CS36" i="5"/>
  <c r="AE77" i="5"/>
  <c r="U26" i="5"/>
  <c r="V27" i="6"/>
  <c r="AD26" i="5"/>
  <c r="DC39" i="5"/>
  <c r="J46" i="5"/>
  <c r="BA35" i="5"/>
  <c r="DQ38" i="5"/>
  <c r="DW34" i="5"/>
  <c r="Z20" i="6"/>
  <c r="U27" i="6"/>
  <c r="DI34" i="5"/>
  <c r="CM34" i="5"/>
  <c r="L20" i="6"/>
  <c r="O46" i="5"/>
  <c r="W26" i="5"/>
  <c r="P204" i="5"/>
  <c r="Y27" i="6"/>
  <c r="DI35" i="5"/>
  <c r="CQ35" i="5"/>
  <c r="EA37" i="5"/>
  <c r="DE39" i="5"/>
  <c r="DS36" i="5"/>
  <c r="O26" i="5"/>
  <c r="DK35" i="5"/>
  <c r="N204" i="5"/>
  <c r="X204" i="5"/>
  <c r="DG38" i="5"/>
  <c r="M46" i="5"/>
  <c r="P77" i="5"/>
  <c r="N20" i="6"/>
  <c r="Z77" i="5"/>
  <c r="EC39" i="5"/>
  <c r="EA38" i="5"/>
  <c r="X27" i="6"/>
  <c r="CU39" i="5"/>
  <c r="CW38" i="5"/>
  <c r="DC37" i="5"/>
  <c r="DC38" i="5"/>
  <c r="EE35" i="5"/>
  <c r="S77" i="5"/>
  <c r="DS38" i="5"/>
  <c r="BA38" i="5"/>
  <c r="BC38" i="5"/>
  <c r="DO34" i="5"/>
  <c r="DO39" i="5"/>
  <c r="S46" i="5"/>
  <c r="AC46" i="5"/>
  <c r="DM34" i="5"/>
  <c r="DW39" i="5"/>
  <c r="DW35" i="5"/>
  <c r="CY35" i="5"/>
  <c r="CY38" i="5"/>
  <c r="R77" i="5"/>
  <c r="K77" i="5"/>
  <c r="U173" i="5"/>
  <c r="O204" i="5"/>
  <c r="AN34" i="5"/>
  <c r="R27" i="6"/>
  <c r="DI38" i="5"/>
  <c r="AK36" i="5"/>
  <c r="AG20" i="6"/>
  <c r="CO36" i="5"/>
  <c r="CS35" i="5"/>
  <c r="CQ36" i="5"/>
  <c r="K20" i="6"/>
  <c r="P20" i="6"/>
  <c r="N26" i="5"/>
  <c r="CS34" i="5"/>
  <c r="Q77" i="5"/>
  <c r="CQ37" i="5"/>
  <c r="AA20" i="6"/>
  <c r="CW39" i="5"/>
  <c r="EE39" i="5"/>
  <c r="DS35" i="5"/>
  <c r="AA26" i="5"/>
  <c r="R46" i="5"/>
  <c r="DM37" i="5"/>
  <c r="DA36" i="5"/>
  <c r="P26" i="5"/>
  <c r="DI39" i="5"/>
  <c r="CM37" i="5"/>
  <c r="V20" i="6"/>
  <c r="J77" i="5"/>
  <c r="DA39" i="5"/>
  <c r="U77" i="5"/>
  <c r="DI36" i="5"/>
  <c r="CO37" i="5"/>
  <c r="EC35" i="5"/>
  <c r="DE35" i="5"/>
  <c r="AE20" i="6"/>
  <c r="Q20" i="6"/>
  <c r="CY36" i="5"/>
  <c r="T77" i="5"/>
  <c r="J20" i="6"/>
  <c r="AI27" i="6"/>
  <c r="CS37" i="5"/>
  <c r="N77" i="5"/>
  <c r="W77" i="5"/>
  <c r="AL25" i="5"/>
  <c r="EA34" i="5"/>
  <c r="EC38" i="5"/>
  <c r="T46" i="5"/>
  <c r="CU38" i="5"/>
  <c r="CW37" i="5"/>
  <c r="DE38" i="5"/>
  <c r="S204" i="5"/>
  <c r="AE26" i="5"/>
  <c r="V173" i="5"/>
  <c r="T173" i="5"/>
  <c r="DS39" i="5"/>
  <c r="BC36" i="5"/>
  <c r="BC39" i="5"/>
  <c r="DQ39" i="5"/>
  <c r="DQ37" i="5"/>
  <c r="T20" i="6"/>
  <c r="AL28" i="5"/>
  <c r="DK39" i="5"/>
  <c r="DY37" i="5"/>
  <c r="DY34" i="5"/>
  <c r="DA37" i="5"/>
  <c r="P173" i="5"/>
  <c r="N173" i="5"/>
  <c r="S20" i="6"/>
  <c r="AA204" i="5"/>
  <c r="AB20" i="6"/>
  <c r="O173" i="5"/>
  <c r="AL26" i="5"/>
  <c r="Q26" i="5"/>
  <c r="DG37" i="5"/>
  <c r="X77" i="5"/>
  <c r="BK69" i="6"/>
  <c r="CO38" i="5"/>
  <c r="U46" i="5"/>
  <c r="Y77" i="5"/>
  <c r="AC77" i="5"/>
  <c r="BC35" i="5"/>
  <c r="DY39" i="5"/>
  <c r="AA46" i="5"/>
  <c r="W27" i="6"/>
  <c r="AC20" i="6"/>
  <c r="CQ39" i="5"/>
  <c r="DW37" i="5"/>
  <c r="AC173" i="5"/>
  <c r="BN70" i="6"/>
  <c r="W173" i="5"/>
  <c r="O20" i="6"/>
  <c r="EG36" i="5"/>
  <c r="DQ36" i="5"/>
  <c r="DA35" i="5"/>
  <c r="W46" i="5"/>
  <c r="K46" i="5"/>
  <c r="AA173" i="5"/>
  <c r="U204" i="5"/>
  <c r="V46" i="5"/>
  <c r="R204" i="5"/>
  <c r="EC37" i="5"/>
  <c r="Z204" i="5"/>
  <c r="M204" i="5"/>
  <c r="CU37" i="5"/>
  <c r="CU35" i="5"/>
  <c r="DE37" i="5"/>
  <c r="K26" i="5"/>
  <c r="EG39" i="5"/>
  <c r="AD46" i="5"/>
  <c r="AB26" i="5"/>
  <c r="DU34" i="5"/>
  <c r="S26" i="5"/>
  <c r="BA37" i="5"/>
  <c r="DO37" i="5"/>
  <c r="DO38" i="5"/>
  <c r="T27" i="6"/>
  <c r="DK34" i="5"/>
  <c r="DK38" i="5"/>
  <c r="DY38" i="5"/>
  <c r="DY35" i="5"/>
  <c r="DA34" i="5"/>
  <c r="Y173" i="5"/>
  <c r="Z27" i="6"/>
  <c r="S27" i="6"/>
  <c r="X173" i="5"/>
  <c r="AB27" i="6"/>
  <c r="AD20" i="6"/>
  <c r="W20" i="6"/>
  <c r="DI37" i="5"/>
  <c r="DG36" i="5"/>
  <c r="AC204" i="5"/>
  <c r="AC27" i="6"/>
  <c r="CO35" i="5"/>
  <c r="CM35" i="5"/>
  <c r="M77" i="5"/>
  <c r="AK38" i="5"/>
  <c r="EG38" i="5"/>
  <c r="DS34" i="5"/>
  <c r="DK36" i="5"/>
  <c r="M20" i="6"/>
  <c r="AD27" i="6"/>
  <c r="AK39" i="5"/>
  <c r="CQ38" i="5"/>
  <c r="DM36" i="5"/>
  <c r="N46" i="5"/>
  <c r="R26" i="5"/>
  <c r="M26" i="5"/>
  <c r="AB173" i="5"/>
  <c r="CU36" i="5"/>
  <c r="DU37" i="5"/>
  <c r="DW36" i="5"/>
  <c r="P46" i="5"/>
  <c r="DG35" i="5"/>
  <c r="M173" i="5"/>
  <c r="AD77" i="5"/>
  <c r="AA27" i="6"/>
  <c r="J26" i="5"/>
  <c r="EC34" i="5"/>
  <c r="AK35" i="5"/>
  <c r="AH20" i="6"/>
  <c r="CW36" i="5"/>
  <c r="DC35" i="5"/>
  <c r="DE34" i="5"/>
  <c r="EG34" i="5"/>
  <c r="EG35" i="5"/>
  <c r="S173" i="5"/>
  <c r="DS37" i="5"/>
  <c r="DU39" i="5"/>
  <c r="BA39" i="5"/>
  <c r="AN35" i="5"/>
  <c r="DQ34" i="5"/>
  <c r="DO36" i="5"/>
  <c r="L46" i="5"/>
  <c r="DM38" i="5"/>
  <c r="DK37" i="5"/>
  <c r="DY36" i="5"/>
  <c r="CY34" i="5"/>
  <c r="DA38" i="5"/>
  <c r="M27" i="6"/>
  <c r="Y204" i="5"/>
  <c r="U20" i="6"/>
  <c r="AB204" i="5"/>
  <c r="T204" i="5"/>
  <c r="Y20" i="6"/>
  <c r="DG34" i="5"/>
  <c r="DG39" i="5"/>
  <c r="BN69" i="6"/>
  <c r="Z46" i="5"/>
  <c r="CM39" i="5"/>
  <c r="CM38" i="5"/>
  <c r="CS38" i="5"/>
  <c r="CQ34" i="5"/>
  <c r="L27" i="6"/>
  <c r="L77" i="5"/>
  <c r="O77" i="5"/>
  <c r="AL27" i="5"/>
  <c r="EA35" i="5"/>
  <c r="EC36" i="5"/>
  <c r="O27" i="6"/>
  <c r="AK34" i="5"/>
  <c r="CU34" i="5"/>
  <c r="X26" i="5"/>
  <c r="DC36" i="5"/>
  <c r="EE37" i="5"/>
  <c r="EG37" i="5"/>
  <c r="Q204" i="5"/>
  <c r="DU36" i="5"/>
  <c r="DU38" i="5"/>
  <c r="BC37" i="5"/>
  <c r="AE27" i="6"/>
  <c r="DO35" i="5"/>
  <c r="DM39" i="5"/>
  <c r="R173" i="5"/>
  <c r="AB46" i="5"/>
  <c r="CO39" i="5"/>
  <c r="Q173" i="5"/>
  <c r="Z173" i="5"/>
  <c r="CW34" i="5"/>
  <c r="EE38" i="5"/>
  <c r="BA36" i="5"/>
  <c r="Z26" i="5"/>
  <c r="T26" i="5"/>
  <c r="Z26" i="6"/>
  <c r="T26" i="6"/>
  <c r="AB26" i="6"/>
  <c r="M26" i="6"/>
  <c r="O26" i="6"/>
  <c r="P26" i="6"/>
  <c r="L26" i="6"/>
  <c r="K26" i="6"/>
  <c r="R26" i="6"/>
  <c r="AC26" i="6"/>
  <c r="X26" i="6"/>
  <c r="S26" i="6"/>
  <c r="J26" i="6"/>
  <c r="V26" i="6"/>
  <c r="U26" i="6"/>
  <c r="AD26" i="6"/>
  <c r="AE26" i="6"/>
  <c r="Q26" i="6"/>
  <c r="Y26" i="6"/>
  <c r="N26" i="6"/>
  <c r="W26" i="6"/>
  <c r="AA26" i="6"/>
  <c r="BB36" i="5"/>
  <c r="AE38" i="5"/>
  <c r="EF38" i="5"/>
  <c r="CX34" i="5"/>
  <c r="V155" i="5"/>
  <c r="CP39" i="5"/>
  <c r="DN39" i="5"/>
  <c r="AA35" i="5"/>
  <c r="AA36" i="6"/>
  <c r="AA118" i="5"/>
  <c r="DP35" i="5"/>
  <c r="S37" i="5"/>
  <c r="BD37" i="5"/>
  <c r="DV38" i="5"/>
  <c r="DV36" i="5"/>
  <c r="EH37" i="5"/>
  <c r="AE37" i="5"/>
  <c r="EF37" i="5"/>
  <c r="X36" i="5"/>
  <c r="DD36" i="5"/>
  <c r="V34" i="5"/>
  <c r="V35" i="6"/>
  <c r="V117" i="5"/>
  <c r="CV34" i="5"/>
  <c r="AD157" i="5"/>
  <c r="AD76" i="6"/>
  <c r="ED36" i="5"/>
  <c r="EB35" i="5"/>
  <c r="AD35" i="5"/>
  <c r="AD36" i="6"/>
  <c r="AD118" i="5"/>
  <c r="AN27" i="5"/>
  <c r="U34" i="5"/>
  <c r="U35" i="6"/>
  <c r="U117" i="5"/>
  <c r="CR34" i="5"/>
  <c r="CT38" i="5"/>
  <c r="T38" i="5"/>
  <c r="CN38" i="5"/>
  <c r="T39" i="5"/>
  <c r="CN39" i="5"/>
  <c r="BL69" i="6"/>
  <c r="DH39" i="5"/>
  <c r="Y39" i="5"/>
  <c r="DH34" i="5"/>
  <c r="Y34" i="5"/>
  <c r="Y35" i="6"/>
  <c r="Y117" i="5"/>
  <c r="AA37" i="6"/>
  <c r="DB38" i="5"/>
  <c r="CZ34" i="5"/>
  <c r="W34" i="5"/>
  <c r="W35" i="6"/>
  <c r="W117" i="5"/>
  <c r="DZ36" i="5"/>
  <c r="AC157" i="5"/>
  <c r="AC76" i="6"/>
  <c r="DL37" i="5"/>
  <c r="Z37" i="5"/>
  <c r="DN38" i="5"/>
  <c r="DP36" i="5"/>
  <c r="AA36" i="5"/>
  <c r="DR34" i="5"/>
  <c r="AA155" i="5"/>
  <c r="BB39" i="5"/>
  <c r="DV39" i="5"/>
  <c r="DT37" i="5"/>
  <c r="AB37" i="5"/>
  <c r="AE156" i="5"/>
  <c r="EH35" i="5"/>
  <c r="EH34" i="5"/>
  <c r="AE155" i="5"/>
  <c r="X155" i="5"/>
  <c r="DF34" i="5"/>
  <c r="DD35" i="5"/>
  <c r="X35" i="5"/>
  <c r="X36" i="6"/>
  <c r="X118" i="5"/>
  <c r="CX36" i="5"/>
  <c r="V157" i="5"/>
  <c r="V76" i="6"/>
  <c r="AK54" i="5"/>
  <c r="AD155" i="5"/>
  <c r="ED34" i="5"/>
  <c r="DH35" i="5"/>
  <c r="Y35" i="5"/>
  <c r="Y36" i="6"/>
  <c r="Y118" i="5"/>
  <c r="AC36" i="5"/>
  <c r="DX36" i="5"/>
  <c r="DV37" i="5"/>
  <c r="CV36" i="5"/>
  <c r="V36" i="5"/>
  <c r="Z157" i="5"/>
  <c r="Z76" i="6"/>
  <c r="DN36" i="5"/>
  <c r="CR38" i="5"/>
  <c r="U38" i="5"/>
  <c r="N37" i="6"/>
  <c r="M120" i="6"/>
  <c r="M122" i="6"/>
  <c r="M123" i="6"/>
  <c r="Z36" i="5"/>
  <c r="DL36" i="5"/>
  <c r="AB34" i="5"/>
  <c r="AB35" i="6"/>
  <c r="AB117" i="5"/>
  <c r="DT34" i="5"/>
  <c r="EH38" i="5"/>
  <c r="CN35" i="5"/>
  <c r="T35" i="5"/>
  <c r="T36" i="6"/>
  <c r="T118" i="5"/>
  <c r="CP35" i="5"/>
  <c r="T156" i="5"/>
  <c r="Y36" i="5"/>
  <c r="DH36" i="5"/>
  <c r="DJ37" i="5"/>
  <c r="W155" i="5"/>
  <c r="DB34" i="5"/>
  <c r="DZ35" i="5"/>
  <c r="AC156" i="5"/>
  <c r="DZ38" i="5"/>
  <c r="DL38" i="5"/>
  <c r="Z38" i="5"/>
  <c r="Z34" i="5"/>
  <c r="Z35" i="6"/>
  <c r="Z117" i="5"/>
  <c r="DL34" i="5"/>
  <c r="AA38" i="5"/>
  <c r="DP38" i="5"/>
  <c r="DP37" i="5"/>
  <c r="AA37" i="5"/>
  <c r="BB37" i="5"/>
  <c r="DV34" i="5"/>
  <c r="EH39" i="5"/>
  <c r="DF37" i="5"/>
  <c r="V35" i="5"/>
  <c r="V36" i="6"/>
  <c r="V118" i="5"/>
  <c r="CV35" i="5"/>
  <c r="CV37" i="5"/>
  <c r="V37" i="5"/>
  <c r="ED37" i="5"/>
  <c r="W156" i="5"/>
  <c r="DB35" i="5"/>
  <c r="DR36" i="5"/>
  <c r="AA157" i="5"/>
  <c r="AA76" i="6"/>
  <c r="EH36" i="5"/>
  <c r="AE157" i="5"/>
  <c r="AE76" i="6"/>
  <c r="O120" i="6"/>
  <c r="O122" i="6"/>
  <c r="O123" i="6"/>
  <c r="Q37" i="6"/>
  <c r="BL70" i="6"/>
  <c r="DX37" i="5"/>
  <c r="AC37" i="5"/>
  <c r="CR39" i="5"/>
  <c r="U39" i="5"/>
  <c r="DZ39" i="5"/>
  <c r="BD35" i="5"/>
  <c r="S35" i="5"/>
  <c r="S36" i="6"/>
  <c r="S118" i="5"/>
  <c r="S156" i="5"/>
  <c r="CP38" i="5"/>
  <c r="DH37" i="5"/>
  <c r="Y37" i="5"/>
  <c r="AN26" i="5"/>
  <c r="AD37" i="6"/>
  <c r="DB37" i="5"/>
  <c r="DZ34" i="5"/>
  <c r="AC155" i="5"/>
  <c r="DZ37" i="5"/>
  <c r="DL39" i="5"/>
  <c r="Z39" i="5"/>
  <c r="AN28" i="5"/>
  <c r="V37" i="6"/>
  <c r="DR37" i="5"/>
  <c r="DR39" i="5"/>
  <c r="BD39" i="5"/>
  <c r="S39" i="5"/>
  <c r="BD36" i="5"/>
  <c r="S36" i="5"/>
  <c r="S157" i="5"/>
  <c r="S76" i="6"/>
  <c r="AB39" i="5"/>
  <c r="DT39" i="5"/>
  <c r="DF38" i="5"/>
  <c r="CX37" i="5"/>
  <c r="V38" i="5"/>
  <c r="CV38" i="5"/>
  <c r="ED38" i="5"/>
  <c r="EB34" i="5"/>
  <c r="AD34" i="5"/>
  <c r="AD35" i="6"/>
  <c r="AD117" i="5"/>
  <c r="AN25" i="5"/>
  <c r="CT37" i="5"/>
  <c r="J120" i="6"/>
  <c r="J122" i="6"/>
  <c r="J123" i="6"/>
  <c r="J37" i="6"/>
  <c r="CZ36" i="5"/>
  <c r="W36" i="5"/>
  <c r="X156" i="5"/>
  <c r="DF35" i="5"/>
  <c r="ED35" i="5"/>
  <c r="AD156" i="5"/>
  <c r="CP37" i="5"/>
  <c r="AB157" i="5"/>
  <c r="AB76" i="6"/>
  <c r="Y157" i="5"/>
  <c r="Y76" i="6"/>
  <c r="DJ36" i="5"/>
  <c r="DB39" i="5"/>
  <c r="CN37" i="5"/>
  <c r="T37" i="5"/>
  <c r="DJ39" i="5"/>
  <c r="DB36" i="5"/>
  <c r="W157" i="5"/>
  <c r="W76" i="6"/>
  <c r="DN37" i="5"/>
  <c r="AB35" i="5"/>
  <c r="AB36" i="6"/>
  <c r="AB118" i="5"/>
  <c r="DT35" i="5"/>
  <c r="AE39" i="5"/>
  <c r="EF39" i="5"/>
  <c r="CX39" i="5"/>
  <c r="AC37" i="6"/>
  <c r="CR37" i="5"/>
  <c r="U37" i="5"/>
  <c r="U155" i="5"/>
  <c r="CT34" i="5"/>
  <c r="R37" i="6"/>
  <c r="P120" i="6"/>
  <c r="P122" i="6"/>
  <c r="P123" i="6"/>
  <c r="K120" i="6"/>
  <c r="K122" i="6"/>
  <c r="K123" i="6"/>
  <c r="L37" i="6"/>
  <c r="K37" i="6"/>
  <c r="CR36" i="5"/>
  <c r="U36" i="5"/>
  <c r="U156" i="5"/>
  <c r="CT35" i="5"/>
  <c r="T157" i="5"/>
  <c r="T76" i="6"/>
  <c r="CP36" i="5"/>
  <c r="Z30" i="6"/>
  <c r="S30" i="6"/>
  <c r="L30" i="6"/>
  <c r="W30" i="6"/>
  <c r="O30" i="6"/>
  <c r="AB30" i="6"/>
  <c r="R30" i="6"/>
  <c r="T30" i="6"/>
  <c r="X30" i="6"/>
  <c r="AE30" i="6"/>
  <c r="J30" i="6"/>
  <c r="N30" i="6"/>
  <c r="AA30" i="6"/>
  <c r="AD30" i="6"/>
  <c r="Y30" i="6"/>
  <c r="P30" i="6"/>
  <c r="V30" i="6"/>
  <c r="K30" i="6"/>
  <c r="U30" i="6"/>
  <c r="M30" i="6"/>
  <c r="AC30" i="6"/>
  <c r="Q30" i="6"/>
  <c r="DJ38" i="5"/>
  <c r="CZ38" i="5"/>
  <c r="W38" i="5"/>
  <c r="W35" i="5"/>
  <c r="W36" i="6"/>
  <c r="W118" i="5"/>
  <c r="CZ35" i="5"/>
  <c r="AC35" i="5"/>
  <c r="AC36" i="6"/>
  <c r="AC118" i="5"/>
  <c r="DX35" i="5"/>
  <c r="AC39" i="5"/>
  <c r="DX39" i="5"/>
  <c r="Z155" i="5"/>
  <c r="DN34" i="5"/>
  <c r="AA39" i="5"/>
  <c r="DP39" i="5"/>
  <c r="DP34" i="5"/>
  <c r="AA34" i="5"/>
  <c r="AA35" i="6"/>
  <c r="AA117" i="5"/>
  <c r="S38" i="5"/>
  <c r="BD38" i="5"/>
  <c r="BB38" i="5"/>
  <c r="DT38" i="5"/>
  <c r="AB38" i="5"/>
  <c r="AE35" i="5"/>
  <c r="AE36" i="6"/>
  <c r="AE118" i="5"/>
  <c r="EF35" i="5"/>
  <c r="X38" i="5"/>
  <c r="DD38" i="5"/>
  <c r="DD37" i="5"/>
  <c r="X37" i="5"/>
  <c r="CX38" i="5"/>
  <c r="V39" i="5"/>
  <c r="CV39" i="5"/>
  <c r="EB38" i="5"/>
  <c r="AD38" i="5"/>
  <c r="ED39" i="5"/>
  <c r="N120" i="6"/>
  <c r="N122" i="6"/>
  <c r="N123" i="6"/>
  <c r="O37" i="6"/>
  <c r="P37" i="6"/>
  <c r="Y38" i="5"/>
  <c r="DH38" i="5"/>
  <c r="DL35" i="5"/>
  <c r="Z35" i="5"/>
  <c r="Z36" i="6"/>
  <c r="Z118" i="5"/>
  <c r="DT36" i="5"/>
  <c r="AB36" i="5"/>
  <c r="DF39" i="5"/>
  <c r="AD37" i="5"/>
  <c r="EB37" i="5"/>
  <c r="U35" i="5"/>
  <c r="U36" i="6"/>
  <c r="U118" i="5"/>
  <c r="CR35" i="5"/>
  <c r="AB156" i="5"/>
  <c r="DJ35" i="5"/>
  <c r="Y156" i="5"/>
  <c r="L120" i="6"/>
  <c r="L122" i="6"/>
  <c r="L123" i="6"/>
  <c r="M37" i="6"/>
  <c r="CN34" i="5"/>
  <c r="T34" i="5"/>
  <c r="T35" i="6"/>
  <c r="T117" i="5"/>
  <c r="AB155" i="5"/>
  <c r="DJ34" i="5"/>
  <c r="Y155" i="5"/>
  <c r="DX34" i="5"/>
  <c r="AC34" i="5"/>
  <c r="AC35" i="6"/>
  <c r="AC117" i="5"/>
  <c r="DR38" i="5"/>
  <c r="BB35" i="5"/>
  <c r="DD39" i="5"/>
  <c r="X39" i="5"/>
  <c r="U157" i="5"/>
  <c r="U76" i="6"/>
  <c r="CT36" i="5"/>
  <c r="T155" i="5"/>
  <c r="CP34" i="5"/>
  <c r="AN29" i="5"/>
  <c r="CT39" i="5"/>
  <c r="CN36" i="5"/>
  <c r="T36" i="5"/>
  <c r="T37" i="6"/>
  <c r="CZ39" i="5"/>
  <c r="W39" i="5"/>
  <c r="CZ37" i="5"/>
  <c r="W37" i="5"/>
  <c r="DX38" i="5"/>
  <c r="AC38" i="5"/>
  <c r="DN35" i="5"/>
  <c r="Z156" i="5"/>
  <c r="DR35" i="5"/>
  <c r="AA156" i="5"/>
  <c r="S34" i="5"/>
  <c r="S35" i="6"/>
  <c r="S117" i="5"/>
  <c r="S155" i="5"/>
  <c r="BD34" i="5"/>
  <c r="BB34" i="5"/>
  <c r="DV35" i="5"/>
  <c r="EF36" i="5"/>
  <c r="AE36" i="5"/>
  <c r="AE34" i="5"/>
  <c r="AE35" i="6"/>
  <c r="AE117" i="5"/>
  <c r="EF34" i="5"/>
  <c r="DD34" i="5"/>
  <c r="X34" i="5"/>
  <c r="X35" i="6"/>
  <c r="X117" i="5"/>
  <c r="DF36" i="5"/>
  <c r="X157" i="5"/>
  <c r="X76" i="6"/>
  <c r="V156" i="5"/>
  <c r="CX35" i="5"/>
  <c r="Z37" i="6"/>
  <c r="AD39" i="5"/>
  <c r="EB39" i="5"/>
  <c r="EB36" i="5"/>
  <c r="AD36" i="5"/>
  <c r="BM70" i="6"/>
  <c r="BO70" i="6"/>
  <c r="BP70" i="6"/>
  <c r="BQ70" i="6"/>
  <c r="BR70" i="6"/>
  <c r="BM69" i="6"/>
  <c r="BO69" i="6"/>
  <c r="BP69" i="6"/>
  <c r="BQ69" i="6"/>
  <c r="BR69" i="6"/>
  <c r="AB48" i="5"/>
  <c r="T206" i="5"/>
  <c r="P48" i="5"/>
  <c r="AC206" i="5"/>
  <c r="U48" i="5"/>
  <c r="T175" i="5"/>
  <c r="J79" i="5"/>
  <c r="O206" i="5"/>
  <c r="AB79" i="5"/>
  <c r="Q48" i="5"/>
  <c r="U175" i="5"/>
  <c r="AA79" i="5"/>
  <c r="R175" i="5"/>
  <c r="Q206" i="5"/>
  <c r="AB206" i="5"/>
  <c r="R206" i="5"/>
  <c r="AA48" i="5"/>
  <c r="AA206" i="5"/>
  <c r="V175" i="5"/>
  <c r="T79" i="5"/>
  <c r="R48" i="5"/>
  <c r="S79" i="5"/>
  <c r="V79" i="5"/>
  <c r="J48" i="5"/>
  <c r="AD79" i="5"/>
  <c r="N175" i="5"/>
  <c r="V206" i="5"/>
  <c r="AD48" i="5"/>
  <c r="Y79" i="5"/>
  <c r="N206" i="5"/>
  <c r="V48" i="5"/>
  <c r="AC175" i="5"/>
  <c r="X79" i="5"/>
  <c r="S206" i="5"/>
  <c r="K79" i="5"/>
  <c r="P79" i="5"/>
  <c r="AA175" i="5"/>
  <c r="W79" i="5"/>
  <c r="P206" i="5"/>
  <c r="Z206" i="5"/>
  <c r="W206" i="5"/>
  <c r="M79" i="5"/>
  <c r="U206" i="5"/>
  <c r="Q79" i="5"/>
  <c r="R79" i="5"/>
  <c r="M48" i="5"/>
  <c r="Y206" i="5"/>
  <c r="Z175" i="5"/>
  <c r="L48" i="5"/>
  <c r="M175" i="5"/>
  <c r="K48" i="5"/>
  <c r="P175" i="5"/>
  <c r="N79" i="5"/>
  <c r="O48" i="5"/>
  <c r="Y48" i="5"/>
  <c r="X48" i="5"/>
  <c r="Q175" i="5"/>
  <c r="O79" i="5"/>
  <c r="S175" i="5"/>
  <c r="AB175" i="5"/>
  <c r="W48" i="5"/>
  <c r="O175" i="5"/>
  <c r="U79" i="5"/>
  <c r="AC48" i="5"/>
  <c r="Z79" i="5"/>
  <c r="AE79" i="5"/>
  <c r="AE48" i="5"/>
  <c r="L79" i="5"/>
  <c r="N48" i="5"/>
  <c r="Y175" i="5"/>
  <c r="T48" i="5"/>
  <c r="X175" i="5"/>
  <c r="M206" i="5"/>
  <c r="AC79" i="5"/>
  <c r="X206" i="5"/>
  <c r="Z48" i="5"/>
  <c r="W175" i="5"/>
  <c r="S48" i="5"/>
  <c r="O121" i="6"/>
  <c r="V121" i="6"/>
  <c r="AC121" i="6"/>
  <c r="Q121" i="6"/>
  <c r="X121" i="6"/>
  <c r="L121" i="6"/>
  <c r="Z121" i="6"/>
  <c r="K121" i="6"/>
  <c r="AA121" i="6"/>
  <c r="T121" i="6"/>
  <c r="Y121" i="6"/>
  <c r="J121" i="6"/>
  <c r="U121" i="6"/>
  <c r="W121" i="6"/>
  <c r="S121" i="6"/>
  <c r="P121" i="6"/>
  <c r="N121" i="6"/>
  <c r="R121" i="6"/>
  <c r="M121" i="6"/>
  <c r="AB121" i="6"/>
  <c r="AC119" i="5"/>
  <c r="AC39" i="6"/>
  <c r="T75" i="6"/>
  <c r="R119" i="6"/>
  <c r="R120" i="6"/>
  <c r="R122" i="6"/>
  <c r="R123" i="6"/>
  <c r="AD48" i="6"/>
  <c r="AD49" i="6"/>
  <c r="AB48" i="6"/>
  <c r="AB49" i="6"/>
  <c r="R119" i="5"/>
  <c r="R39" i="6"/>
  <c r="X75" i="6"/>
  <c r="V119" i="6"/>
  <c r="V120" i="6"/>
  <c r="V122" i="6"/>
  <c r="V123" i="6"/>
  <c r="Q119" i="5"/>
  <c r="Q39" i="6"/>
  <c r="M39" i="6"/>
  <c r="M119" i="5"/>
  <c r="AE37" i="6"/>
  <c r="AC119" i="6"/>
  <c r="AC120" i="6"/>
  <c r="AC122" i="6"/>
  <c r="AC123" i="6"/>
  <c r="AE75" i="6"/>
  <c r="AA39" i="6"/>
  <c r="AA119" i="5"/>
  <c r="Q48" i="6"/>
  <c r="Q49" i="6"/>
  <c r="V39" i="6"/>
  <c r="V119" i="5"/>
  <c r="X119" i="6"/>
  <c r="X120" i="6"/>
  <c r="X122" i="6"/>
  <c r="X123" i="6"/>
  <c r="Z75" i="6"/>
  <c r="AB37" i="6"/>
  <c r="AC48" i="6"/>
  <c r="AC49" i="6"/>
  <c r="AA49" i="6"/>
  <c r="AA48" i="6"/>
  <c r="O49" i="6"/>
  <c r="O48" i="6"/>
  <c r="U75" i="6"/>
  <c r="S119" i="6"/>
  <c r="S120" i="6"/>
  <c r="S122" i="6"/>
  <c r="S123" i="6"/>
  <c r="S37" i="6"/>
  <c r="S75" i="6"/>
  <c r="Q119" i="6"/>
  <c r="Q120" i="6"/>
  <c r="Q122" i="6"/>
  <c r="Q123" i="6"/>
  <c r="AD39" i="6"/>
  <c r="AD119" i="5"/>
  <c r="U119" i="6"/>
  <c r="U120" i="6"/>
  <c r="U122" i="6"/>
  <c r="U123" i="6"/>
  <c r="W75" i="6"/>
  <c r="M49" i="6"/>
  <c r="M48" i="6"/>
  <c r="N39" i="6"/>
  <c r="N119" i="5"/>
  <c r="Z39" i="6"/>
  <c r="Z119" i="5"/>
  <c r="T119" i="5"/>
  <c r="T39" i="6"/>
  <c r="U48" i="6"/>
  <c r="U49" i="6"/>
  <c r="J49" i="6"/>
  <c r="J48" i="6"/>
  <c r="L49" i="6"/>
  <c r="L48" i="6"/>
  <c r="U37" i="6"/>
  <c r="AC75" i="6"/>
  <c r="AA119" i="6"/>
  <c r="AA120" i="6"/>
  <c r="AA122" i="6"/>
  <c r="AA123" i="6"/>
  <c r="V118" i="6"/>
  <c r="X74" i="6"/>
  <c r="Y48" i="6"/>
  <c r="Y49" i="6"/>
  <c r="X118" i="6"/>
  <c r="Z74" i="6"/>
  <c r="W49" i="6"/>
  <c r="W48" i="6"/>
  <c r="Y37" i="6"/>
  <c r="T118" i="6"/>
  <c r="V74" i="6"/>
  <c r="Q118" i="6"/>
  <c r="S74" i="6"/>
  <c r="K49" i="6"/>
  <c r="K48" i="6"/>
  <c r="AE49" i="6"/>
  <c r="AE48" i="6"/>
  <c r="S48" i="6"/>
  <c r="S49" i="6"/>
  <c r="K119" i="5"/>
  <c r="K39" i="6"/>
  <c r="AB118" i="6"/>
  <c r="AD74" i="6"/>
  <c r="AE74" i="6"/>
  <c r="AC118" i="6"/>
  <c r="W37" i="6"/>
  <c r="R48" i="6"/>
  <c r="R49" i="6"/>
  <c r="Y74" i="6"/>
  <c r="W118" i="6"/>
  <c r="N49" i="6"/>
  <c r="N48" i="6"/>
  <c r="U74" i="6"/>
  <c r="S118" i="6"/>
  <c r="Y75" i="6"/>
  <c r="W119" i="6"/>
  <c r="W120" i="6"/>
  <c r="W122" i="6"/>
  <c r="W123" i="6"/>
  <c r="Z118" i="6"/>
  <c r="AB74" i="6"/>
  <c r="Z119" i="6"/>
  <c r="Z120" i="6"/>
  <c r="Z122" i="6"/>
  <c r="Z123" i="6"/>
  <c r="AB75" i="6"/>
  <c r="V48" i="6"/>
  <c r="V49" i="6"/>
  <c r="X49" i="6"/>
  <c r="X48" i="6"/>
  <c r="Z48" i="6"/>
  <c r="Z49" i="6"/>
  <c r="L39" i="6"/>
  <c r="L119" i="5"/>
  <c r="X37" i="6"/>
  <c r="AD75" i="6"/>
  <c r="AB119" i="6"/>
  <c r="AB120" i="6"/>
  <c r="AB122" i="6"/>
  <c r="AB123" i="6"/>
  <c r="Y118" i="6"/>
  <c r="AA74" i="6"/>
  <c r="T74" i="6"/>
  <c r="R118" i="6"/>
  <c r="P39" i="6"/>
  <c r="P119" i="5"/>
  <c r="V75" i="6"/>
  <c r="T119" i="6"/>
  <c r="T120" i="6"/>
  <c r="T122" i="6"/>
  <c r="T123" i="6"/>
  <c r="AA75" i="6"/>
  <c r="Y119" i="6"/>
  <c r="Y120" i="6"/>
  <c r="Y122" i="6"/>
  <c r="Y123" i="6"/>
  <c r="O39" i="6"/>
  <c r="O119" i="5"/>
  <c r="P49" i="6"/>
  <c r="P48" i="6"/>
  <c r="T49" i="6"/>
  <c r="T48" i="6"/>
  <c r="J119" i="5"/>
  <c r="J39" i="6"/>
  <c r="AC74" i="6"/>
  <c r="AA118" i="6"/>
  <c r="Q38" i="6"/>
  <c r="Q120" i="5"/>
  <c r="M38" i="6"/>
  <c r="M120" i="5"/>
  <c r="J38" i="6"/>
  <c r="J120" i="5"/>
  <c r="P38" i="6"/>
  <c r="P120" i="5"/>
  <c r="AB38" i="6"/>
  <c r="AB120" i="5"/>
  <c r="T38" i="6"/>
  <c r="T120" i="5"/>
  <c r="L38" i="6"/>
  <c r="L120" i="5"/>
  <c r="AC38" i="6"/>
  <c r="AC120" i="5"/>
  <c r="Z38" i="6"/>
  <c r="Z120" i="5"/>
  <c r="AA38" i="6"/>
  <c r="AA120" i="5"/>
  <c r="X38" i="6"/>
  <c r="X120" i="5"/>
  <c r="N38" i="6"/>
  <c r="N120" i="5"/>
  <c r="AE38" i="6"/>
  <c r="AE120" i="5"/>
  <c r="R38" i="6"/>
  <c r="R120" i="5"/>
  <c r="Y38" i="6"/>
  <c r="Y120" i="5"/>
  <c r="V38" i="6"/>
  <c r="V120" i="5"/>
  <c r="W38" i="6"/>
  <c r="W120" i="5"/>
  <c r="AD38" i="6"/>
  <c r="AD120" i="5"/>
  <c r="S38" i="6"/>
  <c r="S120" i="5"/>
  <c r="K38" i="6"/>
  <c r="K120" i="5"/>
  <c r="U38" i="6"/>
  <c r="U120" i="5"/>
  <c r="O38" i="6"/>
  <c r="O120" i="5"/>
  <c r="U118" i="6"/>
  <c r="W74" i="6"/>
  <c r="CI59" i="5"/>
  <c r="DM60" i="5"/>
  <c r="DW92" i="5"/>
  <c r="BQ59" i="5"/>
  <c r="BG92" i="5"/>
  <c r="EE60" i="5"/>
  <c r="DM90" i="5"/>
  <c r="DY61" i="5"/>
  <c r="CQ92" i="5"/>
  <c r="BS92" i="5"/>
  <c r="DC59" i="5"/>
  <c r="DG59" i="5"/>
  <c r="BQ92" i="5"/>
  <c r="BC59" i="5"/>
  <c r="BG59" i="5"/>
  <c r="CE91" i="5"/>
  <c r="CA92" i="5"/>
  <c r="BM91" i="5"/>
  <c r="BW91" i="5"/>
  <c r="BC92" i="5"/>
  <c r="DC91" i="5"/>
  <c r="DG91" i="5"/>
  <c r="EC59" i="5"/>
  <c r="EA91" i="5"/>
  <c r="CW91" i="5"/>
  <c r="CK90" i="5"/>
  <c r="CG59" i="5"/>
  <c r="DQ60" i="5"/>
  <c r="DQ91" i="5"/>
  <c r="CA60" i="5"/>
  <c r="AY92" i="5"/>
  <c r="CS61" i="5"/>
  <c r="BY61" i="5"/>
  <c r="DU59" i="5"/>
  <c r="CO60" i="5"/>
  <c r="EG91" i="5"/>
  <c r="BS91" i="5"/>
  <c r="BQ90" i="5"/>
  <c r="BM59" i="5"/>
  <c r="BY90" i="5"/>
  <c r="EC92" i="5"/>
  <c r="CO92" i="5"/>
  <c r="CC59" i="5"/>
  <c r="DU60" i="5"/>
  <c r="CU61" i="5"/>
  <c r="CE59" i="5"/>
  <c r="CQ59" i="5"/>
  <c r="DM59" i="5"/>
  <c r="CS92" i="5"/>
  <c r="BC60" i="5"/>
  <c r="DA90" i="5"/>
  <c r="CW61" i="5"/>
  <c r="CG61" i="5"/>
  <c r="DS92" i="5"/>
  <c r="DU61" i="5"/>
  <c r="CK61" i="5"/>
  <c r="DM61" i="5"/>
  <c r="DY91" i="5"/>
  <c r="BO61" i="5"/>
  <c r="BG91" i="5"/>
  <c r="EE59" i="5"/>
  <c r="DM91" i="5"/>
  <c r="DW59" i="5"/>
  <c r="CQ90" i="5"/>
  <c r="BU92" i="5"/>
  <c r="DE61" i="5"/>
  <c r="DI59" i="5"/>
  <c r="BO90" i="5"/>
  <c r="BE59" i="5"/>
  <c r="BI60" i="5"/>
  <c r="CE90" i="5"/>
  <c r="CA90" i="5"/>
  <c r="BM90" i="5"/>
  <c r="BY92" i="5"/>
  <c r="BC91" i="5"/>
  <c r="DE90" i="5"/>
  <c r="DI91" i="5"/>
  <c r="EA61" i="5"/>
  <c r="EC90" i="5"/>
  <c r="CW90" i="5"/>
  <c r="CI92" i="5"/>
  <c r="CE60" i="5"/>
  <c r="DO61" i="5"/>
  <c r="DO90" i="5"/>
  <c r="CA59" i="5"/>
  <c r="BA90" i="5"/>
  <c r="CQ60" i="5"/>
  <c r="BW59" i="5"/>
  <c r="DW90" i="5"/>
  <c r="EG61" i="5"/>
  <c r="CY59" i="5"/>
  <c r="BG60" i="5"/>
  <c r="DA92" i="5"/>
  <c r="DC90" i="5"/>
  <c r="AY59" i="5"/>
  <c r="DO59" i="5"/>
  <c r="DU90" i="5"/>
  <c r="AY60" i="5"/>
  <c r="CC61" i="5"/>
  <c r="BY60" i="5"/>
  <c r="EG60" i="5"/>
  <c r="DY59" i="5"/>
  <c r="BS61" i="5"/>
  <c r="BK61" i="5"/>
  <c r="DC92" i="5"/>
  <c r="CK91" i="5"/>
  <c r="CQ61" i="5"/>
  <c r="CK59" i="5"/>
  <c r="DK60" i="5"/>
  <c r="CM60" i="5"/>
  <c r="BO60" i="5"/>
  <c r="BI91" i="5"/>
  <c r="EG92" i="5"/>
  <c r="DK92" i="5"/>
  <c r="DW61" i="5"/>
  <c r="CY61" i="5"/>
  <c r="BU90" i="5"/>
  <c r="DE59" i="5"/>
  <c r="BS60" i="5"/>
  <c r="BO92" i="5"/>
  <c r="BE60" i="5"/>
  <c r="BM60" i="5"/>
  <c r="CE92" i="5"/>
  <c r="CC90" i="5"/>
  <c r="DA91" i="5"/>
  <c r="BW92" i="5"/>
  <c r="BE92" i="5"/>
  <c r="CW59" i="5"/>
  <c r="DI92" i="5"/>
  <c r="EC61" i="5"/>
  <c r="BA61" i="5"/>
  <c r="CW92" i="5"/>
  <c r="CI91" i="5"/>
  <c r="CM91" i="5"/>
  <c r="DO60" i="5"/>
  <c r="DO91" i="5"/>
  <c r="DU91" i="5"/>
  <c r="BA91" i="5"/>
  <c r="CS59" i="5"/>
  <c r="BQ60" i="5"/>
  <c r="DM92" i="5"/>
  <c r="DI61" i="5"/>
  <c r="CG90" i="5"/>
  <c r="CW60" i="5"/>
  <c r="CU92" i="5"/>
  <c r="BY59" i="5"/>
  <c r="DE91" i="5"/>
  <c r="DQ92" i="5"/>
  <c r="BG90" i="5"/>
  <c r="DE60" i="5"/>
  <c r="CA91" i="5"/>
  <c r="EA92" i="5"/>
  <c r="CC60" i="5"/>
  <c r="CI60" i="5"/>
  <c r="DK59" i="5"/>
  <c r="CM61" i="5"/>
  <c r="BQ61" i="5"/>
  <c r="BI90" i="5"/>
  <c r="EG90" i="5"/>
  <c r="DK90" i="5"/>
  <c r="DW60" i="5"/>
  <c r="DA59" i="5"/>
  <c r="BU91" i="5"/>
  <c r="DC60" i="5"/>
  <c r="BU60" i="5"/>
  <c r="BQ91" i="5"/>
  <c r="BC61" i="5"/>
  <c r="BK59" i="5"/>
  <c r="CG91" i="5"/>
  <c r="CC92" i="5"/>
  <c r="CY91" i="5"/>
  <c r="BY91" i="5"/>
  <c r="BE90" i="5"/>
  <c r="CU60" i="5"/>
  <c r="DG92" i="5"/>
  <c r="EA60" i="5"/>
  <c r="BA59" i="5"/>
  <c r="CU91" i="5"/>
  <c r="CI90" i="5"/>
  <c r="CO90" i="5"/>
  <c r="DQ59" i="5"/>
  <c r="DQ90" i="5"/>
  <c r="DU92" i="5"/>
  <c r="AY91" i="5"/>
  <c r="CS60" i="5"/>
  <c r="DS59" i="5"/>
  <c r="CK60" i="5"/>
  <c r="CQ91" i="5"/>
  <c r="BS59" i="5"/>
  <c r="BK91" i="5"/>
  <c r="DG90" i="5"/>
  <c r="CE61" i="5"/>
  <c r="BA92" i="5"/>
  <c r="EA90" i="5"/>
  <c r="CM92" i="5"/>
  <c r="DY90" i="5"/>
  <c r="CY60" i="5"/>
  <c r="BM92" i="5"/>
  <c r="EC60" i="5"/>
  <c r="DO92" i="5"/>
  <c r="CI61" i="5"/>
  <c r="DY92" i="5"/>
  <c r="CO61" i="5"/>
  <c r="BO59" i="5"/>
  <c r="EG59" i="5"/>
  <c r="EE90" i="5"/>
  <c r="DK91" i="5"/>
  <c r="CS91" i="5"/>
  <c r="DA60" i="5"/>
  <c r="BS90" i="5"/>
  <c r="DG61" i="5"/>
  <c r="BU61" i="5"/>
  <c r="BO91" i="5"/>
  <c r="BI59" i="5"/>
  <c r="BK60" i="5"/>
  <c r="CG92" i="5"/>
  <c r="BK90" i="5"/>
  <c r="CY92" i="5"/>
  <c r="BW90" i="5"/>
  <c r="DE92" i="5"/>
  <c r="CU59" i="5"/>
  <c r="DI90" i="5"/>
  <c r="EC91" i="5"/>
  <c r="AY61" i="5"/>
  <c r="CU90" i="5"/>
  <c r="CG60" i="5"/>
  <c r="CO91" i="5"/>
  <c r="DQ61" i="5"/>
  <c r="CA61" i="5"/>
  <c r="DS91" i="5"/>
  <c r="AY90" i="5"/>
  <c r="BW61" i="5"/>
  <c r="DS61" i="5"/>
  <c r="DK61" i="5"/>
  <c r="DW91" i="5"/>
  <c r="CO59" i="5"/>
  <c r="BI92" i="5"/>
  <c r="EE61" i="5"/>
  <c r="EE92" i="5"/>
  <c r="DY60" i="5"/>
  <c r="CS90" i="5"/>
  <c r="DA61" i="5"/>
  <c r="DC61" i="5"/>
  <c r="DI60" i="5"/>
  <c r="BU59" i="5"/>
  <c r="BE61" i="5"/>
  <c r="BG61" i="5"/>
  <c r="BM61" i="5"/>
  <c r="CC91" i="5"/>
  <c r="BK92" i="5"/>
  <c r="CY90" i="5"/>
  <c r="BE91" i="5"/>
  <c r="EA59" i="5"/>
  <c r="CK92" i="5"/>
  <c r="DS90" i="5"/>
  <c r="DS60" i="5"/>
  <c r="CM59" i="5"/>
  <c r="EE91" i="5"/>
  <c r="DG60" i="5"/>
  <c r="BI61" i="5"/>
  <c r="BC90" i="5"/>
  <c r="BA60" i="5"/>
  <c r="CM90" i="5"/>
  <c r="BW60" i="5"/>
  <c r="P187" i="5"/>
  <c r="P83" i="6"/>
  <c r="P60" i="5"/>
  <c r="BX60" i="5"/>
  <c r="CN90" i="5"/>
  <c r="T90" i="5"/>
  <c r="BB60" i="5"/>
  <c r="J187" i="5"/>
  <c r="J83" i="6"/>
  <c r="K90" i="5"/>
  <c r="BD90" i="5"/>
  <c r="BJ61" i="5"/>
  <c r="DH60" i="5"/>
  <c r="Y60" i="5"/>
  <c r="EF91" i="5"/>
  <c r="AE91" i="5"/>
  <c r="CN59" i="5"/>
  <c r="T59" i="5"/>
  <c r="AB60" i="5"/>
  <c r="DT60" i="5"/>
  <c r="AB90" i="5"/>
  <c r="DT90" i="5"/>
  <c r="S219" i="5"/>
  <c r="S92" i="6"/>
  <c r="CL92" i="5"/>
  <c r="AD59" i="5"/>
  <c r="EB59" i="5"/>
  <c r="BF91" i="5"/>
  <c r="K218" i="5"/>
  <c r="K91" i="6"/>
  <c r="W90" i="5"/>
  <c r="CZ90" i="5"/>
  <c r="M92" i="5"/>
  <c r="BL92" i="5"/>
  <c r="Q218" i="5"/>
  <c r="Q91" i="6"/>
  <c r="CD91" i="5"/>
  <c r="BN61" i="5"/>
  <c r="M188" i="5"/>
  <c r="M84" i="6"/>
  <c r="L188" i="5"/>
  <c r="L84" i="6"/>
  <c r="L61" i="5"/>
  <c r="BH61" i="5"/>
  <c r="BF61" i="5"/>
  <c r="K188" i="5"/>
  <c r="K84" i="6"/>
  <c r="O186" i="5"/>
  <c r="O82" i="6"/>
  <c r="BV59" i="5"/>
  <c r="AB187" i="5"/>
  <c r="AB83" i="6"/>
  <c r="DJ60" i="5"/>
  <c r="Y187" i="5"/>
  <c r="Y83" i="6"/>
  <c r="X61" i="5"/>
  <c r="DD61" i="5"/>
  <c r="W188" i="5"/>
  <c r="W84" i="6"/>
  <c r="DB61" i="5"/>
  <c r="CT90" i="5"/>
  <c r="U217" i="5"/>
  <c r="U90" i="6"/>
  <c r="DZ60" i="5"/>
  <c r="AC187" i="5"/>
  <c r="AC83" i="6"/>
  <c r="AE92" i="5"/>
  <c r="EF92" i="5"/>
  <c r="AE61" i="5"/>
  <c r="EF61" i="5"/>
  <c r="BJ92" i="5"/>
  <c r="CP59" i="5"/>
  <c r="T186" i="5"/>
  <c r="T82" i="6"/>
  <c r="AC91" i="5"/>
  <c r="DX91" i="5"/>
  <c r="Z61" i="5"/>
  <c r="DL61" i="5"/>
  <c r="DT61" i="5"/>
  <c r="AB61" i="5"/>
  <c r="P188" i="5"/>
  <c r="P84" i="6"/>
  <c r="BX61" i="5"/>
  <c r="P61" i="5"/>
  <c r="J90" i="5"/>
  <c r="AZ90" i="5"/>
  <c r="DT91" i="5"/>
  <c r="AB91" i="5"/>
  <c r="Q61" i="5"/>
  <c r="CB61" i="5"/>
  <c r="DR61" i="5"/>
  <c r="AA188" i="5"/>
  <c r="AA84" i="6"/>
  <c r="T218" i="5"/>
  <c r="T91" i="6"/>
  <c r="CP91" i="5"/>
  <c r="CH60" i="5"/>
  <c r="R187" i="5"/>
  <c r="R83" i="6"/>
  <c r="CV90" i="5"/>
  <c r="V90" i="5"/>
  <c r="J61" i="5"/>
  <c r="AZ61" i="5"/>
  <c r="AD218" i="5"/>
  <c r="AD91" i="6"/>
  <c r="ED91" i="5"/>
  <c r="AB217" i="5"/>
  <c r="AB90" i="6"/>
  <c r="DJ90" i="5"/>
  <c r="Y217" i="5"/>
  <c r="Y90" i="6"/>
  <c r="CV59" i="5"/>
  <c r="V59" i="5"/>
  <c r="DF92" i="5"/>
  <c r="X219" i="5"/>
  <c r="X92" i="6"/>
  <c r="P90" i="5"/>
  <c r="BX90" i="5"/>
  <c r="P217" i="5"/>
  <c r="P90" i="6"/>
  <c r="CZ92" i="5"/>
  <c r="W92" i="5"/>
  <c r="M90" i="5"/>
  <c r="BL90" i="5"/>
  <c r="CH92" i="5"/>
  <c r="R219" i="5"/>
  <c r="R92" i="6"/>
  <c r="BL60" i="5"/>
  <c r="M60" i="5"/>
  <c r="BJ59" i="5"/>
  <c r="N91" i="5"/>
  <c r="BP91" i="5"/>
  <c r="BV61" i="5"/>
  <c r="O188" i="5"/>
  <c r="O84" i="6"/>
  <c r="Y61" i="5"/>
  <c r="DH61" i="5"/>
  <c r="O90" i="5"/>
  <c r="BT90" i="5"/>
  <c r="W187" i="5"/>
  <c r="W83" i="6"/>
  <c r="DB60" i="5"/>
  <c r="CT91" i="5"/>
  <c r="U218" i="5"/>
  <c r="U91" i="6"/>
  <c r="Z91" i="5"/>
  <c r="DL91" i="5"/>
  <c r="EF90" i="5"/>
  <c r="AE90" i="5"/>
  <c r="EH59" i="5"/>
  <c r="AE186" i="5"/>
  <c r="AE82" i="6"/>
  <c r="N59" i="5"/>
  <c r="BP59" i="5"/>
  <c r="CP61" i="5"/>
  <c r="T188" i="5"/>
  <c r="T84" i="6"/>
  <c r="DZ92" i="5"/>
  <c r="AC219" i="5"/>
  <c r="AC92" i="6"/>
  <c r="S61" i="5"/>
  <c r="CJ61" i="5"/>
  <c r="AA92" i="5"/>
  <c r="DP92" i="5"/>
  <c r="ED60" i="5"/>
  <c r="AD187" i="5"/>
  <c r="AD83" i="6"/>
  <c r="M219" i="5"/>
  <c r="M92" i="6"/>
  <c r="BN92" i="5"/>
  <c r="W60" i="5"/>
  <c r="CZ60" i="5"/>
  <c r="AC217" i="5"/>
  <c r="AC90" i="6"/>
  <c r="DZ90" i="5"/>
  <c r="CN92" i="5"/>
  <c r="T92" i="5"/>
  <c r="EB90" i="5"/>
  <c r="AD90" i="5"/>
  <c r="J219" i="5"/>
  <c r="J92" i="6"/>
  <c r="BB92" i="5"/>
  <c r="R61" i="5"/>
  <c r="CF61" i="5"/>
  <c r="DH90" i="5"/>
  <c r="Y90" i="5"/>
  <c r="BL91" i="5"/>
  <c r="M91" i="5"/>
  <c r="O59" i="5"/>
  <c r="BT59" i="5"/>
  <c r="U91" i="5"/>
  <c r="CR91" i="5"/>
  <c r="S187" i="5"/>
  <c r="S83" i="6"/>
  <c r="CL60" i="5"/>
  <c r="AB59" i="5"/>
  <c r="DT59" i="5"/>
  <c r="U187" i="5"/>
  <c r="U83" i="6"/>
  <c r="CT60" i="5"/>
  <c r="J91" i="5"/>
  <c r="AZ91" i="5"/>
  <c r="DV92" i="5"/>
  <c r="AA217" i="5"/>
  <c r="AA90" i="6"/>
  <c r="DR90" i="5"/>
  <c r="DR59" i="5"/>
  <c r="AA186" i="5"/>
  <c r="AA82" i="6"/>
  <c r="T217" i="5"/>
  <c r="T90" i="6"/>
  <c r="CP90" i="5"/>
  <c r="CJ90" i="5"/>
  <c r="S90" i="5"/>
  <c r="V91" i="5"/>
  <c r="CV91" i="5"/>
  <c r="J186" i="5"/>
  <c r="J82" i="6"/>
  <c r="BB59" i="5"/>
  <c r="AD60" i="5"/>
  <c r="EB60" i="5"/>
  <c r="DH92" i="5"/>
  <c r="Y92" i="5"/>
  <c r="CV60" i="5"/>
  <c r="V60" i="5"/>
  <c r="K217" i="5"/>
  <c r="K90" i="6"/>
  <c r="BF90" i="5"/>
  <c r="BZ91" i="5"/>
  <c r="CZ91" i="5"/>
  <c r="W91" i="5"/>
  <c r="CD92" i="5"/>
  <c r="Q219" i="5"/>
  <c r="Q92" i="6"/>
  <c r="CH91" i="5"/>
  <c r="R218" i="5"/>
  <c r="R91" i="6"/>
  <c r="M59" i="5"/>
  <c r="BL59" i="5"/>
  <c r="BD61" i="5"/>
  <c r="K61" i="5"/>
  <c r="BR91" i="5"/>
  <c r="N218" i="5"/>
  <c r="N91" i="6"/>
  <c r="O187" i="5"/>
  <c r="O83" i="6"/>
  <c r="BV60" i="5"/>
  <c r="X60" i="5"/>
  <c r="DD60" i="5"/>
  <c r="O218" i="5"/>
  <c r="O91" i="6"/>
  <c r="BV91" i="5"/>
  <c r="DB59" i="5"/>
  <c r="W186" i="5"/>
  <c r="W82" i="6"/>
  <c r="DX60" i="5"/>
  <c r="AC60" i="5"/>
  <c r="DL90" i="5"/>
  <c r="Z90" i="5"/>
  <c r="EH90" i="5"/>
  <c r="AE217" i="5"/>
  <c r="AE90" i="6"/>
  <c r="BJ90" i="5"/>
  <c r="N188" i="5"/>
  <c r="N84" i="6"/>
  <c r="BR61" i="5"/>
  <c r="CN61" i="5"/>
  <c r="T61" i="5"/>
  <c r="Z59" i="5"/>
  <c r="DL59" i="5"/>
  <c r="CJ60" i="5"/>
  <c r="S60" i="5"/>
  <c r="Q187" i="5"/>
  <c r="Q83" i="6"/>
  <c r="CD60" i="5"/>
  <c r="AD92" i="5"/>
  <c r="EB92" i="5"/>
  <c r="Q91" i="5"/>
  <c r="CB91" i="5"/>
  <c r="X187" i="5"/>
  <c r="X83" i="6"/>
  <c r="DF60" i="5"/>
  <c r="BH90" i="5"/>
  <c r="L217" i="5"/>
  <c r="L90" i="6"/>
  <c r="L90" i="5"/>
  <c r="DR92" i="5"/>
  <c r="AA219" i="5"/>
  <c r="AA92" i="6"/>
  <c r="X218" i="5"/>
  <c r="X91" i="6"/>
  <c r="DF91" i="5"/>
  <c r="BZ59" i="5"/>
  <c r="CV92" i="5"/>
  <c r="V92" i="5"/>
  <c r="CX60" i="5"/>
  <c r="V187" i="5"/>
  <c r="V83" i="6"/>
  <c r="R217" i="5"/>
  <c r="R90" i="6"/>
  <c r="CH90" i="5"/>
  <c r="DJ61" i="5"/>
  <c r="Y188" i="5"/>
  <c r="Y84" i="6"/>
  <c r="AB188" i="5"/>
  <c r="AB84" i="6"/>
  <c r="Z219" i="5"/>
  <c r="Z92" i="6"/>
  <c r="DN92" i="5"/>
  <c r="N187" i="5"/>
  <c r="N83" i="6"/>
  <c r="BR60" i="5"/>
  <c r="U186" i="5"/>
  <c r="U82" i="6"/>
  <c r="CT59" i="5"/>
  <c r="BB91" i="5"/>
  <c r="J218" i="5"/>
  <c r="J91" i="6"/>
  <c r="DV91" i="5"/>
  <c r="DP91" i="5"/>
  <c r="AA91" i="5"/>
  <c r="DP60" i="5"/>
  <c r="AA60" i="5"/>
  <c r="T91" i="5"/>
  <c r="CN91" i="5"/>
  <c r="CJ91" i="5"/>
  <c r="S91" i="5"/>
  <c r="CX92" i="5"/>
  <c r="V219" i="5"/>
  <c r="V92" i="6"/>
  <c r="J188" i="5"/>
  <c r="J84" i="6"/>
  <c r="BB61" i="5"/>
  <c r="ED61" i="5"/>
  <c r="AD188" i="5"/>
  <c r="AD84" i="6"/>
  <c r="Y219" i="5"/>
  <c r="Y92" i="6"/>
  <c r="AB219" i="5"/>
  <c r="AB92" i="6"/>
  <c r="DJ92" i="5"/>
  <c r="CX59" i="5"/>
  <c r="V186" i="5"/>
  <c r="V82" i="6"/>
  <c r="BF92" i="5"/>
  <c r="K219" i="5"/>
  <c r="K92" i="6"/>
  <c r="P92" i="5"/>
  <c r="P219" i="5"/>
  <c r="P92" i="6"/>
  <c r="BX92" i="5"/>
  <c r="DB91" i="5"/>
  <c r="W218" i="5"/>
  <c r="W91" i="6"/>
  <c r="Q217" i="5"/>
  <c r="Q90" i="6"/>
  <c r="CD90" i="5"/>
  <c r="R92" i="5"/>
  <c r="CF92" i="5"/>
  <c r="M187" i="5"/>
  <c r="M83" i="6"/>
  <c r="BN60" i="5"/>
  <c r="K187" i="5"/>
  <c r="K83" i="6"/>
  <c r="BF60" i="5"/>
  <c r="N92" i="5"/>
  <c r="BP92" i="5"/>
  <c r="O60" i="5"/>
  <c r="BT60" i="5"/>
  <c r="DF59" i="5"/>
  <c r="X186" i="5"/>
  <c r="X82" i="6"/>
  <c r="BV90" i="5"/>
  <c r="O217" i="5"/>
  <c r="O90" i="6"/>
  <c r="CZ61" i="5"/>
  <c r="W61" i="5"/>
  <c r="DX61" i="5"/>
  <c r="AC61" i="5"/>
  <c r="DL92" i="5"/>
  <c r="Z92" i="5"/>
  <c r="EH92" i="5"/>
  <c r="AE219" i="5"/>
  <c r="AE92" i="6"/>
  <c r="BJ91" i="5"/>
  <c r="BP60" i="5"/>
  <c r="N60" i="5"/>
  <c r="CN60" i="5"/>
  <c r="T60" i="5"/>
  <c r="DL60" i="5"/>
  <c r="Z60" i="5"/>
  <c r="S186" i="5"/>
  <c r="S82" i="6"/>
  <c r="CL59" i="5"/>
  <c r="U61" i="5"/>
  <c r="CR61" i="5"/>
  <c r="CL91" i="5"/>
  <c r="S218" i="5"/>
  <c r="S91" i="6"/>
  <c r="DD92" i="5"/>
  <c r="X92" i="5"/>
  <c r="M61" i="5"/>
  <c r="BL61" i="5"/>
  <c r="BT61" i="5"/>
  <c r="O61" i="5"/>
  <c r="AC186" i="5"/>
  <c r="AC82" i="6"/>
  <c r="DZ59" i="5"/>
  <c r="AE187" i="5"/>
  <c r="AE83" i="6"/>
  <c r="EH60" i="5"/>
  <c r="BZ60" i="5"/>
  <c r="Q188" i="5"/>
  <c r="Q84" i="6"/>
  <c r="CD61" i="5"/>
  <c r="AZ60" i="5"/>
  <c r="J60" i="5"/>
  <c r="DV90" i="5"/>
  <c r="AA59" i="5"/>
  <c r="DP59" i="5"/>
  <c r="AZ59" i="5"/>
  <c r="J59" i="5"/>
  <c r="X90" i="5"/>
  <c r="DD90" i="5"/>
  <c r="DB92" i="5"/>
  <c r="W219" i="5"/>
  <c r="W92" i="6"/>
  <c r="L60" i="5"/>
  <c r="BH60" i="5"/>
  <c r="L187" i="5"/>
  <c r="L83" i="6"/>
  <c r="W59" i="5"/>
  <c r="CZ59" i="5"/>
  <c r="EH61" i="5"/>
  <c r="AE188" i="5"/>
  <c r="AE84" i="6"/>
  <c r="AC90" i="5"/>
  <c r="DX90" i="5"/>
  <c r="P59" i="5"/>
  <c r="P186" i="5"/>
  <c r="P82" i="6"/>
  <c r="BX59" i="5"/>
  <c r="U60" i="5"/>
  <c r="CR60" i="5"/>
  <c r="BB90" i="5"/>
  <c r="J217" i="5"/>
  <c r="J90" i="6"/>
  <c r="CB59" i="5"/>
  <c r="Q59" i="5"/>
  <c r="AA90" i="5"/>
  <c r="DP90" i="5"/>
  <c r="AA61" i="5"/>
  <c r="DP61" i="5"/>
  <c r="R60" i="5"/>
  <c r="CF60" i="5"/>
  <c r="S92" i="5"/>
  <c r="CJ92" i="5"/>
  <c r="CX90" i="5"/>
  <c r="V217" i="5"/>
  <c r="V90" i="6"/>
  <c r="ED90" i="5"/>
  <c r="AD217" i="5"/>
  <c r="AD90" i="6"/>
  <c r="AD61" i="5"/>
  <c r="EB61" i="5"/>
  <c r="Y218" i="5"/>
  <c r="Y91" i="6"/>
  <c r="DJ91" i="5"/>
  <c r="AB218" i="5"/>
  <c r="AB91" i="6"/>
  <c r="X217" i="5"/>
  <c r="X90" i="6"/>
  <c r="DF90" i="5"/>
  <c r="K91" i="5"/>
  <c r="BD91" i="5"/>
  <c r="BZ92" i="5"/>
  <c r="BN90" i="5"/>
  <c r="M217" i="5"/>
  <c r="M90" i="6"/>
  <c r="CB90" i="5"/>
  <c r="Q90" i="5"/>
  <c r="R90" i="5"/>
  <c r="CF90" i="5"/>
  <c r="BJ60" i="5"/>
  <c r="K186" i="5"/>
  <c r="K82" i="6"/>
  <c r="BF59" i="5"/>
  <c r="BP90" i="5"/>
  <c r="N90" i="5"/>
  <c r="AB186" i="5"/>
  <c r="AB82" i="6"/>
  <c r="DJ59" i="5"/>
  <c r="Y186" i="5"/>
  <c r="Y82" i="6"/>
  <c r="X188" i="5"/>
  <c r="X84" i="6"/>
  <c r="DF61" i="5"/>
  <c r="BV92" i="5"/>
  <c r="O219" i="5"/>
  <c r="O92" i="6"/>
  <c r="U90" i="5"/>
  <c r="CR90" i="5"/>
  <c r="AC59" i="5"/>
  <c r="DX59" i="5"/>
  <c r="Z218" i="5"/>
  <c r="Z91" i="6"/>
  <c r="DN91" i="5"/>
  <c r="AE59" i="5"/>
  <c r="EF59" i="5"/>
  <c r="BH91" i="5"/>
  <c r="L91" i="5"/>
  <c r="L218" i="5"/>
  <c r="L91" i="6"/>
  <c r="N61" i="5"/>
  <c r="BP61" i="5"/>
  <c r="AC218" i="5"/>
  <c r="AC91" i="6"/>
  <c r="DZ91" i="5"/>
  <c r="DN61" i="5"/>
  <c r="Z188" i="5"/>
  <c r="Z84" i="6"/>
  <c r="S188" i="5"/>
  <c r="S84" i="6"/>
  <c r="CL61" i="5"/>
  <c r="DV61" i="5"/>
  <c r="AB92" i="5"/>
  <c r="DT92" i="5"/>
  <c r="R188" i="5"/>
  <c r="R84" i="6"/>
  <c r="CH61" i="5"/>
  <c r="CX61" i="5"/>
  <c r="V188" i="5"/>
  <c r="V84" i="6"/>
  <c r="W217" i="5"/>
  <c r="W90" i="6"/>
  <c r="DB90" i="5"/>
  <c r="BD60" i="5"/>
  <c r="K60" i="5"/>
  <c r="CT92" i="5"/>
  <c r="U219" i="5"/>
  <c r="U92" i="6"/>
  <c r="Z186" i="5"/>
  <c r="Z82" i="6"/>
  <c r="DN59" i="5"/>
  <c r="CR59" i="5"/>
  <c r="U59" i="5"/>
  <c r="R59" i="5"/>
  <c r="CF59" i="5"/>
  <c r="CV61" i="5"/>
  <c r="V61" i="5"/>
  <c r="DV60" i="5"/>
  <c r="Q186" i="5"/>
  <c r="Q82" i="6"/>
  <c r="CD59" i="5"/>
  <c r="CP92" i="5"/>
  <c r="T219" i="5"/>
  <c r="T92" i="6"/>
  <c r="AD219" i="5"/>
  <c r="AD92" i="6"/>
  <c r="ED92" i="5"/>
  <c r="BZ90" i="5"/>
  <c r="BN59" i="5"/>
  <c r="M186" i="5"/>
  <c r="M82" i="6"/>
  <c r="N217" i="5"/>
  <c r="N90" i="6"/>
  <c r="BR90" i="5"/>
  <c r="O91" i="5"/>
  <c r="BT91" i="5"/>
  <c r="AE218" i="5"/>
  <c r="AE91" i="6"/>
  <c r="EH91" i="5"/>
  <c r="CP60" i="5"/>
  <c r="T187" i="5"/>
  <c r="T83" i="6"/>
  <c r="DV59" i="5"/>
  <c r="BZ61" i="5"/>
  <c r="CT61" i="5"/>
  <c r="U188" i="5"/>
  <c r="U84" i="6"/>
  <c r="J92" i="5"/>
  <c r="AZ92" i="5"/>
  <c r="Q60" i="5"/>
  <c r="CB60" i="5"/>
  <c r="AA218" i="5"/>
  <c r="AA91" i="6"/>
  <c r="DR91" i="5"/>
  <c r="DR60" i="5"/>
  <c r="AA187" i="5"/>
  <c r="AA83" i="6"/>
  <c r="R186" i="5"/>
  <c r="R82" i="6"/>
  <c r="CH59" i="5"/>
  <c r="CL90" i="5"/>
  <c r="S217" i="5"/>
  <c r="S90" i="6"/>
  <c r="CX91" i="5"/>
  <c r="V218" i="5"/>
  <c r="V91" i="6"/>
  <c r="AD91" i="5"/>
  <c r="EB91" i="5"/>
  <c r="AD186" i="5"/>
  <c r="AD82" i="6"/>
  <c r="ED59" i="5"/>
  <c r="Y91" i="5"/>
  <c r="DH91" i="5"/>
  <c r="DD91" i="5"/>
  <c r="X91" i="5"/>
  <c r="K92" i="5"/>
  <c r="BD92" i="5"/>
  <c r="BX91" i="5"/>
  <c r="P218" i="5"/>
  <c r="P91" i="6"/>
  <c r="P91" i="5"/>
  <c r="M218" i="5"/>
  <c r="M91" i="6"/>
  <c r="BN91" i="5"/>
  <c r="Q92" i="5"/>
  <c r="CB92" i="5"/>
  <c r="R91" i="5"/>
  <c r="CF91" i="5"/>
  <c r="L186" i="5"/>
  <c r="L82" i="6"/>
  <c r="L59" i="5"/>
  <c r="BH59" i="5"/>
  <c r="BD59" i="5"/>
  <c r="K59" i="5"/>
  <c r="BR92" i="5"/>
  <c r="N219" i="5"/>
  <c r="N92" i="6"/>
  <c r="DH59" i="5"/>
  <c r="Y59" i="5"/>
  <c r="X59" i="5"/>
  <c r="DD59" i="5"/>
  <c r="BT92" i="5"/>
  <c r="O92" i="5"/>
  <c r="U92" i="5"/>
  <c r="CR92" i="5"/>
  <c r="DZ61" i="5"/>
  <c r="AC188" i="5"/>
  <c r="AC84" i="6"/>
  <c r="DN90" i="5"/>
  <c r="Z217" i="5"/>
  <c r="Z90" i="6"/>
  <c r="EF60" i="5"/>
  <c r="AE60" i="5"/>
  <c r="BH92" i="5"/>
  <c r="L219" i="5"/>
  <c r="L92" i="6"/>
  <c r="L92" i="5"/>
  <c r="N186" i="5"/>
  <c r="N82" i="6"/>
  <c r="BR59" i="5"/>
  <c r="AC92" i="5"/>
  <c r="DX92" i="5"/>
  <c r="Z187" i="5"/>
  <c r="Z83" i="6"/>
  <c r="DN60" i="5"/>
  <c r="CJ59" i="5"/>
  <c r="S59" i="5"/>
  <c r="P40" i="6"/>
  <c r="P122" i="5"/>
  <c r="P121" i="5"/>
  <c r="M130" i="5"/>
  <c r="AA121" i="5"/>
  <c r="AA40" i="6"/>
  <c r="AA122" i="5"/>
  <c r="O121" i="5"/>
  <c r="O40" i="6"/>
  <c r="O122" i="5"/>
  <c r="Z130" i="5"/>
  <c r="K130" i="5"/>
  <c r="U39" i="6"/>
  <c r="U119" i="5"/>
  <c r="O129" i="5"/>
  <c r="R121" i="5"/>
  <c r="R40" i="6"/>
  <c r="R122" i="5"/>
  <c r="AC121" i="5"/>
  <c r="AC40" i="6"/>
  <c r="AC122" i="5"/>
  <c r="P130" i="5"/>
  <c r="P57" i="6"/>
  <c r="P137" i="5"/>
  <c r="AE130" i="5"/>
  <c r="U129" i="5"/>
  <c r="AB39" i="6"/>
  <c r="AB119" i="5"/>
  <c r="L121" i="5"/>
  <c r="L40" i="6"/>
  <c r="L122" i="5"/>
  <c r="K40" i="6"/>
  <c r="K122" i="5"/>
  <c r="K121" i="5"/>
  <c r="AE39" i="6"/>
  <c r="AE119" i="5"/>
  <c r="L57" i="6"/>
  <c r="L137" i="5"/>
  <c r="L130" i="5"/>
  <c r="Z40" i="6"/>
  <c r="Z122" i="5"/>
  <c r="Z121" i="5"/>
  <c r="AA56" i="6"/>
  <c r="AA136" i="5"/>
  <c r="AA129" i="5"/>
  <c r="V121" i="5"/>
  <c r="V40" i="6"/>
  <c r="V122" i="5"/>
  <c r="AB130" i="5"/>
  <c r="K129" i="5"/>
  <c r="T121" i="5"/>
  <c r="T40" i="6"/>
  <c r="T122" i="5"/>
  <c r="Z129" i="5"/>
  <c r="L56" i="6"/>
  <c r="L136" i="5"/>
  <c r="L129" i="5"/>
  <c r="R56" i="6"/>
  <c r="R136" i="5"/>
  <c r="R129" i="5"/>
  <c r="J129" i="5"/>
  <c r="AB129" i="5"/>
  <c r="W129" i="5"/>
  <c r="W130" i="5"/>
  <c r="X129" i="5"/>
  <c r="R130" i="5"/>
  <c r="R57" i="6"/>
  <c r="R137" i="5"/>
  <c r="Y130" i="5"/>
  <c r="X130" i="5"/>
  <c r="S130" i="5"/>
  <c r="AA57" i="6"/>
  <c r="AA137" i="5"/>
  <c r="AA130" i="5"/>
  <c r="Q130" i="5"/>
  <c r="M40" i="6"/>
  <c r="M122" i="5"/>
  <c r="M121" i="5"/>
  <c r="T130" i="5"/>
  <c r="T57" i="6"/>
  <c r="T137" i="5"/>
  <c r="V130" i="5"/>
  <c r="V57" i="6"/>
  <c r="V137" i="5"/>
  <c r="W39" i="6"/>
  <c r="W119" i="5"/>
  <c r="S129" i="5"/>
  <c r="J130" i="5"/>
  <c r="N121" i="5"/>
  <c r="N40" i="6"/>
  <c r="N122" i="5"/>
  <c r="AC130" i="5"/>
  <c r="Q129" i="5"/>
  <c r="Q121" i="5"/>
  <c r="Q40" i="6"/>
  <c r="Q122" i="5"/>
  <c r="AD130" i="5"/>
  <c r="N56" i="6"/>
  <c r="N136" i="5"/>
  <c r="N129" i="5"/>
  <c r="N57" i="6"/>
  <c r="N137" i="5"/>
  <c r="N130" i="5"/>
  <c r="J121" i="5"/>
  <c r="J40" i="6"/>
  <c r="J122" i="5"/>
  <c r="O130" i="5"/>
  <c r="AD121" i="5"/>
  <c r="AD40" i="6"/>
  <c r="AD122" i="5"/>
  <c r="T129" i="5"/>
  <c r="Y129" i="5"/>
  <c r="P56" i="6"/>
  <c r="P136" i="5"/>
  <c r="P129" i="5"/>
  <c r="X119" i="5"/>
  <c r="X39" i="6"/>
  <c r="V129" i="5"/>
  <c r="V56" i="6"/>
  <c r="V136" i="5"/>
  <c r="AE129" i="5"/>
  <c r="Y39" i="6"/>
  <c r="Y119" i="5"/>
  <c r="U130" i="5"/>
  <c r="M129" i="5"/>
  <c r="S39" i="6"/>
  <c r="S119" i="5"/>
  <c r="AC129" i="5"/>
  <c r="AD129" i="5"/>
  <c r="AD56" i="6"/>
  <c r="AD136" i="5"/>
  <c r="S40" i="6"/>
  <c r="S121" i="5"/>
  <c r="O56" i="6"/>
  <c r="O136" i="5"/>
  <c r="M56" i="6"/>
  <c r="M136" i="5"/>
  <c r="T56" i="6"/>
  <c r="T136" i="5"/>
  <c r="K56" i="6"/>
  <c r="K136" i="5"/>
  <c r="Q57" i="6"/>
  <c r="Q137" i="5"/>
  <c r="J57" i="6"/>
  <c r="J137" i="5"/>
  <c r="J56" i="6"/>
  <c r="J136" i="5"/>
  <c r="Q56" i="6"/>
  <c r="Q136" i="5"/>
  <c r="K57" i="6"/>
  <c r="K137" i="5"/>
  <c r="AC57" i="6"/>
  <c r="AC137" i="5"/>
  <c r="AB40" i="6"/>
  <c r="AB121" i="5"/>
  <c r="M57" i="6"/>
  <c r="M137" i="5"/>
  <c r="AC56" i="6"/>
  <c r="AC136" i="5"/>
  <c r="O57" i="6"/>
  <c r="O137" i="5"/>
  <c r="AD57" i="6"/>
  <c r="AD137" i="5"/>
  <c r="Z56" i="6"/>
  <c r="Z136" i="5"/>
  <c r="U121" i="5"/>
  <c r="U40" i="6"/>
  <c r="X121" i="5"/>
  <c r="X40" i="6"/>
  <c r="W121" i="5"/>
  <c r="W40" i="6"/>
  <c r="Y40" i="6"/>
  <c r="Y121" i="5"/>
  <c r="AE40" i="6"/>
  <c r="AE121" i="5"/>
  <c r="Z57" i="6"/>
  <c r="Z137" i="5"/>
  <c r="U122" i="5"/>
  <c r="U56" i="6"/>
  <c r="U136" i="5"/>
  <c r="U57" i="6"/>
  <c r="U137" i="5"/>
  <c r="W122" i="5"/>
  <c r="W57" i="6"/>
  <c r="W137" i="5"/>
  <c r="W56" i="6"/>
  <c r="W136" i="5"/>
  <c r="AB122" i="5"/>
  <c r="AB56" i="6"/>
  <c r="AB136" i="5"/>
  <c r="AB57" i="6"/>
  <c r="AB137" i="5"/>
  <c r="AE122" i="5"/>
  <c r="AE57" i="6"/>
  <c r="AE137" i="5"/>
  <c r="AE56" i="6"/>
  <c r="AE136" i="5"/>
  <c r="X122" i="5"/>
  <c r="X57" i="6"/>
  <c r="X137" i="5"/>
  <c r="X56" i="6"/>
  <c r="X136" i="5"/>
  <c r="Y122" i="5"/>
  <c r="Y57" i="6"/>
  <c r="Y137" i="5"/>
  <c r="Y56" i="6"/>
  <c r="Y136" i="5"/>
  <c r="S122" i="5"/>
  <c r="S56" i="6"/>
  <c r="S136" i="5"/>
  <c r="S57" i="6"/>
  <c r="S137" i="5"/>
</calcChain>
</file>

<file path=xl/comments1.xml><?xml version="1.0" encoding="utf-8"?>
<comments xmlns="http://schemas.openxmlformats.org/spreadsheetml/2006/main">
  <authors>
    <author>Johnson</author>
  </authors>
  <commentList>
    <comment ref="AY58" authorId="0">
      <text>
        <r>
          <rPr>
            <b/>
            <sz val="9"/>
            <color indexed="81"/>
            <rFont val="Tahoma"/>
            <family val="2"/>
          </rPr>
          <t>Johnson:</t>
        </r>
        <r>
          <rPr>
            <sz val="9"/>
            <color indexed="81"/>
            <rFont val="Tahoma"/>
            <family val="2"/>
          </rPr>
          <t xml:space="preserve">
Calculate using ROR by:
1) Input Price = new price at -25bps
2) Horizon Method = OAS at -25bps price</t>
        </r>
      </text>
    </comment>
    <comment ref="AY89" authorId="0">
      <text>
        <r>
          <rPr>
            <b/>
            <sz val="9"/>
            <color indexed="81"/>
            <rFont val="Tahoma"/>
            <family val="2"/>
          </rPr>
          <t>Johnson:</t>
        </r>
        <r>
          <rPr>
            <sz val="9"/>
            <color indexed="81"/>
            <rFont val="Tahoma"/>
            <family val="2"/>
          </rPr>
          <t xml:space="preserve">
Calculate using ROR by:
1) Input Price = new price at -25bps
2) Horizon Method = OAS at -25bps price</t>
        </r>
      </text>
    </comment>
  </commentList>
</comments>
</file>

<file path=xl/connections.xml><?xml version="1.0" encoding="utf-8"?>
<connections xmlns="http://schemas.openxmlformats.org/spreadsheetml/2006/main">
  <connection id="1" name="TimeSeriesDV01Query" type="1" refreshedVersion="4" savePassword="1" saveData="1">
    <dbPr connection="DSN=Cello SQL Server;Description=Cello SQL Server;UID=report;PWD=gm4SJDw4;APP=Microsoft Office 2010;WSID=CELLO-PC4;DATABASE=Cello" command="select M.*,D.* from TimeSeriesMeta as M,TimeSeries as D where M.TimeSeriesMetaId = D.TimeSeriesMetaId and M.SeriesType = 'EFFECTIVE_DV01' and M.Category = 'MTG' and D.AsOfDate = '2015-06-26' order by M.TimeSeriesMetaId"/>
  </connection>
</connections>
</file>

<file path=xl/sharedStrings.xml><?xml version="1.0" encoding="utf-8"?>
<sst xmlns="http://schemas.openxmlformats.org/spreadsheetml/2006/main" count="935" uniqueCount="234">
  <si>
    <t>Date</t>
  </si>
  <si>
    <t>FN30.
300.
12</t>
  </si>
  <si>
    <t>FN30.
350.
12</t>
  </si>
  <si>
    <t>FN30.
400.
11</t>
  </si>
  <si>
    <t>FN30.
450.
11</t>
  </si>
  <si>
    <t>FN30.
350.
10</t>
  </si>
  <si>
    <t>FN30.
400.
10</t>
  </si>
  <si>
    <t>FN30.
450.
10</t>
  </si>
  <si>
    <t>FN30.
500.
10</t>
  </si>
  <si>
    <t>FN30.
400.
09</t>
  </si>
  <si>
    <t>FN30.
450.
09</t>
  </si>
  <si>
    <t>FN30.
500.
09</t>
  </si>
  <si>
    <t>FN30.
550.
08</t>
  </si>
  <si>
    <t>FN30.
600.
08</t>
  </si>
  <si>
    <t>FN30.
650.
67</t>
  </si>
  <si>
    <t>GII30.
400.
10</t>
  </si>
  <si>
    <t>GII30.
450.
10</t>
  </si>
  <si>
    <t>GII30.
500.
10</t>
  </si>
  <si>
    <t>fn30.300.12</t>
  </si>
  <si>
    <t>fn30.350.12</t>
  </si>
  <si>
    <t>fn30.350.10</t>
  </si>
  <si>
    <t>fn30.400.11</t>
  </si>
  <si>
    <t>fn30.400.10</t>
  </si>
  <si>
    <t>fn30.400.09</t>
  </si>
  <si>
    <t>fn30.450.11</t>
  </si>
  <si>
    <t>fn30.450.10</t>
  </si>
  <si>
    <t>fn30.450.09</t>
  </si>
  <si>
    <t>fn30.500.10</t>
  </si>
  <si>
    <t>fn30.500.09</t>
  </si>
  <si>
    <t>fn30.550.08</t>
  </si>
  <si>
    <t>fn30.600.08</t>
  </si>
  <si>
    <t>fn30.650.67</t>
  </si>
  <si>
    <t>gII30.400.10</t>
  </si>
  <si>
    <t>gII30.450.10</t>
  </si>
  <si>
    <t>gII30.500.10</t>
  </si>
  <si>
    <t>Model</t>
  </si>
  <si>
    <t>Prepay %</t>
  </si>
  <si>
    <t>Constant OAS</t>
  </si>
  <si>
    <t>Constant Price</t>
  </si>
  <si>
    <t>OAS Change</t>
  </si>
  <si>
    <t>Price Change</t>
  </si>
  <si>
    <t>Price</t>
  </si>
  <si>
    <t>IOS</t>
  </si>
  <si>
    <t>Shift</t>
  </si>
  <si>
    <t>OAS</t>
  </si>
  <si>
    <t>New Down Price</t>
  </si>
  <si>
    <t>Projected Carry %</t>
  </si>
  <si>
    <t>Horizon (month)</t>
  </si>
  <si>
    <t>Projected Carry % (-25 bps)</t>
  </si>
  <si>
    <t>Projected Carry % (+25bps)</t>
  </si>
  <si>
    <t>EffectiveYieldAtHorizon</t>
  </si>
  <si>
    <t>Yield</t>
  </si>
  <si>
    <t>Report Name</t>
  </si>
  <si>
    <t>Cache File Name</t>
  </si>
  <si>
    <t>Schedule Time</t>
  </si>
  <si>
    <t>Keys</t>
  </si>
  <si>
    <t>Use T-1</t>
  </si>
  <si>
    <t>Yes</t>
  </si>
  <si>
    <t>AnnualizedReturn</t>
  </si>
  <si>
    <t>Last Start Time</t>
  </si>
  <si>
    <t>Last End Time</t>
  </si>
  <si>
    <t>Close Price &amp; Yield</t>
  </si>
  <si>
    <t>Weekly Report</t>
  </si>
  <si>
    <t>Scheduled Run Day</t>
  </si>
  <si>
    <t>Scheduled At</t>
  </si>
  <si>
    <t>Saturday</t>
  </si>
  <si>
    <t>Log File</t>
  </si>
  <si>
    <t>HR CC</t>
  </si>
  <si>
    <t>TimeSeriesMetaId</t>
  </si>
  <si>
    <t>StatusCode</t>
  </si>
  <si>
    <t>Source</t>
  </si>
  <si>
    <t>TickerName</t>
  </si>
  <si>
    <t>SeriesType</t>
  </si>
  <si>
    <t>Category</t>
  </si>
  <si>
    <t>ModelType</t>
  </si>
  <si>
    <t>UpdateTime</t>
  </si>
  <si>
    <t>AsOfDate</t>
  </si>
  <si>
    <t>SeriesNumValue</t>
  </si>
  <si>
    <t>SeriesCharValue</t>
  </si>
  <si>
    <t>InTime</t>
  </si>
  <si>
    <t>OutTime</t>
  </si>
  <si>
    <t>TimeSeriesMetaId2</t>
  </si>
  <si>
    <t>DV01</t>
  </si>
  <si>
    <t>Front</t>
  </si>
  <si>
    <t>Fwd</t>
  </si>
  <si>
    <t>Roll</t>
  </si>
  <si>
    <t>TBA</t>
  </si>
  <si>
    <t>Database</t>
  </si>
  <si>
    <t>PROD</t>
  </si>
  <si>
    <t>- Carry is Annualized Return</t>
  </si>
  <si>
    <t>Full Price</t>
  </si>
  <si>
    <t>Total Return</t>
  </si>
  <si>
    <t>Annualized</t>
  </si>
  <si>
    <t>Return</t>
  </si>
  <si>
    <t>1-Mo carry</t>
  </si>
  <si>
    <t>Carry (roll)</t>
  </si>
  <si>
    <t>Full Px * Return</t>
  </si>
  <si>
    <t>TBA Full Px * Return * HR</t>
  </si>
  <si>
    <t>IOS Full Px * Return</t>
  </si>
  <si>
    <t>Sum</t>
  </si>
  <si>
    <t>Full px</t>
  </si>
  <si>
    <t>HR</t>
  </si>
  <si>
    <t>Formula</t>
  </si>
  <si>
    <t>Hedged Return</t>
  </si>
  <si>
    <t>IOS No Hedge Return</t>
  </si>
  <si>
    <t>Close Price &amp; Roll</t>
  </si>
  <si>
    <t>Close Price,  Yield &amp; HR CC</t>
  </si>
  <si>
    <t>ACTIVE</t>
  </si>
  <si>
    <t>YIELDBOOK</t>
  </si>
  <si>
    <t>FN30.300.12(IOX)</t>
  </si>
  <si>
    <t>EFFECTIVE_DV01</t>
  </si>
  <si>
    <t>MTG</t>
  </si>
  <si>
    <t>FN30.350.12(IOX)</t>
  </si>
  <si>
    <t>FN30.350.10(IOX)</t>
  </si>
  <si>
    <t>FN30.400.11(IOX)</t>
  </si>
  <si>
    <t>FN30.400.10(IOX)</t>
  </si>
  <si>
    <t>FN30.400.09(IOX)</t>
  </si>
  <si>
    <t>FN30.450.11(IOX)</t>
  </si>
  <si>
    <t>FN30.450.10(IOX)</t>
  </si>
  <si>
    <t>FN30.450.09(IOX)</t>
  </si>
  <si>
    <t>FN30.500.10(IOX)</t>
  </si>
  <si>
    <t>FN30.500.09(IOX)</t>
  </si>
  <si>
    <t>FN30.500.08(IOX)</t>
  </si>
  <si>
    <t>FN30.500.05(IOX)</t>
  </si>
  <si>
    <t>FN30.500.03(IOX)</t>
  </si>
  <si>
    <t>FN30.550.08(IOX)</t>
  </si>
  <si>
    <t>FN30.550.05(IOX)</t>
  </si>
  <si>
    <t>FN30.550.03(IOX)</t>
  </si>
  <si>
    <t>FN30.600.08(IOX)</t>
  </si>
  <si>
    <t>FN30.650.67(IOX)</t>
  </si>
  <si>
    <t>GII30.400.10(IOX)</t>
  </si>
  <si>
    <t>GII30.450.10(IOX)</t>
  </si>
  <si>
    <t>GII30.500.10(IOX)</t>
  </si>
  <si>
    <t>G10.26(QS)</t>
  </si>
  <si>
    <t>G10.20(SE)</t>
  </si>
  <si>
    <t>FN30.300.13(IOX)</t>
  </si>
  <si>
    <t>FN30.350.13(IOX)</t>
  </si>
  <si>
    <t>FN30.400.13(IOX)</t>
  </si>
  <si>
    <t>FNMA2.0-TBA-GEN</t>
  </si>
  <si>
    <t>FHLG2.0-TBA-GEN</t>
  </si>
  <si>
    <t>GNMA2.0-TBA-GEN</t>
  </si>
  <si>
    <t>Treasuries</t>
  </si>
  <si>
    <t>Px</t>
  </si>
  <si>
    <t>Chg</t>
  </si>
  <si>
    <t>Yld</t>
  </si>
  <si>
    <t>1yr</t>
  </si>
  <si>
    <t>2yr</t>
  </si>
  <si>
    <t>5yr</t>
  </si>
  <si>
    <t>10yr</t>
  </si>
  <si>
    <t>30yr</t>
  </si>
  <si>
    <t>Prev Close</t>
  </si>
  <si>
    <t>Swap</t>
  </si>
  <si>
    <t>Sprd</t>
  </si>
  <si>
    <t>Chg
(bp)</t>
  </si>
  <si>
    <t>FH Survey</t>
  </si>
  <si>
    <t>Primary</t>
  </si>
  <si>
    <t>Secondary</t>
  </si>
  <si>
    <t>Prim - CMM YB</t>
  </si>
  <si>
    <t>Close</t>
  </si>
  <si>
    <t>CC</t>
  </si>
  <si>
    <t>YCM</t>
  </si>
  <si>
    <t>Mortgage</t>
  </si>
  <si>
    <t>Rates</t>
  </si>
  <si>
    <t>- Constant OAS Hedge Return = [ (IOS Constant OAS Total Return * IOS Full Price) + (TBA Constant OAS Total Return * TBA Full Price * IOS CC Model Hedge Ratio) ] / IOS Full Price</t>
  </si>
  <si>
    <t>- Constant Price Hedge Return = [ (IOS Constant Price Total Return * IOS Full Price) + (TBA Constant Price Total Return * TBA Full Price * IOS CC Model Hedge Ratio) ] / IOS Full Price</t>
  </si>
  <si>
    <t>CPR Projetion</t>
  </si>
  <si>
    <t>1m</t>
  </si>
  <si>
    <t>12m</t>
  </si>
  <si>
    <t>CPR</t>
  </si>
  <si>
    <t>+50</t>
  </si>
  <si>
    <t>Actual</t>
  </si>
  <si>
    <t>Dollar Roll Specialness (bps)</t>
  </si>
  <si>
    <t>CC TBA</t>
  </si>
  <si>
    <t>HR CC *  (CC TBA Full Px / IOS Full PX)</t>
  </si>
  <si>
    <t>Incremental Carry from Roll Specialness (%)</t>
  </si>
  <si>
    <t>IOS + TBA + Roll Specialness Carry (%)</t>
  </si>
  <si>
    <t>IOS + TBA Projected Carry - Constant OAS (%)</t>
  </si>
  <si>
    <t>IOS Projected Carry - Constant Price (%)</t>
  </si>
  <si>
    <t>IOS Projected Carry - Constant Price (-25 bps Parallel Shift) (%)</t>
  </si>
  <si>
    <t>IOS Projected Carry - Constant Price (+25 bps Parallel Shift) (%)</t>
  </si>
  <si>
    <t>LT</t>
  </si>
  <si>
    <t xml:space="preserve">  ** TBA Constant Price Total Return is based on the Roll</t>
  </si>
  <si>
    <t>Flat Price</t>
  </si>
  <si>
    <t>Special
ness</t>
  </si>
  <si>
    <t>+25</t>
  </si>
  <si>
    <t>- +25 Incremental Carry = 25 * (HR CC * (CC TBA Full Price / IOS Full Price))  * -1</t>
  </si>
  <si>
    <t>- +50 Incremental Carry = 50 * (HR CC * (CC TBA Full Price / IOS Full Price)) * - 1</t>
  </si>
  <si>
    <t>fn30.300.13</t>
  </si>
  <si>
    <t>fn30.350.13</t>
  </si>
  <si>
    <t>fn30.400.13</t>
  </si>
  <si>
    <t>FN30.
300.
13</t>
  </si>
  <si>
    <t>FN30.
350.
13</t>
  </si>
  <si>
    <t>FN30.
400.
13</t>
  </si>
  <si>
    <t>See Hedged Tab</t>
  </si>
  <si>
    <t>IOS Projected Carry %</t>
  </si>
  <si>
    <t>IOS Projected Carry % (-25 bps Parallel Shift)</t>
  </si>
  <si>
    <t>IOS Projected Carry % (+25bps Parallel Shift)</t>
  </si>
  <si>
    <t>IOS + TBA  Projected Carry %</t>
  </si>
  <si>
    <t>IOS + TBA Projected Carry %</t>
  </si>
  <si>
    <t>fn30.350.14</t>
  </si>
  <si>
    <t>FN30.
350.
14</t>
  </si>
  <si>
    <t>fn30.400.14</t>
  </si>
  <si>
    <t>FN30.
400.
14</t>
  </si>
  <si>
    <t>FN30.350.14(IOX)</t>
  </si>
  <si>
    <t>FN30.400.14(IOX)</t>
  </si>
  <si>
    <t>v21</t>
  </si>
  <si>
    <t xml:space="preserve">s  </t>
  </si>
  <si>
    <t>JUL</t>
  </si>
  <si>
    <t>AUG</t>
  </si>
  <si>
    <t>FNMA2.5-TBA-JUL</t>
  </si>
  <si>
    <t>FNMA3.0-TBA-JUL</t>
  </si>
  <si>
    <t>FNMA3.5-TBA-JUL</t>
  </si>
  <si>
    <t>FNMA4.0-TBA-JUL</t>
  </si>
  <si>
    <t>FNMA4.5-TBA-JUL</t>
  </si>
  <si>
    <t>FNMA5.0-TBA-JUL</t>
  </si>
  <si>
    <t>FNMA5.5-TBA-JUL</t>
  </si>
  <si>
    <t>FNMA6.0-TBA-JUL</t>
  </si>
  <si>
    <t>FHLG2.5-TBA-JUL</t>
  </si>
  <si>
    <t>FHLG3.0-TBA-JUL</t>
  </si>
  <si>
    <t>FHLG3.5-TBA-JUL</t>
  </si>
  <si>
    <t>FHLG4.0-TBA-JUL</t>
  </si>
  <si>
    <t>FHLG4.5-TBA-JUL</t>
  </si>
  <si>
    <t>FHLG5.0-TBA-JUL</t>
  </si>
  <si>
    <t>FHLG5.5-TBA-JUL</t>
  </si>
  <si>
    <t>FHLG6.0-TBA-JUL</t>
  </si>
  <si>
    <t>GNMA2.5-TBA-JUL</t>
  </si>
  <si>
    <t>GNMA3.0-TBA-JUL</t>
  </si>
  <si>
    <t>GNMA3.5-TBA-JUL</t>
  </si>
  <si>
    <t>GNMA4.0-TBA-JUL</t>
  </si>
  <si>
    <t>GNMA4.5-TBA-JUL</t>
  </si>
  <si>
    <t>GNMA5.0-TBA-JUL</t>
  </si>
  <si>
    <t>GNMA5.5-TBA-JUL</t>
  </si>
  <si>
    <t>GNMA6.0-TBA-JUL</t>
  </si>
  <si>
    <t>2015-06-26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</si>
</sst>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mmm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_(* #,##0_);_(* \(#,##0\);_(* &quot;-&quot;??_);_(@_)"/>
    <numFmt numFmtId="196" formatCode="#,##0.00,"/>
    <numFmt numFmtId="197" formatCode="0.0000"/>
    <numFmt numFmtId="198" formatCode="mm/dd/yy;@"/>
    <numFmt numFmtId="199" formatCode="m/d/yy\ h:mm;@"/>
    <numFmt numFmtId="200" formatCode="0.00000"/>
    <numFmt numFmtId="201" formatCode="0.0;[Red]\-0.0"/>
    <numFmt numFmtId="202" formatCode="0.0000;[Red]\-0.0000"/>
    <numFmt numFmtId="203" formatCode="0.000;[Red]\-0.000"/>
  </numFmts>
  <fonts count="136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color theme="1"/>
      <name val="Calibri"/>
      <family val="2"/>
      <scheme val="minor"/>
    </font>
    <font>
      <b/>
      <sz val="10"/>
      <color rgb="FFAD275C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2E398A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EFEBE4"/>
        <bgColor indexed="64"/>
      </patternFill>
    </fill>
    <fill>
      <patternFill patternType="solid">
        <fgColor indexed="9"/>
      </patternFill>
    </fill>
    <fill>
      <patternFill patternType="solid">
        <fgColor indexed="40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 style="hair">
        <color indexed="64"/>
      </right>
      <top style="thin">
        <color rgb="FF2E398A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rgb="FF2E398A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2E398A"/>
      </right>
      <top style="hair">
        <color indexed="64"/>
      </top>
      <bottom style="hair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 style="thin">
        <color rgb="FF2E398A"/>
      </left>
      <right style="hair">
        <color indexed="64"/>
      </right>
      <top style="hair">
        <color indexed="64"/>
      </top>
      <bottom style="thin">
        <color rgb="FF2E398A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rgb="FF2E398A"/>
      </bottom>
      <diagonal/>
    </border>
    <border>
      <left style="hair">
        <color indexed="64"/>
      </left>
      <right/>
      <top style="hair">
        <color indexed="64"/>
      </top>
      <bottom style="thin">
        <color rgb="FF2E398A"/>
      </bottom>
      <diagonal/>
    </border>
    <border>
      <left style="medium">
        <color rgb="FF2E398A"/>
      </left>
      <right style="hair">
        <color indexed="64"/>
      </right>
      <top style="hair">
        <color indexed="64"/>
      </top>
      <bottom style="thin">
        <color rgb="FF2E398A"/>
      </bottom>
      <diagonal/>
    </border>
    <border>
      <left style="hair">
        <color indexed="64"/>
      </left>
      <right style="thin">
        <color rgb="FF2E398A"/>
      </right>
      <top style="hair">
        <color indexed="64"/>
      </top>
      <bottom style="thin">
        <color rgb="FF2E398A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indexed="64"/>
      </right>
      <top style="thin">
        <color rgb="FF2E398A"/>
      </top>
      <bottom style="thin">
        <color rgb="FF2E398A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/>
      <diagonal/>
    </border>
    <border>
      <left/>
      <right/>
      <top style="thin">
        <color rgb="FF2E398A"/>
      </top>
      <bottom/>
      <diagonal/>
    </border>
    <border>
      <left/>
      <right style="thin">
        <color rgb="FF2E398A"/>
      </right>
      <top style="thin">
        <color rgb="FF2E398A"/>
      </top>
      <bottom/>
      <diagonal/>
    </border>
    <border>
      <left/>
      <right style="thin">
        <color rgb="FF2E398A"/>
      </right>
      <top/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 style="hair">
        <color indexed="64"/>
      </right>
      <top style="hair">
        <color rgb="FF2E398A"/>
      </top>
      <bottom style="thin">
        <color rgb="FF2E398A"/>
      </bottom>
      <diagonal/>
    </border>
    <border>
      <left style="hair">
        <color rgb="FF2E398A"/>
      </left>
      <right style="hair">
        <color rgb="FF2E398A"/>
      </right>
      <top style="thin">
        <color rgb="FF2E398A"/>
      </top>
      <bottom style="hair">
        <color indexed="64"/>
      </bottom>
      <diagonal/>
    </border>
    <border>
      <left style="hair">
        <color rgb="FF2E398A"/>
      </left>
      <right style="thin">
        <color rgb="FF2E398A"/>
      </right>
      <top style="thin">
        <color rgb="FF2E398A"/>
      </top>
      <bottom style="hair">
        <color indexed="64"/>
      </bottom>
      <diagonal/>
    </border>
    <border>
      <left style="thin">
        <color rgb="FF2E398A"/>
      </left>
      <right style="hair">
        <color rgb="FF2E398A"/>
      </right>
      <top style="thin">
        <color rgb="FF2E398A"/>
      </top>
      <bottom style="hair">
        <color indexed="64"/>
      </bottom>
      <diagonal/>
    </border>
    <border>
      <left style="hair">
        <color rgb="FF2E398A"/>
      </left>
      <right/>
      <top style="thin">
        <color rgb="FF2E398A"/>
      </top>
      <bottom style="hair">
        <color indexed="64"/>
      </bottom>
      <diagonal/>
    </border>
    <border>
      <left style="thin">
        <color rgb="FF2E398A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2E398A"/>
      </left>
      <right/>
      <top style="hair">
        <color indexed="64"/>
      </top>
      <bottom style="thin">
        <color rgb="FF2E398A"/>
      </bottom>
      <diagonal/>
    </border>
    <border>
      <left/>
      <right style="thin">
        <color rgb="FF2E398A"/>
      </right>
      <top style="hair">
        <color indexed="64"/>
      </top>
      <bottom style="thin">
        <color rgb="FF2E398A"/>
      </bottom>
      <diagonal/>
    </border>
    <border>
      <left style="thin">
        <color rgb="FF2E398A"/>
      </left>
      <right/>
      <top/>
      <bottom style="hair">
        <color indexed="64"/>
      </bottom>
      <diagonal/>
    </border>
    <border>
      <left/>
      <right style="thin">
        <color rgb="FF2E398A"/>
      </right>
      <top/>
      <bottom style="hair">
        <color indexed="64"/>
      </bottom>
      <diagonal/>
    </border>
    <border>
      <left/>
      <right/>
      <top/>
      <bottom style="thin">
        <color rgb="FF2E398A"/>
      </bottom>
      <diagonal/>
    </border>
    <border>
      <left style="double">
        <color rgb="FF2E398A"/>
      </left>
      <right/>
      <top style="double">
        <color rgb="FF2E398A"/>
      </top>
      <bottom style="double">
        <color rgb="FF2E398A"/>
      </bottom>
      <diagonal/>
    </border>
    <border>
      <left/>
      <right/>
      <top style="double">
        <color rgb="FF2E398A"/>
      </top>
      <bottom style="double">
        <color rgb="FF2E398A"/>
      </bottom>
      <diagonal/>
    </border>
    <border>
      <left/>
      <right style="double">
        <color rgb="FF2E398A"/>
      </right>
      <top style="double">
        <color rgb="FF2E398A"/>
      </top>
      <bottom style="double">
        <color rgb="FF2E398A"/>
      </bottom>
      <diagonal/>
    </border>
    <border>
      <left style="thin">
        <color rgb="FF2E398A"/>
      </left>
      <right style="hair">
        <color indexed="64"/>
      </right>
      <top/>
      <bottom style="thin">
        <color rgb="FF2E398A"/>
      </bottom>
      <diagonal/>
    </border>
    <border>
      <left style="hair">
        <color indexed="64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hair">
        <color indexed="64"/>
      </right>
      <top/>
      <bottom style="hair">
        <color rgb="FF2E398A"/>
      </bottom>
      <diagonal/>
    </border>
    <border>
      <left style="hair">
        <color indexed="64"/>
      </left>
      <right style="hair">
        <color indexed="64"/>
      </right>
      <top/>
      <bottom style="hair">
        <color rgb="FF2E398A"/>
      </bottom>
      <diagonal/>
    </border>
    <border>
      <left style="hair">
        <color indexed="64"/>
      </left>
      <right/>
      <top/>
      <bottom style="hair">
        <color rgb="FF2E398A"/>
      </bottom>
      <diagonal/>
    </border>
    <border>
      <left style="hair">
        <color indexed="64"/>
      </left>
      <right style="thin">
        <color rgb="FF2E398A"/>
      </right>
      <top/>
      <bottom style="hair">
        <color rgb="FF2E398A"/>
      </bottom>
      <diagonal/>
    </border>
    <border>
      <left style="thin">
        <color rgb="FF2E398A"/>
      </left>
      <right style="hair">
        <color indexed="64"/>
      </right>
      <top style="hair">
        <color indexed="64"/>
      </top>
      <bottom style="hair">
        <color rgb="FF2E398A"/>
      </bottom>
      <diagonal/>
    </border>
    <border>
      <left style="hair">
        <color indexed="64"/>
      </left>
      <right style="thin">
        <color rgb="FF2E398A"/>
      </right>
      <top style="hair">
        <color indexed="64"/>
      </top>
      <bottom style="hair">
        <color rgb="FF2E398A"/>
      </bottom>
      <diagonal/>
    </border>
    <border>
      <left style="thin">
        <color rgb="FF2E398A"/>
      </left>
      <right style="hair">
        <color indexed="64"/>
      </right>
      <top style="hair">
        <color rgb="FF2E398A"/>
      </top>
      <bottom style="hair">
        <color rgb="FF2E398A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rgb="FF2E398A"/>
      </bottom>
      <diagonal/>
    </border>
    <border>
      <left style="hair">
        <color indexed="64"/>
      </left>
      <right/>
      <top style="hair">
        <color indexed="64"/>
      </top>
      <bottom style="hair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/>
      <right style="thin">
        <color rgb="FF2E398A"/>
      </right>
      <top style="thin">
        <color rgb="FF2E398A"/>
      </top>
      <bottom style="hair">
        <color indexed="64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double">
        <color rgb="FF2E398A"/>
      </top>
      <bottom style="thin">
        <color rgb="FF2E398A"/>
      </bottom>
      <diagonal/>
    </border>
    <border>
      <left style="hair">
        <color indexed="64"/>
      </left>
      <right style="hair">
        <color indexed="64"/>
      </right>
      <top/>
      <bottom style="thin">
        <color rgb="FF2E398A"/>
      </bottom>
      <diagonal/>
    </border>
    <border>
      <left style="hair">
        <color indexed="64"/>
      </left>
      <right/>
      <top/>
      <bottom style="thin">
        <color rgb="FF2E398A"/>
      </bottom>
      <diagonal/>
    </border>
    <border>
      <left style="thin">
        <color rgb="FF2E398A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rgb="FF2E398A"/>
      </right>
      <top style="hair">
        <color indexed="64"/>
      </top>
      <bottom/>
      <diagonal/>
    </border>
    <border>
      <left style="thin">
        <color rgb="FF2E398A"/>
      </left>
      <right style="hair">
        <color indexed="64"/>
      </right>
      <top style="thin">
        <color rgb="FF2E398A"/>
      </top>
      <bottom/>
      <diagonal/>
    </border>
    <border>
      <left style="hair">
        <color indexed="64"/>
      </left>
      <right style="hair">
        <color indexed="64"/>
      </right>
      <top style="thin">
        <color rgb="FF2E398A"/>
      </top>
      <bottom style="hair">
        <color indexed="64"/>
      </bottom>
      <diagonal/>
    </border>
    <border>
      <left style="hair">
        <color indexed="64"/>
      </left>
      <right/>
      <top style="thin">
        <color rgb="FF2E398A"/>
      </top>
      <bottom style="hair">
        <color indexed="64"/>
      </bottom>
      <diagonal/>
    </border>
    <border>
      <left style="hair">
        <color indexed="64"/>
      </left>
      <right style="thin">
        <color rgb="FF2E398A"/>
      </right>
      <top style="thin">
        <color rgb="FF2E398A"/>
      </top>
      <bottom style="hair">
        <color indexed="64"/>
      </bottom>
      <diagonal/>
    </border>
    <border>
      <left/>
      <right/>
      <top style="thin">
        <color rgb="FF2E398A"/>
      </top>
      <bottom style="hair">
        <color indexed="64"/>
      </bottom>
      <diagonal/>
    </border>
    <border>
      <left/>
      <right/>
      <top style="thin">
        <color rgb="FF2E398A"/>
      </top>
      <bottom style="double">
        <color rgb="FF2E398A"/>
      </bottom>
      <diagonal/>
    </border>
    <border>
      <left style="hair">
        <color indexed="64"/>
      </left>
      <right style="hair">
        <color indexed="64"/>
      </right>
      <top style="thin">
        <color rgb="FF2E398A"/>
      </top>
      <bottom/>
      <diagonal/>
    </border>
    <border>
      <left style="hair">
        <color indexed="64"/>
      </left>
      <right/>
      <top style="thin">
        <color rgb="FF2E398A"/>
      </top>
      <bottom/>
      <diagonal/>
    </border>
    <border>
      <left style="hair">
        <color indexed="64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hair">
        <color indexed="64"/>
      </right>
      <top style="thin">
        <color rgb="FF2E398A"/>
      </top>
      <bottom style="hair">
        <color rgb="FF2E398A"/>
      </bottom>
      <diagonal/>
    </border>
    <border>
      <left style="hair">
        <color indexed="64"/>
      </left>
      <right style="hair">
        <color indexed="64"/>
      </right>
      <top style="hair">
        <color rgb="FF2E398A"/>
      </top>
      <bottom style="thin">
        <color rgb="FF2E398A"/>
      </bottom>
      <diagonal/>
    </border>
    <border>
      <left style="hair">
        <color indexed="64"/>
      </left>
      <right/>
      <top style="hair">
        <color rgb="FF2E398A"/>
      </top>
      <bottom style="thin">
        <color rgb="FF2E398A"/>
      </bottom>
      <diagonal/>
    </border>
    <border>
      <left style="hair">
        <color indexed="64"/>
      </left>
      <right style="thin">
        <color rgb="FF2E398A"/>
      </right>
      <top style="hair">
        <color rgb="FF2E398A"/>
      </top>
      <bottom style="thin">
        <color rgb="FF2E398A"/>
      </bottom>
      <diagonal/>
    </border>
    <border>
      <left style="medium">
        <color rgb="FF2E398A"/>
      </left>
      <right style="hair">
        <color indexed="64"/>
      </right>
      <top/>
      <bottom style="thin">
        <color rgb="FF2E398A"/>
      </bottom>
      <diagonal/>
    </border>
    <border>
      <left style="thin">
        <color rgb="FF1A398A"/>
      </left>
      <right/>
      <top style="thin">
        <color rgb="FF2E398A"/>
      </top>
      <bottom style="thin">
        <color rgb="FF2E398A"/>
      </bottom>
      <diagonal/>
    </border>
    <border>
      <left style="hair">
        <color rgb="FF2E398A"/>
      </left>
      <right/>
      <top style="thin">
        <color rgb="FF2E398A"/>
      </top>
      <bottom/>
      <diagonal/>
    </border>
    <border>
      <left style="hair">
        <color rgb="FF2E398A"/>
      </left>
      <right style="hair">
        <color indexed="64"/>
      </right>
      <top style="hair">
        <color rgb="FF2E398A"/>
      </top>
      <bottom style="thin">
        <color rgb="FF2E398A"/>
      </bottom>
      <diagonal/>
    </border>
    <border>
      <left style="hair">
        <color rgb="FF2E398A"/>
      </left>
      <right style="hair">
        <color indexed="64"/>
      </right>
      <top style="thin">
        <color rgb="FF2E398A"/>
      </top>
      <bottom style="hair">
        <color indexed="64"/>
      </bottom>
      <diagonal/>
    </border>
    <border>
      <left style="hair">
        <color rgb="FF2E398A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2E398A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hair">
        <color indexed="64"/>
      </bottom>
      <diagonal/>
    </border>
    <border>
      <left style="thin">
        <color rgb="FF2E398A"/>
      </left>
      <right style="thin">
        <color rgb="FF2E398A"/>
      </right>
      <top style="hair">
        <color indexed="64"/>
      </top>
      <bottom style="hair">
        <color indexed="64"/>
      </bottom>
      <diagonal/>
    </border>
    <border>
      <left style="thin">
        <color rgb="FF2E398A"/>
      </left>
      <right style="thin">
        <color rgb="FF2E398A"/>
      </right>
      <top style="hair">
        <color indexed="64"/>
      </top>
      <bottom style="thin">
        <color rgb="FF2E398A"/>
      </bottom>
      <diagonal/>
    </border>
    <border>
      <left/>
      <right style="hair">
        <color rgb="FF2E398A"/>
      </right>
      <top style="thin">
        <color rgb="FF2E398A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rgb="FF2E398A"/>
      </top>
      <bottom style="thin">
        <color rgb="FF2E398A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rgb="FF2E398A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hair">
        <color indexed="64"/>
      </bottom>
      <diagonal/>
    </border>
    <border>
      <left style="thin">
        <color rgb="FF2E398A"/>
      </left>
      <right/>
      <top style="hair">
        <color indexed="64"/>
      </top>
      <bottom/>
      <diagonal/>
    </border>
    <border>
      <left style="thin">
        <color rgb="FF2E398A"/>
      </left>
      <right/>
      <top style="hair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hair">
        <color indexed="64"/>
      </top>
      <bottom/>
      <diagonal/>
    </border>
    <border>
      <left style="thin">
        <color rgb="FF2E398A"/>
      </left>
      <right style="thin">
        <color rgb="FF2E398A"/>
      </right>
      <top style="hair">
        <color rgb="FF2E398A"/>
      </top>
      <bottom style="thin">
        <color rgb="FF2E398A"/>
      </bottom>
      <diagonal/>
    </border>
    <border>
      <left/>
      <right style="hair">
        <color indexed="64"/>
      </right>
      <top style="hair">
        <color indexed="64"/>
      </top>
      <bottom style="hair">
        <color rgb="FF2E398A"/>
      </bottom>
      <diagonal/>
    </border>
    <border>
      <left/>
      <right style="hair">
        <color indexed="64"/>
      </right>
      <top/>
      <bottom style="hair">
        <color rgb="FF2E398A"/>
      </bottom>
      <diagonal/>
    </border>
    <border>
      <left/>
      <right style="hair">
        <color indexed="64"/>
      </right>
      <top/>
      <bottom style="thin">
        <color rgb="FF2E398A"/>
      </bottom>
      <diagonal/>
    </border>
    <border>
      <left/>
      <right/>
      <top style="hair">
        <color indexed="64"/>
      </top>
      <bottom style="hair">
        <color rgb="FF2E398A"/>
      </bottom>
      <diagonal/>
    </border>
    <border>
      <left/>
      <right/>
      <top/>
      <bottom style="hair">
        <color rgb="FF2E398A"/>
      </bottom>
      <diagonal/>
    </border>
    <border>
      <left style="thin">
        <color rgb="FF2E398A"/>
      </left>
      <right style="thin">
        <color rgb="FF2E398A"/>
      </right>
      <top style="hair">
        <color indexed="64"/>
      </top>
      <bottom style="hair">
        <color rgb="FF2E398A"/>
      </bottom>
      <diagonal/>
    </border>
    <border>
      <left style="thin">
        <color rgb="FF2E398A"/>
      </left>
      <right style="thin">
        <color rgb="FF2E398A"/>
      </right>
      <top/>
      <bottom style="hair">
        <color rgb="FF2E398A"/>
      </bottom>
      <diagonal/>
    </border>
    <border>
      <left style="thin">
        <color rgb="FF2E398A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rgb="FF2E398A"/>
      </top>
      <bottom/>
      <diagonal/>
    </border>
  </borders>
  <cellStyleXfs count="517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5" borderId="0" applyNumberFormat="0" applyBorder="0" applyAlignment="0" applyProtection="0"/>
    <xf numFmtId="0" fontId="10" fillId="11" borderId="0" applyNumberFormat="0" applyBorder="0" applyAlignment="0" applyProtection="0"/>
    <xf numFmtId="0" fontId="11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1" fillId="13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5" borderId="0" applyNumberFormat="0" applyBorder="0" applyAlignment="0" applyProtection="0"/>
    <xf numFmtId="0" fontId="10" fillId="6" borderId="0" applyNumberFormat="0" applyBorder="0" applyAlignment="0" applyProtection="0"/>
    <xf numFmtId="0" fontId="11" fillId="16" borderId="0" applyNumberFormat="0" applyBorder="0" applyAlignment="0" applyProtection="0"/>
    <xf numFmtId="0" fontId="9" fillId="17" borderId="0" applyNumberFormat="0" applyBorder="0" applyAlignment="0" applyProtection="0"/>
    <xf numFmtId="0" fontId="10" fillId="17" borderId="0" applyNumberFormat="0" applyBorder="0" applyAlignment="0" applyProtection="0"/>
    <xf numFmtId="0" fontId="11" fillId="17" borderId="0" applyNumberFormat="0" applyBorder="0" applyAlignment="0" applyProtection="0"/>
    <xf numFmtId="0" fontId="9" fillId="10" borderId="0" applyNumberFormat="0" applyBorder="0" applyAlignment="0" applyProtection="0"/>
    <xf numFmtId="0" fontId="10" fillId="12" borderId="0" applyNumberFormat="0" applyBorder="0" applyAlignment="0" applyProtection="0"/>
    <xf numFmtId="0" fontId="11" fillId="18" borderId="0" applyNumberFormat="0" applyBorder="0" applyAlignment="0" applyProtection="0"/>
    <xf numFmtId="0" fontId="9" fillId="15" borderId="0" applyNumberFormat="0" applyBorder="0" applyAlignment="0" applyProtection="0"/>
    <xf numFmtId="0" fontId="10" fillId="19" borderId="0" applyNumberFormat="0" applyBorder="0" applyAlignment="0" applyProtection="0"/>
    <xf numFmtId="0" fontId="11" fillId="12" borderId="0" applyNumberFormat="0" applyBorder="0" applyAlignment="0" applyProtection="0"/>
    <xf numFmtId="0" fontId="9" fillId="16" borderId="0" applyNumberFormat="0" applyBorder="0" applyAlignment="0" applyProtection="0"/>
    <xf numFmtId="0" fontId="10" fillId="14" borderId="0" applyNumberFormat="0" applyBorder="0" applyAlignment="0" applyProtection="0"/>
    <xf numFmtId="0" fontId="11" fillId="16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0" borderId="0" applyNumberFormat="0" applyBorder="0" applyAlignment="0" applyProtection="0"/>
    <xf numFmtId="0" fontId="12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2" fillId="17" borderId="0" applyNumberFormat="0" applyBorder="0" applyAlignment="0" applyProtection="0"/>
    <xf numFmtId="0" fontId="13" fillId="17" borderId="0" applyNumberFormat="0" applyBorder="0" applyAlignment="0" applyProtection="0"/>
    <xf numFmtId="0" fontId="14" fillId="17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4" fillId="18" borderId="0" applyNumberFormat="0" applyBorder="0" applyAlignment="0" applyProtection="0"/>
    <xf numFmtId="0" fontId="12" fillId="15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1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6" borderId="0" applyNumberFormat="0" applyBorder="0" applyAlignment="0" applyProtection="0"/>
    <xf numFmtId="0" fontId="12" fillId="21" borderId="0" applyNumberFormat="0" applyBorder="0" applyAlignment="0" applyProtection="0"/>
    <xf numFmtId="0" fontId="13" fillId="27" borderId="0" applyNumberFormat="0" applyBorder="0" applyAlignment="0" applyProtection="0"/>
    <xf numFmtId="0" fontId="14" fillId="28" borderId="0" applyNumberFormat="0" applyBorder="0" applyAlignment="0" applyProtection="0"/>
    <xf numFmtId="0" fontId="12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29" borderId="0" applyNumberFormat="0" applyBorder="0" applyAlignment="0" applyProtection="0"/>
    <xf numFmtId="0" fontId="12" fillId="31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2" fillId="27" borderId="0" applyNumberFormat="0" applyBorder="0" applyAlignment="0" applyProtection="0"/>
    <xf numFmtId="0" fontId="13" fillId="27" borderId="0" applyNumberFormat="0" applyBorder="0" applyAlignment="0" applyProtection="0"/>
    <xf numFmtId="0" fontId="14" fillId="25" borderId="0" applyNumberFormat="0" applyBorder="0" applyAlignment="0" applyProtection="0"/>
    <xf numFmtId="0" fontId="12" fillId="21" borderId="0" applyNumberFormat="0" applyBorder="0" applyAlignment="0" applyProtection="0"/>
    <xf numFmtId="0" fontId="13" fillId="31" borderId="0" applyNumberFormat="0" applyBorder="0" applyAlignment="0" applyProtection="0"/>
    <xf numFmtId="0" fontId="14" fillId="21" borderId="0" applyNumberFormat="0" applyBorder="0" applyAlignment="0" applyProtection="0"/>
    <xf numFmtId="0" fontId="12" fillId="32" borderId="0" applyNumberFormat="0" applyBorder="0" applyAlignment="0" applyProtection="0"/>
    <xf numFmtId="0" fontId="13" fillId="32" borderId="0" applyNumberFormat="0" applyBorder="0" applyAlignment="0" applyProtection="0"/>
    <xf numFmtId="0" fontId="14" fillId="32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5" borderId="0"/>
    <xf numFmtId="0" fontId="19" fillId="0" borderId="0" applyNumberFormat="0" applyFill="0" applyBorder="0" applyAlignment="0" applyProtection="0"/>
    <xf numFmtId="0" fontId="20" fillId="33" borderId="0">
      <alignment horizontal="left"/>
    </xf>
    <xf numFmtId="2" fontId="21" fillId="34" borderId="1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9" applyNumberFormat="0" applyFill="0" applyAlignment="0" applyProtection="0"/>
    <xf numFmtId="0" fontId="7" fillId="35" borderId="0"/>
    <xf numFmtId="168" fontId="8" fillId="0" borderId="0" applyFont="0" applyFill="0" applyBorder="0" applyAlignment="0" applyProtection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7" fillId="0" borderId="0" applyFill="0" applyBorder="0" applyAlignment="0"/>
    <xf numFmtId="169" fontId="25" fillId="0" borderId="0" applyFill="0" applyBorder="0" applyAlignment="0"/>
    <xf numFmtId="0" fontId="7" fillId="0" borderId="0" applyFill="0" applyBorder="0" applyAlignment="0"/>
    <xf numFmtId="172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26" fillId="5" borderId="20" applyNumberFormat="0" applyAlignment="0" applyProtection="0"/>
    <xf numFmtId="0" fontId="27" fillId="13" borderId="20" applyNumberFormat="0" applyAlignment="0" applyProtection="0"/>
    <xf numFmtId="0" fontId="28" fillId="15" borderId="20" applyNumberFormat="0" applyAlignment="0" applyProtection="0"/>
    <xf numFmtId="0" fontId="29" fillId="36" borderId="21" applyNumberFormat="0"/>
    <xf numFmtId="0" fontId="30" fillId="37" borderId="22" applyBorder="0">
      <alignment horizontal="center" wrapText="1"/>
    </xf>
    <xf numFmtId="0" fontId="30" fillId="38" borderId="22" applyBorder="0">
      <alignment horizontal="center" wrapText="1"/>
    </xf>
    <xf numFmtId="0" fontId="2" fillId="39" borderId="21" applyNumberFormat="0"/>
    <xf numFmtId="0" fontId="2" fillId="40" borderId="21" applyNumberFormat="0"/>
    <xf numFmtId="0" fontId="31" fillId="40" borderId="21" applyNumberFormat="0"/>
    <xf numFmtId="0" fontId="32" fillId="39" borderId="21" applyNumberFormat="0"/>
    <xf numFmtId="0" fontId="33" fillId="41" borderId="23" applyNumberFormat="0" applyBorder="0"/>
    <xf numFmtId="0" fontId="32" fillId="36" borderId="21" applyNumberFormat="0"/>
    <xf numFmtId="0" fontId="29" fillId="36" borderId="21" applyNumberFormat="0"/>
    <xf numFmtId="0" fontId="33" fillId="41" borderId="23" applyNumberFormat="0" applyBorder="0"/>
    <xf numFmtId="0" fontId="33" fillId="41" borderId="23" applyNumberFormat="0"/>
    <xf numFmtId="14" fontId="34" fillId="39" borderId="24" applyNumberFormat="0" applyAlignment="0"/>
    <xf numFmtId="14" fontId="34" fillId="40" borderId="24" applyNumberFormat="0" applyAlignment="0"/>
    <xf numFmtId="14" fontId="35" fillId="40" borderId="24" applyNumberFormat="0" applyAlignment="0"/>
    <xf numFmtId="0" fontId="36" fillId="42" borderId="25" applyNumberFormat="0" applyAlignment="0" applyProtection="0"/>
    <xf numFmtId="0" fontId="37" fillId="42" borderId="25" applyNumberFormat="0" applyAlignment="0" applyProtection="0"/>
    <xf numFmtId="0" fontId="38" fillId="42" borderId="25" applyNumberFormat="0" applyAlignment="0" applyProtection="0"/>
    <xf numFmtId="0" fontId="39" fillId="0" borderId="0" applyNumberFormat="0" applyFill="0" applyBorder="0" applyAlignment="0" applyProtection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173" fontId="40" fillId="0" borderId="0"/>
    <xf numFmtId="173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4" fillId="0" borderId="0" applyFont="0" applyFill="0" applyBorder="0" applyAlignment="0" applyProtection="0"/>
    <xf numFmtId="170" fontId="7" fillId="0" borderId="0" applyFont="0" applyFill="0" applyBorder="0" applyAlignment="0" applyProtection="0"/>
    <xf numFmtId="8" fontId="45" fillId="0" borderId="26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4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5" fontId="7" fillId="0" borderId="0" applyFont="0" applyFill="0" applyBorder="0" applyProtection="0"/>
    <xf numFmtId="176" fontId="7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7" fontId="7" fillId="0" borderId="0" applyFill="0" applyBorder="0" applyAlignment="0" applyProtection="0"/>
    <xf numFmtId="177" fontId="7" fillId="0" borderId="0" applyFill="0" applyBorder="0" applyAlignment="0" applyProtection="0"/>
    <xf numFmtId="177" fontId="7" fillId="0" borderId="0" applyFill="0" applyBorder="0" applyAlignment="0" applyProtection="0"/>
    <xf numFmtId="177" fontId="7" fillId="0" borderId="0" applyFill="0" applyBorder="0" applyAlignment="0" applyProtection="0"/>
    <xf numFmtId="177" fontId="7" fillId="0" borderId="0" applyFill="0" applyBorder="0" applyAlignment="0" applyProtection="0"/>
    <xf numFmtId="15" fontId="10" fillId="5" borderId="0"/>
    <xf numFmtId="14" fontId="10" fillId="0" borderId="0" applyFill="0" applyBorder="0" applyAlignment="0"/>
    <xf numFmtId="0" fontId="44" fillId="34" borderId="0">
      <alignment horizontal="left"/>
    </xf>
    <xf numFmtId="177" fontId="7" fillId="0" borderId="0" applyFill="0" applyBorder="0" applyAlignment="0" applyProtection="0"/>
    <xf numFmtId="14" fontId="7" fillId="0" borderId="0"/>
    <xf numFmtId="0" fontId="47" fillId="17" borderId="0">
      <alignment horizontal="left"/>
    </xf>
    <xf numFmtId="0" fontId="48" fillId="0" borderId="0">
      <alignment horizontal="left"/>
    </xf>
    <xf numFmtId="38" fontId="49" fillId="0" borderId="27">
      <alignment vertical="center"/>
    </xf>
    <xf numFmtId="178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9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50" fillId="0" borderId="0" applyNumberFormat="0" applyAlignment="0">
      <alignment horizontal="left"/>
    </xf>
    <xf numFmtId="9" fontId="51" fillId="0" borderId="28" applyNumberFormat="0" applyBorder="0" applyAlignment="0">
      <protection locked="0"/>
    </xf>
    <xf numFmtId="180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7" fillId="0" borderId="0" applyFill="0" applyBorder="0" applyAlignment="0" applyProtection="0"/>
    <xf numFmtId="181" fontId="7" fillId="0" borderId="0" applyFont="0" applyFill="0" applyBorder="0" applyAlignment="0" applyProtection="0"/>
    <xf numFmtId="0" fontId="10" fillId="5" borderId="0"/>
    <xf numFmtId="0" fontId="55" fillId="11" borderId="0" applyNumberFormat="0" applyBorder="0" applyAlignment="0" applyProtection="0"/>
    <xf numFmtId="0" fontId="56" fillId="14" borderId="0" applyNumberFormat="0" applyBorder="0" applyAlignment="0" applyProtection="0"/>
    <xf numFmtId="0" fontId="57" fillId="11" borderId="0" applyNumberFormat="0" applyBorder="0" applyAlignment="0" applyProtection="0"/>
    <xf numFmtId="2" fontId="58" fillId="34" borderId="18" applyProtection="0">
      <alignment horizontal="left"/>
      <protection locked="0"/>
    </xf>
    <xf numFmtId="38" fontId="39" fillId="43" borderId="0" applyNumberFormat="0" applyBorder="0" applyAlignment="0" applyProtection="0"/>
    <xf numFmtId="0" fontId="59" fillId="0" borderId="29" applyNumberFormat="0" applyAlignment="0" applyProtection="0">
      <alignment horizontal="left" vertical="center"/>
    </xf>
    <xf numFmtId="0" fontId="59" fillId="0" borderId="30">
      <alignment horizontal="left" vertical="center"/>
    </xf>
    <xf numFmtId="0" fontId="60" fillId="15" borderId="28">
      <alignment horizontal="centerContinuous"/>
    </xf>
    <xf numFmtId="0" fontId="61" fillId="0" borderId="31" applyNumberFormat="0" applyFill="0" applyAlignment="0" applyProtection="0"/>
    <xf numFmtId="0" fontId="62" fillId="0" borderId="32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33" applyNumberFormat="0" applyFill="0" applyAlignment="0" applyProtection="0"/>
    <xf numFmtId="0" fontId="66" fillId="0" borderId="34" applyNumberFormat="0" applyFill="0" applyAlignment="0" applyProtection="0"/>
    <xf numFmtId="0" fontId="67" fillId="0" borderId="35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34" applyNumberFormat="0" applyFill="0" applyAlignment="0" applyProtection="0"/>
    <xf numFmtId="0" fontId="69" fillId="0" borderId="36" applyNumberFormat="0" applyFill="0" applyAlignment="0" applyProtection="0"/>
    <xf numFmtId="0" fontId="70" fillId="0" borderId="37" applyNumberFormat="0" applyFill="0" applyAlignment="0" applyProtection="0"/>
    <xf numFmtId="0" fontId="71" fillId="0" borderId="38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5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4" borderId="28" applyNumberFormat="0" applyBorder="0" applyAlignment="0" applyProtection="0"/>
    <xf numFmtId="2" fontId="74" fillId="0" borderId="39" applyNumberFormat="0" applyFill="0" applyBorder="0" applyAlignment="0">
      <alignment horizontal="center"/>
      <protection locked="0"/>
    </xf>
    <xf numFmtId="0" fontId="75" fillId="8" borderId="20" applyNumberFormat="0" applyAlignment="0" applyProtection="0"/>
    <xf numFmtId="0" fontId="75" fillId="8" borderId="20" applyNumberFormat="0" applyAlignment="0" applyProtection="0"/>
    <xf numFmtId="0" fontId="75" fillId="8" borderId="20" applyNumberFormat="0" applyAlignment="0" applyProtection="0"/>
    <xf numFmtId="0" fontId="75" fillId="8" borderId="20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78" fillId="0" borderId="40" applyNumberFormat="0" applyFill="0" applyAlignment="0" applyProtection="0"/>
    <xf numFmtId="0" fontId="79" fillId="0" borderId="40" applyNumberFormat="0" applyFill="0" applyAlignment="0" applyProtection="0"/>
    <xf numFmtId="0" fontId="80" fillId="0" borderId="40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5" borderId="0"/>
    <xf numFmtId="0" fontId="81" fillId="8" borderId="0" applyNumberFormat="0" applyBorder="0" applyAlignment="0" applyProtection="0"/>
    <xf numFmtId="0" fontId="82" fillId="12" borderId="0" applyNumberFormat="0" applyBorder="0" applyAlignment="0" applyProtection="0"/>
    <xf numFmtId="0" fontId="83" fillId="35" borderId="0" applyNumberFormat="0" applyBorder="0" applyAlignment="0" applyProtection="0"/>
    <xf numFmtId="37" fontId="84" fillId="0" borderId="0"/>
    <xf numFmtId="0" fontId="47" fillId="5" borderId="0" applyNumberFormat="0" applyFont="0" applyFill="0" applyBorder="0" applyAlignment="0"/>
    <xf numFmtId="10" fontId="10" fillId="5" borderId="0"/>
    <xf numFmtId="182" fontId="8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" fillId="0" borderId="0"/>
    <xf numFmtId="0" fontId="7" fillId="0" borderId="0"/>
    <xf numFmtId="0" fontId="7" fillId="40" borderId="0"/>
    <xf numFmtId="0" fontId="7" fillId="40" borderId="0"/>
    <xf numFmtId="0" fontId="7" fillId="0" borderId="0"/>
    <xf numFmtId="0" fontId="7" fillId="0" borderId="0"/>
    <xf numFmtId="0" fontId="32" fillId="39" borderId="0"/>
    <xf numFmtId="0" fontId="32" fillId="39" borderId="0"/>
    <xf numFmtId="0" fontId="32" fillId="39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0"/>
    <xf numFmtId="0" fontId="7" fillId="0" borderId="0"/>
    <xf numFmtId="0" fontId="4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6" fillId="10" borderId="41" applyNumberFormat="0" applyFont="0" applyAlignment="0" applyProtection="0"/>
    <xf numFmtId="0" fontId="10" fillId="10" borderId="41" applyNumberFormat="0" applyFont="0" applyAlignment="0" applyProtection="0"/>
    <xf numFmtId="0" fontId="87" fillId="0" borderId="0"/>
    <xf numFmtId="0" fontId="11" fillId="10" borderId="41" applyNumberFormat="0" applyFont="0" applyAlignment="0" applyProtection="0"/>
    <xf numFmtId="0" fontId="32" fillId="3" borderId="2" applyNumberFormat="0" applyFont="0" applyAlignment="0" applyProtection="0"/>
    <xf numFmtId="0" fontId="32" fillId="3" borderId="2" applyNumberFormat="0" applyFont="0" applyAlignment="0" applyProtection="0"/>
    <xf numFmtId="0" fontId="4" fillId="3" borderId="2" applyNumberFormat="0" applyFont="0" applyAlignment="0" applyProtection="0"/>
    <xf numFmtId="0" fontId="4" fillId="3" borderId="2" applyNumberFormat="0" applyFont="0" applyAlignment="0" applyProtection="0"/>
    <xf numFmtId="0" fontId="4" fillId="3" borderId="2" applyNumberFormat="0" applyFont="0" applyAlignment="0" applyProtection="0"/>
    <xf numFmtId="183" fontId="24" fillId="0" borderId="0">
      <alignment horizontal="center"/>
    </xf>
    <xf numFmtId="37" fontId="7" fillId="0" borderId="0"/>
    <xf numFmtId="184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5" fontId="88" fillId="0" borderId="0" applyNumberFormat="0" applyFill="0" applyBorder="0" applyAlignment="0" applyProtection="0"/>
    <xf numFmtId="164" fontId="24" fillId="0" borderId="0">
      <alignment horizontal="center"/>
    </xf>
    <xf numFmtId="0" fontId="32" fillId="4" borderId="0" applyNumberFormat="0" applyFont="0" applyBorder="0" applyAlignment="0" applyProtection="0"/>
    <xf numFmtId="0" fontId="88" fillId="0" borderId="42"/>
    <xf numFmtId="2" fontId="89" fillId="34" borderId="18">
      <alignment horizontal="left"/>
    </xf>
    <xf numFmtId="0" fontId="90" fillId="5" borderId="43" applyNumberFormat="0" applyAlignment="0" applyProtection="0"/>
    <xf numFmtId="0" fontId="91" fillId="13" borderId="43" applyNumberFormat="0" applyAlignment="0" applyProtection="0"/>
    <xf numFmtId="0" fontId="92" fillId="15" borderId="43" applyNumberFormat="0" applyAlignment="0" applyProtection="0"/>
    <xf numFmtId="40" fontId="10" fillId="34" borderId="0">
      <alignment horizontal="right"/>
    </xf>
    <xf numFmtId="0" fontId="93" fillId="44" borderId="0">
      <alignment horizontal="center"/>
    </xf>
    <xf numFmtId="0" fontId="37" fillId="45" borderId="1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9" fillId="0" borderId="0"/>
    <xf numFmtId="0" fontId="7" fillId="0" borderId="0" applyFont="0" applyFill="0" applyBorder="0" applyAlignment="0" applyProtection="0"/>
    <xf numFmtId="172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6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187" fontId="24" fillId="0" borderId="0">
      <alignment horizontal="center"/>
    </xf>
    <xf numFmtId="188" fontId="24" fillId="0" borderId="28">
      <alignment horizontal="center"/>
    </xf>
    <xf numFmtId="0" fontId="97" fillId="0" borderId="44" applyAlignment="0">
      <alignment horizontal="center"/>
    </xf>
    <xf numFmtId="0" fontId="98" fillId="43" borderId="0"/>
    <xf numFmtId="0" fontId="49" fillId="0" borderId="0" applyNumberFormat="0" applyFont="0" applyFill="0" applyBorder="0" applyAlignment="0" applyProtection="0">
      <alignment horizontal="left"/>
    </xf>
    <xf numFmtId="0" fontId="99" fillId="0" borderId="45">
      <alignment horizontal="center"/>
    </xf>
    <xf numFmtId="0" fontId="46" fillId="0" borderId="0">
      <alignment vertical="top"/>
    </xf>
    <xf numFmtId="189" fontId="46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18" applyNumberFormat="0" applyBorder="0" applyAlignment="0"/>
    <xf numFmtId="190" fontId="100" fillId="0" borderId="0" applyNumberFormat="0" applyFill="0" applyBorder="0" applyAlignment="0" applyProtection="0">
      <alignment horizontal="left"/>
    </xf>
    <xf numFmtId="0" fontId="47" fillId="31" borderId="0">
      <alignment horizontal="left"/>
    </xf>
    <xf numFmtId="0" fontId="101" fillId="0" borderId="46"/>
    <xf numFmtId="188" fontId="21" fillId="10" borderId="0">
      <alignment horizontal="center"/>
    </xf>
    <xf numFmtId="188" fontId="102" fillId="10" borderId="0">
      <alignment horizontal="center"/>
    </xf>
    <xf numFmtId="188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1" fontId="25" fillId="0" borderId="0" applyFont="0" applyFill="0" applyBorder="0" applyAlignment="0" applyProtection="0"/>
    <xf numFmtId="192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4" borderId="41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3" fontId="24" fillId="0" borderId="0">
      <alignment horizontal="center"/>
    </xf>
    <xf numFmtId="188" fontId="24" fillId="0" borderId="0">
      <alignment horizontal="center"/>
    </xf>
    <xf numFmtId="0" fontId="107" fillId="46" borderId="0"/>
    <xf numFmtId="194" fontId="24" fillId="0" borderId="0">
      <alignment horizontal="center"/>
    </xf>
    <xf numFmtId="194" fontId="24" fillId="0" borderId="47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5" borderId="0"/>
    <xf numFmtId="49" fontId="10" fillId="0" borderId="0" applyFill="0" applyBorder="0" applyAlignment="0"/>
    <xf numFmtId="0" fontId="24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72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5" borderId="0"/>
    <xf numFmtId="0" fontId="32" fillId="47" borderId="48" applyBorder="0">
      <alignment horizontal="center" wrapText="1"/>
    </xf>
    <xf numFmtId="0" fontId="30" fillId="37" borderId="22" applyBorder="0">
      <alignment horizontal="center" wrapText="1"/>
    </xf>
    <xf numFmtId="0" fontId="32" fillId="48" borderId="22" applyBorder="0">
      <alignment horizontal="center" wrapText="1"/>
    </xf>
    <xf numFmtId="0" fontId="30" fillId="38" borderId="22" applyBorder="0">
      <alignment horizontal="center" wrapText="1"/>
    </xf>
    <xf numFmtId="0" fontId="1" fillId="49" borderId="22" applyBorder="0">
      <alignment horizontal="center" wrapText="1"/>
    </xf>
    <xf numFmtId="0" fontId="30" fillId="50" borderId="22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49" applyNumberFormat="0" applyFill="0" applyAlignment="0" applyProtection="0"/>
    <xf numFmtId="0" fontId="18" fillId="0" borderId="50" applyNumberFormat="0" applyFill="0" applyAlignment="0" applyProtection="0"/>
    <xf numFmtId="0" fontId="7" fillId="0" borderId="51" applyNumberFormat="0" applyFill="0" applyAlignment="0" applyProtection="0"/>
    <xf numFmtId="0" fontId="116" fillId="0" borderId="52" applyNumberFormat="0" applyFill="0" applyAlignment="0" applyProtection="0"/>
    <xf numFmtId="0" fontId="117" fillId="5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39" borderId="24"/>
    <xf numFmtId="1" fontId="121" fillId="40" borderId="24"/>
    <xf numFmtId="2" fontId="122" fillId="40" borderId="24"/>
    <xf numFmtId="0" fontId="123" fillId="39" borderId="23" applyNumberFormat="0" applyAlignment="0"/>
    <xf numFmtId="0" fontId="124" fillId="40" borderId="23" applyNumberFormat="0" applyAlignment="0"/>
    <xf numFmtId="1" fontId="125" fillId="40" borderId="24" applyNumberFormat="0"/>
    <xf numFmtId="178" fontId="126" fillId="40" borderId="24" applyNumberFormat="0"/>
    <xf numFmtId="0" fontId="7" fillId="0" borderId="0"/>
    <xf numFmtId="0" fontId="4" fillId="0" borderId="0"/>
    <xf numFmtId="0" fontId="32" fillId="39" borderId="0"/>
    <xf numFmtId="0" fontId="32" fillId="3" borderId="2" applyNumberFormat="0" applyFont="0" applyAlignment="0" applyProtection="0"/>
    <xf numFmtId="0" fontId="1" fillId="49" borderId="22" applyBorder="0">
      <alignment horizontal="center" wrapText="1"/>
    </xf>
    <xf numFmtId="0" fontId="127" fillId="2" borderId="1" applyNumberFormat="0" applyAlignment="0" applyProtection="0"/>
    <xf numFmtId="0" fontId="32" fillId="39" borderId="0"/>
    <xf numFmtId="0" fontId="2" fillId="39" borderId="21" applyNumberFormat="0"/>
    <xf numFmtId="0" fontId="33" fillId="41" borderId="23" applyNumberFormat="0" applyBorder="0"/>
    <xf numFmtId="2" fontId="74" fillId="0" borderId="39" applyNumberFormat="0" applyFill="0" applyBorder="0" applyAlignment="0">
      <alignment horizontal="center"/>
      <protection locked="0"/>
    </xf>
    <xf numFmtId="0" fontId="10" fillId="0" borderId="0"/>
    <xf numFmtId="0" fontId="7" fillId="0" borderId="0"/>
    <xf numFmtId="0" fontId="7" fillId="0" borderId="0"/>
    <xf numFmtId="0" fontId="86" fillId="10" borderId="41" applyNumberFormat="0" applyFont="0" applyAlignment="0" applyProtection="0"/>
    <xf numFmtId="0" fontId="1" fillId="49" borderId="22" applyBorder="0">
      <alignment horizontal="center" wrapText="1"/>
    </xf>
    <xf numFmtId="0" fontId="30" fillId="50" borderId="22" applyBorder="0">
      <alignment horizontal="center" wrapText="1"/>
    </xf>
    <xf numFmtId="9" fontId="1" fillId="0" borderId="0" applyFont="0" applyFill="0" applyBorder="0" applyAlignment="0" applyProtection="0"/>
  </cellStyleXfs>
  <cellXfs count="373">
    <xf numFmtId="0" fontId="0" fillId="0" borderId="0" xfId="0"/>
    <xf numFmtId="14" fontId="1" fillId="0" borderId="0" xfId="2" applyNumberFormat="1" applyFont="1"/>
    <xf numFmtId="0" fontId="1" fillId="0" borderId="0" xfId="2" applyFont="1"/>
    <xf numFmtId="0" fontId="5" fillId="0" borderId="0" xfId="2" applyFont="1" applyFill="1" applyBorder="1"/>
    <xf numFmtId="0" fontId="3" fillId="0" borderId="0" xfId="2" applyFont="1"/>
    <xf numFmtId="0" fontId="4" fillId="4" borderId="3" xfId="2" applyFont="1" applyFill="1" applyBorder="1"/>
    <xf numFmtId="0" fontId="1" fillId="0" borderId="0" xfId="2" applyFont="1" applyAlignment="1">
      <alignment horizontal="center" wrapText="1"/>
    </xf>
    <xf numFmtId="164" fontId="1" fillId="0" borderId="0" xfId="2" applyNumberFormat="1" applyFont="1"/>
    <xf numFmtId="165" fontId="1" fillId="0" borderId="0" xfId="2" applyNumberFormat="1" applyFont="1"/>
    <xf numFmtId="0" fontId="4" fillId="37" borderId="4" xfId="2" applyFont="1" applyFill="1" applyBorder="1" applyAlignment="1">
      <alignment horizontal="center" wrapText="1"/>
    </xf>
    <xf numFmtId="0" fontId="4" fillId="37" borderId="3" xfId="2" applyFont="1" applyFill="1" applyBorder="1" applyAlignment="1">
      <alignment horizontal="center" wrapText="1"/>
    </xf>
    <xf numFmtId="0" fontId="4" fillId="37" borderId="5" xfId="2" applyFont="1" applyFill="1" applyBorder="1" applyAlignment="1">
      <alignment horizontal="center" wrapText="1"/>
    </xf>
    <xf numFmtId="0" fontId="4" fillId="4" borderId="53" xfId="2" applyFont="1" applyFill="1" applyBorder="1" applyAlignment="1">
      <alignment horizontal="center" wrapText="1"/>
    </xf>
    <xf numFmtId="0" fontId="0" fillId="0" borderId="0" xfId="2" applyFont="1"/>
    <xf numFmtId="196" fontId="1" fillId="0" borderId="0" xfId="2" applyNumberFormat="1" applyFont="1"/>
    <xf numFmtId="195" fontId="1" fillId="0" borderId="0" xfId="1" applyNumberFormat="1" applyFont="1"/>
    <xf numFmtId="165" fontId="0" fillId="0" borderId="0" xfId="2" applyNumberFormat="1" applyFont="1"/>
    <xf numFmtId="2" fontId="4" fillId="0" borderId="17" xfId="2" applyNumberFormat="1" applyFont="1" applyBorder="1"/>
    <xf numFmtId="2" fontId="4" fillId="0" borderId="16" xfId="2" applyNumberFormat="1" applyFont="1" applyBorder="1"/>
    <xf numFmtId="2" fontId="4" fillId="0" borderId="15" xfId="2" applyNumberFormat="1" applyFont="1" applyBorder="1"/>
    <xf numFmtId="2" fontId="4" fillId="0" borderId="14" xfId="2" applyNumberFormat="1" applyFont="1" applyBorder="1"/>
    <xf numFmtId="2" fontId="4" fillId="0" borderId="13" xfId="2" applyNumberFormat="1" applyFont="1" applyBorder="1"/>
    <xf numFmtId="0" fontId="32" fillId="0" borderId="0" xfId="2" applyFont="1"/>
    <xf numFmtId="0" fontId="0" fillId="0" borderId="0" xfId="2" applyFont="1" applyAlignment="1">
      <alignment horizontal="center" wrapText="1"/>
    </xf>
    <xf numFmtId="0" fontId="4" fillId="4" borderId="4" xfId="2" applyFont="1" applyFill="1" applyBorder="1" applyAlignment="1">
      <alignment horizontal="center" wrapText="1"/>
    </xf>
    <xf numFmtId="2" fontId="4" fillId="0" borderId="55" xfId="2" applyNumberFormat="1" applyFont="1" applyBorder="1"/>
    <xf numFmtId="197" fontId="1" fillId="0" borderId="56" xfId="2" applyNumberFormat="1" applyFont="1" applyBorder="1"/>
    <xf numFmtId="197" fontId="1" fillId="0" borderId="57" xfId="2" applyNumberFormat="1" applyFont="1" applyBorder="1"/>
    <xf numFmtId="197" fontId="1" fillId="0" borderId="6" xfId="2" applyNumberFormat="1" applyFont="1" applyBorder="1"/>
    <xf numFmtId="197" fontId="1" fillId="0" borderId="0" xfId="2" applyNumberFormat="1" applyFont="1" applyBorder="1"/>
    <xf numFmtId="197" fontId="1" fillId="0" borderId="58" xfId="2" applyNumberFormat="1" applyFont="1" applyBorder="1"/>
    <xf numFmtId="197" fontId="1" fillId="0" borderId="59" xfId="2" applyNumberFormat="1" applyFont="1" applyBorder="1"/>
    <xf numFmtId="198" fontId="1" fillId="4" borderId="6" xfId="1" applyNumberFormat="1" applyFont="1" applyFill="1" applyBorder="1"/>
    <xf numFmtId="198" fontId="1" fillId="4" borderId="12" xfId="1" applyNumberFormat="1" applyFont="1" applyFill="1" applyBorder="1"/>
    <xf numFmtId="2" fontId="4" fillId="0" borderId="7" xfId="516" applyNumberFormat="1" applyFont="1" applyBorder="1"/>
    <xf numFmtId="2" fontId="4" fillId="0" borderId="8" xfId="516" applyNumberFormat="1" applyFont="1" applyBorder="1"/>
    <xf numFmtId="2" fontId="4" fillId="0" borderId="9" xfId="516" applyNumberFormat="1" applyFont="1" applyBorder="1"/>
    <xf numFmtId="2" fontId="4" fillId="0" borderId="10" xfId="516" applyNumberFormat="1" applyFont="1" applyBorder="1"/>
    <xf numFmtId="2" fontId="4" fillId="0" borderId="11" xfId="516" applyNumberFormat="1" applyFont="1" applyBorder="1"/>
    <xf numFmtId="2" fontId="4" fillId="0" borderId="13" xfId="516" applyNumberFormat="1" applyFont="1" applyBorder="1"/>
    <xf numFmtId="2" fontId="4" fillId="0" borderId="14" xfId="516" applyNumberFormat="1" applyFont="1" applyBorder="1"/>
    <xf numFmtId="2" fontId="4" fillId="0" borderId="15" xfId="516" applyNumberFormat="1" applyFont="1" applyBorder="1"/>
    <xf numFmtId="2" fontId="4" fillId="0" borderId="17" xfId="516" applyNumberFormat="1" applyFont="1" applyBorder="1"/>
    <xf numFmtId="0" fontId="4" fillId="4" borderId="3" xfId="2" applyFont="1" applyFill="1" applyBorder="1" applyAlignment="1">
      <alignment horizontal="center" wrapText="1"/>
    </xf>
    <xf numFmtId="0" fontId="4" fillId="4" borderId="5" xfId="2" applyFont="1" applyFill="1" applyBorder="1" applyAlignment="1">
      <alignment horizontal="center" wrapText="1"/>
    </xf>
    <xf numFmtId="0" fontId="1" fillId="0" borderId="57" xfId="2" applyFont="1" applyBorder="1"/>
    <xf numFmtId="0" fontId="1" fillId="0" borderId="58" xfId="2" applyFont="1" applyBorder="1"/>
    <xf numFmtId="0" fontId="1" fillId="0" borderId="0" xfId="2" applyFont="1" applyBorder="1"/>
    <xf numFmtId="0" fontId="1" fillId="0" borderId="59" xfId="2" applyFont="1" applyBorder="1"/>
    <xf numFmtId="0" fontId="33" fillId="41" borderId="60" xfId="125" applyBorder="1"/>
    <xf numFmtId="197" fontId="1" fillId="0" borderId="0" xfId="2" applyNumberFormat="1" applyFont="1"/>
    <xf numFmtId="1" fontId="1" fillId="0" borderId="0" xfId="2" applyNumberFormat="1" applyFont="1"/>
    <xf numFmtId="0" fontId="128" fillId="0" borderId="0" xfId="2" applyFont="1"/>
    <xf numFmtId="0" fontId="131" fillId="0" borderId="0" xfId="2" applyFont="1"/>
    <xf numFmtId="0" fontId="4" fillId="4" borderId="3" xfId="2" applyFont="1" applyFill="1" applyBorder="1" applyAlignment="1">
      <alignment horizontal="center" wrapText="1"/>
    </xf>
    <xf numFmtId="0" fontId="4" fillId="4" borderId="3" xfId="2" applyFont="1" applyFill="1" applyBorder="1" applyAlignment="1">
      <alignment horizontal="center" wrapText="1"/>
    </xf>
    <xf numFmtId="0" fontId="4" fillId="4" borderId="5" xfId="2" applyFont="1" applyFill="1" applyBorder="1" applyAlignment="1">
      <alignment horizontal="center" wrapText="1"/>
    </xf>
    <xf numFmtId="0" fontId="4" fillId="4" borderId="4" xfId="2" applyFont="1" applyFill="1" applyBorder="1" applyAlignment="1">
      <alignment horizontal="center" wrapText="1"/>
    </xf>
    <xf numFmtId="195" fontId="1" fillId="4" borderId="6" xfId="1" applyNumberFormat="1" applyFont="1" applyFill="1" applyBorder="1"/>
    <xf numFmtId="195" fontId="1" fillId="4" borderId="12" xfId="1" applyNumberFormat="1" applyFont="1" applyFill="1" applyBorder="1"/>
    <xf numFmtId="0" fontId="1" fillId="0" borderId="0" xfId="2" applyFont="1" applyFill="1" applyBorder="1"/>
    <xf numFmtId="0" fontId="0" fillId="0" borderId="0" xfId="2" applyFont="1" applyFill="1" applyBorder="1"/>
    <xf numFmtId="0" fontId="3" fillId="0" borderId="0" xfId="2" applyFont="1" applyFill="1" applyBorder="1"/>
    <xf numFmtId="0" fontId="1" fillId="0" borderId="0" xfId="2" applyFont="1" applyFill="1" applyBorder="1" applyAlignment="1">
      <alignment horizontal="center" wrapText="1"/>
    </xf>
    <xf numFmtId="197" fontId="1" fillId="0" borderId="0" xfId="2" applyNumberFormat="1" applyFont="1" applyFill="1" applyBorder="1"/>
    <xf numFmtId="2" fontId="4" fillId="0" borderId="0" xfId="2" applyNumberFormat="1" applyFont="1" applyFill="1" applyBorder="1"/>
    <xf numFmtId="0" fontId="4" fillId="0" borderId="0" xfId="2" applyFont="1" applyFill="1" applyBorder="1"/>
    <xf numFmtId="14" fontId="4" fillId="0" borderId="0" xfId="2" applyNumberFormat="1" applyFont="1" applyFill="1" applyBorder="1" applyAlignment="1">
      <alignment horizontal="center" wrapText="1"/>
    </xf>
    <xf numFmtId="198" fontId="0" fillId="0" borderId="0" xfId="1" applyNumberFormat="1" applyFont="1" applyFill="1" applyBorder="1"/>
    <xf numFmtId="14" fontId="4" fillId="4" borderId="60" xfId="2" applyNumberFormat="1" applyFont="1" applyFill="1" applyBorder="1" applyAlignment="1">
      <alignment horizontal="center" wrapText="1"/>
    </xf>
    <xf numFmtId="2" fontId="4" fillId="0" borderId="63" xfId="516" applyNumberFormat="1" applyFont="1" applyBorder="1"/>
    <xf numFmtId="198" fontId="0" fillId="4" borderId="62" xfId="1" applyNumberFormat="1" applyFont="1" applyFill="1" applyBorder="1" applyAlignment="1">
      <alignment horizontal="center"/>
    </xf>
    <xf numFmtId="198" fontId="0" fillId="4" borderId="61" xfId="1" applyNumberFormat="1" applyFont="1" applyFill="1" applyBorder="1" applyAlignment="1">
      <alignment horizontal="center"/>
    </xf>
    <xf numFmtId="0" fontId="4" fillId="4" borderId="60" xfId="2" applyFont="1" applyFill="1" applyBorder="1" applyAlignment="1">
      <alignment horizontal="center" wrapText="1"/>
    </xf>
    <xf numFmtId="165" fontId="0" fillId="0" borderId="0" xfId="2" applyNumberFormat="1" applyFont="1" applyBorder="1"/>
    <xf numFmtId="195" fontId="1" fillId="0" borderId="59" xfId="1" applyNumberFormat="1" applyFont="1" applyBorder="1"/>
    <xf numFmtId="0" fontId="1" fillId="0" borderId="64" xfId="2" applyFont="1" applyBorder="1"/>
    <xf numFmtId="0" fontId="1" fillId="0" borderId="65" xfId="2" applyFont="1" applyBorder="1"/>
    <xf numFmtId="0" fontId="1" fillId="0" borderId="67" xfId="2" applyFont="1" applyBorder="1"/>
    <xf numFmtId="0" fontId="1" fillId="0" borderId="66" xfId="2" applyFont="1" applyBorder="1"/>
    <xf numFmtId="0" fontId="128" fillId="0" borderId="48" xfId="0" applyFont="1" applyBorder="1"/>
    <xf numFmtId="0" fontId="33" fillId="41" borderId="68" xfId="121" applyBorder="1"/>
    <xf numFmtId="22" fontId="132" fillId="0" borderId="28" xfId="0" applyNumberFormat="1" applyFont="1" applyBorder="1" applyAlignment="1">
      <alignment horizontal="left"/>
    </xf>
    <xf numFmtId="0" fontId="131" fillId="37" borderId="62" xfId="2" applyFont="1" applyFill="1" applyBorder="1"/>
    <xf numFmtId="0" fontId="1" fillId="37" borderId="62" xfId="2" applyFont="1" applyFill="1" applyBorder="1"/>
    <xf numFmtId="0" fontId="128" fillId="50" borderId="60" xfId="2" applyFont="1" applyFill="1" applyBorder="1" applyAlignment="1">
      <alignment horizontal="center"/>
    </xf>
    <xf numFmtId="0" fontId="128" fillId="0" borderId="62" xfId="0" applyFont="1" applyBorder="1"/>
    <xf numFmtId="0" fontId="128" fillId="0" borderId="61" xfId="0" applyFont="1" applyBorder="1"/>
    <xf numFmtId="0" fontId="33" fillId="41" borderId="69" xfId="125" applyBorder="1"/>
    <xf numFmtId="0" fontId="33" fillId="41" borderId="55" xfId="125" applyBorder="1"/>
    <xf numFmtId="0" fontId="33" fillId="41" borderId="70" xfId="125" applyBorder="1"/>
    <xf numFmtId="0" fontId="0" fillId="0" borderId="61" xfId="2" applyFont="1" applyBorder="1"/>
    <xf numFmtId="0" fontId="133" fillId="0" borderId="0" xfId="2" applyFont="1"/>
    <xf numFmtId="198" fontId="1" fillId="4" borderId="60" xfId="1" applyNumberFormat="1" applyFont="1" applyFill="1" applyBorder="1"/>
    <xf numFmtId="199" fontId="1" fillId="0" borderId="68" xfId="121" applyNumberFormat="1" applyFont="1" applyFill="1" applyBorder="1"/>
    <xf numFmtId="0" fontId="33" fillId="41" borderId="71" xfId="125" applyBorder="1"/>
    <xf numFmtId="0" fontId="33" fillId="41" borderId="54" xfId="125" applyBorder="1"/>
    <xf numFmtId="0" fontId="33" fillId="41" borderId="72" xfId="125" applyBorder="1"/>
    <xf numFmtId="0" fontId="33" fillId="0" borderId="73" xfId="125" applyFill="1" applyBorder="1"/>
    <xf numFmtId="14" fontId="33" fillId="41" borderId="61" xfId="125" applyNumberFormat="1" applyBorder="1"/>
    <xf numFmtId="0" fontId="128" fillId="0" borderId="62" xfId="2" applyFont="1" applyBorder="1" applyAlignment="1">
      <alignment horizontal="left"/>
    </xf>
    <xf numFmtId="195" fontId="33" fillId="41" borderId="68" xfId="1" applyNumberFormat="1" applyFont="1" applyFill="1" applyBorder="1"/>
    <xf numFmtId="0" fontId="128" fillId="51" borderId="48" xfId="0" applyFont="1" applyFill="1" applyBorder="1"/>
    <xf numFmtId="0" fontId="4" fillId="0" borderId="0" xfId="2" applyFont="1" applyFill="1" applyBorder="1" applyAlignment="1">
      <alignment horizontal="center" wrapText="1"/>
    </xf>
    <xf numFmtId="0" fontId="4" fillId="4" borderId="3" xfId="2" applyFont="1" applyFill="1" applyBorder="1" applyAlignment="1">
      <alignment horizontal="center" wrapText="1"/>
    </xf>
    <xf numFmtId="0" fontId="4" fillId="4" borderId="5" xfId="2" applyFont="1" applyFill="1" applyBorder="1" applyAlignment="1">
      <alignment horizontal="center" wrapText="1"/>
    </xf>
    <xf numFmtId="0" fontId="4" fillId="4" borderId="4" xfId="2" applyFont="1" applyFill="1" applyBorder="1" applyAlignment="1">
      <alignment horizontal="center" wrapText="1"/>
    </xf>
    <xf numFmtId="0" fontId="6" fillId="0" borderId="0" xfId="2" applyFont="1" applyFill="1" applyBorder="1" applyAlignment="1"/>
    <xf numFmtId="22" fontId="0" fillId="0" borderId="0" xfId="0" applyNumberFormat="1"/>
    <xf numFmtId="2" fontId="4" fillId="0" borderId="77" xfId="516" applyNumberFormat="1" applyFont="1" applyBorder="1"/>
    <xf numFmtId="2" fontId="4" fillId="0" borderId="78" xfId="516" applyNumberFormat="1" applyFont="1" applyBorder="1"/>
    <xf numFmtId="2" fontId="4" fillId="0" borderId="79" xfId="516" applyNumberFormat="1" applyFont="1" applyBorder="1"/>
    <xf numFmtId="2" fontId="4" fillId="0" borderId="80" xfId="516" applyNumberFormat="1" applyFont="1" applyBorder="1"/>
    <xf numFmtId="2" fontId="4" fillId="0" borderId="81" xfId="516" applyNumberFormat="1" applyFont="1" applyBorder="1"/>
    <xf numFmtId="2" fontId="4" fillId="0" borderId="82" xfId="516" applyNumberFormat="1" applyFont="1" applyBorder="1"/>
    <xf numFmtId="2" fontId="4" fillId="0" borderId="83" xfId="516" applyNumberFormat="1" applyFont="1" applyBorder="1"/>
    <xf numFmtId="2" fontId="4" fillId="0" borderId="84" xfId="516" applyNumberFormat="1" applyFont="1" applyBorder="1"/>
    <xf numFmtId="2" fontId="4" fillId="0" borderId="85" xfId="516" applyNumberFormat="1" applyFont="1" applyBorder="1"/>
    <xf numFmtId="2" fontId="4" fillId="0" borderId="86" xfId="516" applyNumberFormat="1" applyFont="1" applyBorder="1"/>
    <xf numFmtId="2" fontId="4" fillId="0" borderId="87" xfId="516" applyNumberFormat="1" applyFont="1" applyBorder="1"/>
    <xf numFmtId="14" fontId="6" fillId="4" borderId="60" xfId="2" applyNumberFormat="1" applyFont="1" applyFill="1" applyBorder="1" applyAlignment="1">
      <alignment horizontal="center" wrapText="1"/>
    </xf>
    <xf numFmtId="198" fontId="0" fillId="4" borderId="88" xfId="1" applyNumberFormat="1" applyFont="1" applyFill="1" applyBorder="1" applyAlignment="1">
      <alignment horizontal="center"/>
    </xf>
    <xf numFmtId="0" fontId="1" fillId="0" borderId="89" xfId="2" applyFont="1" applyBorder="1"/>
    <xf numFmtId="0" fontId="128" fillId="4" borderId="88" xfId="2" applyFont="1" applyFill="1" applyBorder="1"/>
    <xf numFmtId="0" fontId="128" fillId="4" borderId="61" xfId="2" applyFont="1" applyFill="1" applyBorder="1"/>
    <xf numFmtId="0" fontId="33" fillId="41" borderId="58" xfId="121" applyBorder="1"/>
    <xf numFmtId="0" fontId="33" fillId="41" borderId="90" xfId="121" applyBorder="1"/>
    <xf numFmtId="198" fontId="1" fillId="4" borderId="61" xfId="1" applyNumberFormat="1" applyFont="1" applyFill="1" applyBorder="1" applyAlignment="1">
      <alignment horizontal="center"/>
    </xf>
    <xf numFmtId="0" fontId="128" fillId="0" borderId="0" xfId="2" applyFont="1" applyAlignment="1">
      <alignment horizontal="left"/>
    </xf>
    <xf numFmtId="0" fontId="128" fillId="0" borderId="91" xfId="2" applyFont="1" applyBorder="1" applyAlignment="1">
      <alignment horizontal="left"/>
    </xf>
    <xf numFmtId="0" fontId="33" fillId="0" borderId="91" xfId="125" applyFill="1" applyBorder="1"/>
    <xf numFmtId="2" fontId="4" fillId="0" borderId="92" xfId="516" applyNumberFormat="1" applyFont="1" applyBorder="1"/>
    <xf numFmtId="2" fontId="4" fillId="0" borderId="93" xfId="516" applyNumberFormat="1" applyFont="1" applyBorder="1"/>
    <xf numFmtId="0" fontId="134" fillId="0" borderId="0" xfId="2" quotePrefix="1" applyFont="1" applyFill="1" applyBorder="1"/>
    <xf numFmtId="0" fontId="4" fillId="0" borderId="0" xfId="2" applyFont="1" applyFill="1" applyBorder="1" applyAlignment="1">
      <alignment horizontal="center" wrapText="1"/>
    </xf>
    <xf numFmtId="0" fontId="32" fillId="0" borderId="0" xfId="2" applyFont="1" applyFill="1" applyBorder="1" applyAlignment="1">
      <alignment horizontal="center"/>
    </xf>
    <xf numFmtId="0" fontId="4" fillId="4" borderId="3" xfId="2" applyFont="1" applyFill="1" applyBorder="1" applyAlignment="1">
      <alignment horizontal="center" wrapText="1"/>
    </xf>
    <xf numFmtId="0" fontId="128" fillId="4" borderId="3" xfId="2" applyFont="1" applyFill="1" applyBorder="1" applyAlignment="1">
      <alignment horizontal="center"/>
    </xf>
    <xf numFmtId="0" fontId="128" fillId="4" borderId="5" xfId="2" applyFont="1" applyFill="1" applyBorder="1" applyAlignment="1">
      <alignment horizontal="center"/>
    </xf>
    <xf numFmtId="0" fontId="133" fillId="0" borderId="0" xfId="2" applyFont="1" applyFill="1" applyBorder="1"/>
    <xf numFmtId="0" fontId="0" fillId="4" borderId="12" xfId="2" applyFont="1" applyFill="1" applyBorder="1" applyAlignment="1">
      <alignment horizontal="center"/>
    </xf>
    <xf numFmtId="0" fontId="0" fillId="4" borderId="73" xfId="2" applyFont="1" applyFill="1" applyBorder="1" applyAlignment="1">
      <alignment horizontal="center"/>
    </xf>
    <xf numFmtId="2" fontId="4" fillId="0" borderId="94" xfId="516" applyNumberFormat="1" applyFont="1" applyBorder="1"/>
    <xf numFmtId="2" fontId="4" fillId="0" borderId="95" xfId="516" applyNumberFormat="1" applyFont="1" applyBorder="1"/>
    <xf numFmtId="2" fontId="4" fillId="0" borderId="96" xfId="516" applyNumberFormat="1" applyFont="1" applyBorder="1"/>
    <xf numFmtId="2" fontId="4" fillId="0" borderId="97" xfId="516" applyNumberFormat="1" applyFont="1" applyBorder="1"/>
    <xf numFmtId="0" fontId="128" fillId="4" borderId="90" xfId="2" applyFont="1" applyFill="1" applyBorder="1" applyAlignment="1">
      <alignment horizontal="center"/>
    </xf>
    <xf numFmtId="165" fontId="0" fillId="0" borderId="56" xfId="2" applyNumberFormat="1" applyFont="1" applyBorder="1"/>
    <xf numFmtId="195" fontId="1" fillId="0" borderId="57" xfId="1" applyNumberFormat="1" applyFont="1" applyBorder="1"/>
    <xf numFmtId="165" fontId="1" fillId="0" borderId="12" xfId="2" applyNumberFormat="1" applyFont="1" applyBorder="1"/>
    <xf numFmtId="195" fontId="1" fillId="0" borderId="73" xfId="1" applyNumberFormat="1" applyFont="1" applyBorder="1"/>
    <xf numFmtId="0" fontId="1" fillId="0" borderId="73" xfId="2" applyFont="1" applyBorder="1"/>
    <xf numFmtId="197" fontId="128" fillId="0" borderId="12" xfId="2" applyNumberFormat="1" applyFont="1" applyBorder="1"/>
    <xf numFmtId="197" fontId="128" fillId="0" borderId="90" xfId="2" applyNumberFormat="1" applyFont="1" applyBorder="1"/>
    <xf numFmtId="0" fontId="128" fillId="4" borderId="12" xfId="2" applyFont="1" applyFill="1" applyBorder="1" applyAlignment="1">
      <alignment horizontal="center"/>
    </xf>
    <xf numFmtId="0" fontId="128" fillId="4" borderId="60" xfId="2" applyFont="1" applyFill="1" applyBorder="1" applyAlignment="1">
      <alignment horizontal="center"/>
    </xf>
    <xf numFmtId="0" fontId="1" fillId="0" borderId="62" xfId="2" applyFont="1" applyBorder="1"/>
    <xf numFmtId="0" fontId="128" fillId="0" borderId="61" xfId="2" applyFont="1" applyBorder="1"/>
    <xf numFmtId="195" fontId="0" fillId="0" borderId="0" xfId="1" applyNumberFormat="1" applyFont="1"/>
    <xf numFmtId="0" fontId="0" fillId="0" borderId="0" xfId="2" applyFont="1" applyAlignment="1">
      <alignment horizontal="left"/>
    </xf>
    <xf numFmtId="0" fontId="131" fillId="0" borderId="0" xfId="2" applyFont="1" applyAlignment="1">
      <alignment horizontal="left"/>
    </xf>
    <xf numFmtId="2" fontId="4" fillId="0" borderId="98" xfId="516" applyNumberFormat="1" applyFont="1" applyBorder="1"/>
    <xf numFmtId="195" fontId="1" fillId="4" borderId="56" xfId="1" applyNumberFormat="1" applyFont="1" applyFill="1" applyBorder="1"/>
    <xf numFmtId="198" fontId="1" fillId="4" borderId="56" xfId="1" applyNumberFormat="1" applyFont="1" applyFill="1" applyBorder="1"/>
    <xf numFmtId="2" fontId="4" fillId="0" borderId="99" xfId="516" applyNumberFormat="1" applyFont="1" applyBorder="1"/>
    <xf numFmtId="2" fontId="4" fillId="0" borderId="100" xfId="516" applyNumberFormat="1" applyFont="1" applyBorder="1"/>
    <xf numFmtId="2" fontId="4" fillId="0" borderId="101" xfId="516" applyNumberFormat="1" applyFont="1" applyBorder="1"/>
    <xf numFmtId="178" fontId="1" fillId="0" borderId="58" xfId="2" applyNumberFormat="1" applyFont="1" applyBorder="1"/>
    <xf numFmtId="178" fontId="1" fillId="0" borderId="59" xfId="2" applyNumberFormat="1" applyFont="1" applyBorder="1"/>
    <xf numFmtId="178" fontId="1" fillId="0" borderId="90" xfId="2" applyNumberFormat="1" applyFont="1" applyBorder="1"/>
    <xf numFmtId="0" fontId="1" fillId="0" borderId="60" xfId="2" applyFont="1" applyBorder="1"/>
    <xf numFmtId="178" fontId="1" fillId="0" borderId="56" xfId="2" applyNumberFormat="1" applyFont="1" applyBorder="1"/>
    <xf numFmtId="178" fontId="128" fillId="0" borderId="6" xfId="2" applyNumberFormat="1" applyFont="1" applyBorder="1"/>
    <xf numFmtId="178" fontId="1" fillId="0" borderId="6" xfId="2" applyNumberFormat="1" applyFont="1" applyBorder="1"/>
    <xf numFmtId="178" fontId="1" fillId="0" borderId="12" xfId="2" applyNumberFormat="1" applyFont="1" applyBorder="1"/>
    <xf numFmtId="0" fontId="128" fillId="4" borderId="56" xfId="2" applyFont="1" applyFill="1" applyBorder="1"/>
    <xf numFmtId="0" fontId="128" fillId="4" borderId="6" xfId="2" applyFont="1" applyFill="1" applyBorder="1"/>
    <xf numFmtId="0" fontId="1" fillId="4" borderId="6" xfId="2" applyFont="1" applyFill="1" applyBorder="1"/>
    <xf numFmtId="0" fontId="128" fillId="4" borderId="12" xfId="2" applyFont="1" applyFill="1" applyBorder="1" applyAlignment="1">
      <alignment horizontal="left"/>
    </xf>
    <xf numFmtId="200" fontId="1" fillId="0" borderId="12" xfId="2" applyNumberFormat="1" applyFont="1" applyBorder="1"/>
    <xf numFmtId="10" fontId="1" fillId="0" borderId="90" xfId="516" applyNumberFormat="1" applyFont="1" applyBorder="1"/>
    <xf numFmtId="200" fontId="1" fillId="0" borderId="56" xfId="2" applyNumberFormat="1" applyFont="1" applyBorder="1"/>
    <xf numFmtId="200" fontId="1" fillId="0" borderId="57" xfId="2" applyNumberFormat="1" applyFont="1" applyBorder="1"/>
    <xf numFmtId="200" fontId="1" fillId="0" borderId="73" xfId="2" applyNumberFormat="1" applyFont="1" applyBorder="1"/>
    <xf numFmtId="0" fontId="4" fillId="39" borderId="0" xfId="2" applyFont="1" applyFill="1" applyBorder="1" applyAlignment="1">
      <alignment horizontal="center" wrapText="1"/>
    </xf>
    <xf numFmtId="0" fontId="0" fillId="4" borderId="62" xfId="0" applyFont="1" applyFill="1" applyBorder="1" applyAlignment="1">
      <alignment horizontal="right"/>
    </xf>
    <xf numFmtId="0" fontId="0" fillId="0" borderId="6" xfId="0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178" fontId="0" fillId="0" borderId="6" xfId="0" applyNumberFormat="1" applyFont="1" applyFill="1" applyBorder="1" applyAlignment="1">
      <alignment horizontal="center"/>
    </xf>
    <xf numFmtId="201" fontId="0" fillId="0" borderId="59" xfId="0" applyNumberFormat="1" applyFont="1" applyFill="1" applyBorder="1" applyAlignment="1">
      <alignment horizontal="center"/>
    </xf>
    <xf numFmtId="0" fontId="0" fillId="0" borderId="12" xfId="0" applyFont="1" applyFill="1" applyBorder="1" applyAlignment="1">
      <alignment horizontal="right"/>
    </xf>
    <xf numFmtId="0" fontId="0" fillId="0" borderId="73" xfId="0" applyFont="1" applyFill="1" applyBorder="1" applyAlignment="1">
      <alignment horizontal="right"/>
    </xf>
    <xf numFmtId="178" fontId="0" fillId="0" borderId="12" xfId="0" applyNumberFormat="1" applyFont="1" applyFill="1" applyBorder="1" applyAlignment="1">
      <alignment horizontal="center"/>
    </xf>
    <xf numFmtId="201" fontId="0" fillId="0" borderId="90" xfId="0" applyNumberFormat="1" applyFont="1" applyFill="1" applyBorder="1" applyAlignment="1">
      <alignment horizontal="center"/>
    </xf>
    <xf numFmtId="0" fontId="0" fillId="4" borderId="60" xfId="0" applyFont="1" applyFill="1" applyBorder="1"/>
    <xf numFmtId="0" fontId="0" fillId="4" borderId="3" xfId="0" applyFont="1" applyFill="1" applyBorder="1" applyAlignment="1">
      <alignment horizontal="center"/>
    </xf>
    <xf numFmtId="0" fontId="0" fillId="4" borderId="4" xfId="0" applyFont="1" applyFill="1" applyBorder="1" applyAlignment="1">
      <alignment horizontal="center"/>
    </xf>
    <xf numFmtId="0" fontId="0" fillId="4" borderId="61" xfId="0" applyFont="1" applyFill="1" applyBorder="1" applyAlignment="1">
      <alignment horizontal="right"/>
    </xf>
    <xf numFmtId="0" fontId="0" fillId="4" borderId="3" xfId="0" applyFont="1" applyFill="1" applyBorder="1" applyAlignment="1">
      <alignment horizontal="center" wrapText="1"/>
    </xf>
    <xf numFmtId="201" fontId="0" fillId="0" borderId="0" xfId="0" applyNumberFormat="1" applyFont="1" applyFill="1" applyBorder="1"/>
    <xf numFmtId="164" fontId="1" fillId="0" borderId="0" xfId="2" applyNumberFormat="1" applyFont="1" applyBorder="1"/>
    <xf numFmtId="178" fontId="1" fillId="0" borderId="0" xfId="2" applyNumberFormat="1" applyFont="1" applyBorder="1"/>
    <xf numFmtId="201" fontId="1" fillId="0" borderId="59" xfId="2" applyNumberFormat="1" applyFont="1" applyBorder="1"/>
    <xf numFmtId="164" fontId="1" fillId="0" borderId="73" xfId="2" applyNumberFormat="1" applyFont="1" applyBorder="1"/>
    <xf numFmtId="201" fontId="0" fillId="0" borderId="73" xfId="0" applyNumberFormat="1" applyFont="1" applyFill="1" applyBorder="1"/>
    <xf numFmtId="201" fontId="1" fillId="0" borderId="90" xfId="2" applyNumberFormat="1" applyFont="1" applyBorder="1"/>
    <xf numFmtId="0" fontId="0" fillId="4" borderId="4" xfId="0" applyFont="1" applyFill="1" applyBorder="1" applyAlignment="1">
      <alignment horizontal="center" wrapText="1"/>
    </xf>
    <xf numFmtId="0" fontId="0" fillId="4" borderId="5" xfId="0" applyFont="1" applyFill="1" applyBorder="1" applyAlignment="1">
      <alignment horizontal="center" wrapText="1"/>
    </xf>
    <xf numFmtId="178" fontId="0" fillId="0" borderId="0" xfId="0" applyNumberFormat="1" applyFont="1" applyFill="1" applyBorder="1" applyAlignment="1">
      <alignment horizontal="right"/>
    </xf>
    <xf numFmtId="178" fontId="0" fillId="0" borderId="4" xfId="0" applyNumberFormat="1" applyFont="1" applyFill="1" applyBorder="1" applyAlignment="1">
      <alignment horizontal="right"/>
    </xf>
    <xf numFmtId="178" fontId="0" fillId="0" borderId="73" xfId="0" applyNumberFormat="1" applyFont="1" applyFill="1" applyBorder="1" applyAlignment="1">
      <alignment horizontal="right"/>
    </xf>
    <xf numFmtId="0" fontId="131" fillId="0" borderId="0" xfId="2" quotePrefix="1" applyFont="1"/>
    <xf numFmtId="198" fontId="0" fillId="4" borderId="88" xfId="1" quotePrefix="1" applyNumberFormat="1" applyFont="1" applyFill="1" applyBorder="1" applyAlignment="1">
      <alignment horizontal="center"/>
    </xf>
    <xf numFmtId="2" fontId="4" fillId="0" borderId="104" xfId="516" applyNumberFormat="1" applyFont="1" applyBorder="1"/>
    <xf numFmtId="2" fontId="4" fillId="0" borderId="105" xfId="516" applyNumberFormat="1" applyFont="1" applyBorder="1"/>
    <xf numFmtId="2" fontId="4" fillId="0" borderId="106" xfId="516" applyNumberFormat="1" applyFont="1" applyBorder="1"/>
    <xf numFmtId="198" fontId="0" fillId="4" borderId="61" xfId="1" quotePrefix="1" applyNumberFormat="1" applyFont="1" applyFill="1" applyBorder="1" applyAlignment="1">
      <alignment horizontal="center"/>
    </xf>
    <xf numFmtId="0" fontId="1" fillId="0" borderId="107" xfId="2" applyFont="1" applyBorder="1"/>
    <xf numFmtId="164" fontId="4" fillId="0" borderId="7" xfId="516" applyNumberFormat="1" applyFont="1" applyBorder="1"/>
    <xf numFmtId="164" fontId="4" fillId="0" borderId="99" xfId="516" applyNumberFormat="1" applyFont="1" applyBorder="1"/>
    <xf numFmtId="164" fontId="4" fillId="0" borderId="100" xfId="516" applyNumberFormat="1" applyFont="1" applyBorder="1"/>
    <xf numFmtId="164" fontId="4" fillId="0" borderId="101" xfId="516" applyNumberFormat="1" applyFont="1" applyBorder="1"/>
    <xf numFmtId="0" fontId="1" fillId="0" borderId="3" xfId="2" applyFont="1" applyBorder="1" applyAlignment="1"/>
    <xf numFmtId="0" fontId="1" fillId="0" borderId="5" xfId="2" applyFont="1" applyBorder="1" applyAlignment="1"/>
    <xf numFmtId="2" fontId="4" fillId="0" borderId="107" xfId="516" applyNumberFormat="1" applyFont="1" applyBorder="1"/>
    <xf numFmtId="164" fontId="4" fillId="0" borderId="94" xfId="516" applyNumberFormat="1" applyFont="1" applyBorder="1"/>
    <xf numFmtId="164" fontId="4" fillId="0" borderId="95" xfId="516" applyNumberFormat="1" applyFont="1" applyBorder="1"/>
    <xf numFmtId="164" fontId="4" fillId="0" borderId="96" xfId="516" applyNumberFormat="1" applyFont="1" applyBorder="1"/>
    <xf numFmtId="164" fontId="4" fillId="0" borderId="97" xfId="516" applyNumberFormat="1" applyFont="1" applyBorder="1"/>
    <xf numFmtId="164" fontId="4" fillId="0" borderId="63" xfId="516" applyNumberFormat="1" applyFont="1" applyBorder="1"/>
    <xf numFmtId="164" fontId="4" fillId="0" borderId="108" xfId="516" applyNumberFormat="1" applyFont="1" applyBorder="1"/>
    <xf numFmtId="164" fontId="4" fillId="0" borderId="109" xfId="516" applyNumberFormat="1" applyFont="1" applyBorder="1"/>
    <xf numFmtId="164" fontId="4" fillId="0" borderId="110" xfId="516" applyNumberFormat="1" applyFont="1" applyBorder="1"/>
    <xf numFmtId="2" fontId="4" fillId="0" borderId="111" xfId="2" applyNumberFormat="1" applyFont="1" applyBorder="1"/>
    <xf numFmtId="2" fontId="4" fillId="0" borderId="92" xfId="2" applyNumberFormat="1" applyFont="1" applyBorder="1"/>
    <xf numFmtId="2" fontId="4" fillId="0" borderId="93" xfId="2" applyNumberFormat="1" applyFont="1" applyBorder="1"/>
    <xf numFmtId="2" fontId="4" fillId="0" borderId="77" xfId="2" applyNumberFormat="1" applyFont="1" applyBorder="1"/>
    <xf numFmtId="2" fontId="4" fillId="0" borderId="78" xfId="2" applyNumberFormat="1" applyFont="1" applyBorder="1"/>
    <xf numFmtId="198" fontId="128" fillId="4" borderId="88" xfId="1" quotePrefix="1" applyNumberFormat="1" applyFont="1" applyFill="1" applyBorder="1" applyAlignment="1">
      <alignment horizontal="center"/>
    </xf>
    <xf numFmtId="198" fontId="0" fillId="4" borderId="61" xfId="1" applyNumberFormat="1" applyFont="1" applyFill="1" applyBorder="1" applyAlignment="1">
      <alignment horizontal="center" wrapText="1"/>
    </xf>
    <xf numFmtId="2" fontId="1" fillId="0" borderId="0" xfId="2" applyNumberFormat="1" applyFont="1"/>
    <xf numFmtId="0" fontId="4" fillId="4" borderId="3" xfId="2" applyFont="1" applyFill="1" applyBorder="1" applyAlignment="1">
      <alignment horizontal="center" wrapText="1"/>
    </xf>
    <xf numFmtId="0" fontId="4" fillId="4" borderId="5" xfId="2" applyFont="1" applyFill="1" applyBorder="1" applyAlignment="1">
      <alignment horizontal="center" wrapText="1"/>
    </xf>
    <xf numFmtId="0" fontId="4" fillId="4" borderId="4" xfId="2" applyFont="1" applyFill="1" applyBorder="1" applyAlignment="1">
      <alignment horizontal="center" wrapText="1"/>
    </xf>
    <xf numFmtId="14" fontId="4" fillId="4" borderId="4" xfId="2" applyNumberFormat="1" applyFont="1" applyFill="1" applyBorder="1" applyAlignment="1">
      <alignment horizontal="center" wrapText="1"/>
    </xf>
    <xf numFmtId="0" fontId="4" fillId="4" borderId="112" xfId="2" applyFont="1" applyFill="1" applyBorder="1" applyAlignment="1">
      <alignment horizontal="center" wrapText="1"/>
    </xf>
    <xf numFmtId="0" fontId="1" fillId="0" borderId="113" xfId="2" applyFont="1" applyBorder="1"/>
    <xf numFmtId="2" fontId="4" fillId="0" borderId="114" xfId="516" applyNumberFormat="1" applyFont="1" applyBorder="1"/>
    <xf numFmtId="164" fontId="4" fillId="0" borderId="115" xfId="516" applyNumberFormat="1" applyFont="1" applyBorder="1"/>
    <xf numFmtId="164" fontId="4" fillId="0" borderId="116" xfId="516" applyNumberFormat="1" applyFont="1" applyBorder="1"/>
    <xf numFmtId="164" fontId="4" fillId="0" borderId="114" xfId="516" applyNumberFormat="1" applyFont="1" applyBorder="1"/>
    <xf numFmtId="2" fontId="4" fillId="0" borderId="117" xfId="516" applyNumberFormat="1" applyFont="1" applyBorder="1"/>
    <xf numFmtId="2" fontId="4" fillId="0" borderId="118" xfId="516" applyNumberFormat="1" applyFont="1" applyBorder="1"/>
    <xf numFmtId="2" fontId="4" fillId="0" borderId="119" xfId="516" applyNumberFormat="1" applyFont="1" applyBorder="1"/>
    <xf numFmtId="2" fontId="4" fillId="0" borderId="102" xfId="516" applyNumberFormat="1" applyFont="1" applyBorder="1"/>
    <xf numFmtId="2" fontId="4" fillId="0" borderId="23" xfId="516" applyNumberFormat="1" applyFont="1" applyBorder="1"/>
    <xf numFmtId="2" fontId="4" fillId="0" borderId="55" xfId="516" applyNumberFormat="1" applyFont="1" applyBorder="1"/>
    <xf numFmtId="2" fontId="4" fillId="0" borderId="120" xfId="516" applyNumberFormat="1" applyFont="1" applyBorder="1"/>
    <xf numFmtId="2" fontId="4" fillId="0" borderId="121" xfId="516" applyNumberFormat="1" applyFont="1" applyBorder="1"/>
    <xf numFmtId="2" fontId="4" fillId="0" borderId="122" xfId="516" applyNumberFormat="1" applyFont="1" applyBorder="1"/>
    <xf numFmtId="0" fontId="1" fillId="0" borderId="123" xfId="2" applyFont="1" applyBorder="1"/>
    <xf numFmtId="164" fontId="4" fillId="0" borderId="117" xfId="516" applyNumberFormat="1" applyFont="1" applyBorder="1"/>
    <xf numFmtId="164" fontId="4" fillId="0" borderId="124" xfId="516" applyNumberFormat="1" applyFont="1" applyBorder="1"/>
    <xf numFmtId="164" fontId="4" fillId="0" borderId="125" xfId="516" applyNumberFormat="1" applyFont="1" applyBorder="1"/>
    <xf numFmtId="0" fontId="1" fillId="0" borderId="102" xfId="2" applyFont="1" applyBorder="1"/>
    <xf numFmtId="164" fontId="4" fillId="0" borderId="102" xfId="516" applyNumberFormat="1" applyFont="1" applyBorder="1"/>
    <xf numFmtId="164" fontId="4" fillId="0" borderId="126" xfId="516" applyNumberFormat="1" applyFont="1" applyBorder="1"/>
    <xf numFmtId="164" fontId="4" fillId="0" borderId="127" xfId="516" applyNumberFormat="1" applyFont="1" applyBorder="1"/>
    <xf numFmtId="0" fontId="1" fillId="0" borderId="128" xfId="2" applyFont="1" applyBorder="1"/>
    <xf numFmtId="2" fontId="4" fillId="0" borderId="69" xfId="516" applyNumberFormat="1" applyFont="1" applyBorder="1"/>
    <xf numFmtId="164" fontId="4" fillId="0" borderId="128" xfId="516" applyNumberFormat="1" applyFont="1" applyBorder="1"/>
    <xf numFmtId="164" fontId="4" fillId="0" borderId="129" xfId="516" applyNumberFormat="1" applyFont="1" applyBorder="1"/>
    <xf numFmtId="164" fontId="4" fillId="0" borderId="130" xfId="516" applyNumberFormat="1" applyFont="1" applyBorder="1"/>
    <xf numFmtId="0" fontId="1" fillId="0" borderId="120" xfId="2" applyFont="1" applyBorder="1"/>
    <xf numFmtId="164" fontId="4" fillId="0" borderId="120" xfId="516" applyNumberFormat="1" applyFont="1" applyBorder="1"/>
    <xf numFmtId="164" fontId="4" fillId="0" borderId="131" xfId="516" applyNumberFormat="1" applyFont="1" applyBorder="1"/>
    <xf numFmtId="164" fontId="4" fillId="0" borderId="132" xfId="516" applyNumberFormat="1" applyFont="1" applyBorder="1"/>
    <xf numFmtId="0" fontId="4" fillId="37" borderId="3" xfId="2" applyFont="1" applyFill="1" applyBorder="1"/>
    <xf numFmtId="0" fontId="4" fillId="37" borderId="112" xfId="2" applyFont="1" applyFill="1" applyBorder="1" applyAlignment="1">
      <alignment horizontal="center" wrapText="1"/>
    </xf>
    <xf numFmtId="0" fontId="4" fillId="37" borderId="60" xfId="2" applyFont="1" applyFill="1" applyBorder="1" applyAlignment="1">
      <alignment horizontal="center" wrapText="1"/>
    </xf>
    <xf numFmtId="195" fontId="1" fillId="0" borderId="12" xfId="1" applyNumberFormat="1" applyFont="1" applyFill="1" applyBorder="1"/>
    <xf numFmtId="198" fontId="1" fillId="0" borderId="12" xfId="1" applyNumberFormat="1" applyFont="1" applyFill="1" applyBorder="1"/>
    <xf numFmtId="0" fontId="0" fillId="4" borderId="88" xfId="2" applyFont="1" applyFill="1" applyBorder="1"/>
    <xf numFmtId="0" fontId="0" fillId="4" borderId="61" xfId="0" applyFont="1" applyFill="1" applyBorder="1"/>
    <xf numFmtId="2" fontId="4" fillId="0" borderId="133" xfId="516" applyNumberFormat="1" applyFont="1" applyBorder="1"/>
    <xf numFmtId="2" fontId="4" fillId="0" borderId="134" xfId="516" applyNumberFormat="1" applyFont="1" applyBorder="1"/>
    <xf numFmtId="2" fontId="4" fillId="0" borderId="135" xfId="516" applyNumberFormat="1" applyFont="1" applyBorder="1"/>
    <xf numFmtId="2" fontId="4" fillId="0" borderId="136" xfId="516" applyNumberFormat="1" applyFont="1" applyBorder="1"/>
    <xf numFmtId="2" fontId="4" fillId="0" borderId="137" xfId="516" applyNumberFormat="1" applyFont="1" applyBorder="1"/>
    <xf numFmtId="2" fontId="4" fillId="0" borderId="73" xfId="516" applyNumberFormat="1" applyFont="1" applyBorder="1"/>
    <xf numFmtId="14" fontId="4" fillId="4" borderId="3" xfId="2" applyNumberFormat="1" applyFont="1" applyFill="1" applyBorder="1" applyAlignment="1">
      <alignment horizontal="center" wrapText="1"/>
    </xf>
    <xf numFmtId="2" fontId="4" fillId="0" borderId="138" xfId="516" applyNumberFormat="1" applyFont="1" applyBorder="1"/>
    <xf numFmtId="2" fontId="4" fillId="0" borderId="139" xfId="516" applyNumberFormat="1" applyFont="1" applyBorder="1"/>
    <xf numFmtId="2" fontId="4" fillId="0" borderId="61" xfId="516" applyNumberFormat="1" applyFont="1" applyBorder="1"/>
    <xf numFmtId="2" fontId="4" fillId="0" borderId="56" xfId="516" applyNumberFormat="1" applyFont="1" applyBorder="1"/>
    <xf numFmtId="2" fontId="4" fillId="0" borderId="128" xfId="516" applyNumberFormat="1" applyFont="1" applyBorder="1"/>
    <xf numFmtId="2" fontId="4" fillId="0" borderId="140" xfId="516" applyNumberFormat="1" applyFont="1" applyBorder="1"/>
    <xf numFmtId="2" fontId="4" fillId="0" borderId="88" xfId="516" applyNumberFormat="1" applyFont="1" applyBorder="1"/>
    <xf numFmtId="14" fontId="4" fillId="37" borderId="3" xfId="2" applyNumberFormat="1" applyFont="1" applyFill="1" applyBorder="1" applyAlignment="1">
      <alignment horizontal="center" wrapText="1"/>
    </xf>
    <xf numFmtId="14" fontId="4" fillId="37" borderId="4" xfId="2" applyNumberFormat="1" applyFont="1" applyFill="1" applyBorder="1" applyAlignment="1">
      <alignment horizontal="center" wrapText="1"/>
    </xf>
    <xf numFmtId="0" fontId="4" fillId="4" borderId="3" xfId="2" applyFont="1" applyFill="1" applyBorder="1" applyAlignment="1">
      <alignment horizontal="center" wrapText="1"/>
    </xf>
    <xf numFmtId="0" fontId="4" fillId="4" borderId="5" xfId="2" applyFont="1" applyFill="1" applyBorder="1" applyAlignment="1">
      <alignment horizontal="center" wrapText="1"/>
    </xf>
    <xf numFmtId="0" fontId="4" fillId="4" borderId="4" xfId="2" applyFont="1" applyFill="1" applyBorder="1" applyAlignment="1">
      <alignment horizontal="center" wrapText="1"/>
    </xf>
    <xf numFmtId="0" fontId="0" fillId="4" borderId="88" xfId="2" applyFont="1" applyFill="1" applyBorder="1" applyAlignment="1">
      <alignment horizontal="center" wrapText="1"/>
    </xf>
    <xf numFmtId="0" fontId="0" fillId="4" borderId="61" xfId="2" applyFont="1" applyFill="1" applyBorder="1" applyAlignment="1">
      <alignment horizontal="center" wrapText="1"/>
    </xf>
    <xf numFmtId="0" fontId="5" fillId="0" borderId="73" xfId="2" applyFont="1" applyFill="1" applyBorder="1"/>
    <xf numFmtId="0" fontId="6" fillId="0" borderId="73" xfId="2" applyFont="1" applyFill="1" applyBorder="1" applyAlignment="1"/>
    <xf numFmtId="0" fontId="4" fillId="4" borderId="3" xfId="2" applyFont="1" applyFill="1" applyBorder="1" applyAlignment="1">
      <alignment horizontal="center" wrapText="1"/>
    </xf>
    <xf numFmtId="0" fontId="4" fillId="4" borderId="5" xfId="2" applyFont="1" applyFill="1" applyBorder="1" applyAlignment="1">
      <alignment horizontal="center" wrapText="1"/>
    </xf>
    <xf numFmtId="0" fontId="4" fillId="4" borderId="4" xfId="2" applyFont="1" applyFill="1" applyBorder="1" applyAlignment="1">
      <alignment horizontal="center" wrapText="1"/>
    </xf>
    <xf numFmtId="0" fontId="0" fillId="4" borderId="3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0" fillId="4" borderId="6" xfId="0" applyFont="1" applyFill="1" applyBorder="1"/>
    <xf numFmtId="0" fontId="0" fillId="4" borderId="59" xfId="0" applyFont="1" applyFill="1" applyBorder="1"/>
    <xf numFmtId="0" fontId="0" fillId="4" borderId="3" xfId="0" applyFont="1" applyFill="1" applyBorder="1"/>
    <xf numFmtId="0" fontId="0" fillId="4" borderId="5" xfId="0" applyFont="1" applyFill="1" applyBorder="1"/>
    <xf numFmtId="202" fontId="1" fillId="0" borderId="59" xfId="2" applyNumberFormat="1" applyFont="1" applyBorder="1"/>
    <xf numFmtId="202" fontId="0" fillId="0" borderId="90" xfId="0" applyNumberFormat="1" applyFont="1" applyFill="1" applyBorder="1" applyAlignment="1">
      <alignment horizontal="right"/>
    </xf>
    <xf numFmtId="203" fontId="0" fillId="0" borderId="59" xfId="0" applyNumberFormat="1" applyFont="1" applyFill="1" applyBorder="1" applyAlignment="1">
      <alignment horizontal="right"/>
    </xf>
    <xf numFmtId="203" fontId="0" fillId="0" borderId="5" xfId="0" applyNumberFormat="1" applyFont="1" applyFill="1" applyBorder="1" applyAlignment="1">
      <alignment horizontal="right"/>
    </xf>
    <xf numFmtId="2" fontId="1" fillId="0" borderId="107" xfId="2" applyNumberFormat="1" applyFont="1" applyBorder="1"/>
    <xf numFmtId="0" fontId="4" fillId="4" borderId="3" xfId="2" applyFont="1" applyFill="1" applyBorder="1" applyAlignment="1">
      <alignment horizontal="center" wrapText="1"/>
    </xf>
    <xf numFmtId="2" fontId="4" fillId="0" borderId="131" xfId="516" applyNumberFormat="1" applyFont="1" applyBorder="1"/>
    <xf numFmtId="2" fontId="4" fillId="0" borderId="141" xfId="516" applyNumberFormat="1" applyFont="1" applyBorder="1"/>
    <xf numFmtId="197" fontId="128" fillId="0" borderId="56" xfId="2" applyNumberFormat="1" applyFont="1" applyBorder="1"/>
    <xf numFmtId="197" fontId="128" fillId="0" borderId="6" xfId="2" applyNumberFormat="1" applyFont="1" applyBorder="1"/>
    <xf numFmtId="0" fontId="4" fillId="52" borderId="3" xfId="2" applyFont="1" applyFill="1" applyBorder="1" applyAlignment="1">
      <alignment horizontal="center" wrapText="1"/>
    </xf>
    <xf numFmtId="0" fontId="4" fillId="52" borderId="5" xfId="2" applyFont="1" applyFill="1" applyBorder="1" applyAlignment="1">
      <alignment horizontal="center" wrapText="1"/>
    </xf>
    <xf numFmtId="197" fontId="1" fillId="52" borderId="56" xfId="2" applyNumberFormat="1" applyFont="1" applyFill="1" applyBorder="1"/>
    <xf numFmtId="197" fontId="1" fillId="52" borderId="57" xfId="2" applyNumberFormat="1" applyFont="1" applyFill="1" applyBorder="1"/>
    <xf numFmtId="197" fontId="1" fillId="52" borderId="6" xfId="2" applyNumberFormat="1" applyFont="1" applyFill="1" applyBorder="1"/>
    <xf numFmtId="197" fontId="1" fillId="52" borderId="0" xfId="2" applyNumberFormat="1" applyFont="1" applyFill="1" applyBorder="1"/>
    <xf numFmtId="0" fontId="6" fillId="37" borderId="3" xfId="2" applyFont="1" applyFill="1" applyBorder="1" applyAlignment="1">
      <alignment horizontal="center"/>
    </xf>
    <xf numFmtId="0" fontId="6" fillId="37" borderId="4" xfId="2" applyFont="1" applyFill="1" applyBorder="1" applyAlignment="1">
      <alignment horizontal="center"/>
    </xf>
    <xf numFmtId="0" fontId="6" fillId="37" borderId="5" xfId="2" applyFont="1" applyFill="1" applyBorder="1" applyAlignment="1">
      <alignment horizontal="center"/>
    </xf>
    <xf numFmtId="0" fontId="4" fillId="4" borderId="3" xfId="2" applyFont="1" applyFill="1" applyBorder="1" applyAlignment="1">
      <alignment horizontal="center" wrapText="1"/>
    </xf>
    <xf numFmtId="0" fontId="4" fillId="4" borderId="5" xfId="2" applyFont="1" applyFill="1" applyBorder="1" applyAlignment="1">
      <alignment horizontal="center" wrapText="1"/>
    </xf>
    <xf numFmtId="0" fontId="32" fillId="38" borderId="3" xfId="2" applyFont="1" applyFill="1" applyBorder="1" applyAlignment="1">
      <alignment horizontal="center"/>
    </xf>
    <xf numFmtId="0" fontId="32" fillId="38" borderId="4" xfId="2" applyFont="1" applyFill="1" applyBorder="1" applyAlignment="1">
      <alignment horizontal="center"/>
    </xf>
    <xf numFmtId="0" fontId="32" fillId="38" borderId="5" xfId="2" applyFont="1" applyFill="1" applyBorder="1" applyAlignment="1">
      <alignment horizontal="center"/>
    </xf>
    <xf numFmtId="0" fontId="128" fillId="4" borderId="3" xfId="121" applyFont="1" applyFill="1" applyBorder="1" applyAlignment="1">
      <alignment horizontal="center"/>
    </xf>
    <xf numFmtId="0" fontId="128" fillId="4" borderId="4" xfId="121" applyFont="1" applyFill="1" applyBorder="1" applyAlignment="1">
      <alignment horizontal="center"/>
    </xf>
    <xf numFmtId="0" fontId="128" fillId="4" borderId="5" xfId="121" applyFont="1" applyFill="1" applyBorder="1" applyAlignment="1">
      <alignment horizontal="center"/>
    </xf>
    <xf numFmtId="0" fontId="6" fillId="4" borderId="3" xfId="2" applyFont="1" applyFill="1" applyBorder="1" applyAlignment="1">
      <alignment horizontal="center"/>
    </xf>
    <xf numFmtId="0" fontId="6" fillId="4" borderId="4" xfId="2" applyFont="1" applyFill="1" applyBorder="1" applyAlignment="1">
      <alignment horizontal="center"/>
    </xf>
    <xf numFmtId="0" fontId="6" fillId="4" borderId="5" xfId="2" applyFont="1" applyFill="1" applyBorder="1" applyAlignment="1">
      <alignment horizontal="center"/>
    </xf>
    <xf numFmtId="0" fontId="4" fillId="4" borderId="3" xfId="2" applyFont="1" applyFill="1" applyBorder="1" applyAlignment="1">
      <alignment horizontal="center"/>
    </xf>
    <xf numFmtId="0" fontId="4" fillId="4" borderId="4" xfId="2" applyFont="1" applyFill="1" applyBorder="1" applyAlignment="1">
      <alignment horizontal="center"/>
    </xf>
    <xf numFmtId="0" fontId="4" fillId="4" borderId="5" xfId="2" applyFont="1" applyFill="1" applyBorder="1" applyAlignment="1">
      <alignment horizontal="center"/>
    </xf>
    <xf numFmtId="0" fontId="135" fillId="4" borderId="74" xfId="2" applyFont="1" applyFill="1" applyBorder="1" applyAlignment="1">
      <alignment horizontal="center"/>
    </xf>
    <xf numFmtId="0" fontId="135" fillId="4" borderId="75" xfId="2" applyFont="1" applyFill="1" applyBorder="1" applyAlignment="1">
      <alignment horizontal="center"/>
    </xf>
    <xf numFmtId="0" fontId="135" fillId="4" borderId="76" xfId="2" applyFont="1" applyFill="1" applyBorder="1" applyAlignment="1">
      <alignment horizontal="center"/>
    </xf>
    <xf numFmtId="0" fontId="4" fillId="0" borderId="0" xfId="2" applyFont="1" applyFill="1" applyBorder="1" applyAlignment="1">
      <alignment horizontal="center" wrapText="1"/>
    </xf>
    <xf numFmtId="0" fontId="32" fillId="0" borderId="0" xfId="2" applyFont="1" applyFill="1" applyBorder="1" applyAlignment="1">
      <alignment horizontal="center"/>
    </xf>
    <xf numFmtId="198" fontId="1" fillId="4" borderId="88" xfId="1" applyNumberFormat="1" applyFont="1" applyFill="1" applyBorder="1" applyAlignment="1">
      <alignment horizontal="center" wrapText="1"/>
    </xf>
    <xf numFmtId="198" fontId="1" fillId="4" borderId="62" xfId="1" applyNumberFormat="1" applyFont="1" applyFill="1" applyBorder="1" applyAlignment="1">
      <alignment horizontal="center" wrapText="1"/>
    </xf>
    <xf numFmtId="198" fontId="1" fillId="4" borderId="61" xfId="1" applyNumberFormat="1" applyFont="1" applyFill="1" applyBorder="1" applyAlignment="1">
      <alignment horizontal="center" wrapText="1"/>
    </xf>
    <xf numFmtId="0" fontId="0" fillId="4" borderId="3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4" fillId="0" borderId="0" xfId="2" applyFont="1" applyFill="1" applyBorder="1" applyAlignment="1">
      <alignment horizontal="center"/>
    </xf>
    <xf numFmtId="0" fontId="128" fillId="4" borderId="3" xfId="2" applyFont="1" applyFill="1" applyBorder="1" applyAlignment="1">
      <alignment horizontal="center"/>
    </xf>
    <xf numFmtId="0" fontId="128" fillId="4" borderId="4" xfId="2" applyFont="1" applyFill="1" applyBorder="1" applyAlignment="1">
      <alignment horizontal="center"/>
    </xf>
    <xf numFmtId="0" fontId="128" fillId="4" borderId="5" xfId="2" applyFont="1" applyFill="1" applyBorder="1" applyAlignment="1">
      <alignment horizontal="center"/>
    </xf>
    <xf numFmtId="0" fontId="1" fillId="4" borderId="3" xfId="2" applyFont="1" applyFill="1" applyBorder="1" applyAlignment="1">
      <alignment horizontal="center"/>
    </xf>
    <xf numFmtId="0" fontId="1" fillId="4" borderId="5" xfId="2" applyFont="1" applyFill="1" applyBorder="1" applyAlignment="1">
      <alignment horizontal="center"/>
    </xf>
    <xf numFmtId="198" fontId="0" fillId="4" borderId="3" xfId="1" applyNumberFormat="1" applyFont="1" applyFill="1" applyBorder="1" applyAlignment="1">
      <alignment horizontal="center" wrapText="1"/>
    </xf>
    <xf numFmtId="198" fontId="0" fillId="4" borderId="5" xfId="1" applyNumberFormat="1" applyFont="1" applyFill="1" applyBorder="1" applyAlignment="1">
      <alignment horizontal="center" wrapText="1"/>
    </xf>
    <xf numFmtId="0" fontId="0" fillId="4" borderId="88" xfId="2" applyFont="1" applyFill="1" applyBorder="1" applyAlignment="1">
      <alignment horizontal="center" wrapText="1"/>
    </xf>
    <xf numFmtId="0" fontId="0" fillId="4" borderId="61" xfId="2" applyFont="1" applyFill="1" applyBorder="1" applyAlignment="1">
      <alignment horizontal="center" wrapText="1"/>
    </xf>
    <xf numFmtId="0" fontId="4" fillId="4" borderId="4" xfId="2" applyFont="1" applyFill="1" applyBorder="1" applyAlignment="1">
      <alignment horizontal="center" wrapText="1"/>
    </xf>
    <xf numFmtId="0" fontId="1" fillId="0" borderId="3" xfId="2" applyFont="1" applyBorder="1" applyAlignment="1">
      <alignment horizontal="center"/>
    </xf>
    <xf numFmtId="0" fontId="1" fillId="0" borderId="5" xfId="2" applyFont="1" applyBorder="1" applyAlignment="1">
      <alignment horizontal="center"/>
    </xf>
    <xf numFmtId="0" fontId="128" fillId="0" borderId="103" xfId="2" applyFont="1" applyBorder="1" applyAlignment="1">
      <alignment horizontal="center"/>
    </xf>
  </cellXfs>
  <cellStyles count="51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3" xfId="10"/>
    <cellStyle name="20% - Accent1 4" xfId="11"/>
    <cellStyle name="20% - Accent2 2" xfId="12"/>
    <cellStyle name="20% - Accent2 3" xfId="13"/>
    <cellStyle name="20% - Accent2 4" xfId="14"/>
    <cellStyle name="20% - Accent3 2" xfId="15"/>
    <cellStyle name="20% - Accent3 3" xfId="16"/>
    <cellStyle name="20% - Accent3 4" xfId="17"/>
    <cellStyle name="20% - Accent4 2" xfId="18"/>
    <cellStyle name="20% - Accent4 3" xfId="19"/>
    <cellStyle name="20% - Accent4 4" xfId="20"/>
    <cellStyle name="20% - Accent5 2" xfId="21"/>
    <cellStyle name="20% - Accent5 3" xfId="22"/>
    <cellStyle name="20% - Accent5 4" xfId="23"/>
    <cellStyle name="20% - Accent6 2" xfId="24"/>
    <cellStyle name="20% - Accent6 3" xfId="25"/>
    <cellStyle name="20% - Accent6 4" xfId="26"/>
    <cellStyle name="40% - Accent1 2" xfId="27"/>
    <cellStyle name="40% - Accent1 3" xfId="28"/>
    <cellStyle name="40% - Accent1 4" xfId="29"/>
    <cellStyle name="40% - Accent2 2" xfId="30"/>
    <cellStyle name="40% - Accent2 3" xfId="31"/>
    <cellStyle name="40% - Accent2 4" xfId="32"/>
    <cellStyle name="40% - Accent3 2" xfId="33"/>
    <cellStyle name="40% - Accent3 3" xfId="34"/>
    <cellStyle name="40% - Accent3 4" xfId="35"/>
    <cellStyle name="40% - Accent4 2" xfId="36"/>
    <cellStyle name="40% - Accent4 3" xfId="37"/>
    <cellStyle name="40% - Accent4 4" xfId="38"/>
    <cellStyle name="40% - Accent5 2" xfId="39"/>
    <cellStyle name="40% - Accent5 3" xfId="40"/>
    <cellStyle name="40% - Accent5 4" xfId="41"/>
    <cellStyle name="40% - Accent6 2" xfId="42"/>
    <cellStyle name="40% - Accent6 3" xfId="43"/>
    <cellStyle name="40% - Accent6 4" xfId="44"/>
    <cellStyle name="60% - Accent1 2" xfId="45"/>
    <cellStyle name="60% - Accent1 3" xfId="46"/>
    <cellStyle name="60% - Accent1 4" xfId="47"/>
    <cellStyle name="60% - Accent2 2" xfId="48"/>
    <cellStyle name="60% - Accent2 3" xfId="49"/>
    <cellStyle name="60% - Accent2 4" xfId="50"/>
    <cellStyle name="60% - Accent3 2" xfId="51"/>
    <cellStyle name="60% - Accent3 3" xfId="52"/>
    <cellStyle name="60% - Accent3 4" xfId="53"/>
    <cellStyle name="60% - Accent4 2" xfId="54"/>
    <cellStyle name="60% - Accent4 3" xfId="55"/>
    <cellStyle name="60% - Accent4 4" xfId="56"/>
    <cellStyle name="60% - Accent5 2" xfId="57"/>
    <cellStyle name="60% - Accent5 3" xfId="58"/>
    <cellStyle name="60% - Accent5 4" xfId="59"/>
    <cellStyle name="60% - Accent6 2" xfId="60"/>
    <cellStyle name="60% - Accent6 3" xfId="61"/>
    <cellStyle name="60% - Accent6 4" xfId="62"/>
    <cellStyle name="Accent1 2" xfId="63"/>
    <cellStyle name="Accent1 3" xfId="64"/>
    <cellStyle name="Accent1 4" xfId="65"/>
    <cellStyle name="Accent2 2" xfId="66"/>
    <cellStyle name="Accent2 3" xfId="67"/>
    <cellStyle name="Accent2 4" xfId="68"/>
    <cellStyle name="Accent3 2" xfId="69"/>
    <cellStyle name="Accent3 3" xfId="70"/>
    <cellStyle name="Accent3 4" xfId="71"/>
    <cellStyle name="Accent4 2" xfId="72"/>
    <cellStyle name="Accent4 3" xfId="73"/>
    <cellStyle name="Accent4 4" xfId="74"/>
    <cellStyle name="Accent5 2" xfId="75"/>
    <cellStyle name="Accent5 3" xfId="76"/>
    <cellStyle name="Accent5 4" xfId="77"/>
    <cellStyle name="Accent6 2" xfId="78"/>
    <cellStyle name="Accent6 3" xfId="79"/>
    <cellStyle name="Accent6 4" xfId="80"/>
    <cellStyle name="Auto_OpenAuto_CloseExtractD_Sheet1" xfId="81"/>
    <cellStyle name="Axis.EffectiveDate" xfId="82"/>
    <cellStyle name="Axis.Seasoning" xfId="83"/>
    <cellStyle name="Bad 2" xfId="84"/>
    <cellStyle name="Bad 3" xfId="85"/>
    <cellStyle name="Bad 4" xfId="86"/>
    <cellStyle name="Big Money" xfId="87"/>
    <cellStyle name="Blue" xfId="88"/>
    <cellStyle name="blue axis cells" xfId="89"/>
    <cellStyle name="blue text cells" xfId="90"/>
    <cellStyle name="Body" xfId="91"/>
    <cellStyle name="Bold/Border" xfId="92"/>
    <cellStyle name="Border" xfId="93"/>
    <cellStyle name="Bullet" xfId="94"/>
    <cellStyle name="Calc Currency (0)" xfId="95"/>
    <cellStyle name="Calc Currency (0) 2" xfId="96"/>
    <cellStyle name="Calc Currency (2)" xfId="97"/>
    <cellStyle name="Calc Currency (2) 2" xfId="98"/>
    <cellStyle name="Calc Percent (0)" xfId="99"/>
    <cellStyle name="Calc Percent (0) 2" xfId="100"/>
    <cellStyle name="Calc Percent (1)" xfId="101"/>
    <cellStyle name="Calc Percent (1) 2" xfId="102"/>
    <cellStyle name="Calc Percent (2)" xfId="103"/>
    <cellStyle name="Calc Percent (2) 2" xfId="104"/>
    <cellStyle name="Calc Units (0)" xfId="105"/>
    <cellStyle name="Calc Units (0) 2" xfId="106"/>
    <cellStyle name="Calc Units (1)" xfId="107"/>
    <cellStyle name="Calc Units (1) 2" xfId="108"/>
    <cellStyle name="Calc Units (2)" xfId="109"/>
    <cellStyle name="Calc Units (2) 2" xfId="110"/>
    <cellStyle name="Calculation 2" xfId="111"/>
    <cellStyle name="Calculation 3" xfId="112"/>
    <cellStyle name="Calculation 4" xfId="113"/>
    <cellStyle name="CCM Input" xfId="114"/>
    <cellStyle name="CCM Title Calculations" xfId="115"/>
    <cellStyle name="CCM Title Indicative" xfId="116"/>
    <cellStyle name="Cello Calculation" xfId="117"/>
    <cellStyle name="Cello Calculation 2" xfId="118"/>
    <cellStyle name="Cello Calculation 2 2" xfId="119"/>
    <cellStyle name="Cello Calculation 3" xfId="120"/>
    <cellStyle name="Cello Calculation 4" xfId="507"/>
    <cellStyle name="Cello Input" xfId="121"/>
    <cellStyle name="Cello Input 2" xfId="122"/>
    <cellStyle name="Cello Input 2 2" xfId="123"/>
    <cellStyle name="Cello Input 2 3" xfId="124"/>
    <cellStyle name="Cello Input 3" xfId="125"/>
    <cellStyle name="Cello Input 4" xfId="508"/>
    <cellStyle name="Cello Linked Cell" xfId="126"/>
    <cellStyle name="Cello Linked Cell 2" xfId="127"/>
    <cellStyle name="Cello Linked Cell 2 2" xfId="128"/>
    <cellStyle name="Check Cell 2" xfId="129"/>
    <cellStyle name="Check Cell 3" xfId="130"/>
    <cellStyle name="Check Cell 4" xfId="131"/>
    <cellStyle name="Co. Names" xfId="132"/>
    <cellStyle name="Comma" xfId="1" builtinId="3"/>
    <cellStyle name="Comma  - Style1" xfId="133"/>
    <cellStyle name="Comma  - Style1 2" xfId="134"/>
    <cellStyle name="Comma  - Style2" xfId="135"/>
    <cellStyle name="Comma  - Style2 2" xfId="136"/>
    <cellStyle name="Comma  - Style3" xfId="137"/>
    <cellStyle name="Comma  - Style3 2" xfId="138"/>
    <cellStyle name="Comma  - Style4" xfId="139"/>
    <cellStyle name="Comma  - Style4 2" xfId="140"/>
    <cellStyle name="Comma  - Style5" xfId="141"/>
    <cellStyle name="Comma  - Style5 2" xfId="142"/>
    <cellStyle name="Comma  - Style6" xfId="143"/>
    <cellStyle name="Comma  - Style6 2" xfId="144"/>
    <cellStyle name="Comma  - Style7" xfId="145"/>
    <cellStyle name="Comma  - Style7 2" xfId="146"/>
    <cellStyle name="Comma  - Style8" xfId="147"/>
    <cellStyle name="Comma  - Style8 2" xfId="148"/>
    <cellStyle name="Comma [00]" xfId="149"/>
    <cellStyle name="Comma [00] 2" xfId="150"/>
    <cellStyle name="Comma 10" xfId="151"/>
    <cellStyle name="Comma 11" xfId="152"/>
    <cellStyle name="Comma 12" xfId="153"/>
    <cellStyle name="Comma 13" xfId="154"/>
    <cellStyle name="Comma 14" xfId="155"/>
    <cellStyle name="Comma 15" xfId="156"/>
    <cellStyle name="Comma 16" xfId="157"/>
    <cellStyle name="Comma 16 2" xfId="158"/>
    <cellStyle name="Comma 17" xfId="159"/>
    <cellStyle name="Comma 18" xfId="160"/>
    <cellStyle name="Comma 19" xfId="161"/>
    <cellStyle name="Comma 2" xfId="162"/>
    <cellStyle name="Comma 20" xfId="163"/>
    <cellStyle name="Comma 21" xfId="164"/>
    <cellStyle name="Comma 22" xfId="165"/>
    <cellStyle name="Comma 23" xfId="166"/>
    <cellStyle name="Comma 24" xfId="167"/>
    <cellStyle name="Comma 25" xfId="168"/>
    <cellStyle name="Comma 26" xfId="169"/>
    <cellStyle name="Comma 27" xfId="170"/>
    <cellStyle name="Comma 28" xfId="171"/>
    <cellStyle name="Comma 29" xfId="172"/>
    <cellStyle name="Comma 29 2" xfId="173"/>
    <cellStyle name="Comma 3" xfId="174"/>
    <cellStyle name="Comma 30" xfId="175"/>
    <cellStyle name="Comma 4" xfId="176"/>
    <cellStyle name="Comma 4 2" xfId="177"/>
    <cellStyle name="Comma 5" xfId="178"/>
    <cellStyle name="Comma 6" xfId="179"/>
    <cellStyle name="Comma 7" xfId="180"/>
    <cellStyle name="Comma 8" xfId="181"/>
    <cellStyle name="Comma 9" xfId="182"/>
    <cellStyle name="Comma0" xfId="183"/>
    <cellStyle name="Comma1 - Style1" xfId="184"/>
    <cellStyle name="Copied" xfId="185"/>
    <cellStyle name="CTDSwitchAnalysisHeader" xfId="186"/>
    <cellStyle name="Curren - Style2" xfId="187"/>
    <cellStyle name="Currency [00]" xfId="188"/>
    <cellStyle name="Currency [00] 2" xfId="189"/>
    <cellStyle name="Currency [2]" xfId="190"/>
    <cellStyle name="Currency 10" xfId="191"/>
    <cellStyle name="Currency 11" xfId="192"/>
    <cellStyle name="Currency 12" xfId="193"/>
    <cellStyle name="Currency 13" xfId="194"/>
    <cellStyle name="Currency 14" xfId="195"/>
    <cellStyle name="Currency 15" xfId="196"/>
    <cellStyle name="Currency 2" xfId="197"/>
    <cellStyle name="Currency 3" xfId="198"/>
    <cellStyle name="Currency 4" xfId="199"/>
    <cellStyle name="Currency 5" xfId="200"/>
    <cellStyle name="Currency 6" xfId="201"/>
    <cellStyle name="Currency 7" xfId="202"/>
    <cellStyle name="Currency 8" xfId="203"/>
    <cellStyle name="Currency 9" xfId="204"/>
    <cellStyle name="Currency0" xfId="205"/>
    <cellStyle name="Dash" xfId="206"/>
    <cellStyle name="Data.LongPercent" xfId="207"/>
    <cellStyle name="Data.NumPercent" xfId="208"/>
    <cellStyle name="Data.NumShortPercent" xfId="209"/>
    <cellStyle name="date" xfId="210"/>
    <cellStyle name="Date - Style3" xfId="211"/>
    <cellStyle name="Date 2" xfId="212"/>
    <cellStyle name="Date 3" xfId="213"/>
    <cellStyle name="Date 4" xfId="214"/>
    <cellStyle name="Date 5" xfId="215"/>
    <cellStyle name="Date 6" xfId="216"/>
    <cellStyle name="Date 7" xfId="217"/>
    <cellStyle name="Date Short" xfId="218"/>
    <cellStyle name="date title" xfId="219"/>
    <cellStyle name="Date_DV01" xfId="220"/>
    <cellStyle name="DateFormat" xfId="221"/>
    <cellStyle name="DBAHandle" xfId="222"/>
    <cellStyle name="DBAParameter" xfId="223"/>
    <cellStyle name="DELTA" xfId="224"/>
    <cellStyle name="DS 0" xfId="225"/>
    <cellStyle name="DS 1" xfId="226"/>
    <cellStyle name="DS 2" xfId="227"/>
    <cellStyle name="DS 3" xfId="228"/>
    <cellStyle name="DS 4" xfId="229"/>
    <cellStyle name="DS 5" xfId="230"/>
    <cellStyle name="DS 5 2" xfId="231"/>
    <cellStyle name="DS 6" xfId="232"/>
    <cellStyle name="Enter Currency (0)" xfId="233"/>
    <cellStyle name="Enter Currency (0) 2" xfId="234"/>
    <cellStyle name="Enter Currency (2)" xfId="235"/>
    <cellStyle name="Enter Currency (2) 2" xfId="236"/>
    <cellStyle name="Enter Units (0)" xfId="237"/>
    <cellStyle name="Enter Units (0) 2" xfId="238"/>
    <cellStyle name="Enter Units (1)" xfId="239"/>
    <cellStyle name="Enter Units (1) 2" xfId="240"/>
    <cellStyle name="Enter Units (2)" xfId="241"/>
    <cellStyle name="Enter Units (2) 2" xfId="242"/>
    <cellStyle name="Entered" xfId="243"/>
    <cellStyle name="Entries" xfId="244"/>
    <cellStyle name="Euro" xfId="245"/>
    <cellStyle name="Explanatory Text 2" xfId="246"/>
    <cellStyle name="Explanatory Text 3" xfId="247"/>
    <cellStyle name="Explanatory Text 4" xfId="248"/>
    <cellStyle name="Fixed" xfId="249"/>
    <cellStyle name="FullTime" xfId="250"/>
    <cellStyle name="General" xfId="251"/>
    <cellStyle name="Good 2" xfId="252"/>
    <cellStyle name="Good 3" xfId="253"/>
    <cellStyle name="Good 4" xfId="254"/>
    <cellStyle name="gray text cells" xfId="255"/>
    <cellStyle name="Grey" xfId="256"/>
    <cellStyle name="Header1" xfId="257"/>
    <cellStyle name="Header2" xfId="258"/>
    <cellStyle name="Heading" xfId="259"/>
    <cellStyle name="Heading 1 2" xfId="260"/>
    <cellStyle name="Heading 1 2 2" xfId="261"/>
    <cellStyle name="Heading 1 3" xfId="262"/>
    <cellStyle name="Heading 1 4" xfId="263"/>
    <cellStyle name="Heading 1 5" xfId="264"/>
    <cellStyle name="Heading 2 2" xfId="265"/>
    <cellStyle name="Heading 2 2 2" xfId="266"/>
    <cellStyle name="Heading 2 3" xfId="267"/>
    <cellStyle name="Heading 2 4" xfId="268"/>
    <cellStyle name="Heading 2 5" xfId="269"/>
    <cellStyle name="Heading 3 2" xfId="270"/>
    <cellStyle name="Heading 3 3" xfId="271"/>
    <cellStyle name="Heading 3 4" xfId="272"/>
    <cellStyle name="Heading 4 2" xfId="273"/>
    <cellStyle name="Heading 4 3" xfId="274"/>
    <cellStyle name="Heading 4 4" xfId="275"/>
    <cellStyle name="Heading 5" xfId="276"/>
    <cellStyle name="HEADING1" xfId="277"/>
    <cellStyle name="HEADING2" xfId="278"/>
    <cellStyle name="Hyperlink 2" xfId="279"/>
    <cellStyle name="Input [yellow]" xfId="280"/>
    <cellStyle name="Input 2" xfId="281"/>
    <cellStyle name="Input 2 2" xfId="509"/>
    <cellStyle name="Input 2 3" xfId="505"/>
    <cellStyle name="Input 3" xfId="282"/>
    <cellStyle name="Input 4" xfId="283"/>
    <cellStyle name="Input 5" xfId="284"/>
    <cellStyle name="Input 6" xfId="285"/>
    <cellStyle name="Input 7" xfId="286"/>
    <cellStyle name="Item" xfId="287"/>
    <cellStyle name="Link Currency (0)" xfId="288"/>
    <cellStyle name="Link Currency (0) 2" xfId="289"/>
    <cellStyle name="Link Currency (2)" xfId="290"/>
    <cellStyle name="Link Currency (2) 2" xfId="291"/>
    <cellStyle name="Link Units (0)" xfId="292"/>
    <cellStyle name="Link Units (0) 2" xfId="293"/>
    <cellStyle name="Link Units (1)" xfId="294"/>
    <cellStyle name="Link Units (1) 2" xfId="295"/>
    <cellStyle name="Link Units (2)" xfId="296"/>
    <cellStyle name="Link Units (2) 2" xfId="297"/>
    <cellStyle name="Linked Cell 2" xfId="298"/>
    <cellStyle name="Linked Cell 3" xfId="299"/>
    <cellStyle name="Linked Cell 4" xfId="300"/>
    <cellStyle name="Lookup" xfId="301"/>
    <cellStyle name="Milliers [0]_Basis" xfId="302"/>
    <cellStyle name="Milliers_Basis" xfId="303"/>
    <cellStyle name="Monétaire [0]_Basis" xfId="304"/>
    <cellStyle name="Monétaire_Basis" xfId="305"/>
    <cellStyle name="Money" xfId="306"/>
    <cellStyle name="Neutral 2" xfId="307"/>
    <cellStyle name="Neutral 3" xfId="308"/>
    <cellStyle name="Neutral 4" xfId="309"/>
    <cellStyle name="no dec" xfId="310"/>
    <cellStyle name="NoChange" xfId="311"/>
    <cellStyle name="Non Zero" xfId="312"/>
    <cellStyle name="Normal" xfId="0" builtinId="0"/>
    <cellStyle name="Normal - Style1" xfId="313"/>
    <cellStyle name="Normal 10" xfId="314"/>
    <cellStyle name="Normal 10 2" xfId="315"/>
    <cellStyle name="Normal 11" xfId="316"/>
    <cellStyle name="Normal 11 2" xfId="317"/>
    <cellStyle name="Normal 12" xfId="318"/>
    <cellStyle name="Normal 13" xfId="319"/>
    <cellStyle name="Normal 14" xfId="320"/>
    <cellStyle name="Normal 15" xfId="321"/>
    <cellStyle name="Normal 16" xfId="322"/>
    <cellStyle name="Normal 17" xfId="323"/>
    <cellStyle name="Normal 18" xfId="324"/>
    <cellStyle name="Normal 19" xfId="325"/>
    <cellStyle name="Normal 2" xfId="2"/>
    <cellStyle name="Normal 2 2" xfId="326"/>
    <cellStyle name="Normal 2 2 2" xfId="510"/>
    <cellStyle name="Normal 2 3" xfId="327"/>
    <cellStyle name="Normal 2 3 2" xfId="328"/>
    <cellStyle name="Normal 2 3 2 2" xfId="329"/>
    <cellStyle name="Normal 2 3 3" xfId="330"/>
    <cellStyle name="Normal 2 4" xfId="331"/>
    <cellStyle name="Normal 2 4 2" xfId="332"/>
    <cellStyle name="Normal 2 4 2 2" xfId="333"/>
    <cellStyle name="Normal 2 4 3" xfId="334"/>
    <cellStyle name="Normal 2 5" xfId="335"/>
    <cellStyle name="Normal 2 5 2" xfId="336"/>
    <cellStyle name="Normal 2 6" xfId="337"/>
    <cellStyle name="Normal 2 7" xfId="506"/>
    <cellStyle name="Normal 20" xfId="338"/>
    <cellStyle name="Normal 21" xfId="339"/>
    <cellStyle name="Normal 22" xfId="340"/>
    <cellStyle name="Normal 23" xfId="341"/>
    <cellStyle name="Normal 24" xfId="342"/>
    <cellStyle name="Normal 25" xfId="343"/>
    <cellStyle name="Normal 26" xfId="344"/>
    <cellStyle name="Normal 27" xfId="345"/>
    <cellStyle name="Normal 28" xfId="346"/>
    <cellStyle name="Normal 28 2" xfId="347"/>
    <cellStyle name="Normal 29" xfId="348"/>
    <cellStyle name="Normal 3" xfId="349"/>
    <cellStyle name="Normal 3 2" xfId="511"/>
    <cellStyle name="Normal 30" xfId="350"/>
    <cellStyle name="Normal 31" xfId="351"/>
    <cellStyle name="Normal 32" xfId="352"/>
    <cellStyle name="Normal 33" xfId="353"/>
    <cellStyle name="Normal 34" xfId="354"/>
    <cellStyle name="Normal 35" xfId="355"/>
    <cellStyle name="Normal 36" xfId="356"/>
    <cellStyle name="Normal 37" xfId="357"/>
    <cellStyle name="Normal 38" xfId="358"/>
    <cellStyle name="Normal 38 2" xfId="359"/>
    <cellStyle name="Normal 38 2 2" xfId="360"/>
    <cellStyle name="Normal 38 3" xfId="361"/>
    <cellStyle name="Normal 39" xfId="362"/>
    <cellStyle name="Normal 4" xfId="363"/>
    <cellStyle name="Normal 4 2" xfId="364"/>
    <cellStyle name="Normal 4 3" xfId="512"/>
    <cellStyle name="Normal 4 4" xfId="502"/>
    <cellStyle name="Normal 40" xfId="365"/>
    <cellStyle name="Normal 41" xfId="501"/>
    <cellStyle name="Normal 42" xfId="366"/>
    <cellStyle name="Normal 42 2" xfId="367"/>
    <cellStyle name="Normal 5" xfId="368"/>
    <cellStyle name="Normal 6" xfId="369"/>
    <cellStyle name="Normal 6 2" xfId="370"/>
    <cellStyle name="Normal 7" xfId="371"/>
    <cellStyle name="Normal 7 2" xfId="372"/>
    <cellStyle name="Normal 8" xfId="373"/>
    <cellStyle name="Normal 9" xfId="374"/>
    <cellStyle name="Normal 9 2" xfId="375"/>
    <cellStyle name="Note 2" xfId="376"/>
    <cellStyle name="Note 2 2" xfId="377"/>
    <cellStyle name="Note 2 3" xfId="513"/>
    <cellStyle name="Note 2 4" xfId="503"/>
    <cellStyle name="Note 3" xfId="378"/>
    <cellStyle name="Note 4" xfId="379"/>
    <cellStyle name="Note 5" xfId="380"/>
    <cellStyle name="Note 6" xfId="381"/>
    <cellStyle name="Note 7" xfId="382"/>
    <cellStyle name="Note 7 2" xfId="383"/>
    <cellStyle name="Note 8" xfId="384"/>
    <cellStyle name="NumberAsPercent" xfId="385"/>
    <cellStyle name="NumberFormat" xfId="386"/>
    <cellStyle name="Numbers" xfId="387"/>
    <cellStyle name="Numbers - Bold" xfId="388"/>
    <cellStyle name="Numbers_increm pf" xfId="389"/>
    <cellStyle name="NumberTo1DecPlace" xfId="390"/>
    <cellStyle name="OffWhite" xfId="391"/>
    <cellStyle name="Option" xfId="392"/>
    <cellStyle name="orange text cell" xfId="393"/>
    <cellStyle name="Output 2" xfId="394"/>
    <cellStyle name="Output 3" xfId="395"/>
    <cellStyle name="Output 4" xfId="396"/>
    <cellStyle name="Output Amounts" xfId="397"/>
    <cellStyle name="Output Column Headings" xfId="398"/>
    <cellStyle name="Output Line Items" xfId="399"/>
    <cellStyle name="Output Report Heading" xfId="400"/>
    <cellStyle name="Output Report Title" xfId="401"/>
    <cellStyle name="Pageheading" xfId="402"/>
    <cellStyle name="Percent" xfId="516" builtinId="5"/>
    <cellStyle name="Percent [0]" xfId="403"/>
    <cellStyle name="Percent [0] 2" xfId="404"/>
    <cellStyle name="Percent [00]" xfId="405"/>
    <cellStyle name="Percent [00] 2" xfId="406"/>
    <cellStyle name="Percent [2]" xfId="407"/>
    <cellStyle name="Percent 2" xfId="408"/>
    <cellStyle name="Percent 2 2" xfId="409"/>
    <cellStyle name="Percent 3" xfId="410"/>
    <cellStyle name="Percentage" xfId="411"/>
    <cellStyle name="PrePop Currency (0)" xfId="412"/>
    <cellStyle name="PrePop Currency (0) 2" xfId="413"/>
    <cellStyle name="PrePop Currency (2)" xfId="414"/>
    <cellStyle name="PrePop Currency (2) 2" xfId="415"/>
    <cellStyle name="PrePop Units (0)" xfId="416"/>
    <cellStyle name="PrePop Units (0) 2" xfId="417"/>
    <cellStyle name="PrePop Units (1)" xfId="418"/>
    <cellStyle name="PrePop Units (1) 2" xfId="419"/>
    <cellStyle name="PrePop Units (2)" xfId="420"/>
    <cellStyle name="PrePop Units (2) 2" xfId="421"/>
    <cellStyle name="PriceTo3DecPlaces" xfId="422"/>
    <cellStyle name="PriceWithBorderAround" xfId="423"/>
    <cellStyle name="PRICING" xfId="424"/>
    <cellStyle name="Product Header" xfId="425"/>
    <cellStyle name="PSChar" xfId="426"/>
    <cellStyle name="PSHeading" xfId="427"/>
    <cellStyle name="r" xfId="428"/>
    <cellStyle name="r_pldt" xfId="429"/>
    <cellStyle name="ReportLeftHeader" xfId="430"/>
    <cellStyle name="ReportRightHeader" xfId="431"/>
    <cellStyle name="results" xfId="432"/>
    <cellStyle name="RevList" xfId="433"/>
    <cellStyle name="RVRQueryHandle" xfId="434"/>
    <cellStyle name="Section" xfId="435"/>
    <cellStyle name="SecuritiesPricingTable" xfId="436"/>
    <cellStyle name="SecuritiesPricingTableFinalData" xfId="437"/>
    <cellStyle name="SecuritiesPricingTableManualData" xfId="438"/>
    <cellStyle name="SecuritiesPricingTableText" xfId="439"/>
    <cellStyle name="Short $" xfId="440"/>
    <cellStyle name="Short $ 2" xfId="441"/>
    <cellStyle name="SIZE" xfId="442"/>
    <cellStyle name="Standard_Swaps-Bonds-Blending" xfId="443"/>
    <cellStyle name="Style 1" xfId="444"/>
    <cellStyle name="StyleSecuritiesPricingTableInteger" xfId="445"/>
    <cellStyle name="Subheading" xfId="446"/>
    <cellStyle name="subtitle" xfId="447"/>
    <cellStyle name="Subtotal" xfId="448"/>
    <cellStyle name="Table" xfId="449"/>
    <cellStyle name="Tablebody" xfId="450"/>
    <cellStyle name="TablebodyDate" xfId="451"/>
    <cellStyle name="TablebodyHeading" xfId="452"/>
    <cellStyle name="TablebodyOutstandingAmount" xfId="453"/>
    <cellStyle name="TablebodyPercent" xfId="454"/>
    <cellStyle name="TablebodyPrice" xfId="455"/>
    <cellStyle name="TablebodyReverse" xfId="456"/>
    <cellStyle name="TablebodySpread" xfId="457"/>
    <cellStyle name="TablebodySpreadBorder" xfId="458"/>
    <cellStyle name="TablebodyText" xfId="459"/>
    <cellStyle name="Tableheading" xfId="460"/>
    <cellStyle name="Text" xfId="461"/>
    <cellStyle name="Text 2" xfId="462"/>
    <cellStyle name="Text Indent A" xfId="463"/>
    <cellStyle name="Text Indent B" xfId="464"/>
    <cellStyle name="Text Indent B 2" xfId="465"/>
    <cellStyle name="Text Indent C" xfId="466"/>
    <cellStyle name="Text Indent C 2" xfId="467"/>
    <cellStyle name="TextStyle" xfId="468"/>
    <cellStyle name="tic display" xfId="469"/>
    <cellStyle name="tic input" xfId="470"/>
    <cellStyle name="Title - Underline" xfId="471"/>
    <cellStyle name="Title 2" xfId="472"/>
    <cellStyle name="Title 3" xfId="473"/>
    <cellStyle name="Title 4" xfId="474"/>
    <cellStyle name="Title 5" xfId="475"/>
    <cellStyle name="Title 6" xfId="476"/>
    <cellStyle name="Title 7" xfId="477"/>
    <cellStyle name="Title Calculations" xfId="478"/>
    <cellStyle name="Title Calculations 2" xfId="479"/>
    <cellStyle name="Title Indicative" xfId="480"/>
    <cellStyle name="Title Indicative 2" xfId="481"/>
    <cellStyle name="Title Pricing Assumptions" xfId="482"/>
    <cellStyle name="Title Pricing Assumptions 2" xfId="483"/>
    <cellStyle name="Title Pricing Assumptions 2 2" xfId="515"/>
    <cellStyle name="Title Pricing Assumptions 2 3" xfId="504"/>
    <cellStyle name="Title Pricing Assumptions 3" xfId="514"/>
    <cellStyle name="Titles - Other" xfId="484"/>
    <cellStyle name="Total 2" xfId="485"/>
    <cellStyle name="Total 2 2" xfId="486"/>
    <cellStyle name="Total 3" xfId="487"/>
    <cellStyle name="Total 4" xfId="488"/>
    <cellStyle name="Warning" xfId="489"/>
    <cellStyle name="Warning Text 2" xfId="490"/>
    <cellStyle name="Warning Text 3" xfId="491"/>
    <cellStyle name="Warning Text 4" xfId="492"/>
    <cellStyle name="YB Calculations" xfId="493"/>
    <cellStyle name="YB Calculations 2" xfId="494"/>
    <cellStyle name="YB Curve" xfId="495"/>
    <cellStyle name="YB Indicative" xfId="496"/>
    <cellStyle name="YBINDIC" xfId="497"/>
    <cellStyle name="YBIOPOBE" xfId="498"/>
    <cellStyle name="YBPRICE" xfId="499"/>
    <cellStyle name="一般_原始檔案" xfId="500"/>
  </cellStyles>
  <dxfs count="254">
    <dxf>
      <numFmt numFmtId="27" formatCode="m/d/yyyy\ h:mm"/>
    </dxf>
    <dxf>
      <numFmt numFmtId="27" formatCode="m/d/yyyy\ h:mm"/>
    </dxf>
    <dxf>
      <numFmt numFmtId="27" formatCode="m/d/yyyy\ h:mm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</font>
      <border>
        <top style="thin">
          <color rgb="FF2E398A"/>
        </top>
      </border>
    </dxf>
    <dxf>
      <font>
        <b val="0"/>
        <i val="0"/>
      </font>
      <fill>
        <patternFill>
          <bgColor rgb="FFEFEBE4"/>
        </patternFill>
      </fill>
      <border>
        <bottom style="thin">
          <color rgb="FF2E398A"/>
        </bottom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  <dxf>
      <border>
        <bottom style="thin">
          <color rgb="FF2E398A"/>
        </bottom>
      </border>
    </dxf>
    <dxf>
      <border>
        <bottom style="thin">
          <color rgb="FF2E398A"/>
        </bottom>
      </border>
    </dxf>
    <dxf>
      <font>
        <b/>
        <i val="0"/>
      </font>
      <border>
        <top style="thin">
          <color rgb="FF2E398A"/>
        </top>
      </border>
    </dxf>
    <dxf>
      <font>
        <b val="0"/>
        <i val="0"/>
      </font>
      <fill>
        <patternFill>
          <bgColor rgb="FFEFEBE4"/>
        </patternFill>
      </fill>
      <border>
        <bottom style="thin">
          <color rgb="FF2E398A"/>
        </bottom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  <dxf>
      <font>
        <b/>
        <i val="0"/>
        <color theme="5" tint="-0.24994659260841701"/>
      </font>
      <border>
        <left/>
        <right/>
        <top style="thin">
          <color rgb="FF2E398A"/>
        </top>
        <bottom style="thin">
          <color rgb="FF2E398A"/>
        </bottom>
        <vertical/>
      </border>
    </dxf>
    <dxf>
      <font>
        <b/>
        <i val="0"/>
        <color theme="1"/>
      </font>
      <fill>
        <patternFill>
          <bgColor theme="2"/>
        </patternFill>
      </fill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  <vertical style="thin">
          <color rgb="FF2E398A"/>
        </vertical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  <vertical style="thin">
          <color rgb="FF2E398A"/>
        </vertical>
        <horizontal/>
      </border>
    </dxf>
    <dxf>
      <fill>
        <patternFill>
          <bgColor rgb="FFEFEBE4"/>
        </patternFill>
      </fill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  <vertical style="thin">
          <color rgb="FF2E398A"/>
        </vertical>
        <horizontal/>
      </border>
    </dxf>
    <dxf>
      <font>
        <color auto="1"/>
      </font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  <dxf>
      <fill>
        <patternFill>
          <bgColor rgb="FFEFEBE4"/>
        </patternFill>
      </fill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  <vertical style="thin">
          <color rgb="FF2E398A"/>
        </vertical>
        <horizontal/>
      </border>
    </dxf>
    <dxf>
      <font>
        <color auto="1"/>
      </font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  <dxf>
      <border>
        <right style="thin">
          <color rgb="FF2E398A"/>
        </right>
      </border>
    </dxf>
    <dxf>
      <font>
        <b/>
        <i val="0"/>
      </font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  <dxf>
      <fill>
        <patternFill>
          <bgColor rgb="FFEFEBE4"/>
        </patternFill>
      </fill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  <dxf>
      <border>
        <right style="thin">
          <color rgb="FF2E398A"/>
        </right>
      </border>
    </dxf>
    <dxf>
      <font>
        <b/>
        <i val="0"/>
      </font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  <dxf>
      <fill>
        <patternFill>
          <bgColor rgb="FFEFEBE4"/>
        </patternFill>
      </fill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7" defaultTableStyle="TableStyleMedium2" defaultPivotStyle="PivotStyleLight16">
    <tableStyle name="Cell Report Style" table="0" count="4">
      <tableStyleElement type="wholeTable" dxfId="253"/>
      <tableStyleElement type="headerRow" dxfId="252"/>
      <tableStyleElement type="totalRow" dxfId="251"/>
      <tableStyleElement type="firstColumn" dxfId="250"/>
    </tableStyle>
    <tableStyle name="Cell Report Style 2" table="0" count="4">
      <tableStyleElement type="wholeTable" dxfId="249"/>
      <tableStyleElement type="headerRow" dxfId="248"/>
      <tableStyleElement type="totalRow" dxfId="247"/>
      <tableStyleElement type="firstColumnStripe" dxfId="246"/>
    </tableStyle>
    <tableStyle name="Cello Tabular Table Stype" pivot="0" count="2">
      <tableStyleElement type="wholeTable" dxfId="245"/>
      <tableStyleElement type="headerRow" dxfId="244"/>
    </tableStyle>
    <tableStyle name="Cello Tabular Table Stype 2" pivot="0" count="2">
      <tableStyleElement type="wholeTable" dxfId="243"/>
      <tableStyleElement type="headerRow" dxfId="242"/>
    </tableStyle>
    <tableStyle name="PivotTable Style Master" table="0" count="3">
      <tableStyleElement type="wholeTable" dxfId="241"/>
      <tableStyleElement type="headerRow" dxfId="240"/>
      <tableStyleElement type="firstRowSubheading" dxfId="239"/>
    </tableStyle>
    <tableStyle name="EDF PivotTable Style" table="0" count="5">
      <tableStyleElement type="wholeTable" dxfId="238"/>
      <tableStyleElement type="headerRow" dxfId="237"/>
      <tableStyleElement type="totalRow" dxfId="236"/>
      <tableStyleElement type="firstRowStripe" size="4" dxfId="235"/>
      <tableStyleElement type="secondRowStripe" size="4" dxfId="234"/>
    </tableStyle>
    <tableStyle name="Normal PivotTable Style" table="0" count="3">
      <tableStyleElement type="wholeTable" dxfId="233"/>
      <tableStyleElement type="headerRow" dxfId="232"/>
      <tableStyleElement type="totalRow" dxfId="231"/>
    </tableStyle>
  </tableStyles>
  <colors>
    <mruColors>
      <color rgb="FF2E398A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IOS Monthly Unhedged Return (%)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6448796651021009"/>
          <c:y val="1.46490316932377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0539675022289625E-2"/>
          <c:y val="0.10273258269541799"/>
          <c:w val="0.91329912653407463"/>
          <c:h val="0.87016055684775906"/>
        </c:manualLayout>
      </c:layout>
      <c:lineChart>
        <c:grouping val="standard"/>
        <c:varyColors val="0"/>
        <c:ser>
          <c:idx val="0"/>
          <c:order val="0"/>
          <c:tx>
            <c:strRef>
              <c:f>'Projected Carry'!$S$33</c:f>
              <c:strCache>
                <c:ptCount val="1"/>
                <c:pt idx="0">
                  <c:v>FN30.
400.
10</c:v>
                </c:pt>
              </c:strCache>
            </c:strRef>
          </c:tx>
          <c:spPr>
            <a:ln>
              <a:solidFill>
                <a:srgbClr val="1A398A"/>
              </a:solidFill>
            </a:ln>
          </c:spPr>
          <c:marker>
            <c:symbol val="none"/>
          </c:marker>
          <c:val>
            <c:numRef>
              <c:f>'Projected Carry'!$S$34:$S$35</c:f>
              <c:numCache>
                <c:formatCode>0.00</c:formatCode>
                <c:ptCount val="2"/>
                <c:pt idx="0">
                  <c:v>-7.9429999999999996</c:v>
                </c:pt>
                <c:pt idx="1">
                  <c:v>-6.2460000000000004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1"/>
          <c:order val="1"/>
          <c:tx>
            <c:strRef>
              <c:f>'Projected Carry'!$T$33</c:f>
              <c:strCache>
                <c:ptCount val="1"/>
                <c:pt idx="0">
                  <c:v>FN30.
400.
09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val>
            <c:numRef>
              <c:f>'Projected Carry'!$T$34:$T$35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2"/>
          <c:order val="2"/>
          <c:tx>
            <c:strRef>
              <c:f>'Projected Carry'!$U$33</c:f>
              <c:strCache>
                <c:ptCount val="1"/>
                <c:pt idx="0">
                  <c:v>FN30.
450.
11</c:v>
                </c:pt>
              </c:strCache>
            </c:strRef>
          </c:tx>
          <c:spPr>
            <a:ln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'Projected Carry'!$U$34:$U$35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3"/>
          <c:order val="3"/>
          <c:tx>
            <c:strRef>
              <c:f>'Projected Carry'!$V$33</c:f>
              <c:strCache>
                <c:ptCount val="1"/>
                <c:pt idx="0">
                  <c:v>FN30.
450.
10</c:v>
                </c:pt>
              </c:strCache>
            </c:strRef>
          </c:tx>
          <c:spPr>
            <a:ln>
              <a:solidFill>
                <a:srgbClr val="74B629"/>
              </a:solidFill>
            </a:ln>
          </c:spPr>
          <c:marker>
            <c:symbol val="none"/>
          </c:marker>
          <c:val>
            <c:numRef>
              <c:f>'Projected Carry'!$V$34:$V$35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52352"/>
        <c:axId val="346454656"/>
      </c:lineChart>
      <c:catAx>
        <c:axId val="346452352"/>
        <c:scaling>
          <c:orientation val="minMax"/>
        </c:scaling>
        <c:delete val="0"/>
        <c:axPos val="b"/>
        <c:numFmt formatCode="mm/yy;@" sourceLinked="0"/>
        <c:majorTickMark val="none"/>
        <c:minorTickMark val="none"/>
        <c:tickLblPos val="nextTo"/>
        <c:crossAx val="346454656"/>
        <c:crosses val="autoZero"/>
        <c:auto val="1"/>
        <c:lblAlgn val="ctr"/>
        <c:lblOffset val="100"/>
        <c:noMultiLvlLbl val="1"/>
      </c:catAx>
      <c:valAx>
        <c:axId val="346454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(%)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46452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0573394766185191"/>
          <c:y val="0.10384644738873321"/>
          <c:w val="0.4006765660286627"/>
          <c:h val="8.293139812319373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IOS Monthly Unhedged Return (%)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0"/>
          <c:order val="0"/>
          <c:tx>
            <c:strRef>
              <c:f>'Projected Carry'!$AC$33</c:f>
              <c:strCache>
                <c:ptCount val="1"/>
                <c:pt idx="0">
                  <c:v>GII30.
400.
10</c:v>
                </c:pt>
              </c:strCache>
            </c:strRef>
          </c:tx>
          <c:marker>
            <c:symbol val="none"/>
          </c:marker>
          <c:val>
            <c:numRef>
              <c:f>'Projected Carry'!$AC$34:$AC$35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11"/>
          <c:order val="1"/>
          <c:tx>
            <c:strRef>
              <c:f>'Projected Carry'!$AD$33</c:f>
              <c:strCache>
                <c:ptCount val="1"/>
                <c:pt idx="0">
                  <c:v>GII30.
450.
10</c:v>
                </c:pt>
              </c:strCache>
            </c:strRef>
          </c:tx>
          <c:marker>
            <c:symbol val="none"/>
          </c:marker>
          <c:val>
            <c:numRef>
              <c:f>'Projected Carry'!$AD$34:$AD$35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12"/>
          <c:order val="2"/>
          <c:tx>
            <c:strRef>
              <c:f>'Projected Carry'!$AE$33</c:f>
              <c:strCache>
                <c:ptCount val="1"/>
                <c:pt idx="0">
                  <c:v>GII30.
500.
10</c:v>
                </c:pt>
              </c:strCache>
            </c:strRef>
          </c:tx>
          <c:marker>
            <c:symbol val="none"/>
          </c:marker>
          <c:val>
            <c:numRef>
              <c:f>'Projected Carry'!$AE$34:$AE$35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64736"/>
        <c:axId val="346966272"/>
      </c:lineChart>
      <c:catAx>
        <c:axId val="346964736"/>
        <c:scaling>
          <c:orientation val="minMax"/>
        </c:scaling>
        <c:delete val="0"/>
        <c:axPos val="b"/>
        <c:numFmt formatCode="mm/yy;@" sourceLinked="0"/>
        <c:majorTickMark val="none"/>
        <c:minorTickMark val="none"/>
        <c:tickLblPos val="nextTo"/>
        <c:crossAx val="346966272"/>
        <c:crosses val="autoZero"/>
        <c:auto val="1"/>
        <c:lblAlgn val="ctr"/>
        <c:lblOffset val="100"/>
        <c:tickLblSkip val="2"/>
        <c:noMultiLvlLbl val="1"/>
      </c:catAx>
      <c:valAx>
        <c:axId val="346966272"/>
        <c:scaling>
          <c:orientation val="minMax"/>
        </c:scaling>
        <c:delete val="0"/>
        <c:axPos val="l"/>
        <c:majorGridlines/>
        <c:title>
          <c:overlay val="0"/>
        </c:title>
        <c:numFmt formatCode="0.00" sourceLinked="1"/>
        <c:majorTickMark val="none"/>
        <c:minorTickMark val="none"/>
        <c:tickLblPos val="nextTo"/>
        <c:crossAx val="34696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IOS + TBA Total 1m Return (%)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055936523192817E-2"/>
          <c:y val="0.10270835543623831"/>
          <c:w val="0.91218815762270722"/>
          <c:h val="0.87019117667409329"/>
        </c:manualLayout>
      </c:layout>
      <c:lineChart>
        <c:grouping val="standard"/>
        <c:varyColors val="0"/>
        <c:ser>
          <c:idx val="0"/>
          <c:order val="0"/>
          <c:tx>
            <c:strRef>
              <c:f>'Projected Carry'!$S$154</c:f>
              <c:strCache>
                <c:ptCount val="1"/>
                <c:pt idx="0">
                  <c:v>FN30.
400.
10</c:v>
                </c:pt>
              </c:strCache>
            </c:strRef>
          </c:tx>
          <c:spPr>
            <a:ln>
              <a:solidFill>
                <a:srgbClr val="1A398A"/>
              </a:solidFill>
            </a:ln>
          </c:spPr>
          <c:marker>
            <c:symbol val="none"/>
          </c:marker>
          <c:val>
            <c:numRef>
              <c:f>'Projected Carry'!$S$155:$S$156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1"/>
          <c:order val="1"/>
          <c:tx>
            <c:strRef>
              <c:f>'Projected Carry'!$T$154</c:f>
              <c:strCache>
                <c:ptCount val="1"/>
                <c:pt idx="0">
                  <c:v>FN30.
400.
09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val>
            <c:numRef>
              <c:f>'Projected Carry'!$T$155:$T$156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2"/>
          <c:order val="2"/>
          <c:tx>
            <c:strRef>
              <c:f>'Projected Carry'!$U$154</c:f>
              <c:strCache>
                <c:ptCount val="1"/>
                <c:pt idx="0">
                  <c:v>FN30.
450.
11</c:v>
                </c:pt>
              </c:strCache>
            </c:strRef>
          </c:tx>
          <c:spPr>
            <a:ln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'Projected Carry'!$U$155:$U$156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3"/>
          <c:order val="3"/>
          <c:tx>
            <c:strRef>
              <c:f>'Projected Carry'!$V$154</c:f>
              <c:strCache>
                <c:ptCount val="1"/>
                <c:pt idx="0">
                  <c:v>FN30.
450.
10</c:v>
                </c:pt>
              </c:strCache>
            </c:strRef>
          </c:tx>
          <c:spPr>
            <a:ln>
              <a:solidFill>
                <a:srgbClr val="74B629"/>
              </a:solidFill>
            </a:ln>
          </c:spPr>
          <c:marker>
            <c:symbol val="none"/>
          </c:marker>
          <c:val>
            <c:numRef>
              <c:f>'Projected Carry'!$V$155:$V$156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139520"/>
        <c:axId val="348141824"/>
      </c:lineChart>
      <c:catAx>
        <c:axId val="348139520"/>
        <c:scaling>
          <c:orientation val="minMax"/>
        </c:scaling>
        <c:delete val="0"/>
        <c:axPos val="b"/>
        <c:numFmt formatCode="mm/yy;@" sourceLinked="0"/>
        <c:majorTickMark val="none"/>
        <c:minorTickMark val="none"/>
        <c:tickLblPos val="nextTo"/>
        <c:crossAx val="348141824"/>
        <c:crosses val="autoZero"/>
        <c:auto val="1"/>
        <c:lblAlgn val="ctr"/>
        <c:lblOffset val="100"/>
        <c:noMultiLvlLbl val="1"/>
      </c:catAx>
      <c:valAx>
        <c:axId val="348141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(%)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48139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9812869102433875"/>
          <c:y val="0.10628790564145361"/>
          <c:w val="0.40522848131855194"/>
          <c:h val="7.97288300298139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IOS Monthly Unhedged Return (%)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6448796651021009"/>
          <c:y val="1.46490316932377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0539675022289625E-2"/>
          <c:y val="0.10273258269541799"/>
          <c:w val="0.91329912653407463"/>
          <c:h val="0.87016055684775906"/>
        </c:manualLayout>
      </c:layout>
      <c:lineChart>
        <c:grouping val="standard"/>
        <c:varyColors val="0"/>
        <c:ser>
          <c:idx val="0"/>
          <c:order val="0"/>
          <c:tx>
            <c:strRef>
              <c:f>'Projected Carry'!$Z$33</c:f>
              <c:strCache>
                <c:ptCount val="1"/>
                <c:pt idx="0">
                  <c:v>FN30.
550.
08</c:v>
                </c:pt>
              </c:strCache>
            </c:strRef>
          </c:tx>
          <c:spPr>
            <a:ln>
              <a:solidFill>
                <a:srgbClr val="1A398A"/>
              </a:solidFill>
            </a:ln>
          </c:spPr>
          <c:marker>
            <c:symbol val="none"/>
          </c:marker>
          <c:val>
            <c:numRef>
              <c:f>'Projected Carry'!$Z$34:$Z$35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1"/>
          <c:order val="1"/>
          <c:tx>
            <c:strRef>
              <c:f>'Projected Carry'!$AA$33</c:f>
              <c:strCache>
                <c:ptCount val="1"/>
                <c:pt idx="0">
                  <c:v>FN30.
600.
08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val>
            <c:numRef>
              <c:f>'Projected Carry'!$AA$34:$AA$35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2"/>
          <c:order val="2"/>
          <c:tx>
            <c:strRef>
              <c:f>'Projected Carry'!$AB$33</c:f>
              <c:strCache>
                <c:ptCount val="1"/>
                <c:pt idx="0">
                  <c:v>FN30.
650.
67</c:v>
                </c:pt>
              </c:strCache>
            </c:strRef>
          </c:tx>
          <c:spPr>
            <a:ln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'Projected Carry'!$AB$34:$AB$35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409856"/>
        <c:axId val="374257920"/>
      </c:lineChart>
      <c:catAx>
        <c:axId val="354409856"/>
        <c:scaling>
          <c:orientation val="minMax"/>
        </c:scaling>
        <c:delete val="0"/>
        <c:axPos val="b"/>
        <c:numFmt formatCode="mm/yy;@" sourceLinked="0"/>
        <c:majorTickMark val="none"/>
        <c:minorTickMark val="none"/>
        <c:tickLblPos val="nextTo"/>
        <c:crossAx val="374257920"/>
        <c:crosses val="autoZero"/>
        <c:auto val="1"/>
        <c:lblAlgn val="ctr"/>
        <c:lblOffset val="100"/>
        <c:noMultiLvlLbl val="1"/>
      </c:catAx>
      <c:valAx>
        <c:axId val="37425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(%)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3544098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0573394766185191"/>
          <c:y val="0.11117096323535207"/>
          <c:w val="0.38664550656352725"/>
          <c:h val="8.9108790976196464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IOS + TBA Total 1m Return (%)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055936523192817E-2"/>
          <c:y val="0.10270835543623831"/>
          <c:w val="0.91218815762270722"/>
          <c:h val="0.87019117667409329"/>
        </c:manualLayout>
      </c:layout>
      <c:lineChart>
        <c:grouping val="standard"/>
        <c:varyColors val="0"/>
        <c:ser>
          <c:idx val="0"/>
          <c:order val="0"/>
          <c:tx>
            <c:strRef>
              <c:f>'Projected Carry'!$Z$154</c:f>
              <c:strCache>
                <c:ptCount val="1"/>
                <c:pt idx="0">
                  <c:v>FN30.
550.
08</c:v>
                </c:pt>
              </c:strCache>
            </c:strRef>
          </c:tx>
          <c:marker>
            <c:symbol val="none"/>
          </c:marker>
          <c:val>
            <c:numRef>
              <c:f>'Projected Carry'!$Z$155:$Z$156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1"/>
          <c:order val="1"/>
          <c:tx>
            <c:strRef>
              <c:f>'Projected Carry'!$AA$154</c:f>
              <c:strCache>
                <c:ptCount val="1"/>
                <c:pt idx="0">
                  <c:v>FN30.
600.
08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val>
            <c:numRef>
              <c:f>'Projected Carry'!$AA$155:$AA$156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ser>
          <c:idx val="2"/>
          <c:order val="2"/>
          <c:tx>
            <c:strRef>
              <c:f>'Projected Carry'!$AB$154</c:f>
              <c:strCache>
                <c:ptCount val="1"/>
                <c:pt idx="0">
                  <c:v>FN30.
650.
67</c:v>
                </c:pt>
              </c:strCache>
            </c:strRef>
          </c:tx>
          <c:spPr>
            <a:ln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'Projected Carry'!$AB$155:$AB$156</c:f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'Projected Carry'!$I$34:$I$35</c15:sqref>
                        </c15:formulaRef>
                      </c:ext>
                    </c:extLst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705408"/>
        <c:axId val="442799232"/>
      </c:lineChart>
      <c:catAx>
        <c:axId val="442705408"/>
        <c:scaling>
          <c:orientation val="minMax"/>
        </c:scaling>
        <c:delete val="0"/>
        <c:axPos val="b"/>
        <c:numFmt formatCode="mm/yy;@" sourceLinked="0"/>
        <c:majorTickMark val="none"/>
        <c:minorTickMark val="none"/>
        <c:tickLblPos val="nextTo"/>
        <c:crossAx val="442799232"/>
        <c:crosses val="autoZero"/>
        <c:auto val="1"/>
        <c:lblAlgn val="ctr"/>
        <c:lblOffset val="100"/>
        <c:noMultiLvlLbl val="1"/>
      </c:catAx>
      <c:valAx>
        <c:axId val="442799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(%)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44270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9812869102433875"/>
          <c:y val="0.10628790564145361"/>
          <c:w val="0.37479899079516471"/>
          <c:h val="0.1037333536295660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IOS Cumulative Return (%)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6448796651021009"/>
          <c:y val="1.46490316932377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0539675022289625E-2"/>
          <c:y val="0.10273258269541799"/>
          <c:w val="0.91329912653407463"/>
          <c:h val="0.8701605568477590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1A398A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>
              <a:solidFill>
                <a:srgbClr val="AD275C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>
              <a:solidFill>
                <a:srgbClr val="74B629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492224"/>
        <c:axId val="443493760"/>
      </c:lineChart>
      <c:catAx>
        <c:axId val="443492224"/>
        <c:scaling>
          <c:orientation val="minMax"/>
        </c:scaling>
        <c:delete val="0"/>
        <c:axPos val="b"/>
        <c:numFmt formatCode="mm/yy;@" sourceLinked="0"/>
        <c:majorTickMark val="none"/>
        <c:minorTickMark val="none"/>
        <c:tickLblPos val="nextTo"/>
        <c:crossAx val="443493760"/>
        <c:crosses val="autoZero"/>
        <c:auto val="1"/>
        <c:lblAlgn val="ctr"/>
        <c:lblOffset val="100"/>
        <c:noMultiLvlLbl val="0"/>
      </c:catAx>
      <c:valAx>
        <c:axId val="443493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434922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0573394766185191"/>
          <c:y val="0.10384644738873321"/>
          <c:w val="0.34970572217620671"/>
          <c:h val="0.10172118432615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IOS + TBA Cumulative Return (%)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055936523192817E-2"/>
          <c:y val="0.10270835543623831"/>
          <c:w val="0.91218815762270722"/>
          <c:h val="0.8701911766740932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1A398A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>
              <a:solidFill>
                <a:srgbClr val="AD275C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>
              <a:solidFill>
                <a:srgbClr val="74B629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342080"/>
        <c:axId val="469343616"/>
      </c:lineChart>
      <c:catAx>
        <c:axId val="469342080"/>
        <c:scaling>
          <c:orientation val="minMax"/>
        </c:scaling>
        <c:delete val="0"/>
        <c:axPos val="b"/>
        <c:numFmt formatCode="mm/yy;@" sourceLinked="0"/>
        <c:majorTickMark val="none"/>
        <c:minorTickMark val="none"/>
        <c:tickLblPos val="nextTo"/>
        <c:crossAx val="469343616"/>
        <c:crosses val="autoZero"/>
        <c:auto val="1"/>
        <c:lblAlgn val="ctr"/>
        <c:lblOffset val="100"/>
        <c:noMultiLvlLbl val="0"/>
      </c:catAx>
      <c:valAx>
        <c:axId val="469343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69342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9812869102433875"/>
          <c:y val="0.10628790564145361"/>
          <c:w val="0.35849747801477866"/>
          <c:h val="0.1383111381727547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IOS Cumulative Return (%)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6448796651021009"/>
          <c:y val="1.46490316932377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0539675022289625E-2"/>
          <c:y val="0.10273258269541799"/>
          <c:w val="0.91329912653407463"/>
          <c:h val="0.8701605568477590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1A398A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>
              <a:solidFill>
                <a:srgbClr val="AD275C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259072"/>
        <c:axId val="496261376"/>
      </c:lineChart>
      <c:catAx>
        <c:axId val="496259072"/>
        <c:scaling>
          <c:orientation val="minMax"/>
        </c:scaling>
        <c:delete val="0"/>
        <c:axPos val="b"/>
        <c:numFmt formatCode="mm/yy;@" sourceLinked="0"/>
        <c:majorTickMark val="none"/>
        <c:minorTickMark val="none"/>
        <c:tickLblPos val="nextTo"/>
        <c:crossAx val="496261376"/>
        <c:crosses val="autoZero"/>
        <c:auto val="1"/>
        <c:lblAlgn val="ctr"/>
        <c:lblOffset val="100"/>
        <c:noMultiLvlLbl val="0"/>
      </c:catAx>
      <c:valAx>
        <c:axId val="496261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96259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0573394766185191"/>
          <c:y val="0.10384644738873321"/>
          <c:w val="0.34210047244940539"/>
          <c:h val="0.1013163173872279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IOS + TBA Cumulative Return (%)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055936523192817E-2"/>
          <c:y val="0.10270835543623831"/>
          <c:w val="0.91218815762270722"/>
          <c:h val="0.8701911766740932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1A398A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>
              <a:solidFill>
                <a:srgbClr val="AD275C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'Monthly Summary - Carry'!#REF!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Summary - Carry'!#REF!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19616"/>
        <c:axId val="497771264"/>
      </c:lineChart>
      <c:catAx>
        <c:axId val="497519616"/>
        <c:scaling>
          <c:orientation val="minMax"/>
        </c:scaling>
        <c:delete val="0"/>
        <c:axPos val="b"/>
        <c:numFmt formatCode="mm/yy;@" sourceLinked="0"/>
        <c:majorTickMark val="none"/>
        <c:minorTickMark val="none"/>
        <c:tickLblPos val="nextTo"/>
        <c:crossAx val="497771264"/>
        <c:crosses val="autoZero"/>
        <c:auto val="1"/>
        <c:lblAlgn val="ctr"/>
        <c:lblOffset val="100"/>
        <c:noMultiLvlLbl val="0"/>
      </c:catAx>
      <c:valAx>
        <c:axId val="497771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497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9812869102433875"/>
          <c:y val="0.10628790564145361"/>
          <c:w val="0.35849747801477866"/>
          <c:h val="0.1383111381727547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58</xdr:col>
      <xdr:colOff>24340</xdr:colOff>
      <xdr:row>397</xdr:row>
      <xdr:rowOff>30692</xdr:rowOff>
    </xdr:from>
    <xdr:to>
      <xdr:col>74</xdr:col>
      <xdr:colOff>386293</xdr:colOff>
      <xdr:row>427</xdr:row>
      <xdr:rowOff>101601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80</xdr:col>
      <xdr:colOff>386292</xdr:colOff>
      <xdr:row>390</xdr:row>
      <xdr:rowOff>85725</xdr:rowOff>
    </xdr:from>
    <xdr:to>
      <xdr:col>146</xdr:col>
      <xdr:colOff>246591</xdr:colOff>
      <xdr:row>429</xdr:row>
      <xdr:rowOff>36062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58</xdr:col>
      <xdr:colOff>26457</xdr:colOff>
      <xdr:row>429</xdr:row>
      <xdr:rowOff>57150</xdr:rowOff>
    </xdr:from>
    <xdr:to>
      <xdr:col>74</xdr:col>
      <xdr:colOff>377739</xdr:colOff>
      <xdr:row>462</xdr:row>
      <xdr:rowOff>18161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18</xdr:col>
      <xdr:colOff>132290</xdr:colOff>
      <xdr:row>454</xdr:row>
      <xdr:rowOff>112183</xdr:rowOff>
    </xdr:from>
    <xdr:to>
      <xdr:col>61</xdr:col>
      <xdr:colOff>227543</xdr:colOff>
      <xdr:row>487</xdr:row>
      <xdr:rowOff>75142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18</xdr:col>
      <xdr:colOff>132290</xdr:colOff>
      <xdr:row>489</xdr:row>
      <xdr:rowOff>30691</xdr:rowOff>
    </xdr:from>
    <xdr:to>
      <xdr:col>61</xdr:col>
      <xdr:colOff>218989</xdr:colOff>
      <xdr:row>521</xdr:row>
      <xdr:rowOff>150452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18</xdr:col>
      <xdr:colOff>132290</xdr:colOff>
      <xdr:row>538</xdr:row>
      <xdr:rowOff>80433</xdr:rowOff>
    </xdr:from>
    <xdr:to>
      <xdr:col>61</xdr:col>
      <xdr:colOff>227543</xdr:colOff>
      <xdr:row>571</xdr:row>
      <xdr:rowOff>46567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132290</xdr:colOff>
      <xdr:row>572</xdr:row>
      <xdr:rowOff>154516</xdr:rowOff>
    </xdr:from>
    <xdr:to>
      <xdr:col>61</xdr:col>
      <xdr:colOff>218989</xdr:colOff>
      <xdr:row>605</xdr:row>
      <xdr:rowOff>118702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18</xdr:col>
      <xdr:colOff>132290</xdr:colOff>
      <xdr:row>622</xdr:row>
      <xdr:rowOff>106892</xdr:rowOff>
    </xdr:from>
    <xdr:to>
      <xdr:col>61</xdr:col>
      <xdr:colOff>227543</xdr:colOff>
      <xdr:row>655</xdr:row>
      <xdr:rowOff>69851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18</xdr:col>
      <xdr:colOff>132290</xdr:colOff>
      <xdr:row>657</xdr:row>
      <xdr:rowOff>25400</xdr:rowOff>
    </xdr:from>
    <xdr:to>
      <xdr:col>61</xdr:col>
      <xdr:colOff>218989</xdr:colOff>
      <xdr:row>698</xdr:row>
      <xdr:rowOff>97536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69</xdr:col>
      <xdr:colOff>1428750</xdr:colOff>
      <xdr:row>279</xdr:row>
      <xdr:rowOff>116417</xdr:rowOff>
    </xdr:from>
    <xdr:to>
      <xdr:col>74</xdr:col>
      <xdr:colOff>645583</xdr:colOff>
      <xdr:row>283</xdr:row>
      <xdr:rowOff>94065</xdr:rowOff>
    </xdr:to>
    <xdr:sp macro="" textlink="">
      <xdr:nvSpPr>
        <xdr:cNvPr id="14" name="Rectangular Callout 13"/>
        <xdr:cNvSpPr/>
      </xdr:nvSpPr>
      <xdr:spPr>
        <a:xfrm>
          <a:off x="19483917" y="16478250"/>
          <a:ext cx="3608916" cy="612648"/>
        </a:xfrm>
        <a:prstGeom prst="wedgeRectCallout">
          <a:avLst>
            <a:gd name="adj1" fmla="val -252168"/>
            <a:gd name="adj2" fmla="val -291633"/>
          </a:avLst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US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Refer to Hedged Adj Projected Carry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US" sz="10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 fPrintsWithSheet="0"/>
  </xdr:twoCellAnchor>
  <xdr:twoCellAnchor>
    <xdr:from>
      <xdr:col>45</xdr:col>
      <xdr:colOff>306917</xdr:colOff>
      <xdr:row>0</xdr:row>
      <xdr:rowOff>95249</xdr:rowOff>
    </xdr:from>
    <xdr:to>
      <xdr:col>51</xdr:col>
      <xdr:colOff>116418</xdr:colOff>
      <xdr:row>5</xdr:row>
      <xdr:rowOff>116416</xdr:rowOff>
    </xdr:to>
    <xdr:sp macro="" textlink="">
      <xdr:nvSpPr>
        <xdr:cNvPr id="11" name="Rectangular Callout 10"/>
        <xdr:cNvSpPr/>
      </xdr:nvSpPr>
      <xdr:spPr>
        <a:xfrm rot="16200000">
          <a:off x="4497917" y="-550334"/>
          <a:ext cx="846667" cy="2137834"/>
        </a:xfrm>
        <a:prstGeom prst="wedgeRectCallout">
          <a:avLst>
            <a:gd name="adj1" fmla="val 26176"/>
            <a:gd name="adj2" fmla="val 74795"/>
          </a:avLst>
        </a:prstGeom>
        <a:solidFill>
          <a:schemeClr val="accent3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US" sz="10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46</xdr:col>
      <xdr:colOff>31751</xdr:colOff>
      <xdr:row>0</xdr:row>
      <xdr:rowOff>84667</xdr:rowOff>
    </xdr:from>
    <xdr:to>
      <xdr:col>51</xdr:col>
      <xdr:colOff>74084</xdr:colOff>
      <xdr:row>5</xdr:row>
      <xdr:rowOff>31750</xdr:rowOff>
    </xdr:to>
    <xdr:sp macro="" textlink="">
      <xdr:nvSpPr>
        <xdr:cNvPr id="12" name="TextBox 11"/>
        <xdr:cNvSpPr txBox="1"/>
      </xdr:nvSpPr>
      <xdr:spPr>
        <a:xfrm>
          <a:off x="4011084" y="84667"/>
          <a:ext cx="1936750" cy="772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1.Change Date</a:t>
          </a:r>
          <a:r>
            <a:rPr lang="en-US" sz="1100" baseline="0"/>
            <a:t> to Last Business Date Of Last Month</a:t>
          </a:r>
          <a:endParaRPr lang="en-US" sz="1100"/>
        </a:p>
      </xdr:txBody>
    </xdr:sp>
    <xdr:clientData/>
  </xdr:twoCellAnchor>
  <xdr:twoCellAnchor>
    <xdr:from>
      <xdr:col>43</xdr:col>
      <xdr:colOff>78318</xdr:colOff>
      <xdr:row>15</xdr:row>
      <xdr:rowOff>57149</xdr:rowOff>
    </xdr:from>
    <xdr:to>
      <xdr:col>48</xdr:col>
      <xdr:colOff>78318</xdr:colOff>
      <xdr:row>20</xdr:row>
      <xdr:rowOff>110066</xdr:rowOff>
    </xdr:to>
    <xdr:sp macro="" textlink="">
      <xdr:nvSpPr>
        <xdr:cNvPr id="15" name="Rectangular Callout 14"/>
        <xdr:cNvSpPr/>
      </xdr:nvSpPr>
      <xdr:spPr>
        <a:xfrm rot="5400000">
          <a:off x="3369734" y="1824566"/>
          <a:ext cx="846667" cy="2137834"/>
        </a:xfrm>
        <a:prstGeom prst="wedgeRectCallout">
          <a:avLst>
            <a:gd name="adj1" fmla="val 26176"/>
            <a:gd name="adj2" fmla="val 74795"/>
          </a:avLst>
        </a:prstGeom>
        <a:solidFill>
          <a:schemeClr val="accent3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US" sz="10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237068</xdr:colOff>
      <xdr:row>15</xdr:row>
      <xdr:rowOff>46567</xdr:rowOff>
    </xdr:from>
    <xdr:to>
      <xdr:col>48</xdr:col>
      <xdr:colOff>35984</xdr:colOff>
      <xdr:row>20</xdr:row>
      <xdr:rowOff>25400</xdr:rowOff>
    </xdr:to>
    <xdr:sp macro="" textlink="">
      <xdr:nvSpPr>
        <xdr:cNvPr id="16" name="TextBox 15"/>
        <xdr:cNvSpPr txBox="1"/>
      </xdr:nvSpPr>
      <xdr:spPr>
        <a:xfrm>
          <a:off x="2882901" y="2459567"/>
          <a:ext cx="1936750" cy="772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2. Refresh</a:t>
          </a:r>
        </a:p>
      </xdr:txBody>
    </xdr:sp>
    <xdr:clientData/>
  </xdr:twoCellAnchor>
  <xdr:twoCellAnchor>
    <xdr:from>
      <xdr:col>50</xdr:col>
      <xdr:colOff>607485</xdr:colOff>
      <xdr:row>32</xdr:row>
      <xdr:rowOff>522817</xdr:rowOff>
    </xdr:from>
    <xdr:to>
      <xdr:col>53</xdr:col>
      <xdr:colOff>300569</xdr:colOff>
      <xdr:row>35</xdr:row>
      <xdr:rowOff>52917</xdr:rowOff>
    </xdr:to>
    <xdr:sp macro="" textlink="">
      <xdr:nvSpPr>
        <xdr:cNvPr id="17" name="Rectangular Callout 16"/>
        <xdr:cNvSpPr/>
      </xdr:nvSpPr>
      <xdr:spPr>
        <a:xfrm rot="16200000">
          <a:off x="6684435" y="5452533"/>
          <a:ext cx="482600" cy="2137834"/>
        </a:xfrm>
        <a:prstGeom prst="wedgeRectCallout">
          <a:avLst>
            <a:gd name="adj1" fmla="val 26176"/>
            <a:gd name="adj2" fmla="val 74795"/>
          </a:avLst>
        </a:prstGeom>
        <a:solidFill>
          <a:schemeClr val="accent3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US" sz="10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51</xdr:col>
      <xdr:colOff>141818</xdr:colOff>
      <xdr:row>32</xdr:row>
      <xdr:rowOff>512235</xdr:rowOff>
    </xdr:from>
    <xdr:to>
      <xdr:col>53</xdr:col>
      <xdr:colOff>258235</xdr:colOff>
      <xdr:row>35</xdr:row>
      <xdr:rowOff>107</xdr:rowOff>
    </xdr:to>
    <xdr:sp macro="" textlink="">
      <xdr:nvSpPr>
        <xdr:cNvPr id="18" name="TextBox 17"/>
        <xdr:cNvSpPr txBox="1"/>
      </xdr:nvSpPr>
      <xdr:spPr>
        <a:xfrm>
          <a:off x="6015568" y="6269568"/>
          <a:ext cx="1936750" cy="440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3.</a:t>
          </a:r>
          <a:r>
            <a:rPr lang="en-US" sz="1100" baseline="0"/>
            <a:t> Refresh</a:t>
          </a:r>
          <a:endParaRPr lang="en-US" sz="1100"/>
        </a:p>
      </xdr:txBody>
    </xdr:sp>
    <xdr:clientData/>
  </xdr:twoCellAnchor>
  <xdr:twoCellAnchor>
    <xdr:from>
      <xdr:col>43</xdr:col>
      <xdr:colOff>124884</xdr:colOff>
      <xdr:row>32</xdr:row>
      <xdr:rowOff>400050</xdr:rowOff>
    </xdr:from>
    <xdr:to>
      <xdr:col>48</xdr:col>
      <xdr:colOff>124884</xdr:colOff>
      <xdr:row>34</xdr:row>
      <xdr:rowOff>95253</xdr:rowOff>
    </xdr:to>
    <xdr:sp macro="" textlink="">
      <xdr:nvSpPr>
        <xdr:cNvPr id="19" name="Rectangular Callout 18"/>
        <xdr:cNvSpPr/>
      </xdr:nvSpPr>
      <xdr:spPr>
        <a:xfrm rot="5400000">
          <a:off x="3611032" y="5317068"/>
          <a:ext cx="457203" cy="2137834"/>
        </a:xfrm>
        <a:prstGeom prst="wedgeRectCallout">
          <a:avLst>
            <a:gd name="adj1" fmla="val 26176"/>
            <a:gd name="adj2" fmla="val 74795"/>
          </a:avLst>
        </a:prstGeom>
        <a:solidFill>
          <a:schemeClr val="accent3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US" sz="10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283634</xdr:colOff>
      <xdr:row>32</xdr:row>
      <xdr:rowOff>389468</xdr:rowOff>
    </xdr:from>
    <xdr:to>
      <xdr:col>48</xdr:col>
      <xdr:colOff>82550</xdr:colOff>
      <xdr:row>34</xdr:row>
      <xdr:rowOff>44664</xdr:rowOff>
    </xdr:to>
    <xdr:sp macro="" textlink="">
      <xdr:nvSpPr>
        <xdr:cNvPr id="20" name="TextBox 19"/>
        <xdr:cNvSpPr txBox="1"/>
      </xdr:nvSpPr>
      <xdr:spPr>
        <a:xfrm>
          <a:off x="2929467" y="6146801"/>
          <a:ext cx="1936750" cy="4171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4. 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39</xdr:col>
      <xdr:colOff>334698</xdr:colOff>
      <xdr:row>78</xdr:row>
      <xdr:rowOff>15875</xdr:rowOff>
    </xdr:from>
    <xdr:to>
      <xdr:col>48</xdr:col>
      <xdr:colOff>21167</xdr:colOff>
      <xdr:row>80</xdr:row>
      <xdr:rowOff>412750</xdr:rowOff>
    </xdr:to>
    <xdr:sp macro="" textlink="">
      <xdr:nvSpPr>
        <xdr:cNvPr id="2" name="Rectangular Callout 1"/>
        <xdr:cNvSpPr/>
      </xdr:nvSpPr>
      <xdr:spPr>
        <a:xfrm>
          <a:off x="15695083" y="13906500"/>
          <a:ext cx="3566584" cy="612648"/>
        </a:xfrm>
        <a:prstGeom prst="wedgeRectCallout">
          <a:avLst>
            <a:gd name="adj1" fmla="val -129142"/>
            <a:gd name="adj2" fmla="val -1417"/>
          </a:avLst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US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Refer to Projected Carry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US" sz="10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en.chen/AppData/Roaming/Microsoft/AddIns/YieldBook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BCURVE"/>
      <definedName name="YBHIST"/>
      <definedName name="YBPRICE"/>
      <definedName name="YBSCEN"/>
      <definedName name="YBSW"/>
      <definedName name="YBTICK"/>
      <definedName name="YBTICKCONVERT"/>
      <definedName name="YBWORKDAY"/>
      <definedName name="YBYC"/>
    </definedNames>
    <sheetDataSet>
      <sheetData sheetId="0"/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Query from Cello SQL Server" backgroundRefresh="0" connectionId="1" autoFormatId="16" applyNumberFormats="0" applyBorderFormats="0" applyFontFormats="0" applyPatternFormats="0" applyAlignmentFormats="0" applyWidthHeightFormats="0">
  <queryTableRefresh nextId="16">
    <queryTableFields count="14">
      <queryTableField id="1" name="TimeSeriesMetaId" tableColumnId="1"/>
      <queryTableField id="2" name="StatusCode" tableColumnId="2"/>
      <queryTableField id="3" name="Source" tableColumnId="3"/>
      <queryTableField id="4" name="TickerName" tableColumnId="4"/>
      <queryTableField id="5" name="SeriesType" tableColumnId="5"/>
      <queryTableField id="6" name="Category" tableColumnId="6"/>
      <queryTableField id="7" name="ModelType" tableColumnId="7"/>
      <queryTableField id="8" name="UpdateTime" tableColumnId="8"/>
      <queryTableField id="9" name="TimeSeriesMetaId" tableColumnId="9"/>
      <queryTableField id="10" name="AsOfDate" tableColumnId="10"/>
      <queryTableField id="11" name="SeriesNumValue" tableColumnId="11"/>
      <queryTableField id="12" name="SeriesCharValue" tableColumnId="12"/>
      <queryTableField id="13" name="InTime" tableColumnId="13"/>
      <queryTableField id="14" name="OutTime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Cello_SQL_Server" displayName="Table_Query_from_Cello_SQL_Server" ref="A1:N57" tableType="queryTable" totalsRowShown="0">
  <autoFilter ref="A1:N57"/>
  <tableColumns count="14">
    <tableColumn id="1" uniqueName="1" name="TimeSeriesMetaId" queryTableFieldId="1"/>
    <tableColumn id="2" uniqueName="2" name="StatusCode" queryTableFieldId="2"/>
    <tableColumn id="3" uniqueName="3" name="Source" queryTableFieldId="3"/>
    <tableColumn id="4" uniqueName="4" name="TickerName" queryTableFieldId="4"/>
    <tableColumn id="5" uniqueName="5" name="SeriesType" queryTableFieldId="5"/>
    <tableColumn id="6" uniqueName="6" name="Category" queryTableFieldId="6"/>
    <tableColumn id="7" uniqueName="7" name="ModelType" queryTableFieldId="7"/>
    <tableColumn id="8" uniqueName="8" name="UpdateTime" queryTableFieldId="8" dataDxfId="2"/>
    <tableColumn id="9" uniqueName="9" name="TimeSeriesMetaId2" queryTableFieldId="9"/>
    <tableColumn id="10" uniqueName="10" name="AsOfDate" queryTableFieldId="10"/>
    <tableColumn id="11" uniqueName="11" name="SeriesNumValue" queryTableFieldId="11"/>
    <tableColumn id="12" uniqueName="12" name="SeriesCharValue" queryTableFieldId="12"/>
    <tableColumn id="13" uniqueName="13" name="InTime" queryTableFieldId="13" dataDxfId="1"/>
    <tableColumn id="14" uniqueName="14" name="OutTime" queryTableFieldId="1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accent5">
              <a:lumMod val="50000"/>
            </a:schemeClr>
          </a:solidFill>
        </a:ln>
      </a:spPr>
      <a:bodyPr vertOverflow="clip" horzOverflow="clip" rtlCol="0" anchor="ctr"/>
      <a:lstStyle>
        <a:defPPr marL="0" marR="0" indent="0" algn="ctr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0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defRPr>
        </a:defPPr>
      </a:lstStyle>
      <a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79998168889431442"/>
  </sheetPr>
  <dimension ref="A1:EH224"/>
  <sheetViews>
    <sheetView showGridLines="0" tabSelected="1" topLeftCell="F1" zoomScale="90" zoomScaleNormal="90" workbookViewId="0">
      <selection activeCell="BG20" sqref="BG20:BG21"/>
    </sheetView>
  </sheetViews>
  <sheetFormatPr defaultRowHeight="12.75"/>
  <cols>
    <col min="1" max="2" width="15.5703125" style="2" hidden="1" customWidth="1"/>
    <col min="3" max="3" width="12.5703125" style="2" hidden="1" customWidth="1"/>
    <col min="4" max="4" width="11.85546875" style="2" hidden="1" customWidth="1"/>
    <col min="5" max="5" width="17.85546875" style="2" hidden="1" customWidth="1"/>
    <col min="6" max="6" width="6.7109375" style="2" bestFit="1" customWidth="1"/>
    <col min="7" max="7" width="7.140625" style="2" customWidth="1"/>
    <col min="8" max="8" width="8.5703125" style="2" customWidth="1"/>
    <col min="9" max="9" width="9.5703125" style="2" hidden="1" customWidth="1"/>
    <col min="10" max="18" width="6.7109375" style="2" hidden="1" customWidth="1"/>
    <col min="19" max="19" width="10.42578125" style="2" bestFit="1" customWidth="1"/>
    <col min="20" max="29" width="6.7109375" style="2" hidden="1" customWidth="1"/>
    <col min="30" max="31" width="6.5703125" style="2" hidden="1" customWidth="1"/>
    <col min="32" max="32" width="0.7109375" style="2" hidden="1" customWidth="1"/>
    <col min="33" max="33" width="0.5703125" style="2" hidden="1" customWidth="1"/>
    <col min="34" max="34" width="6.7109375" style="2" hidden="1" customWidth="1"/>
    <col min="35" max="35" width="6.42578125" style="2" hidden="1" customWidth="1"/>
    <col min="36" max="36" width="6.85546875" style="2" hidden="1" customWidth="1"/>
    <col min="37" max="37" width="6" style="2" hidden="1" customWidth="1"/>
    <col min="38" max="38" width="6.7109375" style="2" hidden="1" customWidth="1"/>
    <col min="39" max="39" width="6.42578125" style="2" hidden="1" customWidth="1"/>
    <col min="40" max="40" width="7" style="2" hidden="1" customWidth="1"/>
    <col min="41" max="41" width="5.42578125" style="2" hidden="1" customWidth="1"/>
    <col min="42" max="42" width="4.5703125" style="2" hidden="1" customWidth="1"/>
    <col min="43" max="44" width="6.85546875" style="2" bestFit="1" customWidth="1"/>
    <col min="45" max="45" width="6.7109375" style="2" bestFit="1" customWidth="1"/>
    <col min="46" max="46" width="6.42578125" style="2" bestFit="1" customWidth="1"/>
    <col min="47" max="47" width="6" style="2" bestFit="1" customWidth="1"/>
    <col min="48" max="48" width="6" style="2" customWidth="1"/>
    <col min="49" max="50" width="3.42578125" style="2" customWidth="1"/>
    <col min="51" max="52" width="9.28515625" style="2" customWidth="1"/>
    <col min="53" max="53" width="18" style="2" customWidth="1"/>
    <col min="54" max="54" width="13.5703125" style="2" customWidth="1"/>
    <col min="55" max="57" width="9.28515625" style="2" customWidth="1"/>
    <col min="58" max="58" width="10.5703125" style="2" customWidth="1"/>
    <col min="59" max="69" width="9.28515625" style="2" customWidth="1"/>
    <col min="70" max="70" width="21.85546875" style="2" customWidth="1"/>
    <col min="71" max="71" width="11.140625" style="2" customWidth="1"/>
    <col min="72" max="74" width="11" style="2" customWidth="1"/>
    <col min="75" max="75" width="10.5703125" style="2" customWidth="1"/>
    <col min="76" max="78" width="10.42578125" style="2" customWidth="1"/>
    <col min="79" max="79" width="10.5703125" style="2" customWidth="1"/>
    <col min="80" max="82" width="10.42578125" style="2" customWidth="1"/>
    <col min="83" max="83" width="10.5703125" style="2" customWidth="1"/>
    <col min="84" max="90" width="10.42578125" style="2" customWidth="1"/>
    <col min="91" max="123" width="10.42578125" style="2" hidden="1" customWidth="1"/>
    <col min="124" max="126" width="11" style="2" hidden="1" customWidth="1"/>
    <col min="127" max="138" width="0" style="2" hidden="1" customWidth="1"/>
    <col min="139" max="16384" width="9.140625" style="2"/>
  </cols>
  <sheetData>
    <row r="1" spans="13:121" ht="14.25" thickTop="1" thickBot="1">
      <c r="AQ1" s="1"/>
      <c r="BA1" s="349" t="s">
        <v>62</v>
      </c>
      <c r="BB1" s="350"/>
      <c r="BC1" s="350"/>
      <c r="BD1" s="350"/>
      <c r="BE1" s="350"/>
      <c r="BF1" s="350"/>
      <c r="BG1" s="350"/>
      <c r="BH1" s="350"/>
      <c r="BI1" s="350"/>
      <c r="BJ1" s="350"/>
      <c r="BK1" s="351"/>
      <c r="BR1" s="85" t="s">
        <v>55</v>
      </c>
    </row>
    <row r="2" spans="13:121" ht="13.5" thickTop="1">
      <c r="BA2" s="100" t="s">
        <v>0</v>
      </c>
      <c r="BB2" s="99">
        <v>42185</v>
      </c>
      <c r="BC2" s="129" t="s">
        <v>87</v>
      </c>
      <c r="BD2" s="130" t="s">
        <v>88</v>
      </c>
      <c r="BE2" s="100" t="s">
        <v>150</v>
      </c>
      <c r="BF2" s="99">
        <f>[1]!YBWORKDAY(CurrentCloseDate, -1, "USD")</f>
        <v>42184</v>
      </c>
      <c r="BG2" s="98"/>
      <c r="BH2" s="98"/>
      <c r="BI2" s="98"/>
      <c r="BJ2" s="98"/>
      <c r="BK2" s="98"/>
      <c r="BR2" s="83" t="s">
        <v>39</v>
      </c>
    </row>
    <row r="3" spans="13:121">
      <c r="BA3" s="86" t="s">
        <v>52</v>
      </c>
      <c r="BB3" s="95" t="str">
        <f>"S:\Analytics\IOS Projected Carry\" &amp; YEAR(CurrentCloseDate) &amp; "\" &amp; TEXT(CurrentCloseDate, "mm")&amp;"\IOS Projected Carry " &amp; TEXT(CurrentCloseDate, "yyyy-mm-dd") &amp; ".pdf"</f>
        <v>S:\Analytics\IOS Projected Carry\2015\06\IOS Projected Carry 2015-06-30.pdf</v>
      </c>
      <c r="BC3" s="96"/>
      <c r="BD3" s="96"/>
      <c r="BE3" s="96"/>
      <c r="BF3" s="96"/>
      <c r="BG3" s="96"/>
      <c r="BH3" s="96"/>
      <c r="BI3" s="96"/>
      <c r="BJ3" s="96"/>
      <c r="BK3" s="97"/>
      <c r="BR3" s="83" t="s">
        <v>40</v>
      </c>
    </row>
    <row r="4" spans="13:121">
      <c r="M4" s="7"/>
      <c r="BA4" s="87" t="s">
        <v>53</v>
      </c>
      <c r="BB4" s="88" t="str">
        <f>"S:\IT\Production\Daily Reports\IOS Projected Carry\Cache\Daily IOS Projected Carry " &amp; TEXT(CurrentCloseDate, "yyyy-mm-dd") &amp;".ybcache"</f>
        <v>S:\IT\Production\Daily Reports\IOS Projected Carry\Cache\Daily IOS Projected Carry 2015-06-30.ybcache</v>
      </c>
      <c r="BC4" s="89"/>
      <c r="BD4" s="89"/>
      <c r="BE4" s="89"/>
      <c r="BF4" s="89"/>
      <c r="BG4" s="89"/>
      <c r="BH4" s="89"/>
      <c r="BI4" s="89"/>
      <c r="BJ4" s="89"/>
      <c r="BK4" s="90"/>
      <c r="BR4" s="83" t="s">
        <v>44</v>
      </c>
    </row>
    <row r="5" spans="13:121">
      <c r="BA5" s="87" t="s">
        <v>66</v>
      </c>
      <c r="BB5" s="88" t="str">
        <f>"S:\IT\Production\Log\" &amp; YEAR(CurrentCloseDate) &amp; "\" &amp; TEXT(MONTH(CurrentCloseDate), "00") &amp; "\Report Log " &amp; TEXT(CurrentCloseDate, "yyyy-mm-dd") &amp; ".log"</f>
        <v>S:\IT\Production\Log\2015\06\Report Log 2015-06-30.log</v>
      </c>
      <c r="BR5" s="83" t="s">
        <v>41</v>
      </c>
    </row>
    <row r="6" spans="13:121">
      <c r="BA6" s="80" t="s">
        <v>56</v>
      </c>
      <c r="BB6" s="81" t="s">
        <v>57</v>
      </c>
      <c r="BR6" s="84" t="s">
        <v>50</v>
      </c>
    </row>
    <row r="7" spans="13:121">
      <c r="BA7" s="80" t="s">
        <v>54</v>
      </c>
      <c r="BB7" s="81" t="str">
        <f>"12:00:00"</f>
        <v>12:00:00</v>
      </c>
      <c r="BR7" s="91" t="s">
        <v>58</v>
      </c>
      <c r="DO7" s="22"/>
      <c r="DQ7" s="6"/>
    </row>
    <row r="8" spans="13:121">
      <c r="BA8" s="80" t="s">
        <v>64</v>
      </c>
      <c r="BB8" s="82">
        <v>41661.107037037036</v>
      </c>
    </row>
    <row r="9" spans="13:121">
      <c r="BA9" s="102" t="s">
        <v>63</v>
      </c>
      <c r="BB9" s="101">
        <v>7</v>
      </c>
    </row>
    <row r="10" spans="13:121">
      <c r="BB10" s="53" t="s">
        <v>65</v>
      </c>
    </row>
    <row r="12" spans="13:121">
      <c r="BA12" s="80" t="s">
        <v>59</v>
      </c>
      <c r="BB12" s="94">
        <v>42182.5</v>
      </c>
    </row>
    <row r="13" spans="13:121">
      <c r="BA13" s="80" t="s">
        <v>60</v>
      </c>
      <c r="BB13" s="94">
        <v>42182.516342592593</v>
      </c>
    </row>
    <row r="18" spans="2:138">
      <c r="G18" s="52" t="s">
        <v>42</v>
      </c>
      <c r="J18" t="s">
        <v>187</v>
      </c>
      <c r="K18" s="13" t="s">
        <v>18</v>
      </c>
      <c r="L18" t="s">
        <v>199</v>
      </c>
      <c r="M18" t="s">
        <v>188</v>
      </c>
      <c r="N18" s="13" t="s">
        <v>19</v>
      </c>
      <c r="O18" s="13" t="s">
        <v>20</v>
      </c>
      <c r="P18" t="s">
        <v>201</v>
      </c>
      <c r="Q18" t="s">
        <v>189</v>
      </c>
      <c r="R18" s="2" t="s">
        <v>21</v>
      </c>
      <c r="S18" s="52" t="s">
        <v>22</v>
      </c>
      <c r="T18" s="13" t="s">
        <v>23</v>
      </c>
      <c r="U18" s="2" t="s">
        <v>24</v>
      </c>
      <c r="V18" s="13" t="s">
        <v>25</v>
      </c>
      <c r="W18" s="13" t="s">
        <v>26</v>
      </c>
      <c r="X18" s="13" t="s">
        <v>27</v>
      </c>
      <c r="Y18" s="2" t="s">
        <v>28</v>
      </c>
      <c r="Z18" s="13" t="s">
        <v>29</v>
      </c>
      <c r="AA18" s="13" t="s">
        <v>30</v>
      </c>
      <c r="AB18" s="2" t="s">
        <v>31</v>
      </c>
      <c r="AC18" s="2" t="s">
        <v>32</v>
      </c>
      <c r="AD18" s="2" t="s">
        <v>33</v>
      </c>
      <c r="AE18" s="2" t="s">
        <v>34</v>
      </c>
      <c r="AI18" s="13"/>
      <c r="AJ18" s="13"/>
      <c r="AK18" s="13"/>
      <c r="AL18" s="13"/>
      <c r="AM18" s="13"/>
      <c r="AN18" s="13"/>
      <c r="AP18" s="13"/>
      <c r="AQ18" s="13"/>
    </row>
    <row r="19" spans="2:138">
      <c r="G19" s="52"/>
    </row>
    <row r="20" spans="2:138">
      <c r="G20" s="52" t="s">
        <v>41</v>
      </c>
      <c r="J20" s="2" t="str">
        <f>[1]!YBHIST(J18&amp;"(IOX)",CurrentCloseDate,"Price","sec","")</f>
        <v>E</v>
      </c>
      <c r="K20" s="2" t="str">
        <f>[1]!YBHIST(K18&amp;"(IOX)",CurrentCloseDate,"Price","sec","")</f>
        <v>E</v>
      </c>
      <c r="L20" s="2" t="str">
        <f>[1]!YBHIST(L18&amp;"(IOX)",CurrentCloseDate,"Price","sec","")</f>
        <v>E</v>
      </c>
      <c r="M20" s="2" t="str">
        <f>[1]!YBHIST(M18&amp;"(IOX)",CurrentCloseDate,"Price","sec","")</f>
        <v>E</v>
      </c>
      <c r="N20" s="2" t="str">
        <f>[1]!YBHIST(N18&amp;"(IOX)",CurrentCloseDate,"Price","sec","")</f>
        <v>E</v>
      </c>
      <c r="O20" s="2" t="str">
        <f>[1]!YBHIST(O18&amp;"(IOX)",CurrentCloseDate,"Price","sec","")</f>
        <v>E</v>
      </c>
      <c r="P20" s="2" t="str">
        <f>[1]!YBHIST(P18&amp;"(IOX)",CurrentCloseDate,"Price","sec","")</f>
        <v>E</v>
      </c>
      <c r="Q20" s="2" t="str">
        <f>[1]!YBHIST(Q18&amp;"(IOX)",CurrentCloseDate,"Price","sec","")</f>
        <v>E</v>
      </c>
      <c r="R20" s="2" t="str">
        <f>[1]!YBHIST(R18&amp;"(IOX)",CurrentCloseDate,"Price","sec","")</f>
        <v>E</v>
      </c>
      <c r="S20" s="2">
        <f>[1]!YBHIST(S18&amp;"(IOX)",CurrentCloseDate,"Price","sec","")</f>
        <v>22.546880999999999</v>
      </c>
      <c r="T20" s="2" t="str">
        <f>[1]!YBHIST(T18&amp;"(IOX)",CurrentCloseDate,"Price","sec","")</f>
        <v>E</v>
      </c>
      <c r="U20" s="2" t="str">
        <f>[1]!YBHIST(U18&amp;"(IOX)",CurrentCloseDate,"Price","sec","")</f>
        <v>E</v>
      </c>
      <c r="V20" s="2" t="str">
        <f>[1]!YBHIST(V18&amp;"(IOX)",CurrentCloseDate,"Price","sec","")</f>
        <v>E</v>
      </c>
      <c r="W20" s="2" t="str">
        <f>[1]!YBHIST(W18&amp;"(IOX)",CurrentCloseDate,"Price","sec","")</f>
        <v>E</v>
      </c>
      <c r="X20" s="2" t="str">
        <f>[1]!YBHIST(X18&amp;"(IOX)",CurrentCloseDate,"Price","sec","")</f>
        <v>E</v>
      </c>
      <c r="Y20" s="2" t="str">
        <f>[1]!YBHIST(Y18&amp;"(IOX)",CurrentCloseDate,"Price","sec","")</f>
        <v>E</v>
      </c>
      <c r="Z20" s="2" t="str">
        <f>[1]!YBHIST(Z18&amp;"(IOX)",CurrentCloseDate,"Price","sec","")</f>
        <v>E</v>
      </c>
      <c r="AA20" s="2" t="str">
        <f>[1]!YBHIST(AA18&amp;"(IOX)",CurrentCloseDate,"Price","sec","")</f>
        <v>E</v>
      </c>
      <c r="AB20" s="2" t="str">
        <f>[1]!YBHIST(AB18&amp;"(IOX)",CurrentCloseDate,"Price","sec","")</f>
        <v>E</v>
      </c>
      <c r="AC20" s="2" t="str">
        <f>[1]!YBHIST(AC18&amp;"(IOX)",CurrentCloseDate,"Price","sec","")</f>
        <v>E</v>
      </c>
      <c r="AD20" s="2" t="str">
        <f>[1]!YBHIST(AD18&amp;"(IOX)",CurrentCloseDate,"Price","sec","")</f>
        <v>E</v>
      </c>
      <c r="AE20" s="2" t="str">
        <f>[1]!YBHIST(AE18&amp;"(IOX)",CurrentCloseDate,"Price","sec","")</f>
        <v>E</v>
      </c>
    </row>
    <row r="21" spans="2:138">
      <c r="G21" s="13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</row>
    <row r="22" spans="2:138">
      <c r="G22" s="13"/>
    </row>
    <row r="23" spans="2:138" ht="15">
      <c r="H23" s="66"/>
      <c r="I23" s="93">
        <f>CurrentCloseDate</f>
        <v>42185</v>
      </c>
      <c r="J23" s="343" t="s">
        <v>61</v>
      </c>
      <c r="K23" s="344"/>
      <c r="L23" s="344"/>
      <c r="M23" s="344"/>
      <c r="N23" s="344"/>
      <c r="O23" s="344"/>
      <c r="P23" s="344"/>
      <c r="Q23" s="344"/>
      <c r="R23" s="344"/>
      <c r="S23" s="344"/>
      <c r="T23" s="344"/>
      <c r="U23" s="344"/>
      <c r="V23" s="344"/>
      <c r="W23" s="344"/>
      <c r="X23" s="344"/>
      <c r="Y23" s="344"/>
      <c r="Z23" s="344"/>
      <c r="AA23" s="344"/>
      <c r="AB23" s="344"/>
      <c r="AC23" s="344"/>
      <c r="AD23" s="344"/>
      <c r="AE23" s="345"/>
      <c r="AH23" s="340" t="s">
        <v>141</v>
      </c>
      <c r="AI23" s="341"/>
      <c r="AJ23" s="341"/>
      <c r="AK23" s="341"/>
      <c r="AL23" s="342"/>
      <c r="AM23" s="340" t="s">
        <v>151</v>
      </c>
      <c r="AN23" s="341"/>
      <c r="AO23" s="341"/>
      <c r="AP23" s="342"/>
      <c r="AW23" s="60"/>
      <c r="AX23" s="60"/>
      <c r="AY23" s="353"/>
      <c r="AZ23" s="353"/>
      <c r="BA23" s="353"/>
      <c r="BB23" s="353"/>
      <c r="BC23" s="359"/>
      <c r="BD23" s="359"/>
      <c r="BE23" s="359"/>
      <c r="BF23" s="359"/>
      <c r="BG23" s="353"/>
      <c r="BH23" s="353"/>
      <c r="BI23" s="353"/>
      <c r="BJ23" s="353"/>
      <c r="BK23" s="353"/>
      <c r="BL23" s="353"/>
      <c r="BM23" s="353"/>
      <c r="BN23" s="353"/>
      <c r="BO23" s="353"/>
      <c r="BP23" s="353"/>
      <c r="BQ23" s="353"/>
      <c r="BR23" s="353"/>
      <c r="BS23" s="353"/>
      <c r="BT23" s="353"/>
      <c r="BU23" s="353"/>
      <c r="BV23" s="353"/>
      <c r="BW23" s="353"/>
      <c r="BX23" s="353"/>
      <c r="BY23" s="353"/>
      <c r="BZ23" s="353"/>
      <c r="CA23" s="353"/>
      <c r="CB23" s="353"/>
      <c r="CC23" s="353"/>
      <c r="CD23" s="353"/>
      <c r="CE23" s="353"/>
      <c r="CF23" s="353"/>
      <c r="CG23" s="353"/>
      <c r="CH23" s="353"/>
      <c r="CI23" s="353"/>
      <c r="CJ23" s="353"/>
      <c r="CK23" s="353"/>
      <c r="CL23" s="353"/>
      <c r="CM23" s="353"/>
      <c r="CN23" s="353"/>
      <c r="CO23" s="353"/>
      <c r="CP23" s="353"/>
      <c r="CQ23" s="353"/>
      <c r="CR23" s="353"/>
      <c r="CS23" s="353"/>
      <c r="CT23" s="353"/>
      <c r="CU23" s="353"/>
      <c r="CV23" s="353"/>
      <c r="CW23" s="353"/>
      <c r="CX23" s="353"/>
      <c r="CY23" s="353"/>
      <c r="CZ23" s="353"/>
      <c r="DA23" s="353"/>
      <c r="DB23" s="353"/>
      <c r="DC23" s="353"/>
      <c r="DD23" s="353"/>
      <c r="DE23" s="353"/>
      <c r="DF23" s="353"/>
      <c r="DG23" s="353"/>
      <c r="DH23" s="353"/>
      <c r="DI23" s="353"/>
      <c r="DJ23" s="353"/>
      <c r="DK23" s="353"/>
      <c r="DL23" s="353"/>
      <c r="DM23" s="353"/>
      <c r="DN23" s="353"/>
      <c r="DO23" s="60"/>
      <c r="DP23" s="60"/>
      <c r="DQ23" s="60"/>
    </row>
    <row r="24" spans="2:138" s="6" customFormat="1" ht="45">
      <c r="F24" s="55" t="s">
        <v>35</v>
      </c>
      <c r="G24" s="73" t="s">
        <v>36</v>
      </c>
      <c r="H24" s="67"/>
      <c r="I24" s="69" t="s">
        <v>42</v>
      </c>
      <c r="J24" s="243" t="s">
        <v>190</v>
      </c>
      <c r="K24" s="243" t="s">
        <v>1</v>
      </c>
      <c r="L24" s="307" t="s">
        <v>200</v>
      </c>
      <c r="M24" s="309" t="s">
        <v>191</v>
      </c>
      <c r="N24" s="243" t="s">
        <v>2</v>
      </c>
      <c r="O24" s="242" t="s">
        <v>5</v>
      </c>
      <c r="P24" s="309" t="s">
        <v>202</v>
      </c>
      <c r="Q24" s="57" t="s">
        <v>192</v>
      </c>
      <c r="R24" s="57" t="s">
        <v>3</v>
      </c>
      <c r="S24" s="57" t="s">
        <v>6</v>
      </c>
      <c r="T24" s="57" t="s">
        <v>9</v>
      </c>
      <c r="U24" s="241" t="s">
        <v>4</v>
      </c>
      <c r="V24" s="243" t="s">
        <v>7</v>
      </c>
      <c r="W24" s="242" t="s">
        <v>10</v>
      </c>
      <c r="X24" s="57" t="s">
        <v>8</v>
      </c>
      <c r="Y24" s="57" t="s">
        <v>11</v>
      </c>
      <c r="Z24" s="73" t="s">
        <v>12</v>
      </c>
      <c r="AA24" s="73" t="s">
        <v>13</v>
      </c>
      <c r="AB24" s="57" t="s">
        <v>14</v>
      </c>
      <c r="AC24" s="55" t="s">
        <v>15</v>
      </c>
      <c r="AD24" s="57" t="s">
        <v>16</v>
      </c>
      <c r="AE24" s="56" t="s">
        <v>17</v>
      </c>
      <c r="AH24" s="194"/>
      <c r="AI24" s="195" t="s">
        <v>142</v>
      </c>
      <c r="AJ24" s="196" t="s">
        <v>143</v>
      </c>
      <c r="AK24" s="195" t="s">
        <v>144</v>
      </c>
      <c r="AL24" s="207" t="s">
        <v>153</v>
      </c>
      <c r="AM24" s="198" t="s">
        <v>152</v>
      </c>
      <c r="AN24" s="206" t="s">
        <v>153</v>
      </c>
      <c r="AO24" s="195" t="s">
        <v>144</v>
      </c>
      <c r="AP24" s="207" t="s">
        <v>153</v>
      </c>
      <c r="AV24" s="23"/>
      <c r="AW24" s="63"/>
      <c r="AX24" s="63"/>
      <c r="AY24" s="352"/>
      <c r="AZ24" s="352"/>
      <c r="BA24" s="352"/>
      <c r="BB24" s="352"/>
      <c r="BC24" s="352"/>
      <c r="BD24" s="352"/>
      <c r="BE24" s="352"/>
      <c r="BF24" s="352"/>
      <c r="BG24" s="352"/>
      <c r="BH24" s="352"/>
      <c r="BI24" s="352"/>
      <c r="BJ24" s="352"/>
      <c r="BK24" s="352"/>
      <c r="BL24" s="352"/>
      <c r="BM24" s="352"/>
      <c r="BN24" s="352"/>
      <c r="BO24" s="352"/>
      <c r="BP24" s="352"/>
      <c r="BQ24" s="352"/>
      <c r="BR24" s="352"/>
      <c r="BS24" s="352"/>
      <c r="BT24" s="352"/>
      <c r="BU24" s="352"/>
      <c r="BV24" s="352"/>
      <c r="BW24" s="352"/>
      <c r="BX24" s="352"/>
      <c r="BY24" s="352"/>
      <c r="BZ24" s="352"/>
      <c r="CA24" s="352"/>
      <c r="CB24" s="352"/>
      <c r="CC24" s="352"/>
      <c r="CD24" s="352"/>
      <c r="CE24" s="352"/>
      <c r="CF24" s="352"/>
      <c r="CG24" s="352"/>
      <c r="CH24" s="352"/>
      <c r="CI24" s="352"/>
      <c r="CJ24" s="352"/>
      <c r="CK24" s="352"/>
      <c r="CL24" s="352"/>
      <c r="CM24" s="352"/>
      <c r="CN24" s="352"/>
      <c r="CO24" s="352"/>
      <c r="CP24" s="352"/>
      <c r="CQ24" s="352"/>
      <c r="CR24" s="352"/>
      <c r="CS24" s="352"/>
      <c r="CT24" s="352"/>
      <c r="CU24" s="352"/>
      <c r="CV24" s="352"/>
      <c r="CW24" s="352"/>
      <c r="CX24" s="352"/>
      <c r="CY24" s="352"/>
      <c r="CZ24" s="352"/>
      <c r="DA24" s="352"/>
      <c r="DB24" s="352"/>
      <c r="DC24" s="352"/>
      <c r="DD24" s="352"/>
      <c r="DE24" s="352"/>
      <c r="DF24" s="352"/>
      <c r="DG24" s="352"/>
      <c r="DH24" s="352"/>
      <c r="DI24" s="352"/>
      <c r="DJ24" s="352"/>
      <c r="DK24" s="352"/>
      <c r="DL24" s="352"/>
      <c r="DM24" s="352"/>
      <c r="DN24" s="352"/>
      <c r="DO24" s="63"/>
      <c r="DP24" s="63"/>
      <c r="DQ24" s="63"/>
    </row>
    <row r="25" spans="2:138" ht="15" customHeight="1">
      <c r="B25" s="7"/>
      <c r="C25" s="8"/>
      <c r="D25" s="8"/>
      <c r="E25" s="8"/>
      <c r="F25" s="74" t="s">
        <v>35</v>
      </c>
      <c r="G25" s="75">
        <v>100</v>
      </c>
      <c r="H25" s="68"/>
      <c r="I25" s="71" t="s">
        <v>41</v>
      </c>
      <c r="J25" s="47" t="str">
        <f>[1]!YBTICK(J20,"T","+",)</f>
        <v>E</v>
      </c>
      <c r="K25" s="78" t="str">
        <f>[1]!YBTICK(K20,"T","+",)</f>
        <v>E</v>
      </c>
      <c r="L25" s="268" t="str">
        <f>[1]!YBTICK(L20,"T","+",)</f>
        <v>E</v>
      </c>
      <c r="M25" s="76" t="str">
        <f>[1]!YBTICK(M20,"T","+",)</f>
        <v>E</v>
      </c>
      <c r="N25" s="246" t="str">
        <f>[1]!YBTICK(N20,"T","+",)</f>
        <v>E</v>
      </c>
      <c r="O25" s="77" t="str">
        <f>[1]!YBTICK(O20,"T","+",)</f>
        <v>E</v>
      </c>
      <c r="P25" s="260" t="str">
        <f>[1]!YBTICK(P20,"T","+",)</f>
        <v>E</v>
      </c>
      <c r="Q25" s="260" t="str">
        <f>[1]!YBTICK(Q20,"T","+",)</f>
        <v>E</v>
      </c>
      <c r="R25" s="76" t="str">
        <f>[1]!YBTICK(R20,"T","+",)</f>
        <v>E</v>
      </c>
      <c r="S25" s="76" t="str">
        <f>[1]!YBTICK(S20,"T","+",)</f>
        <v>22-17+</v>
      </c>
      <c r="T25" s="78" t="str">
        <f>[1]!YBTICK(T20,"T","+",)</f>
        <v>E</v>
      </c>
      <c r="U25" s="79" t="str">
        <f>[1]!YBTICK(U20,"T","+",)</f>
        <v>E</v>
      </c>
      <c r="V25" s="76" t="str">
        <f>[1]!YBTICK(V20,"T","+",)</f>
        <v>E</v>
      </c>
      <c r="W25" s="77" t="str">
        <f>[1]!YBTICK(W20,"T","+",)</f>
        <v>E</v>
      </c>
      <c r="X25" s="260" t="str">
        <f>[1]!YBTICK(X20,"T","+",)</f>
        <v>E</v>
      </c>
      <c r="Y25" s="78" t="str">
        <f>[1]!YBTICK(Y20,"T","+",)</f>
        <v>E</v>
      </c>
      <c r="Z25" s="273" t="str">
        <f>[1]!YBTICK(Z20,"T","+",)</f>
        <v>E</v>
      </c>
      <c r="AA25" s="273" t="str">
        <f>[1]!YBTICK(AA20,"T","+",)</f>
        <v>E</v>
      </c>
      <c r="AB25" s="264" t="str">
        <f>[1]!YBTICK(AB20,"T","+",)</f>
        <v>E</v>
      </c>
      <c r="AC25" s="79" t="str">
        <f>[1]!YBTICK(AC20,"T","+",)</f>
        <v>E</v>
      </c>
      <c r="AD25" s="76" t="str">
        <f>[1]!YBTICK(AD20,"T","+",)</f>
        <v>E</v>
      </c>
      <c r="AE25" s="77" t="str">
        <f>[1]!YBTICK(AE20,"T","+",)</f>
        <v>E</v>
      </c>
      <c r="AH25" s="185" t="s">
        <v>145</v>
      </c>
      <c r="AI25" s="186" t="str">
        <f>IF([1]!YBHIST($AH25,CurrentCloseDate,"Price","sec","")="NA",[1]!YBTICKCONVERT([1]!YBHIST("1 Year Treasury",CurrentCloseDate,"Price","govt",""),"TOTICK","+"),[1]!YBTICKCONVERT([1]!YBHIST($AH25,CurrentCloseDate,"Price","sec",""),"TOTICK","+"))</f>
        <v>E</v>
      </c>
      <c r="AJ25" s="187" t="str">
        <f>IF([1]!YBHIST($AH25,PrevCloseDate,"Price","sec","") = "NA",  [1]!YBTICKCONVERT([1]!YBHIST($AH25,PrevCloseDate,"Price","sec","")-[1]!YBHIST("1 Year Treasury",PrevCloseDate,"Price","govt",""),"TOTICK","+"), [1]!YBTICKCONVERT([1]!YBHIST($AH25,CurrentCloseDate,"Price","sec","")-[1]!YBHIST($AH25,PrevCloseDate,"Price","sec",""),"TOTICK","+"))</f>
        <v>Error</v>
      </c>
      <c r="AK25" s="188" t="str">
        <f>IF([1]!YBHIST($AH25,CurrentCloseDate,"Yield","sec","")="NA",[1]!YBHIST("1 Year Treasury",CurrentCloseDate,"Yield","govt",""), [1]!YBHIST($AH25,CurrentCloseDate,"Yield","sec",""))</f>
        <v>E</v>
      </c>
      <c r="AL25" s="189" t="e">
        <f>100*(AK25-IF([1]!YBHIST($AH25,PrevCloseDate,"yield","sec","")="NA",[1]!YBHIST("1 Year Treasury",PrevCloseDate,"yield","govt",""),[1]!YBHIST($AH25,PrevCloseDate,"yield","sec","")))</f>
        <v>#VALUE!</v>
      </c>
      <c r="AM25" s="200" t="e">
        <f>(AO25-AK25)*100</f>
        <v>#VALUE!</v>
      </c>
      <c r="AN25" s="199" t="e">
        <f>AP25-AL25</f>
        <v>#VALUE!</v>
      </c>
      <c r="AO25" s="171" t="str">
        <f>[1]!YBCURVE("USD",CurrentCloseDate,"Swap",1,"ParRate")</f>
        <v>E</v>
      </c>
      <c r="AP25" s="202" t="e">
        <f>100*([1]!YBCURVE("USD",CurrentCloseDate,"Swap",1,"ParRate")-[1]!YBCURVE("USD",PrevCloseDate,"Swap",1,"ParRate"))</f>
        <v>#VALUE!</v>
      </c>
      <c r="AW25" s="60"/>
      <c r="AX25" s="60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0"/>
      <c r="DN25" s="60"/>
      <c r="DO25" s="60"/>
      <c r="DP25" s="60"/>
      <c r="DQ25" s="60"/>
    </row>
    <row r="26" spans="2:138" ht="15.75" customHeight="1">
      <c r="G26" s="13"/>
      <c r="H26" s="68"/>
      <c r="I26" s="72" t="s">
        <v>51</v>
      </c>
      <c r="J26" s="70" t="str">
        <f>[1]!YBPRICE(J$18&amp;"(IOX)",J$20&amp;"d","Market","Yield","Swap",CurrentCloseDate,"LMMSkew","",$F25,$G25,"")</f>
        <v>E</v>
      </c>
      <c r="K26" s="41" t="str">
        <f>[1]!YBPRICE(K$18&amp;"(IOX)",K$20&amp;"d","Market","Yield","Swap",CurrentCloseDate,"LMMSkew","",$F25,$G25,"")</f>
        <v>E</v>
      </c>
      <c r="L26" s="269" t="str">
        <f>[1]!YBPRICE(L$18&amp;"(IOX)",L$20&amp;"d","Market","Yield","Swap",CurrentCloseDate,"LMMSkew","",$F25,$G25,"")</f>
        <v>E</v>
      </c>
      <c r="M26" s="40" t="str">
        <f>[1]!YBPRICE(M$18&amp;"(IOX)",M$20&amp;"d","Market","Yield","Swap",CurrentCloseDate,"LMMSkew","",$F25,$G25,"")</f>
        <v>E</v>
      </c>
      <c r="N26" s="247" t="str">
        <f>[1]!YBPRICE(N$18&amp;"(IOX)",N$20&amp;"d","Market","Yield","Swap",CurrentCloseDate,"LMMSkew","",$F25,$G25,"")</f>
        <v>E</v>
      </c>
      <c r="O26" s="42" t="str">
        <f>[1]!YBPRICE(O$18&amp;"(IOX)",O$20&amp;"d","Market","Yield","Swap",CurrentCloseDate,"LMMSkew","",$F25,$G25,"")</f>
        <v>E</v>
      </c>
      <c r="P26" s="253" t="str">
        <f>[1]!YBPRICE(P$18&amp;"(IOX)",P$20&amp;"d","Market","Yield","Swap",CurrentCloseDate,"LMMSkew","",$F25,$G25,"")</f>
        <v>E</v>
      </c>
      <c r="Q26" s="253" t="str">
        <f>[1]!YBPRICE(Q$18&amp;"(IOX)",Q$20&amp;"d","Market","Yield","Swap",CurrentCloseDate,"LMMSkew","",$F25,$G25,"")</f>
        <v>E</v>
      </c>
      <c r="R26" s="40" t="str">
        <f>[1]!YBPRICE(R$18&amp;"(IOX)",R$20&amp;"d","Market","Yield","Swap",CurrentCloseDate,"LMMSkew","",$F25,$G25,"")</f>
        <v>E</v>
      </c>
      <c r="S26" s="40">
        <f>[1]!YBPRICE(S$18&amp;"(IOX)",S$20&amp;"d","Market","Yield","Swap",CurrentCloseDate,"LMMSkew","",$F25,$G25,"")</f>
        <v>0.92283000000000004</v>
      </c>
      <c r="T26" s="41" t="str">
        <f>[1]!YBPRICE(T$18&amp;"(IOX)",T$20&amp;"d","Market","Yield","Swap",CurrentCloseDate,"LMMSkew","",$F25,$G25,"")</f>
        <v>E</v>
      </c>
      <c r="U26" s="39" t="str">
        <f>[1]!YBPRICE(U$18&amp;"(IOX)",U$20&amp;"d","Market","Yield","Swap",CurrentCloseDate,"LMMSkew","",$F25,$G25,"")</f>
        <v>E</v>
      </c>
      <c r="V26" s="40" t="str">
        <f>[1]!YBPRICE(V$18&amp;"(IOX)",V$20&amp;"d","Market","Yield","Swap",CurrentCloseDate,"LMMSkew","",$F25,$G25,"")</f>
        <v>E</v>
      </c>
      <c r="W26" s="42" t="str">
        <f>[1]!YBPRICE(W$18&amp;"(IOX)",W$20&amp;"d","Market","Yield","Swap",CurrentCloseDate,"LMMSkew","",$F25,$G25,"")</f>
        <v>E</v>
      </c>
      <c r="X26" s="253" t="str">
        <f>[1]!YBPRICE(X$18&amp;"(IOX)",X$20&amp;"d","Market","Yield","Swap",CurrentCloseDate,"LMMSkew","",$F25,$G25,"")</f>
        <v>E</v>
      </c>
      <c r="Y26" s="41" t="str">
        <f>[1]!YBPRICE(Y$18&amp;"(IOX)",Y$20&amp;"d","Market","Yield","Swap",CurrentCloseDate,"LMMSkew","",$F25,$G25,"")</f>
        <v>E</v>
      </c>
      <c r="Z26" s="259" t="str">
        <f>[1]!YBPRICE(Z$18&amp;"(IOX)",Z$20&amp;"d","Market","Yield","Swap",CurrentCloseDate,"LMMSkew","",$F25,$G25,"")</f>
        <v>E</v>
      </c>
      <c r="AA26" s="259" t="str">
        <f>[1]!YBPRICE(AA$18&amp;"(IOX)",AA$20&amp;"d","Market","Yield","Swap",CurrentCloseDate,"LMMSkew","",$F25,$G25,"")</f>
        <v>E</v>
      </c>
      <c r="AB26" s="256" t="str">
        <f>[1]!YBPRICE(AB$18&amp;"(IOX)",AB$20&amp;"d","Market","Yield","Swap",CurrentCloseDate,"LMMSkew","",$F25,$G25,"")</f>
        <v>E</v>
      </c>
      <c r="AC26" s="39" t="str">
        <f>[1]!YBPRICE(AC$18&amp;"(IOX)",AC$20&amp;"d","Market","Yield","Swap",CurrentCloseDate,"LMMSkew","",$F25,$G25,"")</f>
        <v>E</v>
      </c>
      <c r="AD26" s="40" t="str">
        <f>[1]!YBPRICE(AD$18&amp;"(IOX)",AD$20&amp;"d","Market","Yield","Swap",CurrentCloseDate,"LMMSkew","",$F25,$G25,"")</f>
        <v>E</v>
      </c>
      <c r="AE26" s="42" t="str">
        <f>[1]!YBPRICE(AE$18&amp;"(IOX)",AE$20&amp;"d","Market","Yield","Swap",CurrentCloseDate,"LMMSkew","",$F25,$G25,"")</f>
        <v>E</v>
      </c>
      <c r="AH26" s="185" t="s">
        <v>146</v>
      </c>
      <c r="AI26" s="186" t="str">
        <f>IF([1]!YBHIST($AH26,CurrentCloseDate,"Price","sec","")="NA",[1]!YBTICKCONVERT([1]!YBHIST("2 Year Treasury",CurrentCloseDate,"Price","govt",""),"TOTICK","+"),[1]!YBTICKCONVERT([1]!YBHIST($AH26,CurrentCloseDate,"Price","sec",""),"TOTICK","+"))</f>
        <v>E</v>
      </c>
      <c r="AJ26" s="187" t="str">
        <f>IF([1]!YBHIST($AH26,PrevCloseDate,"Price","sec","") = "NA",  [1]!YBTICKCONVERT([1]!YBHIST($AH26,PrevCloseDate,"Price","sec","")-[1]!YBHIST("2 Year Treasury",PrevCloseDate,"Price","govt",""),"TOTICK","+"), [1]!YBTICKCONVERT([1]!YBHIST($AH26,CurrentCloseDate,"Price","sec","")-[1]!YBHIST($AH26,PrevCloseDate,"Price","sec",""),"TOTICK","+"))</f>
        <v>Error</v>
      </c>
      <c r="AK26" s="188" t="str">
        <f>IF([1]!YBHIST($AH26,CurrentCloseDate,"Yield","sec","")="NA",[1]!YBHIST("2 Year Treasury",CurrentCloseDate,"Yield","govt",""), [1]!YBHIST($AH26,CurrentCloseDate,"Yield","sec",""))</f>
        <v>E</v>
      </c>
      <c r="AL26" s="189" t="e">
        <f>100*(AK26-IF([1]!YBHIST($AH26,PrevCloseDate,"yield","sec","")="NA",[1]!YBHIST("2 Year Treasury",PrevCloseDate,"yield","govt",""),[1]!YBHIST($AH26,PrevCloseDate,"yield","sec","")))</f>
        <v>#VALUE!</v>
      </c>
      <c r="AM26" s="200" t="e">
        <f t="shared" ref="AM26:AM29" si="0">(AO26-AK26)*100</f>
        <v>#VALUE!</v>
      </c>
      <c r="AN26" s="199" t="e">
        <f t="shared" ref="AN26:AN29" si="1">AP26-AL26</f>
        <v>#VALUE!</v>
      </c>
      <c r="AO26" s="173" t="str">
        <f>[1]!YBCURVE("USD",CurrentCloseDate,"Swap",2,"ParRate")</f>
        <v>E</v>
      </c>
      <c r="AP26" s="202" t="e">
        <f>100*([1]!YBCURVE("USD",CurrentCloseDate,"Swap",2,"ParRate")-[1]!YBCURVE("USD",PrevCloseDate,"Swap",2,"ParRate"))</f>
        <v>#VALUE!</v>
      </c>
    </row>
    <row r="27" spans="2:138" ht="15" customHeight="1">
      <c r="G27" s="13"/>
      <c r="H27" s="354" t="s">
        <v>165</v>
      </c>
      <c r="I27" s="121" t="s">
        <v>166</v>
      </c>
      <c r="J27" s="218" t="str">
        <f>[1]!YBPRICE(J18&amp;"(IOX)",0&amp;"y","Market","OneMonthCPR","Swap",CurrentCloseDate,"Default","","Model",100,"")</f>
        <v>E</v>
      </c>
      <c r="K27" s="220" t="str">
        <f>[1]!YBPRICE(K18&amp;"(IOX)",0&amp;"y","Market","OneMonthCPR","Swap",CurrentCloseDate,"Default","","Model",100,"")</f>
        <v>E</v>
      </c>
      <c r="L27" s="270" t="str">
        <f>[1]!YBPRICE(L18&amp;"(IOX)",0&amp;"y","Market","OneMonthCPR","Swap",CurrentCloseDate,"Default","","Model",100,"")</f>
        <v>E</v>
      </c>
      <c r="M27" s="219" t="str">
        <f>[1]!YBPRICE(M18&amp;"(IOX)",0&amp;"y","Market","OneMonthCPR","Swap",CurrentCloseDate,"Default","","Model",100,"")</f>
        <v>E</v>
      </c>
      <c r="N27" s="248" t="str">
        <f>[1]!YBPRICE(N18&amp;"(IOX)",0&amp;"y","Market","OneMonthCPR","Swap",CurrentCloseDate,"Default","","Model",100,"")</f>
        <v>E</v>
      </c>
      <c r="O27" s="221" t="str">
        <f>[1]!YBPRICE(O18&amp;"(IOX)",0&amp;"y","Market","OneMonthCPR","Swap",CurrentCloseDate,"Default","","Model",100,"")</f>
        <v>E</v>
      </c>
      <c r="P27" s="261" t="str">
        <f>[1]!YBPRICE(P18&amp;"(IOX)",0&amp;"y","Market","OneMonthCPR","Swap",CurrentCloseDate,"Default","","Model",100,"")</f>
        <v>E</v>
      </c>
      <c r="Q27" s="261" t="str">
        <f>[1]!YBPRICE(Q18&amp;"(IOX)",0&amp;"y","Market","OneMonthCPR","Swap",CurrentCloseDate,"Default","","Model",100,"")</f>
        <v>E</v>
      </c>
      <c r="R27" s="219" t="str">
        <f>[1]!YBPRICE(R18&amp;"(IOX)",0&amp;"y","Market","OneMonthCPR","Swap",CurrentCloseDate,"Default","","Model",100,"")</f>
        <v>E</v>
      </c>
      <c r="S27" s="219">
        <f>[1]!YBPRICE(S18&amp;"(IOX)",0&amp;"y","Market","OneMonthCPR","Swap",CurrentCloseDate,"Default","","Model",100,"")</f>
        <v>14.638</v>
      </c>
      <c r="T27" s="220" t="str">
        <f>[1]!YBPRICE(T18&amp;"(IOX)",0&amp;"y","Market","OneMonthCPR","Swap",CurrentCloseDate,"Default","","Model",100,"")</f>
        <v>E</v>
      </c>
      <c r="U27" s="218" t="str">
        <f>[1]!YBPRICE(U18&amp;"(IOX)",0&amp;"y","Market","OneMonthCPR","Swap",CurrentCloseDate,"Default","","Model",100,"")</f>
        <v>E</v>
      </c>
      <c r="V27" s="219" t="str">
        <f>[1]!YBPRICE(V18&amp;"(IOX)",0&amp;"y","Market","OneMonthCPR","Swap",CurrentCloseDate,"Default","","Model",100,"")</f>
        <v>E</v>
      </c>
      <c r="W27" s="221" t="str">
        <f>[1]!YBPRICE(W18&amp;"(IOX)",0&amp;"y","Market","OneMonthCPR","Swap",CurrentCloseDate,"Default","","Model",100,"")</f>
        <v>E</v>
      </c>
      <c r="X27" s="261" t="str">
        <f>[1]!YBPRICE(X18&amp;"(IOX)",0&amp;"y","Market","OneMonthCPR","Swap",CurrentCloseDate,"Default","","Model",100,"")</f>
        <v>E</v>
      </c>
      <c r="Y27" s="220" t="str">
        <f>[1]!YBPRICE(Y18&amp;"(IOX)",0&amp;"y","Market","OneMonthCPR","Swap",CurrentCloseDate,"Default","","Model",100,"")</f>
        <v>E</v>
      </c>
      <c r="Z27" s="274" t="str">
        <f>[1]!YBPRICE(Z18&amp;"(IOX)",0&amp;"y","Market","OneMonthCPR","Swap",CurrentCloseDate,"Default","","Model",100,"")</f>
        <v>E</v>
      </c>
      <c r="AA27" s="274" t="str">
        <f>[1]!YBPRICE(AA18&amp;"(IOX)",0&amp;"y","Market","OneMonthCPR","Swap",CurrentCloseDate,"Default","","Model",100,"")</f>
        <v>E</v>
      </c>
      <c r="AB27" s="265" t="str">
        <f>[1]!YBPRICE(AB18&amp;"(IOX)",0&amp;"y","Market","OneMonthCPR","Swap",CurrentCloseDate,"Default","","Model",100,"")</f>
        <v>E</v>
      </c>
      <c r="AC27" s="218" t="str">
        <f>[1]!YBPRICE(AC18&amp;"(IOX)",0&amp;"y","Market","OneMonthCPR","Swap",CurrentCloseDate,"Default","","Model",100,"")</f>
        <v>E</v>
      </c>
      <c r="AD27" s="219" t="str">
        <f>[1]!YBPRICE(AD18&amp;"(IOX)",0&amp;"y","Market","OneMonthCPR","Swap",CurrentCloseDate,"Default","","Model",100,"")</f>
        <v>E</v>
      </c>
      <c r="AE27" s="221" t="str">
        <f>[1]!YBPRICE(AE18&amp;"(IOX)",0&amp;"y","Market","OneMonthCPR","Swap",CurrentCloseDate,"Default","","Model",100,"")</f>
        <v>E</v>
      </c>
      <c r="AH27" s="185" t="s">
        <v>147</v>
      </c>
      <c r="AI27" s="186" t="str">
        <f>IF([1]!YBHIST($AH27,CurrentCloseDate,"Price","sec","")="NA",[1]!YBTICKCONVERT([1]!YBHIST("5 Year Treasury",CurrentCloseDate,"Price","govt",""),"TOTICK","+"),[1]!YBTICKCONVERT([1]!YBHIST($AH27,CurrentCloseDate,"Price","sec",""),"TOTICK","+"))</f>
        <v>E</v>
      </c>
      <c r="AJ27" s="187" t="str">
        <f>IF([1]!YBHIST($AH27,PrevCloseDate,"Price","sec","") = "NA",  [1]!YBTICKCONVERT([1]!YBHIST($AH27,PrevCloseDate,"Price","sec","")-[1]!YBHIST("5 Year Treasury",PrevCloseDate,"Price","govt",""),"TOTICK","+"), [1]!YBTICKCONVERT([1]!YBHIST($AH27,CurrentCloseDate,"Price","sec","")-[1]!YBHIST($AH27,PrevCloseDate,"Price","sec",""),"TOTICK","+"))</f>
        <v>Error</v>
      </c>
      <c r="AK27" s="188" t="str">
        <f>IF([1]!YBHIST($AH27,CurrentCloseDate,"Yield","sec","")="NA",[1]!YBHIST("5 Year Treasury",CurrentCloseDate,"Yield","govt",""), [1]!YBHIST($AH27,CurrentCloseDate,"Yield","sec",""))</f>
        <v>E</v>
      </c>
      <c r="AL27" s="189" t="e">
        <f>100*(AK27-IF([1]!YBHIST($AH27,PrevCloseDate,"yield","sec","")="NA",[1]!YBHIST("5 Year Treasury",PrevCloseDate,"yield","govt",""),[1]!YBHIST($AH27,PrevCloseDate,"yield","sec","")))</f>
        <v>#VALUE!</v>
      </c>
      <c r="AM27" s="200" t="e">
        <f t="shared" si="0"/>
        <v>#VALUE!</v>
      </c>
      <c r="AN27" s="199" t="e">
        <f t="shared" si="1"/>
        <v>#VALUE!</v>
      </c>
      <c r="AO27" s="173" t="str">
        <f>[1]!YBCURVE("USD",CurrentCloseDate,"Swap",5,"ParRate")</f>
        <v>E</v>
      </c>
      <c r="AP27" s="202" t="e">
        <f>100*([1]!YBCURVE("USD",CurrentCloseDate,"Swap",5,"ParRate")-[1]!YBCURVE("USD",PrevCloseDate,"Swap",5,"ParRate"))</f>
        <v>#VALUE!</v>
      </c>
    </row>
    <row r="28" spans="2:138" ht="15" customHeight="1">
      <c r="H28" s="355"/>
      <c r="I28" s="71" t="s">
        <v>167</v>
      </c>
      <c r="J28" s="225" t="str">
        <f>[1]!YBPRICE(J18&amp;"(IOX)",0&amp;"y","Market","OneYearCPR","Swap",CurrentCloseDate,"Default","","Model",100,"")</f>
        <v>E</v>
      </c>
      <c r="K28" s="227" t="str">
        <f>[1]!YBPRICE(K18&amp;"(IOX)",0&amp;"y","Market","OneYearCPR","Swap",CurrentCloseDate,"Default","","Model",100,"")</f>
        <v>E</v>
      </c>
      <c r="L28" s="271" t="str">
        <f>[1]!YBPRICE(L18&amp;"(IOX)",0&amp;"y","Market","OneYearCPR","Swap",CurrentCloseDate,"Default","","Model",100,"")</f>
        <v>E</v>
      </c>
      <c r="M28" s="226" t="str">
        <f>[1]!YBPRICE(M18&amp;"(IOX)",0&amp;"y","Market","OneYearCPR","Swap",CurrentCloseDate,"Default","","Model",100,"")</f>
        <v>E</v>
      </c>
      <c r="N28" s="249" t="str">
        <f>[1]!YBPRICE(N18&amp;"(IOX)",0&amp;"y","Market","OneYearCPR","Swap",CurrentCloseDate,"Default","","Model",100,"")</f>
        <v>E</v>
      </c>
      <c r="O28" s="228" t="str">
        <f>[1]!YBPRICE(O18&amp;"(IOX)",0&amp;"y","Market","OneYearCPR","Swap",CurrentCloseDate,"Default","","Model",100,"")</f>
        <v>E</v>
      </c>
      <c r="P28" s="262" t="str">
        <f>[1]!YBPRICE(P18&amp;"(IOX)",0&amp;"y","Market","OneYearCPR","Swap",CurrentCloseDate,"Default","","Model",100,"")</f>
        <v>E</v>
      </c>
      <c r="Q28" s="262" t="str">
        <f>[1]!YBPRICE(Q18&amp;"(IOX)",0&amp;"y","Market","OneYearCPR","Swap",CurrentCloseDate,"Default","","Model",100,"")</f>
        <v>E</v>
      </c>
      <c r="R28" s="226" t="str">
        <f>[1]!YBPRICE(R18&amp;"(IOX)",0&amp;"y","Market","OneYearCPR","Swap",CurrentCloseDate,"Default","","Model",100,"")</f>
        <v>E</v>
      </c>
      <c r="S28" s="226">
        <f>[1]!YBPRICE(S18&amp;"(IOX)",0&amp;"y","Market","OneYearCPR","Swap",CurrentCloseDate,"Default","","Model",100,"")</f>
        <v>14.510400000000001</v>
      </c>
      <c r="T28" s="227" t="str">
        <f>[1]!YBPRICE(T18&amp;"(IOX)",0&amp;"y","Market","OneYearCPR","Swap",CurrentCloseDate,"Default","","Model",100,"")</f>
        <v>E</v>
      </c>
      <c r="U28" s="225" t="str">
        <f>[1]!YBPRICE(U18&amp;"(IOX)",0&amp;"y","Market","OneYearCPR","Swap",CurrentCloseDate,"Default","","Model",100,"")</f>
        <v>E</v>
      </c>
      <c r="V28" s="226" t="str">
        <f>[1]!YBPRICE(V18&amp;"(IOX)",0&amp;"y","Market","OneYearCPR","Swap",CurrentCloseDate,"Default","","Model",100,"")</f>
        <v>E</v>
      </c>
      <c r="W28" s="228" t="str">
        <f>[1]!YBPRICE(W18&amp;"(IOX)",0&amp;"y","Market","OneYearCPR","Swap",CurrentCloseDate,"Default","","Model",100,"")</f>
        <v>E</v>
      </c>
      <c r="X28" s="262" t="str">
        <f>[1]!YBPRICE(X18&amp;"(IOX)",0&amp;"y","Market","OneYearCPR","Swap",CurrentCloseDate,"Default","","Model",100,"")</f>
        <v>E</v>
      </c>
      <c r="Y28" s="227" t="str">
        <f>[1]!YBPRICE(Y18&amp;"(IOX)",0&amp;"y","Market","OneYearCPR","Swap",CurrentCloseDate,"Default","","Model",100,"")</f>
        <v>E</v>
      </c>
      <c r="Z28" s="275" t="str">
        <f>[1]!YBPRICE(Z18&amp;"(IOX)",0&amp;"y","Market","OneYearCPR","Swap",CurrentCloseDate,"Default","","Model",100,"")</f>
        <v>E</v>
      </c>
      <c r="AA28" s="275" t="str">
        <f>[1]!YBPRICE(AA18&amp;"(IOX)",0&amp;"y","Market","OneYearCPR","Swap",CurrentCloseDate,"Default","","Model",100,"")</f>
        <v>E</v>
      </c>
      <c r="AB28" s="266" t="str">
        <f>[1]!YBPRICE(AB18&amp;"(IOX)",0&amp;"y","Market","OneYearCPR","Swap",CurrentCloseDate,"Default","","Model",100,"")</f>
        <v>E</v>
      </c>
      <c r="AC28" s="225" t="str">
        <f>[1]!YBPRICE(AC18&amp;"(IOX)",0&amp;"y","Market","OneYearCPR","Swap",CurrentCloseDate,"Default","","Model",100,"")</f>
        <v>E</v>
      </c>
      <c r="AD28" s="226" t="str">
        <f>[1]!YBPRICE(AD18&amp;"(IOX)",0&amp;"y","Market","OneYearCPR","Swap",CurrentCloseDate,"Default","","Model",100,"")</f>
        <v>E</v>
      </c>
      <c r="AE28" s="228" t="str">
        <f>[1]!YBPRICE(AE18&amp;"(IOX)",0&amp;"y","Market","OneYearCPR","Swap",CurrentCloseDate,"Default","","Model",100,"")</f>
        <v>E</v>
      </c>
      <c r="AH28" s="185" t="s">
        <v>148</v>
      </c>
      <c r="AI28" s="186" t="str">
        <f>IF([1]!YBHIST($AH28,CurrentCloseDate,"Price","sec","")="NA",[1]!YBTICKCONVERT([1]!YBHIST("10 Year Treasury",CurrentCloseDate,"Price","govt",""),"TOTICK","+"),[1]!YBTICKCONVERT([1]!YBHIST($AH28,CurrentCloseDate,"Price","sec",""),"TOTICK","+"))</f>
        <v>E</v>
      </c>
      <c r="AJ28" s="187" t="str">
        <f>IF([1]!YBHIST($AH28,PrevCloseDate,"Price","sec","") = "NA",  [1]!YBTICKCONVERT([1]!YBHIST($AH28,PrevCloseDate,"Price","sec","")-[1]!YBHIST("10 Year Treasury",PrevCloseDate,"Price","govt",""),"TOTICK","+"), [1]!YBTICKCONVERT([1]!YBHIST($AH28,CurrentCloseDate,"Price","sec","")-[1]!YBHIST($AH28,PrevCloseDate,"Price","sec",""),"TOTICK","+"))</f>
        <v>Error</v>
      </c>
      <c r="AK28" s="188" t="str">
        <f>IF([1]!YBHIST($AH28,CurrentCloseDate,"Yield","sec","")="NA",[1]!YBHIST("10 Year Treasury",CurrentCloseDate,"Yield","govt",""), [1]!YBHIST($AH28,CurrentCloseDate,"Yield","sec",""))</f>
        <v>E</v>
      </c>
      <c r="AL28" s="189" t="e">
        <f>100*(AK28-IF([1]!YBHIST($AH28,PrevCloseDate,"yield","sec","")="NA",[1]!YBHIST("10 Year Treasury",PrevCloseDate,"yield","govt",""),[1]!YBHIST($AH28,PrevCloseDate,"yield","sec","")))</f>
        <v>#VALUE!</v>
      </c>
      <c r="AM28" s="200" t="e">
        <f t="shared" si="0"/>
        <v>#VALUE!</v>
      </c>
      <c r="AN28" s="199" t="e">
        <f t="shared" si="1"/>
        <v>#VALUE!</v>
      </c>
      <c r="AO28" s="173" t="str">
        <f>[1]!YBCURVE("USD",CurrentCloseDate,"Swap",10,"ParRate")</f>
        <v>E</v>
      </c>
      <c r="AP28" s="202" t="e">
        <f>100*([1]!YBCURVE("USD",CurrentCloseDate,"Swap",10,"ParRate")-[1]!YBCURVE("USD",PrevCloseDate,"Swap",10,"ParRate"))</f>
        <v>#VALUE!</v>
      </c>
    </row>
    <row r="29" spans="2:138" ht="15" customHeight="1">
      <c r="H29" s="356"/>
      <c r="I29" s="72" t="s">
        <v>180</v>
      </c>
      <c r="J29" s="229" t="str">
        <f>[1]!YBPRICE(J18&amp;"(IOX)",0&amp;"y","Market","LongTermCPR","Swap",CurrentCloseDate,"Default","","Model",100,"")</f>
        <v>E</v>
      </c>
      <c r="K29" s="231" t="str">
        <f>[1]!YBPRICE(K18&amp;"(IOX)",0&amp;"y","Market","LongTermCPR","Swap",CurrentCloseDate,"Default","","Model",100,"")</f>
        <v>E</v>
      </c>
      <c r="L29" s="272" t="str">
        <f>[1]!YBPRICE(L18&amp;"(IOX)",0&amp;"y","Market","LongTermCPR","Swap",CurrentCloseDate,"Default","","Model",100,"")</f>
        <v>E</v>
      </c>
      <c r="M29" s="230" t="str">
        <f>[1]!YBPRICE(M18&amp;"(IOX)",0&amp;"y","Market","LongTermCPR","Swap",CurrentCloseDate,"Default","","Model",100,"")</f>
        <v>E</v>
      </c>
      <c r="N29" s="250" t="str">
        <f>[1]!YBPRICE(N18&amp;"(IOX)",0&amp;"y","Market","LongTermCPR","Swap",CurrentCloseDate,"Default","","Model",100,"")</f>
        <v>E</v>
      </c>
      <c r="O29" s="232" t="str">
        <f>[1]!YBPRICE(O18&amp;"(IOX)",0&amp;"y","Market","LongTermCPR","Swap",CurrentCloseDate,"Default","","Model",100,"")</f>
        <v>E</v>
      </c>
      <c r="P29" s="263" t="str">
        <f>[1]!YBPRICE(P18&amp;"(IOX)",0&amp;"y","Market","LongTermCPR","Swap",CurrentCloseDate,"Default","","Model",100,"")</f>
        <v>E</v>
      </c>
      <c r="Q29" s="263" t="str">
        <f>[1]!YBPRICE(Q18&amp;"(IOX)",0&amp;"y","Market","LongTermCPR","Swap",CurrentCloseDate,"Default","","Model",100,"")</f>
        <v>E</v>
      </c>
      <c r="R29" s="230" t="str">
        <f>[1]!YBPRICE(R18&amp;"(IOX)",0&amp;"y","Market","LongTermCPR","Swap",CurrentCloseDate,"Default","","Model",100,"")</f>
        <v>E</v>
      </c>
      <c r="S29" s="230">
        <f>[1]!YBPRICE(S18&amp;"(IOX)",0&amp;"y","Market","LongTermCPR","Swap",CurrentCloseDate,"Default","","Model",100,"")</f>
        <v>11.811</v>
      </c>
      <c r="T29" s="231" t="str">
        <f>[1]!YBPRICE(T18&amp;"(IOX)",0&amp;"y","Market","LongTermCPR","Swap",CurrentCloseDate,"Default","","Model",100,"")</f>
        <v>E</v>
      </c>
      <c r="U29" s="229" t="str">
        <f>[1]!YBPRICE(U18&amp;"(IOX)",0&amp;"y","Market","LongTermCPR","Swap",CurrentCloseDate,"Default","","Model",100,"")</f>
        <v>E</v>
      </c>
      <c r="V29" s="230" t="str">
        <f>[1]!YBPRICE(V18&amp;"(IOX)",0&amp;"y","Market","LongTermCPR","Swap",CurrentCloseDate,"Default","","Model",100,"")</f>
        <v>E</v>
      </c>
      <c r="W29" s="232" t="str">
        <f>[1]!YBPRICE(W18&amp;"(IOX)",0&amp;"y","Market","LongTermCPR","Swap",CurrentCloseDate,"Default","","Model",100,"")</f>
        <v>E</v>
      </c>
      <c r="X29" s="263" t="str">
        <f>[1]!YBPRICE(X18&amp;"(IOX)",0&amp;"y","Market","LongTermCPR","Swap",CurrentCloseDate,"Default","","Model",100,"")</f>
        <v>E</v>
      </c>
      <c r="Y29" s="231" t="str">
        <f>[1]!YBPRICE(Y18&amp;"(IOX)",0&amp;"y","Market","LongTermCPR","Swap",CurrentCloseDate,"Default","","Model",100,"")</f>
        <v>E</v>
      </c>
      <c r="Z29" s="276" t="str">
        <f>[1]!YBPRICE(Z18&amp;"(IOX)",0&amp;"y","Market","LongTermCPR","Swap",CurrentCloseDate,"Default","","Model",100,"")</f>
        <v>E</v>
      </c>
      <c r="AA29" s="276" t="str">
        <f>[1]!YBPRICE(AA18&amp;"(IOX)",0&amp;"y","Market","LongTermCPR","Swap",CurrentCloseDate,"Default","","Model",100,"")</f>
        <v>E</v>
      </c>
      <c r="AB29" s="267" t="str">
        <f>[1]!YBPRICE(AB18&amp;"(IOX)",0&amp;"y","Market","LongTermCPR","Swap",CurrentCloseDate,"Default","","Model",100,"")</f>
        <v>E</v>
      </c>
      <c r="AC29" s="229" t="str">
        <f>[1]!YBPRICE(AC18&amp;"(IOX)",0&amp;"y","Market","LongTermCPR","Swap",CurrentCloseDate,"Default","","Model",100,"")</f>
        <v>E</v>
      </c>
      <c r="AD29" s="230" t="str">
        <f>[1]!YBPRICE(AD18&amp;"(IOX)",0&amp;"y","Market","LongTermCPR","Swap",CurrentCloseDate,"Default","","Model",100,"")</f>
        <v>E</v>
      </c>
      <c r="AE29" s="232" t="str">
        <f>[1]!YBPRICE(AE18&amp;"(IOX)",0&amp;"y","Market","LongTermCPR","Swap",CurrentCloseDate,"Default","","Model",100,"")</f>
        <v>E</v>
      </c>
      <c r="AH29" s="197" t="s">
        <v>149</v>
      </c>
      <c r="AI29" s="190" t="str">
        <f>IF([1]!YBHIST($AH29,CurrentCloseDate,"Price","sec","")="NA",[1]!YBTICKCONVERT([1]!YBHIST("30 Year Treasury",CurrentCloseDate,"Price","govt",""),"TOTICK","+"),[1]!YBTICKCONVERT([1]!YBHIST($AH29,CurrentCloseDate,"Price","sec",""),"TOTICK","+"))</f>
        <v>E</v>
      </c>
      <c r="AJ29" s="191" t="str">
        <f>IF([1]!YBHIST($AH29,PrevCloseDate,"Price","sec","") = "NA",  [1]!YBTICKCONVERT([1]!YBHIST($AH29,PrevCloseDate,"Price","sec","")-[1]!YBHIST("30 Year Treasury",PrevCloseDate,"Price","govt",""),"TOTICK","+"), [1]!YBTICKCONVERT([1]!YBHIST($AH29,CurrentCloseDate,"Price","sec","")-[1]!YBHIST($AH29,PrevCloseDate,"Price","sec",""),"TOTICK","+"))</f>
        <v>Error</v>
      </c>
      <c r="AK29" s="192" t="str">
        <f>IF([1]!YBHIST($AH29,CurrentCloseDate,"Yield","sec","")="NA",[1]!YBHIST("30 Year Treasury",CurrentCloseDate,"Yield","govt",""), [1]!YBHIST($AH29,CurrentCloseDate,"Yield","sec",""))</f>
        <v>E</v>
      </c>
      <c r="AL29" s="193" t="e">
        <f>100*(AK29-IF([1]!YBHIST($AH29,PrevCloseDate,"yield","sec","")="NA",[1]!YBHIST("30 Year Treasury",PrevCloseDate,"yield","govt",""),[1]!YBHIST($AH29,PrevCloseDate,"yield","sec","")))</f>
        <v>#VALUE!</v>
      </c>
      <c r="AM29" s="203" t="e">
        <f t="shared" si="0"/>
        <v>#VALUE!</v>
      </c>
      <c r="AN29" s="204" t="e">
        <f t="shared" si="1"/>
        <v>#VALUE!</v>
      </c>
      <c r="AO29" s="174" t="str">
        <f>[1]!YBCURVE("USD",CurrentCloseDate,"Swap",30,"ParRate")</f>
        <v>E</v>
      </c>
      <c r="AP29" s="205" t="e">
        <f>100*([1]!YBCURVE("USD",CurrentCloseDate,"Swap",30,"ParRate")-[1]!YBCURVE("USD",PrevCloseDate,"Swap",30,"ParRate"))</f>
        <v>#VALUE!</v>
      </c>
    </row>
    <row r="30" spans="2:138" ht="9.75" customHeight="1">
      <c r="I30" s="3"/>
      <c r="J30" s="3"/>
      <c r="K30" s="3"/>
      <c r="L30" s="3"/>
      <c r="BG30" s="13"/>
      <c r="BH30" s="13"/>
      <c r="BI30" s="13"/>
      <c r="BJ30" s="13"/>
    </row>
    <row r="31" spans="2:138" s="4" customFormat="1" ht="15">
      <c r="H31" s="3"/>
      <c r="P31" s="4" t="s">
        <v>206</v>
      </c>
      <c r="AY31" s="92" t="str">
        <f>AnnReturn</f>
        <v>AnnualizedReturn</v>
      </c>
    </row>
    <row r="32" spans="2:138" ht="15">
      <c r="H32" s="305" t="s">
        <v>194</v>
      </c>
      <c r="I32" s="306"/>
      <c r="J32" s="306"/>
      <c r="K32" s="306"/>
      <c r="L32" s="306"/>
      <c r="M32" s="306"/>
      <c r="N32" s="306"/>
      <c r="O32" s="306"/>
      <c r="P32" s="306"/>
      <c r="Q32" s="306"/>
      <c r="R32" s="306"/>
      <c r="S32" s="306"/>
      <c r="T32" s="306"/>
      <c r="U32" s="306"/>
      <c r="V32" s="306"/>
      <c r="W32" s="306"/>
      <c r="X32" s="306"/>
      <c r="Y32" s="306"/>
      <c r="Z32" s="306"/>
      <c r="AA32" s="306"/>
      <c r="AB32" s="306"/>
      <c r="AC32" s="306"/>
      <c r="AD32" s="306"/>
      <c r="AH32" s="340" t="s">
        <v>161</v>
      </c>
      <c r="AI32" s="341"/>
      <c r="AJ32" s="341"/>
      <c r="AK32" s="341"/>
      <c r="AL32" s="341"/>
      <c r="AM32" s="341"/>
      <c r="AN32" s="342"/>
      <c r="AY32"/>
      <c r="AZ32"/>
      <c r="BA32" s="337" t="str">
        <f>S33</f>
        <v>FN30.
400.
10</v>
      </c>
      <c r="BB32" s="338"/>
      <c r="BC32" s="338"/>
      <c r="BD32" s="339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M32" s="337" t="str">
        <f>T33</f>
        <v>FN30.
400.
09</v>
      </c>
      <c r="CN32" s="338"/>
      <c r="CO32" s="338"/>
      <c r="CP32" s="339"/>
      <c r="CQ32" s="337" t="str">
        <f>U33</f>
        <v>FN30.
450.
11</v>
      </c>
      <c r="CR32" s="338"/>
      <c r="CS32" s="338"/>
      <c r="CT32" s="339"/>
      <c r="CU32" s="337" t="str">
        <f>V33</f>
        <v>FN30.
450.
10</v>
      </c>
      <c r="CV32" s="338"/>
      <c r="CW32" s="338"/>
      <c r="CX32" s="339"/>
      <c r="CY32" s="337" t="str">
        <f>W33</f>
        <v>FN30.
450.
09</v>
      </c>
      <c r="CZ32" s="338"/>
      <c r="DA32" s="338"/>
      <c r="DB32" s="339"/>
      <c r="DC32" s="337" t="str">
        <f>X33</f>
        <v>FN30.
500.
10</v>
      </c>
      <c r="DD32" s="338"/>
      <c r="DE32" s="338"/>
      <c r="DF32" s="339"/>
      <c r="DG32" s="337" t="str">
        <f>Y33</f>
        <v>FN30.
500.
09</v>
      </c>
      <c r="DH32" s="338"/>
      <c r="DI32" s="338"/>
      <c r="DJ32" s="339"/>
      <c r="DK32" s="337" t="str">
        <f>Z33</f>
        <v>FN30.
550.
08</v>
      </c>
      <c r="DL32" s="338"/>
      <c r="DM32" s="338"/>
      <c r="DN32" s="339"/>
      <c r="DO32" s="337" t="str">
        <f>AA33</f>
        <v>FN30.
600.
08</v>
      </c>
      <c r="DP32" s="338"/>
      <c r="DQ32" s="338"/>
      <c r="DR32" s="339"/>
      <c r="DS32" s="337" t="str">
        <f>AB33</f>
        <v>FN30.
650.
67</v>
      </c>
      <c r="DT32" s="338"/>
      <c r="DU32" s="338"/>
      <c r="DV32" s="339"/>
      <c r="DW32" s="337" t="str">
        <f>AC33</f>
        <v>GII30.
400.
10</v>
      </c>
      <c r="DX32" s="338"/>
      <c r="DY32" s="338"/>
      <c r="DZ32" s="339"/>
      <c r="EA32" s="337" t="str">
        <f>AD33</f>
        <v>GII30.
450.
10</v>
      </c>
      <c r="EB32" s="338"/>
      <c r="EC32" s="338"/>
      <c r="ED32" s="339"/>
      <c r="EE32" s="337" t="str">
        <f>AE33</f>
        <v>GII30.
500.
10</v>
      </c>
      <c r="EF32" s="338"/>
      <c r="EG32" s="338"/>
      <c r="EH32" s="339"/>
    </row>
    <row r="33" spans="2:138" s="6" customFormat="1" ht="45">
      <c r="F33" s="43" t="s">
        <v>35</v>
      </c>
      <c r="G33" s="12" t="s">
        <v>36</v>
      </c>
      <c r="H33" s="54" t="s">
        <v>47</v>
      </c>
      <c r="I33" s="43" t="s">
        <v>0</v>
      </c>
      <c r="J33" s="245" t="str">
        <f>J24</f>
        <v>FN30.
300.
13</v>
      </c>
      <c r="K33" s="243" t="str">
        <f t="shared" ref="K33:L33" si="2">K24</f>
        <v>FN30.
300.
12</v>
      </c>
      <c r="L33" s="307" t="str">
        <f t="shared" si="2"/>
        <v>FN30.
350.
14</v>
      </c>
      <c r="M33" s="309" t="str">
        <f t="shared" ref="M33:AE33" si="3">M24</f>
        <v>FN30.
350.
13</v>
      </c>
      <c r="N33" s="243" t="str">
        <f t="shared" si="3"/>
        <v>FN30.
350.
12</v>
      </c>
      <c r="O33" s="242" t="str">
        <f t="shared" si="3"/>
        <v>FN30.
350.
10</v>
      </c>
      <c r="P33" s="309" t="str">
        <f t="shared" si="3"/>
        <v>FN30.
400.
14</v>
      </c>
      <c r="Q33" s="243" t="str">
        <f t="shared" si="3"/>
        <v>FN30.
400.
13</v>
      </c>
      <c r="R33" s="243" t="str">
        <f t="shared" si="3"/>
        <v>FN30.
400.
11</v>
      </c>
      <c r="S33" s="243" t="str">
        <f t="shared" si="3"/>
        <v>FN30.
400.
10</v>
      </c>
      <c r="T33" s="243" t="str">
        <f t="shared" si="3"/>
        <v>FN30.
400.
09</v>
      </c>
      <c r="U33" s="241" t="str">
        <f t="shared" si="3"/>
        <v>FN30.
450.
11</v>
      </c>
      <c r="V33" s="243" t="str">
        <f t="shared" si="3"/>
        <v>FN30.
450.
10</v>
      </c>
      <c r="W33" s="242" t="str">
        <f t="shared" si="3"/>
        <v>FN30.
450.
09</v>
      </c>
      <c r="X33" s="243" t="str">
        <f t="shared" si="3"/>
        <v>FN30.
500.
10</v>
      </c>
      <c r="Y33" s="243" t="str">
        <f t="shared" si="3"/>
        <v>FN30.
500.
09</v>
      </c>
      <c r="Z33" s="73" t="str">
        <f t="shared" si="3"/>
        <v>FN30.
550.
08</v>
      </c>
      <c r="AA33" s="73" t="str">
        <f t="shared" si="3"/>
        <v>FN30.
600.
08</v>
      </c>
      <c r="AB33" s="243" t="str">
        <f t="shared" si="3"/>
        <v>FN30.
650.
67</v>
      </c>
      <c r="AC33" s="241" t="str">
        <f t="shared" si="3"/>
        <v>GII30.
400.
10</v>
      </c>
      <c r="AD33" s="243" t="str">
        <f t="shared" si="3"/>
        <v>GII30.
450.
10</v>
      </c>
      <c r="AE33" s="242" t="str">
        <f t="shared" si="3"/>
        <v>GII30.
500.
10</v>
      </c>
      <c r="AH33" s="357" t="s">
        <v>162</v>
      </c>
      <c r="AI33" s="358"/>
      <c r="AJ33" s="196" t="s">
        <v>149</v>
      </c>
      <c r="AK33" s="311" t="s">
        <v>143</v>
      </c>
      <c r="AL33" s="310" t="s">
        <v>159</v>
      </c>
      <c r="AM33" s="196" t="s">
        <v>158</v>
      </c>
      <c r="AN33" s="311" t="s">
        <v>143</v>
      </c>
      <c r="AV33" s="23"/>
      <c r="AY33"/>
      <c r="AZ33"/>
      <c r="BA33" s="326" t="s">
        <v>37</v>
      </c>
      <c r="BB33" s="327"/>
      <c r="BC33" s="307" t="s">
        <v>38</v>
      </c>
      <c r="BD33" s="308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M33" s="307" t="s">
        <v>37</v>
      </c>
      <c r="CN33" s="308"/>
      <c r="CO33" s="307" t="s">
        <v>38</v>
      </c>
      <c r="CP33" s="308"/>
      <c r="CQ33" s="307" t="s">
        <v>37</v>
      </c>
      <c r="CR33" s="308"/>
      <c r="CS33" s="307" t="s">
        <v>38</v>
      </c>
      <c r="CT33" s="308"/>
      <c r="CU33" s="307" t="s">
        <v>37</v>
      </c>
      <c r="CV33" s="308"/>
      <c r="CW33" s="307" t="s">
        <v>38</v>
      </c>
      <c r="CX33" s="308"/>
      <c r="CY33" s="307" t="s">
        <v>37</v>
      </c>
      <c r="CZ33" s="308"/>
      <c r="DA33" s="307" t="s">
        <v>38</v>
      </c>
      <c r="DB33" s="308"/>
      <c r="DC33" s="307" t="s">
        <v>37</v>
      </c>
      <c r="DD33" s="308"/>
      <c r="DE33" s="307" t="s">
        <v>38</v>
      </c>
      <c r="DF33" s="308"/>
      <c r="DG33" s="307" t="s">
        <v>37</v>
      </c>
      <c r="DH33" s="309"/>
      <c r="DI33" s="307" t="s">
        <v>38</v>
      </c>
      <c r="DJ33" s="308"/>
      <c r="DK33" s="307" t="s">
        <v>37</v>
      </c>
      <c r="DL33" s="308"/>
      <c r="DM33" s="307" t="s">
        <v>38</v>
      </c>
      <c r="DN33" s="308"/>
      <c r="DO33" s="307" t="s">
        <v>37</v>
      </c>
      <c r="DP33" s="308"/>
      <c r="DQ33" s="307" t="s">
        <v>38</v>
      </c>
      <c r="DR33" s="308"/>
      <c r="DS33" s="307" t="s">
        <v>37</v>
      </c>
      <c r="DT33" s="308"/>
      <c r="DU33" s="307" t="s">
        <v>38</v>
      </c>
      <c r="DV33" s="308"/>
      <c r="DW33" s="307" t="s">
        <v>37</v>
      </c>
      <c r="DX33" s="308"/>
      <c r="DY33" s="307" t="s">
        <v>38</v>
      </c>
      <c r="DZ33" s="308"/>
      <c r="EA33" s="307" t="s">
        <v>37</v>
      </c>
      <c r="EB33" s="308"/>
      <c r="EC33" s="307" t="s">
        <v>38</v>
      </c>
      <c r="ED33" s="308"/>
      <c r="EE33" s="307" t="s">
        <v>37</v>
      </c>
      <c r="EF33" s="308"/>
      <c r="EG33" s="307" t="s">
        <v>38</v>
      </c>
      <c r="EH33" s="308"/>
    </row>
    <row r="34" spans="2:138" ht="15" customHeight="1">
      <c r="B34" s="7"/>
      <c r="C34" s="8"/>
      <c r="D34" s="8"/>
      <c r="E34" s="8"/>
      <c r="F34" s="16" t="s">
        <v>35</v>
      </c>
      <c r="G34" s="15">
        <v>100</v>
      </c>
      <c r="H34" s="162">
        <v>1</v>
      </c>
      <c r="I34" s="163">
        <f t="shared" ref="I34:I35" si="4">EDATE(CurrentCloseDate, H34)</f>
        <v>42215</v>
      </c>
      <c r="J34" s="34">
        <f>AY34</f>
        <v>0</v>
      </c>
      <c r="K34" s="165" t="e">
        <f>#REF!</f>
        <v>#REF!</v>
      </c>
      <c r="L34" s="34">
        <f>BG34</f>
        <v>0</v>
      </c>
      <c r="M34" s="164">
        <f>BK34</f>
        <v>0</v>
      </c>
      <c r="N34" s="164">
        <f>BO34</f>
        <v>0</v>
      </c>
      <c r="O34" s="166">
        <f>BS34</f>
        <v>0</v>
      </c>
      <c r="P34" s="251">
        <f>BW34</f>
        <v>0</v>
      </c>
      <c r="Q34" s="251">
        <f>CA34</f>
        <v>0</v>
      </c>
      <c r="R34" s="164">
        <f>CE34</f>
        <v>0</v>
      </c>
      <c r="S34" s="164">
        <f>BC34</f>
        <v>-7.9429999999999996</v>
      </c>
      <c r="T34" s="165" t="str">
        <f>CM34</f>
        <v>E</v>
      </c>
      <c r="U34" s="34" t="str">
        <f>CQ34</f>
        <v>E</v>
      </c>
      <c r="V34" s="164" t="str">
        <f>CU34</f>
        <v>E</v>
      </c>
      <c r="W34" s="166" t="str">
        <f>CY34</f>
        <v>E</v>
      </c>
      <c r="X34" s="251" t="str">
        <f>DC34</f>
        <v>E</v>
      </c>
      <c r="Y34" s="165" t="str">
        <f>DG34</f>
        <v>E</v>
      </c>
      <c r="Z34" s="257" t="str">
        <f>DK34</f>
        <v>E</v>
      </c>
      <c r="AA34" s="257" t="str">
        <f>DO34</f>
        <v>E</v>
      </c>
      <c r="AB34" s="254" t="str">
        <f>DS34</f>
        <v>E</v>
      </c>
      <c r="AC34" s="34" t="str">
        <f>DW34</f>
        <v>E</v>
      </c>
      <c r="AD34" s="164" t="str">
        <f>EA34</f>
        <v>E</v>
      </c>
      <c r="AE34" s="166" t="str">
        <f>EE34</f>
        <v>E</v>
      </c>
      <c r="AH34" s="312" t="s">
        <v>154</v>
      </c>
      <c r="AI34" s="313"/>
      <c r="AJ34" s="208" t="str">
        <f>[1]!YBHIST("FHLM 30-Yr Survey Rate",CurrentCloseDate,"yield","bmk","")</f>
        <v>E</v>
      </c>
      <c r="AK34" s="318" t="e">
        <f>AJ34-[1]!YBHIST("FHLM 30-Yr Survey Rate",PrevCloseDate,"yield","bmk","")</f>
        <v>#VALUE!</v>
      </c>
      <c r="AL34" s="282" t="s">
        <v>44</v>
      </c>
      <c r="AM34" s="201" t="str">
        <f>[1]!YBHIST("Base Mortgage Rate",CurrentCloseDate,"LMMOAS","bmk","")</f>
        <v>E</v>
      </c>
      <c r="AN34" s="316" t="e">
        <f>AM34-[1]!YBHIST("Base Mortgage Rate",PrevCloseDate,"LMMOAS","bmk","")</f>
        <v>#VALUE!</v>
      </c>
      <c r="AY34"/>
      <c r="AZ34"/>
      <c r="BA34" s="328">
        <f>[1]!YBSCEN(S$18&amp;"(IOX)",S$20&amp;"d","Market",AnnReturn,"Swap",CurrentCloseDate,"LMMSkew","",$F34,$G34,$H34,,"Gradual","ParShift|N",0,OASChangeROR,0,,"EFF",,,,0,,,,"Default",,)</f>
        <v>-0.75</v>
      </c>
      <c r="BB34" s="329">
        <f t="shared" ref="BB34" si="5">1+(BA34/100)</f>
        <v>0.99250000000000005</v>
      </c>
      <c r="BC34" s="324">
        <f>[1]!YBSCEN(S$18&amp;"(IOX)",S$20&amp;"d","Market",AnnReturn,"Swap",CurrentCloseDate,"LMMSkew","",$F34,$G34,$H34,,"Gradual","ParShift|N",0,PriceChangeROR,0,,"EFF",,,,0,,,,"Default",,)</f>
        <v>-7.9429999999999996</v>
      </c>
      <c r="BD34" s="27">
        <f t="shared" ref="BD34" si="6">1+(BC34/100)</f>
        <v>0.92057</v>
      </c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M34" s="26" t="str">
        <f>[1]!YBSCEN(T$18&amp;"(IOX)",T$20&amp;"d","Market",AnnReturn,"Swap",CurrentCloseDate,"LMMSkew","",$F34,$G34,$H34,,"Gradual","ParShift|N",0,OASChangeROR,0,,"EFF",,,,0,,,,"Default",,)</f>
        <v>E</v>
      </c>
      <c r="CN34" s="27" t="e">
        <f t="shared" ref="CN34" si="7">1+(CM34/100)</f>
        <v>#VALUE!</v>
      </c>
      <c r="CO34" s="26" t="str">
        <f>[1]!YBSCEN(T$18&amp;"(IOX)",T$20&amp;"d","Market",AnnReturn,"Swap",CurrentCloseDate,"LMMSkew","",$F34,$G34,$H34,,"Gradual","ParShift|N",0,PriceChangeROR,0,,"EFF",,,,0,,,,"Default",,)</f>
        <v>E</v>
      </c>
      <c r="CP34" s="27" t="e">
        <f t="shared" ref="CP34" si="8">1+(CO34/100)</f>
        <v>#VALUE!</v>
      </c>
      <c r="CQ34" s="26" t="str">
        <f>[1]!YBSCEN(U$18&amp;"(IOX)",U$20&amp;"d","Market",AnnReturn,"Swap",CurrentCloseDate,"LMMSkew","",$F34,$G34,$H34,,"Gradual","ParShift|N",0,OASChangeROR,0,,"EFF",,,,0,,,,"Default",,)</f>
        <v>E</v>
      </c>
      <c r="CR34" s="27" t="e">
        <f t="shared" ref="CR34" si="9">1+(CQ34/100)</f>
        <v>#VALUE!</v>
      </c>
      <c r="CS34" s="26" t="str">
        <f>[1]!YBSCEN(U$18&amp;"(IOX)",U$20&amp;"d","Market",AnnReturn,"Swap",CurrentCloseDate,"LMMSkew","",$F34,$G34,$H34,,"Gradual","ParShift|N",0,PriceChangeROR,0,,"EFF",,,,0,,,,"Default",,)</f>
        <v>E</v>
      </c>
      <c r="CT34" s="27" t="e">
        <f t="shared" ref="CT34" si="10">1+(CS34/100)</f>
        <v>#VALUE!</v>
      </c>
      <c r="CU34" s="26" t="str">
        <f>[1]!YBSCEN(V$18&amp;"(IOX)",V$20&amp;"d","Market",AnnReturn,"Swap",CurrentCloseDate,"LMMSkew","",$F34,$G34,$H34,,"Gradual","ParShift|N",0,OASChangeROR,0,,"EFF",,,,0,,,,"Default",,)</f>
        <v>E</v>
      </c>
      <c r="CV34" s="27" t="e">
        <f t="shared" ref="CV34" si="11">1+(CU34/100)</f>
        <v>#VALUE!</v>
      </c>
      <c r="CW34" s="26" t="str">
        <f>[1]!YBSCEN(V$18&amp;"(IOX)",V$20&amp;"d","Market",AnnReturn,"Swap",CurrentCloseDate,"LMMSkew","",$F34,$G34,$H34,,"Gradual","ParShift|N",0,PriceChangeROR,0,,"EFF",,,,0,,,,"Default",,)</f>
        <v>E</v>
      </c>
      <c r="CX34" s="27" t="e">
        <f t="shared" ref="CX34" si="12">1+(CW34/100)</f>
        <v>#VALUE!</v>
      </c>
      <c r="CY34" s="26" t="str">
        <f>[1]!YBSCEN(W$18&amp;"(IOX)",W$20&amp;"d","Market",AnnReturn,"Swap",CurrentCloseDate,"LMMSkew","",$F34,$G34,$H34,,"Gradual","ParShift|N",0,OASChangeROR,0,,"EFF",,,,0,,,,"Default",,)</f>
        <v>E</v>
      </c>
      <c r="CZ34" s="27" t="e">
        <f t="shared" ref="CZ34" si="13">1+(CY34/100)</f>
        <v>#VALUE!</v>
      </c>
      <c r="DA34" s="26" t="str">
        <f>[1]!YBSCEN(W$18&amp;"(IOX)",W$20&amp;"d","Market",AnnReturn,"Swap",CurrentCloseDate,"LMMSkew","",$F34,$G34,$H34,,"Gradual","ParShift|N",0,PriceChangeROR,0,,"EFF",,,,0,,,,"Default",,)</f>
        <v>E</v>
      </c>
      <c r="DB34" s="27" t="e">
        <f t="shared" ref="DB34" si="14">1+(DA34/100)</f>
        <v>#VALUE!</v>
      </c>
      <c r="DC34" s="26" t="str">
        <f>[1]!YBSCEN(X$18&amp;"(IOX)",X$20&amp;"d","Market",AnnReturn,"Swap",CurrentCloseDate,"LMMSkew","",$F34,$G34,$H34,,"Gradual","ParShift|N",0,OASChangeROR,0,,"EFF",,,,0,,,,"Default",,)</f>
        <v>E</v>
      </c>
      <c r="DD34" s="27" t="e">
        <f t="shared" ref="DD34" si="15">1+(DC34/100)</f>
        <v>#VALUE!</v>
      </c>
      <c r="DE34" s="26" t="str">
        <f>[1]!YBSCEN(X$18&amp;"(IOX)",X$20&amp;"d","Market",AnnReturn,"Swap",CurrentCloseDate,"LMMSkew","",$F34,$G34,$H34,,"Gradual","ParShift|N",0,PriceChangeROR,0,,"EFF",,,,0,,,,"Default",,)</f>
        <v>E</v>
      </c>
      <c r="DF34" s="27" t="e">
        <f t="shared" ref="DF34" si="16">1+(DE34/100)</f>
        <v>#VALUE!</v>
      </c>
      <c r="DG34" s="26" t="str">
        <f>[1]!YBSCEN(Y$18&amp;"(IOX)",Y$20&amp;"d","Market",AnnReturn,"Swap",CurrentCloseDate,"LMMSkew","",$F34,$G34,$H34,,"Gradual","ParShift|N",0,OASChangeROR,0,,"EFF",,,,0,,,,"Default",,)</f>
        <v>E</v>
      </c>
      <c r="DH34" s="27" t="e">
        <f t="shared" ref="DH34" si="17">1+(DG34/100)</f>
        <v>#VALUE!</v>
      </c>
      <c r="DI34" s="26" t="str">
        <f>[1]!YBSCEN(Y$18&amp;"(IOX)",Y$20&amp;"d","Market",AnnReturn,"Swap",CurrentCloseDate,"LMMSkew","",$F34,$G34,$H34,,"Gradual","ParShift|N",0,PriceChangeROR,0,,"EFF",,,,0,,,,"Default",,)</f>
        <v>E</v>
      </c>
      <c r="DJ34" s="27" t="e">
        <f t="shared" ref="DJ34" si="18">1+(DI34/100)</f>
        <v>#VALUE!</v>
      </c>
      <c r="DK34" s="26" t="str">
        <f>[1]!YBSCEN(Z$18&amp;"(IOX)",Z$20&amp;"d","Market",AnnReturn,"Swap",CurrentCloseDate,"LMMSkew","",$F34,$G34,$H34,,"Gradual","ParShift|N",0,OASChangeROR,0,,"EFF",,,,0,,,,"Default",,)</f>
        <v>E</v>
      </c>
      <c r="DL34" s="27" t="e">
        <f t="shared" ref="DL34" si="19">1+(DK34/100)</f>
        <v>#VALUE!</v>
      </c>
      <c r="DM34" s="26" t="str">
        <f>[1]!YBSCEN(Z$18&amp;"(IOX)",Z$20&amp;"d","Market",AnnReturn,"Swap",CurrentCloseDate,"LMMSkew","",$F34,$G34,$H34,,"Gradual","ParShift|N",0,PriceChangeROR,0,,"EFF",,,,0,,,,"Default",,)</f>
        <v>E</v>
      </c>
      <c r="DN34" s="27" t="e">
        <f t="shared" ref="DN34" si="20">1+(DM34/100)</f>
        <v>#VALUE!</v>
      </c>
      <c r="DO34" s="26" t="str">
        <f>[1]!YBSCEN(AA$18&amp;"(IOX)",AA$20&amp;"d","Market",AnnReturn,"Swap",CurrentCloseDate,"LMMSkew","",$F34,$G34,$H34,,"Gradual","ParShift|N",0,OASChangeROR,0,,"EFF",,,,0,,,,"Default",,)</f>
        <v>E</v>
      </c>
      <c r="DP34" s="27" t="e">
        <f t="shared" ref="DP34" si="21">1+(DO34/100)</f>
        <v>#VALUE!</v>
      </c>
      <c r="DQ34" s="26" t="str">
        <f>[1]!YBSCEN(AA$18&amp;"(IOX)",AA$20&amp;"d","Market",AnnReturn,"Swap",CurrentCloseDate,"LMMSkew","",$F34,$G34,$H34,,"Gradual","ParShift|N",0,PriceChangeROR,0,,"EFF",,,,0,,,,"Default",,)</f>
        <v>E</v>
      </c>
      <c r="DR34" s="30" t="e">
        <f t="shared" ref="DR34" si="22">1+(DQ34/100)</f>
        <v>#VALUE!</v>
      </c>
      <c r="DS34" s="26" t="str">
        <f>[1]!YBSCEN(AB$18&amp;"(IOX)",AB$20&amp;"d","Market",AnnReturn,"Swap",CurrentCloseDate,"LMMSkew","",$F34,$G34,$H34,,"Gradual","ParShift|N",0,OASChangeROR,0,,"EFF",,,,0,,,,"Default",,)</f>
        <v>E</v>
      </c>
      <c r="DT34" s="30" t="e">
        <f t="shared" ref="DT34" si="23">1+(DS34/100)</f>
        <v>#VALUE!</v>
      </c>
      <c r="DU34" s="45" t="str">
        <f>[1]!YBSCEN(AB$18&amp;"(IOX)",AB$20&amp;"d","Market",AnnReturn,"Swap",CurrentCloseDate,"LMMSkew","",$F34,$G34,$H34,,"Gradual","ParShift|N",0,PriceChangeROR,0,,"EFF",,,,0,,,,"Default",,)</f>
        <v>E</v>
      </c>
      <c r="DV34" s="46" t="e">
        <f t="shared" ref="DV34" si="24">1+(DU34/100)</f>
        <v>#VALUE!</v>
      </c>
      <c r="DW34" s="26" t="str">
        <f>[1]!YBSCEN(AC$18&amp;"(IOX)",AC$20&amp;"d","Market",AnnReturn,"Swap",CurrentCloseDate,"LMMSkew","",$F34,$G34,$H34,,"Gradual","ParShift|N",0,OASChangeROR,0,,"EFF",,,,0,,,,"Default",,)</f>
        <v>E</v>
      </c>
      <c r="DX34" s="30" t="e">
        <f t="shared" ref="DX34" si="25">1+(DW34/100)</f>
        <v>#VALUE!</v>
      </c>
      <c r="DY34" s="45" t="str">
        <f>[1]!YBSCEN(AC$18&amp;"(IOX)",AC$20&amp;"d","Market",AnnReturn,"Swap",CurrentCloseDate,"LMMSkew","",$F34,$G34,$H34,,"Gradual","ParShift|N",0,PriceChangeROR,0,,"EFF",,,,0,,,,"Default",,)</f>
        <v>E</v>
      </c>
      <c r="DZ34" s="46" t="e">
        <f t="shared" ref="DZ34" si="26">1+(DY34/100)</f>
        <v>#VALUE!</v>
      </c>
      <c r="EA34" s="26" t="str">
        <f>[1]!YBSCEN(AD$18&amp;"(IOX)",AD$20&amp;"d","Market",AnnReturn,"Swap",CurrentCloseDate,"LMMSkew","",$F34,$G34,$H34,,"Gradual","ParShift|N",0,OASChangeROR,0,,"EFF",,,,0,,,,"Default",,)</f>
        <v>E</v>
      </c>
      <c r="EB34" s="30" t="e">
        <f t="shared" ref="EB34" si="27">1+(EA34/100)</f>
        <v>#VALUE!</v>
      </c>
      <c r="EC34" s="45" t="str">
        <f>[1]!YBSCEN(AD$18&amp;"(IOX)",AD$20&amp;"d","Market",AnnReturn,"Swap",CurrentCloseDate,"LMMSkew","",$F34,$G34,$H34,,"Gradual","ParShift|N",0,PriceChangeROR,0,,"EFF",,,,0,,,,"Default",,)</f>
        <v>E</v>
      </c>
      <c r="ED34" s="46" t="e">
        <f t="shared" ref="ED34" si="28">1+(EC34/100)</f>
        <v>#VALUE!</v>
      </c>
      <c r="EE34" s="26" t="str">
        <f>[1]!YBSCEN(AE$18&amp;"(IOX)",AE$20&amp;"d","Market",AnnReturn,"Swap",CurrentCloseDate,"LMMSkew","",$F34,$G34,$H34,,"Gradual","ParShift|N",0,OASChangeROR,0,,"EFF",,,,0,,,,"Default",,)</f>
        <v>E</v>
      </c>
      <c r="EF34" s="30" t="e">
        <f t="shared" ref="EF34" si="29">1+(EE34/100)</f>
        <v>#VALUE!</v>
      </c>
      <c r="EG34" s="45" t="str">
        <f>[1]!YBSCEN(AE$18&amp;"(IOX)",AE$20&amp;"d","Market",AnnReturn,"Swap",CurrentCloseDate,"LMMSkew","",$F34,$G34,$H34,,"Gradual","ParShift|N",0,PriceChangeROR,0,,"EFF",,,,0,,,,"Default",,)</f>
        <v>E</v>
      </c>
      <c r="EH34" s="46" t="e">
        <f t="shared" ref="EH34" si="30">1+(EG34/100)</f>
        <v>#VALUE!</v>
      </c>
    </row>
    <row r="35" spans="2:138" ht="15" customHeight="1">
      <c r="C35" s="8"/>
      <c r="D35" s="8"/>
      <c r="E35" s="8"/>
      <c r="F35" s="8" t="s">
        <v>35</v>
      </c>
      <c r="G35" s="15">
        <v>100</v>
      </c>
      <c r="H35" s="58">
        <v>2</v>
      </c>
      <c r="I35" s="32">
        <f t="shared" si="4"/>
        <v>42246</v>
      </c>
      <c r="J35" s="37">
        <f t="shared" ref="J35:J36" si="31">AY35</f>
        <v>0</v>
      </c>
      <c r="K35" s="36" t="e">
        <f>#REF!</f>
        <v>#REF!</v>
      </c>
      <c r="L35" s="37">
        <f t="shared" ref="L35:L36" si="32">BG35</f>
        <v>0</v>
      </c>
      <c r="M35" s="35">
        <f>BK35</f>
        <v>0</v>
      </c>
      <c r="N35" s="35">
        <f>BO35</f>
        <v>0</v>
      </c>
      <c r="O35" s="38">
        <f>BS35</f>
        <v>0</v>
      </c>
      <c r="P35" s="252">
        <f t="shared" ref="P35:P36" si="33">BW35</f>
        <v>0</v>
      </c>
      <c r="Q35" s="252">
        <f>CA35</f>
        <v>0</v>
      </c>
      <c r="R35" s="35">
        <f>CE35</f>
        <v>0</v>
      </c>
      <c r="S35" s="164">
        <f t="shared" ref="S35:S39" si="34">BC35</f>
        <v>-6.2460000000000004</v>
      </c>
      <c r="T35" s="36" t="str">
        <f>CM35</f>
        <v>E</v>
      </c>
      <c r="U35" s="37" t="str">
        <f>CQ35</f>
        <v>E</v>
      </c>
      <c r="V35" s="35" t="str">
        <f>CU35</f>
        <v>E</v>
      </c>
      <c r="W35" s="38" t="str">
        <f>CY35</f>
        <v>E</v>
      </c>
      <c r="X35" s="252" t="str">
        <f>DC35</f>
        <v>E</v>
      </c>
      <c r="Y35" s="36" t="str">
        <f>DG35</f>
        <v>E</v>
      </c>
      <c r="Z35" s="258" t="str">
        <f>DK35</f>
        <v>E</v>
      </c>
      <c r="AA35" s="258" t="str">
        <f>DO35</f>
        <v>E</v>
      </c>
      <c r="AB35" s="255" t="str">
        <f>DS35</f>
        <v>E</v>
      </c>
      <c r="AC35" s="37" t="str">
        <f>DW35</f>
        <v>E</v>
      </c>
      <c r="AD35" s="35" t="str">
        <f>EA35</f>
        <v>E</v>
      </c>
      <c r="AE35" s="38" t="str">
        <f>EE35</f>
        <v>E</v>
      </c>
      <c r="AH35" s="312" t="s">
        <v>155</v>
      </c>
      <c r="AI35" s="313"/>
      <c r="AJ35" s="208" t="str">
        <f>[1]!YBHIST("Primary 30-Yr Mtg Rate",CurrentCloseDate,"yield","bmk","")</f>
        <v>E</v>
      </c>
      <c r="AK35" s="318" t="e">
        <f>AJ35-[1]!YBHIST("Primary 30-Yr Mtg Rate",PrevCloseDate,"yield","bmk","")</f>
        <v>#VALUE!</v>
      </c>
      <c r="AL35" s="283" t="s">
        <v>160</v>
      </c>
      <c r="AM35" s="210" t="str">
        <f>[1]!YBHIST("FNMA 30YR Cur Coup (BE)", CurrentCloseDate,"LMMYieldCurveMargin","bmk","")</f>
        <v>E</v>
      </c>
      <c r="AN35" s="317" t="e">
        <f>AM35-[1]!YBHIST("FNMA 30YR Cur Coup (BE)", PrevCloseDate,"LMMYieldCurveMargin","bmk","")</f>
        <v>#VALUE!</v>
      </c>
      <c r="AY35"/>
      <c r="AZ35"/>
      <c r="BA35" s="330">
        <f>[1]!YBSCEN(S$18&amp;"(IOX)",S$20&amp;"d","Market",AnnReturn,"Swap",CurrentCloseDate,"LMMSkew","",$F35,$G35,$H35,,"Gradual","ParShift|N",0,OASChangeROR,0,,"EFF",,,,0,,,,"Default",,)</f>
        <v>-0.78700000000000003</v>
      </c>
      <c r="BB35" s="331">
        <f t="shared" ref="BB35:BB36" si="35">1+(BA35/100)</f>
        <v>0.99212999999999996</v>
      </c>
      <c r="BC35" s="325">
        <f>[1]!YBSCEN(S$18&amp;"(IOX)",S$20&amp;"d","Market",AnnReturn,"Swap",CurrentCloseDate,"LMMSkew","",$F35,$G35,$H35,,"Gradual","ParShift|N",0,PriceChangeROR,0,,"EFF",,,,0,,,,"Default",,)</f>
        <v>-6.2460000000000004</v>
      </c>
      <c r="BD35" s="29">
        <f t="shared" ref="BD35:BD36" si="36">1+(BC35/100)</f>
        <v>0.93754000000000004</v>
      </c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M35" s="28" t="str">
        <f>[1]!YBSCEN(T$18&amp;"(IOX)",T$20&amp;"d","Market",AnnReturn,"Swap",CurrentCloseDate,"LMMSkew","",$F35,$G35,$H35,,"Gradual","ParShift|N",0,OASChangeROR,0,,"EFF",,,,0,,,,"Default",,)</f>
        <v>E</v>
      </c>
      <c r="CN35" s="29" t="e">
        <f t="shared" ref="CN35:CN36" si="37">1+(CM35/100)</f>
        <v>#VALUE!</v>
      </c>
      <c r="CO35" s="28" t="str">
        <f>[1]!YBSCEN(T$18&amp;"(IOX)",T$20&amp;"d","Market",AnnReturn,"Swap",CurrentCloseDate,"LMMSkew","",$F35,$G35,$H35,,"Gradual","ParShift|N",0,PriceChangeROR,0,,"EFF",,,,0,,,,"Default",,)</f>
        <v>E</v>
      </c>
      <c r="CP35" s="29" t="e">
        <f t="shared" ref="CP35:CP36" si="38">1+(CO35/100)</f>
        <v>#VALUE!</v>
      </c>
      <c r="CQ35" s="28" t="str">
        <f>[1]!YBSCEN(U$18&amp;"(IOX)",U$20&amp;"d","Market",AnnReturn,"Swap",CurrentCloseDate,"LMMSkew","",$F35,$G35,$H35,,"Gradual","ParShift|N",0,OASChangeROR,0,,"EFF",,,,0,,,,"Default",,)</f>
        <v>E</v>
      </c>
      <c r="CR35" s="29" t="e">
        <f t="shared" ref="CR35:CR36" si="39">1+(CQ35/100)</f>
        <v>#VALUE!</v>
      </c>
      <c r="CS35" s="28" t="str">
        <f>[1]!YBSCEN(U$18&amp;"(IOX)",U$20&amp;"d","Market",AnnReturn,"Swap",CurrentCloseDate,"LMMSkew","",$F35,$G35,$H35,,"Gradual","ParShift|N",0,PriceChangeROR,0,,"EFF",,,,0,,,,"Default",,)</f>
        <v>E</v>
      </c>
      <c r="CT35" s="29" t="e">
        <f t="shared" ref="CT35:CT36" si="40">1+(CS35/100)</f>
        <v>#VALUE!</v>
      </c>
      <c r="CU35" s="28" t="str">
        <f>[1]!YBSCEN(V$18&amp;"(IOX)",V$20&amp;"d","Market",AnnReturn,"Swap",CurrentCloseDate,"LMMSkew","",$F35,$G35,$H35,,"Gradual","ParShift|N",0,OASChangeROR,0,,"EFF",,,,0,,,,"Default",,)</f>
        <v>E</v>
      </c>
      <c r="CV35" s="29" t="e">
        <f t="shared" ref="CV35:CV36" si="41">1+(CU35/100)</f>
        <v>#VALUE!</v>
      </c>
      <c r="CW35" s="28" t="str">
        <f>[1]!YBSCEN(V$18&amp;"(IOX)",V$20&amp;"d","Market",AnnReturn,"Swap",CurrentCloseDate,"LMMSkew","",$F35,$G35,$H35,,"Gradual","ParShift|N",0,PriceChangeROR,0,,"EFF",,,,0,,,,"Default",,)</f>
        <v>E</v>
      </c>
      <c r="CX35" s="29" t="e">
        <f t="shared" ref="CX35:CX36" si="42">1+(CW35/100)</f>
        <v>#VALUE!</v>
      </c>
      <c r="CY35" s="28" t="str">
        <f>[1]!YBSCEN(W$18&amp;"(IOX)",W$20&amp;"d","Market",AnnReturn,"Swap",CurrentCloseDate,"LMMSkew","",$F35,$G35,$H35,,"Gradual","ParShift|N",0,OASChangeROR,0,,"EFF",,,,0,,,,"Default",,)</f>
        <v>E</v>
      </c>
      <c r="CZ35" s="29" t="e">
        <f t="shared" ref="CZ35:CZ36" si="43">1+(CY35/100)</f>
        <v>#VALUE!</v>
      </c>
      <c r="DA35" s="28" t="str">
        <f>[1]!YBSCEN(W$18&amp;"(IOX)",W$20&amp;"d","Market",AnnReturn,"Swap",CurrentCloseDate,"LMMSkew","",$F35,$G35,$H35,,"Gradual","ParShift|N",0,PriceChangeROR,0,,"EFF",,,,0,,,,"Default",,)</f>
        <v>E</v>
      </c>
      <c r="DB35" s="29" t="e">
        <f t="shared" ref="DB35:DB36" si="44">1+(DA35/100)</f>
        <v>#VALUE!</v>
      </c>
      <c r="DC35" s="28" t="str">
        <f>[1]!YBSCEN(X$18&amp;"(IOX)",X$20&amp;"d","Market",AnnReturn,"Swap",CurrentCloseDate,"LMMSkew","",$F35,$G35,$H35,,"Gradual","ParShift|N",0,OASChangeROR,0,,"EFF",,,,0,,,,"Default",,)</f>
        <v>E</v>
      </c>
      <c r="DD35" s="29" t="e">
        <f t="shared" ref="DD35:DD36" si="45">1+(DC35/100)</f>
        <v>#VALUE!</v>
      </c>
      <c r="DE35" s="28" t="str">
        <f>[1]!YBSCEN(X$18&amp;"(IOX)",X$20&amp;"d","Market",AnnReturn,"Swap",CurrentCloseDate,"LMMSkew","",$F35,$G35,$H35,,"Gradual","ParShift|N",0,PriceChangeROR,0,,"EFF",,,,0,,,,"Default",,)</f>
        <v>E</v>
      </c>
      <c r="DF35" s="29" t="e">
        <f t="shared" ref="DF35:DF36" si="46">1+(DE35/100)</f>
        <v>#VALUE!</v>
      </c>
      <c r="DG35" s="28" t="str">
        <f>[1]!YBSCEN(Y$18&amp;"(IOX)",Y$20&amp;"d","Market",AnnReturn,"Swap",CurrentCloseDate,"LMMSkew","",$F35,$G35,$H35,,"Gradual","ParShift|N",0,OASChangeROR,0,,"EFF",,,,0,,,,"Default",,)</f>
        <v>E</v>
      </c>
      <c r="DH35" s="29" t="e">
        <f t="shared" ref="DH35:DH36" si="47">1+(DG35/100)</f>
        <v>#VALUE!</v>
      </c>
      <c r="DI35" s="28" t="str">
        <f>[1]!YBSCEN(Y$18&amp;"(IOX)",Y$20&amp;"d","Market",AnnReturn,"Swap",CurrentCloseDate,"LMMSkew","",$F35,$G35,$H35,,"Gradual","ParShift|N",0,PriceChangeROR,0,,"EFF",,,,0,,,,"Default",,)</f>
        <v>E</v>
      </c>
      <c r="DJ35" s="29" t="e">
        <f t="shared" ref="DJ35:DJ36" si="48">1+(DI35/100)</f>
        <v>#VALUE!</v>
      </c>
      <c r="DK35" s="28" t="str">
        <f>[1]!YBSCEN(Z$18&amp;"(IOX)",Z$20&amp;"d","Market",AnnReturn,"Swap",CurrentCloseDate,"LMMSkew","",$F35,$G35,$H35,,"Gradual","ParShift|N",0,OASChangeROR,0,,"EFF",,,,0,,,,"Default",,)</f>
        <v>E</v>
      </c>
      <c r="DL35" s="29" t="e">
        <f t="shared" ref="DL35:DL36" si="49">1+(DK35/100)</f>
        <v>#VALUE!</v>
      </c>
      <c r="DM35" s="28" t="str">
        <f>[1]!YBSCEN(Z$18&amp;"(IOX)",Z$20&amp;"d","Market",AnnReturn,"Swap",CurrentCloseDate,"LMMSkew","",$F35,$G35,$H35,,"Gradual","ParShift|N",0,PriceChangeROR,0,,"EFF",,,,0,,,,"Default",,)</f>
        <v>E</v>
      </c>
      <c r="DN35" s="29" t="e">
        <f t="shared" ref="DN35:DN36" si="50">1+(DM35/100)</f>
        <v>#VALUE!</v>
      </c>
      <c r="DO35" s="28" t="str">
        <f>[1]!YBSCEN(AA$18&amp;"(IOX)",AA$20&amp;"d","Market",AnnReturn,"Swap",CurrentCloseDate,"LMMSkew","",$F35,$G35,$H35,,"Gradual","ParShift|N",0,OASChangeROR,0,,"EFF",,,,0,,,,"Default",,)</f>
        <v>E</v>
      </c>
      <c r="DP35" s="29" t="e">
        <f t="shared" ref="DP35:DP36" si="51">1+(DO35/100)</f>
        <v>#VALUE!</v>
      </c>
      <c r="DQ35" s="28" t="str">
        <f>[1]!YBSCEN(AA$18&amp;"(IOX)",AA$20&amp;"d","Market",AnnReturn,"Swap",CurrentCloseDate,"LMMSkew","",$F35,$G35,$H35,,"Gradual","ParShift|N",0,PriceChangeROR,0,,"EFF",,,,0,,,,"Default",,)</f>
        <v>E</v>
      </c>
      <c r="DR35" s="31" t="e">
        <f t="shared" ref="DR35:DR36" si="52">1+(DQ35/100)</f>
        <v>#VALUE!</v>
      </c>
      <c r="DS35" s="28" t="str">
        <f>[1]!YBSCEN(AB$18&amp;"(IOX)",AB$20&amp;"d","Market",AnnReturn,"Swap",CurrentCloseDate,"LMMSkew","",$F35,$G35,$H35,,"Gradual","ParShift|N",0,OASChangeROR,0,,"EFF",,,,0,,,,"Default",,)</f>
        <v>E</v>
      </c>
      <c r="DT35" s="31" t="e">
        <f t="shared" ref="DT35:DT36" si="53">1+(DS35/100)</f>
        <v>#VALUE!</v>
      </c>
      <c r="DU35" s="47" t="str">
        <f>[1]!YBSCEN(AB$18&amp;"(IOX)",AB$20&amp;"d","Market",AnnReturn,"Swap",CurrentCloseDate,"LMMSkew","",$F35,$G35,$H35,,"Gradual","ParShift|N",0,PriceChangeROR,0,,"EFF",,,,0,,,,"Default",,)</f>
        <v>E</v>
      </c>
      <c r="DV35" s="48" t="e">
        <f t="shared" ref="DV35:DV36" si="54">1+(DU35/100)</f>
        <v>#VALUE!</v>
      </c>
      <c r="DW35" s="28" t="str">
        <f>[1]!YBSCEN(AC$18&amp;"(IOX)",AC$20&amp;"d","Market",AnnReturn,"Swap",CurrentCloseDate,"LMMSkew","",$F35,$G35,$H35,,"Gradual","ParShift|N",0,OASChangeROR,0,,"EFF",,,,0,,,,"Default",,)</f>
        <v>E</v>
      </c>
      <c r="DX35" s="31" t="e">
        <f t="shared" ref="DX35:DX36" si="55">1+(DW35/100)</f>
        <v>#VALUE!</v>
      </c>
      <c r="DY35" s="47" t="str">
        <f>[1]!YBSCEN(AC$18&amp;"(IOX)",AC$20&amp;"d","Market",AnnReturn,"Swap",CurrentCloseDate,"LMMSkew","",$F35,$G35,$H35,,"Gradual","ParShift|N",0,PriceChangeROR,0,,"EFF",,,,0,,,,"Default",,)</f>
        <v>E</v>
      </c>
      <c r="DZ35" s="48" t="e">
        <f t="shared" ref="DZ35:DZ36" si="56">1+(DY35/100)</f>
        <v>#VALUE!</v>
      </c>
      <c r="EA35" s="28" t="str">
        <f>[1]!YBSCEN(AD$18&amp;"(IOX)",AD$20&amp;"d","Market",AnnReturn,"Swap",CurrentCloseDate,"LMMSkew","",$F35,$G35,$H35,,"Gradual","ParShift|N",0,OASChangeROR,0,,"EFF",,,,0,,,,"Default",,)</f>
        <v>E</v>
      </c>
      <c r="EB35" s="31" t="e">
        <f t="shared" ref="EB35:EB36" si="57">1+(EA35/100)</f>
        <v>#VALUE!</v>
      </c>
      <c r="EC35" s="47" t="str">
        <f>[1]!YBSCEN(AD$18&amp;"(IOX)",AD$20&amp;"d","Market",AnnReturn,"Swap",CurrentCloseDate,"LMMSkew","",$F35,$G35,$H35,,"Gradual","ParShift|N",0,PriceChangeROR,0,,"EFF",,,,0,,,,"Default",,)</f>
        <v>E</v>
      </c>
      <c r="ED35" s="48" t="e">
        <f t="shared" ref="ED35:ED36" si="58">1+(EC35/100)</f>
        <v>#VALUE!</v>
      </c>
      <c r="EE35" s="28" t="str">
        <f>[1]!YBSCEN(AE$18&amp;"(IOX)",AE$20&amp;"d","Market",AnnReturn,"Swap",CurrentCloseDate,"LMMSkew","",$F35,$G35,$H35,,"Gradual","ParShift|N",0,OASChangeROR,0,,"EFF",,,,0,,,,"Default",,)</f>
        <v>E</v>
      </c>
      <c r="EF35" s="31" t="e">
        <f t="shared" ref="EF35:EF36" si="59">1+(EE35/100)</f>
        <v>#VALUE!</v>
      </c>
      <c r="EG35" s="47" t="str">
        <f>[1]!YBSCEN(AE$18&amp;"(IOX)",AE$20&amp;"d","Market",AnnReturn,"Swap",CurrentCloseDate,"LMMSkew","",$F35,$G35,$H35,,"Gradual","ParShift|N",0,PriceChangeROR,0,,"EFF",,,,0,,,,"Default",,)</f>
        <v>E</v>
      </c>
      <c r="EH35" s="48" t="e">
        <f t="shared" ref="EH35:EH36" si="60">1+(EG35/100)</f>
        <v>#VALUE!</v>
      </c>
    </row>
    <row r="36" spans="2:138" ht="15">
      <c r="F36" s="8" t="s">
        <v>35</v>
      </c>
      <c r="G36" s="15">
        <v>100</v>
      </c>
      <c r="H36" s="58">
        <v>3</v>
      </c>
      <c r="I36" s="32">
        <f t="shared" ref="I36" si="61">EDATE(CurrentCloseDate, H36)</f>
        <v>42277</v>
      </c>
      <c r="J36" s="37">
        <f t="shared" si="31"/>
        <v>0</v>
      </c>
      <c r="K36" s="36" t="e">
        <f>#REF!</f>
        <v>#REF!</v>
      </c>
      <c r="L36" s="37">
        <f t="shared" si="32"/>
        <v>0</v>
      </c>
      <c r="M36" s="35">
        <f>BK36</f>
        <v>0</v>
      </c>
      <c r="N36" s="35">
        <f>BO36</f>
        <v>0</v>
      </c>
      <c r="O36" s="38">
        <f>BS36</f>
        <v>0</v>
      </c>
      <c r="P36" s="252">
        <f t="shared" si="33"/>
        <v>0</v>
      </c>
      <c r="Q36" s="252">
        <f>CA36</f>
        <v>0</v>
      </c>
      <c r="R36" s="35">
        <f>CE36</f>
        <v>0</v>
      </c>
      <c r="S36" s="164">
        <f t="shared" si="34"/>
        <v>-4.6210000000000004</v>
      </c>
      <c r="T36" s="41" t="str">
        <f>CM36</f>
        <v>E</v>
      </c>
      <c r="U36" s="39" t="str">
        <f>CQ36</f>
        <v>E</v>
      </c>
      <c r="V36" s="40" t="str">
        <f>CU36</f>
        <v>E</v>
      </c>
      <c r="W36" s="42" t="str">
        <f>CY36</f>
        <v>E</v>
      </c>
      <c r="X36" s="253" t="str">
        <f>DC36</f>
        <v>E</v>
      </c>
      <c r="Y36" s="41" t="str">
        <f>DG36</f>
        <v>E</v>
      </c>
      <c r="Z36" s="259" t="str">
        <f>DK36</f>
        <v>E</v>
      </c>
      <c r="AA36" s="259" t="str">
        <f>DO36</f>
        <v>E</v>
      </c>
      <c r="AB36" s="256" t="str">
        <f>DS36</f>
        <v>E</v>
      </c>
      <c r="AC36" s="39" t="str">
        <f>DW36</f>
        <v>E</v>
      </c>
      <c r="AD36" s="40" t="str">
        <f>EA36</f>
        <v>E</v>
      </c>
      <c r="AE36" s="42" t="str">
        <f>EE36</f>
        <v>E</v>
      </c>
      <c r="AH36" s="312" t="s">
        <v>156</v>
      </c>
      <c r="AI36" s="313"/>
      <c r="AJ36" s="208" t="str">
        <f>[1]!YBHIST("Base Mortgage Rate",CurrentCloseDate,"yield","bmk","")</f>
        <v>E</v>
      </c>
      <c r="AK36" s="318" t="e">
        <f>AJ36-[1]!YBHIST("Base Mortgage Rate",PrevCloseDate,"yield","bmk","")</f>
        <v>#VALUE!</v>
      </c>
      <c r="AL36" s="13"/>
      <c r="AY36"/>
      <c r="AZ36"/>
      <c r="BA36" s="330">
        <f>[1]!YBSCEN(S$18&amp;"(IOX)",S$20&amp;"d","Market",AnnReturn,"Swap",CurrentCloseDate,"LMMSkew","",$F36,$G36,$H36,,"Gradual","ParShift|N",0,OASChangeROR,0,,"EFF",,,,0,,,,"Default",,)</f>
        <v>-0.80600000000000005</v>
      </c>
      <c r="BB36" s="331">
        <f t="shared" si="35"/>
        <v>0.99194000000000004</v>
      </c>
      <c r="BC36" s="325">
        <f>[1]!YBSCEN(S$18&amp;"(IOX)",S$20&amp;"d","Market",AnnReturn,"Swap",CurrentCloseDate,"LMMSkew","",$F36,$G36,$H36,,"Gradual","ParShift|N",0,PriceChangeROR,0,,"EFF",,,,0,,,,"Default",,)</f>
        <v>-4.6210000000000004</v>
      </c>
      <c r="BD36" s="29">
        <f t="shared" si="36"/>
        <v>0.95379000000000003</v>
      </c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M36" s="28" t="str">
        <f>[1]!YBSCEN(T$18&amp;"(IOX)",T$20&amp;"d","Market",AnnReturn,"Swap",CurrentCloseDate,"LMMSkew","",$F36,$G36,$H36,,"Gradual","ParShift|N",0,OASChangeROR,0,,"EFF",,,,0,,,,"Default",,)</f>
        <v>E</v>
      </c>
      <c r="CN36" s="29" t="e">
        <f t="shared" si="37"/>
        <v>#VALUE!</v>
      </c>
      <c r="CO36" s="28" t="str">
        <f>[1]!YBSCEN(T$18&amp;"(IOX)",T$20&amp;"d","Market",AnnReturn,"Swap",CurrentCloseDate,"LMMSkew","",$F36,$G36,$H36,,"Gradual","ParShift|N",0,PriceChangeROR,0,,"EFF",,,,0,,,,"Default",,)</f>
        <v>E</v>
      </c>
      <c r="CP36" s="29" t="e">
        <f t="shared" si="38"/>
        <v>#VALUE!</v>
      </c>
      <c r="CQ36" s="28" t="str">
        <f>[1]!YBSCEN(U$18&amp;"(IOX)",U$20&amp;"d","Market",AnnReturn,"Swap",CurrentCloseDate,"LMMSkew","",$F36,$G36,$H36,,"Gradual","ParShift|N",0,OASChangeROR,0,,"EFF",,,,0,,,,"Default",,)</f>
        <v>E</v>
      </c>
      <c r="CR36" s="29" t="e">
        <f t="shared" si="39"/>
        <v>#VALUE!</v>
      </c>
      <c r="CS36" s="28" t="str">
        <f>[1]!YBSCEN(U$18&amp;"(IOX)",U$20&amp;"d","Market",AnnReturn,"Swap",CurrentCloseDate,"LMMSkew","",$F36,$G36,$H36,,"Gradual","ParShift|N",0,PriceChangeROR,0,,"EFF",,,,0,,,,"Default",,)</f>
        <v>E</v>
      </c>
      <c r="CT36" s="29" t="e">
        <f t="shared" si="40"/>
        <v>#VALUE!</v>
      </c>
      <c r="CU36" s="28" t="str">
        <f>[1]!YBSCEN(V$18&amp;"(IOX)",V$20&amp;"d","Market",AnnReturn,"Swap",CurrentCloseDate,"LMMSkew","",$F36,$G36,$H36,,"Gradual","ParShift|N",0,OASChangeROR,0,,"EFF",,,,0,,,,"Default",,)</f>
        <v>E</v>
      </c>
      <c r="CV36" s="29" t="e">
        <f t="shared" si="41"/>
        <v>#VALUE!</v>
      </c>
      <c r="CW36" s="28" t="str">
        <f>[1]!YBSCEN(V$18&amp;"(IOX)",V$20&amp;"d","Market",AnnReturn,"Swap",CurrentCloseDate,"LMMSkew","",$F36,$G36,$H36,,"Gradual","ParShift|N",0,PriceChangeROR,0,,"EFF",,,,0,,,,"Default",,)</f>
        <v>E</v>
      </c>
      <c r="CX36" s="29" t="e">
        <f t="shared" si="42"/>
        <v>#VALUE!</v>
      </c>
      <c r="CY36" s="28" t="str">
        <f>[1]!YBSCEN(W$18&amp;"(IOX)",W$20&amp;"d","Market",AnnReturn,"Swap",CurrentCloseDate,"LMMSkew","",$F36,$G36,$H36,,"Gradual","ParShift|N",0,OASChangeROR,0,,"EFF",,,,0,,,,"Default",,)</f>
        <v>E</v>
      </c>
      <c r="CZ36" s="29" t="e">
        <f t="shared" si="43"/>
        <v>#VALUE!</v>
      </c>
      <c r="DA36" s="28" t="str">
        <f>[1]!YBSCEN(W$18&amp;"(IOX)",W$20&amp;"d","Market",AnnReturn,"Swap",CurrentCloseDate,"LMMSkew","",$F36,$G36,$H36,,"Gradual","ParShift|N",0,PriceChangeROR,0,,"EFF",,,,0,,,,"Default",,)</f>
        <v>E</v>
      </c>
      <c r="DB36" s="29" t="e">
        <f t="shared" si="44"/>
        <v>#VALUE!</v>
      </c>
      <c r="DC36" s="28" t="str">
        <f>[1]!YBSCEN(X$18&amp;"(IOX)",X$20&amp;"d","Market",AnnReturn,"Swap",CurrentCloseDate,"LMMSkew","",$F36,$G36,$H36,,"Gradual","ParShift|N",0,OASChangeROR,0,,"EFF",,,,0,,,,"Default",,)</f>
        <v>E</v>
      </c>
      <c r="DD36" s="29" t="e">
        <f t="shared" si="45"/>
        <v>#VALUE!</v>
      </c>
      <c r="DE36" s="28" t="str">
        <f>[1]!YBSCEN(X$18&amp;"(IOX)",X$20&amp;"d","Market",AnnReturn,"Swap",CurrentCloseDate,"LMMSkew","",$F36,$G36,$H36,,"Gradual","ParShift|N",0,PriceChangeROR,0,,"EFF",,,,0,,,,"Default",,)</f>
        <v>E</v>
      </c>
      <c r="DF36" s="29" t="e">
        <f t="shared" si="46"/>
        <v>#VALUE!</v>
      </c>
      <c r="DG36" s="28" t="str">
        <f>[1]!YBSCEN(Y$18&amp;"(IOX)",Y$20&amp;"d","Market",AnnReturn,"Swap",CurrentCloseDate,"LMMSkew","",$F36,$G36,$H36,,"Gradual","ParShift|N",0,OASChangeROR,0,,"EFF",,,,0,,,,"Default",,)</f>
        <v>E</v>
      </c>
      <c r="DH36" s="29" t="e">
        <f t="shared" si="47"/>
        <v>#VALUE!</v>
      </c>
      <c r="DI36" s="28" t="str">
        <f>[1]!YBSCEN(Y$18&amp;"(IOX)",Y$20&amp;"d","Market",AnnReturn,"Swap",CurrentCloseDate,"LMMSkew","",$F36,$G36,$H36,,"Gradual","ParShift|N",0,PriceChangeROR,0,,"EFF",,,,0,,,,"Default",,)</f>
        <v>E</v>
      </c>
      <c r="DJ36" s="29" t="e">
        <f t="shared" si="48"/>
        <v>#VALUE!</v>
      </c>
      <c r="DK36" s="28" t="str">
        <f>[1]!YBSCEN(Z$18&amp;"(IOX)",Z$20&amp;"d","Market",AnnReturn,"Swap",CurrentCloseDate,"LMMSkew","",$F36,$G36,$H36,,"Gradual","ParShift|N",0,OASChangeROR,0,,"EFF",,,,0,,,,"Default",,)</f>
        <v>E</v>
      </c>
      <c r="DL36" s="29" t="e">
        <f t="shared" si="49"/>
        <v>#VALUE!</v>
      </c>
      <c r="DM36" s="28" t="str">
        <f>[1]!YBSCEN(Z$18&amp;"(IOX)",Z$20&amp;"d","Market",AnnReturn,"Swap",CurrentCloseDate,"LMMSkew","",$F36,$G36,$H36,,"Gradual","ParShift|N",0,PriceChangeROR,0,,"EFF",,,,0,,,,"Default",,)</f>
        <v>E</v>
      </c>
      <c r="DN36" s="29" t="e">
        <f t="shared" si="50"/>
        <v>#VALUE!</v>
      </c>
      <c r="DO36" s="28" t="str">
        <f>[1]!YBSCEN(AA$18&amp;"(IOX)",AA$20&amp;"d","Market",AnnReturn,"Swap",CurrentCloseDate,"LMMSkew","",$F36,$G36,$H36,,"Gradual","ParShift|N",0,OASChangeROR,0,,"EFF",,,,0,,,,"Default",,)</f>
        <v>E</v>
      </c>
      <c r="DP36" s="29" t="e">
        <f t="shared" si="51"/>
        <v>#VALUE!</v>
      </c>
      <c r="DQ36" s="28" t="str">
        <f>[1]!YBSCEN(AA$18&amp;"(IOX)",AA$20&amp;"d","Market",AnnReturn,"Swap",CurrentCloseDate,"LMMSkew","",$F36,$G36,$H36,,"Gradual","ParShift|N",0,PriceChangeROR,0,,"EFF",,,,0,,,,"Default",,)</f>
        <v>E</v>
      </c>
      <c r="DR36" s="31" t="e">
        <f t="shared" si="52"/>
        <v>#VALUE!</v>
      </c>
      <c r="DS36" s="28" t="str">
        <f>[1]!YBSCEN(AB$18&amp;"(IOX)",AB$20&amp;"d","Market",AnnReturn,"Swap",CurrentCloseDate,"LMMSkew","",$F36,$G36,$H36,,"Gradual","ParShift|N",0,OASChangeROR,0,,"EFF",,,,0,,,,"Default",,)</f>
        <v>E</v>
      </c>
      <c r="DT36" s="31" t="e">
        <f t="shared" si="53"/>
        <v>#VALUE!</v>
      </c>
      <c r="DU36" s="47" t="str">
        <f>[1]!YBSCEN(AB$18&amp;"(IOX)",AB$20&amp;"d","Market",AnnReturn,"Swap",CurrentCloseDate,"LMMSkew","",$F36,$G36,$H36,,"Gradual","ParShift|N",0,PriceChangeROR,0,,"EFF",,,,0,,,,"Default",,)</f>
        <v>E</v>
      </c>
      <c r="DV36" s="48" t="e">
        <f t="shared" si="54"/>
        <v>#VALUE!</v>
      </c>
      <c r="DW36" s="28" t="str">
        <f>[1]!YBSCEN(AC$18&amp;"(IOX)",AC$20&amp;"d","Market",AnnReturn,"Swap",CurrentCloseDate,"LMMSkew","",$F36,$G36,$H36,,"Gradual","ParShift|N",0,OASChangeROR,0,,"EFF",,,,0,,,,"Default",,)</f>
        <v>E</v>
      </c>
      <c r="DX36" s="31" t="e">
        <f t="shared" si="55"/>
        <v>#VALUE!</v>
      </c>
      <c r="DY36" s="47" t="str">
        <f>[1]!YBSCEN(AC$18&amp;"(IOX)",AC$20&amp;"d","Market",AnnReturn,"Swap",CurrentCloseDate,"LMMSkew","",$F36,$G36,$H36,,"Gradual","ParShift|N",0,PriceChangeROR,0,,"EFF",,,,0,,,,"Default",,)</f>
        <v>E</v>
      </c>
      <c r="DZ36" s="48" t="e">
        <f t="shared" si="56"/>
        <v>#VALUE!</v>
      </c>
      <c r="EA36" s="28" t="str">
        <f>[1]!YBSCEN(AD$18&amp;"(IOX)",AD$20&amp;"d","Market",AnnReturn,"Swap",CurrentCloseDate,"LMMSkew","",$F36,$G36,$H36,,"Gradual","ParShift|N",0,OASChangeROR,0,,"EFF",,,,0,,,,"Default",,)</f>
        <v>E</v>
      </c>
      <c r="EB36" s="31" t="e">
        <f t="shared" si="57"/>
        <v>#VALUE!</v>
      </c>
      <c r="EC36" s="47" t="str">
        <f>[1]!YBSCEN(AD$18&amp;"(IOX)",AD$20&amp;"d","Market",AnnReturn,"Swap",CurrentCloseDate,"LMMSkew","",$F36,$G36,$H36,,"Gradual","ParShift|N",0,PriceChangeROR,0,,"EFF",,,,0,,,,"Default",,)</f>
        <v>E</v>
      </c>
      <c r="ED36" s="48" t="e">
        <f t="shared" si="58"/>
        <v>#VALUE!</v>
      </c>
      <c r="EE36" s="28" t="str">
        <f>[1]!YBSCEN(AE$18&amp;"(IOX)",AE$20&amp;"d","Market",AnnReturn,"Swap",CurrentCloseDate,"LMMSkew","",$F36,$G36,$H36,,"Gradual","ParShift|N",0,OASChangeROR,0,,"EFF",,,,0,,,,"Default",,)</f>
        <v>E</v>
      </c>
      <c r="EF36" s="31" t="e">
        <f t="shared" si="59"/>
        <v>#VALUE!</v>
      </c>
      <c r="EG36" s="47" t="str">
        <f>[1]!YBSCEN(AE$18&amp;"(IOX)",AE$20&amp;"d","Market",AnnReturn,"Swap",CurrentCloseDate,"LMMSkew","",$F36,$G36,$H36,,"Gradual","ParShift|N",0,PriceChangeROR,0,,"EFF",,,,0,,,,"Default",,)</f>
        <v>E</v>
      </c>
      <c r="EH36" s="48" t="e">
        <f t="shared" si="60"/>
        <v>#VALUE!</v>
      </c>
    </row>
    <row r="37" spans="2:138" ht="15">
      <c r="F37" s="8" t="s">
        <v>35</v>
      </c>
      <c r="G37" s="15">
        <v>100</v>
      </c>
      <c r="H37" s="58">
        <v>4</v>
      </c>
      <c r="I37" s="32">
        <f t="shared" ref="I37:I39" si="62">EDATE(CurrentCloseDate, H37)</f>
        <v>42307</v>
      </c>
      <c r="J37" s="37">
        <f t="shared" ref="J37:J39" si="63">AY37</f>
        <v>0</v>
      </c>
      <c r="K37" s="36" t="e">
        <f>#REF!</f>
        <v>#REF!</v>
      </c>
      <c r="L37" s="37">
        <f t="shared" ref="L37:L39" si="64">BG37</f>
        <v>0</v>
      </c>
      <c r="M37" s="35">
        <f t="shared" ref="M37:M39" si="65">BK37</f>
        <v>0</v>
      </c>
      <c r="N37" s="35">
        <f t="shared" ref="N37:N39" si="66">BO37</f>
        <v>0</v>
      </c>
      <c r="O37" s="38">
        <f t="shared" ref="O37:O39" si="67">BS37</f>
        <v>0</v>
      </c>
      <c r="P37" s="252">
        <f t="shared" ref="P37:P39" si="68">BW37</f>
        <v>0</v>
      </c>
      <c r="Q37" s="252">
        <f t="shared" ref="Q37:Q39" si="69">CA37</f>
        <v>0</v>
      </c>
      <c r="R37" s="35">
        <f t="shared" ref="R37:R39" si="70">CE37</f>
        <v>0</v>
      </c>
      <c r="S37" s="164">
        <f t="shared" si="34"/>
        <v>-3.569</v>
      </c>
      <c r="T37" s="41" t="str">
        <f t="shared" ref="T37:T39" si="71">CM37</f>
        <v>E</v>
      </c>
      <c r="U37" s="39" t="str">
        <f t="shared" ref="U37:U39" si="72">CQ37</f>
        <v>E</v>
      </c>
      <c r="V37" s="40" t="str">
        <f t="shared" ref="V37:V39" si="73">CU37</f>
        <v>E</v>
      </c>
      <c r="W37" s="42" t="str">
        <f t="shared" ref="W37:W39" si="74">CY37</f>
        <v>E</v>
      </c>
      <c r="X37" s="253" t="str">
        <f t="shared" ref="X37:X39" si="75">DC37</f>
        <v>E</v>
      </c>
      <c r="Y37" s="41" t="str">
        <f t="shared" ref="Y37:Y39" si="76">DG37</f>
        <v>E</v>
      </c>
      <c r="Z37" s="259" t="str">
        <f t="shared" ref="Z37:Z39" si="77">DK37</f>
        <v>E</v>
      </c>
      <c r="AA37" s="259" t="str">
        <f t="shared" ref="AA37:AA39" si="78">DO37</f>
        <v>E</v>
      </c>
      <c r="AB37" s="256" t="str">
        <f t="shared" ref="AB37:AB39" si="79">DS37</f>
        <v>E</v>
      </c>
      <c r="AC37" s="39" t="str">
        <f t="shared" ref="AC37:AC39" si="80">DW37</f>
        <v>E</v>
      </c>
      <c r="AD37" s="40" t="str">
        <f t="shared" ref="AD37:AD39" si="81">EA37</f>
        <v>E</v>
      </c>
      <c r="AE37" s="42" t="str">
        <f t="shared" ref="AE37:AE39" si="82">EE37</f>
        <v>E</v>
      </c>
      <c r="AH37" s="312" t="s">
        <v>156</v>
      </c>
      <c r="AI37" s="313"/>
      <c r="AJ37" s="208" t="str">
        <f>[1]!YBHIST("Base Mortgage Rate",CurrentCloseDate,"yield","bmk","")</f>
        <v>E</v>
      </c>
      <c r="AK37" s="318" t="e">
        <f>AJ37-[1]!YBHIST("Base Mortgage Rate",PrevCloseDate,"yield","bmk","")</f>
        <v>#VALUE!</v>
      </c>
      <c r="AL37" s="13"/>
      <c r="AY37"/>
      <c r="AZ37"/>
      <c r="BA37" s="330">
        <f>[1]!YBSCEN(S$18&amp;"(IOX)",S$20&amp;"d","Market",AnnReturn,"Swap",CurrentCloseDate,"LMMSkew","",$F37,$G37,$H37,,"Gradual","ParShift|N",0,OASChangeROR,0,,"EFF",,,,0,,,,"Default",,)</f>
        <v>-0.76300000000000001</v>
      </c>
      <c r="BB37" s="331">
        <f t="shared" ref="BB37:BB39" si="83">1+(BA37/100)</f>
        <v>0.99236999999999997</v>
      </c>
      <c r="BC37" s="325">
        <f>[1]!YBSCEN(S$18&amp;"(IOX)",S$20&amp;"d","Market",AnnReturn,"Swap",CurrentCloseDate,"LMMSkew","",$F37,$G37,$H37,,"Gradual","ParShift|N",0,PriceChangeROR,0,,"EFF",,,,0,,,,"Default",,)</f>
        <v>-3.569</v>
      </c>
      <c r="BD37" s="29">
        <f t="shared" ref="BD37:BD39" si="84">1+(BC37/100)</f>
        <v>0.96431</v>
      </c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M37" s="28" t="str">
        <f>[1]!YBSCEN(T$18&amp;"(IOX)",T$20&amp;"d","Market",AnnReturn,"Swap",CurrentCloseDate,"LMMSkew","",$F37,$G37,$H37,,"Gradual","ParShift|N",0,OASChangeROR,0,,"EFF",,,,0,,,,"Default",,)</f>
        <v>E</v>
      </c>
      <c r="CN37" s="29" t="e">
        <f t="shared" ref="CN37:CN39" si="85">1+(CM37/100)</f>
        <v>#VALUE!</v>
      </c>
      <c r="CO37" s="28" t="str">
        <f>[1]!YBSCEN(T$18&amp;"(IOX)",T$20&amp;"d","Market",AnnReturn,"Swap",CurrentCloseDate,"LMMSkew","",$F37,$G37,$H37,,"Gradual","ParShift|N",0,PriceChangeROR,0,,"EFF",,,,0,,,,"Default",,)</f>
        <v>E</v>
      </c>
      <c r="CP37" s="29" t="e">
        <f t="shared" ref="CP37:CP39" si="86">1+(CO37/100)</f>
        <v>#VALUE!</v>
      </c>
      <c r="CQ37" s="28" t="str">
        <f>[1]!YBSCEN(U$18&amp;"(IOX)",U$20&amp;"d","Market",AnnReturn,"Swap",CurrentCloseDate,"LMMSkew","",$F37,$G37,$H37,,"Gradual","ParShift|N",0,OASChangeROR,0,,"EFF",,,,0,,,,"Default",,)</f>
        <v>E</v>
      </c>
      <c r="CR37" s="29" t="e">
        <f t="shared" ref="CR37:CR39" si="87">1+(CQ37/100)</f>
        <v>#VALUE!</v>
      </c>
      <c r="CS37" s="28" t="str">
        <f>[1]!YBSCEN(U$18&amp;"(IOX)",U$20&amp;"d","Market",AnnReturn,"Swap",CurrentCloseDate,"LMMSkew","",$F37,$G37,$H37,,"Gradual","ParShift|N",0,PriceChangeROR,0,,"EFF",,,,0,,,,"Default",,)</f>
        <v>E</v>
      </c>
      <c r="CT37" s="29" t="e">
        <f t="shared" ref="CT37:CT39" si="88">1+(CS37/100)</f>
        <v>#VALUE!</v>
      </c>
      <c r="CU37" s="28" t="str">
        <f>[1]!YBSCEN(V$18&amp;"(IOX)",V$20&amp;"d","Market",AnnReturn,"Swap",CurrentCloseDate,"LMMSkew","",$F37,$G37,$H37,,"Gradual","ParShift|N",0,OASChangeROR,0,,"EFF",,,,0,,,,"Default",,)</f>
        <v>E</v>
      </c>
      <c r="CV37" s="29" t="e">
        <f t="shared" ref="CV37:CV39" si="89">1+(CU37/100)</f>
        <v>#VALUE!</v>
      </c>
      <c r="CW37" s="28" t="str">
        <f>[1]!YBSCEN(V$18&amp;"(IOX)",V$20&amp;"d","Market",AnnReturn,"Swap",CurrentCloseDate,"LMMSkew","",$F37,$G37,$H37,,"Gradual","ParShift|N",0,PriceChangeROR,0,,"EFF",,,,0,,,,"Default",,)</f>
        <v>E</v>
      </c>
      <c r="CX37" s="29" t="e">
        <f t="shared" ref="CX37:CX39" si="90">1+(CW37/100)</f>
        <v>#VALUE!</v>
      </c>
      <c r="CY37" s="28" t="str">
        <f>[1]!YBSCEN(W$18&amp;"(IOX)",W$20&amp;"d","Market",AnnReturn,"Swap",CurrentCloseDate,"LMMSkew","",$F37,$G37,$H37,,"Gradual","ParShift|N",0,OASChangeROR,0,,"EFF",,,,0,,,,"Default",,)</f>
        <v>E</v>
      </c>
      <c r="CZ37" s="29" t="e">
        <f t="shared" ref="CZ37:CZ39" si="91">1+(CY37/100)</f>
        <v>#VALUE!</v>
      </c>
      <c r="DA37" s="28" t="str">
        <f>[1]!YBSCEN(W$18&amp;"(IOX)",W$20&amp;"d","Market",AnnReturn,"Swap",CurrentCloseDate,"LMMSkew","",$F37,$G37,$H37,,"Gradual","ParShift|N",0,PriceChangeROR,0,,"EFF",,,,0,,,,"Default",,)</f>
        <v>E</v>
      </c>
      <c r="DB37" s="29" t="e">
        <f t="shared" ref="DB37:DB39" si="92">1+(DA37/100)</f>
        <v>#VALUE!</v>
      </c>
      <c r="DC37" s="28" t="str">
        <f>[1]!YBSCEN(X$18&amp;"(IOX)",X$20&amp;"d","Market",AnnReturn,"Swap",CurrentCloseDate,"LMMSkew","",$F37,$G37,$H37,,"Gradual","ParShift|N",0,OASChangeROR,0,,"EFF",,,,0,,,,"Default",,)</f>
        <v>E</v>
      </c>
      <c r="DD37" s="29" t="e">
        <f t="shared" ref="DD37:DD39" si="93">1+(DC37/100)</f>
        <v>#VALUE!</v>
      </c>
      <c r="DE37" s="28" t="str">
        <f>[1]!YBSCEN(X$18&amp;"(IOX)",X$20&amp;"d","Market",AnnReturn,"Swap",CurrentCloseDate,"LMMSkew","",$F37,$G37,$H37,,"Gradual","ParShift|N",0,PriceChangeROR,0,,"EFF",,,,0,,,,"Default",,)</f>
        <v>E</v>
      </c>
      <c r="DF37" s="29" t="e">
        <f t="shared" ref="DF37:DF39" si="94">1+(DE37/100)</f>
        <v>#VALUE!</v>
      </c>
      <c r="DG37" s="28" t="str">
        <f>[1]!YBSCEN(Y$18&amp;"(IOX)",Y$20&amp;"d","Market",AnnReturn,"Swap",CurrentCloseDate,"LMMSkew","",$F37,$G37,$H37,,"Gradual","ParShift|N",0,OASChangeROR,0,,"EFF",,,,0,,,,"Default",,)</f>
        <v>E</v>
      </c>
      <c r="DH37" s="29" t="e">
        <f t="shared" ref="DH37:DH39" si="95">1+(DG37/100)</f>
        <v>#VALUE!</v>
      </c>
      <c r="DI37" s="28" t="str">
        <f>[1]!YBSCEN(Y$18&amp;"(IOX)",Y$20&amp;"d","Market",AnnReturn,"Swap",CurrentCloseDate,"LMMSkew","",$F37,$G37,$H37,,"Gradual","ParShift|N",0,PriceChangeROR,0,,"EFF",,,,0,,,,"Default",,)</f>
        <v>E</v>
      </c>
      <c r="DJ37" s="29" t="e">
        <f t="shared" ref="DJ37:DJ39" si="96">1+(DI37/100)</f>
        <v>#VALUE!</v>
      </c>
      <c r="DK37" s="28" t="str">
        <f>[1]!YBSCEN(Z$18&amp;"(IOX)",Z$20&amp;"d","Market",AnnReturn,"Swap",CurrentCloseDate,"LMMSkew","",$F37,$G37,$H37,,"Gradual","ParShift|N",0,OASChangeROR,0,,"EFF",,,,0,,,,"Default",,)</f>
        <v>E</v>
      </c>
      <c r="DL37" s="29" t="e">
        <f t="shared" ref="DL37:DL39" si="97">1+(DK37/100)</f>
        <v>#VALUE!</v>
      </c>
      <c r="DM37" s="28" t="str">
        <f>[1]!YBSCEN(Z$18&amp;"(IOX)",Z$20&amp;"d","Market",AnnReturn,"Swap",CurrentCloseDate,"LMMSkew","",$F37,$G37,$H37,,"Gradual","ParShift|N",0,PriceChangeROR,0,,"EFF",,,,0,,,,"Default",,)</f>
        <v>E</v>
      </c>
      <c r="DN37" s="29" t="e">
        <f t="shared" ref="DN37:DN39" si="98">1+(DM37/100)</f>
        <v>#VALUE!</v>
      </c>
      <c r="DO37" s="28" t="str">
        <f>[1]!YBSCEN(AA$18&amp;"(IOX)",AA$20&amp;"d","Market",AnnReturn,"Swap",CurrentCloseDate,"LMMSkew","",$F37,$G37,$H37,,"Gradual","ParShift|N",0,OASChangeROR,0,,"EFF",,,,0,,,,"Default",,)</f>
        <v>E</v>
      </c>
      <c r="DP37" s="29" t="e">
        <f t="shared" ref="DP37:DP39" si="99">1+(DO37/100)</f>
        <v>#VALUE!</v>
      </c>
      <c r="DQ37" s="28" t="str">
        <f>[1]!YBSCEN(AA$18&amp;"(IOX)",AA$20&amp;"d","Market",AnnReturn,"Swap",CurrentCloseDate,"LMMSkew","",$F37,$G37,$H37,,"Gradual","ParShift|N",0,PriceChangeROR,0,,"EFF",,,,0,,,,"Default",,)</f>
        <v>E</v>
      </c>
      <c r="DR37" s="31" t="e">
        <f t="shared" ref="DR37:DR39" si="100">1+(DQ37/100)</f>
        <v>#VALUE!</v>
      </c>
      <c r="DS37" s="28" t="str">
        <f>[1]!YBSCEN(AB$18&amp;"(IOX)",AB$20&amp;"d","Market",AnnReturn,"Swap",CurrentCloseDate,"LMMSkew","",$F37,$G37,$H37,,"Gradual","ParShift|N",0,OASChangeROR,0,,"EFF",,,,0,,,,"Default",,)</f>
        <v>E</v>
      </c>
      <c r="DT37" s="31" t="e">
        <f t="shared" ref="DT37:DT39" si="101">1+(DS37/100)</f>
        <v>#VALUE!</v>
      </c>
      <c r="DU37" s="47" t="str">
        <f>[1]!YBSCEN(AB$18&amp;"(IOX)",AB$20&amp;"d","Market",AnnReturn,"Swap",CurrentCloseDate,"LMMSkew","",$F37,$G37,$H37,,"Gradual","ParShift|N",0,PriceChangeROR,0,,"EFF",,,,0,,,,"Default",,)</f>
        <v>E</v>
      </c>
      <c r="DV37" s="48" t="e">
        <f t="shared" ref="DV37:DV39" si="102">1+(DU37/100)</f>
        <v>#VALUE!</v>
      </c>
      <c r="DW37" s="28" t="str">
        <f>[1]!YBSCEN(AC$18&amp;"(IOX)",AC$20&amp;"d","Market",AnnReturn,"Swap",CurrentCloseDate,"LMMSkew","",$F37,$G37,$H37,,"Gradual","ParShift|N",0,OASChangeROR,0,,"EFF",,,,0,,,,"Default",,)</f>
        <v>E</v>
      </c>
      <c r="DX37" s="31" t="e">
        <f t="shared" ref="DX37:DX39" si="103">1+(DW37/100)</f>
        <v>#VALUE!</v>
      </c>
      <c r="DY37" s="47" t="str">
        <f>[1]!YBSCEN(AC$18&amp;"(IOX)",AC$20&amp;"d","Market",AnnReturn,"Swap",CurrentCloseDate,"LMMSkew","",$F37,$G37,$H37,,"Gradual","ParShift|N",0,PriceChangeROR,0,,"EFF",,,,0,,,,"Default",,)</f>
        <v>E</v>
      </c>
      <c r="DZ37" s="48" t="e">
        <f t="shared" ref="DZ37:DZ39" si="104">1+(DY37/100)</f>
        <v>#VALUE!</v>
      </c>
      <c r="EA37" s="28" t="str">
        <f>[1]!YBSCEN(AD$18&amp;"(IOX)",AD$20&amp;"d","Market",AnnReturn,"Swap",CurrentCloseDate,"LMMSkew","",$F37,$G37,$H37,,"Gradual","ParShift|N",0,OASChangeROR,0,,"EFF",,,,0,,,,"Default",,)</f>
        <v>E</v>
      </c>
      <c r="EB37" s="31" t="e">
        <f t="shared" ref="EB37:EB39" si="105">1+(EA37/100)</f>
        <v>#VALUE!</v>
      </c>
      <c r="EC37" s="47" t="str">
        <f>[1]!YBSCEN(AD$18&amp;"(IOX)",AD$20&amp;"d","Market",AnnReturn,"Swap",CurrentCloseDate,"LMMSkew","",$F37,$G37,$H37,,"Gradual","ParShift|N",0,PriceChangeROR,0,,"EFF",,,,0,,,,"Default",,)</f>
        <v>E</v>
      </c>
      <c r="ED37" s="48" t="e">
        <f t="shared" ref="ED37:ED39" si="106">1+(EC37/100)</f>
        <v>#VALUE!</v>
      </c>
      <c r="EE37" s="28" t="str">
        <f>[1]!YBSCEN(AE$18&amp;"(IOX)",AE$20&amp;"d","Market",AnnReturn,"Swap",CurrentCloseDate,"LMMSkew","",$F37,$G37,$H37,,"Gradual","ParShift|N",0,OASChangeROR,0,,"EFF",,,,0,,,,"Default",,)</f>
        <v>E</v>
      </c>
      <c r="EF37" s="31" t="e">
        <f t="shared" ref="EF37:EF39" si="107">1+(EE37/100)</f>
        <v>#VALUE!</v>
      </c>
      <c r="EG37" s="47" t="str">
        <f>[1]!YBSCEN(AE$18&amp;"(IOX)",AE$20&amp;"d","Market",AnnReturn,"Swap",CurrentCloseDate,"LMMSkew","",$F37,$G37,$H37,,"Gradual","ParShift|N",0,PriceChangeROR,0,,"EFF",,,,0,,,,"Default",,)</f>
        <v>E</v>
      </c>
      <c r="EH37" s="48" t="e">
        <f t="shared" ref="EH37:EH39" si="108">1+(EG37/100)</f>
        <v>#VALUE!</v>
      </c>
    </row>
    <row r="38" spans="2:138" ht="15">
      <c r="F38" s="8" t="s">
        <v>35</v>
      </c>
      <c r="G38" s="15">
        <v>100</v>
      </c>
      <c r="H38" s="58">
        <v>5</v>
      </c>
      <c r="I38" s="32">
        <f t="shared" si="62"/>
        <v>42338</v>
      </c>
      <c r="J38" s="37">
        <f t="shared" si="63"/>
        <v>0</v>
      </c>
      <c r="K38" s="36" t="e">
        <f>#REF!</f>
        <v>#REF!</v>
      </c>
      <c r="L38" s="37">
        <f t="shared" si="64"/>
        <v>0</v>
      </c>
      <c r="M38" s="35">
        <f t="shared" si="65"/>
        <v>0</v>
      </c>
      <c r="N38" s="35">
        <f t="shared" si="66"/>
        <v>0</v>
      </c>
      <c r="O38" s="38">
        <f t="shared" si="67"/>
        <v>0</v>
      </c>
      <c r="P38" s="252">
        <f t="shared" si="68"/>
        <v>0</v>
      </c>
      <c r="Q38" s="252">
        <f t="shared" si="69"/>
        <v>0</v>
      </c>
      <c r="R38" s="35">
        <f t="shared" si="70"/>
        <v>0</v>
      </c>
      <c r="S38" s="164">
        <f t="shared" si="34"/>
        <v>-2.9409999999999998</v>
      </c>
      <c r="T38" s="41" t="str">
        <f t="shared" si="71"/>
        <v>E</v>
      </c>
      <c r="U38" s="39" t="str">
        <f t="shared" si="72"/>
        <v>E</v>
      </c>
      <c r="V38" s="40" t="str">
        <f t="shared" si="73"/>
        <v>E</v>
      </c>
      <c r="W38" s="42" t="str">
        <f t="shared" si="74"/>
        <v>E</v>
      </c>
      <c r="X38" s="253" t="str">
        <f t="shared" si="75"/>
        <v>E</v>
      </c>
      <c r="Y38" s="41" t="str">
        <f t="shared" si="76"/>
        <v>E</v>
      </c>
      <c r="Z38" s="259" t="str">
        <f t="shared" si="77"/>
        <v>E</v>
      </c>
      <c r="AA38" s="259" t="str">
        <f t="shared" si="78"/>
        <v>E</v>
      </c>
      <c r="AB38" s="256" t="str">
        <f t="shared" si="79"/>
        <v>E</v>
      </c>
      <c r="AC38" s="39" t="str">
        <f t="shared" si="80"/>
        <v>E</v>
      </c>
      <c r="AD38" s="40" t="str">
        <f t="shared" si="81"/>
        <v>E</v>
      </c>
      <c r="AE38" s="42" t="str">
        <f t="shared" si="82"/>
        <v>E</v>
      </c>
      <c r="AH38" s="312" t="s">
        <v>156</v>
      </c>
      <c r="AI38" s="313"/>
      <c r="AJ38" s="208" t="str">
        <f>[1]!YBHIST("Base Mortgage Rate",CurrentCloseDate,"yield","bmk","")</f>
        <v>E</v>
      </c>
      <c r="AK38" s="318" t="e">
        <f>AJ38-[1]!YBHIST("Base Mortgage Rate",PrevCloseDate,"yield","bmk","")</f>
        <v>#VALUE!</v>
      </c>
      <c r="AL38" s="13"/>
      <c r="AY38"/>
      <c r="AZ38"/>
      <c r="BA38" s="330">
        <f>[1]!YBSCEN(S$18&amp;"(IOX)",S$20&amp;"d","Market",AnnReturn,"Swap",CurrentCloseDate,"LMMSkew","",$F38,$G38,$H38,,"Gradual","ParShift|N",0,OASChangeROR,0,,"EFF",,,,0,,,,"Default",,)</f>
        <v>-0.746</v>
      </c>
      <c r="BB38" s="331">
        <f t="shared" si="83"/>
        <v>0.99253999999999998</v>
      </c>
      <c r="BC38" s="325">
        <f>[1]!YBSCEN(S$18&amp;"(IOX)",S$20&amp;"d","Market",AnnReturn,"Swap",CurrentCloseDate,"LMMSkew","",$F38,$G38,$H38,,"Gradual","ParShift|N",0,PriceChangeROR,0,,"EFF",,,,0,,,,"Default",,)</f>
        <v>-2.9409999999999998</v>
      </c>
      <c r="BD38" s="29">
        <f t="shared" si="84"/>
        <v>0.97058999999999995</v>
      </c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M38" s="28" t="str">
        <f>[1]!YBSCEN(T$18&amp;"(IOX)",T$20&amp;"d","Market",AnnReturn,"Swap",CurrentCloseDate,"LMMSkew","",$F38,$G38,$H38,,"Gradual","ParShift|N",0,OASChangeROR,0,,"EFF",,,,0,,,,"Default",,)</f>
        <v>E</v>
      </c>
      <c r="CN38" s="29" t="e">
        <f t="shared" si="85"/>
        <v>#VALUE!</v>
      </c>
      <c r="CO38" s="28" t="str">
        <f>[1]!YBSCEN(T$18&amp;"(IOX)",T$20&amp;"d","Market",AnnReturn,"Swap",CurrentCloseDate,"LMMSkew","",$F38,$G38,$H38,,"Gradual","ParShift|N",0,PriceChangeROR,0,,"EFF",,,,0,,,,"Default",,)</f>
        <v>E</v>
      </c>
      <c r="CP38" s="29" t="e">
        <f t="shared" si="86"/>
        <v>#VALUE!</v>
      </c>
      <c r="CQ38" s="28" t="str">
        <f>[1]!YBSCEN(U$18&amp;"(IOX)",U$20&amp;"d","Market",AnnReturn,"Swap",CurrentCloseDate,"LMMSkew","",$F38,$G38,$H38,,"Gradual","ParShift|N",0,OASChangeROR,0,,"EFF",,,,0,,,,"Default",,)</f>
        <v>E</v>
      </c>
      <c r="CR38" s="29" t="e">
        <f t="shared" si="87"/>
        <v>#VALUE!</v>
      </c>
      <c r="CS38" s="28" t="str">
        <f>[1]!YBSCEN(U$18&amp;"(IOX)",U$20&amp;"d","Market",AnnReturn,"Swap",CurrentCloseDate,"LMMSkew","",$F38,$G38,$H38,,"Gradual","ParShift|N",0,PriceChangeROR,0,,"EFF",,,,0,,,,"Default",,)</f>
        <v>E</v>
      </c>
      <c r="CT38" s="29" t="e">
        <f t="shared" si="88"/>
        <v>#VALUE!</v>
      </c>
      <c r="CU38" s="28" t="str">
        <f>[1]!YBSCEN(V$18&amp;"(IOX)",V$20&amp;"d","Market",AnnReturn,"Swap",CurrentCloseDate,"LMMSkew","",$F38,$G38,$H38,,"Gradual","ParShift|N",0,OASChangeROR,0,,"EFF",,,,0,,,,"Default",,)</f>
        <v>E</v>
      </c>
      <c r="CV38" s="29" t="e">
        <f t="shared" si="89"/>
        <v>#VALUE!</v>
      </c>
      <c r="CW38" s="28" t="str">
        <f>[1]!YBSCEN(V$18&amp;"(IOX)",V$20&amp;"d","Market",AnnReturn,"Swap",CurrentCloseDate,"LMMSkew","",$F38,$G38,$H38,,"Gradual","ParShift|N",0,PriceChangeROR,0,,"EFF",,,,0,,,,"Default",,)</f>
        <v>E</v>
      </c>
      <c r="CX38" s="29" t="e">
        <f t="shared" si="90"/>
        <v>#VALUE!</v>
      </c>
      <c r="CY38" s="28" t="str">
        <f>[1]!YBSCEN(W$18&amp;"(IOX)",W$20&amp;"d","Market",AnnReturn,"Swap",CurrentCloseDate,"LMMSkew","",$F38,$G38,$H38,,"Gradual","ParShift|N",0,OASChangeROR,0,,"EFF",,,,0,,,,"Default",,)</f>
        <v>E</v>
      </c>
      <c r="CZ38" s="29" t="e">
        <f t="shared" si="91"/>
        <v>#VALUE!</v>
      </c>
      <c r="DA38" s="28" t="str">
        <f>[1]!YBSCEN(W$18&amp;"(IOX)",W$20&amp;"d","Market",AnnReturn,"Swap",CurrentCloseDate,"LMMSkew","",$F38,$G38,$H38,,"Gradual","ParShift|N",0,PriceChangeROR,0,,"EFF",,,,0,,,,"Default",,)</f>
        <v>E</v>
      </c>
      <c r="DB38" s="29" t="e">
        <f t="shared" si="92"/>
        <v>#VALUE!</v>
      </c>
      <c r="DC38" s="28" t="str">
        <f>[1]!YBSCEN(X$18&amp;"(IOX)",X$20&amp;"d","Market",AnnReturn,"Swap",CurrentCloseDate,"LMMSkew","",$F38,$G38,$H38,,"Gradual","ParShift|N",0,OASChangeROR,0,,"EFF",,,,0,,,,"Default",,)</f>
        <v>E</v>
      </c>
      <c r="DD38" s="29" t="e">
        <f t="shared" si="93"/>
        <v>#VALUE!</v>
      </c>
      <c r="DE38" s="28" t="str">
        <f>[1]!YBSCEN(X$18&amp;"(IOX)",X$20&amp;"d","Market",AnnReturn,"Swap",CurrentCloseDate,"LMMSkew","",$F38,$G38,$H38,,"Gradual","ParShift|N",0,PriceChangeROR,0,,"EFF",,,,0,,,,"Default",,)</f>
        <v>E</v>
      </c>
      <c r="DF38" s="29" t="e">
        <f t="shared" si="94"/>
        <v>#VALUE!</v>
      </c>
      <c r="DG38" s="28" t="str">
        <f>[1]!YBSCEN(Y$18&amp;"(IOX)",Y$20&amp;"d","Market",AnnReturn,"Swap",CurrentCloseDate,"LMMSkew","",$F38,$G38,$H38,,"Gradual","ParShift|N",0,OASChangeROR,0,,"EFF",,,,0,,,,"Default",,)</f>
        <v>E</v>
      </c>
      <c r="DH38" s="29" t="e">
        <f t="shared" si="95"/>
        <v>#VALUE!</v>
      </c>
      <c r="DI38" s="28" t="str">
        <f>[1]!YBSCEN(Y$18&amp;"(IOX)",Y$20&amp;"d","Market",AnnReturn,"Swap",CurrentCloseDate,"LMMSkew","",$F38,$G38,$H38,,"Gradual","ParShift|N",0,PriceChangeROR,0,,"EFF",,,,0,,,,"Default",,)</f>
        <v>E</v>
      </c>
      <c r="DJ38" s="29" t="e">
        <f t="shared" si="96"/>
        <v>#VALUE!</v>
      </c>
      <c r="DK38" s="28" t="str">
        <f>[1]!YBSCEN(Z$18&amp;"(IOX)",Z$20&amp;"d","Market",AnnReturn,"Swap",CurrentCloseDate,"LMMSkew","",$F38,$G38,$H38,,"Gradual","ParShift|N",0,OASChangeROR,0,,"EFF",,,,0,,,,"Default",,)</f>
        <v>E</v>
      </c>
      <c r="DL38" s="29" t="e">
        <f t="shared" si="97"/>
        <v>#VALUE!</v>
      </c>
      <c r="DM38" s="28" t="str">
        <f>[1]!YBSCEN(Z$18&amp;"(IOX)",Z$20&amp;"d","Market",AnnReturn,"Swap",CurrentCloseDate,"LMMSkew","",$F38,$G38,$H38,,"Gradual","ParShift|N",0,PriceChangeROR,0,,"EFF",,,,0,,,,"Default",,)</f>
        <v>E</v>
      </c>
      <c r="DN38" s="29" t="e">
        <f t="shared" si="98"/>
        <v>#VALUE!</v>
      </c>
      <c r="DO38" s="28" t="str">
        <f>[1]!YBSCEN(AA$18&amp;"(IOX)",AA$20&amp;"d","Market",AnnReturn,"Swap",CurrentCloseDate,"LMMSkew","",$F38,$G38,$H38,,"Gradual","ParShift|N",0,OASChangeROR,0,,"EFF",,,,0,,,,"Default",,)</f>
        <v>E</v>
      </c>
      <c r="DP38" s="29" t="e">
        <f t="shared" si="99"/>
        <v>#VALUE!</v>
      </c>
      <c r="DQ38" s="28" t="str">
        <f>[1]!YBSCEN(AA$18&amp;"(IOX)",AA$20&amp;"d","Market",AnnReturn,"Swap",CurrentCloseDate,"LMMSkew","",$F38,$G38,$H38,,"Gradual","ParShift|N",0,PriceChangeROR,0,,"EFF",,,,0,,,,"Default",,)</f>
        <v>E</v>
      </c>
      <c r="DR38" s="31" t="e">
        <f t="shared" si="100"/>
        <v>#VALUE!</v>
      </c>
      <c r="DS38" s="28" t="str">
        <f>[1]!YBSCEN(AB$18&amp;"(IOX)",AB$20&amp;"d","Market",AnnReturn,"Swap",CurrentCloseDate,"LMMSkew","",$F38,$G38,$H38,,"Gradual","ParShift|N",0,OASChangeROR,0,,"EFF",,,,0,,,,"Default",,)</f>
        <v>E</v>
      </c>
      <c r="DT38" s="31" t="e">
        <f t="shared" si="101"/>
        <v>#VALUE!</v>
      </c>
      <c r="DU38" s="47" t="str">
        <f>[1]!YBSCEN(AB$18&amp;"(IOX)",AB$20&amp;"d","Market",AnnReturn,"Swap",CurrentCloseDate,"LMMSkew","",$F38,$G38,$H38,,"Gradual","ParShift|N",0,PriceChangeROR,0,,"EFF",,,,0,,,,"Default",,)</f>
        <v>E</v>
      </c>
      <c r="DV38" s="48" t="e">
        <f t="shared" si="102"/>
        <v>#VALUE!</v>
      </c>
      <c r="DW38" s="28" t="str">
        <f>[1]!YBSCEN(AC$18&amp;"(IOX)",AC$20&amp;"d","Market",AnnReturn,"Swap",CurrentCloseDate,"LMMSkew","",$F38,$G38,$H38,,"Gradual","ParShift|N",0,OASChangeROR,0,,"EFF",,,,0,,,,"Default",,)</f>
        <v>E</v>
      </c>
      <c r="DX38" s="31" t="e">
        <f t="shared" si="103"/>
        <v>#VALUE!</v>
      </c>
      <c r="DY38" s="47" t="str">
        <f>[1]!YBSCEN(AC$18&amp;"(IOX)",AC$20&amp;"d","Market",AnnReturn,"Swap",CurrentCloseDate,"LMMSkew","",$F38,$G38,$H38,,"Gradual","ParShift|N",0,PriceChangeROR,0,,"EFF",,,,0,,,,"Default",,)</f>
        <v>E</v>
      </c>
      <c r="DZ38" s="48" t="e">
        <f t="shared" si="104"/>
        <v>#VALUE!</v>
      </c>
      <c r="EA38" s="28" t="str">
        <f>[1]!YBSCEN(AD$18&amp;"(IOX)",AD$20&amp;"d","Market",AnnReturn,"Swap",CurrentCloseDate,"LMMSkew","",$F38,$G38,$H38,,"Gradual","ParShift|N",0,OASChangeROR,0,,"EFF",,,,0,,,,"Default",,)</f>
        <v>E</v>
      </c>
      <c r="EB38" s="31" t="e">
        <f t="shared" si="105"/>
        <v>#VALUE!</v>
      </c>
      <c r="EC38" s="47" t="str">
        <f>[1]!YBSCEN(AD$18&amp;"(IOX)",AD$20&amp;"d","Market",AnnReturn,"Swap",CurrentCloseDate,"LMMSkew","",$F38,$G38,$H38,,"Gradual","ParShift|N",0,PriceChangeROR,0,,"EFF",,,,0,,,,"Default",,)</f>
        <v>E</v>
      </c>
      <c r="ED38" s="48" t="e">
        <f t="shared" si="106"/>
        <v>#VALUE!</v>
      </c>
      <c r="EE38" s="28" t="str">
        <f>[1]!YBSCEN(AE$18&amp;"(IOX)",AE$20&amp;"d","Market",AnnReturn,"Swap",CurrentCloseDate,"LMMSkew","",$F38,$G38,$H38,,"Gradual","ParShift|N",0,OASChangeROR,0,,"EFF",,,,0,,,,"Default",,)</f>
        <v>E</v>
      </c>
      <c r="EF38" s="31" t="e">
        <f t="shared" si="107"/>
        <v>#VALUE!</v>
      </c>
      <c r="EG38" s="47" t="str">
        <f>[1]!YBSCEN(AE$18&amp;"(IOX)",AE$20&amp;"d","Market",AnnReturn,"Swap",CurrentCloseDate,"LMMSkew","",$F38,$G38,$H38,,"Gradual","ParShift|N",0,PriceChangeROR,0,,"EFF",,,,0,,,,"Default",,)</f>
        <v>E</v>
      </c>
      <c r="EH38" s="48" t="e">
        <f t="shared" si="108"/>
        <v>#VALUE!</v>
      </c>
    </row>
    <row r="39" spans="2:138" ht="15">
      <c r="F39" s="8" t="s">
        <v>35</v>
      </c>
      <c r="G39" s="15">
        <v>100</v>
      </c>
      <c r="H39" s="59">
        <v>6</v>
      </c>
      <c r="I39" s="33">
        <f t="shared" si="62"/>
        <v>42368</v>
      </c>
      <c r="J39" s="39">
        <f t="shared" si="63"/>
        <v>0</v>
      </c>
      <c r="K39" s="41" t="e">
        <f>#REF!</f>
        <v>#REF!</v>
      </c>
      <c r="L39" s="39">
        <f t="shared" si="64"/>
        <v>0</v>
      </c>
      <c r="M39" s="40">
        <f t="shared" si="65"/>
        <v>0</v>
      </c>
      <c r="N39" s="40">
        <f t="shared" si="66"/>
        <v>0</v>
      </c>
      <c r="O39" s="42">
        <f t="shared" si="67"/>
        <v>0</v>
      </c>
      <c r="P39" s="253">
        <f t="shared" si="68"/>
        <v>0</v>
      </c>
      <c r="Q39" s="253">
        <f t="shared" si="69"/>
        <v>0</v>
      </c>
      <c r="R39" s="40">
        <f t="shared" si="70"/>
        <v>0</v>
      </c>
      <c r="S39" s="164">
        <f t="shared" si="34"/>
        <v>-2.234</v>
      </c>
      <c r="T39" s="41" t="str">
        <f t="shared" si="71"/>
        <v>E</v>
      </c>
      <c r="U39" s="39" t="str">
        <f t="shared" si="72"/>
        <v>E</v>
      </c>
      <c r="V39" s="40" t="str">
        <f t="shared" si="73"/>
        <v>E</v>
      </c>
      <c r="W39" s="42" t="str">
        <f t="shared" si="74"/>
        <v>E</v>
      </c>
      <c r="X39" s="253" t="str">
        <f t="shared" si="75"/>
        <v>E</v>
      </c>
      <c r="Y39" s="41" t="str">
        <f t="shared" si="76"/>
        <v>E</v>
      </c>
      <c r="Z39" s="259" t="str">
        <f t="shared" si="77"/>
        <v>E</v>
      </c>
      <c r="AA39" s="259" t="str">
        <f t="shared" si="78"/>
        <v>E</v>
      </c>
      <c r="AB39" s="256" t="str">
        <f t="shared" si="79"/>
        <v>E</v>
      </c>
      <c r="AC39" s="39" t="str">
        <f t="shared" si="80"/>
        <v>E</v>
      </c>
      <c r="AD39" s="40" t="str">
        <f t="shared" si="81"/>
        <v>E</v>
      </c>
      <c r="AE39" s="42" t="str">
        <f t="shared" si="82"/>
        <v>E</v>
      </c>
      <c r="AH39" s="312" t="s">
        <v>156</v>
      </c>
      <c r="AI39" s="313"/>
      <c r="AJ39" s="208" t="str">
        <f>[1]!YBHIST("Base Mortgage Rate",CurrentCloseDate,"yield","bmk","")</f>
        <v>E</v>
      </c>
      <c r="AK39" s="318" t="e">
        <f>AJ39-[1]!YBHIST("Base Mortgage Rate",PrevCloseDate,"yield","bmk","")</f>
        <v>#VALUE!</v>
      </c>
      <c r="AL39" s="13"/>
      <c r="AY39"/>
      <c r="AZ39"/>
      <c r="BA39" s="330">
        <f>[1]!YBSCEN(S$18&amp;"(IOX)",S$20&amp;"d","Market",AnnReturn,"Swap",CurrentCloseDate,"LMMSkew","",$F39,$G39,$H39,,"Gradual","ParShift|N",0,OASChangeROR,0,,"EFF",,,,0,,,,"Default",,)</f>
        <v>-0.70899999999999996</v>
      </c>
      <c r="BB39" s="331">
        <f t="shared" si="83"/>
        <v>0.99290999999999996</v>
      </c>
      <c r="BC39" s="325">
        <f>[1]!YBSCEN(S$18&amp;"(IOX)",S$20&amp;"d","Market",AnnReturn,"Swap",CurrentCloseDate,"LMMSkew","",$F39,$G39,$H39,,"Gradual","ParShift|N",0,PriceChangeROR,0,,"EFF",,,,0,,,,"Default",,)</f>
        <v>-2.234</v>
      </c>
      <c r="BD39" s="29">
        <f t="shared" si="84"/>
        <v>0.97765999999999997</v>
      </c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M39" s="28" t="str">
        <f>[1]!YBSCEN(T$18&amp;"(IOX)",T$20&amp;"d","Market",AnnReturn,"Swap",CurrentCloseDate,"LMMSkew","",$F39,$G39,$H39,,"Gradual","ParShift|N",0,OASChangeROR,0,,"EFF",,,,0,,,,"Default",,)</f>
        <v>E</v>
      </c>
      <c r="CN39" s="29" t="e">
        <f t="shared" si="85"/>
        <v>#VALUE!</v>
      </c>
      <c r="CO39" s="28" t="str">
        <f>[1]!YBSCEN(T$18&amp;"(IOX)",T$20&amp;"d","Market",AnnReturn,"Swap",CurrentCloseDate,"LMMSkew","",$F39,$G39,$H39,,"Gradual","ParShift|N",0,PriceChangeROR,0,,"EFF",,,,0,,,,"Default",,)</f>
        <v>E</v>
      </c>
      <c r="CP39" s="29" t="e">
        <f t="shared" si="86"/>
        <v>#VALUE!</v>
      </c>
      <c r="CQ39" s="28" t="str">
        <f>[1]!YBSCEN(U$18&amp;"(IOX)",U$20&amp;"d","Market",AnnReturn,"Swap",CurrentCloseDate,"LMMSkew","",$F39,$G39,$H39,,"Gradual","ParShift|N",0,OASChangeROR,0,,"EFF",,,,0,,,,"Default",,)</f>
        <v>E</v>
      </c>
      <c r="CR39" s="29" t="e">
        <f t="shared" si="87"/>
        <v>#VALUE!</v>
      </c>
      <c r="CS39" s="28" t="str">
        <f>[1]!YBSCEN(U$18&amp;"(IOX)",U$20&amp;"d","Market",AnnReturn,"Swap",CurrentCloseDate,"LMMSkew","",$F39,$G39,$H39,,"Gradual","ParShift|N",0,PriceChangeROR,0,,"EFF",,,,0,,,,"Default",,)</f>
        <v>E</v>
      </c>
      <c r="CT39" s="29" t="e">
        <f t="shared" si="88"/>
        <v>#VALUE!</v>
      </c>
      <c r="CU39" s="28" t="str">
        <f>[1]!YBSCEN(V$18&amp;"(IOX)",V$20&amp;"d","Market",AnnReturn,"Swap",CurrentCloseDate,"LMMSkew","",$F39,$G39,$H39,,"Gradual","ParShift|N",0,OASChangeROR,0,,"EFF",,,,0,,,,"Default",,)</f>
        <v>E</v>
      </c>
      <c r="CV39" s="29" t="e">
        <f t="shared" si="89"/>
        <v>#VALUE!</v>
      </c>
      <c r="CW39" s="28" t="str">
        <f>[1]!YBSCEN(V$18&amp;"(IOX)",V$20&amp;"d","Market",AnnReturn,"Swap",CurrentCloseDate,"LMMSkew","",$F39,$G39,$H39,,"Gradual","ParShift|N",0,PriceChangeROR,0,,"EFF",,,,0,,,,"Default",,)</f>
        <v>E</v>
      </c>
      <c r="CX39" s="29" t="e">
        <f t="shared" si="90"/>
        <v>#VALUE!</v>
      </c>
      <c r="CY39" s="28" t="str">
        <f>[1]!YBSCEN(W$18&amp;"(IOX)",W$20&amp;"d","Market",AnnReturn,"Swap",CurrentCloseDate,"LMMSkew","",$F39,$G39,$H39,,"Gradual","ParShift|N",0,OASChangeROR,0,,"EFF",,,,0,,,,"Default",,)</f>
        <v>E</v>
      </c>
      <c r="CZ39" s="29" t="e">
        <f t="shared" si="91"/>
        <v>#VALUE!</v>
      </c>
      <c r="DA39" s="28" t="str">
        <f>[1]!YBSCEN(W$18&amp;"(IOX)",W$20&amp;"d","Market",AnnReturn,"Swap",CurrentCloseDate,"LMMSkew","",$F39,$G39,$H39,,"Gradual","ParShift|N",0,PriceChangeROR,0,,"EFF",,,,0,,,,"Default",,)</f>
        <v>E</v>
      </c>
      <c r="DB39" s="29" t="e">
        <f t="shared" si="92"/>
        <v>#VALUE!</v>
      </c>
      <c r="DC39" s="28" t="str">
        <f>[1]!YBSCEN(X$18&amp;"(IOX)",X$20&amp;"d","Market",AnnReturn,"Swap",CurrentCloseDate,"LMMSkew","",$F39,$G39,$H39,,"Gradual","ParShift|N",0,OASChangeROR,0,,"EFF",,,,0,,,,"Default",,)</f>
        <v>E</v>
      </c>
      <c r="DD39" s="29" t="e">
        <f t="shared" si="93"/>
        <v>#VALUE!</v>
      </c>
      <c r="DE39" s="28" t="str">
        <f>[1]!YBSCEN(X$18&amp;"(IOX)",X$20&amp;"d","Market",AnnReturn,"Swap",CurrentCloseDate,"LMMSkew","",$F39,$G39,$H39,,"Gradual","ParShift|N",0,PriceChangeROR,0,,"EFF",,,,0,,,,"Default",,)</f>
        <v>E</v>
      </c>
      <c r="DF39" s="29" t="e">
        <f t="shared" si="94"/>
        <v>#VALUE!</v>
      </c>
      <c r="DG39" s="28" t="str">
        <f>[1]!YBSCEN(Y$18&amp;"(IOX)",Y$20&amp;"d","Market",AnnReturn,"Swap",CurrentCloseDate,"LMMSkew","",$F39,$G39,$H39,,"Gradual","ParShift|N",0,OASChangeROR,0,,"EFF",,,,0,,,,"Default",,)</f>
        <v>E</v>
      </c>
      <c r="DH39" s="29" t="e">
        <f t="shared" si="95"/>
        <v>#VALUE!</v>
      </c>
      <c r="DI39" s="28" t="str">
        <f>[1]!YBSCEN(Y$18&amp;"(IOX)",Y$20&amp;"d","Market",AnnReturn,"Swap",CurrentCloseDate,"LMMSkew","",$F39,$G39,$H39,,"Gradual","ParShift|N",0,PriceChangeROR,0,,"EFF",,,,0,,,,"Default",,)</f>
        <v>E</v>
      </c>
      <c r="DJ39" s="29" t="e">
        <f t="shared" si="96"/>
        <v>#VALUE!</v>
      </c>
      <c r="DK39" s="28" t="str">
        <f>[1]!YBSCEN(Z$18&amp;"(IOX)",Z$20&amp;"d","Market",AnnReturn,"Swap",CurrentCloseDate,"LMMSkew","",$F39,$G39,$H39,,"Gradual","ParShift|N",0,OASChangeROR,0,,"EFF",,,,0,,,,"Default",,)</f>
        <v>E</v>
      </c>
      <c r="DL39" s="29" t="e">
        <f t="shared" si="97"/>
        <v>#VALUE!</v>
      </c>
      <c r="DM39" s="28" t="str">
        <f>[1]!YBSCEN(Z$18&amp;"(IOX)",Z$20&amp;"d","Market",AnnReturn,"Swap",CurrentCloseDate,"LMMSkew","",$F39,$G39,$H39,,"Gradual","ParShift|N",0,PriceChangeROR,0,,"EFF",,,,0,,,,"Default",,)</f>
        <v>E</v>
      </c>
      <c r="DN39" s="29" t="e">
        <f t="shared" si="98"/>
        <v>#VALUE!</v>
      </c>
      <c r="DO39" s="28" t="str">
        <f>[1]!YBSCEN(AA$18&amp;"(IOX)",AA$20&amp;"d","Market",AnnReturn,"Swap",CurrentCloseDate,"LMMSkew","",$F39,$G39,$H39,,"Gradual","ParShift|N",0,OASChangeROR,0,,"EFF",,,,0,,,,"Default",,)</f>
        <v>E</v>
      </c>
      <c r="DP39" s="29" t="e">
        <f t="shared" si="99"/>
        <v>#VALUE!</v>
      </c>
      <c r="DQ39" s="28" t="str">
        <f>[1]!YBSCEN(AA$18&amp;"(IOX)",AA$20&amp;"d","Market",AnnReturn,"Swap",CurrentCloseDate,"LMMSkew","",$F39,$G39,$H39,,"Gradual","ParShift|N",0,PriceChangeROR,0,,"EFF",,,,0,,,,"Default",,)</f>
        <v>E</v>
      </c>
      <c r="DR39" s="31" t="e">
        <f t="shared" si="100"/>
        <v>#VALUE!</v>
      </c>
      <c r="DS39" s="28" t="str">
        <f>[1]!YBSCEN(AB$18&amp;"(IOX)",AB$20&amp;"d","Market",AnnReturn,"Swap",CurrentCloseDate,"LMMSkew","",$F39,$G39,$H39,,"Gradual","ParShift|N",0,OASChangeROR,0,,"EFF",,,,0,,,,"Default",,)</f>
        <v>E</v>
      </c>
      <c r="DT39" s="31" t="e">
        <f t="shared" si="101"/>
        <v>#VALUE!</v>
      </c>
      <c r="DU39" s="47" t="str">
        <f>[1]!YBSCEN(AB$18&amp;"(IOX)",AB$20&amp;"d","Market",AnnReturn,"Swap",CurrentCloseDate,"LMMSkew","",$F39,$G39,$H39,,"Gradual","ParShift|N",0,PriceChangeROR,0,,"EFF",,,,0,,,,"Default",,)</f>
        <v>E</v>
      </c>
      <c r="DV39" s="48" t="e">
        <f t="shared" si="102"/>
        <v>#VALUE!</v>
      </c>
      <c r="DW39" s="28" t="str">
        <f>[1]!YBSCEN(AC$18&amp;"(IOX)",AC$20&amp;"d","Market",AnnReturn,"Swap",CurrentCloseDate,"LMMSkew","",$F39,$G39,$H39,,"Gradual","ParShift|N",0,OASChangeROR,0,,"EFF",,,,0,,,,"Default",,)</f>
        <v>E</v>
      </c>
      <c r="DX39" s="31" t="e">
        <f t="shared" si="103"/>
        <v>#VALUE!</v>
      </c>
      <c r="DY39" s="47" t="str">
        <f>[1]!YBSCEN(AC$18&amp;"(IOX)",AC$20&amp;"d","Market",AnnReturn,"Swap",CurrentCloseDate,"LMMSkew","",$F39,$G39,$H39,,"Gradual","ParShift|N",0,PriceChangeROR,0,,"EFF",,,,0,,,,"Default",,)</f>
        <v>E</v>
      </c>
      <c r="DZ39" s="48" t="e">
        <f t="shared" si="104"/>
        <v>#VALUE!</v>
      </c>
      <c r="EA39" s="28" t="str">
        <f>[1]!YBSCEN(AD$18&amp;"(IOX)",AD$20&amp;"d","Market",AnnReturn,"Swap",CurrentCloseDate,"LMMSkew","",$F39,$G39,$H39,,"Gradual","ParShift|N",0,OASChangeROR,0,,"EFF",,,,0,,,,"Default",,)</f>
        <v>E</v>
      </c>
      <c r="EB39" s="31" t="e">
        <f t="shared" si="105"/>
        <v>#VALUE!</v>
      </c>
      <c r="EC39" s="47" t="str">
        <f>[1]!YBSCEN(AD$18&amp;"(IOX)",AD$20&amp;"d","Market",AnnReturn,"Swap",CurrentCloseDate,"LMMSkew","",$F39,$G39,$H39,,"Gradual","ParShift|N",0,PriceChangeROR,0,,"EFF",,,,0,,,,"Default",,)</f>
        <v>E</v>
      </c>
      <c r="ED39" s="48" t="e">
        <f t="shared" si="106"/>
        <v>#VALUE!</v>
      </c>
      <c r="EE39" s="28" t="str">
        <f>[1]!YBSCEN(AE$18&amp;"(IOX)",AE$20&amp;"d","Market",AnnReturn,"Swap",CurrentCloseDate,"LMMSkew","",$F39,$G39,$H39,,"Gradual","ParShift|N",0,OASChangeROR,0,,"EFF",,,,0,,,,"Default",,)</f>
        <v>E</v>
      </c>
      <c r="EF39" s="31" t="e">
        <f t="shared" si="107"/>
        <v>#VALUE!</v>
      </c>
      <c r="EG39" s="47" t="str">
        <f>[1]!YBSCEN(AE$18&amp;"(IOX)",AE$20&amp;"d","Market",AnnReturn,"Swap",CurrentCloseDate,"LMMSkew","",$F39,$G39,$H39,,"Gradual","ParShift|N",0,PriceChangeROR,0,,"EFF",,,,0,,,,"Default",,)</f>
        <v>E</v>
      </c>
      <c r="EH39" s="48" t="e">
        <f t="shared" si="108"/>
        <v>#VALUE!</v>
      </c>
    </row>
    <row r="40" spans="2:138" ht="12.75" customHeight="1"/>
    <row r="41" spans="2:138" ht="12.75" hidden="1" customHeight="1"/>
    <row r="42" spans="2:138" ht="12.75" hidden="1" customHeight="1"/>
    <row r="43" spans="2:138" ht="12.75" hidden="1" customHeight="1"/>
    <row r="44" spans="2:138" ht="12.75" hidden="1" customHeight="1">
      <c r="G44" s="52" t="s">
        <v>42</v>
      </c>
      <c r="J44" s="2" t="s">
        <v>187</v>
      </c>
      <c r="K44" s="2" t="s">
        <v>18</v>
      </c>
      <c r="L44" s="13" t="s">
        <v>199</v>
      </c>
      <c r="M44" s="2" t="s">
        <v>188</v>
      </c>
      <c r="N44" s="13" t="s">
        <v>19</v>
      </c>
      <c r="O44" s="13" t="s">
        <v>20</v>
      </c>
      <c r="P44" s="13" t="s">
        <v>201</v>
      </c>
      <c r="Q44" s="2" t="s">
        <v>189</v>
      </c>
      <c r="R44" s="2" t="s">
        <v>21</v>
      </c>
      <c r="S44" s="13" t="s">
        <v>22</v>
      </c>
      <c r="T44" s="13" t="s">
        <v>23</v>
      </c>
      <c r="U44" s="13" t="s">
        <v>24</v>
      </c>
      <c r="V44" s="13" t="s">
        <v>25</v>
      </c>
      <c r="W44" s="13" t="s">
        <v>26</v>
      </c>
      <c r="X44" s="13" t="s">
        <v>27</v>
      </c>
      <c r="Y44" s="2" t="s">
        <v>28</v>
      </c>
      <c r="Z44" s="13" t="s">
        <v>29</v>
      </c>
      <c r="AA44" s="13" t="s">
        <v>30</v>
      </c>
      <c r="AB44" s="2" t="s">
        <v>31</v>
      </c>
      <c r="AC44" s="2" t="s">
        <v>32</v>
      </c>
      <c r="AD44" s="2" t="s">
        <v>33</v>
      </c>
      <c r="AE44" s="2" t="s">
        <v>34</v>
      </c>
    </row>
    <row r="45" spans="2:138" ht="12.75" hidden="1" customHeight="1">
      <c r="G45" s="52" t="s">
        <v>41</v>
      </c>
      <c r="J45" s="2" t="str">
        <f>[1]!YBHIST(J44&amp;"(IOX)",CurrentCloseDate,"Price","sec","")</f>
        <v>E</v>
      </c>
      <c r="K45" s="2" t="str">
        <f>[1]!YBHIST(K44&amp;"(IOX)",CurrentCloseDate,"Price","sec","")</f>
        <v>E</v>
      </c>
      <c r="L45" s="2" t="str">
        <f>[1]!YBHIST(L44&amp;"(IOX)",CurrentCloseDate,"Price","sec","")</f>
        <v>E</v>
      </c>
      <c r="M45" s="2" t="str">
        <f>[1]!YBHIST(M44&amp;"(IOX)",CurrentCloseDate,"Price","sec","")</f>
        <v>E</v>
      </c>
      <c r="N45" s="2" t="str">
        <f>[1]!YBHIST(N44&amp;"(IOX)",CurrentCloseDate,"Price","sec","")</f>
        <v>E</v>
      </c>
      <c r="O45" s="2" t="str">
        <f>[1]!YBHIST(O44&amp;"(IOX)",CurrentCloseDate,"Price","sec","")</f>
        <v>E</v>
      </c>
      <c r="P45" s="2" t="str">
        <f>[1]!YBHIST(P44&amp;"(IOX)",CurrentCloseDate,"Price","sec","")</f>
        <v>E</v>
      </c>
      <c r="Q45" s="2" t="str">
        <f>[1]!YBHIST(Q44&amp;"(IOX)",CurrentCloseDate,"Price","sec","")</f>
        <v>E</v>
      </c>
      <c r="R45" s="2" t="str">
        <f>[1]!YBHIST(R44&amp;"(IOX)",CurrentCloseDate,"Price","sec","")</f>
        <v>E</v>
      </c>
      <c r="S45" s="2">
        <f>[1]!YBHIST(S44&amp;"(IOX)",CurrentCloseDate,"Price","sec","")</f>
        <v>22.546880999999999</v>
      </c>
      <c r="T45" s="2" t="str">
        <f>[1]!YBHIST(T44&amp;"(IOX)",CurrentCloseDate,"Price","sec","")</f>
        <v>E</v>
      </c>
      <c r="U45" s="2" t="str">
        <f>[1]!YBHIST(U44&amp;"(IOX)",CurrentCloseDate,"Price","sec","")</f>
        <v>E</v>
      </c>
      <c r="V45" s="2" t="str">
        <f>[1]!YBHIST(V44&amp;"(IOX)",CurrentCloseDate,"Price","sec","")</f>
        <v>E</v>
      </c>
      <c r="W45" s="2" t="str">
        <f>[1]!YBHIST(W44&amp;"(IOX)",CurrentCloseDate,"Price","sec","")</f>
        <v>E</v>
      </c>
      <c r="X45" s="2" t="str">
        <f>[1]!YBHIST(X44&amp;"(IOX)",CurrentCloseDate,"Price","sec","")</f>
        <v>E</v>
      </c>
      <c r="Y45" s="2" t="str">
        <f>[1]!YBHIST(Y44&amp;"(IOX)",CurrentCloseDate,"Price","sec","")</f>
        <v>E</v>
      </c>
      <c r="Z45" s="2" t="str">
        <f>[1]!YBHIST(Z44&amp;"(IOX)",CurrentCloseDate,"Price","sec","")</f>
        <v>E</v>
      </c>
      <c r="AA45" s="2" t="str">
        <f>[1]!YBHIST(AA44&amp;"(IOX)",CurrentCloseDate,"Price","sec","")</f>
        <v>E</v>
      </c>
      <c r="AB45" s="2" t="str">
        <f>[1]!YBHIST(AB44&amp;"(IOX)",CurrentCloseDate,"Price","sec","")</f>
        <v>E</v>
      </c>
      <c r="AC45" s="2" t="str">
        <f>[1]!YBHIST(AC44&amp;"(IOX)",CurrentCloseDate,"Price","sec","")</f>
        <v>E</v>
      </c>
      <c r="AD45" s="2" t="str">
        <f>[1]!YBHIST(AD44&amp;"(IOX)",CurrentCloseDate,"Price","sec","")</f>
        <v>E</v>
      </c>
      <c r="AE45" s="2" t="str">
        <f>[1]!YBHIST(AE44&amp;"(IOX)",CurrentCloseDate,"Price","sec","")</f>
        <v>E</v>
      </c>
    </row>
    <row r="46" spans="2:138" ht="12.75" hidden="1" customHeight="1">
      <c r="G46" s="52" t="s">
        <v>44</v>
      </c>
      <c r="J46" s="2" t="str">
        <f>[1]!YBPRICE(J44&amp;"(IOX)",J45&amp;"d","Market","OAS","Swap",CurrentCloseDate,"LMMSkew","",$F$59,100,"")</f>
        <v>E</v>
      </c>
      <c r="K46" s="2" t="str">
        <f>[1]!YBPRICE(K44&amp;"(IOX)",K45&amp;"d","Market","OAS","Swap",CurrentCloseDate,"LMMSkew","",$F$59,100,"")</f>
        <v>E</v>
      </c>
      <c r="L46" s="2" t="str">
        <f>[1]!YBPRICE(L44&amp;"(IOX)",L45&amp;"d","Market","OAS","Swap",CurrentCloseDate,"LMMSkew","",$F$59,100,"")</f>
        <v>E</v>
      </c>
      <c r="M46" s="2" t="str">
        <f>[1]!YBPRICE(M44&amp;"(IOX)",M45&amp;"d","Market","OAS","Swap",CurrentCloseDate,"LMMSkew","",$F$59,100,"")</f>
        <v>E</v>
      </c>
      <c r="N46" s="7" t="str">
        <f>[1]!YBPRICE(N44&amp;"(IOX)",N45&amp;"d","Market","OAS","Swap",CurrentCloseDate,"LMMSkew","",$F$59,100,"")</f>
        <v>E</v>
      </c>
      <c r="O46" s="7" t="str">
        <f>[1]!YBPRICE(O44&amp;"(IOX)",O45&amp;"d","Market","OAS","Swap",CurrentCloseDate,"LMMSkew","",$F$59,100,"")</f>
        <v>E</v>
      </c>
      <c r="P46" s="7" t="str">
        <f>[1]!YBPRICE(P44&amp;"(IOX)",P45&amp;"d","Market","OAS","Swap",CurrentCloseDate,"LMMSkew","",$F$59,100,"")</f>
        <v>E</v>
      </c>
      <c r="Q46" s="7" t="str">
        <f>[1]!YBPRICE(Q44&amp;"(IOX)",Q45&amp;"d","Market","OAS","Swap",CurrentCloseDate,"LMMSkew","",$F$59,100,"")</f>
        <v>E</v>
      </c>
      <c r="R46" s="7" t="str">
        <f>[1]!YBPRICE(R44&amp;"(IOX)",R45&amp;"d","Market","OAS","Swap",CurrentCloseDate,"LMMSkew","",$F$59,100,"")</f>
        <v>E</v>
      </c>
      <c r="S46" s="7">
        <f>[1]!YBPRICE(S44&amp;"(IOX)",S45&amp;"d","Market","OAS","Swap",CurrentCloseDate,"LMMSkew","",$F$59,100,"")</f>
        <v>41.058</v>
      </c>
      <c r="T46" s="7" t="str">
        <f>[1]!YBPRICE(T44&amp;"(IOX)",T45&amp;"d","Market","OAS","Swap",CurrentCloseDate,"LMMSkew","",$F$59,100,"")</f>
        <v>E</v>
      </c>
      <c r="U46" s="7" t="str">
        <f>[1]!YBPRICE(U44&amp;"(IOX)",U45&amp;"d","Market","OAS","Swap",CurrentCloseDate,"LMMSkew","",$F$59,100,"")</f>
        <v>E</v>
      </c>
      <c r="V46" s="7" t="str">
        <f>[1]!YBPRICE(V44&amp;"(IOX)",V45&amp;"d","Market","OAS","Swap",CurrentCloseDate,"LMMSkew","",$F$59,100,"")</f>
        <v>E</v>
      </c>
      <c r="W46" s="7" t="str">
        <f>[1]!YBPRICE(W44&amp;"(IOX)",W45&amp;"d","Market","OAS","Swap",CurrentCloseDate,"LMMSkew","",$F$59,100,"")</f>
        <v>E</v>
      </c>
      <c r="X46" s="7" t="str">
        <f>[1]!YBPRICE(X44&amp;"(IOX)",X45&amp;"d","Market","OAS","Swap",CurrentCloseDate,"LMMSkew","",$F$59,100,"")</f>
        <v>E</v>
      </c>
      <c r="Y46" s="7" t="str">
        <f>[1]!YBPRICE(Y44&amp;"(IOX)",Y45&amp;"d","Market","OAS","Swap",CurrentCloseDate,"LMMSkew","",$F$59,100,"")</f>
        <v>E</v>
      </c>
      <c r="Z46" s="7" t="str">
        <f>[1]!YBPRICE(Z44&amp;"(IOX)",Z45&amp;"d","Market","OAS","Swap",CurrentCloseDate,"LMMSkew","",$F$59,100,"")</f>
        <v>E</v>
      </c>
      <c r="AA46" s="7" t="str">
        <f>[1]!YBPRICE(AA44&amp;"(IOX)",AA45&amp;"d","Market","OAS","Swap",CurrentCloseDate,"LMMSkew","",$F$59,100,"")</f>
        <v>E</v>
      </c>
      <c r="AB46" s="7" t="str">
        <f>[1]!YBPRICE(AB44&amp;"(IOX)",AB45&amp;"d","Market","OAS","Swap",CurrentCloseDate,"LMMSkew","",$F$59,100,"")</f>
        <v>E</v>
      </c>
      <c r="AC46" s="7" t="str">
        <f>[1]!YBPRICE(AC44&amp;"(IOX)",AC45&amp;"d","Market","OAS","Swap",CurrentCloseDate,"LMMSkew","",$F$59,100,"")</f>
        <v>E</v>
      </c>
      <c r="AD46" s="7" t="str">
        <f>[1]!YBPRICE(AD44&amp;"(IOX)",AD45&amp;"d","Market","OAS","Swap",CurrentCloseDate,"LMMSkew","",$F$59,100,"")</f>
        <v>E</v>
      </c>
      <c r="AE46" s="7" t="str">
        <f>[1]!YBPRICE(AE44&amp;"(IOX)",AE45&amp;"d","Market","OAS","Swap",CurrentCloseDate,"LMMSkew","",$F$59,100,"")</f>
        <v>E</v>
      </c>
    </row>
    <row r="47" spans="2:138" ht="12.75" hidden="1" customHeight="1">
      <c r="G47" s="52"/>
    </row>
    <row r="48" spans="2:138" ht="12.75" hidden="1" customHeight="1">
      <c r="G48" s="52" t="s">
        <v>45</v>
      </c>
      <c r="J48" s="2" t="str">
        <f>[1]!YBSCEN(J$44&amp;"(IOX)",J$46&amp;"o","Market","PriceAtHorizon","Swap",CurrentCloseDate,"LMMSkew","",$F59,$G59,0,0,"Immediate","ParShift|N",Down25,"OAS Change",0,,"EFF",,,,0,,,,"Default",,)</f>
        <v>E</v>
      </c>
      <c r="K48" s="2" t="str">
        <f>[1]!YBSCEN(K$44&amp;"(IOX)",K$46&amp;"o","Market","PriceAtHorizon","Swap",CurrentCloseDate,"LMMSkew","",$F59,$G59,0,0,"Immediate","ParShift|N",Down25,"OAS Change",0,,"EFF",,,,0,,,,"Default",,)</f>
        <v>E</v>
      </c>
      <c r="L48" s="2" t="str">
        <f>[1]!YBSCEN(L$44&amp;"(IOX)",L$46&amp;"o","Market","PriceAtHorizon","Swap",CurrentCloseDate,"LMMSkew","",$F59,$G59,0,0,"Immediate","ParShift|N",Down25,"OAS Change",0,,"EFF",,,,0,,,,"Default",,)</f>
        <v>E</v>
      </c>
      <c r="M48" s="2" t="str">
        <f>[1]!YBSCEN(M$44&amp;"(IOX)",M$46&amp;"o","Market","PriceAtHorizon","Swap",CurrentCloseDate,"LMMSkew","",$F59,$G59,0,0,"Immediate","ParShift|N",Down25,"OAS Change",0,,"EFF",,,,0,,,,"Default",,)</f>
        <v>E</v>
      </c>
      <c r="N48" s="2" t="str">
        <f>[1]!YBSCEN(N$44&amp;"(IOX)",N$46&amp;"o","Market","PriceAtHorizon","Swap",CurrentCloseDate,"LMMSkew","",$F59,$G59,0,0,"Immediate","ParShift|N",Down25,"OAS Change",0,,"EFF",,,,0,,,,"Default",,)</f>
        <v>E</v>
      </c>
      <c r="O48" s="2" t="str">
        <f>[1]!YBSCEN(O$44&amp;"(IOX)",O$46&amp;"o","Market","PriceAtHorizon","Swap",CurrentCloseDate,"LMMSkew","",$F59,$G59,0,0,"Immediate","ParShift|N",Down25,"OAS Change",0,,"EFF",,,,0,,,,"Default",,)</f>
        <v>E</v>
      </c>
      <c r="P48" s="2" t="str">
        <f>[1]!YBSCEN(P$44&amp;"(IOX)",P$46&amp;"o","Market","PriceAtHorizon","Swap",CurrentCloseDate,"LMMSkew","",$F59,$G59,0,0,"Immediate","ParShift|N",Down25,"OAS Change",0,,"EFF",,,,0,,,,"Default",,)</f>
        <v>E</v>
      </c>
      <c r="Q48" s="2" t="str">
        <f>[1]!YBSCEN(Q$44&amp;"(IOX)",Q$46&amp;"o","Market","PriceAtHorizon","Swap",CurrentCloseDate,"LMMSkew","",$F59,$G59,0,0,"Immediate","ParShift|N",Down25,"OAS Change",0,,"EFF",,,,0,,,,"Default",,)</f>
        <v>E</v>
      </c>
      <c r="R48" s="2" t="str">
        <f>[1]!YBSCEN(R$44&amp;"(IOX)",R$46&amp;"o","Market","PriceAtHorizon","Swap",CurrentCloseDate,"LMMSkew","",$F59,$G59,0,0,"Immediate","ParShift|N",Down25,"OAS Change",0,,"EFF",,,,0,,,,"Default",,)</f>
        <v>E</v>
      </c>
      <c r="S48" s="2" t="str">
        <f>[1]!YBSCEN(S$44&amp;"(IOX)",S$46&amp;"o","Market","PriceAtHorizon","Swap",CurrentCloseDate,"LMMSkew","",$F59,$G59,0,0,"Immediate","ParShift|N",Down25,"OAS Change",0,,"EFF",,,,0,,,,"Default",,)</f>
        <v>E</v>
      </c>
      <c r="T48" s="2" t="str">
        <f>[1]!YBSCEN(T$44&amp;"(IOX)",T$46&amp;"o","Market","PriceAtHorizon","Swap",CurrentCloseDate,"LMMSkew","",$F59,$G59,0,0,"Immediate","ParShift|N",Down25,"OAS Change",0,,"EFF",,,,0,,,,"Default",,)</f>
        <v>E</v>
      </c>
      <c r="U48" s="2" t="str">
        <f>[1]!YBSCEN(U$44&amp;"(IOX)",U$46&amp;"o","Market","PriceAtHorizon","Swap",CurrentCloseDate,"LMMSkew","",$F59,$G59,0,0,"Immediate","ParShift|N",Down25,"OAS Change",0,,"EFF",,,,0,,,,"Default",,)</f>
        <v>E</v>
      </c>
      <c r="V48" s="2" t="str">
        <f>[1]!YBSCEN(V$44&amp;"(IOX)",V$46&amp;"o","Market","PriceAtHorizon","Swap",CurrentCloseDate,"LMMSkew","",$F59,$G59,0,0,"Immediate","ParShift|N",Down25,"OAS Change",0,,"EFF",,,,0,,,,"Default",,)</f>
        <v>E</v>
      </c>
      <c r="W48" s="2" t="str">
        <f>[1]!YBSCEN(W$44&amp;"(IOX)",W$46&amp;"o","Market","PriceAtHorizon","Swap",CurrentCloseDate,"LMMSkew","",$F59,$G59,0,0,"Immediate","ParShift|N",Down25,"OAS Change",0,,"EFF",,,,0,,,,"Default",,)</f>
        <v>E</v>
      </c>
      <c r="X48" s="2" t="str">
        <f>[1]!YBSCEN(X$44&amp;"(IOX)",X$46&amp;"o","Market","PriceAtHorizon","Swap",CurrentCloseDate,"LMMSkew","",$F59,$G59,0,0,"Immediate","ParShift|N",Down25,"OAS Change",0,,"EFF",,,,0,,,,"Default",,)</f>
        <v>E</v>
      </c>
      <c r="Y48" s="2" t="str">
        <f>[1]!YBSCEN(Y$44&amp;"(IOX)",Y$46&amp;"o","Market","PriceAtHorizon","Swap",CurrentCloseDate,"LMMSkew","",$F59,$G59,0,0,"Immediate","ParShift|N",Down25,"OAS Change",0,,"EFF",,,,0,,,,"Default",,)</f>
        <v>E</v>
      </c>
      <c r="Z48" s="2" t="str">
        <f>[1]!YBSCEN(Z$44&amp;"(IOX)",Z$46&amp;"o","Market","PriceAtHorizon","Swap",CurrentCloseDate,"LMMSkew","",$F59,$G59,0,0,"Immediate","ParShift|N",Down25,"OAS Change",0,,"EFF",,,,0,,,,"Default",,)</f>
        <v>E</v>
      </c>
      <c r="AA48" s="2" t="str">
        <f>[1]!YBSCEN(AA$44&amp;"(IOX)",AA$46&amp;"o","Market","PriceAtHorizon","Swap",CurrentCloseDate,"LMMSkew","",$F59,$G59,0,0,"Immediate","ParShift|N",Down25,"OAS Change",0,,"EFF",,,,0,,,,"Default",,)</f>
        <v>E</v>
      </c>
      <c r="AB48" s="2" t="str">
        <f>[1]!YBSCEN(AB$44&amp;"(IOX)",AB$46&amp;"o","Market","PriceAtHorizon","Swap",CurrentCloseDate,"LMMSkew","",$F59,$G59,0,0,"Immediate","ParShift|N",Down25,"OAS Change",0,,"EFF",,,,0,,,,"Default",,)</f>
        <v>E</v>
      </c>
      <c r="AC48" s="2" t="str">
        <f>[1]!YBSCEN(AC$44&amp;"(IOX)",AC$46&amp;"o","Market","PriceAtHorizon","Swap",CurrentCloseDate,"LMMSkew","",$F59,$G59,0,0,"Immediate","ParShift|N",Down25,"OAS Change",0,,"EFF",,,,0,,,,"Default",,)</f>
        <v>E</v>
      </c>
      <c r="AD48" s="2" t="str">
        <f>[1]!YBSCEN(AD$44&amp;"(IOX)",AD$46&amp;"o","Market","PriceAtHorizon","Swap",CurrentCloseDate,"LMMSkew","",$F59,$G59,0,0,"Immediate","ParShift|N",Down25,"OAS Change",0,,"EFF",,,,0,,,,"Default",,)</f>
        <v>E</v>
      </c>
      <c r="AE48" s="2" t="str">
        <f>[1]!YBSCEN(AE$44&amp;"(IOX)",AE$46&amp;"o","Market","PriceAtHorizon","Swap",CurrentCloseDate,"LMMSkew","",$F59,$G59,0,0,"Immediate","ParShift|N",Down25,"OAS Change",0,,"EFF",,,,0,,,,"Default",,)</f>
        <v>E</v>
      </c>
    </row>
    <row r="49" spans="2:138" ht="12.75" hidden="1" customHeight="1">
      <c r="G49" s="52"/>
      <c r="M49" s="50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V49" s="14"/>
    </row>
    <row r="50" spans="2:138" ht="12.75" hidden="1" customHeight="1">
      <c r="G50" s="52"/>
    </row>
    <row r="51" spans="2:138" ht="12.75" hidden="1" customHeight="1">
      <c r="F51" s="2" t="str">
        <f>[1]!YBYC("D25","USD",10,Down25,"Relative","Par")</f>
        <v>YBYC_D25</v>
      </c>
      <c r="G51" s="13"/>
    </row>
    <row r="52" spans="2:138" ht="12.75" hidden="1" customHeight="1">
      <c r="F52" s="2" t="str">
        <f>[1]!YBSW("D25","USD",10,Down25,"Relative","Par")</f>
        <v>YBSW_D25</v>
      </c>
      <c r="G52" s="13"/>
    </row>
    <row r="53" spans="2:138" ht="12.75" hidden="1" customHeight="1"/>
    <row r="54" spans="2:138" ht="15" hidden="1">
      <c r="F54" s="43" t="s">
        <v>43</v>
      </c>
      <c r="G54" s="49">
        <v>-25</v>
      </c>
      <c r="AH54" s="314" t="s">
        <v>157</v>
      </c>
      <c r="AI54" s="315"/>
      <c r="AJ54" s="209" t="e">
        <f>AJ35-AJ37</f>
        <v>#VALUE!</v>
      </c>
      <c r="AK54" s="319" t="e">
        <f>AK35-AK37</f>
        <v>#VALUE!</v>
      </c>
      <c r="AZ54" s="7"/>
    </row>
    <row r="55" spans="2:138" ht="15" hidden="1">
      <c r="H55" s="3"/>
      <c r="AY55" s="92" t="str">
        <f>AnnReturn</f>
        <v>AnnualizedReturn</v>
      </c>
      <c r="BK55" s="13"/>
      <c r="BL55" s="13"/>
      <c r="BM55" s="13"/>
      <c r="BN55" s="13"/>
    </row>
    <row r="56" spans="2:138" s="4" customFormat="1" ht="8.25" hidden="1" customHeight="1"/>
    <row r="57" spans="2:138" ht="15" hidden="1">
      <c r="H57" s="305" t="s">
        <v>195</v>
      </c>
      <c r="I57" s="306"/>
      <c r="J57" s="306"/>
      <c r="K57" s="306"/>
      <c r="L57" s="306"/>
      <c r="M57" s="306"/>
      <c r="N57" s="306"/>
      <c r="O57" s="306"/>
      <c r="P57" s="306"/>
      <c r="Q57" s="306"/>
      <c r="R57" s="306"/>
      <c r="S57" s="306"/>
      <c r="T57" s="306"/>
      <c r="U57" s="306"/>
      <c r="V57" s="306"/>
      <c r="W57" s="306"/>
      <c r="X57" s="306"/>
      <c r="Y57" s="306"/>
      <c r="Z57" s="306"/>
      <c r="AA57" s="306"/>
      <c r="AB57" s="306"/>
      <c r="AC57" s="306"/>
      <c r="AY57" s="337" t="str">
        <f>J58</f>
        <v>FN30.
300.
13</v>
      </c>
      <c r="AZ57" s="338"/>
      <c r="BA57" s="338"/>
      <c r="BB57" s="339"/>
      <c r="BC57" s="346" t="str">
        <f>K58</f>
        <v>FN30.
300.
12</v>
      </c>
      <c r="BD57" s="347"/>
      <c r="BE57" s="347"/>
      <c r="BF57" s="348"/>
      <c r="BG57" s="346" t="str">
        <f>L58</f>
        <v>FN30.
350.
14</v>
      </c>
      <c r="BH57" s="347"/>
      <c r="BI57" s="347"/>
      <c r="BJ57" s="348"/>
      <c r="BK57" s="337" t="str">
        <f>M58</f>
        <v>FN30.
350.
13</v>
      </c>
      <c r="BL57" s="338"/>
      <c r="BM57" s="338"/>
      <c r="BN57" s="339"/>
      <c r="BO57" s="337" t="str">
        <f>N58</f>
        <v>FN30.
350.
12</v>
      </c>
      <c r="BP57" s="338"/>
      <c r="BQ57" s="338"/>
      <c r="BR57" s="339"/>
      <c r="BS57" s="337" t="str">
        <f>O58</f>
        <v>FN30.
350.
10</v>
      </c>
      <c r="BT57" s="338"/>
      <c r="BU57" s="338"/>
      <c r="BV57" s="339"/>
      <c r="BW57" s="337" t="str">
        <f>P58</f>
        <v>FN30.
400.
14</v>
      </c>
      <c r="BX57" s="338"/>
      <c r="BY57" s="338"/>
      <c r="BZ57" s="339"/>
      <c r="CA57" s="337" t="str">
        <f>Q58</f>
        <v>FN30.
400.
13</v>
      </c>
      <c r="CB57" s="338"/>
      <c r="CC57" s="338"/>
      <c r="CD57" s="339"/>
      <c r="CE57" s="337" t="str">
        <f>R58</f>
        <v>FN30.
400.
11</v>
      </c>
      <c r="CF57" s="338"/>
      <c r="CG57" s="338"/>
      <c r="CH57" s="339"/>
      <c r="CI57" s="337" t="str">
        <f>S58</f>
        <v>FN30.
400.
10</v>
      </c>
      <c r="CJ57" s="338"/>
      <c r="CK57" s="338"/>
      <c r="CL57" s="339"/>
      <c r="CM57" s="337" t="str">
        <f>T58</f>
        <v>FN30.
400.
09</v>
      </c>
      <c r="CN57" s="338"/>
      <c r="CO57" s="338"/>
      <c r="CP57" s="339"/>
      <c r="CQ57" s="337" t="str">
        <f>U58</f>
        <v>FN30.
450.
11</v>
      </c>
      <c r="CR57" s="338"/>
      <c r="CS57" s="338"/>
      <c r="CT57" s="339"/>
      <c r="CU57" s="337" t="str">
        <f>V58</f>
        <v>FN30.
450.
10</v>
      </c>
      <c r="CV57" s="338"/>
      <c r="CW57" s="338"/>
      <c r="CX57" s="339"/>
      <c r="CY57" s="337" t="str">
        <f>W58</f>
        <v>FN30.
450.
09</v>
      </c>
      <c r="CZ57" s="338"/>
      <c r="DA57" s="338"/>
      <c r="DB57" s="339"/>
      <c r="DC57" s="337" t="str">
        <f>X58</f>
        <v>FN30.
500.
10</v>
      </c>
      <c r="DD57" s="338"/>
      <c r="DE57" s="338"/>
      <c r="DF57" s="339"/>
      <c r="DG57" s="337" t="str">
        <f>Y58</f>
        <v>FN30.
500.
09</v>
      </c>
      <c r="DH57" s="338"/>
      <c r="DI57" s="338"/>
      <c r="DJ57" s="339"/>
      <c r="DK57" s="337" t="str">
        <f>Z58</f>
        <v>FN30.
550.
08</v>
      </c>
      <c r="DL57" s="338"/>
      <c r="DM57" s="338"/>
      <c r="DN57" s="339"/>
      <c r="DO57" s="337" t="str">
        <f>AA58</f>
        <v>FN30.
600.
08</v>
      </c>
      <c r="DP57" s="338"/>
      <c r="DQ57" s="338"/>
      <c r="DR57" s="339"/>
      <c r="DS57" s="337" t="str">
        <f>AB58</f>
        <v>FN30.
650.
67</v>
      </c>
      <c r="DT57" s="338"/>
      <c r="DU57" s="338"/>
      <c r="DV57" s="339"/>
      <c r="DW57" s="337" t="str">
        <f>AC58</f>
        <v>GII30.
400.
10</v>
      </c>
      <c r="DX57" s="338"/>
      <c r="DY57" s="338"/>
      <c r="DZ57" s="339"/>
      <c r="EA57" s="337" t="str">
        <f>AD58</f>
        <v>GII30.
450.
10</v>
      </c>
      <c r="EB57" s="338"/>
      <c r="EC57" s="338"/>
      <c r="ED57" s="339"/>
      <c r="EE57" s="337" t="str">
        <f>AE58</f>
        <v>GII30.
500.
10</v>
      </c>
      <c r="EF57" s="338"/>
      <c r="EG57" s="338"/>
      <c r="EH57" s="339"/>
    </row>
    <row r="58" spans="2:138" s="6" customFormat="1" ht="45" hidden="1">
      <c r="F58" s="43" t="s">
        <v>35</v>
      </c>
      <c r="G58" s="12" t="s">
        <v>36</v>
      </c>
      <c r="H58" s="54" t="s">
        <v>47</v>
      </c>
      <c r="I58" s="43" t="s">
        <v>0</v>
      </c>
      <c r="J58" s="245" t="str">
        <f t="shared" ref="J58:AE58" si="109">J24</f>
        <v>FN30.
300.
13</v>
      </c>
      <c r="K58" s="243" t="str">
        <f t="shared" si="109"/>
        <v>FN30.
300.
12</v>
      </c>
      <c r="L58" s="307" t="str">
        <f t="shared" si="109"/>
        <v>FN30.
350.
14</v>
      </c>
      <c r="M58" s="309" t="str">
        <f t="shared" si="109"/>
        <v>FN30.
350.
13</v>
      </c>
      <c r="N58" s="243" t="str">
        <f t="shared" si="109"/>
        <v>FN30.
350.
12</v>
      </c>
      <c r="O58" s="242" t="str">
        <f t="shared" si="109"/>
        <v>FN30.
350.
10</v>
      </c>
      <c r="P58" s="309" t="str">
        <f t="shared" si="109"/>
        <v>FN30.
400.
14</v>
      </c>
      <c r="Q58" s="24" t="str">
        <f t="shared" si="109"/>
        <v>FN30.
400.
13</v>
      </c>
      <c r="R58" s="24" t="str">
        <f t="shared" si="109"/>
        <v>FN30.
400.
11</v>
      </c>
      <c r="S58" s="24" t="str">
        <f t="shared" si="109"/>
        <v>FN30.
400.
10</v>
      </c>
      <c r="T58" s="24" t="str">
        <f t="shared" si="109"/>
        <v>FN30.
400.
09</v>
      </c>
      <c r="U58" s="241" t="str">
        <f t="shared" si="109"/>
        <v>FN30.
450.
11</v>
      </c>
      <c r="V58" s="243" t="str">
        <f t="shared" si="109"/>
        <v>FN30.
450.
10</v>
      </c>
      <c r="W58" s="242" t="str">
        <f t="shared" si="109"/>
        <v>FN30.
450.
09</v>
      </c>
      <c r="X58" s="24" t="str">
        <f t="shared" si="109"/>
        <v>FN30.
500.
10</v>
      </c>
      <c r="Y58" s="24" t="str">
        <f t="shared" si="109"/>
        <v>FN30.
500.
09</v>
      </c>
      <c r="Z58" s="73" t="str">
        <f t="shared" si="109"/>
        <v>FN30.
550.
08</v>
      </c>
      <c r="AA58" s="73" t="str">
        <f t="shared" si="109"/>
        <v>FN30.
600.
08</v>
      </c>
      <c r="AB58" s="24" t="str">
        <f t="shared" si="109"/>
        <v>FN30.
650.
67</v>
      </c>
      <c r="AC58" s="43" t="str">
        <f t="shared" si="109"/>
        <v>GII30.
400.
10</v>
      </c>
      <c r="AD58" s="24" t="str">
        <f t="shared" si="109"/>
        <v>GII30.
450.
10</v>
      </c>
      <c r="AE58" s="44" t="str">
        <f t="shared" si="109"/>
        <v>GII30.
500.
10</v>
      </c>
      <c r="AV58" s="23"/>
      <c r="AY58" s="335" t="s">
        <v>37</v>
      </c>
      <c r="AZ58" s="336"/>
      <c r="BA58" s="335" t="s">
        <v>38</v>
      </c>
      <c r="BB58" s="336"/>
      <c r="BC58" s="335" t="s">
        <v>37</v>
      </c>
      <c r="BD58" s="336"/>
      <c r="BE58" s="335" t="s">
        <v>38</v>
      </c>
      <c r="BF58" s="336"/>
      <c r="BG58" s="335" t="s">
        <v>37</v>
      </c>
      <c r="BH58" s="336"/>
      <c r="BI58" s="335" t="s">
        <v>38</v>
      </c>
      <c r="BJ58" s="336"/>
      <c r="BK58" s="335" t="s">
        <v>37</v>
      </c>
      <c r="BL58" s="336"/>
      <c r="BM58" s="335" t="s">
        <v>38</v>
      </c>
      <c r="BN58" s="336"/>
      <c r="BO58" s="307" t="s">
        <v>37</v>
      </c>
      <c r="BP58" s="308"/>
      <c r="BQ58" s="307" t="s">
        <v>38</v>
      </c>
      <c r="BR58" s="308"/>
      <c r="BS58" s="307" t="s">
        <v>37</v>
      </c>
      <c r="BT58" s="308"/>
      <c r="BU58" s="307" t="s">
        <v>38</v>
      </c>
      <c r="BV58" s="309"/>
      <c r="BW58" s="307" t="s">
        <v>37</v>
      </c>
      <c r="BX58" s="308"/>
      <c r="BY58" s="307" t="s">
        <v>38</v>
      </c>
      <c r="BZ58" s="309"/>
      <c r="CA58" s="307" t="s">
        <v>37</v>
      </c>
      <c r="CB58" s="308"/>
      <c r="CC58" s="307" t="s">
        <v>38</v>
      </c>
      <c r="CD58" s="308"/>
      <c r="CE58" s="307" t="s">
        <v>37</v>
      </c>
      <c r="CF58" s="308"/>
      <c r="CG58" s="307" t="s">
        <v>38</v>
      </c>
      <c r="CH58" s="308"/>
      <c r="CI58" s="307" t="s">
        <v>37</v>
      </c>
      <c r="CJ58" s="308"/>
      <c r="CK58" s="307" t="s">
        <v>38</v>
      </c>
      <c r="CL58" s="308"/>
      <c r="CM58" s="307" t="s">
        <v>37</v>
      </c>
      <c r="CN58" s="308"/>
      <c r="CO58" s="307" t="s">
        <v>38</v>
      </c>
      <c r="CP58" s="308"/>
      <c r="CQ58" s="307" t="s">
        <v>37</v>
      </c>
      <c r="CR58" s="308"/>
      <c r="CS58" s="307" t="s">
        <v>38</v>
      </c>
      <c r="CT58" s="308"/>
      <c r="CU58" s="307" t="s">
        <v>37</v>
      </c>
      <c r="CV58" s="308"/>
      <c r="CW58" s="307" t="s">
        <v>38</v>
      </c>
      <c r="CX58" s="308"/>
      <c r="CY58" s="307" t="s">
        <v>37</v>
      </c>
      <c r="CZ58" s="308"/>
      <c r="DA58" s="307" t="s">
        <v>38</v>
      </c>
      <c r="DB58" s="308"/>
      <c r="DC58" s="307" t="s">
        <v>37</v>
      </c>
      <c r="DD58" s="308"/>
      <c r="DE58" s="307" t="s">
        <v>38</v>
      </c>
      <c r="DF58" s="308"/>
      <c r="DG58" s="307" t="s">
        <v>37</v>
      </c>
      <c r="DH58" s="309"/>
      <c r="DI58" s="307" t="s">
        <v>38</v>
      </c>
      <c r="DJ58" s="308"/>
      <c r="DK58" s="307" t="s">
        <v>37</v>
      </c>
      <c r="DL58" s="308"/>
      <c r="DM58" s="307" t="s">
        <v>38</v>
      </c>
      <c r="DN58" s="308"/>
      <c r="DO58" s="307" t="s">
        <v>37</v>
      </c>
      <c r="DP58" s="308"/>
      <c r="DQ58" s="307" t="s">
        <v>38</v>
      </c>
      <c r="DR58" s="308"/>
      <c r="DS58" s="307" t="s">
        <v>37</v>
      </c>
      <c r="DT58" s="308"/>
      <c r="DU58" s="307" t="s">
        <v>38</v>
      </c>
      <c r="DV58" s="308"/>
      <c r="DW58" s="307" t="s">
        <v>37</v>
      </c>
      <c r="DX58" s="308"/>
      <c r="DY58" s="307" t="s">
        <v>38</v>
      </c>
      <c r="DZ58" s="308"/>
      <c r="EA58" s="307" t="s">
        <v>37</v>
      </c>
      <c r="EB58" s="308"/>
      <c r="EC58" s="307" t="s">
        <v>38</v>
      </c>
      <c r="ED58" s="308"/>
      <c r="EE58" s="307" t="s">
        <v>37</v>
      </c>
      <c r="EF58" s="308"/>
      <c r="EG58" s="307" t="s">
        <v>38</v>
      </c>
      <c r="EH58" s="308"/>
    </row>
    <row r="59" spans="2:138" ht="15" hidden="1" customHeight="1">
      <c r="B59" s="7"/>
      <c r="C59" s="8"/>
      <c r="D59" s="8"/>
      <c r="E59" s="8"/>
      <c r="F59" s="16" t="s">
        <v>35</v>
      </c>
      <c r="G59" s="15">
        <v>100</v>
      </c>
      <c r="H59" s="162">
        <f>H34</f>
        <v>1</v>
      </c>
      <c r="I59" s="163">
        <f t="shared" ref="I59:I60" si="110">EDATE(CurrentCloseDate, H59)</f>
        <v>42215</v>
      </c>
      <c r="J59" s="34" t="str">
        <f>AY59</f>
        <v>E</v>
      </c>
      <c r="K59" s="165" t="str">
        <f>BC59</f>
        <v>E</v>
      </c>
      <c r="L59" s="34" t="str">
        <f>BG59</f>
        <v>E</v>
      </c>
      <c r="M59" s="164" t="str">
        <f>BK59</f>
        <v>E</v>
      </c>
      <c r="N59" s="164" t="str">
        <f>BO59</f>
        <v>E</v>
      </c>
      <c r="O59" s="166" t="str">
        <f>BS59</f>
        <v>E</v>
      </c>
      <c r="P59" s="251" t="str">
        <f>BW59</f>
        <v>E</v>
      </c>
      <c r="Q59" s="251" t="str">
        <f>CA59</f>
        <v>E</v>
      </c>
      <c r="R59" s="164" t="str">
        <f>CE59</f>
        <v>E</v>
      </c>
      <c r="S59" s="164" t="str">
        <f>CI59</f>
        <v>E</v>
      </c>
      <c r="T59" s="165" t="str">
        <f>CM59</f>
        <v>E</v>
      </c>
      <c r="U59" s="34" t="str">
        <f>CQ59</f>
        <v>E</v>
      </c>
      <c r="V59" s="164" t="str">
        <f>CU59</f>
        <v>E</v>
      </c>
      <c r="W59" s="166" t="str">
        <f>CY59</f>
        <v>E</v>
      </c>
      <c r="X59" s="251" t="str">
        <f>DC59</f>
        <v>E</v>
      </c>
      <c r="Y59" s="165" t="str">
        <f>DG59</f>
        <v>E</v>
      </c>
      <c r="Z59" s="257" t="str">
        <f>DK59</f>
        <v>E</v>
      </c>
      <c r="AA59" s="257" t="str">
        <f>DO59</f>
        <v>E</v>
      </c>
      <c r="AB59" s="254" t="str">
        <f>DS59</f>
        <v>E</v>
      </c>
      <c r="AC59" s="34" t="str">
        <f>DW59</f>
        <v>E</v>
      </c>
      <c r="AD59" s="164" t="str">
        <f>EA59</f>
        <v>E</v>
      </c>
      <c r="AE59" s="166" t="str">
        <f>EE59</f>
        <v>E</v>
      </c>
      <c r="AY59" s="26" t="str">
        <f>[1]!YBSCEN(J$44&amp;"(IOX)",J$48&amp;"d","Market",AnnReturn,"Swap",CurrentCloseDate,"LMMSkew","",$F59,$G59,$H59,,"Immediate","ParShift|N",Down25,OASROR,$J$46,,"EFF",,,,0,,,,"Default",,)</f>
        <v>E</v>
      </c>
      <c r="AZ59" s="27" t="e">
        <f t="shared" ref="AZ59" si="111">1+(AY59/100)</f>
        <v>#VALUE!</v>
      </c>
      <c r="BA59" s="26" t="str">
        <f>[1]!YBSCEN(J$44&amp;"(IOX)",J$48&amp;"d","Market",AnnReturn,"Swap",CurrentCloseDate,"LMMSkew","",$F59,$G59,$H59,,"Immediate","ParShift|N",Down25,PriceROR,$J$48,,"EFF",,,,0,,,,"Default",,)</f>
        <v>E</v>
      </c>
      <c r="BB59" s="27" t="e">
        <f t="shared" ref="BB59" si="112">1+(BA59/100)</f>
        <v>#VALUE!</v>
      </c>
      <c r="BC59" s="26" t="str">
        <f>[1]!YBSCEN(K$44&amp;"(IOX)",K$48&amp;"d","Market",AnnReturn,"Swap",CurrentCloseDate,"LMMSkew","",$F59,$G59,$H59,,"Immediate","ParShift|N",Down25,OASROR,$K$46,,"EFF",,,,0,,,,"Default",,)</f>
        <v>E</v>
      </c>
      <c r="BD59" s="27" t="e">
        <f t="shared" ref="BD59" si="113">1+(BC59/100)</f>
        <v>#VALUE!</v>
      </c>
      <c r="BE59" s="26" t="str">
        <f>[1]!YBSCEN(K$44&amp;"(IOX)",K$48&amp;"d","Market",AnnReturn,"Swap",CurrentCloseDate,"LMMSkew","",$F59,$G59,$H59,,"Immediate","ParShift|N",Down25,PriceROR,$K$48,,"EFF",,,,0,,,,"Default",,)</f>
        <v>E</v>
      </c>
      <c r="BF59" s="30" t="e">
        <f t="shared" ref="BF59" si="114">1+(BE59/100)</f>
        <v>#VALUE!</v>
      </c>
      <c r="BG59" s="26" t="str">
        <f>[1]!YBSCEN(L$44&amp;"(IOX)",L$48&amp;"d","Market",AnnReturn,"Swap",CurrentCloseDate,"LMMSkew","",$F59,$G59,$H59,,"Immediate","ParShift|N",Down25,OASROR,$L$46,,"EFF",,,,0,,,,"Default",,)</f>
        <v>E</v>
      </c>
      <c r="BH59" s="27" t="e">
        <f t="shared" ref="BH59:BH61" si="115">1+(BG59/100)</f>
        <v>#VALUE!</v>
      </c>
      <c r="BI59" s="26" t="str">
        <f>[1]!YBSCEN(L$44&amp;"(IOX)",L$48&amp;"d","Market",AnnReturn,"Swap",CurrentCloseDate,"LMMSkew","",$F59,$G59,$H59,,"Immediate","ParShift|N",Down25,PriceROR,$L$48,,"EFF",,,,0,,,,"Default",,)</f>
        <v>E</v>
      </c>
      <c r="BJ59" s="30" t="e">
        <f t="shared" ref="BJ59:BJ61" si="116">1+(BI59/100)</f>
        <v>#VALUE!</v>
      </c>
      <c r="BK59" s="26" t="str">
        <f>[1]!YBSCEN(M$44&amp;"(IOX)",M$48&amp;"d","Market",AnnReturn,"Swap",CurrentCloseDate,"LMMSkew","",$F59,$G59,$H59,,"Immediate","ParShift|N",Down25,OASROR,$M$46,,"EFF",,,,0,,,,"Default",,)</f>
        <v>E</v>
      </c>
      <c r="BL59" s="27" t="e">
        <f>1+(BK59/100)</f>
        <v>#VALUE!</v>
      </c>
      <c r="BM59" s="26" t="str">
        <f>[1]!YBSCEN(M$44&amp;"(IOX)",M$48&amp;"d","Market",AnnReturn,"Swap",CurrentCloseDate,"LMMSkew","",$F59,$G59,$H59,,"Immediate","ParShift|N",Down25,PriceROR,$M$48,,"EFF",,,,0,,,,"Default",,)</f>
        <v>E</v>
      </c>
      <c r="BN59" s="30" t="e">
        <f>1+(BM59/100)</f>
        <v>#VALUE!</v>
      </c>
      <c r="BO59" s="26" t="str">
        <f>[1]!YBSCEN(N$44&amp;"(IOX)",N$48&amp;"d","Market",AnnReturn,"Swap",CurrentCloseDate,"LMMSkew","",$F59,$G59,$H59,,"Immediate","ParShift|N",Down25,OASROR,$N$46,,"EFF",,,,0,,,,"Default",,)</f>
        <v>E</v>
      </c>
      <c r="BP59" s="27" t="e">
        <f>1+(BO59/100)</f>
        <v>#VALUE!</v>
      </c>
      <c r="BQ59" s="26" t="str">
        <f>[1]!YBSCEN(N$44&amp;"(IOX)",N$48&amp;"d","Market",AnnReturn,"Swap",CurrentCloseDate,"LMMSkew","",$F59,$G59,$H59,,"Immediate","ParShift|N",Down25,PriceROR,$N$48,,"EFF",,,,0,,,,"Default",,)</f>
        <v>E</v>
      </c>
      <c r="BR59" s="30" t="e">
        <f>1+(BQ59/100)</f>
        <v>#VALUE!</v>
      </c>
      <c r="BS59" s="27" t="str">
        <f>[1]!YBSCEN(O$44&amp;"(IOX)",O$48&amp;"d","Market",AnnReturn,"Swap",CurrentCloseDate,"LMMSkew","",$F59,$G59,$H59,,"Immediate","ParShift|N",Down25,OASROR,$O$46,,"EFF",,,,0,,,,"Default",,)</f>
        <v>E</v>
      </c>
      <c r="BT59" s="27" t="e">
        <f t="shared" ref="BT59" si="117">1+(BS59/100)</f>
        <v>#VALUE!</v>
      </c>
      <c r="BU59" s="26" t="str">
        <f>[1]!YBSCEN(O$44&amp;"(IOX)",O$48&amp;"d","Market",AnnReturn,"Swap",CurrentCloseDate,"LMMSkew","",$F59,$G59,$H59,,"Immediate","ParShift|N",Down25,PriceROR,$O$48,,"EFF",,,,0,,,,"Default",,)</f>
        <v>E</v>
      </c>
      <c r="BV59" s="27" t="e">
        <f t="shared" ref="BV59" si="118">1+(BU59/100)</f>
        <v>#VALUE!</v>
      </c>
      <c r="BW59" s="26" t="str">
        <f>[1]!YBSCEN(P$44&amp;"(IOX)",P$48&amp;"d","Market",AnnReturn,"Swap",CurrentCloseDate,"LMMSkew","",$F59,$G59,$H59,,"Immediate","ParShift|N",Down25,OASROR,$P$46,,"EFF",,,,0,,,,"Default",,)</f>
        <v>E</v>
      </c>
      <c r="BX59" s="27" t="e">
        <f t="shared" ref="BX59:BX61" si="119">1+(BW59/100)</f>
        <v>#VALUE!</v>
      </c>
      <c r="BY59" s="26" t="str">
        <f>[1]!YBSCEN(P$44&amp;"(IOX)",P$48&amp;"d","Market",AnnReturn,"Swap",CurrentCloseDate,"LMMSkew","",$F59,$G59,$H59,,"Immediate","ParShift|N",Down25,PriceROR,$P$48,,"EFF",,,,0,,,,"Default",,)</f>
        <v>E</v>
      </c>
      <c r="BZ59" s="27" t="e">
        <f t="shared" ref="BZ59:BZ61" si="120">1+(BY59/100)</f>
        <v>#VALUE!</v>
      </c>
      <c r="CA59" s="26" t="str">
        <f>[1]!YBSCEN(Q$44&amp;"(IOX)",Q$48&amp;"d","Market",AnnReturn,"Swap",CurrentCloseDate,"LMMSkew","",$F59,$G59,$H59,,"Immediate","ParShift|N",Down25,OASROR,$Q$46,,"EFF",,,,0,,,,"Default",,)</f>
        <v>E</v>
      </c>
      <c r="CB59" s="27" t="e">
        <f t="shared" ref="CB59" si="121">1+(CA59/100)</f>
        <v>#VALUE!</v>
      </c>
      <c r="CC59" s="26" t="str">
        <f>[1]!YBSCEN(Q$44&amp;"(IOX)",Q$48&amp;"d","Market",AnnReturn,"Swap",CurrentCloseDate,"LMMSkew","",$F59,$G59,$H59,,"Immediate","ParShift|N",Down25,PriceROR,$Q$48,,"EFF",,,,0,,,,"Default",,)</f>
        <v>E</v>
      </c>
      <c r="CD59" s="27" t="e">
        <f t="shared" ref="CD59" si="122">1+(CC59/100)</f>
        <v>#VALUE!</v>
      </c>
      <c r="CE59" s="26" t="str">
        <f>[1]!YBSCEN(R$44&amp;"(IOX)",R$48&amp;"d","Market",AnnReturn,"Swap",CurrentCloseDate,"LMMSkew","",$F59,$G59,$H59,,"Immediate","ParShift|N",Down25,OASROR,$R$46,,"EFF",,,,0,,,,"Default",,)</f>
        <v>E</v>
      </c>
      <c r="CF59" s="27" t="e">
        <f t="shared" ref="CF59" si="123">1+(CE59/100)</f>
        <v>#VALUE!</v>
      </c>
      <c r="CG59" s="26" t="str">
        <f>[1]!YBSCEN(R$44&amp;"(IOX)",R$48&amp;"d","Market",AnnReturn,"Swap",CurrentCloseDate,"LMMSkew","",$F59,$G59,$H59,,"Immediate","ParShift|N",Down25,PriceROR,$R$48,,"EFF",,,,0,,,,"Default",,)</f>
        <v>E</v>
      </c>
      <c r="CH59" s="27" t="e">
        <f t="shared" ref="CH59" si="124">1+(CG59/100)</f>
        <v>#VALUE!</v>
      </c>
      <c r="CI59" s="26" t="str">
        <f>[1]!YBSCEN(S$44&amp;"(IOX)",S$48&amp;"d","Market",AnnReturn,"Swap",CurrentCloseDate,"LMMSkew","",$F59,$G59,$H59,,"Immediate","ParShift|N",Down25,OASROR,$S$46,,"EFF",,,,0,,,,"Default",,)</f>
        <v>E</v>
      </c>
      <c r="CJ59" s="27" t="e">
        <f t="shared" ref="CJ59" si="125">1+(CI59/100)</f>
        <v>#VALUE!</v>
      </c>
      <c r="CK59" s="26" t="str">
        <f>[1]!YBSCEN(S$44&amp;"(IOX)",S$48&amp;"d","Market",AnnReturn,"Swap",CurrentCloseDate,"LMMSkew","",$F59,$G59,$H59,,"Immediate","ParShift|N",Down25,PriceROR,$S$48,,"EFF",,,,0,,,,"Default",,)</f>
        <v>E</v>
      </c>
      <c r="CL59" s="27" t="e">
        <f t="shared" ref="CL59" si="126">1+(CK59/100)</f>
        <v>#VALUE!</v>
      </c>
      <c r="CM59" s="26" t="str">
        <f>[1]!YBSCEN(T$44&amp;"(IOX)",T$48&amp;"d","Market",AnnReturn,"Swap",CurrentCloseDate,"LMMSkew","",$F59,$G59,$H59,,"Immediate","ParShift|N",Down25,OASROR,$T$46,,"EFF",,,,0,,,,"Default",,)</f>
        <v>E</v>
      </c>
      <c r="CN59" s="27" t="e">
        <f t="shared" ref="CN59" si="127">1+(CM59/100)</f>
        <v>#VALUE!</v>
      </c>
      <c r="CO59" s="26" t="str">
        <f>[1]!YBSCEN(T$44&amp;"(IOX)",T$48&amp;"d","Market",AnnReturn,"Swap",CurrentCloseDate,"LMMSkew","",$F59,$G59,$H59,,"Immediate","ParShift|N",Down25,PriceROR,$T$48,,"EFF",,,,0,,,,"Default",,)</f>
        <v>E</v>
      </c>
      <c r="CP59" s="27" t="e">
        <f t="shared" ref="CP59" si="128">1+(CO59/100)</f>
        <v>#VALUE!</v>
      </c>
      <c r="CQ59" s="26" t="str">
        <f>[1]!YBSCEN(U$44&amp;"(IOX)",U$48&amp;"d","Market",AnnReturn,"Swap",CurrentCloseDate,"LMMSkew","",$F59,$G59,$H59,,"Immediate","ParShift|N",Down25,OASROR,$U$46,,"EFF",,,,0,,,,"Default",,)</f>
        <v>E</v>
      </c>
      <c r="CR59" s="27" t="e">
        <f t="shared" ref="CR59" si="129">1+(CQ59/100)</f>
        <v>#VALUE!</v>
      </c>
      <c r="CS59" s="26" t="str">
        <f>[1]!YBSCEN(U$44&amp;"(IOX)",U$48&amp;"d","Market",AnnReturn,"Swap",CurrentCloseDate,"LMMSkew","",$F59,$G59,$H59,,"Immediate","ParShift|N",Down25,PriceROR,$U$48,,"EFF",,,,0,,,,"Default",,)</f>
        <v>E</v>
      </c>
      <c r="CT59" s="27" t="e">
        <f t="shared" ref="CT59" si="130">1+(CS59/100)</f>
        <v>#VALUE!</v>
      </c>
      <c r="CU59" s="26" t="str">
        <f>[1]!YBSCEN(V$44&amp;"(IOX)",V$48&amp;"d","Market",AnnReturn,"Swap",CurrentCloseDate,"LMMSkew","",$F59,$G59,$H59,,"Immediate","ParShift|N",Down25,OASROR,$V$46,,"EFF",,,,0,,,,"Default",,)</f>
        <v>E</v>
      </c>
      <c r="CV59" s="27" t="e">
        <f t="shared" ref="CV59" si="131">1+(CU59/100)</f>
        <v>#VALUE!</v>
      </c>
      <c r="CW59" s="26" t="str">
        <f>[1]!YBSCEN(V$44&amp;"(IOX)",V$48&amp;"d","Market",AnnReturn,"Swap",CurrentCloseDate,"LMMSkew","",$F59,$G59,$H59,,"Immediate","ParShift|N",Down25,PriceROR,$V$48,,"EFF",,,,0,,,,"Default",,)</f>
        <v>E</v>
      </c>
      <c r="CX59" s="27" t="e">
        <f t="shared" ref="CX59" si="132">1+(CW59/100)</f>
        <v>#VALUE!</v>
      </c>
      <c r="CY59" s="26" t="str">
        <f>[1]!YBSCEN(W$44&amp;"(IOX)",W$48&amp;"d","Market",AnnReturn,"Swap",CurrentCloseDate,"LMMSkew","",$F59,$G59,$H59,,"Immediate","ParShift|N",Down25,OASROR,$W$46,,"EFF",,,,0,,,,"Default",,)</f>
        <v>E</v>
      </c>
      <c r="CZ59" s="27" t="e">
        <f t="shared" ref="CZ59" si="133">1+(CY59/100)</f>
        <v>#VALUE!</v>
      </c>
      <c r="DA59" s="26" t="str">
        <f>[1]!YBSCEN(W$44&amp;"(IOX)",W$48&amp;"d","Market",AnnReturn,"Swap",CurrentCloseDate,"LMMSkew","",$F59,$G59,$H59,,"Immediate","ParShift|N",Down25,PriceROR,$W$48,,"EFF",,,,0,,,,"Default",,)</f>
        <v>E</v>
      </c>
      <c r="DB59" s="27" t="e">
        <f t="shared" ref="DB59" si="134">1+(DA59/100)</f>
        <v>#VALUE!</v>
      </c>
      <c r="DC59" s="26" t="str">
        <f>[1]!YBSCEN(X$44&amp;"(IOX)",X$48&amp;"d","Market",AnnReturn,"Swap",CurrentCloseDate,"LMMSkew","",$F59,$G59,$H59,,"Immediate","ParShift|N",Down25,OASROR,$X$46,,"EFF",,,,0,,,,"Default",,)</f>
        <v>E</v>
      </c>
      <c r="DD59" s="27" t="e">
        <f t="shared" ref="DD59" si="135">1+(DC59/100)</f>
        <v>#VALUE!</v>
      </c>
      <c r="DE59" s="26" t="str">
        <f>[1]!YBSCEN(X$44&amp;"(IOX)",X$48&amp;"d","Market",AnnReturn,"Swap",CurrentCloseDate,"LMMSkew","",$F59,$G59,$H59,,"Immediate","ParShift|N",Down25,PriceROR,$X$48,,"EFF",,,,0,,,,"Default",,)</f>
        <v>E</v>
      </c>
      <c r="DF59" s="27" t="e">
        <f t="shared" ref="DF59" si="136">1+(DE59/100)</f>
        <v>#VALUE!</v>
      </c>
      <c r="DG59" s="26" t="str">
        <f>[1]!YBSCEN(Y$44&amp;"(IOX)",Y$48&amp;"d","Market",AnnReturn,"Swap",CurrentCloseDate,"LMMSkew","",$F59,$G59,$H59,,"Immediate","ParShift|N",Down25,OASROR,$Y$46,,"EFF",,,,0,,,,"Default",,)</f>
        <v>E</v>
      </c>
      <c r="DH59" s="27" t="e">
        <f t="shared" ref="DH59" si="137">1+(DG59/100)</f>
        <v>#VALUE!</v>
      </c>
      <c r="DI59" s="26" t="str">
        <f>[1]!YBSCEN(Y$44&amp;"(IOX)",Y$48&amp;"d","Market",AnnReturn,"Swap",CurrentCloseDate,"LMMSkew","",$F59,$G59,$H59,,"Immediate","ParShift|N",Down25,PriceROR,$Y$48,,"EFF",,,,0,,,,"Default",,)</f>
        <v>E</v>
      </c>
      <c r="DJ59" s="27" t="e">
        <f t="shared" ref="DJ59" si="138">1+(DI59/100)</f>
        <v>#VALUE!</v>
      </c>
      <c r="DK59" s="26" t="str">
        <f>[1]!YBSCEN(Z$44&amp;"(IOX)",Z$48&amp;"d","Market",AnnReturn,"Swap",CurrentCloseDate,"LMMSkew","",$F59,$G59,$H59,,"Immediate","ParShift|N",Down25,OASROR,$Z$46,,"EFF",,,,0,,,,"Default",,)</f>
        <v>E</v>
      </c>
      <c r="DL59" s="27" t="e">
        <f t="shared" ref="DL59" si="139">1+(DK59/100)</f>
        <v>#VALUE!</v>
      </c>
      <c r="DM59" s="26" t="str">
        <f>[1]!YBSCEN(Z$44&amp;"(IOX)",Z$48&amp;"d","Market",AnnReturn,"Swap",CurrentCloseDate,"LMMSkew","",$F59,$G59,$H59,,"Immediate","ParShift|N",Down25,PriceROR,$Z$48,,"EFF",,,,0,,,,"Default",,)</f>
        <v>E</v>
      </c>
      <c r="DN59" s="27" t="e">
        <f t="shared" ref="DN59" si="140">1+(DM59/100)</f>
        <v>#VALUE!</v>
      </c>
      <c r="DO59" s="26" t="str">
        <f>[1]!YBSCEN(AA$44&amp;"(IOX)",AA$48&amp;"d","Market",AnnReturn,"Swap",CurrentCloseDate,"LMMSkew","",$F59,$G59,$H59,,"Immediate","ParShift|N",Down25,OASROR,$AA$46,,"EFF",,,,0,,,,"Default",,)</f>
        <v>E</v>
      </c>
      <c r="DP59" s="27" t="e">
        <f t="shared" ref="DP59" si="141">1+(DO59/100)</f>
        <v>#VALUE!</v>
      </c>
      <c r="DQ59" s="26" t="str">
        <f>[1]!YBSCEN(AA$44&amp;"(IOX)",AA$48&amp;"d","Market",AnnReturn,"Swap",CurrentCloseDate,"LMMSkew","",$F59,$G59,$H59,,"Immediate","ParShift|N",Down25,PriceROR,$AA$48,,"EFF",,,,0,,,,"Default",,)</f>
        <v>E</v>
      </c>
      <c r="DR59" s="30" t="e">
        <f t="shared" ref="DR59" si="142">1+(DQ59/100)</f>
        <v>#VALUE!</v>
      </c>
      <c r="DS59" s="26" t="str">
        <f>[1]!YBSCEN(AB$44&amp;"(IOX)",AB$48&amp;"d","Market",AnnReturn,"Swap",CurrentCloseDate,"LMMSkew","",$F59,$G59,$H59,,"Immediate","ParShift|N",Down25,OASROR,$AB$46,,"EFF",,,,0,,,,"Default",,)</f>
        <v>E</v>
      </c>
      <c r="DT59" s="30" t="e">
        <f t="shared" ref="DT59" si="143">1+(DS59/100)</f>
        <v>#VALUE!</v>
      </c>
      <c r="DU59" s="45" t="str">
        <f>[1]!YBSCEN(AB$44&amp;"(IOX)",AB$48&amp;"d","Market",AnnReturn,"Swap",CurrentCloseDate,"LMMSkew","",$F59,$G59,$H59,,"Immediate","ParShift|N",Down25,PriceROR,$AB$48,,"EFF",,,,0,,,,"Default",,)</f>
        <v>E</v>
      </c>
      <c r="DV59" s="46" t="e">
        <f t="shared" ref="DV59" si="144">1+(DU59/100)</f>
        <v>#VALUE!</v>
      </c>
      <c r="DW59" s="26" t="str">
        <f>[1]!YBSCEN(AC$44&amp;"(IOX)",AC$48&amp;"d","Market",AnnReturn,"Swap",CurrentCloseDate,"LMMSkew","",$F59,$G59,$H59,,"Immediate","ParShift|N",Down25,OASROR,$AC$46,,"EFF",,,,0,,,,"Default",,)</f>
        <v>E</v>
      </c>
      <c r="DX59" s="30" t="e">
        <f t="shared" ref="DX59" si="145">1+(DW59/100)</f>
        <v>#VALUE!</v>
      </c>
      <c r="DY59" s="45" t="str">
        <f>[1]!YBSCEN(AC$44&amp;"(IOX)",AC$48&amp;"d","Market",AnnReturn,"Swap",CurrentCloseDate,"LMMSkew","",$F59,$G59,$H59,,"Immediate","ParShift|N",Down25,PriceROR,$AC$48,,"EFF",,,,0,,,,"Default",,)</f>
        <v>E</v>
      </c>
      <c r="DZ59" s="46" t="e">
        <f t="shared" ref="DZ59" si="146">1+(DY59/100)</f>
        <v>#VALUE!</v>
      </c>
      <c r="EA59" s="26" t="str">
        <f>[1]!YBSCEN(AD$44&amp;"(IOX)",AD$48&amp;"d","Market",AnnReturn,"Swap",CurrentCloseDate,"LMMSkew","",$F59,$G59,$H59,,"Immediate","ParShift|N",Down25,OASROR,$AD$46,,"EFF",,,,0,,,,"Default",,)</f>
        <v>E</v>
      </c>
      <c r="EB59" s="30" t="e">
        <f t="shared" ref="EB59" si="147">1+(EA59/100)</f>
        <v>#VALUE!</v>
      </c>
      <c r="EC59" s="45" t="str">
        <f>[1]!YBSCEN(AD$44&amp;"(IOX)",AD$48&amp;"d","Market",AnnReturn,"Swap",CurrentCloseDate,"LMMSkew","",$F59,$G59,$H59,,"Immediate","ParShift|N",Down25,PriceROR,$AD$48,,"EFF",,,,0,,,,"Default",,)</f>
        <v>E</v>
      </c>
      <c r="ED59" s="46" t="e">
        <f t="shared" ref="ED59" si="148">1+(EC59/100)</f>
        <v>#VALUE!</v>
      </c>
      <c r="EE59" s="26" t="str">
        <f>[1]!YBSCEN(AE$44&amp;"(IOX)",AE$48&amp;"d","Market",AnnReturn,"Swap",CurrentCloseDate,"LMMSkew","",$F59,$G59,$H59,,"Immediate","ParShift|N",Down25,OASROR,$AE$46,,"EFF",,,,0,,,,"Default",,)</f>
        <v>E</v>
      </c>
      <c r="EF59" s="30" t="e">
        <f t="shared" ref="EF59" si="149">1+(EE59/100)</f>
        <v>#VALUE!</v>
      </c>
      <c r="EG59" s="45" t="str">
        <f>[1]!YBSCEN(AE$44&amp;"(IOX)",AE$48&amp;"d","Market",AnnReturn,"Swap",CurrentCloseDate,"LMMSkew","",$F59,$G59,$H59,,"Immediate","ParShift|N",Down25,PriceROR,$AE$48,,"EFF",,,,0,,,,"Default",,)</f>
        <v>E</v>
      </c>
      <c r="EH59" s="46" t="e">
        <f t="shared" ref="EH59" si="150">1+(EG59/100)</f>
        <v>#VALUE!</v>
      </c>
    </row>
    <row r="60" spans="2:138" ht="15" hidden="1" customHeight="1">
      <c r="C60" s="8"/>
      <c r="D60" s="8"/>
      <c r="E60" s="8"/>
      <c r="F60" s="8" t="s">
        <v>35</v>
      </c>
      <c r="G60" s="15">
        <v>100</v>
      </c>
      <c r="H60" s="58">
        <f>H35</f>
        <v>2</v>
      </c>
      <c r="I60" s="32">
        <f t="shared" si="110"/>
        <v>42246</v>
      </c>
      <c r="J60" s="37" t="str">
        <f t="shared" ref="J60:J61" si="151">AY60</f>
        <v>E</v>
      </c>
      <c r="K60" s="36" t="str">
        <f t="shared" ref="K60:K61" si="152">BC60</f>
        <v>E</v>
      </c>
      <c r="L60" s="37" t="str">
        <f t="shared" ref="L60:L61" si="153">BG60</f>
        <v>E</v>
      </c>
      <c r="M60" s="35" t="str">
        <f>BK60</f>
        <v>E</v>
      </c>
      <c r="N60" s="35" t="str">
        <f>BO60</f>
        <v>E</v>
      </c>
      <c r="O60" s="38" t="str">
        <f>BS60</f>
        <v>E</v>
      </c>
      <c r="P60" s="252" t="str">
        <f t="shared" ref="P60:P61" si="154">BW60</f>
        <v>E</v>
      </c>
      <c r="Q60" s="252" t="str">
        <f>CA60</f>
        <v>E</v>
      </c>
      <c r="R60" s="35" t="str">
        <f>CE60</f>
        <v>E</v>
      </c>
      <c r="S60" s="35" t="str">
        <f>CI60</f>
        <v>E</v>
      </c>
      <c r="T60" s="36" t="str">
        <f>CM60</f>
        <v>E</v>
      </c>
      <c r="U60" s="37" t="str">
        <f>CQ60</f>
        <v>E</v>
      </c>
      <c r="V60" s="35" t="str">
        <f>CU60</f>
        <v>E</v>
      </c>
      <c r="W60" s="38" t="str">
        <f>CY60</f>
        <v>E</v>
      </c>
      <c r="X60" s="252" t="str">
        <f>DC60</f>
        <v>E</v>
      </c>
      <c r="Y60" s="36" t="str">
        <f>DG60</f>
        <v>E</v>
      </c>
      <c r="Z60" s="258" t="str">
        <f>DK60</f>
        <v>E</v>
      </c>
      <c r="AA60" s="258" t="str">
        <f>DO60</f>
        <v>E</v>
      </c>
      <c r="AB60" s="255" t="str">
        <f>DS60</f>
        <v>E</v>
      </c>
      <c r="AC60" s="37" t="str">
        <f>DW60</f>
        <v>E</v>
      </c>
      <c r="AD60" s="35" t="str">
        <f>EA60</f>
        <v>E</v>
      </c>
      <c r="AE60" s="38" t="str">
        <f>EE60</f>
        <v>E</v>
      </c>
      <c r="AY60" s="28" t="str">
        <f>[1]!YBSCEN(J$44&amp;"(IOX)",J$48&amp;"d","Market",AnnReturn,"Swap",CurrentCloseDate,"LMMSkew","",$F60,$G60,$H60,,"Immediate","ParShift|N",Down25,OASROR,$J$46,,"EFF",,,,0,,,,"Default",,)</f>
        <v>E</v>
      </c>
      <c r="AZ60" s="29" t="e">
        <f t="shared" ref="AZ60:AZ61" si="155">1+(AY60/100)</f>
        <v>#VALUE!</v>
      </c>
      <c r="BA60" s="28" t="str">
        <f>[1]!YBSCEN(J$44&amp;"(IOX)",J$48&amp;"d","Market",AnnReturn,"Swap",CurrentCloseDate,"LMMSkew","",$F60,$G60,$H60,,"Immediate","ParShift|N",Down25,PriceROR,$J$48,,"EFF",,,,0,,,,"Default",,)</f>
        <v>E</v>
      </c>
      <c r="BB60" s="29" t="e">
        <f t="shared" ref="BB60:BB61" si="156">1+(BA60/100)</f>
        <v>#VALUE!</v>
      </c>
      <c r="BC60" s="28" t="str">
        <f>[1]!YBSCEN(K$44&amp;"(IOX)",K$48&amp;"d","Market",AnnReturn,"Swap",CurrentCloseDate,"LMMSkew","",$F60,$G60,$H60,,"Immediate","ParShift|N",Down25,OASROR,$K$46,,"EFF",,,,0,,,,"Default",,)</f>
        <v>E</v>
      </c>
      <c r="BD60" s="29" t="e">
        <f t="shared" ref="BD60:BD61" si="157">1+(BC60/100)</f>
        <v>#VALUE!</v>
      </c>
      <c r="BE60" s="28" t="str">
        <f>[1]!YBSCEN(K$44&amp;"(IOX)",K$48&amp;"d","Market",AnnReturn,"Swap",CurrentCloseDate,"LMMSkew","",$F60,$G60,$H60,,"Immediate","ParShift|N",Down25,PriceROR,$K$48,,"EFF",,,,0,,,,"Default",,)</f>
        <v>E</v>
      </c>
      <c r="BF60" s="31" t="e">
        <f t="shared" ref="BF60:BF61" si="158">1+(BE60/100)</f>
        <v>#VALUE!</v>
      </c>
      <c r="BG60" s="28" t="str">
        <f>[1]!YBSCEN(L$44&amp;"(IOX)",L$48&amp;"d","Market",AnnReturn,"Swap",CurrentCloseDate,"LMMSkew","",$F60,$G60,$H60,,"Immediate","ParShift|N",Down25,OASROR,$L$46,,"EFF",,,,0,,,,"Default",,)</f>
        <v>E</v>
      </c>
      <c r="BH60" s="29" t="e">
        <f t="shared" si="115"/>
        <v>#VALUE!</v>
      </c>
      <c r="BI60" s="28" t="str">
        <f>[1]!YBSCEN(L$44&amp;"(IOX)",L$48&amp;"d","Market",AnnReturn,"Swap",CurrentCloseDate,"LMMSkew","",$F60,$G60,$H60,,"Immediate","ParShift|N",Down25,PriceROR,$L$48,,"EFF",,,,0,,,,"Default",,)</f>
        <v>E</v>
      </c>
      <c r="BJ60" s="31" t="e">
        <f t="shared" si="116"/>
        <v>#VALUE!</v>
      </c>
      <c r="BK60" s="28" t="str">
        <f>[1]!YBSCEN(M$44&amp;"(IOX)",M$48&amp;"d","Market",AnnReturn,"Swap",CurrentCloseDate,"LMMSkew","",$F60,$G60,$H60,,"Immediate","ParShift|N",Down25,OASROR,$M$46,,"EFF",,,,0,,,,"Default",,)</f>
        <v>E</v>
      </c>
      <c r="BL60" s="29" t="e">
        <f t="shared" ref="BL60:BL61" si="159">1+(BK60/100)</f>
        <v>#VALUE!</v>
      </c>
      <c r="BM60" s="28" t="str">
        <f>[1]!YBSCEN(M$44&amp;"(IOX)",M$48&amp;"d","Market",AnnReturn,"Swap",CurrentCloseDate,"LMMSkew","",$F60,$G60,$H60,,"Immediate","ParShift|N",Down25,PriceROR,$M$48,,"EFF",,,,0,,,,"Default",,)</f>
        <v>E</v>
      </c>
      <c r="BN60" s="31" t="e">
        <f t="shared" ref="BN60:BN61" si="160">1+(BM60/100)</f>
        <v>#VALUE!</v>
      </c>
      <c r="BO60" s="28" t="str">
        <f>[1]!YBSCEN(N$44&amp;"(IOX)",N$48&amp;"d","Market",AnnReturn,"Swap",CurrentCloseDate,"LMMSkew","",$F60,$G60,$H60,,"Immediate","ParShift|N",Down25,OASROR,$N$46,,"EFF",,,,0,,,,"Default",,)</f>
        <v>E</v>
      </c>
      <c r="BP60" s="29" t="e">
        <f t="shared" ref="BP60:BP61" si="161">1+(BO60/100)</f>
        <v>#VALUE!</v>
      </c>
      <c r="BQ60" s="28" t="str">
        <f>[1]!YBSCEN(N$44&amp;"(IOX)",N$48&amp;"d","Market",AnnReturn,"Swap",CurrentCloseDate,"LMMSkew","",$F60,$G60,$H60,,"Immediate","ParShift|N",Down25,PriceROR,$N$48,,"EFF",,,,0,,,,"Default",,)</f>
        <v>E</v>
      </c>
      <c r="BR60" s="31" t="e">
        <f t="shared" ref="BR60:BR61" si="162">1+(BQ60/100)</f>
        <v>#VALUE!</v>
      </c>
      <c r="BS60" s="29" t="str">
        <f>[1]!YBSCEN(O$44&amp;"(IOX)",O$48&amp;"d","Market",AnnReturn,"Swap",CurrentCloseDate,"LMMSkew","",$F60,$G60,$H60,,"Immediate","ParShift|N",Down25,OASROR,$O$46,,"EFF",,,,0,,,,"Default",,)</f>
        <v>E</v>
      </c>
      <c r="BT60" s="29" t="e">
        <f t="shared" ref="BT60:BT61" si="163">1+(BS60/100)</f>
        <v>#VALUE!</v>
      </c>
      <c r="BU60" s="28" t="str">
        <f>[1]!YBSCEN(O$44&amp;"(IOX)",O$48&amp;"d","Market",AnnReturn,"Swap",CurrentCloseDate,"LMMSkew","",$F60,$G60,$H60,,"Immediate","ParShift|N",Down25,PriceROR,$O$48,,"EFF",,,,0,,,,"Default",,)</f>
        <v>E</v>
      </c>
      <c r="BV60" s="29" t="e">
        <f t="shared" ref="BV60:BV61" si="164">1+(BU60/100)</f>
        <v>#VALUE!</v>
      </c>
      <c r="BW60" s="28" t="str">
        <f>[1]!YBSCEN(P$44&amp;"(IOX)",P$48&amp;"d","Market",AnnReturn,"Swap",CurrentCloseDate,"LMMSkew","",$F60,$G60,$H60,,"Immediate","ParShift|N",Down25,OASROR,$P$46,,"EFF",,,,0,,,,"Default",,)</f>
        <v>E</v>
      </c>
      <c r="BX60" s="29" t="e">
        <f t="shared" si="119"/>
        <v>#VALUE!</v>
      </c>
      <c r="BY60" s="28" t="str">
        <f>[1]!YBSCEN(P$44&amp;"(IOX)",P$48&amp;"d","Market",AnnReturn,"Swap",CurrentCloseDate,"LMMSkew","",$F60,$G60,$H60,,"Immediate","ParShift|N",Down25,PriceROR,$P$48,,"EFF",,,,0,,,,"Default",,)</f>
        <v>E</v>
      </c>
      <c r="BZ60" s="29" t="e">
        <f t="shared" si="120"/>
        <v>#VALUE!</v>
      </c>
      <c r="CA60" s="28" t="str">
        <f>[1]!YBSCEN(Q$44&amp;"(IOX)",Q$48&amp;"d","Market",AnnReturn,"Swap",CurrentCloseDate,"LMMSkew","",$F60,$G60,$H60,,"Immediate","ParShift|N",Down25,OASROR,$Q$46,,"EFF",,,,0,,,,"Default",,)</f>
        <v>E</v>
      </c>
      <c r="CB60" s="29" t="e">
        <f t="shared" ref="CB60:CB61" si="165">1+(CA60/100)</f>
        <v>#VALUE!</v>
      </c>
      <c r="CC60" s="28" t="str">
        <f>[1]!YBSCEN(Q$44&amp;"(IOX)",Q$48&amp;"d","Market",AnnReturn,"Swap",CurrentCloseDate,"LMMSkew","",$F60,$G60,$H60,,"Immediate","ParShift|N",Down25,PriceROR,$Q$48,,"EFF",,,,0,,,,"Default",,)</f>
        <v>E</v>
      </c>
      <c r="CD60" s="29" t="e">
        <f t="shared" ref="CD60:CD61" si="166">1+(CC60/100)</f>
        <v>#VALUE!</v>
      </c>
      <c r="CE60" s="28" t="str">
        <f>[1]!YBSCEN(R$44&amp;"(IOX)",R$48&amp;"d","Market",AnnReturn,"Swap",CurrentCloseDate,"LMMSkew","",$F60,$G60,$H60,,"Immediate","ParShift|N",Down25,OASROR,$R$46,,"EFF",,,,0,,,,"Default",,)</f>
        <v>E</v>
      </c>
      <c r="CF60" s="29" t="e">
        <f t="shared" ref="CF60:CF61" si="167">1+(CE60/100)</f>
        <v>#VALUE!</v>
      </c>
      <c r="CG60" s="28" t="str">
        <f>[1]!YBSCEN(R$44&amp;"(IOX)",R$48&amp;"d","Market",AnnReturn,"Swap",CurrentCloseDate,"LMMSkew","",$F60,$G60,$H60,,"Immediate","ParShift|N",Down25,PriceROR,$R$48,,"EFF",,,,0,,,,"Default",,)</f>
        <v>E</v>
      </c>
      <c r="CH60" s="29" t="e">
        <f t="shared" ref="CH60:CH61" si="168">1+(CG60/100)</f>
        <v>#VALUE!</v>
      </c>
      <c r="CI60" s="28" t="str">
        <f>[1]!YBSCEN(S$44&amp;"(IOX)",S$48&amp;"d","Market",AnnReturn,"Swap",CurrentCloseDate,"LMMSkew","",$F60,$G60,$H60,,"Immediate","ParShift|N",Down25,OASROR,$S$46,,"EFF",,,,0,,,,"Default",,)</f>
        <v>E</v>
      </c>
      <c r="CJ60" s="29" t="e">
        <f t="shared" ref="CJ60:CJ61" si="169">1+(CI60/100)</f>
        <v>#VALUE!</v>
      </c>
      <c r="CK60" s="28" t="str">
        <f>[1]!YBSCEN(S$44&amp;"(IOX)",S$48&amp;"d","Market",AnnReturn,"Swap",CurrentCloseDate,"LMMSkew","",$F60,$G60,$H60,,"Immediate","ParShift|N",Down25,PriceROR,$S$48,,"EFF",,,,0,,,,"Default",,)</f>
        <v>E</v>
      </c>
      <c r="CL60" s="29" t="e">
        <f t="shared" ref="CL60:CL61" si="170">1+(CK60/100)</f>
        <v>#VALUE!</v>
      </c>
      <c r="CM60" s="28" t="str">
        <f>[1]!YBSCEN(T$44&amp;"(IOX)",T$48&amp;"d","Market",AnnReturn,"Swap",CurrentCloseDate,"LMMSkew","",$F60,$G60,$H60,,"Immediate","ParShift|N",Down25,OASROR,$T$46,,"EFF",,,,0,,,,"Default",,)</f>
        <v>E</v>
      </c>
      <c r="CN60" s="29" t="e">
        <f t="shared" ref="CN60:CN61" si="171">1+(CM60/100)</f>
        <v>#VALUE!</v>
      </c>
      <c r="CO60" s="28" t="str">
        <f>[1]!YBSCEN(T$44&amp;"(IOX)",T$48&amp;"d","Market",AnnReturn,"Swap",CurrentCloseDate,"LMMSkew","",$F60,$G60,$H60,,"Immediate","ParShift|N",Down25,PriceROR,$T$48,,"EFF",,,,0,,,,"Default",,)</f>
        <v>E</v>
      </c>
      <c r="CP60" s="29" t="e">
        <f t="shared" ref="CP60:CP61" si="172">1+(CO60/100)</f>
        <v>#VALUE!</v>
      </c>
      <c r="CQ60" s="28" t="str">
        <f>[1]!YBSCEN(U$44&amp;"(IOX)",U$48&amp;"d","Market",AnnReturn,"Swap",CurrentCloseDate,"LMMSkew","",$F60,$G60,$H60,,"Immediate","ParShift|N",Down25,OASROR,$U$46,,"EFF",,,,0,,,,"Default",,)</f>
        <v>E</v>
      </c>
      <c r="CR60" s="29" t="e">
        <f t="shared" ref="CR60:CR61" si="173">1+(CQ60/100)</f>
        <v>#VALUE!</v>
      </c>
      <c r="CS60" s="28" t="str">
        <f>[1]!YBSCEN(U$44&amp;"(IOX)",U$48&amp;"d","Market",AnnReturn,"Swap",CurrentCloseDate,"LMMSkew","",$F60,$G60,$H60,,"Immediate","ParShift|N",Down25,PriceROR,$U$48,,"EFF",,,,0,,,,"Default",,)</f>
        <v>E</v>
      </c>
      <c r="CT60" s="29" t="e">
        <f t="shared" ref="CT60:CT61" si="174">1+(CS60/100)</f>
        <v>#VALUE!</v>
      </c>
      <c r="CU60" s="28" t="str">
        <f>[1]!YBSCEN(V$44&amp;"(IOX)",V$48&amp;"d","Market",AnnReturn,"Swap",CurrentCloseDate,"LMMSkew","",$F60,$G60,$H60,,"Immediate","ParShift|N",Down25,OASROR,$V$46,,"EFF",,,,0,,,,"Default",,)</f>
        <v>E</v>
      </c>
      <c r="CV60" s="29" t="e">
        <f t="shared" ref="CV60:CV61" si="175">1+(CU60/100)</f>
        <v>#VALUE!</v>
      </c>
      <c r="CW60" s="28" t="str">
        <f>[1]!YBSCEN(V$44&amp;"(IOX)",V$48&amp;"d","Market",AnnReturn,"Swap",CurrentCloseDate,"LMMSkew","",$F60,$G60,$H60,,"Immediate","ParShift|N",Down25,PriceROR,$V$48,,"EFF",,,,0,,,,"Default",,)</f>
        <v>E</v>
      </c>
      <c r="CX60" s="29" t="e">
        <f t="shared" ref="CX60:CX61" si="176">1+(CW60/100)</f>
        <v>#VALUE!</v>
      </c>
      <c r="CY60" s="28" t="str">
        <f>[1]!YBSCEN(W$44&amp;"(IOX)",W$48&amp;"d","Market",AnnReturn,"Swap",CurrentCloseDate,"LMMSkew","",$F60,$G60,$H60,,"Immediate","ParShift|N",Down25,OASROR,$W$46,,"EFF",,,,0,,,,"Default",,)</f>
        <v>E</v>
      </c>
      <c r="CZ60" s="29" t="e">
        <f t="shared" ref="CZ60:CZ61" si="177">1+(CY60/100)</f>
        <v>#VALUE!</v>
      </c>
      <c r="DA60" s="28" t="str">
        <f>[1]!YBSCEN(W$44&amp;"(IOX)",W$48&amp;"d","Market",AnnReturn,"Swap",CurrentCloseDate,"LMMSkew","",$F60,$G60,$H60,,"Immediate","ParShift|N",Down25,PriceROR,$W$48,,"EFF",,,,0,,,,"Default",,)</f>
        <v>E</v>
      </c>
      <c r="DB60" s="29" t="e">
        <f t="shared" ref="DB60:DB61" si="178">1+(DA60/100)</f>
        <v>#VALUE!</v>
      </c>
      <c r="DC60" s="28" t="str">
        <f>[1]!YBSCEN(X$44&amp;"(IOX)",X$48&amp;"d","Market",AnnReturn,"Swap",CurrentCloseDate,"LMMSkew","",$F60,$G60,$H60,,"Immediate","ParShift|N",Down25,OASROR,$X$46,,"EFF",,,,0,,,,"Default",,)</f>
        <v>E</v>
      </c>
      <c r="DD60" s="29" t="e">
        <f t="shared" ref="DD60:DD61" si="179">1+(DC60/100)</f>
        <v>#VALUE!</v>
      </c>
      <c r="DE60" s="28" t="str">
        <f>[1]!YBSCEN(X$44&amp;"(IOX)",X$48&amp;"d","Market",AnnReturn,"Swap",CurrentCloseDate,"LMMSkew","",$F60,$G60,$H60,,"Immediate","ParShift|N",Down25,PriceROR,$X$48,,"EFF",,,,0,,,,"Default",,)</f>
        <v>E</v>
      </c>
      <c r="DF60" s="29" t="e">
        <f t="shared" ref="DF60:DF61" si="180">1+(DE60/100)</f>
        <v>#VALUE!</v>
      </c>
      <c r="DG60" s="28" t="str">
        <f>[1]!YBSCEN(Y$44&amp;"(IOX)",Y$48&amp;"d","Market",AnnReturn,"Swap",CurrentCloseDate,"LMMSkew","",$F60,$G60,$H60,,"Immediate","ParShift|N",Down25,OASROR,$Y$46,,"EFF",,,,0,,,,"Default",,)</f>
        <v>E</v>
      </c>
      <c r="DH60" s="29" t="e">
        <f t="shared" ref="DH60:DH61" si="181">1+(DG60/100)</f>
        <v>#VALUE!</v>
      </c>
      <c r="DI60" s="28" t="str">
        <f>[1]!YBSCEN(Y$44&amp;"(IOX)",Y$48&amp;"d","Market",AnnReturn,"Swap",CurrentCloseDate,"LMMSkew","",$F60,$G60,$H60,,"Immediate","ParShift|N",Down25,PriceROR,$Y$48,,"EFF",,,,0,,,,"Default",,)</f>
        <v>E</v>
      </c>
      <c r="DJ60" s="29" t="e">
        <f t="shared" ref="DJ60:DJ61" si="182">1+(DI60/100)</f>
        <v>#VALUE!</v>
      </c>
      <c r="DK60" s="28" t="str">
        <f>[1]!YBSCEN(Z$44&amp;"(IOX)",Z$48&amp;"d","Market",AnnReturn,"Swap",CurrentCloseDate,"LMMSkew","",$F60,$G60,$H60,,"Immediate","ParShift|N",Down25,OASROR,$Z$46,,"EFF",,,,0,,,,"Default",,)</f>
        <v>E</v>
      </c>
      <c r="DL60" s="29" t="e">
        <f t="shared" ref="DL60:DL61" si="183">1+(DK60/100)</f>
        <v>#VALUE!</v>
      </c>
      <c r="DM60" s="28" t="str">
        <f>[1]!YBSCEN(Z$44&amp;"(IOX)",Z$48&amp;"d","Market",AnnReturn,"Swap",CurrentCloseDate,"LMMSkew","",$F60,$G60,$H60,,"Immediate","ParShift|N",Down25,PriceROR,$Z$48,,"EFF",,,,0,,,,"Default",,)</f>
        <v>E</v>
      </c>
      <c r="DN60" s="29" t="e">
        <f t="shared" ref="DN60:DN61" si="184">1+(DM60/100)</f>
        <v>#VALUE!</v>
      </c>
      <c r="DO60" s="28" t="str">
        <f>[1]!YBSCEN(AA$44&amp;"(IOX)",AA$48&amp;"d","Market",AnnReturn,"Swap",CurrentCloseDate,"LMMSkew","",$F60,$G60,$H60,,"Immediate","ParShift|N",Down25,OASROR,$AA$46,,"EFF",,,,0,,,,"Default",,)</f>
        <v>E</v>
      </c>
      <c r="DP60" s="29" t="e">
        <f t="shared" ref="DP60:DP61" si="185">1+(DO60/100)</f>
        <v>#VALUE!</v>
      </c>
      <c r="DQ60" s="28" t="str">
        <f>[1]!YBSCEN(AA$44&amp;"(IOX)",AA$48&amp;"d","Market",AnnReturn,"Swap",CurrentCloseDate,"LMMSkew","",$F60,$G60,$H60,,"Immediate","ParShift|N",Down25,PriceROR,$AA$48,,"EFF",,,,0,,,,"Default",,)</f>
        <v>E</v>
      </c>
      <c r="DR60" s="31" t="e">
        <f t="shared" ref="DR60:DR61" si="186">1+(DQ60/100)</f>
        <v>#VALUE!</v>
      </c>
      <c r="DS60" s="28" t="str">
        <f>[1]!YBSCEN(AB$44&amp;"(IOX)",AB$48&amp;"d","Market",AnnReturn,"Swap",CurrentCloseDate,"LMMSkew","",$F60,$G60,$H60,,"Immediate","ParShift|N",Down25,OASROR,$AB$46,,"EFF",,,,0,,,,"Default",,)</f>
        <v>E</v>
      </c>
      <c r="DT60" s="31" t="e">
        <f t="shared" ref="DT60:DT61" si="187">1+(DS60/100)</f>
        <v>#VALUE!</v>
      </c>
      <c r="DU60" s="47" t="str">
        <f>[1]!YBSCEN(AB$44&amp;"(IOX)",AB$48&amp;"d","Market",AnnReturn,"Swap",CurrentCloseDate,"LMMSkew","",$F60,$G60,$H60,,"Immediate","ParShift|N",Down25,PriceROR,$AB$48,,"EFF",,,,0,,,,"Default",,)</f>
        <v>E</v>
      </c>
      <c r="DV60" s="48" t="e">
        <f t="shared" ref="DV60:DV61" si="188">1+(DU60/100)</f>
        <v>#VALUE!</v>
      </c>
      <c r="DW60" s="28" t="str">
        <f>[1]!YBSCEN(AC$44&amp;"(IOX)",AC$48&amp;"d","Market",AnnReturn,"Swap",CurrentCloseDate,"LMMSkew","",$F60,$G60,$H60,,"Immediate","ParShift|N",Down25,OASROR,$AC$46,,"EFF",,,,0,,,,"Default",,)</f>
        <v>E</v>
      </c>
      <c r="DX60" s="31" t="e">
        <f t="shared" ref="DX60:DX61" si="189">1+(DW60/100)</f>
        <v>#VALUE!</v>
      </c>
      <c r="DY60" s="47" t="str">
        <f>[1]!YBSCEN(AC$44&amp;"(IOX)",AC$48&amp;"d","Market",AnnReturn,"Swap",CurrentCloseDate,"LMMSkew","",$F60,$G60,$H60,,"Immediate","ParShift|N",Down25,PriceROR,$AC$48,,"EFF",,,,0,,,,"Default",,)</f>
        <v>E</v>
      </c>
      <c r="DZ60" s="48" t="e">
        <f t="shared" ref="DZ60:DZ61" si="190">1+(DY60/100)</f>
        <v>#VALUE!</v>
      </c>
      <c r="EA60" s="28" t="str">
        <f>[1]!YBSCEN(AD$44&amp;"(IOX)",AD$48&amp;"d","Market",AnnReturn,"Swap",CurrentCloseDate,"LMMSkew","",$F60,$G60,$H60,,"Immediate","ParShift|N",Down25,OASROR,$AD$46,,"EFF",,,,0,,,,"Default",,)</f>
        <v>E</v>
      </c>
      <c r="EB60" s="31" t="e">
        <f t="shared" ref="EB60:EB61" si="191">1+(EA60/100)</f>
        <v>#VALUE!</v>
      </c>
      <c r="EC60" s="47" t="str">
        <f>[1]!YBSCEN(AD$44&amp;"(IOX)",AD$48&amp;"d","Market",AnnReturn,"Swap",CurrentCloseDate,"LMMSkew","",$F60,$G60,$H60,,"Immediate","ParShift|N",Down25,PriceROR,$AD$48,,"EFF",,,,0,,,,"Default",,)</f>
        <v>E</v>
      </c>
      <c r="ED60" s="48" t="e">
        <f t="shared" ref="ED60:ED61" si="192">1+(EC60/100)</f>
        <v>#VALUE!</v>
      </c>
      <c r="EE60" s="28" t="str">
        <f>[1]!YBSCEN(AE$44&amp;"(IOX)",AE$48&amp;"d","Market",AnnReturn,"Swap",CurrentCloseDate,"LMMSkew","",$F60,$G60,$H60,,"Immediate","ParShift|N",Down25,OASROR,$AE$46,,"EFF",,,,0,,,,"Default",,)</f>
        <v>E</v>
      </c>
      <c r="EF60" s="31" t="e">
        <f t="shared" ref="EF60:EF61" si="193">1+(EE60/100)</f>
        <v>#VALUE!</v>
      </c>
      <c r="EG60" s="47" t="str">
        <f>[1]!YBSCEN(AE$44&amp;"(IOX)",AE$48&amp;"d","Market",AnnReturn,"Swap",CurrentCloseDate,"LMMSkew","",$F60,$G60,$H60,,"Immediate","ParShift|N",Down25,PriceROR,$AE$48,,"EFF",,,,0,,,,"Default",,)</f>
        <v>E</v>
      </c>
      <c r="EH60" s="48" t="e">
        <f t="shared" ref="EH60:EH61" si="194">1+(EG60/100)</f>
        <v>#VALUE!</v>
      </c>
    </row>
    <row r="61" spans="2:138" ht="15" hidden="1">
      <c r="F61" s="8" t="s">
        <v>35</v>
      </c>
      <c r="G61" s="15">
        <v>100</v>
      </c>
      <c r="H61" s="59">
        <f>H36</f>
        <v>3</v>
      </c>
      <c r="I61" s="33">
        <f t="shared" ref="I61" si="195">EDATE(CurrentCloseDate, H61)</f>
        <v>42277</v>
      </c>
      <c r="J61" s="39" t="str">
        <f t="shared" si="151"/>
        <v>E</v>
      </c>
      <c r="K61" s="41" t="str">
        <f t="shared" si="152"/>
        <v>E</v>
      </c>
      <c r="L61" s="39" t="str">
        <f t="shared" si="153"/>
        <v>E</v>
      </c>
      <c r="M61" s="40" t="str">
        <f>BK61</f>
        <v>E</v>
      </c>
      <c r="N61" s="40" t="str">
        <f>BO61</f>
        <v>E</v>
      </c>
      <c r="O61" s="42" t="str">
        <f>BS61</f>
        <v>E</v>
      </c>
      <c r="P61" s="253" t="str">
        <f t="shared" si="154"/>
        <v>E</v>
      </c>
      <c r="Q61" s="253" t="str">
        <f>CA61</f>
        <v>E</v>
      </c>
      <c r="R61" s="40" t="str">
        <f>CE61</f>
        <v>E</v>
      </c>
      <c r="S61" s="40" t="str">
        <f>CI61</f>
        <v>E</v>
      </c>
      <c r="T61" s="41" t="str">
        <f>CM61</f>
        <v>E</v>
      </c>
      <c r="U61" s="39" t="str">
        <f>CQ61</f>
        <v>E</v>
      </c>
      <c r="V61" s="40" t="str">
        <f>CU61</f>
        <v>E</v>
      </c>
      <c r="W61" s="42" t="str">
        <f>CY61</f>
        <v>E</v>
      </c>
      <c r="X61" s="253" t="str">
        <f>DC61</f>
        <v>E</v>
      </c>
      <c r="Y61" s="41" t="str">
        <f>DG61</f>
        <v>E</v>
      </c>
      <c r="Z61" s="259" t="str">
        <f>DK61</f>
        <v>E</v>
      </c>
      <c r="AA61" s="259" t="str">
        <f>DO61</f>
        <v>E</v>
      </c>
      <c r="AB61" s="256" t="str">
        <f>DS61</f>
        <v>E</v>
      </c>
      <c r="AC61" s="39" t="str">
        <f>DW61</f>
        <v>E</v>
      </c>
      <c r="AD61" s="40" t="str">
        <f>EA61</f>
        <v>E</v>
      </c>
      <c r="AE61" s="42" t="str">
        <f>EE61</f>
        <v>E</v>
      </c>
      <c r="AY61" s="28" t="str">
        <f>[1]!YBSCEN(J$44&amp;"(IOX)",J$48&amp;"d","Market",AnnReturn,"Swap",CurrentCloseDate,"LMMSkew","",$F61,$G61,$H61,,"Immediate","ParShift|N",Down25,OASROR,$J$46,,"EFF",,,,0,,,,"Default",,)</f>
        <v>E</v>
      </c>
      <c r="AZ61" s="29" t="e">
        <f t="shared" si="155"/>
        <v>#VALUE!</v>
      </c>
      <c r="BA61" s="28" t="str">
        <f>[1]!YBSCEN(J$44&amp;"(IOX)",J$48&amp;"d","Market",AnnReturn,"Swap",CurrentCloseDate,"LMMSkew","",$F61,$G61,$H61,,"Immediate","ParShift|N",Down25,PriceROR,$J$48,,"EFF",,,,0,,,,"Default",,)</f>
        <v>E</v>
      </c>
      <c r="BB61" s="29" t="e">
        <f t="shared" si="156"/>
        <v>#VALUE!</v>
      </c>
      <c r="BC61" s="28" t="str">
        <f>[1]!YBSCEN(K$44&amp;"(IOX)",K$48&amp;"d","Market",AnnReturn,"Swap",CurrentCloseDate,"LMMSkew","",$F61,$G61,$H61,,"Immediate","ParShift|N",Down25,OASROR,$K$46,,"EFF",,,,0,,,,"Default",,)</f>
        <v>E</v>
      </c>
      <c r="BD61" s="29" t="e">
        <f t="shared" si="157"/>
        <v>#VALUE!</v>
      </c>
      <c r="BE61" s="28" t="str">
        <f>[1]!YBSCEN(K$44&amp;"(IOX)",K$48&amp;"d","Market",AnnReturn,"Swap",CurrentCloseDate,"LMMSkew","",$F61,$G61,$H61,,"Immediate","ParShift|N",Down25,PriceROR,$K$48,,"EFF",,,,0,,,,"Default",,)</f>
        <v>E</v>
      </c>
      <c r="BF61" s="31" t="e">
        <f t="shared" si="158"/>
        <v>#VALUE!</v>
      </c>
      <c r="BG61" s="28" t="str">
        <f>[1]!YBSCEN(L$44&amp;"(IOX)",L$48&amp;"d","Market",AnnReturn,"Swap",CurrentCloseDate,"LMMSkew","",$F61,$G61,$H61,,"Immediate","ParShift|N",Down25,OASROR,$L$46,,"EFF",,,,0,,,,"Default",,)</f>
        <v>E</v>
      </c>
      <c r="BH61" s="29" t="e">
        <f t="shared" si="115"/>
        <v>#VALUE!</v>
      </c>
      <c r="BI61" s="28" t="str">
        <f>[1]!YBSCEN(L$44&amp;"(IOX)",L$48&amp;"d","Market",AnnReturn,"Swap",CurrentCloseDate,"LMMSkew","",$F61,$G61,$H61,,"Immediate","ParShift|N",Down25,PriceROR,$L$48,,"EFF",,,,0,,,,"Default",,)</f>
        <v>E</v>
      </c>
      <c r="BJ61" s="31" t="e">
        <f t="shared" si="116"/>
        <v>#VALUE!</v>
      </c>
      <c r="BK61" s="28" t="str">
        <f>[1]!YBSCEN(M$44&amp;"(IOX)",M$48&amp;"d","Market",AnnReturn,"Swap",CurrentCloseDate,"LMMSkew","",$F61,$G61,$H61,,"Immediate","ParShift|N",Down25,OASROR,$M$46,,"EFF",,,,0,,,,"Default",,)</f>
        <v>E</v>
      </c>
      <c r="BL61" s="29" t="e">
        <f t="shared" si="159"/>
        <v>#VALUE!</v>
      </c>
      <c r="BM61" s="28" t="str">
        <f>[1]!YBSCEN(M$44&amp;"(IOX)",M$48&amp;"d","Market",AnnReturn,"Swap",CurrentCloseDate,"LMMSkew","",$F61,$G61,$H61,,"Immediate","ParShift|N",Down25,PriceROR,$M$48,,"EFF",,,,0,,,,"Default",,)</f>
        <v>E</v>
      </c>
      <c r="BN61" s="31" t="e">
        <f t="shared" si="160"/>
        <v>#VALUE!</v>
      </c>
      <c r="BO61" s="28" t="str">
        <f>[1]!YBSCEN(N$44&amp;"(IOX)",N$48&amp;"d","Market",AnnReturn,"Swap",CurrentCloseDate,"LMMSkew","",$F61,$G61,$H61,,"Immediate","ParShift|N",Down25,OASROR,$N$46,,"EFF",,,,0,,,,"Default",,)</f>
        <v>E</v>
      </c>
      <c r="BP61" s="29" t="e">
        <f t="shared" si="161"/>
        <v>#VALUE!</v>
      </c>
      <c r="BQ61" s="28" t="str">
        <f>[1]!YBSCEN(N$44&amp;"(IOX)",N$48&amp;"d","Market",AnnReturn,"Swap",CurrentCloseDate,"LMMSkew","",$F61,$G61,$H61,,"Immediate","ParShift|N",Down25,PriceROR,$N$48,,"EFF",,,,0,,,,"Default",,)</f>
        <v>E</v>
      </c>
      <c r="BR61" s="31" t="e">
        <f t="shared" si="162"/>
        <v>#VALUE!</v>
      </c>
      <c r="BS61" s="29" t="str">
        <f>[1]!YBSCEN(O$44&amp;"(IOX)",O$48&amp;"d","Market",AnnReturn,"Swap",CurrentCloseDate,"LMMSkew","",$F61,$G61,$H61,,"Immediate","ParShift|N",Down25,OASROR,$O$46,,"EFF",,,,0,,,,"Default",,)</f>
        <v>E</v>
      </c>
      <c r="BT61" s="29" t="e">
        <f t="shared" si="163"/>
        <v>#VALUE!</v>
      </c>
      <c r="BU61" s="28" t="str">
        <f>[1]!YBSCEN(O$44&amp;"(IOX)",O$48&amp;"d","Market",AnnReturn,"Swap",CurrentCloseDate,"LMMSkew","",$F61,$G61,$H61,,"Immediate","ParShift|N",Down25,PriceROR,$O$48,,"EFF",,,,0,,,,"Default",,)</f>
        <v>E</v>
      </c>
      <c r="BV61" s="29" t="e">
        <f t="shared" si="164"/>
        <v>#VALUE!</v>
      </c>
      <c r="BW61" s="28" t="str">
        <f>[1]!YBSCEN(P$44&amp;"(IOX)",P$48&amp;"d","Market",AnnReturn,"Swap",CurrentCloseDate,"LMMSkew","",$F61,$G61,$H61,,"Immediate","ParShift|N",Down25,OASROR,$P$46,,"EFF",,,,0,,,,"Default",,)</f>
        <v>E</v>
      </c>
      <c r="BX61" s="29" t="e">
        <f t="shared" si="119"/>
        <v>#VALUE!</v>
      </c>
      <c r="BY61" s="28" t="str">
        <f>[1]!YBSCEN(P$44&amp;"(IOX)",P$48&amp;"d","Market",AnnReturn,"Swap",CurrentCloseDate,"LMMSkew","",$F61,$G61,$H61,,"Immediate","ParShift|N",Down25,PriceROR,$P$48,,"EFF",,,,0,,,,"Default",,)</f>
        <v>E</v>
      </c>
      <c r="BZ61" s="29" t="e">
        <f t="shared" si="120"/>
        <v>#VALUE!</v>
      </c>
      <c r="CA61" s="28" t="str">
        <f>[1]!YBSCEN(Q$44&amp;"(IOX)",Q$48&amp;"d","Market",AnnReturn,"Swap",CurrentCloseDate,"LMMSkew","",$F61,$G61,$H61,,"Immediate","ParShift|N",Down25,OASROR,$Q$46,,"EFF",,,,0,,,,"Default",,)</f>
        <v>E</v>
      </c>
      <c r="CB61" s="29" t="e">
        <f t="shared" si="165"/>
        <v>#VALUE!</v>
      </c>
      <c r="CC61" s="28" t="str">
        <f>[1]!YBSCEN(Q$44&amp;"(IOX)",Q$48&amp;"d","Market",AnnReturn,"Swap",CurrentCloseDate,"LMMSkew","",$F61,$G61,$H61,,"Immediate","ParShift|N",Down25,PriceROR,$Q$48,,"EFF",,,,0,,,,"Default",,)</f>
        <v>E</v>
      </c>
      <c r="CD61" s="29" t="e">
        <f t="shared" si="166"/>
        <v>#VALUE!</v>
      </c>
      <c r="CE61" s="28" t="str">
        <f>[1]!YBSCEN(R$44&amp;"(IOX)",R$48&amp;"d","Market",AnnReturn,"Swap",CurrentCloseDate,"LMMSkew","",$F61,$G61,$H61,,"Immediate","ParShift|N",Down25,OASROR,$R$46,,"EFF",,,,0,,,,"Default",,)</f>
        <v>E</v>
      </c>
      <c r="CF61" s="29" t="e">
        <f t="shared" si="167"/>
        <v>#VALUE!</v>
      </c>
      <c r="CG61" s="28" t="str">
        <f>[1]!YBSCEN(R$44&amp;"(IOX)",R$48&amp;"d","Market",AnnReturn,"Swap",CurrentCloseDate,"LMMSkew","",$F61,$G61,$H61,,"Immediate","ParShift|N",Down25,PriceROR,$R$48,,"EFF",,,,0,,,,"Default",,)</f>
        <v>E</v>
      </c>
      <c r="CH61" s="29" t="e">
        <f t="shared" si="168"/>
        <v>#VALUE!</v>
      </c>
      <c r="CI61" s="28" t="str">
        <f>[1]!YBSCEN(S$44&amp;"(IOX)",S$48&amp;"d","Market",AnnReturn,"Swap",CurrentCloseDate,"LMMSkew","",$F61,$G61,$H61,,"Immediate","ParShift|N",Down25,OASROR,$S$46,,"EFF",,,,0,,,,"Default",,)</f>
        <v>E</v>
      </c>
      <c r="CJ61" s="29" t="e">
        <f t="shared" si="169"/>
        <v>#VALUE!</v>
      </c>
      <c r="CK61" s="28" t="str">
        <f>[1]!YBSCEN(S$44&amp;"(IOX)",S$48&amp;"d","Market",AnnReturn,"Swap",CurrentCloseDate,"LMMSkew","",$F61,$G61,$H61,,"Immediate","ParShift|N",Down25,PriceROR,$S$48,,"EFF",,,,0,,,,"Default",,)</f>
        <v>E</v>
      </c>
      <c r="CL61" s="29" t="e">
        <f t="shared" si="170"/>
        <v>#VALUE!</v>
      </c>
      <c r="CM61" s="28" t="str">
        <f>[1]!YBSCEN(T$44&amp;"(IOX)",T$48&amp;"d","Market",AnnReturn,"Swap",CurrentCloseDate,"LMMSkew","",$F61,$G61,$H61,,"Immediate","ParShift|N",Down25,OASROR,$T$46,,"EFF",,,,0,,,,"Default",,)</f>
        <v>E</v>
      </c>
      <c r="CN61" s="29" t="e">
        <f t="shared" si="171"/>
        <v>#VALUE!</v>
      </c>
      <c r="CO61" s="28" t="str">
        <f>[1]!YBSCEN(T$44&amp;"(IOX)",T$48&amp;"d","Market",AnnReturn,"Swap",CurrentCloseDate,"LMMSkew","",$F61,$G61,$H61,,"Immediate","ParShift|N",Down25,PriceROR,$T$48,,"EFF",,,,0,,,,"Default",,)</f>
        <v>E</v>
      </c>
      <c r="CP61" s="29" t="e">
        <f t="shared" si="172"/>
        <v>#VALUE!</v>
      </c>
      <c r="CQ61" s="28" t="str">
        <f>[1]!YBSCEN(U$44&amp;"(IOX)",U$48&amp;"d","Market",AnnReturn,"Swap",CurrentCloseDate,"LMMSkew","",$F61,$G61,$H61,,"Immediate","ParShift|N",Down25,OASROR,$U$46,,"EFF",,,,0,,,,"Default",,)</f>
        <v>E</v>
      </c>
      <c r="CR61" s="29" t="e">
        <f t="shared" si="173"/>
        <v>#VALUE!</v>
      </c>
      <c r="CS61" s="28" t="str">
        <f>[1]!YBSCEN(U$44&amp;"(IOX)",U$48&amp;"d","Market",AnnReturn,"Swap",CurrentCloseDate,"LMMSkew","",$F61,$G61,$H61,,"Immediate","ParShift|N",Down25,PriceROR,$U$48,,"EFF",,,,0,,,,"Default",,)</f>
        <v>E</v>
      </c>
      <c r="CT61" s="29" t="e">
        <f t="shared" si="174"/>
        <v>#VALUE!</v>
      </c>
      <c r="CU61" s="28" t="str">
        <f>[1]!YBSCEN(V$44&amp;"(IOX)",V$48&amp;"d","Market",AnnReturn,"Swap",CurrentCloseDate,"LMMSkew","",$F61,$G61,$H61,,"Immediate","ParShift|N",Down25,OASROR,$V$46,,"EFF",,,,0,,,,"Default",,)</f>
        <v>E</v>
      </c>
      <c r="CV61" s="29" t="e">
        <f t="shared" si="175"/>
        <v>#VALUE!</v>
      </c>
      <c r="CW61" s="28" t="str">
        <f>[1]!YBSCEN(V$44&amp;"(IOX)",V$48&amp;"d","Market",AnnReturn,"Swap",CurrentCloseDate,"LMMSkew","",$F61,$G61,$H61,,"Immediate","ParShift|N",Down25,PriceROR,$V$48,,"EFF",,,,0,,,,"Default",,)</f>
        <v>E</v>
      </c>
      <c r="CX61" s="29" t="e">
        <f t="shared" si="176"/>
        <v>#VALUE!</v>
      </c>
      <c r="CY61" s="28" t="str">
        <f>[1]!YBSCEN(W$44&amp;"(IOX)",W$48&amp;"d","Market",AnnReturn,"Swap",CurrentCloseDate,"LMMSkew","",$F61,$G61,$H61,,"Immediate","ParShift|N",Down25,OASROR,$W$46,,"EFF",,,,0,,,,"Default",,)</f>
        <v>E</v>
      </c>
      <c r="CZ61" s="29" t="e">
        <f t="shared" si="177"/>
        <v>#VALUE!</v>
      </c>
      <c r="DA61" s="28" t="str">
        <f>[1]!YBSCEN(W$44&amp;"(IOX)",W$48&amp;"d","Market",AnnReturn,"Swap",CurrentCloseDate,"LMMSkew","",$F61,$G61,$H61,,"Immediate","ParShift|N",Down25,PriceROR,$W$48,,"EFF",,,,0,,,,"Default",,)</f>
        <v>E</v>
      </c>
      <c r="DB61" s="29" t="e">
        <f t="shared" si="178"/>
        <v>#VALUE!</v>
      </c>
      <c r="DC61" s="28" t="str">
        <f>[1]!YBSCEN(X$44&amp;"(IOX)",X$48&amp;"d","Market",AnnReturn,"Swap",CurrentCloseDate,"LMMSkew","",$F61,$G61,$H61,,"Immediate","ParShift|N",Down25,OASROR,$X$46,,"EFF",,,,0,,,,"Default",,)</f>
        <v>E</v>
      </c>
      <c r="DD61" s="29" t="e">
        <f t="shared" si="179"/>
        <v>#VALUE!</v>
      </c>
      <c r="DE61" s="28" t="str">
        <f>[1]!YBSCEN(X$44&amp;"(IOX)",X$48&amp;"d","Market",AnnReturn,"Swap",CurrentCloseDate,"LMMSkew","",$F61,$G61,$H61,,"Immediate","ParShift|N",Down25,PriceROR,$X$48,,"EFF",,,,0,,,,"Default",,)</f>
        <v>E</v>
      </c>
      <c r="DF61" s="29" t="e">
        <f t="shared" si="180"/>
        <v>#VALUE!</v>
      </c>
      <c r="DG61" s="28" t="str">
        <f>[1]!YBSCEN(Y$44&amp;"(IOX)",Y$48&amp;"d","Market",AnnReturn,"Swap",CurrentCloseDate,"LMMSkew","",$F61,$G61,$H61,,"Immediate","ParShift|N",Down25,OASROR,$Y$46,,"EFF",,,,0,,,,"Default",,)</f>
        <v>E</v>
      </c>
      <c r="DH61" s="29" t="e">
        <f t="shared" si="181"/>
        <v>#VALUE!</v>
      </c>
      <c r="DI61" s="28" t="str">
        <f>[1]!YBSCEN(Y$44&amp;"(IOX)",Y$48&amp;"d","Market",AnnReturn,"Swap",CurrentCloseDate,"LMMSkew","",$F61,$G61,$H61,,"Immediate","ParShift|N",Down25,PriceROR,$Y$48,,"EFF",,,,0,,,,"Default",,)</f>
        <v>E</v>
      </c>
      <c r="DJ61" s="29" t="e">
        <f t="shared" si="182"/>
        <v>#VALUE!</v>
      </c>
      <c r="DK61" s="28" t="str">
        <f>[1]!YBSCEN(Z$44&amp;"(IOX)",Z$48&amp;"d","Market",AnnReturn,"Swap",CurrentCloseDate,"LMMSkew","",$F61,$G61,$H61,,"Immediate","ParShift|N",Down25,OASROR,$Z$46,,"EFF",,,,0,,,,"Default",,)</f>
        <v>E</v>
      </c>
      <c r="DL61" s="29" t="e">
        <f t="shared" si="183"/>
        <v>#VALUE!</v>
      </c>
      <c r="DM61" s="28" t="str">
        <f>[1]!YBSCEN(Z$44&amp;"(IOX)",Z$48&amp;"d","Market",AnnReturn,"Swap",CurrentCloseDate,"LMMSkew","",$F61,$G61,$H61,,"Immediate","ParShift|N",Down25,PriceROR,$Z$48,,"EFF",,,,0,,,,"Default",,)</f>
        <v>E</v>
      </c>
      <c r="DN61" s="29" t="e">
        <f t="shared" si="184"/>
        <v>#VALUE!</v>
      </c>
      <c r="DO61" s="28" t="str">
        <f>[1]!YBSCEN(AA$44&amp;"(IOX)",AA$48&amp;"d","Market",AnnReturn,"Swap",CurrentCloseDate,"LMMSkew","",$F61,$G61,$H61,,"Immediate","ParShift|N",Down25,OASROR,$AA$46,,"EFF",,,,0,,,,"Default",,)</f>
        <v>E</v>
      </c>
      <c r="DP61" s="29" t="e">
        <f t="shared" si="185"/>
        <v>#VALUE!</v>
      </c>
      <c r="DQ61" s="28" t="str">
        <f>[1]!YBSCEN(AA$44&amp;"(IOX)",AA$48&amp;"d","Market",AnnReturn,"Swap",CurrentCloseDate,"LMMSkew","",$F61,$G61,$H61,,"Immediate","ParShift|N",Down25,PriceROR,$AA$48,,"EFF",,,,0,,,,"Default",,)</f>
        <v>E</v>
      </c>
      <c r="DR61" s="31" t="e">
        <f t="shared" si="186"/>
        <v>#VALUE!</v>
      </c>
      <c r="DS61" s="28" t="str">
        <f>[1]!YBSCEN(AB$44&amp;"(IOX)",AB$48&amp;"d","Market",AnnReturn,"Swap",CurrentCloseDate,"LMMSkew","",$F61,$G61,$H61,,"Immediate","ParShift|N",Down25,OASROR,$AB$46,,"EFF",,,,0,,,,"Default",,)</f>
        <v>E</v>
      </c>
      <c r="DT61" s="31" t="e">
        <f t="shared" si="187"/>
        <v>#VALUE!</v>
      </c>
      <c r="DU61" s="47" t="str">
        <f>[1]!YBSCEN(AB$44&amp;"(IOX)",AB$48&amp;"d","Market",AnnReturn,"Swap",CurrentCloseDate,"LMMSkew","",$F61,$G61,$H61,,"Immediate","ParShift|N",Down25,PriceROR,$AB$48,,"EFF",,,,0,,,,"Default",,)</f>
        <v>E</v>
      </c>
      <c r="DV61" s="48" t="e">
        <f t="shared" si="188"/>
        <v>#VALUE!</v>
      </c>
      <c r="DW61" s="28" t="str">
        <f>[1]!YBSCEN(AC$44&amp;"(IOX)",AC$48&amp;"d","Market",AnnReturn,"Swap",CurrentCloseDate,"LMMSkew","",$F61,$G61,$H61,,"Immediate","ParShift|N",Down25,OASROR,$AC$46,,"EFF",,,,0,,,,"Default",,)</f>
        <v>E</v>
      </c>
      <c r="DX61" s="31" t="e">
        <f t="shared" si="189"/>
        <v>#VALUE!</v>
      </c>
      <c r="DY61" s="47" t="str">
        <f>[1]!YBSCEN(AC$44&amp;"(IOX)",AC$48&amp;"d","Market",AnnReturn,"Swap",CurrentCloseDate,"LMMSkew","",$F61,$G61,$H61,,"Immediate","ParShift|N",Down25,PriceROR,$AC$48,,"EFF",,,,0,,,,"Default",,)</f>
        <v>E</v>
      </c>
      <c r="DZ61" s="48" t="e">
        <f t="shared" si="190"/>
        <v>#VALUE!</v>
      </c>
      <c r="EA61" s="28" t="str">
        <f>[1]!YBSCEN(AD$44&amp;"(IOX)",AD$48&amp;"d","Market",AnnReturn,"Swap",CurrentCloseDate,"LMMSkew","",$F61,$G61,$H61,,"Immediate","ParShift|N",Down25,OASROR,$AD$46,,"EFF",,,,0,,,,"Default",,)</f>
        <v>E</v>
      </c>
      <c r="EB61" s="31" t="e">
        <f t="shared" si="191"/>
        <v>#VALUE!</v>
      </c>
      <c r="EC61" s="47" t="str">
        <f>[1]!YBSCEN(AD$44&amp;"(IOX)",AD$48&amp;"d","Market",AnnReturn,"Swap",CurrentCloseDate,"LMMSkew","",$F61,$G61,$H61,,"Immediate","ParShift|N",Down25,PriceROR,$AD$48,,"EFF",,,,0,,,,"Default",,)</f>
        <v>E</v>
      </c>
      <c r="ED61" s="48" t="e">
        <f t="shared" si="192"/>
        <v>#VALUE!</v>
      </c>
      <c r="EE61" s="28" t="str">
        <f>[1]!YBSCEN(AE$44&amp;"(IOX)",AE$48&amp;"d","Market",AnnReturn,"Swap",CurrentCloseDate,"LMMSkew","",$F61,$G61,$H61,,"Immediate","ParShift|N",Down25,OASROR,$AE$46,,"EFF",,,,0,,,,"Default",,)</f>
        <v>E</v>
      </c>
      <c r="EF61" s="31" t="e">
        <f t="shared" si="193"/>
        <v>#VALUE!</v>
      </c>
      <c r="EG61" s="47" t="str">
        <f>[1]!YBSCEN(AE$44&amp;"(IOX)",AE$48&amp;"d","Market",AnnReturn,"Swap",CurrentCloseDate,"LMMSkew","",$F61,$G61,$H61,,"Immediate","ParShift|N",Down25,PriceROR,$AE$48,,"EFF",,,,0,,,,"Default",,)</f>
        <v>E</v>
      </c>
      <c r="EH61" s="48" t="e">
        <f t="shared" si="194"/>
        <v>#VALUE!</v>
      </c>
    </row>
    <row r="62" spans="2:138" ht="15" hidden="1" customHeight="1">
      <c r="H62" s="280"/>
      <c r="I62" s="281"/>
      <c r="J62" s="281"/>
      <c r="K62" s="281"/>
      <c r="L62" s="281"/>
      <c r="M62" s="40"/>
      <c r="N62" s="42"/>
      <c r="O62" s="253"/>
      <c r="P62" s="40"/>
      <c r="Q62" s="40"/>
      <c r="R62" s="41"/>
      <c r="S62" s="39"/>
      <c r="T62" s="40"/>
      <c r="U62" s="42"/>
      <c r="V62" s="253"/>
      <c r="W62" s="40"/>
      <c r="X62" s="41"/>
      <c r="Y62" s="259"/>
      <c r="Z62" s="256"/>
      <c r="AA62" s="39"/>
      <c r="AB62" s="40"/>
      <c r="AC62" s="42"/>
      <c r="AD62" s="25"/>
    </row>
    <row r="63" spans="2:138" ht="11.25" hidden="1" customHeight="1"/>
    <row r="64" spans="2:138" ht="12.75" hidden="1" customHeight="1"/>
    <row r="65" spans="7:48" ht="12.75" hidden="1" customHeight="1"/>
    <row r="66" spans="7:48" ht="12.75" hidden="1" customHeight="1"/>
    <row r="67" spans="7:48" ht="12.75" hidden="1" customHeight="1"/>
    <row r="68" spans="7:48" ht="12.75" hidden="1" customHeight="1"/>
    <row r="69" spans="7:48" ht="12.75" hidden="1" customHeight="1"/>
    <row r="70" spans="7:48" ht="12.75" hidden="1" customHeight="1"/>
    <row r="71" spans="7:48" ht="12.75" hidden="1" customHeight="1"/>
    <row r="72" spans="7:48" ht="12.75" hidden="1" customHeight="1"/>
    <row r="73" spans="7:48" ht="12.75" hidden="1" customHeight="1"/>
    <row r="74" spans="7:48" ht="12.75" hidden="1" customHeight="1"/>
    <row r="75" spans="7:48" ht="12.75" hidden="1" customHeight="1">
      <c r="G75" s="52" t="s">
        <v>42</v>
      </c>
      <c r="J75" s="2" t="s">
        <v>187</v>
      </c>
      <c r="K75" s="2" t="s">
        <v>18</v>
      </c>
      <c r="L75" s="13" t="s">
        <v>199</v>
      </c>
      <c r="M75" s="2" t="s">
        <v>188</v>
      </c>
      <c r="N75" s="13" t="s">
        <v>19</v>
      </c>
      <c r="O75" s="13" t="s">
        <v>20</v>
      </c>
      <c r="P75" s="13" t="s">
        <v>201</v>
      </c>
      <c r="Q75" s="2" t="s">
        <v>189</v>
      </c>
      <c r="R75" s="2" t="s">
        <v>21</v>
      </c>
      <c r="S75" s="13" t="s">
        <v>22</v>
      </c>
      <c r="T75" s="13" t="s">
        <v>23</v>
      </c>
      <c r="U75" s="13" t="s">
        <v>24</v>
      </c>
      <c r="V75" s="13" t="s">
        <v>25</v>
      </c>
      <c r="W75" s="13" t="s">
        <v>26</v>
      </c>
      <c r="X75" s="13" t="s">
        <v>27</v>
      </c>
      <c r="Y75" s="2" t="s">
        <v>28</v>
      </c>
      <c r="Z75" s="13" t="s">
        <v>29</v>
      </c>
      <c r="AA75" s="13" t="s">
        <v>30</v>
      </c>
      <c r="AB75" s="2" t="s">
        <v>31</v>
      </c>
      <c r="AC75" s="2" t="s">
        <v>32</v>
      </c>
      <c r="AD75" s="2" t="s">
        <v>33</v>
      </c>
      <c r="AE75" s="2" t="s">
        <v>34</v>
      </c>
    </row>
    <row r="76" spans="7:48" ht="12.75" hidden="1" customHeight="1">
      <c r="G76" s="52" t="s">
        <v>41</v>
      </c>
      <c r="J76" s="2" t="str">
        <f>[1]!YBHIST(J75&amp;"(IOX)",CurrentCloseDate,"Price","sec","")</f>
        <v>E</v>
      </c>
      <c r="K76" s="2" t="str">
        <f>[1]!YBHIST(K75&amp;"(IOX)",CurrentCloseDate,"Price","sec","")</f>
        <v>E</v>
      </c>
      <c r="L76" s="2" t="str">
        <f>[1]!YBHIST(L75&amp;"(IOX)",CurrentCloseDate,"Price","sec","")</f>
        <v>E</v>
      </c>
      <c r="M76" s="2" t="str">
        <f>[1]!YBHIST(M75&amp;"(IOX)",CurrentCloseDate,"Price","sec","")</f>
        <v>E</v>
      </c>
      <c r="N76" s="2" t="str">
        <f>[1]!YBHIST(N75&amp;"(IOX)",CurrentCloseDate,"Price","sec","")</f>
        <v>E</v>
      </c>
      <c r="O76" s="2" t="str">
        <f>[1]!YBHIST(O75&amp;"(IOX)",CurrentCloseDate,"Price","sec","")</f>
        <v>E</v>
      </c>
      <c r="P76" s="2" t="str">
        <f>[1]!YBHIST(P75&amp;"(IOX)",CurrentCloseDate,"Price","sec","")</f>
        <v>E</v>
      </c>
      <c r="Q76" s="2" t="str">
        <f>[1]!YBHIST(Q75&amp;"(IOX)",CurrentCloseDate,"Price","sec","")</f>
        <v>E</v>
      </c>
      <c r="R76" s="2" t="str">
        <f>[1]!YBHIST(R75&amp;"(IOX)",CurrentCloseDate,"Price","sec","")</f>
        <v>E</v>
      </c>
      <c r="S76" s="2">
        <f>[1]!YBHIST(S75&amp;"(IOX)",CurrentCloseDate,"Price","sec","")</f>
        <v>22.546880999999999</v>
      </c>
      <c r="T76" s="2" t="str">
        <f>[1]!YBHIST(T75&amp;"(IOX)",CurrentCloseDate,"Price","sec","")</f>
        <v>E</v>
      </c>
      <c r="U76" s="2" t="str">
        <f>[1]!YBHIST(U75&amp;"(IOX)",CurrentCloseDate,"Price","sec","")</f>
        <v>E</v>
      </c>
      <c r="V76" s="2" t="str">
        <f>[1]!YBHIST(V75&amp;"(IOX)",CurrentCloseDate,"Price","sec","")</f>
        <v>E</v>
      </c>
      <c r="W76" s="2" t="str">
        <f>[1]!YBHIST(W75&amp;"(IOX)",CurrentCloseDate,"Price","sec","")</f>
        <v>E</v>
      </c>
      <c r="X76" s="2" t="str">
        <f>[1]!YBHIST(X75&amp;"(IOX)",CurrentCloseDate,"Price","sec","")</f>
        <v>E</v>
      </c>
      <c r="Y76" s="2" t="str">
        <f>[1]!YBHIST(Y75&amp;"(IOX)",CurrentCloseDate,"Price","sec","")</f>
        <v>E</v>
      </c>
      <c r="Z76" s="2" t="str">
        <f>[1]!YBHIST(Z75&amp;"(IOX)",CurrentCloseDate,"Price","sec","")</f>
        <v>E</v>
      </c>
      <c r="AA76" s="2" t="str">
        <f>[1]!YBHIST(AA75&amp;"(IOX)",CurrentCloseDate,"Price","sec","")</f>
        <v>E</v>
      </c>
      <c r="AB76" s="2" t="str">
        <f>[1]!YBHIST(AB75&amp;"(IOX)",CurrentCloseDate,"Price","sec","")</f>
        <v>E</v>
      </c>
      <c r="AC76" s="2" t="str">
        <f>[1]!YBHIST(AC75&amp;"(IOX)",CurrentCloseDate,"Price","sec","")</f>
        <v>E</v>
      </c>
      <c r="AD76" s="2" t="str">
        <f>[1]!YBHIST(AD75&amp;"(IOX)",CurrentCloseDate,"Price","sec","")</f>
        <v>E</v>
      </c>
      <c r="AE76" s="2" t="str">
        <f>[1]!YBHIST(AE75&amp;"(IOX)",CurrentCloseDate,"Price","sec","")</f>
        <v>E</v>
      </c>
    </row>
    <row r="77" spans="7:48" ht="12.75" hidden="1" customHeight="1">
      <c r="G77" s="52" t="s">
        <v>44</v>
      </c>
      <c r="J77" s="7" t="str">
        <f>[1]!YBPRICE(J75&amp;"(IOX)",J76&amp;"d","Market","OAS","Swap",CurrentCloseDate,"LMMSkew","",$F$59,100,"")</f>
        <v>E</v>
      </c>
      <c r="K77" s="7" t="str">
        <f>[1]!YBPRICE(K75&amp;"(IOX)",K76&amp;"d","Market","OAS","Swap",CurrentCloseDate,"LMMSkew","",$F$59,100,"")</f>
        <v>E</v>
      </c>
      <c r="L77" s="7" t="str">
        <f>[1]!YBPRICE(L75&amp;"(IOX)",L76&amp;"d","Market","OAS","Swap",CurrentCloseDate,"LMMSkew","",$F$59,100,"")</f>
        <v>E</v>
      </c>
      <c r="M77" s="2" t="str">
        <f>[1]!YBPRICE(M75&amp;"(IOX)",M76&amp;"d","Market","OAS","Swap",CurrentCloseDate,"LMMSkew","",$F$59,100,"")</f>
        <v>E</v>
      </c>
      <c r="N77" s="7" t="str">
        <f>[1]!YBPRICE(N75&amp;"(IOX)",N76&amp;"d","Market","OAS","Swap",CurrentCloseDate,"LMMSkew","",$F$59,100,"")</f>
        <v>E</v>
      </c>
      <c r="O77" s="7" t="str">
        <f>[1]!YBPRICE(O75&amp;"(IOX)",O76&amp;"d","Market","OAS","Swap",CurrentCloseDate,"LMMSkew","",$F$59,100,"")</f>
        <v>E</v>
      </c>
      <c r="P77" s="7" t="str">
        <f>[1]!YBPRICE(P75&amp;"(IOX)",P76&amp;"d","Market","OAS","Swap",CurrentCloseDate,"LMMSkew","",$F$59,100,"")</f>
        <v>E</v>
      </c>
      <c r="Q77" s="7" t="str">
        <f>[1]!YBPRICE(Q75&amp;"(IOX)",Q76&amp;"d","Market","OAS","Swap",CurrentCloseDate,"LMMSkew","",$F$59,100,"")</f>
        <v>E</v>
      </c>
      <c r="R77" s="7" t="str">
        <f>[1]!YBPRICE(R75&amp;"(IOX)",R76&amp;"d","Market","OAS","Swap",CurrentCloseDate,"LMMSkew","",$F$59,100,"")</f>
        <v>E</v>
      </c>
      <c r="S77" s="7">
        <f>[1]!YBPRICE(S75&amp;"(IOX)",S76&amp;"d","Market","OAS","Swap",CurrentCloseDate,"LMMSkew","",$F$59,100,"")</f>
        <v>41.058</v>
      </c>
      <c r="T77" s="7" t="str">
        <f>[1]!YBPRICE(T75&amp;"(IOX)",T76&amp;"d","Market","OAS","Swap",CurrentCloseDate,"LMMSkew","",$F$59,100,"")</f>
        <v>E</v>
      </c>
      <c r="U77" s="7" t="str">
        <f>[1]!YBPRICE(U75&amp;"(IOX)",U76&amp;"d","Market","OAS","Swap",CurrentCloseDate,"LMMSkew","",$F$59,100,"")</f>
        <v>E</v>
      </c>
      <c r="V77" s="7" t="str">
        <f>[1]!YBPRICE(V75&amp;"(IOX)",V76&amp;"d","Market","OAS","Swap",CurrentCloseDate,"LMMSkew","",$F$59,100,"")</f>
        <v>E</v>
      </c>
      <c r="W77" s="7" t="str">
        <f>[1]!YBPRICE(W75&amp;"(IOX)",W76&amp;"d","Market","OAS","Swap",CurrentCloseDate,"LMMSkew","",$F$59,100,"")</f>
        <v>E</v>
      </c>
      <c r="X77" s="7" t="str">
        <f>[1]!YBPRICE(X75&amp;"(IOX)",X76&amp;"d","Market","OAS","Swap",CurrentCloseDate,"LMMSkew","",$F$59,100,"")</f>
        <v>E</v>
      </c>
      <c r="Y77" s="7" t="str">
        <f>[1]!YBPRICE(Y75&amp;"(IOX)",Y76&amp;"d","Market","OAS","Swap",CurrentCloseDate,"LMMSkew","",$F$59,100,"")</f>
        <v>E</v>
      </c>
      <c r="Z77" s="7" t="str">
        <f>[1]!YBPRICE(Z75&amp;"(IOX)",Z76&amp;"d","Market","OAS","Swap",CurrentCloseDate,"LMMSkew","",$F$59,100,"")</f>
        <v>E</v>
      </c>
      <c r="AA77" s="7" t="str">
        <f>[1]!YBPRICE(AA75&amp;"(IOX)",AA76&amp;"d","Market","OAS","Swap",CurrentCloseDate,"LMMSkew","",$F$59,100,"")</f>
        <v>E</v>
      </c>
      <c r="AB77" s="7" t="str">
        <f>[1]!YBPRICE(AB75&amp;"(IOX)",AB76&amp;"d","Market","OAS","Swap",CurrentCloseDate,"LMMSkew","",$F$59,100,"")</f>
        <v>E</v>
      </c>
      <c r="AC77" s="7" t="str">
        <f>[1]!YBPRICE(AC75&amp;"(IOX)",AC76&amp;"d","Market","OAS","Swap",CurrentCloseDate,"LMMSkew","",$F$59,100,"")</f>
        <v>E</v>
      </c>
      <c r="AD77" s="7" t="str">
        <f>[1]!YBPRICE(AD75&amp;"(IOX)",AD76&amp;"d","Market","OAS","Swap",CurrentCloseDate,"LMMSkew","",$F$59,100,"")</f>
        <v>E</v>
      </c>
      <c r="AE77" s="7" t="str">
        <f>[1]!YBPRICE(AE75&amp;"(IOX)",AE76&amp;"d","Market","OAS","Swap",CurrentCloseDate,"LMMSkew","",$F$59,100,"")</f>
        <v>E</v>
      </c>
    </row>
    <row r="78" spans="7:48" ht="12.75" hidden="1" customHeight="1">
      <c r="G78" s="52"/>
    </row>
    <row r="79" spans="7:48" ht="12.75" hidden="1" customHeight="1">
      <c r="G79" s="52" t="s">
        <v>45</v>
      </c>
      <c r="J79" s="2" t="str">
        <f>[1]!YBSCEN(J75&amp;"(IOX)",J77&amp;"o","Market","PriceAtHorizon","Swap",CurrentCloseDate,"LMMSkew","",$F90,$G90,0,0,"Immediate","ParShift|N",Up_25,"OAS Change",0,,"EFF",,,,0,,,,"Default",,)</f>
        <v>E</v>
      </c>
      <c r="K79" s="2" t="str">
        <f>[1]!YBSCEN(K75&amp;"(IOX)",K77&amp;"o","Market","PriceAtHorizon","Swap",CurrentCloseDate,"LMMSkew","",$F90,$G90,0,0,"Immediate","ParShift|N",Up_25,"OAS Change",0,,"EFF",,,,0,,,,"Default",,)</f>
        <v>E</v>
      </c>
      <c r="L79" s="2" t="str">
        <f>[1]!YBSCEN(L75&amp;"(IOX)",L77&amp;"o","Market","PriceAtHorizon","Swap",CurrentCloseDate,"LMMSkew","",$F90,$G90,0,0,"Immediate","ParShift|N",Up_25,"OAS Change",0,,"EFF",,,,0,,,,"Default",,)</f>
        <v>E</v>
      </c>
      <c r="M79" s="2" t="str">
        <f>[1]!YBSCEN(M75&amp;"(IOX)",M77&amp;"o","Market","PriceAtHorizon","Swap",CurrentCloseDate,"LMMSkew","",$F90,$G90,0,0,"Immediate","ParShift|N",Up_25,"OAS Change",0,,"EFF",,,,0,,,,"Default",,)</f>
        <v>E</v>
      </c>
      <c r="N79" s="2" t="str">
        <f>[1]!YBSCEN(N75&amp;"(IOX)",N77&amp;"o","Market","PriceAtHorizon","Swap",CurrentCloseDate,"LMMSkew","",$F90,$G90,0,0,"Immediate","ParShift|N",Up_25,"OAS Change",0,,"EFF",,,,0,,,,"Default",,)</f>
        <v>E</v>
      </c>
      <c r="O79" s="2" t="str">
        <f>[1]!YBSCEN(O75&amp;"(IOX)",O77&amp;"o","Market","PriceAtHorizon","Swap",CurrentCloseDate,"LMMSkew","",$F90,$G90,0,0,"Immediate","ParShift|N",Up_25,"OAS Change",0,,"EFF",,,,0,,,,"Default",,)</f>
        <v>E</v>
      </c>
      <c r="P79" s="2" t="str">
        <f>[1]!YBSCEN(P75&amp;"(IOX)",P77&amp;"o","Market","PriceAtHorizon","Swap",CurrentCloseDate,"LMMSkew","",$F90,$G90,0,0,"Immediate","ParShift|N",Up_25,"OAS Change",0,,"EFF",,,,0,,,,"Default",,)</f>
        <v>E</v>
      </c>
      <c r="Q79" s="2" t="str">
        <f>[1]!YBSCEN(Q75&amp;"(IOX)",Q77&amp;"o","Market","PriceAtHorizon","Swap",CurrentCloseDate,"LMMSkew","",$F90,$G90,0,0,"Immediate","ParShift|N",Up_25,"OAS Change",0,,"EFF",,,,0,,,,"Default",,)</f>
        <v>E</v>
      </c>
      <c r="R79" s="2" t="str">
        <f>[1]!YBSCEN(R75&amp;"(IOX)",R77&amp;"o","Market","PriceAtHorizon","Swap",CurrentCloseDate,"LMMSkew","",$F90,$G90,0,0,"Immediate","ParShift|N",Up_25,"OAS Change",0,,"EFF",,,,0,,,,"Default",,)</f>
        <v>E</v>
      </c>
      <c r="S79" s="2" t="str">
        <f>[1]!YBSCEN(S75&amp;"(IOX)",S77&amp;"o","Market","PriceAtHorizon","Swap",CurrentCloseDate,"LMMSkew","",$F90,$G90,0,0,"Immediate","ParShift|N",Up_25,"OAS Change",0,,"EFF",,,,0,,,,"Default",,)</f>
        <v>E</v>
      </c>
      <c r="T79" s="2" t="str">
        <f>[1]!YBSCEN(T75&amp;"(IOX)",T77&amp;"o","Market","PriceAtHorizon","Swap",CurrentCloseDate,"LMMSkew","",$F90,$G90,0,0,"Immediate","ParShift|N",Up_25,"OAS Change",0,,"EFF",,,,0,,,,"Default",,)</f>
        <v>E</v>
      </c>
      <c r="U79" s="2" t="str">
        <f>[1]!YBSCEN(U75&amp;"(IOX)",U77&amp;"o","Market","PriceAtHorizon","Swap",CurrentCloseDate,"LMMSkew","",$F90,$G90,0,0,"Immediate","ParShift|N",Up_25,"OAS Change",0,,"EFF",,,,0,,,,"Default",,)</f>
        <v>E</v>
      </c>
      <c r="V79" s="2" t="str">
        <f>[1]!YBSCEN(V75&amp;"(IOX)",V77&amp;"o","Market","PriceAtHorizon","Swap",CurrentCloseDate,"LMMSkew","",$F90,$G90,0,0,"Immediate","ParShift|N",Up_25,"OAS Change",0,,"EFF",,,,0,,,,"Default",,)</f>
        <v>E</v>
      </c>
      <c r="W79" s="2" t="str">
        <f>[1]!YBSCEN(W75&amp;"(IOX)",W77&amp;"o","Market","PriceAtHorizon","Swap",CurrentCloseDate,"LMMSkew","",$F90,$G90,0,0,"Immediate","ParShift|N",Up_25,"OAS Change",0,,"EFF",,,,0,,,,"Default",,)</f>
        <v>E</v>
      </c>
      <c r="X79" s="2" t="str">
        <f>[1]!YBSCEN(X75&amp;"(IOX)",X77&amp;"o","Market","PriceAtHorizon","Swap",CurrentCloseDate,"LMMSkew","",$F90,$G90,0,0,"Immediate","ParShift|N",Up_25,"OAS Change",0,,"EFF",,,,0,,,,"Default",,)</f>
        <v>E</v>
      </c>
      <c r="Y79" s="2" t="str">
        <f>[1]!YBSCEN(Y75&amp;"(IOX)",Y77&amp;"o","Market","PriceAtHorizon","Swap",CurrentCloseDate,"LMMSkew","",$F90,$G90,0,0,"Immediate","ParShift|N",Up_25,"OAS Change",0,,"EFF",,,,0,,,,"Default",,)</f>
        <v>E</v>
      </c>
      <c r="Z79" s="2" t="str">
        <f>[1]!YBSCEN(Z75&amp;"(IOX)",Z77&amp;"o","Market","PriceAtHorizon","Swap",CurrentCloseDate,"LMMSkew","",$F90,$G90,0,0,"Immediate","ParShift|N",Up_25,"OAS Change",0,,"EFF",,,,0,,,,"Default",,)</f>
        <v>E</v>
      </c>
      <c r="AA79" s="2" t="str">
        <f>[1]!YBSCEN(AA75&amp;"(IOX)",AA77&amp;"o","Market","PriceAtHorizon","Swap",CurrentCloseDate,"LMMSkew","",$F90,$G90,0,0,"Immediate","ParShift|N",Up_25,"OAS Change",0,,"EFF",,,,0,,,,"Default",,)</f>
        <v>E</v>
      </c>
      <c r="AB79" s="2" t="str">
        <f>[1]!YBSCEN(AB75&amp;"(IOX)",AB77&amp;"o","Market","PriceAtHorizon","Swap",CurrentCloseDate,"LMMSkew","",$F90,$G90,0,0,"Immediate","ParShift|N",Up_25,"OAS Change",0,,"EFF",,,,0,,,,"Default",,)</f>
        <v>E</v>
      </c>
      <c r="AC79" s="2" t="str">
        <f>[1]!YBSCEN(AC75&amp;"(IOX)",AC77&amp;"o","Market","PriceAtHorizon","Swap",CurrentCloseDate,"LMMSkew","",$F90,$G90,0,0,"Immediate","ParShift|N",Up_25,"OAS Change",0,,"EFF",,,,0,,,,"Default",,)</f>
        <v>E</v>
      </c>
      <c r="AD79" s="2" t="str">
        <f>[1]!YBSCEN(AD75&amp;"(IOX)",AD77&amp;"o","Market","PriceAtHorizon","Swap",CurrentCloseDate,"LMMSkew","",$F90,$G90,0,0,"Immediate","ParShift|N",Up_25,"OAS Change",0,,"EFF",,,,0,,,,"Default",,)</f>
        <v>E</v>
      </c>
      <c r="AE79" s="2" t="str">
        <f>[1]!YBSCEN(AE75&amp;"(IOX)",AE77&amp;"o","Market","PriceAtHorizon","Swap",CurrentCloseDate,"LMMSkew","",$F90,$G90,0,0,"Immediate","ParShift|N",Up_25,"OAS Change",0,,"EFF",,,,0,,,,"Default",,)</f>
        <v>E</v>
      </c>
    </row>
    <row r="80" spans="7:48" ht="12.75" hidden="1" customHeight="1">
      <c r="G80" s="52"/>
      <c r="M80" s="50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V80" s="14"/>
    </row>
    <row r="81" spans="2:138" ht="12.75" hidden="1" customHeight="1">
      <c r="G81" s="52"/>
    </row>
    <row r="82" spans="2:138" ht="12.75" hidden="1" customHeight="1">
      <c r="F82" s="2" t="str">
        <f>[1]!YBYC("U25","USD",10,Up_25,"Relative","Par")</f>
        <v>YBYC_U25</v>
      </c>
      <c r="G82" s="13"/>
    </row>
    <row r="83" spans="2:138" ht="12.75" hidden="1" customHeight="1">
      <c r="F83" s="2" t="str">
        <f>[1]!YBSW("U25","USD",10,Up_25,"Relative","Par")</f>
        <v>YBSW_U25</v>
      </c>
      <c r="G83" s="13"/>
    </row>
    <row r="84" spans="2:138" ht="12.75" hidden="1" customHeight="1"/>
    <row r="85" spans="2:138" ht="15" hidden="1">
      <c r="F85" s="43" t="s">
        <v>43</v>
      </c>
      <c r="G85" s="49">
        <v>25</v>
      </c>
      <c r="AZ85" s="7"/>
    </row>
    <row r="86" spans="2:138" ht="15" hidden="1">
      <c r="H86" s="3"/>
      <c r="AY86" s="92" t="str">
        <f>AnnReturn</f>
        <v>AnnualizedReturn</v>
      </c>
      <c r="BK86" s="13"/>
      <c r="BL86" s="13"/>
      <c r="BM86" s="13"/>
      <c r="BN86" s="13"/>
    </row>
    <row r="87" spans="2:138" s="4" customFormat="1" ht="8.25" hidden="1" customHeight="1"/>
    <row r="88" spans="2:138" ht="15" hidden="1">
      <c r="H88" s="305" t="s">
        <v>196</v>
      </c>
      <c r="I88" s="306"/>
      <c r="J88" s="306"/>
      <c r="K88" s="306"/>
      <c r="L88" s="306"/>
      <c r="M88" s="306"/>
      <c r="N88" s="306"/>
      <c r="O88" s="306"/>
      <c r="P88" s="306"/>
      <c r="Q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Y88" s="337" t="str">
        <f>J89</f>
        <v>FN30.
300.
13</v>
      </c>
      <c r="AZ88" s="338"/>
      <c r="BA88" s="338"/>
      <c r="BB88" s="339"/>
      <c r="BC88" s="346" t="str">
        <f>K89</f>
        <v>FN30.
300.
12</v>
      </c>
      <c r="BD88" s="347"/>
      <c r="BE88" s="347"/>
      <c r="BF88" s="348"/>
      <c r="BG88" s="346" t="str">
        <f>L89</f>
        <v>FN30.
350.
14</v>
      </c>
      <c r="BH88" s="347"/>
      <c r="BI88" s="347"/>
      <c r="BJ88" s="348"/>
      <c r="BK88" s="337" t="str">
        <f>M89</f>
        <v>FN30.
350.
13</v>
      </c>
      <c r="BL88" s="338"/>
      <c r="BM88" s="338"/>
      <c r="BN88" s="339"/>
      <c r="BO88" s="337" t="str">
        <f>N89</f>
        <v>FN30.
350.
12</v>
      </c>
      <c r="BP88" s="338"/>
      <c r="BQ88" s="338"/>
      <c r="BR88" s="339"/>
      <c r="BS88" s="337" t="str">
        <f>O89</f>
        <v>FN30.
350.
10</v>
      </c>
      <c r="BT88" s="338"/>
      <c r="BU88" s="338"/>
      <c r="BV88" s="339"/>
      <c r="BW88" s="337" t="str">
        <f>P89</f>
        <v>FN30.
400.
14</v>
      </c>
      <c r="BX88" s="338"/>
      <c r="BY88" s="338"/>
      <c r="BZ88" s="339"/>
      <c r="CA88" s="337" t="str">
        <f>Q89</f>
        <v>FN30.
400.
13</v>
      </c>
      <c r="CB88" s="338"/>
      <c r="CC88" s="338"/>
      <c r="CD88" s="339"/>
      <c r="CE88" s="337" t="str">
        <f>R89</f>
        <v>FN30.
400.
11</v>
      </c>
      <c r="CF88" s="338"/>
      <c r="CG88" s="338"/>
      <c r="CH88" s="339"/>
      <c r="CI88" s="337" t="str">
        <f>S89</f>
        <v>FN30.
400.
10</v>
      </c>
      <c r="CJ88" s="338"/>
      <c r="CK88" s="338"/>
      <c r="CL88" s="339"/>
      <c r="CM88" s="337" t="str">
        <f>T89</f>
        <v>FN30.
400.
09</v>
      </c>
      <c r="CN88" s="338"/>
      <c r="CO88" s="338"/>
      <c r="CP88" s="339"/>
      <c r="CQ88" s="337" t="str">
        <f>U89</f>
        <v>FN30.
450.
11</v>
      </c>
      <c r="CR88" s="338"/>
      <c r="CS88" s="338"/>
      <c r="CT88" s="339"/>
      <c r="CU88" s="337" t="str">
        <f>V89</f>
        <v>FN30.
450.
10</v>
      </c>
      <c r="CV88" s="338"/>
      <c r="CW88" s="338"/>
      <c r="CX88" s="339"/>
      <c r="CY88" s="337" t="str">
        <f>W89</f>
        <v>FN30.
450.
09</v>
      </c>
      <c r="CZ88" s="338"/>
      <c r="DA88" s="338"/>
      <c r="DB88" s="339"/>
      <c r="DC88" s="337" t="str">
        <f>X89</f>
        <v>FN30.
500.
10</v>
      </c>
      <c r="DD88" s="338"/>
      <c r="DE88" s="338"/>
      <c r="DF88" s="339"/>
      <c r="DG88" s="337" t="str">
        <f>Y89</f>
        <v>FN30.
500.
09</v>
      </c>
      <c r="DH88" s="338"/>
      <c r="DI88" s="338"/>
      <c r="DJ88" s="339"/>
      <c r="DK88" s="337" t="str">
        <f>Z89</f>
        <v>FN30.
550.
08</v>
      </c>
      <c r="DL88" s="338"/>
      <c r="DM88" s="338"/>
      <c r="DN88" s="339"/>
      <c r="DO88" s="337" t="str">
        <f>AA89</f>
        <v>FN30.
600.
08</v>
      </c>
      <c r="DP88" s="338"/>
      <c r="DQ88" s="338"/>
      <c r="DR88" s="339"/>
      <c r="DS88" s="337" t="str">
        <f>AB89</f>
        <v>FN30.
650.
67</v>
      </c>
      <c r="DT88" s="338"/>
      <c r="DU88" s="338"/>
      <c r="DV88" s="339"/>
      <c r="DW88" s="337" t="str">
        <f>AC89</f>
        <v>GII30.
400.
10</v>
      </c>
      <c r="DX88" s="338"/>
      <c r="DY88" s="338"/>
      <c r="DZ88" s="339"/>
      <c r="EA88" s="337" t="str">
        <f>AD89</f>
        <v>GII30.
450.
10</v>
      </c>
      <c r="EB88" s="338"/>
      <c r="EC88" s="338"/>
      <c r="ED88" s="339"/>
      <c r="EE88" s="337" t="str">
        <f>AE89</f>
        <v>GII30.
500.
10</v>
      </c>
      <c r="EF88" s="338"/>
      <c r="EG88" s="338"/>
      <c r="EH88" s="339"/>
    </row>
    <row r="89" spans="2:138" s="6" customFormat="1" ht="45" hidden="1">
      <c r="F89" s="43" t="s">
        <v>35</v>
      </c>
      <c r="G89" s="12" t="s">
        <v>36</v>
      </c>
      <c r="H89" s="54" t="s">
        <v>47</v>
      </c>
      <c r="I89" s="43" t="s">
        <v>0</v>
      </c>
      <c r="J89" s="245" t="str">
        <f t="shared" ref="J89:AE89" si="196">J24</f>
        <v>FN30.
300.
13</v>
      </c>
      <c r="K89" s="243" t="str">
        <f t="shared" si="196"/>
        <v>FN30.
300.
12</v>
      </c>
      <c r="L89" s="307" t="str">
        <f t="shared" si="196"/>
        <v>FN30.
350.
14</v>
      </c>
      <c r="M89" s="309" t="str">
        <f t="shared" si="196"/>
        <v>FN30.
350.
13</v>
      </c>
      <c r="N89" s="243" t="str">
        <f t="shared" si="196"/>
        <v>FN30.
350.
12</v>
      </c>
      <c r="O89" s="242" t="str">
        <f t="shared" si="196"/>
        <v>FN30.
350.
10</v>
      </c>
      <c r="P89" s="309" t="str">
        <f t="shared" si="196"/>
        <v>FN30.
400.
14</v>
      </c>
      <c r="Q89" s="243" t="str">
        <f t="shared" si="196"/>
        <v>FN30.
400.
13</v>
      </c>
      <c r="R89" s="243" t="str">
        <f t="shared" si="196"/>
        <v>FN30.
400.
11</v>
      </c>
      <c r="S89" s="243" t="str">
        <f t="shared" si="196"/>
        <v>FN30.
400.
10</v>
      </c>
      <c r="T89" s="243" t="str">
        <f t="shared" si="196"/>
        <v>FN30.
400.
09</v>
      </c>
      <c r="U89" s="241" t="str">
        <f t="shared" si="196"/>
        <v>FN30.
450.
11</v>
      </c>
      <c r="V89" s="243" t="str">
        <f t="shared" si="196"/>
        <v>FN30.
450.
10</v>
      </c>
      <c r="W89" s="242" t="str">
        <f t="shared" si="196"/>
        <v>FN30.
450.
09</v>
      </c>
      <c r="X89" s="243" t="str">
        <f t="shared" si="196"/>
        <v>FN30.
500.
10</v>
      </c>
      <c r="Y89" s="243" t="str">
        <f t="shared" si="196"/>
        <v>FN30.
500.
09</v>
      </c>
      <c r="Z89" s="73" t="str">
        <f t="shared" si="196"/>
        <v>FN30.
550.
08</v>
      </c>
      <c r="AA89" s="73" t="str">
        <f t="shared" si="196"/>
        <v>FN30.
600.
08</v>
      </c>
      <c r="AB89" s="243" t="str">
        <f t="shared" si="196"/>
        <v>FN30.
650.
67</v>
      </c>
      <c r="AC89" s="241" t="str">
        <f t="shared" si="196"/>
        <v>GII30.
400.
10</v>
      </c>
      <c r="AD89" s="243" t="str">
        <f t="shared" si="196"/>
        <v>GII30.
450.
10</v>
      </c>
      <c r="AE89" s="242" t="str">
        <f t="shared" si="196"/>
        <v>GII30.
500.
10</v>
      </c>
      <c r="AV89" s="23"/>
      <c r="AY89" s="335" t="s">
        <v>37</v>
      </c>
      <c r="AZ89" s="336"/>
      <c r="BA89" s="335" t="s">
        <v>38</v>
      </c>
      <c r="BB89" s="336"/>
      <c r="BC89" s="335" t="s">
        <v>37</v>
      </c>
      <c r="BD89" s="336"/>
      <c r="BE89" s="335" t="s">
        <v>38</v>
      </c>
      <c r="BF89" s="336"/>
      <c r="BG89" s="335" t="s">
        <v>37</v>
      </c>
      <c r="BH89" s="336"/>
      <c r="BI89" s="335" t="s">
        <v>38</v>
      </c>
      <c r="BJ89" s="336"/>
      <c r="BK89" s="335" t="s">
        <v>37</v>
      </c>
      <c r="BL89" s="336"/>
      <c r="BM89" s="335" t="s">
        <v>38</v>
      </c>
      <c r="BN89" s="336"/>
      <c r="BO89" s="307" t="s">
        <v>37</v>
      </c>
      <c r="BP89" s="308"/>
      <c r="BQ89" s="307" t="s">
        <v>38</v>
      </c>
      <c r="BR89" s="308"/>
      <c r="BS89" s="307" t="s">
        <v>37</v>
      </c>
      <c r="BT89" s="308"/>
      <c r="BU89" s="307" t="s">
        <v>38</v>
      </c>
      <c r="BV89" s="309"/>
      <c r="BW89" s="307" t="s">
        <v>37</v>
      </c>
      <c r="BX89" s="308"/>
      <c r="BY89" s="307" t="s">
        <v>38</v>
      </c>
      <c r="BZ89" s="309"/>
      <c r="CA89" s="307" t="s">
        <v>37</v>
      </c>
      <c r="CB89" s="308"/>
      <c r="CC89" s="307" t="s">
        <v>38</v>
      </c>
      <c r="CD89" s="308"/>
      <c r="CE89" s="307" t="s">
        <v>37</v>
      </c>
      <c r="CF89" s="308"/>
      <c r="CG89" s="307" t="s">
        <v>38</v>
      </c>
      <c r="CH89" s="308"/>
      <c r="CI89" s="307" t="s">
        <v>37</v>
      </c>
      <c r="CJ89" s="308"/>
      <c r="CK89" s="307" t="s">
        <v>38</v>
      </c>
      <c r="CL89" s="308"/>
      <c r="CM89" s="307" t="s">
        <v>37</v>
      </c>
      <c r="CN89" s="308"/>
      <c r="CO89" s="307" t="s">
        <v>38</v>
      </c>
      <c r="CP89" s="308"/>
      <c r="CQ89" s="307" t="s">
        <v>37</v>
      </c>
      <c r="CR89" s="308"/>
      <c r="CS89" s="307" t="s">
        <v>38</v>
      </c>
      <c r="CT89" s="308"/>
      <c r="CU89" s="307" t="s">
        <v>37</v>
      </c>
      <c r="CV89" s="308"/>
      <c r="CW89" s="307" t="s">
        <v>38</v>
      </c>
      <c r="CX89" s="308"/>
      <c r="CY89" s="307" t="s">
        <v>37</v>
      </c>
      <c r="CZ89" s="308"/>
      <c r="DA89" s="307" t="s">
        <v>38</v>
      </c>
      <c r="DB89" s="308"/>
      <c r="DC89" s="307" t="s">
        <v>37</v>
      </c>
      <c r="DD89" s="308"/>
      <c r="DE89" s="307" t="s">
        <v>38</v>
      </c>
      <c r="DF89" s="308"/>
      <c r="DG89" s="307" t="s">
        <v>37</v>
      </c>
      <c r="DH89" s="309"/>
      <c r="DI89" s="307" t="s">
        <v>38</v>
      </c>
      <c r="DJ89" s="308"/>
      <c r="DK89" s="307" t="s">
        <v>37</v>
      </c>
      <c r="DL89" s="308"/>
      <c r="DM89" s="307" t="s">
        <v>38</v>
      </c>
      <c r="DN89" s="308"/>
      <c r="DO89" s="307" t="s">
        <v>37</v>
      </c>
      <c r="DP89" s="308"/>
      <c r="DQ89" s="307" t="s">
        <v>38</v>
      </c>
      <c r="DR89" s="308"/>
      <c r="DS89" s="307" t="s">
        <v>37</v>
      </c>
      <c r="DT89" s="308"/>
      <c r="DU89" s="307" t="s">
        <v>38</v>
      </c>
      <c r="DV89" s="308"/>
      <c r="DW89" s="307" t="s">
        <v>37</v>
      </c>
      <c r="DX89" s="308"/>
      <c r="DY89" s="307" t="s">
        <v>38</v>
      </c>
      <c r="DZ89" s="308"/>
      <c r="EA89" s="307" t="s">
        <v>37</v>
      </c>
      <c r="EB89" s="308"/>
      <c r="EC89" s="307" t="s">
        <v>38</v>
      </c>
      <c r="ED89" s="308"/>
      <c r="EE89" s="307" t="s">
        <v>37</v>
      </c>
      <c r="EF89" s="308"/>
      <c r="EG89" s="307" t="s">
        <v>38</v>
      </c>
      <c r="EH89" s="308"/>
    </row>
    <row r="90" spans="2:138" ht="15" hidden="1" customHeight="1">
      <c r="B90" s="7"/>
      <c r="C90" s="8"/>
      <c r="D90" s="8"/>
      <c r="E90" s="8"/>
      <c r="F90" s="16" t="s">
        <v>35</v>
      </c>
      <c r="G90" s="15">
        <v>100</v>
      </c>
      <c r="H90" s="162">
        <f>H34</f>
        <v>1</v>
      </c>
      <c r="I90" s="163">
        <f>EDATE(CurrentCloseDate, H90)</f>
        <v>42215</v>
      </c>
      <c r="J90" s="34" t="str">
        <f>AY90</f>
        <v>E</v>
      </c>
      <c r="K90" s="165" t="str">
        <f>BC90</f>
        <v>E</v>
      </c>
      <c r="L90" s="34" t="str">
        <f>BG90</f>
        <v>E</v>
      </c>
      <c r="M90" s="164" t="str">
        <f>BK90</f>
        <v>E</v>
      </c>
      <c r="N90" s="164" t="str">
        <f>BO90</f>
        <v>E</v>
      </c>
      <c r="O90" s="166" t="str">
        <f>BS90</f>
        <v>E</v>
      </c>
      <c r="P90" s="251" t="str">
        <f>BW90</f>
        <v>E</v>
      </c>
      <c r="Q90" s="251" t="str">
        <f>CA90</f>
        <v>E</v>
      </c>
      <c r="R90" s="164" t="str">
        <f>CE90</f>
        <v>E</v>
      </c>
      <c r="S90" s="164" t="str">
        <f>CI90</f>
        <v>E</v>
      </c>
      <c r="T90" s="165" t="str">
        <f>CM90</f>
        <v>E</v>
      </c>
      <c r="U90" s="34" t="str">
        <f>CQ90</f>
        <v>E</v>
      </c>
      <c r="V90" s="164" t="str">
        <f>CU90</f>
        <v>E</v>
      </c>
      <c r="W90" s="166" t="str">
        <f>CY90</f>
        <v>E</v>
      </c>
      <c r="X90" s="251" t="str">
        <f>DC90</f>
        <v>E</v>
      </c>
      <c r="Y90" s="165" t="str">
        <f>DG90</f>
        <v>E</v>
      </c>
      <c r="Z90" s="257" t="str">
        <f>DK90</f>
        <v>E</v>
      </c>
      <c r="AA90" s="257" t="str">
        <f>DO90</f>
        <v>E</v>
      </c>
      <c r="AB90" s="254" t="str">
        <f>DS90</f>
        <v>E</v>
      </c>
      <c r="AC90" s="34" t="str">
        <f>DW90</f>
        <v>E</v>
      </c>
      <c r="AD90" s="164" t="str">
        <f>EA90</f>
        <v>E</v>
      </c>
      <c r="AE90" s="166" t="str">
        <f>EE90</f>
        <v>E</v>
      </c>
      <c r="AY90" s="26" t="str">
        <f>[1]!YBSCEN(J$75&amp;"(IOX)",J$79&amp;"d","Market",AnnReturn,"Swap",CurrentCloseDate,"LMMSkew","",$F90,$G90,$H90,,"Immediate","ParShift|N",Up_25,OASROR,$J$77,,"EFF",,,,0,,,,"Default",,)</f>
        <v>E</v>
      </c>
      <c r="AZ90" s="27" t="e">
        <f t="shared" ref="AZ90" si="197">1+(AY90/100)</f>
        <v>#VALUE!</v>
      </c>
      <c r="BA90" s="26" t="str">
        <f>[1]!YBSCEN(J$75&amp;"(IOX)",J$79&amp;"d","Market",AnnReturn,"Swap",CurrentCloseDate,"LMMSkew","",$F90,$G90,$H90,,"Immediate","ParShift|N",Up_25,PriceROR,$J$79,,"EFF",,,,0,,,,"Default",,)</f>
        <v>E</v>
      </c>
      <c r="BB90" s="27" t="e">
        <f t="shared" ref="BB90" si="198">1+(BA90/100)</f>
        <v>#VALUE!</v>
      </c>
      <c r="BC90" s="26" t="str">
        <f>[1]!YBSCEN(K$75&amp;"(IOX)",K$79&amp;"d","Market",AnnReturn,"Swap",CurrentCloseDate,"LMMSkew","",$F90,$G90,$H90,,"Immediate","ParShift|N",Up_25,OASROR,$K$77,,"EFF",,,,0,,,,"Default",,)</f>
        <v>E</v>
      </c>
      <c r="BD90" s="27" t="e">
        <f t="shared" ref="BD90" si="199">1+(BC90/100)</f>
        <v>#VALUE!</v>
      </c>
      <c r="BE90" s="26" t="str">
        <f>[1]!YBSCEN(K$75&amp;"(IOX)",K$79&amp;"d","Market",AnnReturn,"Swap",CurrentCloseDate,"LMMSkew","",$F90,$G90,$H90,,"Immediate","ParShift|N",Up_25,PriceROR,$K$79,,"EFF",,,,0,,,,"Default",,)</f>
        <v>E</v>
      </c>
      <c r="BF90" s="30" t="e">
        <f t="shared" ref="BF90" si="200">1+(BE90/100)</f>
        <v>#VALUE!</v>
      </c>
      <c r="BG90" s="26" t="str">
        <f>[1]!YBSCEN(L$75&amp;"(IOX)",L$79&amp;"d","Market",AnnReturn,"Swap",CurrentCloseDate,"LMMSkew","",$F90,$G90,$H90,,"Immediate","ParShift|N",Up_25,OASROR,$L$77,,"EFF",,,,0,,,,"Default",,)</f>
        <v>E</v>
      </c>
      <c r="BH90" s="27" t="e">
        <f t="shared" ref="BH90:BH92" si="201">1+(BG90/100)</f>
        <v>#VALUE!</v>
      </c>
      <c r="BI90" s="26" t="str">
        <f>[1]!YBSCEN(L$75&amp;"(IOX)",L$79&amp;"d","Market",AnnReturn,"Swap",CurrentCloseDate,"LMMSkew","",$F90,$G90,$H90,,"Immediate","ParShift|N",Up_25,PriceROR,$L$79,,"EFF",,,,0,,,,"Default",,)</f>
        <v>E</v>
      </c>
      <c r="BJ90" s="30" t="e">
        <f t="shared" ref="BJ90:BJ92" si="202">1+(BI90/100)</f>
        <v>#VALUE!</v>
      </c>
      <c r="BK90" s="26" t="str">
        <f>[1]!YBSCEN(M$75&amp;"(IOX)",M$79&amp;"d","Market",AnnReturn,"Swap",CurrentCloseDate,"LMMSkew","",$F90,$G90,$H90,,"Immediate","ParShift|N",Up_25,OASROR,$M$77,,"EFF",,,,0,,,,"Default",,)</f>
        <v>E</v>
      </c>
      <c r="BL90" s="27" t="e">
        <f>1+(BK90/100)</f>
        <v>#VALUE!</v>
      </c>
      <c r="BM90" s="26" t="str">
        <f>[1]!YBSCEN(M$75&amp;"(IOX)",M$79&amp;"d","Market",AnnReturn,"Swap",CurrentCloseDate,"LMMSkew","",$F90,$G90,$H90,,"Immediate","ParShift|N",Up_25,PriceROR,$M$79,,"EFF",,,,0,,,,"Default",,)</f>
        <v>E</v>
      </c>
      <c r="BN90" s="30" t="e">
        <f>1+(BM90/100)</f>
        <v>#VALUE!</v>
      </c>
      <c r="BO90" s="26" t="str">
        <f>[1]!YBSCEN(N$75&amp;"(IOX)",N$79&amp;"d","Market",AnnReturn,"Swap",CurrentCloseDate,"LMMSkew","",$F90,$G90,$H90,,"Immediate","ParShift|N",Up_25,OASROR,$N$77,,"EFF",,,,0,,,,"Default",,)</f>
        <v>E</v>
      </c>
      <c r="BP90" s="27" t="e">
        <f>1+(BO90/100)</f>
        <v>#VALUE!</v>
      </c>
      <c r="BQ90" s="26" t="str">
        <f>[1]!YBSCEN(N$75&amp;"(IOX)",N$79&amp;"d","Market",AnnReturn,"Swap",CurrentCloseDate,"LMMSkew","",$F90,$G90,$H90,,"Immediate","ParShift|N",Up_25,PriceROR,$N$79,,"EFF",,,,0,,,,"Default",,)</f>
        <v>E</v>
      </c>
      <c r="BR90" s="30" t="e">
        <f>1+(BQ90/100)</f>
        <v>#VALUE!</v>
      </c>
      <c r="BS90" s="27" t="str">
        <f>[1]!YBSCEN(O$75&amp;"(IOX)",O$79&amp;"d","Market",AnnReturn,"Swap",CurrentCloseDate,"LMMSkew","",$F90,$G90,$H90,,"Immediate","ParShift|N",Up_25,OASROR,$O$77,,"EFF",,,,0,,,,"Default",,)</f>
        <v>E</v>
      </c>
      <c r="BT90" s="27" t="e">
        <f t="shared" ref="BT90" si="203">1+(BS90/100)</f>
        <v>#VALUE!</v>
      </c>
      <c r="BU90" s="26" t="str">
        <f>[1]!YBSCEN(O$75&amp;"(IOX)",O$79&amp;"d","Market",AnnReturn,"Swap",CurrentCloseDate,"LMMSkew","",$F90,$G90,$H90,,"Immediate","ParShift|N",Up_25,PriceROR,$O$79,,"EFF",,,,0,,,,"Default",,)</f>
        <v>E</v>
      </c>
      <c r="BV90" s="27" t="e">
        <f t="shared" ref="BV90" si="204">1+(BU90/100)</f>
        <v>#VALUE!</v>
      </c>
      <c r="BW90" s="26" t="str">
        <f>[1]!YBSCEN(P$75&amp;"(IOX)",P$79&amp;"d","Market",AnnReturn,"Swap",CurrentCloseDate,"LMMSkew","",$F90,$G90,$H90,,"Immediate","ParShift|N",Up_25,OASROR,$P$77,,"EFF",,,,0,,,,"Default",,)</f>
        <v>E</v>
      </c>
      <c r="BX90" s="27" t="e">
        <f t="shared" ref="BX90:BX92" si="205">1+(BW90/100)</f>
        <v>#VALUE!</v>
      </c>
      <c r="BY90" s="26" t="str">
        <f>[1]!YBSCEN(P$75&amp;"(IOX)",P$79&amp;"d","Market",AnnReturn,"Swap",CurrentCloseDate,"LMMSkew","",$F90,$G90,$H90,,"Immediate","ParShift|N",Up_25,PriceROR,$P$79,,"EFF",,,,0,,,,"Default",,)</f>
        <v>E</v>
      </c>
      <c r="BZ90" s="27" t="e">
        <f t="shared" ref="BZ90:BZ92" si="206">1+(BY90/100)</f>
        <v>#VALUE!</v>
      </c>
      <c r="CA90" s="26" t="str">
        <f>[1]!YBSCEN(Q$75&amp;"(IOX)",Q$79&amp;"d","Market",AnnReturn,"Swap",CurrentCloseDate,"LMMSkew","",$F90,$G90,$H90,,"Immediate","ParShift|N",Up_25,OASROR,$Q$77,,"EFF",,,,0,,,,"Default",,)</f>
        <v>E</v>
      </c>
      <c r="CB90" s="27" t="e">
        <f t="shared" ref="CB90" si="207">1+(CA90/100)</f>
        <v>#VALUE!</v>
      </c>
      <c r="CC90" s="26" t="str">
        <f>[1]!YBSCEN(Q$75&amp;"(IOX)",Q$79&amp;"d","Market",AnnReturn,"Swap",CurrentCloseDate,"LMMSkew","",$F90,$G90,$H90,,"Immediate","ParShift|N",Up_25,PriceROR,$Q$79,,"EFF",,,,0,,,,"Default",,)</f>
        <v>E</v>
      </c>
      <c r="CD90" s="27" t="e">
        <f t="shared" ref="CD90" si="208">1+(CC90/100)</f>
        <v>#VALUE!</v>
      </c>
      <c r="CE90" s="26" t="str">
        <f>[1]!YBSCEN(R$75&amp;"(IOX)",R$79&amp;"d","Market",AnnReturn,"Swap",CurrentCloseDate,"LMMSkew","",$F90,$G90,$H90,,"Immediate","ParShift|N",Up_25,OASROR,$R$77,,"EFF",,,,0,,,,"Default",,)</f>
        <v>E</v>
      </c>
      <c r="CF90" s="27" t="e">
        <f t="shared" ref="CF90" si="209">1+(CE90/100)</f>
        <v>#VALUE!</v>
      </c>
      <c r="CG90" s="26" t="str">
        <f>[1]!YBSCEN(R$75&amp;"(IOX)",R$79&amp;"d","Market",AnnReturn,"Swap",CurrentCloseDate,"LMMSkew","",$F90,$G90,$H90,,"Immediate","ParShift|N",Up_25,PriceROR,$R$79,,"EFF",,,,0,,,,"Default",,)</f>
        <v>E</v>
      </c>
      <c r="CH90" s="27" t="e">
        <f t="shared" ref="CH90" si="210">1+(CG90/100)</f>
        <v>#VALUE!</v>
      </c>
      <c r="CI90" s="26" t="str">
        <f>[1]!YBSCEN(S$75&amp;"(IOX)",S$79&amp;"d","Market",AnnReturn,"Swap",CurrentCloseDate,"LMMSkew","",$F90,$G90,$H90,,"Immediate","ParShift|N",Up_25,OASROR,$S$77,,"EFF",,,,0,,,,"Default",,)</f>
        <v>E</v>
      </c>
      <c r="CJ90" s="27" t="e">
        <f t="shared" ref="CJ90" si="211">1+(CI90/100)</f>
        <v>#VALUE!</v>
      </c>
      <c r="CK90" s="26" t="str">
        <f>[1]!YBSCEN(S$75&amp;"(IOX)",S$79&amp;"d","Market",AnnReturn,"Swap",CurrentCloseDate,"LMMSkew","",$F90,$G90,$H90,,"Immediate","ParShift|N",Up_25,PriceROR,$S$79,,"EFF",,,,0,,,,"Default",,)</f>
        <v>E</v>
      </c>
      <c r="CL90" s="27" t="e">
        <f t="shared" ref="CL90" si="212">1+(CK90/100)</f>
        <v>#VALUE!</v>
      </c>
      <c r="CM90" s="26" t="str">
        <f>[1]!YBSCEN(T$75&amp;"(IOX)",T$79&amp;"d","Market",AnnReturn,"Swap",CurrentCloseDate,"LMMSkew","",$F90,$G90,$H90,,"Immediate","ParShift|N",Up_25,OASROR,$T$77,,"EFF",,,,0,,,,"Default",,)</f>
        <v>E</v>
      </c>
      <c r="CN90" s="27" t="e">
        <f t="shared" ref="CN90" si="213">1+(CM90/100)</f>
        <v>#VALUE!</v>
      </c>
      <c r="CO90" s="26" t="str">
        <f>[1]!YBSCEN(T$75&amp;"(IOX)",T$79&amp;"d","Market",AnnReturn,"Swap",CurrentCloseDate,"LMMSkew","",$F90,$G90,$H90,,"Immediate","ParShift|N",Up_25,PriceROR,$T$79,,"EFF",,,,0,,,,"Default",,)</f>
        <v>E</v>
      </c>
      <c r="CP90" s="27" t="e">
        <f t="shared" ref="CP90" si="214">1+(CO90/100)</f>
        <v>#VALUE!</v>
      </c>
      <c r="CQ90" s="26" t="str">
        <f>[1]!YBSCEN(U$75&amp;"(IOX)",U$79&amp;"d","Market",AnnReturn,"Swap",CurrentCloseDate,"LMMSkew","",$F90,$G90,$H90,,"Immediate","ParShift|N",Up_25,OASROR,$U$77,,"EFF",,,,0,,,,"Default",,)</f>
        <v>E</v>
      </c>
      <c r="CR90" s="27" t="e">
        <f t="shared" ref="CR90" si="215">1+(CQ90/100)</f>
        <v>#VALUE!</v>
      </c>
      <c r="CS90" s="26" t="str">
        <f>[1]!YBSCEN(U$75&amp;"(IOX)",U$79&amp;"d","Market",AnnReturn,"Swap",CurrentCloseDate,"LMMSkew","",$F90,$G90,$H90,,"Immediate","ParShift|N",Up_25,PriceROR,$U$79,,"EFF",,,,0,,,,"Default",,)</f>
        <v>E</v>
      </c>
      <c r="CT90" s="27" t="e">
        <f t="shared" ref="CT90" si="216">1+(CS90/100)</f>
        <v>#VALUE!</v>
      </c>
      <c r="CU90" s="26" t="str">
        <f>[1]!YBSCEN(V$75&amp;"(IOX)",V$79&amp;"d","Market",AnnReturn,"Swap",CurrentCloseDate,"LMMSkew","",$F90,$G90,$H90,,"Immediate","ParShift|N",Up_25,OASROR,$V$77,,"EFF",,,,0,,,,"Default",,)</f>
        <v>E</v>
      </c>
      <c r="CV90" s="27" t="e">
        <f t="shared" ref="CV90" si="217">1+(CU90/100)</f>
        <v>#VALUE!</v>
      </c>
      <c r="CW90" s="26" t="str">
        <f>[1]!YBSCEN(V$75&amp;"(IOX)",V$79&amp;"d","Market",AnnReturn,"Swap",CurrentCloseDate,"LMMSkew","",$F90,$G90,$H90,,"Immediate","ParShift|N",Up_25,PriceROR,$V$79,,"EFF",,,,0,,,,"Default",,)</f>
        <v>E</v>
      </c>
      <c r="CX90" s="27" t="e">
        <f t="shared" ref="CX90" si="218">1+(CW90/100)</f>
        <v>#VALUE!</v>
      </c>
      <c r="CY90" s="26" t="str">
        <f>[1]!YBSCEN(W$75&amp;"(IOX)",W$79&amp;"d","Market",AnnReturn,"Swap",CurrentCloseDate,"LMMSkew","",$F90,$G90,$H90,,"Immediate","ParShift|N",Up_25,OASROR,$W$77,,"EFF",,,,0,,,,"Default",,)</f>
        <v>E</v>
      </c>
      <c r="CZ90" s="27" t="e">
        <f t="shared" ref="CZ90" si="219">1+(CY90/100)</f>
        <v>#VALUE!</v>
      </c>
      <c r="DA90" s="26" t="str">
        <f>[1]!YBSCEN(W$75&amp;"(IOX)",W$79&amp;"d","Market",AnnReturn,"Swap",CurrentCloseDate,"LMMSkew","",$F90,$G90,$H90,,"Immediate","ParShift|N",Up_25,PriceROR,$W$79,,"EFF",,,,0,,,,"Default",,)</f>
        <v>E</v>
      </c>
      <c r="DB90" s="27" t="e">
        <f t="shared" ref="DB90" si="220">1+(DA90/100)</f>
        <v>#VALUE!</v>
      </c>
      <c r="DC90" s="26" t="str">
        <f>[1]!YBSCEN(X$75&amp;"(IOX)",X$79&amp;"d","Market",AnnReturn,"Swap",CurrentCloseDate,"LMMSkew","",$F90,$G90,$H90,,"Immediate","ParShift|N",Up_25,OASROR,$X$77,,"EFF",,,,0,,,,"Default",,)</f>
        <v>E</v>
      </c>
      <c r="DD90" s="27" t="e">
        <f t="shared" ref="DD90" si="221">1+(DC90/100)</f>
        <v>#VALUE!</v>
      </c>
      <c r="DE90" s="26" t="str">
        <f>[1]!YBSCEN(X$75&amp;"(IOX)",X$79&amp;"d","Market",AnnReturn,"Swap",CurrentCloseDate,"LMMSkew","",$F90,$G90,$H90,,"Immediate","ParShift|N",Up_25,PriceROR,$X$79,,"EFF",,,,0,,,,"Default",,)</f>
        <v>E</v>
      </c>
      <c r="DF90" s="27" t="e">
        <f t="shared" ref="DF90" si="222">1+(DE90/100)</f>
        <v>#VALUE!</v>
      </c>
      <c r="DG90" s="26" t="str">
        <f>[1]!YBSCEN(Y$75&amp;"(IOX)",Y$79&amp;"d","Market",AnnReturn,"Swap",CurrentCloseDate,"LMMSkew","",$F90,$G90,$H90,,"Immediate","ParShift|N",Up_25,OASROR,$Y$77,,"EFF",,,,0,,,,"Default",,)</f>
        <v>E</v>
      </c>
      <c r="DH90" s="27" t="e">
        <f t="shared" ref="DH90" si="223">1+(DG90/100)</f>
        <v>#VALUE!</v>
      </c>
      <c r="DI90" s="26" t="str">
        <f>[1]!YBSCEN(Y$75&amp;"(IOX)",Y$79&amp;"d","Market",AnnReturn,"Swap",CurrentCloseDate,"LMMSkew","",$F90,$G90,$H90,,"Immediate","ParShift|N",Up_25,PriceROR,$Y$79,,"EFF",,,,0,,,,"Default",,)</f>
        <v>E</v>
      </c>
      <c r="DJ90" s="27" t="e">
        <f t="shared" ref="DJ90" si="224">1+(DI90/100)</f>
        <v>#VALUE!</v>
      </c>
      <c r="DK90" s="26" t="str">
        <f>[1]!YBSCEN(Z$75&amp;"(IOX)",Z$79&amp;"d","Market",AnnReturn,"Swap",CurrentCloseDate,"LMMSkew","",$F90,$G90,$H90,,"Immediate","ParShift|N",Up_25,OASROR,$Z$77,,"EFF",,,,0,,,,"Default",,)</f>
        <v>E</v>
      </c>
      <c r="DL90" s="27" t="e">
        <f t="shared" ref="DL90" si="225">1+(DK90/100)</f>
        <v>#VALUE!</v>
      </c>
      <c r="DM90" s="26" t="str">
        <f>[1]!YBSCEN(Z$75&amp;"(IOX)",Z$79&amp;"d","Market",AnnReturn,"Swap",CurrentCloseDate,"LMMSkew","",$F90,$G90,$H90,,"Immediate","ParShift|N",Up_25,PriceROR,$Z$79,,"EFF",,,,0,,,,"Default",,)</f>
        <v>E</v>
      </c>
      <c r="DN90" s="27" t="e">
        <f t="shared" ref="DN90" si="226">1+(DM90/100)</f>
        <v>#VALUE!</v>
      </c>
      <c r="DO90" s="26" t="str">
        <f>[1]!YBSCEN(AA$75&amp;"(IOX)",AA$79&amp;"d","Market",AnnReturn,"Swap",CurrentCloseDate,"LMMSkew","",$F90,$G90,$H90,,"Immediate","ParShift|N",Up_25,OASROR,$AA$77,,"EFF",,,,0,,,,"Default",,)</f>
        <v>E</v>
      </c>
      <c r="DP90" s="27" t="e">
        <f t="shared" ref="DP90" si="227">1+(DO90/100)</f>
        <v>#VALUE!</v>
      </c>
      <c r="DQ90" s="26" t="str">
        <f>[1]!YBSCEN(AA$75&amp;"(IOX)",AA$79&amp;"d","Market",AnnReturn,"Swap",CurrentCloseDate,"LMMSkew","",$F90,$G90,$H90,,"Immediate","ParShift|N",Up_25,PriceROR,$AA$79,,"EFF",,,,0,,,,"Default",,)</f>
        <v>E</v>
      </c>
      <c r="DR90" s="30" t="e">
        <f t="shared" ref="DR90" si="228">1+(DQ90/100)</f>
        <v>#VALUE!</v>
      </c>
      <c r="DS90" s="26" t="str">
        <f>[1]!YBSCEN(AB$75&amp;"(IOX)",AB$79&amp;"d","Market",AnnReturn,"Swap",CurrentCloseDate,"LMMSkew","",$F90,$G90,$H90,,"Immediate","ParShift|N",Up_25,OASROR,$AB$77,,"EFF",,,,0,,,,"Default",,)</f>
        <v>E</v>
      </c>
      <c r="DT90" s="30" t="e">
        <f t="shared" ref="DT90" si="229">1+(DS90/100)</f>
        <v>#VALUE!</v>
      </c>
      <c r="DU90" s="45" t="str">
        <f>[1]!YBSCEN(AB$75&amp;"(IOX)",AB$79&amp;"d","Market",AnnReturn,"Swap",CurrentCloseDate,"LMMSkew","",$F90,$G90,$H90,,"Immediate","ParShift|N",Up_25,PriceROR,$AB$79,,"EFF",,,,0,,,,"Default",,)</f>
        <v>E</v>
      </c>
      <c r="DV90" s="46" t="e">
        <f t="shared" ref="DV90" si="230">1+(DU90/100)</f>
        <v>#VALUE!</v>
      </c>
      <c r="DW90" s="26" t="str">
        <f>[1]!YBSCEN(AC$75&amp;"(IOX)",AC$79&amp;"d","Market",AnnReturn,"Swap",CurrentCloseDate,"LMMSkew","",$F90,$G90,$H90,,"Immediate","ParShift|N",Up_25,OASROR,$AC$77,,"EFF",,,,0,,,,"Default",,)</f>
        <v>E</v>
      </c>
      <c r="DX90" s="30" t="e">
        <f t="shared" ref="DX90" si="231">1+(DW90/100)</f>
        <v>#VALUE!</v>
      </c>
      <c r="DY90" s="45" t="str">
        <f>[1]!YBSCEN(AC$75&amp;"(IOX)",AC$79&amp;"d","Market",AnnReturn,"Swap",CurrentCloseDate,"LMMSkew","",$F90,$G90,$H90,,"Immediate","ParShift|N",Up_25,PriceROR,$AC$79,,"EFF",,,,0,,,,"Default",,)</f>
        <v>E</v>
      </c>
      <c r="DZ90" s="46" t="e">
        <f t="shared" ref="DZ90" si="232">1+(DY90/100)</f>
        <v>#VALUE!</v>
      </c>
      <c r="EA90" s="26" t="str">
        <f>[1]!YBSCEN(AD$75&amp;"(IOX)",AD$79&amp;"d","Market",AnnReturn,"Swap",CurrentCloseDate,"LMMSkew","",$F90,$G90,$H90,,"Immediate","ParShift|N",Up_25,OASROR,$AD$77,,"EFF",,,,0,,,,"Default",,)</f>
        <v>E</v>
      </c>
      <c r="EB90" s="30" t="e">
        <f t="shared" ref="EB90" si="233">1+(EA90/100)</f>
        <v>#VALUE!</v>
      </c>
      <c r="EC90" s="45" t="str">
        <f>[1]!YBSCEN(AD$75&amp;"(IOX)",AD$79&amp;"d","Market",AnnReturn,"Swap",CurrentCloseDate,"LMMSkew","",$F90,$G90,$H90,,"Immediate","ParShift|N",Up_25,PriceROR,$AD$79,,"EFF",,,,0,,,,"Default",,)</f>
        <v>E</v>
      </c>
      <c r="ED90" s="46" t="e">
        <f t="shared" ref="ED90" si="234">1+(EC90/100)</f>
        <v>#VALUE!</v>
      </c>
      <c r="EE90" s="26" t="str">
        <f>[1]!YBSCEN(AE$75&amp;"(IOX)",AE$79&amp;"d","Market",AnnReturn,"Swap",CurrentCloseDate,"LMMSkew","",$F90,$G90,$H90,,"Immediate","ParShift|N",Up_25,OASROR,$AE$77,,"EFF",,,,0,,,,"Default",,)</f>
        <v>E</v>
      </c>
      <c r="EF90" s="30" t="e">
        <f t="shared" ref="EF90" si="235">1+(EE90/100)</f>
        <v>#VALUE!</v>
      </c>
      <c r="EG90" s="45" t="str">
        <f>[1]!YBSCEN(AE$75&amp;"(IOX)",AE$79&amp;"d","Market",AnnReturn,"Swap",CurrentCloseDate,"LMMSkew","",$F90,$G90,$H90,,"Immediate","ParShift|N",Up_25,PriceROR,$AE$79,,"EFF",,,,0,,,,"Default",,)</f>
        <v>E</v>
      </c>
      <c r="EH90" s="46" t="e">
        <f t="shared" ref="EH90" si="236">1+(EG90/100)</f>
        <v>#VALUE!</v>
      </c>
    </row>
    <row r="91" spans="2:138" ht="15" hidden="1" customHeight="1">
      <c r="C91" s="8"/>
      <c r="D91" s="8"/>
      <c r="E91" s="8"/>
      <c r="F91" s="8" t="s">
        <v>35</v>
      </c>
      <c r="G91" s="15">
        <v>100</v>
      </c>
      <c r="H91" s="58">
        <f>H35</f>
        <v>2</v>
      </c>
      <c r="I91" s="32">
        <f>EDATE(CurrentCloseDate, H91)</f>
        <v>42246</v>
      </c>
      <c r="J91" s="37" t="str">
        <f>AY91</f>
        <v>E</v>
      </c>
      <c r="K91" s="36" t="str">
        <f>BC91</f>
        <v>E</v>
      </c>
      <c r="L91" s="37" t="str">
        <f t="shared" ref="L91:L92" si="237">BG91</f>
        <v>E</v>
      </c>
      <c r="M91" s="35" t="str">
        <f>BK91</f>
        <v>E</v>
      </c>
      <c r="N91" s="35" t="str">
        <f>BO91</f>
        <v>E</v>
      </c>
      <c r="O91" s="38" t="str">
        <f>BS91</f>
        <v>E</v>
      </c>
      <c r="P91" s="252" t="str">
        <f t="shared" ref="P91:P92" si="238">BW91</f>
        <v>E</v>
      </c>
      <c r="Q91" s="252" t="str">
        <f>CA91</f>
        <v>E</v>
      </c>
      <c r="R91" s="35" t="str">
        <f>CE91</f>
        <v>E</v>
      </c>
      <c r="S91" s="35" t="str">
        <f>CI91</f>
        <v>E</v>
      </c>
      <c r="T91" s="36" t="str">
        <f>CM91</f>
        <v>E</v>
      </c>
      <c r="U91" s="37" t="str">
        <f>CQ91</f>
        <v>E</v>
      </c>
      <c r="V91" s="35" t="str">
        <f>CU91</f>
        <v>E</v>
      </c>
      <c r="W91" s="38" t="str">
        <f>CY91</f>
        <v>E</v>
      </c>
      <c r="X91" s="252" t="str">
        <f>DC91</f>
        <v>E</v>
      </c>
      <c r="Y91" s="36" t="str">
        <f>DG91</f>
        <v>E</v>
      </c>
      <c r="Z91" s="258" t="str">
        <f>DK91</f>
        <v>E</v>
      </c>
      <c r="AA91" s="258" t="str">
        <f>DO91</f>
        <v>E</v>
      </c>
      <c r="AB91" s="255" t="str">
        <f>DS91</f>
        <v>E</v>
      </c>
      <c r="AC91" s="37" t="str">
        <f>DW91</f>
        <v>E</v>
      </c>
      <c r="AD91" s="35" t="str">
        <f>EA91</f>
        <v>E</v>
      </c>
      <c r="AE91" s="38" t="str">
        <f>EE91</f>
        <v>E</v>
      </c>
      <c r="AY91" s="28" t="str">
        <f>[1]!YBSCEN(J$75&amp;"(IOX)",J$79&amp;"d","Market",AnnReturn,"Swap",CurrentCloseDate,"LMMSkew","",$F91,$G91,$H91,,"Immediate","ParShift|N",Up_25,OASROR,$J$77,,"EFF",,,,0,,,,"Default",,)</f>
        <v>E</v>
      </c>
      <c r="AZ91" s="29" t="e">
        <f t="shared" ref="AZ91:AZ92" si="239">1+(AY91/100)</f>
        <v>#VALUE!</v>
      </c>
      <c r="BA91" s="28" t="str">
        <f>[1]!YBSCEN(J$75&amp;"(IOX)",J$79&amp;"d","Market",AnnReturn,"Swap",CurrentCloseDate,"LMMSkew","",$F91,$G91,$H91,,"Immediate","ParShift|N",Up_25,PriceROR,$J$79,,"EFF",,,,0,,,,"Default",,)</f>
        <v>E</v>
      </c>
      <c r="BB91" s="29" t="e">
        <f t="shared" ref="BB91:BB92" si="240">1+(BA91/100)</f>
        <v>#VALUE!</v>
      </c>
      <c r="BC91" s="28" t="str">
        <f>[1]!YBSCEN(K$75&amp;"(IOX)",K$79&amp;"d","Market",AnnReturn,"Swap",CurrentCloseDate,"LMMSkew","",$F91,$G91,$H91,,"Immediate","ParShift|N",Up_25,OASROR,$K$77,,"EFF",,,,0,,,,"Default",,)</f>
        <v>E</v>
      </c>
      <c r="BD91" s="29" t="e">
        <f t="shared" ref="BD91:BD92" si="241">1+(BC91/100)</f>
        <v>#VALUE!</v>
      </c>
      <c r="BE91" s="28" t="str">
        <f>[1]!YBSCEN(K$75&amp;"(IOX)",K$79&amp;"d","Market",AnnReturn,"Swap",CurrentCloseDate,"LMMSkew","",$F91,$G91,$H91,,"Immediate","ParShift|N",Up_25,PriceROR,$K$79,,"EFF",,,,0,,,,"Default",,)</f>
        <v>E</v>
      </c>
      <c r="BF91" s="31" t="e">
        <f t="shared" ref="BF91:BF92" si="242">1+(BE91/100)</f>
        <v>#VALUE!</v>
      </c>
      <c r="BG91" s="28" t="str">
        <f>[1]!YBSCEN(L$75&amp;"(IOX)",L$79&amp;"d","Market",AnnReturn,"Swap",CurrentCloseDate,"LMMSkew","",$F91,$G91,$H91,,"Immediate","ParShift|N",Up_25,OASROR,$L$77,,"EFF",,,,0,,,,"Default",,)</f>
        <v>E</v>
      </c>
      <c r="BH91" s="29" t="e">
        <f t="shared" si="201"/>
        <v>#VALUE!</v>
      </c>
      <c r="BI91" s="28" t="str">
        <f>[1]!YBSCEN(L$75&amp;"(IOX)",L$79&amp;"d","Market",AnnReturn,"Swap",CurrentCloseDate,"LMMSkew","",$F91,$G91,$H91,,"Immediate","ParShift|N",Up_25,PriceROR,$L$79,,"EFF",,,,0,,,,"Default",,)</f>
        <v>E</v>
      </c>
      <c r="BJ91" s="31" t="e">
        <f t="shared" si="202"/>
        <v>#VALUE!</v>
      </c>
      <c r="BK91" s="28" t="str">
        <f>[1]!YBSCEN(M$75&amp;"(IOX)",M$79&amp;"d","Market",AnnReturn,"Swap",CurrentCloseDate,"LMMSkew","",$F91,$G91,$H91,,"Immediate","ParShift|N",Up_25,OASROR,$M$77,,"EFF",,,,0,,,,"Default",,)</f>
        <v>E</v>
      </c>
      <c r="BL91" s="29" t="e">
        <f t="shared" ref="BL91:BL92" si="243">1+(BK91/100)</f>
        <v>#VALUE!</v>
      </c>
      <c r="BM91" s="28" t="str">
        <f>[1]!YBSCEN(M$75&amp;"(IOX)",M$79&amp;"d","Market",AnnReturn,"Swap",CurrentCloseDate,"LMMSkew","",$F91,$G91,$H91,,"Immediate","ParShift|N",Up_25,PriceROR,$M$79,,"EFF",,,,0,,,,"Default",,)</f>
        <v>E</v>
      </c>
      <c r="BN91" s="31" t="e">
        <f t="shared" ref="BN91:BN92" si="244">1+(BM91/100)</f>
        <v>#VALUE!</v>
      </c>
      <c r="BO91" s="28" t="str">
        <f>[1]!YBSCEN(N$75&amp;"(IOX)",N$79&amp;"d","Market",AnnReturn,"Swap",CurrentCloseDate,"LMMSkew","",$F91,$G91,$H91,,"Immediate","ParShift|N",Up_25,OASROR,$N$77,,"EFF",,,,0,,,,"Default",,)</f>
        <v>E</v>
      </c>
      <c r="BP91" s="29" t="e">
        <f t="shared" ref="BP91:BP92" si="245">1+(BO91/100)</f>
        <v>#VALUE!</v>
      </c>
      <c r="BQ91" s="28" t="str">
        <f>[1]!YBSCEN(N$75&amp;"(IOX)",N$79&amp;"d","Market",AnnReturn,"Swap",CurrentCloseDate,"LMMSkew","",$F91,$G91,$H91,,"Immediate","ParShift|N",Up_25,PriceROR,$N$79,,"EFF",,,,0,,,,"Default",,)</f>
        <v>E</v>
      </c>
      <c r="BR91" s="31" t="e">
        <f t="shared" ref="BR91:BR92" si="246">1+(BQ91/100)</f>
        <v>#VALUE!</v>
      </c>
      <c r="BS91" s="29" t="str">
        <f>[1]!YBSCEN(O$75&amp;"(IOX)",O$79&amp;"d","Market",AnnReturn,"Swap",CurrentCloseDate,"LMMSkew","",$F91,$G91,$H91,,"Immediate","ParShift|N",Up_25,OASROR,$O$77,,"EFF",,,,0,,,,"Default",,)</f>
        <v>E</v>
      </c>
      <c r="BT91" s="29" t="e">
        <f t="shared" ref="BT91:BT92" si="247">1+(BS91/100)</f>
        <v>#VALUE!</v>
      </c>
      <c r="BU91" s="28" t="str">
        <f>[1]!YBSCEN(O$75&amp;"(IOX)",O$79&amp;"d","Market",AnnReturn,"Swap",CurrentCloseDate,"LMMSkew","",$F91,$G91,$H91,,"Immediate","ParShift|N",Up_25,PriceROR,$O$79,,"EFF",,,,0,,,,"Default",,)</f>
        <v>E</v>
      </c>
      <c r="BV91" s="29" t="e">
        <f t="shared" ref="BV91:BV92" si="248">1+(BU91/100)</f>
        <v>#VALUE!</v>
      </c>
      <c r="BW91" s="28" t="str">
        <f>[1]!YBSCEN(P$75&amp;"(IOX)",P$79&amp;"d","Market",AnnReturn,"Swap",CurrentCloseDate,"LMMSkew","",$F91,$G91,$H91,,"Immediate","ParShift|N",Up_25,OASROR,$P$77,,"EFF",,,,0,,,,"Default",,)</f>
        <v>E</v>
      </c>
      <c r="BX91" s="29" t="e">
        <f t="shared" si="205"/>
        <v>#VALUE!</v>
      </c>
      <c r="BY91" s="28" t="str">
        <f>[1]!YBSCEN(P$75&amp;"(IOX)",P$79&amp;"d","Market",AnnReturn,"Swap",CurrentCloseDate,"LMMSkew","",$F91,$G91,$H91,,"Immediate","ParShift|N",Up_25,PriceROR,$P$79,,"EFF",,,,0,,,,"Default",,)</f>
        <v>E</v>
      </c>
      <c r="BZ91" s="29" t="e">
        <f t="shared" si="206"/>
        <v>#VALUE!</v>
      </c>
      <c r="CA91" s="28" t="str">
        <f>[1]!YBSCEN(Q$75&amp;"(IOX)",Q$79&amp;"d","Market",AnnReturn,"Swap",CurrentCloseDate,"LMMSkew","",$F91,$G91,$H91,,"Immediate","ParShift|N",Up_25,OASROR,$Q$77,,"EFF",,,,0,,,,"Default",,)</f>
        <v>E</v>
      </c>
      <c r="CB91" s="29" t="e">
        <f t="shared" ref="CB91:CB92" si="249">1+(CA91/100)</f>
        <v>#VALUE!</v>
      </c>
      <c r="CC91" s="28" t="str">
        <f>[1]!YBSCEN(Q$75&amp;"(IOX)",Q$79&amp;"d","Market",AnnReturn,"Swap",CurrentCloseDate,"LMMSkew","",$F91,$G91,$H91,,"Immediate","ParShift|N",Up_25,PriceROR,$Q$79,,"EFF",,,,0,,,,"Default",,)</f>
        <v>E</v>
      </c>
      <c r="CD91" s="29" t="e">
        <f t="shared" ref="CD91:CD92" si="250">1+(CC91/100)</f>
        <v>#VALUE!</v>
      </c>
      <c r="CE91" s="28" t="str">
        <f>[1]!YBSCEN(R$75&amp;"(IOX)",R$79&amp;"d","Market",AnnReturn,"Swap",CurrentCloseDate,"LMMSkew","",$F91,$G91,$H91,,"Immediate","ParShift|N",Up_25,OASROR,$R$77,,"EFF",,,,0,,,,"Default",,)</f>
        <v>E</v>
      </c>
      <c r="CF91" s="29" t="e">
        <f t="shared" ref="CF91:CF92" si="251">1+(CE91/100)</f>
        <v>#VALUE!</v>
      </c>
      <c r="CG91" s="28" t="str">
        <f>[1]!YBSCEN(R$75&amp;"(IOX)",R$79&amp;"d","Market",AnnReturn,"Swap",CurrentCloseDate,"LMMSkew","",$F91,$G91,$H91,,"Immediate","ParShift|N",Up_25,PriceROR,$R$79,,"EFF",,,,0,,,,"Default",,)</f>
        <v>E</v>
      </c>
      <c r="CH91" s="29" t="e">
        <f t="shared" ref="CH91:CH92" si="252">1+(CG91/100)</f>
        <v>#VALUE!</v>
      </c>
      <c r="CI91" s="28" t="str">
        <f>[1]!YBSCEN(S$75&amp;"(IOX)",S$79&amp;"d","Market",AnnReturn,"Swap",CurrentCloseDate,"LMMSkew","",$F91,$G91,$H91,,"Immediate","ParShift|N",Up_25,OASROR,$S$77,,"EFF",,,,0,,,,"Default",,)</f>
        <v>E</v>
      </c>
      <c r="CJ91" s="29" t="e">
        <f t="shared" ref="CJ91:CJ92" si="253">1+(CI91/100)</f>
        <v>#VALUE!</v>
      </c>
      <c r="CK91" s="28" t="str">
        <f>[1]!YBSCEN(S$75&amp;"(IOX)",S$79&amp;"d","Market",AnnReturn,"Swap",CurrentCloseDate,"LMMSkew","",$F91,$G91,$H91,,"Immediate","ParShift|N",Up_25,PriceROR,$S$79,,"EFF",,,,0,,,,"Default",,)</f>
        <v>E</v>
      </c>
      <c r="CL91" s="29" t="e">
        <f t="shared" ref="CL91:CL92" si="254">1+(CK91/100)</f>
        <v>#VALUE!</v>
      </c>
      <c r="CM91" s="28" t="str">
        <f>[1]!YBSCEN(T$75&amp;"(IOX)",T$79&amp;"d","Market",AnnReturn,"Swap",CurrentCloseDate,"LMMSkew","",$F91,$G91,$H91,,"Immediate","ParShift|N",Up_25,OASROR,$T$77,,"EFF",,,,0,,,,"Default",,)</f>
        <v>E</v>
      </c>
      <c r="CN91" s="29" t="e">
        <f t="shared" ref="CN91:CN92" si="255">1+(CM91/100)</f>
        <v>#VALUE!</v>
      </c>
      <c r="CO91" s="28" t="str">
        <f>[1]!YBSCEN(T$75&amp;"(IOX)",T$79&amp;"d","Market",AnnReturn,"Swap",CurrentCloseDate,"LMMSkew","",$F91,$G91,$H91,,"Immediate","ParShift|N",Up_25,PriceROR,$T$79,,"EFF",,,,0,,,,"Default",,)</f>
        <v>E</v>
      </c>
      <c r="CP91" s="29" t="e">
        <f t="shared" ref="CP91:CP92" si="256">1+(CO91/100)</f>
        <v>#VALUE!</v>
      </c>
      <c r="CQ91" s="28" t="str">
        <f>[1]!YBSCEN(U$75&amp;"(IOX)",U$79&amp;"d","Market",AnnReturn,"Swap",CurrentCloseDate,"LMMSkew","",$F91,$G91,$H91,,"Immediate","ParShift|N",Up_25,OASROR,$U$77,,"EFF",,,,0,,,,"Default",,)</f>
        <v>E</v>
      </c>
      <c r="CR91" s="29" t="e">
        <f t="shared" ref="CR91:CR92" si="257">1+(CQ91/100)</f>
        <v>#VALUE!</v>
      </c>
      <c r="CS91" s="28" t="str">
        <f>[1]!YBSCEN(U$75&amp;"(IOX)",U$79&amp;"d","Market",AnnReturn,"Swap",CurrentCloseDate,"LMMSkew","",$F91,$G91,$H91,,"Immediate","ParShift|N",Up_25,PriceROR,$U$79,,"EFF",,,,0,,,,"Default",,)</f>
        <v>E</v>
      </c>
      <c r="CT91" s="29" t="e">
        <f t="shared" ref="CT91:CT92" si="258">1+(CS91/100)</f>
        <v>#VALUE!</v>
      </c>
      <c r="CU91" s="28" t="str">
        <f>[1]!YBSCEN(V$75&amp;"(IOX)",V$79&amp;"d","Market",AnnReturn,"Swap",CurrentCloseDate,"LMMSkew","",$F91,$G91,$H91,,"Immediate","ParShift|N",Up_25,OASROR,$V$77,,"EFF",,,,0,,,,"Default",,)</f>
        <v>E</v>
      </c>
      <c r="CV91" s="29" t="e">
        <f t="shared" ref="CV91:CV92" si="259">1+(CU91/100)</f>
        <v>#VALUE!</v>
      </c>
      <c r="CW91" s="28" t="str">
        <f>[1]!YBSCEN(V$75&amp;"(IOX)",V$79&amp;"d","Market",AnnReturn,"Swap",CurrentCloseDate,"LMMSkew","",$F91,$G91,$H91,,"Immediate","ParShift|N",Up_25,PriceROR,$V$79,,"EFF",,,,0,,,,"Default",,)</f>
        <v>E</v>
      </c>
      <c r="CX91" s="29" t="e">
        <f t="shared" ref="CX91:CX92" si="260">1+(CW91/100)</f>
        <v>#VALUE!</v>
      </c>
      <c r="CY91" s="28" t="str">
        <f>[1]!YBSCEN(W$75&amp;"(IOX)",W$79&amp;"d","Market",AnnReturn,"Swap",CurrentCloseDate,"LMMSkew","",$F91,$G91,$H91,,"Immediate","ParShift|N",Up_25,OASROR,$W$77,,"EFF",,,,0,,,,"Default",,)</f>
        <v>E</v>
      </c>
      <c r="CZ91" s="29" t="e">
        <f t="shared" ref="CZ91:CZ92" si="261">1+(CY91/100)</f>
        <v>#VALUE!</v>
      </c>
      <c r="DA91" s="28" t="str">
        <f>[1]!YBSCEN(W$75&amp;"(IOX)",W$79&amp;"d","Market",AnnReturn,"Swap",CurrentCloseDate,"LMMSkew","",$F91,$G91,$H91,,"Immediate","ParShift|N",Up_25,PriceROR,$W$79,,"EFF",,,,0,,,,"Default",,)</f>
        <v>E</v>
      </c>
      <c r="DB91" s="29" t="e">
        <f t="shared" ref="DB91:DB92" si="262">1+(DA91/100)</f>
        <v>#VALUE!</v>
      </c>
      <c r="DC91" s="28" t="str">
        <f>[1]!YBSCEN(X$75&amp;"(IOX)",X$79&amp;"d","Market",AnnReturn,"Swap",CurrentCloseDate,"LMMSkew","",$F91,$G91,$H91,,"Immediate","ParShift|N",Up_25,OASROR,$X$77,,"EFF",,,,0,,,,"Default",,)</f>
        <v>E</v>
      </c>
      <c r="DD91" s="29" t="e">
        <f t="shared" ref="DD91:DD92" si="263">1+(DC91/100)</f>
        <v>#VALUE!</v>
      </c>
      <c r="DE91" s="28" t="str">
        <f>[1]!YBSCEN(X$75&amp;"(IOX)",X$79&amp;"d","Market",AnnReturn,"Swap",CurrentCloseDate,"LMMSkew","",$F91,$G91,$H91,,"Immediate","ParShift|N",Up_25,PriceROR,$X$79,,"EFF",,,,0,,,,"Default",,)</f>
        <v>E</v>
      </c>
      <c r="DF91" s="29" t="e">
        <f t="shared" ref="DF91:DF92" si="264">1+(DE91/100)</f>
        <v>#VALUE!</v>
      </c>
      <c r="DG91" s="28" t="str">
        <f>[1]!YBSCEN(Y$75&amp;"(IOX)",Y$79&amp;"d","Market",AnnReturn,"Swap",CurrentCloseDate,"LMMSkew","",$F91,$G91,$H91,,"Immediate","ParShift|N",Up_25,OASROR,$Y$77,,"EFF",,,,0,,,,"Default",,)</f>
        <v>E</v>
      </c>
      <c r="DH91" s="29" t="e">
        <f t="shared" ref="DH91:DH92" si="265">1+(DG91/100)</f>
        <v>#VALUE!</v>
      </c>
      <c r="DI91" s="28" t="str">
        <f>[1]!YBSCEN(Y$75&amp;"(IOX)",Y$79&amp;"d","Market",AnnReturn,"Swap",CurrentCloseDate,"LMMSkew","",$F91,$G91,$H91,,"Immediate","ParShift|N",Up_25,PriceROR,$Y$79,,"EFF",,,,0,,,,"Default",,)</f>
        <v>E</v>
      </c>
      <c r="DJ91" s="29" t="e">
        <f t="shared" ref="DJ91:DJ92" si="266">1+(DI91/100)</f>
        <v>#VALUE!</v>
      </c>
      <c r="DK91" s="28" t="str">
        <f>[1]!YBSCEN(Z$75&amp;"(IOX)",Z$79&amp;"d","Market",AnnReturn,"Swap",CurrentCloseDate,"LMMSkew","",$F91,$G91,$H91,,"Immediate","ParShift|N",Up_25,OASROR,$Z$77,,"EFF",,,,0,,,,"Default",,)</f>
        <v>E</v>
      </c>
      <c r="DL91" s="29" t="e">
        <f t="shared" ref="DL91:DL92" si="267">1+(DK91/100)</f>
        <v>#VALUE!</v>
      </c>
      <c r="DM91" s="28" t="str">
        <f>[1]!YBSCEN(Z$75&amp;"(IOX)",Z$79&amp;"d","Market",AnnReturn,"Swap",CurrentCloseDate,"LMMSkew","",$F91,$G91,$H91,,"Immediate","ParShift|N",Up_25,PriceROR,$Z$79,,"EFF",,,,0,,,,"Default",,)</f>
        <v>E</v>
      </c>
      <c r="DN91" s="29" t="e">
        <f t="shared" ref="DN91:DN92" si="268">1+(DM91/100)</f>
        <v>#VALUE!</v>
      </c>
      <c r="DO91" s="28" t="str">
        <f>[1]!YBSCEN(AA$75&amp;"(IOX)",AA$79&amp;"d","Market",AnnReturn,"Swap",CurrentCloseDate,"LMMSkew","",$F91,$G91,$H91,,"Immediate","ParShift|N",Up_25,OASROR,$AA$77,,"EFF",,,,0,,,,"Default",,)</f>
        <v>E</v>
      </c>
      <c r="DP91" s="29" t="e">
        <f t="shared" ref="DP91:DP92" si="269">1+(DO91/100)</f>
        <v>#VALUE!</v>
      </c>
      <c r="DQ91" s="28" t="str">
        <f>[1]!YBSCEN(AA$75&amp;"(IOX)",AA$79&amp;"d","Market",AnnReturn,"Swap",CurrentCloseDate,"LMMSkew","",$F91,$G91,$H91,,"Immediate","ParShift|N",Up_25,PriceROR,$AA$79,,"EFF",,,,0,,,,"Default",,)</f>
        <v>E</v>
      </c>
      <c r="DR91" s="31" t="e">
        <f t="shared" ref="DR91:DR92" si="270">1+(DQ91/100)</f>
        <v>#VALUE!</v>
      </c>
      <c r="DS91" s="28" t="str">
        <f>[1]!YBSCEN(AB$75&amp;"(IOX)",AB$79&amp;"d","Market",AnnReturn,"Swap",CurrentCloseDate,"LMMSkew","",$F91,$G91,$H91,,"Immediate","ParShift|N",Up_25,OASROR,$AB$77,,"EFF",,,,0,,,,"Default",,)</f>
        <v>E</v>
      </c>
      <c r="DT91" s="31" t="e">
        <f t="shared" ref="DT91:DT92" si="271">1+(DS91/100)</f>
        <v>#VALUE!</v>
      </c>
      <c r="DU91" s="47" t="str">
        <f>[1]!YBSCEN(AB$75&amp;"(IOX)",AB$79&amp;"d","Market",AnnReturn,"Swap",CurrentCloseDate,"LMMSkew","",$F91,$G91,$H91,,"Immediate","ParShift|N",Up_25,PriceROR,$AB$79,,"EFF",,,,0,,,,"Default",,)</f>
        <v>E</v>
      </c>
      <c r="DV91" s="48" t="e">
        <f t="shared" ref="DV91:DV92" si="272">1+(DU91/100)</f>
        <v>#VALUE!</v>
      </c>
      <c r="DW91" s="28" t="str">
        <f>[1]!YBSCEN(AC$75&amp;"(IOX)",AC$79&amp;"d","Market",AnnReturn,"Swap",CurrentCloseDate,"LMMSkew","",$F91,$G91,$H91,,"Immediate","ParShift|N",Up_25,OASROR,$AC$77,,"EFF",,,,0,,,,"Default",,)</f>
        <v>E</v>
      </c>
      <c r="DX91" s="31" t="e">
        <f t="shared" ref="DX91:DX92" si="273">1+(DW91/100)</f>
        <v>#VALUE!</v>
      </c>
      <c r="DY91" s="47" t="str">
        <f>[1]!YBSCEN(AC$75&amp;"(IOX)",AC$79&amp;"d","Market",AnnReturn,"Swap",CurrentCloseDate,"LMMSkew","",$F91,$G91,$H91,,"Immediate","ParShift|N",Up_25,PriceROR,$AC$79,,"EFF",,,,0,,,,"Default",,)</f>
        <v>E</v>
      </c>
      <c r="DZ91" s="48" t="e">
        <f t="shared" ref="DZ91:DZ92" si="274">1+(DY91/100)</f>
        <v>#VALUE!</v>
      </c>
      <c r="EA91" s="28" t="str">
        <f>[1]!YBSCEN(AD$75&amp;"(IOX)",AD$79&amp;"d","Market",AnnReturn,"Swap",CurrentCloseDate,"LMMSkew","",$F91,$G91,$H91,,"Immediate","ParShift|N",Up_25,OASROR,$AD$77,,"EFF",,,,0,,,,"Default",,)</f>
        <v>E</v>
      </c>
      <c r="EB91" s="31" t="e">
        <f t="shared" ref="EB91:EB92" si="275">1+(EA91/100)</f>
        <v>#VALUE!</v>
      </c>
      <c r="EC91" s="47" t="str">
        <f>[1]!YBSCEN(AD$75&amp;"(IOX)",AD$79&amp;"d","Market",AnnReturn,"Swap",CurrentCloseDate,"LMMSkew","",$F91,$G91,$H91,,"Immediate","ParShift|N",Up_25,PriceROR,$AD$79,,"EFF",,,,0,,,,"Default",,)</f>
        <v>E</v>
      </c>
      <c r="ED91" s="48" t="e">
        <f t="shared" ref="ED91:ED92" si="276">1+(EC91/100)</f>
        <v>#VALUE!</v>
      </c>
      <c r="EE91" s="28" t="str">
        <f>[1]!YBSCEN(AE$75&amp;"(IOX)",AE$79&amp;"d","Market",AnnReturn,"Swap",CurrentCloseDate,"LMMSkew","",$F91,$G91,$H91,,"Immediate","ParShift|N",Up_25,OASROR,$AE$77,,"EFF",,,,0,,,,"Default",,)</f>
        <v>E</v>
      </c>
      <c r="EF91" s="31" t="e">
        <f t="shared" ref="EF91:EF92" si="277">1+(EE91/100)</f>
        <v>#VALUE!</v>
      </c>
      <c r="EG91" s="47" t="str">
        <f>[1]!YBSCEN(AE$75&amp;"(IOX)",AE$79&amp;"d","Market",AnnReturn,"Swap",CurrentCloseDate,"LMMSkew","",$F91,$G91,$H91,,"Immediate","ParShift|N",Up_25,PriceROR,$AE$79,,"EFF",,,,0,,,,"Default",,)</f>
        <v>E</v>
      </c>
      <c r="EH91" s="48" t="e">
        <f t="shared" ref="EH91:EH92" si="278">1+(EG91/100)</f>
        <v>#VALUE!</v>
      </c>
    </row>
    <row r="92" spans="2:138" ht="15" hidden="1">
      <c r="F92" s="8" t="s">
        <v>35</v>
      </c>
      <c r="G92" s="15">
        <v>100</v>
      </c>
      <c r="H92" s="59">
        <f>H36</f>
        <v>3</v>
      </c>
      <c r="I92" s="33">
        <f>EDATE(CurrentCloseDate, H92)</f>
        <v>42277</v>
      </c>
      <c r="J92" s="39" t="str">
        <f>AY92</f>
        <v>E</v>
      </c>
      <c r="K92" s="41" t="str">
        <f>BC92</f>
        <v>E</v>
      </c>
      <c r="L92" s="39" t="str">
        <f t="shared" si="237"/>
        <v>E</v>
      </c>
      <c r="M92" s="40" t="str">
        <f>BK92</f>
        <v>E</v>
      </c>
      <c r="N92" s="40" t="str">
        <f>BO92</f>
        <v>E</v>
      </c>
      <c r="O92" s="42" t="str">
        <f>BS92</f>
        <v>E</v>
      </c>
      <c r="P92" s="253" t="str">
        <f t="shared" si="238"/>
        <v>E</v>
      </c>
      <c r="Q92" s="253" t="str">
        <f>CA92</f>
        <v>E</v>
      </c>
      <c r="R92" s="40" t="str">
        <f>CE92</f>
        <v>E</v>
      </c>
      <c r="S92" s="40" t="str">
        <f>CI92</f>
        <v>E</v>
      </c>
      <c r="T92" s="41" t="str">
        <f>CM92</f>
        <v>E</v>
      </c>
      <c r="U92" s="39" t="str">
        <f>CQ92</f>
        <v>E</v>
      </c>
      <c r="V92" s="40" t="str">
        <f>CU92</f>
        <v>E</v>
      </c>
      <c r="W92" s="42" t="str">
        <f>CY92</f>
        <v>E</v>
      </c>
      <c r="X92" s="253" t="str">
        <f>DC92</f>
        <v>E</v>
      </c>
      <c r="Y92" s="41" t="str">
        <f>DG92</f>
        <v>E</v>
      </c>
      <c r="Z92" s="259" t="str">
        <f>DK92</f>
        <v>E</v>
      </c>
      <c r="AA92" s="259" t="str">
        <f>DO92</f>
        <v>E</v>
      </c>
      <c r="AB92" s="256" t="str">
        <f>DS92</f>
        <v>E</v>
      </c>
      <c r="AC92" s="39" t="str">
        <f>DW92</f>
        <v>E</v>
      </c>
      <c r="AD92" s="40" t="str">
        <f>EA92</f>
        <v>E</v>
      </c>
      <c r="AE92" s="42" t="str">
        <f>EE92</f>
        <v>E</v>
      </c>
      <c r="AY92" s="28" t="str">
        <f>[1]!YBSCEN(J$75&amp;"(IOX)",J$79&amp;"d","Market",AnnReturn,"Swap",CurrentCloseDate,"LMMSkew","",$F92,$G92,$H92,,"Immediate","ParShift|N",Up_25,OASROR,$J$77,,"EFF",,,,0,,,,"Default",,)</f>
        <v>E</v>
      </c>
      <c r="AZ92" s="29" t="e">
        <f t="shared" si="239"/>
        <v>#VALUE!</v>
      </c>
      <c r="BA92" s="28" t="str">
        <f>[1]!YBSCEN(J$75&amp;"(IOX)",J$79&amp;"d","Market",AnnReturn,"Swap",CurrentCloseDate,"LMMSkew","",$F92,$G92,$H92,,"Immediate","ParShift|N",Up_25,PriceROR,$J$79,,"EFF",,,,0,,,,"Default",,)</f>
        <v>E</v>
      </c>
      <c r="BB92" s="29" t="e">
        <f t="shared" si="240"/>
        <v>#VALUE!</v>
      </c>
      <c r="BC92" s="28" t="str">
        <f>[1]!YBSCEN(K$75&amp;"(IOX)",K$79&amp;"d","Market",AnnReturn,"Swap",CurrentCloseDate,"LMMSkew","",$F92,$G92,$H92,,"Immediate","ParShift|N",Up_25,OASROR,$K$77,,"EFF",,,,0,,,,"Default",,)</f>
        <v>E</v>
      </c>
      <c r="BD92" s="29" t="e">
        <f t="shared" si="241"/>
        <v>#VALUE!</v>
      </c>
      <c r="BE92" s="28" t="str">
        <f>[1]!YBSCEN(K$75&amp;"(IOX)",K$79&amp;"d","Market",AnnReturn,"Swap",CurrentCloseDate,"LMMSkew","",$F92,$G92,$H92,,"Immediate","ParShift|N",Up_25,PriceROR,$K$79,,"EFF",,,,0,,,,"Default",,)</f>
        <v>E</v>
      </c>
      <c r="BF92" s="31" t="e">
        <f t="shared" si="242"/>
        <v>#VALUE!</v>
      </c>
      <c r="BG92" s="28" t="str">
        <f>[1]!YBSCEN(L$75&amp;"(IOX)",L$79&amp;"d","Market",AnnReturn,"Swap",CurrentCloseDate,"LMMSkew","",$F92,$G92,$H92,,"Immediate","ParShift|N",Up_25,OASROR,$L$77,,"EFF",,,,0,,,,"Default",,)</f>
        <v>E</v>
      </c>
      <c r="BH92" s="29" t="e">
        <f t="shared" si="201"/>
        <v>#VALUE!</v>
      </c>
      <c r="BI92" s="28" t="str">
        <f>[1]!YBSCEN(L$75&amp;"(IOX)",L$79&amp;"d","Market",AnnReturn,"Swap",CurrentCloseDate,"LMMSkew","",$F92,$G92,$H92,,"Immediate","ParShift|N",Up_25,PriceROR,$L$79,,"EFF",,,,0,,,,"Default",,)</f>
        <v>E</v>
      </c>
      <c r="BJ92" s="31" t="e">
        <f t="shared" si="202"/>
        <v>#VALUE!</v>
      </c>
      <c r="BK92" s="28" t="str">
        <f>[1]!YBSCEN(M$75&amp;"(IOX)",M$79&amp;"d","Market",AnnReturn,"Swap",CurrentCloseDate,"LMMSkew","",$F92,$G92,$H92,,"Immediate","ParShift|N",Up_25,OASROR,$M$77,,"EFF",,,,0,,,,"Default",,)</f>
        <v>E</v>
      </c>
      <c r="BL92" s="29" t="e">
        <f t="shared" si="243"/>
        <v>#VALUE!</v>
      </c>
      <c r="BM92" s="28" t="str">
        <f>[1]!YBSCEN(M$75&amp;"(IOX)",M$79&amp;"d","Market",AnnReturn,"Swap",CurrentCloseDate,"LMMSkew","",$F92,$G92,$H92,,"Immediate","ParShift|N",Up_25,PriceROR,$M$79,,"EFF",,,,0,,,,"Default",,)</f>
        <v>E</v>
      </c>
      <c r="BN92" s="31" t="e">
        <f t="shared" si="244"/>
        <v>#VALUE!</v>
      </c>
      <c r="BO92" s="28" t="str">
        <f>[1]!YBSCEN(N$75&amp;"(IOX)",N$79&amp;"d","Market",AnnReturn,"Swap",CurrentCloseDate,"LMMSkew","",$F92,$G92,$H92,,"Immediate","ParShift|N",Up_25,OASROR,$N$77,,"EFF",,,,0,,,,"Default",,)</f>
        <v>E</v>
      </c>
      <c r="BP92" s="29" t="e">
        <f t="shared" si="245"/>
        <v>#VALUE!</v>
      </c>
      <c r="BQ92" s="28" t="str">
        <f>[1]!YBSCEN(N$75&amp;"(IOX)",N$79&amp;"d","Market",AnnReturn,"Swap",CurrentCloseDate,"LMMSkew","",$F92,$G92,$H92,,"Immediate","ParShift|N",Up_25,PriceROR,$N$79,,"EFF",,,,0,,,,"Default",,)</f>
        <v>E</v>
      </c>
      <c r="BR92" s="31" t="e">
        <f t="shared" si="246"/>
        <v>#VALUE!</v>
      </c>
      <c r="BS92" s="29" t="str">
        <f>[1]!YBSCEN(O$75&amp;"(IOX)",O$79&amp;"d","Market",AnnReturn,"Swap",CurrentCloseDate,"LMMSkew","",$F92,$G92,$H92,,"Immediate","ParShift|N",Up_25,OASROR,$O$77,,"EFF",,,,0,,,,"Default",,)</f>
        <v>E</v>
      </c>
      <c r="BT92" s="29" t="e">
        <f t="shared" si="247"/>
        <v>#VALUE!</v>
      </c>
      <c r="BU92" s="28" t="str">
        <f>[1]!YBSCEN(O$75&amp;"(IOX)",O$79&amp;"d","Market",AnnReturn,"Swap",CurrentCloseDate,"LMMSkew","",$F92,$G92,$H92,,"Immediate","ParShift|N",Up_25,PriceROR,$O$79,,"EFF",,,,0,,,,"Default",,)</f>
        <v>E</v>
      </c>
      <c r="BV92" s="29" t="e">
        <f t="shared" si="248"/>
        <v>#VALUE!</v>
      </c>
      <c r="BW92" s="28" t="str">
        <f>[1]!YBSCEN(P$75&amp;"(IOX)",P$79&amp;"d","Market",AnnReturn,"Swap",CurrentCloseDate,"LMMSkew","",$F92,$G92,$H92,,"Immediate","ParShift|N",Up_25,OASROR,$P$77,,"EFF",,,,0,,,,"Default",,)</f>
        <v>E</v>
      </c>
      <c r="BX92" s="29" t="e">
        <f t="shared" si="205"/>
        <v>#VALUE!</v>
      </c>
      <c r="BY92" s="28" t="str">
        <f>[1]!YBSCEN(P$75&amp;"(IOX)",P$79&amp;"d","Market",AnnReturn,"Swap",CurrentCloseDate,"LMMSkew","",$F92,$G92,$H92,,"Immediate","ParShift|N",Up_25,PriceROR,$P$79,,"EFF",,,,0,,,,"Default",,)</f>
        <v>E</v>
      </c>
      <c r="BZ92" s="29" t="e">
        <f t="shared" si="206"/>
        <v>#VALUE!</v>
      </c>
      <c r="CA92" s="28" t="str">
        <f>[1]!YBSCEN(Q$75&amp;"(IOX)",Q$79&amp;"d","Market",AnnReturn,"Swap",CurrentCloseDate,"LMMSkew","",$F92,$G92,$H92,,"Immediate","ParShift|N",Up_25,OASROR,$Q$77,,"EFF",,,,0,,,,"Default",,)</f>
        <v>E</v>
      </c>
      <c r="CB92" s="29" t="e">
        <f t="shared" si="249"/>
        <v>#VALUE!</v>
      </c>
      <c r="CC92" s="28" t="str">
        <f>[1]!YBSCEN(Q$75&amp;"(IOX)",Q$79&amp;"d","Market",AnnReturn,"Swap",CurrentCloseDate,"LMMSkew","",$F92,$G92,$H92,,"Immediate","ParShift|N",Up_25,PriceROR,$Q$79,,"EFF",,,,0,,,,"Default",,)</f>
        <v>E</v>
      </c>
      <c r="CD92" s="29" t="e">
        <f t="shared" si="250"/>
        <v>#VALUE!</v>
      </c>
      <c r="CE92" s="28" t="str">
        <f>[1]!YBSCEN(R$75&amp;"(IOX)",R$79&amp;"d","Market",AnnReturn,"Swap",CurrentCloseDate,"LMMSkew","",$F92,$G92,$H92,,"Immediate","ParShift|N",Up_25,OASROR,$R$77,,"EFF",,,,0,,,,"Default",,)</f>
        <v>E</v>
      </c>
      <c r="CF92" s="29" t="e">
        <f t="shared" si="251"/>
        <v>#VALUE!</v>
      </c>
      <c r="CG92" s="28" t="str">
        <f>[1]!YBSCEN(R$75&amp;"(IOX)",R$79&amp;"d","Market",AnnReturn,"Swap",CurrentCloseDate,"LMMSkew","",$F92,$G92,$H92,,"Immediate","ParShift|N",Up_25,PriceROR,$R$79,,"EFF",,,,0,,,,"Default",,)</f>
        <v>E</v>
      </c>
      <c r="CH92" s="29" t="e">
        <f t="shared" si="252"/>
        <v>#VALUE!</v>
      </c>
      <c r="CI92" s="28" t="str">
        <f>[1]!YBSCEN(S$75&amp;"(IOX)",S$79&amp;"d","Market",AnnReturn,"Swap",CurrentCloseDate,"LMMSkew","",$F92,$G92,$H92,,"Immediate","ParShift|N",Up_25,OASROR,$S$77,,"EFF",,,,0,,,,"Default",,)</f>
        <v>E</v>
      </c>
      <c r="CJ92" s="29" t="e">
        <f t="shared" si="253"/>
        <v>#VALUE!</v>
      </c>
      <c r="CK92" s="28" t="str">
        <f>[1]!YBSCEN(S$75&amp;"(IOX)",S$79&amp;"d","Market",AnnReturn,"Swap",CurrentCloseDate,"LMMSkew","",$F92,$G92,$H92,,"Immediate","ParShift|N",Up_25,PriceROR,$S$79,,"EFF",,,,0,,,,"Default",,)</f>
        <v>E</v>
      </c>
      <c r="CL92" s="29" t="e">
        <f t="shared" si="254"/>
        <v>#VALUE!</v>
      </c>
      <c r="CM92" s="28" t="str">
        <f>[1]!YBSCEN(T$75&amp;"(IOX)",T$79&amp;"d","Market",AnnReturn,"Swap",CurrentCloseDate,"LMMSkew","",$F92,$G92,$H92,,"Immediate","ParShift|N",Up_25,OASROR,$T$77,,"EFF",,,,0,,,,"Default",,)</f>
        <v>E</v>
      </c>
      <c r="CN92" s="29" t="e">
        <f t="shared" si="255"/>
        <v>#VALUE!</v>
      </c>
      <c r="CO92" s="28" t="str">
        <f>[1]!YBSCEN(T$75&amp;"(IOX)",T$79&amp;"d","Market",AnnReturn,"Swap",CurrentCloseDate,"LMMSkew","",$F92,$G92,$H92,,"Immediate","ParShift|N",Up_25,PriceROR,$T$79,,"EFF",,,,0,,,,"Default",,)</f>
        <v>E</v>
      </c>
      <c r="CP92" s="29" t="e">
        <f t="shared" si="256"/>
        <v>#VALUE!</v>
      </c>
      <c r="CQ92" s="28" t="str">
        <f>[1]!YBSCEN(U$75&amp;"(IOX)",U$79&amp;"d","Market",AnnReturn,"Swap",CurrentCloseDate,"LMMSkew","",$F92,$G92,$H92,,"Immediate","ParShift|N",Up_25,OASROR,$U$77,,"EFF",,,,0,,,,"Default",,)</f>
        <v>E</v>
      </c>
      <c r="CR92" s="29" t="e">
        <f t="shared" si="257"/>
        <v>#VALUE!</v>
      </c>
      <c r="CS92" s="28" t="str">
        <f>[1]!YBSCEN(U$75&amp;"(IOX)",U$79&amp;"d","Market",AnnReturn,"Swap",CurrentCloseDate,"LMMSkew","",$F92,$G92,$H92,,"Immediate","ParShift|N",Up_25,PriceROR,$U$79,,"EFF",,,,0,,,,"Default",,)</f>
        <v>E</v>
      </c>
      <c r="CT92" s="29" t="e">
        <f t="shared" si="258"/>
        <v>#VALUE!</v>
      </c>
      <c r="CU92" s="28" t="str">
        <f>[1]!YBSCEN(V$75&amp;"(IOX)",V$79&amp;"d","Market",AnnReturn,"Swap",CurrentCloseDate,"LMMSkew","",$F92,$G92,$H92,,"Immediate","ParShift|N",Up_25,OASROR,$V$77,,"EFF",,,,0,,,,"Default",,)</f>
        <v>E</v>
      </c>
      <c r="CV92" s="29" t="e">
        <f t="shared" si="259"/>
        <v>#VALUE!</v>
      </c>
      <c r="CW92" s="28" t="str">
        <f>[1]!YBSCEN(V$75&amp;"(IOX)",V$79&amp;"d","Market",AnnReturn,"Swap",CurrentCloseDate,"LMMSkew","",$F92,$G92,$H92,,"Immediate","ParShift|N",Up_25,PriceROR,$V$79,,"EFF",,,,0,,,,"Default",,)</f>
        <v>E</v>
      </c>
      <c r="CX92" s="29" t="e">
        <f t="shared" si="260"/>
        <v>#VALUE!</v>
      </c>
      <c r="CY92" s="28" t="str">
        <f>[1]!YBSCEN(W$75&amp;"(IOX)",W$79&amp;"d","Market",AnnReturn,"Swap",CurrentCloseDate,"LMMSkew","",$F92,$G92,$H92,,"Immediate","ParShift|N",Up_25,OASROR,$W$77,,"EFF",,,,0,,,,"Default",,)</f>
        <v>E</v>
      </c>
      <c r="CZ92" s="29" t="e">
        <f t="shared" si="261"/>
        <v>#VALUE!</v>
      </c>
      <c r="DA92" s="28" t="str">
        <f>[1]!YBSCEN(W$75&amp;"(IOX)",W$79&amp;"d","Market",AnnReturn,"Swap",CurrentCloseDate,"LMMSkew","",$F92,$G92,$H92,,"Immediate","ParShift|N",Up_25,PriceROR,$W$79,,"EFF",,,,0,,,,"Default",,)</f>
        <v>E</v>
      </c>
      <c r="DB92" s="29" t="e">
        <f t="shared" si="262"/>
        <v>#VALUE!</v>
      </c>
      <c r="DC92" s="28" t="str">
        <f>[1]!YBSCEN(X$75&amp;"(IOX)",X$79&amp;"d","Market",AnnReturn,"Swap",CurrentCloseDate,"LMMSkew","",$F92,$G92,$H92,,"Immediate","ParShift|N",Up_25,OASROR,$X$77,,"EFF",,,,0,,,,"Default",,)</f>
        <v>E</v>
      </c>
      <c r="DD92" s="29" t="e">
        <f t="shared" si="263"/>
        <v>#VALUE!</v>
      </c>
      <c r="DE92" s="28" t="str">
        <f>[1]!YBSCEN(X$75&amp;"(IOX)",X$79&amp;"d","Market",AnnReturn,"Swap",CurrentCloseDate,"LMMSkew","",$F92,$G92,$H92,,"Immediate","ParShift|N",Up_25,PriceROR,$X$79,,"EFF",,,,0,,,,"Default",,)</f>
        <v>E</v>
      </c>
      <c r="DF92" s="29" t="e">
        <f t="shared" si="264"/>
        <v>#VALUE!</v>
      </c>
      <c r="DG92" s="28" t="str">
        <f>[1]!YBSCEN(Y$75&amp;"(IOX)",Y$79&amp;"d","Market",AnnReturn,"Swap",CurrentCloseDate,"LMMSkew","",$F92,$G92,$H92,,"Immediate","ParShift|N",Up_25,OASROR,$Y$77,,"EFF",,,,0,,,,"Default",,)</f>
        <v>E</v>
      </c>
      <c r="DH92" s="29" t="e">
        <f t="shared" si="265"/>
        <v>#VALUE!</v>
      </c>
      <c r="DI92" s="28" t="str">
        <f>[1]!YBSCEN(Y$75&amp;"(IOX)",Y$79&amp;"d","Market",AnnReturn,"Swap",CurrentCloseDate,"LMMSkew","",$F92,$G92,$H92,,"Immediate","ParShift|N",Up_25,PriceROR,$Y$79,,"EFF",,,,0,,,,"Default",,)</f>
        <v>E</v>
      </c>
      <c r="DJ92" s="29" t="e">
        <f t="shared" si="266"/>
        <v>#VALUE!</v>
      </c>
      <c r="DK92" s="28" t="str">
        <f>[1]!YBSCEN(Z$75&amp;"(IOX)",Z$79&amp;"d","Market",AnnReturn,"Swap",CurrentCloseDate,"LMMSkew","",$F92,$G92,$H92,,"Immediate","ParShift|N",Up_25,OASROR,$Z$77,,"EFF",,,,0,,,,"Default",,)</f>
        <v>E</v>
      </c>
      <c r="DL92" s="29" t="e">
        <f t="shared" si="267"/>
        <v>#VALUE!</v>
      </c>
      <c r="DM92" s="28" t="str">
        <f>[1]!YBSCEN(Z$75&amp;"(IOX)",Z$79&amp;"d","Market",AnnReturn,"Swap",CurrentCloseDate,"LMMSkew","",$F92,$G92,$H92,,"Immediate","ParShift|N",Up_25,PriceROR,$Z$79,,"EFF",,,,0,,,,"Default",,)</f>
        <v>E</v>
      </c>
      <c r="DN92" s="29" t="e">
        <f t="shared" si="268"/>
        <v>#VALUE!</v>
      </c>
      <c r="DO92" s="28" t="str">
        <f>[1]!YBSCEN(AA$75&amp;"(IOX)",AA$79&amp;"d","Market",AnnReturn,"Swap",CurrentCloseDate,"LMMSkew","",$F92,$G92,$H92,,"Immediate","ParShift|N",Up_25,OASROR,$AA$77,,"EFF",,,,0,,,,"Default",,)</f>
        <v>E</v>
      </c>
      <c r="DP92" s="29" t="e">
        <f t="shared" si="269"/>
        <v>#VALUE!</v>
      </c>
      <c r="DQ92" s="28" t="str">
        <f>[1]!YBSCEN(AA$75&amp;"(IOX)",AA$79&amp;"d","Market",AnnReturn,"Swap",CurrentCloseDate,"LMMSkew","",$F92,$G92,$H92,,"Immediate","ParShift|N",Up_25,PriceROR,$AA$79,,"EFF",,,,0,,,,"Default",,)</f>
        <v>E</v>
      </c>
      <c r="DR92" s="31" t="e">
        <f t="shared" si="270"/>
        <v>#VALUE!</v>
      </c>
      <c r="DS92" s="28" t="str">
        <f>[1]!YBSCEN(AB$75&amp;"(IOX)",AB$79&amp;"d","Market",AnnReturn,"Swap",CurrentCloseDate,"LMMSkew","",$F92,$G92,$H92,,"Immediate","ParShift|N",Up_25,OASROR,$AB$77,,"EFF",,,,0,,,,"Default",,)</f>
        <v>E</v>
      </c>
      <c r="DT92" s="31" t="e">
        <f t="shared" si="271"/>
        <v>#VALUE!</v>
      </c>
      <c r="DU92" s="47" t="str">
        <f>[1]!YBSCEN(AB$75&amp;"(IOX)",AB$79&amp;"d","Market",AnnReturn,"Swap",CurrentCloseDate,"LMMSkew","",$F92,$G92,$H92,,"Immediate","ParShift|N",Up_25,PriceROR,$AB$79,,"EFF",,,,0,,,,"Default",,)</f>
        <v>E</v>
      </c>
      <c r="DV92" s="48" t="e">
        <f t="shared" si="272"/>
        <v>#VALUE!</v>
      </c>
      <c r="DW92" s="28" t="str">
        <f>[1]!YBSCEN(AC$75&amp;"(IOX)",AC$79&amp;"d","Market",AnnReturn,"Swap",CurrentCloseDate,"LMMSkew","",$F92,$G92,$H92,,"Immediate","ParShift|N",Up_25,OASROR,$AC$77,,"EFF",,,,0,,,,"Default",,)</f>
        <v>E</v>
      </c>
      <c r="DX92" s="31" t="e">
        <f t="shared" si="273"/>
        <v>#VALUE!</v>
      </c>
      <c r="DY92" s="47" t="str">
        <f>[1]!YBSCEN(AC$75&amp;"(IOX)",AC$79&amp;"d","Market",AnnReturn,"Swap",CurrentCloseDate,"LMMSkew","",$F92,$G92,$H92,,"Immediate","ParShift|N",Up_25,PriceROR,$AC$79,,"EFF",,,,0,,,,"Default",,)</f>
        <v>E</v>
      </c>
      <c r="DZ92" s="48" t="e">
        <f t="shared" si="274"/>
        <v>#VALUE!</v>
      </c>
      <c r="EA92" s="28" t="str">
        <f>[1]!YBSCEN(AD$75&amp;"(IOX)",AD$79&amp;"d","Market",AnnReturn,"Swap",CurrentCloseDate,"LMMSkew","",$F92,$G92,$H92,,"Immediate","ParShift|N",Up_25,OASROR,$AD$77,,"EFF",,,,0,,,,"Default",,)</f>
        <v>E</v>
      </c>
      <c r="EB92" s="31" t="e">
        <f t="shared" si="275"/>
        <v>#VALUE!</v>
      </c>
      <c r="EC92" s="47" t="str">
        <f>[1]!YBSCEN(AD$75&amp;"(IOX)",AD$79&amp;"d","Market",AnnReturn,"Swap",CurrentCloseDate,"LMMSkew","",$F92,$G92,$H92,,"Immediate","ParShift|N",Up_25,PriceROR,$AD$79,,"EFF",,,,0,,,,"Default",,)</f>
        <v>E</v>
      </c>
      <c r="ED92" s="48" t="e">
        <f t="shared" si="276"/>
        <v>#VALUE!</v>
      </c>
      <c r="EE92" s="28" t="str">
        <f>[1]!YBSCEN(AE$75&amp;"(IOX)",AE$79&amp;"d","Market",AnnReturn,"Swap",CurrentCloseDate,"LMMSkew","",$F92,$G92,$H92,,"Immediate","ParShift|N",Up_25,OASROR,$AE$77,,"EFF",,,,0,,,,"Default",,)</f>
        <v>E</v>
      </c>
      <c r="EF92" s="31" t="e">
        <f t="shared" si="277"/>
        <v>#VALUE!</v>
      </c>
      <c r="EG92" s="47" t="str">
        <f>[1]!YBSCEN(AE$75&amp;"(IOX)",AE$79&amp;"d","Market",AnnReturn,"Swap",CurrentCloseDate,"LMMSkew","",$F92,$G92,$H92,,"Immediate","ParShift|N",Up_25,PriceROR,$AE$79,,"EFF",,,,0,,,,"Default",,)</f>
        <v>E</v>
      </c>
      <c r="EH92" s="48" t="e">
        <f t="shared" si="278"/>
        <v>#VALUE!</v>
      </c>
    </row>
    <row r="93" spans="2:138" ht="15" hidden="1" customHeight="1">
      <c r="H93" s="280"/>
      <c r="I93" s="281"/>
      <c r="J93" s="281"/>
      <c r="K93" s="281"/>
      <c r="L93" s="281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1"/>
      <c r="AA93" s="39"/>
      <c r="AB93" s="40"/>
      <c r="AC93" s="42"/>
      <c r="AD93" s="25"/>
      <c r="AE93" s="18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19"/>
      <c r="AS93" s="21"/>
      <c r="AT93" s="20"/>
      <c r="AU93" s="17"/>
    </row>
    <row r="94" spans="2:138" hidden="1"/>
    <row r="95" spans="2:138" ht="12.75" hidden="1" customHeight="1"/>
    <row r="96" spans="2:138" ht="12.75" hidden="1" customHeight="1"/>
    <row r="97" spans="8:121" ht="15" hidden="1" customHeight="1">
      <c r="I97" s="3"/>
      <c r="J97" s="3"/>
      <c r="K97" s="3"/>
      <c r="L97" s="3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1"/>
      <c r="BH97" s="61"/>
      <c r="BI97" s="61"/>
      <c r="BJ97" s="61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</row>
    <row r="98" spans="8:121" s="4" customFormat="1" ht="8.25" hidden="1" customHeight="1"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2"/>
      <c r="CB98" s="62"/>
      <c r="CC98" s="62"/>
      <c r="CD98" s="62"/>
      <c r="CE98" s="62"/>
      <c r="CF98" s="62"/>
      <c r="CG98" s="62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</row>
    <row r="99" spans="8:121" ht="12.75" hidden="1" customHeight="1"/>
    <row r="100" spans="8:121" ht="12.75" hidden="1" customHeight="1"/>
    <row r="101" spans="8:121" hidden="1"/>
    <row r="102" spans="8:121" hidden="1"/>
    <row r="103" spans="8:121" hidden="1">
      <c r="H103" s="133" t="s">
        <v>89</v>
      </c>
    </row>
    <row r="104" spans="8:121" hidden="1"/>
    <row r="105" spans="8:121" hidden="1">
      <c r="H105" s="133"/>
    </row>
    <row r="106" spans="8:121" hidden="1"/>
    <row r="107" spans="8:121" hidden="1"/>
    <row r="108" spans="8:121" hidden="1"/>
    <row r="109" spans="8:121" hidden="1"/>
    <row r="110" spans="8:121" hidden="1"/>
    <row r="111" spans="8:121" hidden="1"/>
    <row r="112" spans="8:121" hidden="1"/>
    <row r="113" spans="6:31" ht="15" hidden="1">
      <c r="H113" s="3" t="s">
        <v>197</v>
      </c>
      <c r="I113" s="3"/>
      <c r="J113" s="3"/>
      <c r="K113" s="3"/>
      <c r="L113" s="3"/>
    </row>
    <row r="114" spans="6:31" ht="12.75" hidden="1" customHeight="1"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</row>
    <row r="115" spans="6:31" ht="15" hidden="1">
      <c r="H115" s="5"/>
      <c r="I115" s="5"/>
      <c r="J115" s="343" t="s">
        <v>176</v>
      </c>
      <c r="K115" s="344"/>
      <c r="L115" s="344"/>
      <c r="M115" s="344"/>
      <c r="N115" s="344"/>
      <c r="O115" s="344"/>
      <c r="P115" s="344"/>
      <c r="Q115" s="344"/>
      <c r="R115" s="344"/>
      <c r="S115" s="344"/>
      <c r="T115" s="344"/>
      <c r="U115" s="344"/>
      <c r="V115" s="344"/>
      <c r="W115" s="344"/>
      <c r="X115" s="344"/>
      <c r="Y115" s="344"/>
      <c r="Z115" s="344"/>
      <c r="AA115" s="344"/>
      <c r="AB115" s="344"/>
      <c r="AC115" s="345"/>
    </row>
    <row r="116" spans="6:31" ht="45" hidden="1" customHeight="1">
      <c r="F116" s="13" t="s">
        <v>193</v>
      </c>
      <c r="H116" s="73" t="s">
        <v>47</v>
      </c>
      <c r="I116" s="300" t="s">
        <v>0</v>
      </c>
      <c r="J116" s="290" t="str">
        <f>'Hedged Adj Projected Carry'!J34</f>
        <v>FN30.
300.
13</v>
      </c>
      <c r="K116" s="244" t="str">
        <f>'Hedged Adj Projected Carry'!K34</f>
        <v>FN30.
300.
12</v>
      </c>
      <c r="L116" s="321" t="str">
        <f>'Hedged Adj Projected Carry'!L34</f>
        <v>FN30.
350.
14</v>
      </c>
      <c r="M116" s="244" t="str">
        <f>'Hedged Adj Projected Carry'!M34</f>
        <v>FN30.
350.
13</v>
      </c>
      <c r="N116" s="302" t="str">
        <f>'Hedged Adj Projected Carry'!N34</f>
        <v>FN30.
350.
12</v>
      </c>
      <c r="O116" s="301" t="str">
        <f>'Hedged Adj Projected Carry'!O34</f>
        <v>FN30.
350.
10</v>
      </c>
      <c r="P116" s="309" t="str">
        <f>'Hedged Adj Projected Carry'!P34</f>
        <v>FN30.
400.
14</v>
      </c>
      <c r="Q116" s="309" t="str">
        <f>'Hedged Adj Projected Carry'!Q34</f>
        <v>FN30.
400.
13</v>
      </c>
      <c r="R116" s="302" t="str">
        <f>'Hedged Adj Projected Carry'!R34</f>
        <v>FN30.
400.
11</v>
      </c>
      <c r="S116" s="302" t="str">
        <f>'Hedged Adj Projected Carry'!S34</f>
        <v>FN30.
400.
10</v>
      </c>
      <c r="T116" s="302" t="str">
        <f>'Hedged Adj Projected Carry'!T34</f>
        <v>FN30.
400.
09</v>
      </c>
      <c r="U116" s="300" t="str">
        <f>'Hedged Adj Projected Carry'!U34</f>
        <v>FN30.
450.
11</v>
      </c>
      <c r="V116" s="302" t="str">
        <f>'Hedged Adj Projected Carry'!V34</f>
        <v>FN30.
450.
10</v>
      </c>
      <c r="W116" s="301" t="str">
        <f>'Hedged Adj Projected Carry'!W34</f>
        <v>FN30.
450.
09</v>
      </c>
      <c r="X116" s="302" t="str">
        <f>'Hedged Adj Projected Carry'!X34</f>
        <v>FN30.
500.
10</v>
      </c>
      <c r="Y116" s="302" t="str">
        <f>'Hedged Adj Projected Carry'!Y34</f>
        <v>FN30.
500.
09</v>
      </c>
      <c r="Z116" s="73" t="str">
        <f>'Hedged Adj Projected Carry'!Z34</f>
        <v>FN30.
550.
08</v>
      </c>
      <c r="AA116" s="73" t="str">
        <f>'Hedged Adj Projected Carry'!AA34</f>
        <v>FN30.
600.
08</v>
      </c>
      <c r="AB116" s="302" t="str">
        <f>'Hedged Adj Projected Carry'!AB34</f>
        <v>FN30.
650.
67</v>
      </c>
      <c r="AC116" s="300" t="str">
        <f>'Hedged Adj Projected Carry'!AC34</f>
        <v>GII30.
400.
10</v>
      </c>
      <c r="AD116" s="302" t="str">
        <f>'Hedged Adj Projected Carry'!AD34</f>
        <v>GII30.
450.
10</v>
      </c>
      <c r="AE116" s="301" t="str">
        <f>'Hedged Adj Projected Carry'!AE34</f>
        <v>GII30.
500.
10</v>
      </c>
    </row>
    <row r="117" spans="6:31" ht="15" hidden="1" customHeight="1">
      <c r="H117" s="58">
        <v>1</v>
      </c>
      <c r="I117" s="32">
        <f>'Hedged Adj Projected Carry'!I35</f>
        <v>42215</v>
      </c>
      <c r="J117" s="161">
        <f>'Hedged Adj Projected Carry'!J35</f>
        <v>0</v>
      </c>
      <c r="K117" s="144" t="e">
        <f>'Hedged Adj Projected Carry'!K35</f>
        <v>#REF!</v>
      </c>
      <c r="L117" s="294">
        <f>'Hedged Adj Projected Carry'!L35</f>
        <v>0</v>
      </c>
      <c r="M117" s="323">
        <f>'Hedged Adj Projected Carry'!M35</f>
        <v>0</v>
      </c>
      <c r="N117" s="143">
        <f>'Hedged Adj Projected Carry'!N35</f>
        <v>0</v>
      </c>
      <c r="O117" s="144">
        <f>'Hedged Adj Projected Carry'!O35</f>
        <v>0</v>
      </c>
      <c r="P117" s="161">
        <f>'Hedged Adj Projected Carry'!P35</f>
        <v>0</v>
      </c>
      <c r="Q117" s="143">
        <f>'Hedged Adj Projected Carry'!Q35</f>
        <v>0</v>
      </c>
      <c r="R117" s="143">
        <f>'Hedged Adj Projected Carry'!R35</f>
        <v>0</v>
      </c>
      <c r="S117" s="143">
        <f>'Hedged Adj Projected Carry'!S35</f>
        <v>-7.9429999999999996</v>
      </c>
      <c r="T117" s="144" t="str">
        <f>'Hedged Adj Projected Carry'!T35</f>
        <v>E</v>
      </c>
      <c r="U117" s="161" t="str">
        <f>'Hedged Adj Projected Carry'!U35</f>
        <v>E</v>
      </c>
      <c r="V117" s="143" t="str">
        <f>'Hedged Adj Projected Carry'!V35</f>
        <v>E</v>
      </c>
      <c r="W117" s="144" t="str">
        <f>'Hedged Adj Projected Carry'!W35</f>
        <v>E</v>
      </c>
      <c r="X117" s="161" t="str">
        <f>'Hedged Adj Projected Carry'!X35</f>
        <v>E</v>
      </c>
      <c r="Y117" s="144" t="str">
        <f>'Hedged Adj Projected Carry'!Y35</f>
        <v>E</v>
      </c>
      <c r="Z117" s="322" t="str">
        <f>'Hedged Adj Projected Carry'!Z35</f>
        <v>E</v>
      </c>
      <c r="AA117" s="294" t="str">
        <f>'Hedged Adj Projected Carry'!AA35</f>
        <v>E</v>
      </c>
      <c r="AB117" s="297" t="str">
        <f>'Hedged Adj Projected Carry'!AB35</f>
        <v>E</v>
      </c>
      <c r="AC117" s="142" t="str">
        <f>'Hedged Adj Projected Carry'!AC35</f>
        <v>E</v>
      </c>
      <c r="AD117" s="143" t="str">
        <f>'Hedged Adj Projected Carry'!AD35</f>
        <v>E</v>
      </c>
      <c r="AE117" s="145" t="str">
        <f>'Hedged Adj Projected Carry'!AE35</f>
        <v>E</v>
      </c>
    </row>
    <row r="118" spans="6:31" ht="15" hidden="1" customHeight="1">
      <c r="H118" s="162">
        <v>12</v>
      </c>
      <c r="I118" s="163">
        <f>'Hedged Adj Projected Carry'!I36</f>
        <v>42551</v>
      </c>
      <c r="J118" s="34">
        <f>'Hedged Adj Projected Carry'!J36</f>
        <v>0</v>
      </c>
      <c r="K118" s="165" t="e">
        <f>'Hedged Adj Projected Carry'!K36</f>
        <v>#REF!</v>
      </c>
      <c r="L118" s="295">
        <f>'Hedged Adj Projected Carry'!L36</f>
        <v>0</v>
      </c>
      <c r="M118" s="251">
        <f>'Hedged Adj Projected Carry'!M36</f>
        <v>0</v>
      </c>
      <c r="N118" s="164">
        <f>'Hedged Adj Projected Carry'!N36</f>
        <v>0</v>
      </c>
      <c r="O118" s="165">
        <f>'Hedged Adj Projected Carry'!O36</f>
        <v>0</v>
      </c>
      <c r="P118" s="34">
        <f>'Hedged Adj Projected Carry'!P36</f>
        <v>0</v>
      </c>
      <c r="Q118" s="164">
        <f>'Hedged Adj Projected Carry'!Q36</f>
        <v>0</v>
      </c>
      <c r="R118" s="164">
        <f>'Hedged Adj Projected Carry'!R36</f>
        <v>0</v>
      </c>
      <c r="S118" s="164">
        <f>'Hedged Adj Projected Carry'!S36</f>
        <v>-6.2460000000000004</v>
      </c>
      <c r="T118" s="165" t="str">
        <f>'Hedged Adj Projected Carry'!T36</f>
        <v>E</v>
      </c>
      <c r="U118" s="34" t="str">
        <f>'Hedged Adj Projected Carry'!U36</f>
        <v>E</v>
      </c>
      <c r="V118" s="164" t="str">
        <f>'Hedged Adj Projected Carry'!V36</f>
        <v>E</v>
      </c>
      <c r="W118" s="165" t="str">
        <f>'Hedged Adj Projected Carry'!W36</f>
        <v>E</v>
      </c>
      <c r="X118" s="34" t="str">
        <f>'Hedged Adj Projected Carry'!X36</f>
        <v>E</v>
      </c>
      <c r="Y118" s="165" t="str">
        <f>'Hedged Adj Projected Carry'!Y36</f>
        <v>E</v>
      </c>
      <c r="Z118" s="257" t="str">
        <f>'Hedged Adj Projected Carry'!Z36</f>
        <v>E</v>
      </c>
      <c r="AA118" s="295" t="str">
        <f>'Hedged Adj Projected Carry'!AA36</f>
        <v>E</v>
      </c>
      <c r="AB118" s="257" t="str">
        <f>'Hedged Adj Projected Carry'!AB36</f>
        <v>E</v>
      </c>
      <c r="AC118" s="34" t="str">
        <f>'Hedged Adj Projected Carry'!AC36</f>
        <v>E</v>
      </c>
      <c r="AD118" s="164" t="str">
        <f>'Hedged Adj Projected Carry'!AD36</f>
        <v>E</v>
      </c>
      <c r="AE118" s="166" t="str">
        <f>'Hedged Adj Projected Carry'!AE36</f>
        <v>E</v>
      </c>
    </row>
    <row r="119" spans="6:31" ht="15" hidden="1" customHeight="1">
      <c r="H119" s="58"/>
      <c r="I119" s="32">
        <f>'Hedged Adj Projected Carry'!I37</f>
        <v>0</v>
      </c>
      <c r="J119" s="37" t="e">
        <f>'Hedged Adj Projected Carry'!J37</f>
        <v>#VALUE!</v>
      </c>
      <c r="K119" s="36" t="e">
        <f>'Hedged Adj Projected Carry'!K37</f>
        <v>#VALUE!</v>
      </c>
      <c r="L119" s="296" t="e">
        <f>'Hedged Adj Projected Carry'!L37</f>
        <v>#VALUE!</v>
      </c>
      <c r="M119" s="252" t="e">
        <f>'Hedged Adj Projected Carry'!M37</f>
        <v>#VALUE!</v>
      </c>
      <c r="N119" s="35" t="e">
        <f>'Hedged Adj Projected Carry'!N37</f>
        <v>#VALUE!</v>
      </c>
      <c r="O119" s="36" t="e">
        <f>'Hedged Adj Projected Carry'!O37</f>
        <v>#VALUE!</v>
      </c>
      <c r="P119" s="37" t="e">
        <f>'Hedged Adj Projected Carry'!P37</f>
        <v>#VALUE!</v>
      </c>
      <c r="Q119" s="35" t="e">
        <f>'Hedged Adj Projected Carry'!Q37</f>
        <v>#VALUE!</v>
      </c>
      <c r="R119" s="35" t="e">
        <f>'Hedged Adj Projected Carry'!R37</f>
        <v>#VALUE!</v>
      </c>
      <c r="S119" s="35" t="e">
        <f>'Hedged Adj Projected Carry'!S37</f>
        <v>#VALUE!</v>
      </c>
      <c r="T119" s="36" t="e">
        <f>'Hedged Adj Projected Carry'!T37</f>
        <v>#VALUE!</v>
      </c>
      <c r="U119" s="37" t="e">
        <f>'Hedged Adj Projected Carry'!U37</f>
        <v>#VALUE!</v>
      </c>
      <c r="V119" s="35" t="e">
        <f>'Hedged Adj Projected Carry'!V37</f>
        <v>#VALUE!</v>
      </c>
      <c r="W119" s="36" t="e">
        <f>'Hedged Adj Projected Carry'!W37</f>
        <v>#VALUE!</v>
      </c>
      <c r="X119" s="37" t="e">
        <f>'Hedged Adj Projected Carry'!X37</f>
        <v>#VALUE!</v>
      </c>
      <c r="Y119" s="36" t="e">
        <f>'Hedged Adj Projected Carry'!Y37</f>
        <v>#VALUE!</v>
      </c>
      <c r="Z119" s="258" t="e">
        <f>'Hedged Adj Projected Carry'!Z37</f>
        <v>#VALUE!</v>
      </c>
      <c r="AA119" s="296" t="e">
        <f>'Hedged Adj Projected Carry'!AA37</f>
        <v>#VALUE!</v>
      </c>
      <c r="AB119" s="258" t="e">
        <f>'Hedged Adj Projected Carry'!AB37</f>
        <v>#VALUE!</v>
      </c>
      <c r="AC119" s="37" t="e">
        <f>'Hedged Adj Projected Carry'!AC37</f>
        <v>#VALUE!</v>
      </c>
      <c r="AD119" s="35" t="e">
        <f>'Hedged Adj Projected Carry'!AD37</f>
        <v>#VALUE!</v>
      </c>
      <c r="AE119" s="38" t="e">
        <f>'Hedged Adj Projected Carry'!AE37</f>
        <v>#VALUE!</v>
      </c>
    </row>
    <row r="120" spans="6:31" ht="15" hidden="1" customHeight="1">
      <c r="H120" s="58"/>
      <c r="I120" s="32">
        <f>'Hedged Adj Projected Carry'!I38</f>
        <v>0</v>
      </c>
      <c r="J120" s="37" t="e">
        <f>'Hedged Adj Projected Carry'!J38</f>
        <v>#VALUE!</v>
      </c>
      <c r="K120" s="36" t="e">
        <f>'Hedged Adj Projected Carry'!K38</f>
        <v>#VALUE!</v>
      </c>
      <c r="L120" s="296" t="e">
        <f>'Hedged Adj Projected Carry'!L38</f>
        <v>#VALUE!</v>
      </c>
      <c r="M120" s="252" t="e">
        <f>'Hedged Adj Projected Carry'!M38</f>
        <v>#VALUE!</v>
      </c>
      <c r="N120" s="35" t="e">
        <f>'Hedged Adj Projected Carry'!N38</f>
        <v>#VALUE!</v>
      </c>
      <c r="O120" s="36" t="e">
        <f>'Hedged Adj Projected Carry'!O38</f>
        <v>#VALUE!</v>
      </c>
      <c r="P120" s="37" t="e">
        <f>'Hedged Adj Projected Carry'!P38</f>
        <v>#VALUE!</v>
      </c>
      <c r="Q120" s="35" t="e">
        <f>'Hedged Adj Projected Carry'!Q38</f>
        <v>#VALUE!</v>
      </c>
      <c r="R120" s="35" t="e">
        <f>'Hedged Adj Projected Carry'!R38</f>
        <v>#VALUE!</v>
      </c>
      <c r="S120" s="35" t="e">
        <f>'Hedged Adj Projected Carry'!S38</f>
        <v>#VALUE!</v>
      </c>
      <c r="T120" s="36" t="e">
        <f>'Hedged Adj Projected Carry'!T38</f>
        <v>#VALUE!</v>
      </c>
      <c r="U120" s="37" t="e">
        <f>'Hedged Adj Projected Carry'!U38</f>
        <v>#VALUE!</v>
      </c>
      <c r="V120" s="35" t="e">
        <f>'Hedged Adj Projected Carry'!V38</f>
        <v>#VALUE!</v>
      </c>
      <c r="W120" s="36" t="e">
        <f>'Hedged Adj Projected Carry'!W38</f>
        <v>#VALUE!</v>
      </c>
      <c r="X120" s="37" t="e">
        <f>'Hedged Adj Projected Carry'!X38</f>
        <v>#VALUE!</v>
      </c>
      <c r="Y120" s="36" t="e">
        <f>'Hedged Adj Projected Carry'!Y38</f>
        <v>#VALUE!</v>
      </c>
      <c r="Z120" s="258" t="e">
        <f>'Hedged Adj Projected Carry'!Z38</f>
        <v>#VALUE!</v>
      </c>
      <c r="AA120" s="296" t="e">
        <f>'Hedged Adj Projected Carry'!AA38</f>
        <v>#VALUE!</v>
      </c>
      <c r="AB120" s="258" t="e">
        <f>'Hedged Adj Projected Carry'!AB38</f>
        <v>#VALUE!</v>
      </c>
      <c r="AC120" s="37" t="e">
        <f>'Hedged Adj Projected Carry'!AC38</f>
        <v>#VALUE!</v>
      </c>
      <c r="AD120" s="35" t="e">
        <f>'Hedged Adj Projected Carry'!AD38</f>
        <v>#VALUE!</v>
      </c>
      <c r="AE120" s="35" t="e">
        <f>'Hedged Adj Projected Carry'!AE38</f>
        <v>#VALUE!</v>
      </c>
    </row>
    <row r="121" spans="6:31" ht="15" hidden="1" customHeight="1">
      <c r="H121" s="58"/>
      <c r="I121" s="32">
        <f>'Hedged Adj Projected Carry'!I39</f>
        <v>0</v>
      </c>
      <c r="J121" s="37" t="e">
        <f>'Hedged Adj Projected Carry'!J39</f>
        <v>#VALUE!</v>
      </c>
      <c r="K121" s="36" t="e">
        <f>'Hedged Adj Projected Carry'!K39</f>
        <v>#VALUE!</v>
      </c>
      <c r="L121" s="296" t="e">
        <f>'Hedged Adj Projected Carry'!L39</f>
        <v>#VALUE!</v>
      </c>
      <c r="M121" s="252" t="e">
        <f>'Hedged Adj Projected Carry'!M39</f>
        <v>#VALUE!</v>
      </c>
      <c r="N121" s="35" t="e">
        <f>'Hedged Adj Projected Carry'!N39</f>
        <v>#VALUE!</v>
      </c>
      <c r="O121" s="36" t="e">
        <f>'Hedged Adj Projected Carry'!O39</f>
        <v>#VALUE!</v>
      </c>
      <c r="P121" s="37" t="e">
        <f>'Hedged Adj Projected Carry'!P39</f>
        <v>#VALUE!</v>
      </c>
      <c r="Q121" s="35" t="e">
        <f>'Hedged Adj Projected Carry'!Q39</f>
        <v>#VALUE!</v>
      </c>
      <c r="R121" s="35" t="e">
        <f>'Hedged Adj Projected Carry'!R39</f>
        <v>#VALUE!</v>
      </c>
      <c r="S121" s="35" t="e">
        <f>'Hedged Adj Projected Carry'!S39</f>
        <v>#VALUE!</v>
      </c>
      <c r="T121" s="36" t="e">
        <f>'Hedged Adj Projected Carry'!T39</f>
        <v>#VALUE!</v>
      </c>
      <c r="U121" s="37" t="e">
        <f>'Hedged Adj Projected Carry'!U39</f>
        <v>#VALUE!</v>
      </c>
      <c r="V121" s="35" t="e">
        <f>'Hedged Adj Projected Carry'!V39</f>
        <v>#VALUE!</v>
      </c>
      <c r="W121" s="36" t="e">
        <f>'Hedged Adj Projected Carry'!W39</f>
        <v>#VALUE!</v>
      </c>
      <c r="X121" s="37" t="e">
        <f>'Hedged Adj Projected Carry'!X39</f>
        <v>#VALUE!</v>
      </c>
      <c r="Y121" s="36" t="e">
        <f>'Hedged Adj Projected Carry'!Y39</f>
        <v>#VALUE!</v>
      </c>
      <c r="Z121" s="258" t="e">
        <f>'Hedged Adj Projected Carry'!Z39</f>
        <v>#VALUE!</v>
      </c>
      <c r="AA121" s="296" t="e">
        <f>'Hedged Adj Projected Carry'!AA39</f>
        <v>#VALUE!</v>
      </c>
      <c r="AB121" s="258" t="e">
        <f>'Hedged Adj Projected Carry'!AB39</f>
        <v>#VALUE!</v>
      </c>
      <c r="AC121" s="37" t="e">
        <f>'Hedged Adj Projected Carry'!AC39</f>
        <v>#VALUE!</v>
      </c>
      <c r="AD121" s="35" t="e">
        <f>'Hedged Adj Projected Carry'!AD39</f>
        <v>#VALUE!</v>
      </c>
      <c r="AE121" s="35" t="e">
        <f>'Hedged Adj Projected Carry'!AE39</f>
        <v>#VALUE!</v>
      </c>
    </row>
    <row r="122" spans="6:31" ht="15" hidden="1">
      <c r="H122" s="59">
        <v>12</v>
      </c>
      <c r="I122" s="33">
        <f>'Hedged Adj Projected Carry'!I40</f>
        <v>42551</v>
      </c>
      <c r="J122" s="39" t="e">
        <f>'Hedged Adj Projected Carry'!J40</f>
        <v>#VALUE!</v>
      </c>
      <c r="K122" s="41" t="e">
        <f>'Hedged Adj Projected Carry'!K40</f>
        <v>#VALUE!</v>
      </c>
      <c r="L122" s="269" t="e">
        <f>'Hedged Adj Projected Carry'!L40</f>
        <v>#VALUE!</v>
      </c>
      <c r="M122" s="40" t="e">
        <f>'Hedged Adj Projected Carry'!M40</f>
        <v>#VALUE!</v>
      </c>
      <c r="N122" s="40" t="e">
        <f>'Hedged Adj Projected Carry'!N40</f>
        <v>#VALUE!</v>
      </c>
      <c r="O122" s="41" t="e">
        <f>'Hedged Adj Projected Carry'!O40</f>
        <v>#VALUE!</v>
      </c>
      <c r="P122" s="39" t="e">
        <f>'Hedged Adj Projected Carry'!P40</f>
        <v>#VALUE!</v>
      </c>
      <c r="Q122" s="40" t="e">
        <f>'Hedged Adj Projected Carry'!Q40</f>
        <v>#VALUE!</v>
      </c>
      <c r="R122" s="40" t="e">
        <f>'Hedged Adj Projected Carry'!R40</f>
        <v>#VALUE!</v>
      </c>
      <c r="S122" s="40" t="e">
        <f>'Hedged Adj Projected Carry'!S40</f>
        <v>#VALUE!</v>
      </c>
      <c r="T122" s="41" t="e">
        <f>'Hedged Adj Projected Carry'!T40</f>
        <v>#VALUE!</v>
      </c>
      <c r="U122" s="39" t="e">
        <f>'Hedged Adj Projected Carry'!U40</f>
        <v>#VALUE!</v>
      </c>
      <c r="V122" s="40" t="e">
        <f>'Hedged Adj Projected Carry'!V40</f>
        <v>#VALUE!</v>
      </c>
      <c r="W122" s="41" t="e">
        <f>'Hedged Adj Projected Carry'!W40</f>
        <v>#VALUE!</v>
      </c>
      <c r="X122" s="39" t="e">
        <f>'Hedged Adj Projected Carry'!X40</f>
        <v>#VALUE!</v>
      </c>
      <c r="Y122" s="41" t="e">
        <f>'Hedged Adj Projected Carry'!Y40</f>
        <v>#VALUE!</v>
      </c>
      <c r="Z122" s="259" t="e">
        <f>'Hedged Adj Projected Carry'!Z40</f>
        <v>#VALUE!</v>
      </c>
      <c r="AA122" s="269" t="e">
        <f>'Hedged Adj Projected Carry'!AA40</f>
        <v>#VALUE!</v>
      </c>
      <c r="AB122" s="259" t="e">
        <f>'Hedged Adj Projected Carry'!AB40</f>
        <v>#VALUE!</v>
      </c>
      <c r="AC122" s="39" t="e">
        <f>'Hedged Adj Projected Carry'!AC40</f>
        <v>#VALUE!</v>
      </c>
      <c r="AD122" s="40" t="e">
        <f>'Hedged Adj Projected Carry'!AD40</f>
        <v>#VALUE!</v>
      </c>
      <c r="AE122" s="40" t="e">
        <f>'Hedged Adj Projected Carry'!AE40</f>
        <v>#VALUE!</v>
      </c>
    </row>
    <row r="123" spans="6:31" hidden="1"/>
    <row r="124" spans="6:31" ht="12.75" hidden="1" customHeight="1"/>
    <row r="125" spans="6:31" hidden="1"/>
    <row r="126" spans="6:31" ht="15" hidden="1" customHeight="1">
      <c r="I126" s="303" t="s">
        <v>171</v>
      </c>
      <c r="J126" s="343" t="s">
        <v>174</v>
      </c>
      <c r="K126" s="344"/>
      <c r="L126" s="344"/>
      <c r="M126" s="344"/>
      <c r="N126" s="344"/>
      <c r="O126" s="344"/>
      <c r="P126" s="344"/>
      <c r="Q126" s="344"/>
      <c r="R126" s="344"/>
      <c r="S126" s="344"/>
      <c r="T126" s="344"/>
      <c r="U126" s="344"/>
      <c r="V126" s="344"/>
      <c r="W126" s="344"/>
      <c r="X126" s="344"/>
      <c r="Y126" s="344"/>
      <c r="Z126" s="344"/>
      <c r="AA126" s="344"/>
      <c r="AB126" s="344"/>
      <c r="AC126" s="344"/>
      <c r="AD126" s="344"/>
      <c r="AE126" s="345"/>
    </row>
    <row r="127" spans="6:31" ht="45" hidden="1">
      <c r="I127" s="304"/>
      <c r="J127" s="290" t="str">
        <f>'Hedged Adj Projected Carry'!J46</f>
        <v>FN30.
300.
13</v>
      </c>
      <c r="K127" s="244" t="str">
        <f>'Hedged Adj Projected Carry'!K46</f>
        <v>FN30.
300.
12</v>
      </c>
      <c r="L127" s="321" t="str">
        <f>'Hedged Adj Projected Carry'!L46</f>
        <v>FN30.
350.
14</v>
      </c>
      <c r="M127" s="244" t="str">
        <f>'Hedged Adj Projected Carry'!M46</f>
        <v>FN30.
350.
13</v>
      </c>
      <c r="N127" s="302" t="str">
        <f>'Hedged Adj Projected Carry'!N46</f>
        <v>FN30.
350.
12</v>
      </c>
      <c r="O127" s="309" t="str">
        <f>'Hedged Adj Projected Carry'!O46</f>
        <v>FN30.
350.
10</v>
      </c>
      <c r="P127" s="307" t="str">
        <f>'Hedged Adj Projected Carry'!P46</f>
        <v>FN30.
400.
14</v>
      </c>
      <c r="Q127" s="309" t="str">
        <f>'Hedged Adj Projected Carry'!Q46</f>
        <v>FN30.
400.
13</v>
      </c>
      <c r="R127" s="302" t="str">
        <f>'Hedged Adj Projected Carry'!R46</f>
        <v>FN30.
400.
11</v>
      </c>
      <c r="S127" s="302" t="str">
        <f>'Hedged Adj Projected Carry'!S46</f>
        <v>FN30.
400.
10</v>
      </c>
      <c r="T127" s="302" t="str">
        <f>'Hedged Adj Projected Carry'!T46</f>
        <v>FN30.
400.
09</v>
      </c>
      <c r="U127" s="300" t="str">
        <f>'Hedged Adj Projected Carry'!U46</f>
        <v>FN30.
450.
11</v>
      </c>
      <c r="V127" s="302" t="str">
        <f>'Hedged Adj Projected Carry'!V46</f>
        <v>FN30.
450.
10</v>
      </c>
      <c r="W127" s="301" t="str">
        <f>'Hedged Adj Projected Carry'!W46</f>
        <v>FN30.
450.
09</v>
      </c>
      <c r="X127" s="302" t="str">
        <f>'Hedged Adj Projected Carry'!X46</f>
        <v>FN30.
500.
10</v>
      </c>
      <c r="Y127" s="302" t="str">
        <f>'Hedged Adj Projected Carry'!Y46</f>
        <v>FN30.
500.
09</v>
      </c>
      <c r="Z127" s="73" t="str">
        <f>'Hedged Adj Projected Carry'!Z46</f>
        <v>FN30.
550.
08</v>
      </c>
      <c r="AA127" s="73" t="str">
        <f>'Hedged Adj Projected Carry'!AA46</f>
        <v>FN30.
600.
08</v>
      </c>
      <c r="AB127" s="302" t="str">
        <f>'Hedged Adj Projected Carry'!AB46</f>
        <v>FN30.
650.
67</v>
      </c>
      <c r="AC127" s="300" t="str">
        <f>'Hedged Adj Projected Carry'!AC46</f>
        <v>GII30.
400.
10</v>
      </c>
      <c r="AD127" s="302" t="str">
        <f>'Hedged Adj Projected Carry'!AD46</f>
        <v>GII30.
450.
10</v>
      </c>
      <c r="AE127" s="301" t="str">
        <f>'Hedged Adj Projected Carry'!AE46</f>
        <v>GII30.
500.
10</v>
      </c>
    </row>
    <row r="128" spans="6:31" ht="15" hidden="1">
      <c r="I128" s="238" t="str">
        <f>'Hedged Adj Projected Carry'!I47</f>
        <v>Actual</v>
      </c>
      <c r="J128" s="320">
        <f>'Hedged Adj Projected Carry'!J47</f>
        <v>0</v>
      </c>
      <c r="K128" s="214">
        <f>'Hedged Adj Projected Carry'!K47</f>
        <v>0</v>
      </c>
      <c r="L128" s="294">
        <f>'Hedged Adj Projected Carry'!L47</f>
        <v>0</v>
      </c>
      <c r="M128" s="213">
        <f>'Hedged Adj Projected Carry'!M47</f>
        <v>0</v>
      </c>
      <c r="N128" s="213">
        <f>'Hedged Adj Projected Carry'!N47</f>
        <v>0</v>
      </c>
      <c r="O128" s="214">
        <f>'Hedged Adj Projected Carry'!O47</f>
        <v>0</v>
      </c>
      <c r="P128" s="161">
        <f>'Hedged Adj Projected Carry'!P47</f>
        <v>0</v>
      </c>
      <c r="Q128" s="213">
        <f>'Hedged Adj Projected Carry'!Q47</f>
        <v>0</v>
      </c>
      <c r="R128" s="213">
        <f>'Hedged Adj Projected Carry'!R47</f>
        <v>0</v>
      </c>
      <c r="S128" s="213">
        <f>'Hedged Adj Projected Carry'!S47</f>
        <v>0</v>
      </c>
      <c r="T128" s="214">
        <f>'Hedged Adj Projected Carry'!T47</f>
        <v>0</v>
      </c>
      <c r="U128" s="161">
        <f>'Hedged Adj Projected Carry'!U47</f>
        <v>0</v>
      </c>
      <c r="V128" s="213">
        <f>'Hedged Adj Projected Carry'!V47</f>
        <v>0</v>
      </c>
      <c r="W128" s="214">
        <f>'Hedged Adj Projected Carry'!W47</f>
        <v>0</v>
      </c>
      <c r="X128" s="161">
        <f>'Hedged Adj Projected Carry'!X47</f>
        <v>0</v>
      </c>
      <c r="Y128" s="214">
        <f>'Hedged Adj Projected Carry'!Y47</f>
        <v>0</v>
      </c>
      <c r="Z128" s="297">
        <f>'Hedged Adj Projected Carry'!Z47</f>
        <v>0</v>
      </c>
      <c r="AA128" s="294">
        <f>'Hedged Adj Projected Carry'!AA47</f>
        <v>0</v>
      </c>
      <c r="AB128" s="294">
        <f>'Hedged Adj Projected Carry'!AB47</f>
        <v>0</v>
      </c>
      <c r="AC128" s="161">
        <f>'Hedged Adj Projected Carry'!AC47</f>
        <v>0</v>
      </c>
      <c r="AD128" s="213">
        <f>'Hedged Adj Projected Carry'!AD47</f>
        <v>0</v>
      </c>
      <c r="AE128" s="215">
        <f>'Hedged Adj Projected Carry'!AE47</f>
        <v>0</v>
      </c>
    </row>
    <row r="129" spans="8:31" ht="15" hidden="1">
      <c r="I129" s="212" t="str">
        <f>'Hedged Adj Projected Carry'!I48</f>
        <v>+25</v>
      </c>
      <c r="J129" s="224" t="e">
        <f>'Hedged Adj Projected Carry'!J48</f>
        <v>#VALUE!</v>
      </c>
      <c r="K129" s="214" t="e">
        <f>'Hedged Adj Projected Carry'!K48</f>
        <v>#VALUE!</v>
      </c>
      <c r="L129" s="294" t="e">
        <f>'Hedged Adj Projected Carry'!L48</f>
        <v>#VALUE!</v>
      </c>
      <c r="M129" s="213" t="e">
        <f>'Hedged Adj Projected Carry'!M48</f>
        <v>#VALUE!</v>
      </c>
      <c r="N129" s="213" t="e">
        <f>'Hedged Adj Projected Carry'!N48</f>
        <v>#VALUE!</v>
      </c>
      <c r="O129" s="214" t="e">
        <f>'Hedged Adj Projected Carry'!O48</f>
        <v>#VALUE!</v>
      </c>
      <c r="P129" s="161" t="e">
        <f>'Hedged Adj Projected Carry'!P48</f>
        <v>#VALUE!</v>
      </c>
      <c r="Q129" s="213" t="e">
        <f>'Hedged Adj Projected Carry'!Q48</f>
        <v>#VALUE!</v>
      </c>
      <c r="R129" s="213" t="e">
        <f>'Hedged Adj Projected Carry'!R48</f>
        <v>#VALUE!</v>
      </c>
      <c r="S129" s="213" t="e">
        <f>'Hedged Adj Projected Carry'!S48</f>
        <v>#VALUE!</v>
      </c>
      <c r="T129" s="214" t="e">
        <f>'Hedged Adj Projected Carry'!T48</f>
        <v>#VALUE!</v>
      </c>
      <c r="U129" s="161" t="e">
        <f>'Hedged Adj Projected Carry'!U48</f>
        <v>#VALUE!</v>
      </c>
      <c r="V129" s="213" t="e">
        <f>'Hedged Adj Projected Carry'!V48</f>
        <v>#VALUE!</v>
      </c>
      <c r="W129" s="214" t="e">
        <f>'Hedged Adj Projected Carry'!W48</f>
        <v>#VALUE!</v>
      </c>
      <c r="X129" s="161" t="e">
        <f>'Hedged Adj Projected Carry'!X48</f>
        <v>#VALUE!</v>
      </c>
      <c r="Y129" s="214" t="e">
        <f>'Hedged Adj Projected Carry'!Y48</f>
        <v>#VALUE!</v>
      </c>
      <c r="Z129" s="297" t="e">
        <f>'Hedged Adj Projected Carry'!Z48</f>
        <v>#VALUE!</v>
      </c>
      <c r="AA129" s="294" t="e">
        <f>'Hedged Adj Projected Carry'!AA48</f>
        <v>#VALUE!</v>
      </c>
      <c r="AB129" s="294" t="e">
        <f>'Hedged Adj Projected Carry'!AB48</f>
        <v>#VALUE!</v>
      </c>
      <c r="AC129" s="161" t="e">
        <f>'Hedged Adj Projected Carry'!AC48</f>
        <v>#VALUE!</v>
      </c>
      <c r="AD129" s="213" t="e">
        <f>'Hedged Adj Projected Carry'!AD48</f>
        <v>#VALUE!</v>
      </c>
      <c r="AE129" s="215" t="e">
        <f>'Hedged Adj Projected Carry'!AE48</f>
        <v>#VALUE!</v>
      </c>
    </row>
    <row r="130" spans="8:31" ht="15" hidden="1">
      <c r="I130" s="216" t="str">
        <f>'Hedged Adj Projected Carry'!I49</f>
        <v>+50</v>
      </c>
      <c r="J130" s="109" t="e">
        <f>'Hedged Adj Projected Carry'!J49</f>
        <v>#VALUE!</v>
      </c>
      <c r="K130" s="41" t="e">
        <f>'Hedged Adj Projected Carry'!K49</f>
        <v>#VALUE!</v>
      </c>
      <c r="L130" s="269" t="e">
        <f>'Hedged Adj Projected Carry'!L49</f>
        <v>#VALUE!</v>
      </c>
      <c r="M130" s="40" t="e">
        <f>'Hedged Adj Projected Carry'!M49</f>
        <v>#VALUE!</v>
      </c>
      <c r="N130" s="40" t="e">
        <f>'Hedged Adj Projected Carry'!N49</f>
        <v>#VALUE!</v>
      </c>
      <c r="O130" s="41" t="e">
        <f>'Hedged Adj Projected Carry'!O49</f>
        <v>#VALUE!</v>
      </c>
      <c r="P130" s="39" t="e">
        <f>'Hedged Adj Projected Carry'!P49</f>
        <v>#VALUE!</v>
      </c>
      <c r="Q130" s="40" t="e">
        <f>'Hedged Adj Projected Carry'!Q49</f>
        <v>#VALUE!</v>
      </c>
      <c r="R130" s="40" t="e">
        <f>'Hedged Adj Projected Carry'!R49</f>
        <v>#VALUE!</v>
      </c>
      <c r="S130" s="40" t="e">
        <f>'Hedged Adj Projected Carry'!S49</f>
        <v>#VALUE!</v>
      </c>
      <c r="T130" s="41" t="e">
        <f>'Hedged Adj Projected Carry'!T49</f>
        <v>#VALUE!</v>
      </c>
      <c r="U130" s="39" t="e">
        <f>'Hedged Adj Projected Carry'!U49</f>
        <v>#VALUE!</v>
      </c>
      <c r="V130" s="40" t="e">
        <f>'Hedged Adj Projected Carry'!V49</f>
        <v>#VALUE!</v>
      </c>
      <c r="W130" s="41" t="e">
        <f>'Hedged Adj Projected Carry'!W49</f>
        <v>#VALUE!</v>
      </c>
      <c r="X130" s="39" t="e">
        <f>'Hedged Adj Projected Carry'!X49</f>
        <v>#VALUE!</v>
      </c>
      <c r="Y130" s="41" t="e">
        <f>'Hedged Adj Projected Carry'!Y49</f>
        <v>#VALUE!</v>
      </c>
      <c r="Z130" s="259" t="e">
        <f>'Hedged Adj Projected Carry'!Z49</f>
        <v>#VALUE!</v>
      </c>
      <c r="AA130" s="269" t="e">
        <f>'Hedged Adj Projected Carry'!AA49</f>
        <v>#VALUE!</v>
      </c>
      <c r="AB130" s="269" t="e">
        <f>'Hedged Adj Projected Carry'!AB49</f>
        <v>#VALUE!</v>
      </c>
      <c r="AC130" s="39" t="e">
        <f>'Hedged Adj Projected Carry'!AC49</f>
        <v>#VALUE!</v>
      </c>
      <c r="AD130" s="40" t="e">
        <f>'Hedged Adj Projected Carry'!AD49</f>
        <v>#VALUE!</v>
      </c>
      <c r="AE130" s="42" t="e">
        <f>'Hedged Adj Projected Carry'!AE49</f>
        <v>#VALUE!</v>
      </c>
    </row>
    <row r="131" spans="8:31" hidden="1"/>
    <row r="132" spans="8:31" hidden="1"/>
    <row r="133" spans="8:31" ht="15" hidden="1" customHeight="1">
      <c r="I133" s="303" t="s">
        <v>171</v>
      </c>
      <c r="J133" s="343" t="s">
        <v>175</v>
      </c>
      <c r="K133" s="344"/>
      <c r="L133" s="344"/>
      <c r="M133" s="344"/>
      <c r="N133" s="344"/>
      <c r="O133" s="344"/>
      <c r="P133" s="344"/>
      <c r="Q133" s="344"/>
      <c r="R133" s="344"/>
      <c r="S133" s="344"/>
      <c r="T133" s="344"/>
      <c r="U133" s="344"/>
      <c r="V133" s="344"/>
      <c r="W133" s="344"/>
      <c r="X133" s="344"/>
      <c r="Y133" s="344"/>
      <c r="Z133" s="344"/>
      <c r="AA133" s="344"/>
      <c r="AB133" s="344"/>
      <c r="AC133" s="344"/>
      <c r="AD133" s="344"/>
      <c r="AE133" s="345"/>
    </row>
    <row r="134" spans="8:31" ht="45" hidden="1" customHeight="1">
      <c r="I134" s="304"/>
      <c r="J134" s="290" t="str">
        <f>'Hedged Adj Projected Carry'!J54</f>
        <v>FN30.
300.
13</v>
      </c>
      <c r="K134" s="244" t="str">
        <f>'Hedged Adj Projected Carry'!K54</f>
        <v>FN30.
300.
12</v>
      </c>
      <c r="L134" s="321" t="str">
        <f>'Hedged Adj Projected Carry'!L54</f>
        <v>FN30.
350.
14</v>
      </c>
      <c r="M134" s="244" t="str">
        <f>'Hedged Adj Projected Carry'!M54</f>
        <v>FN30.
350.
13</v>
      </c>
      <c r="N134" s="309" t="str">
        <f>'Hedged Adj Projected Carry'!N54</f>
        <v>FN30.
350.
12</v>
      </c>
      <c r="O134" s="309" t="str">
        <f>'Hedged Adj Projected Carry'!O54</f>
        <v>FN30.
350.
10</v>
      </c>
      <c r="P134" s="307" t="str">
        <f>'Hedged Adj Projected Carry'!P54</f>
        <v>FN30.
400.
14</v>
      </c>
      <c r="Q134" s="309" t="str">
        <f>'Hedged Adj Projected Carry'!Q54</f>
        <v>FN30.
400.
13</v>
      </c>
      <c r="R134" s="309" t="str">
        <f>'Hedged Adj Projected Carry'!R54</f>
        <v>FN30.
400.
11</v>
      </c>
      <c r="S134" s="309" t="str">
        <f>'Hedged Adj Projected Carry'!S54</f>
        <v>FN30.
400.
10</v>
      </c>
      <c r="T134" s="309" t="str">
        <f>'Hedged Adj Projected Carry'!T54</f>
        <v>FN30.
400.
09</v>
      </c>
      <c r="U134" s="307" t="str">
        <f>'Hedged Adj Projected Carry'!U54</f>
        <v>FN30.
450.
11</v>
      </c>
      <c r="V134" s="309" t="str">
        <f>'Hedged Adj Projected Carry'!V54</f>
        <v>FN30.
450.
10</v>
      </c>
      <c r="W134" s="308" t="str">
        <f>'Hedged Adj Projected Carry'!W54</f>
        <v>FN30.
450.
09</v>
      </c>
      <c r="X134" s="309" t="str">
        <f>'Hedged Adj Projected Carry'!X54</f>
        <v>FN30.
500.
10</v>
      </c>
      <c r="Y134" s="309" t="str">
        <f>'Hedged Adj Projected Carry'!Y54</f>
        <v>FN30.
500.
09</v>
      </c>
      <c r="Z134" s="73" t="str">
        <f>'Hedged Adj Projected Carry'!Z54</f>
        <v>FN30.
550.
08</v>
      </c>
      <c r="AA134" s="73" t="str">
        <f>'Hedged Adj Projected Carry'!AA54</f>
        <v>FN30.
600.
08</v>
      </c>
      <c r="AB134" s="309" t="str">
        <f>'Hedged Adj Projected Carry'!AB54</f>
        <v>FN30.
650.
67</v>
      </c>
      <c r="AC134" s="307" t="str">
        <f>'Hedged Adj Projected Carry'!AC54</f>
        <v>GII30.
400.
10</v>
      </c>
      <c r="AD134" s="309" t="str">
        <f>'Hedged Adj Projected Carry'!AD54</f>
        <v>GII30.
450.
10</v>
      </c>
      <c r="AE134" s="308" t="str">
        <f>'Hedged Adj Projected Carry'!AE54</f>
        <v>GII30.
500.
10</v>
      </c>
    </row>
    <row r="135" spans="8:31" ht="15" hidden="1">
      <c r="I135" s="238" t="str">
        <f>'Hedged Adj Projected Carry'!I55</f>
        <v>Actual</v>
      </c>
      <c r="J135" s="320">
        <f>'Hedged Adj Projected Carry'!J55</f>
        <v>0</v>
      </c>
      <c r="K135" s="214">
        <f>'Hedged Adj Projected Carry'!K55</f>
        <v>0</v>
      </c>
      <c r="L135" s="294">
        <f>'Hedged Adj Projected Carry'!L55</f>
        <v>0</v>
      </c>
      <c r="M135" s="213">
        <f>'Hedged Adj Projected Carry'!M55</f>
        <v>0</v>
      </c>
      <c r="N135" s="213">
        <f>'Hedged Adj Projected Carry'!N55</f>
        <v>0</v>
      </c>
      <c r="O135" s="214">
        <f>'Hedged Adj Projected Carry'!O55</f>
        <v>0</v>
      </c>
      <c r="P135" s="161">
        <f>'Hedged Adj Projected Carry'!P55</f>
        <v>0</v>
      </c>
      <c r="Q135" s="213">
        <f>'Hedged Adj Projected Carry'!Q55</f>
        <v>0</v>
      </c>
      <c r="R135" s="213">
        <f>'Hedged Adj Projected Carry'!R55</f>
        <v>0</v>
      </c>
      <c r="S135" s="213">
        <f>'Hedged Adj Projected Carry'!S55</f>
        <v>0</v>
      </c>
      <c r="T135" s="214">
        <f>'Hedged Adj Projected Carry'!T55</f>
        <v>0</v>
      </c>
      <c r="U135" s="161">
        <f>'Hedged Adj Projected Carry'!U55</f>
        <v>0</v>
      </c>
      <c r="V135" s="213">
        <f>'Hedged Adj Projected Carry'!V55</f>
        <v>0</v>
      </c>
      <c r="W135" s="214">
        <f>'Hedged Adj Projected Carry'!W55</f>
        <v>0</v>
      </c>
      <c r="X135" s="161">
        <f>'Hedged Adj Projected Carry'!X55</f>
        <v>0</v>
      </c>
      <c r="Y135" s="214">
        <f>'Hedged Adj Projected Carry'!Y55</f>
        <v>0</v>
      </c>
      <c r="Z135" s="297">
        <f>'Hedged Adj Projected Carry'!Z55</f>
        <v>0</v>
      </c>
      <c r="AA135" s="294">
        <f>'Hedged Adj Projected Carry'!AA55</f>
        <v>0</v>
      </c>
      <c r="AB135" s="294">
        <f>'Hedged Adj Projected Carry'!AB55</f>
        <v>0</v>
      </c>
      <c r="AC135" s="161">
        <f>'Hedged Adj Projected Carry'!AC55</f>
        <v>0</v>
      </c>
      <c r="AD135" s="213">
        <f>'Hedged Adj Projected Carry'!AD55</f>
        <v>0</v>
      </c>
      <c r="AE135" s="215">
        <f>'Hedged Adj Projected Carry'!AE55</f>
        <v>0</v>
      </c>
    </row>
    <row r="136" spans="8:31" ht="15" hidden="1">
      <c r="I136" s="212" t="str">
        <f>'Hedged Adj Projected Carry'!I56</f>
        <v>+25</v>
      </c>
      <c r="J136" s="224" t="e">
        <f>'Hedged Adj Projected Carry'!J56</f>
        <v>#VALUE!</v>
      </c>
      <c r="K136" s="214" t="e">
        <f>'Hedged Adj Projected Carry'!K56</f>
        <v>#VALUE!</v>
      </c>
      <c r="L136" s="294" t="e">
        <f>'Hedged Adj Projected Carry'!L56</f>
        <v>#VALUE!</v>
      </c>
      <c r="M136" s="213" t="e">
        <f>'Hedged Adj Projected Carry'!M56</f>
        <v>#VALUE!</v>
      </c>
      <c r="N136" s="213" t="e">
        <f>'Hedged Adj Projected Carry'!N56</f>
        <v>#VALUE!</v>
      </c>
      <c r="O136" s="214" t="e">
        <f>'Hedged Adj Projected Carry'!O56</f>
        <v>#VALUE!</v>
      </c>
      <c r="P136" s="161" t="e">
        <f>'Hedged Adj Projected Carry'!P56</f>
        <v>#VALUE!</v>
      </c>
      <c r="Q136" s="213" t="e">
        <f>'Hedged Adj Projected Carry'!Q56</f>
        <v>#VALUE!</v>
      </c>
      <c r="R136" s="213" t="e">
        <f>'Hedged Adj Projected Carry'!R56</f>
        <v>#VALUE!</v>
      </c>
      <c r="S136" s="213" t="e">
        <f>'Hedged Adj Projected Carry'!S56</f>
        <v>#VALUE!</v>
      </c>
      <c r="T136" s="214" t="e">
        <f>'Hedged Adj Projected Carry'!T56</f>
        <v>#VALUE!</v>
      </c>
      <c r="U136" s="161" t="e">
        <f>'Hedged Adj Projected Carry'!U56</f>
        <v>#VALUE!</v>
      </c>
      <c r="V136" s="213" t="e">
        <f>'Hedged Adj Projected Carry'!V56</f>
        <v>#VALUE!</v>
      </c>
      <c r="W136" s="214" t="e">
        <f>'Hedged Adj Projected Carry'!W56</f>
        <v>#VALUE!</v>
      </c>
      <c r="X136" s="161" t="e">
        <f>'Hedged Adj Projected Carry'!X56</f>
        <v>#VALUE!</v>
      </c>
      <c r="Y136" s="214" t="e">
        <f>'Hedged Adj Projected Carry'!Y56</f>
        <v>#VALUE!</v>
      </c>
      <c r="Z136" s="297" t="e">
        <f>'Hedged Adj Projected Carry'!Z56</f>
        <v>#VALUE!</v>
      </c>
      <c r="AA136" s="294" t="e">
        <f>'Hedged Adj Projected Carry'!AA56</f>
        <v>#VALUE!</v>
      </c>
      <c r="AB136" s="294" t="e">
        <f>'Hedged Adj Projected Carry'!AB56</f>
        <v>#VALUE!</v>
      </c>
      <c r="AC136" s="161" t="e">
        <f>'Hedged Adj Projected Carry'!AC56</f>
        <v>#VALUE!</v>
      </c>
      <c r="AD136" s="213" t="e">
        <f>'Hedged Adj Projected Carry'!AD56</f>
        <v>#VALUE!</v>
      </c>
      <c r="AE136" s="215" t="e">
        <f>'Hedged Adj Projected Carry'!AE56</f>
        <v>#VALUE!</v>
      </c>
    </row>
    <row r="137" spans="8:31" ht="15" hidden="1">
      <c r="I137" s="216" t="str">
        <f>'Hedged Adj Projected Carry'!I57</f>
        <v>+50</v>
      </c>
      <c r="J137" s="109" t="e">
        <f>'Hedged Adj Projected Carry'!J57</f>
        <v>#VALUE!</v>
      </c>
      <c r="K137" s="41" t="e">
        <f>'Hedged Adj Projected Carry'!K57</f>
        <v>#VALUE!</v>
      </c>
      <c r="L137" s="269" t="e">
        <f>'Hedged Adj Projected Carry'!L57</f>
        <v>#VALUE!</v>
      </c>
      <c r="M137" s="40" t="e">
        <f>'Hedged Adj Projected Carry'!M57</f>
        <v>#VALUE!</v>
      </c>
      <c r="N137" s="40" t="e">
        <f>'Hedged Adj Projected Carry'!N57</f>
        <v>#VALUE!</v>
      </c>
      <c r="O137" s="41" t="e">
        <f>'Hedged Adj Projected Carry'!O57</f>
        <v>#VALUE!</v>
      </c>
      <c r="P137" s="39" t="e">
        <f>'Hedged Adj Projected Carry'!P57</f>
        <v>#VALUE!</v>
      </c>
      <c r="Q137" s="40" t="e">
        <f>'Hedged Adj Projected Carry'!Q57</f>
        <v>#VALUE!</v>
      </c>
      <c r="R137" s="40" t="e">
        <f>'Hedged Adj Projected Carry'!R57</f>
        <v>#VALUE!</v>
      </c>
      <c r="S137" s="40" t="e">
        <f>'Hedged Adj Projected Carry'!S57</f>
        <v>#VALUE!</v>
      </c>
      <c r="T137" s="41" t="e">
        <f>'Hedged Adj Projected Carry'!T57</f>
        <v>#VALUE!</v>
      </c>
      <c r="U137" s="39" t="e">
        <f>'Hedged Adj Projected Carry'!U57</f>
        <v>#VALUE!</v>
      </c>
      <c r="V137" s="40" t="e">
        <f>'Hedged Adj Projected Carry'!V57</f>
        <v>#VALUE!</v>
      </c>
      <c r="W137" s="41" t="e">
        <f>'Hedged Adj Projected Carry'!W57</f>
        <v>#VALUE!</v>
      </c>
      <c r="X137" s="39" t="e">
        <f>'Hedged Adj Projected Carry'!X57</f>
        <v>#VALUE!</v>
      </c>
      <c r="Y137" s="41" t="e">
        <f>'Hedged Adj Projected Carry'!Y57</f>
        <v>#VALUE!</v>
      </c>
      <c r="Z137" s="259" t="e">
        <f>'Hedged Adj Projected Carry'!Z57</f>
        <v>#VALUE!</v>
      </c>
      <c r="AA137" s="269" t="e">
        <f>'Hedged Adj Projected Carry'!AA57</f>
        <v>#VALUE!</v>
      </c>
      <c r="AB137" s="269" t="e">
        <f>'Hedged Adj Projected Carry'!AB57</f>
        <v>#VALUE!</v>
      </c>
      <c r="AC137" s="39" t="e">
        <f>'Hedged Adj Projected Carry'!AC57</f>
        <v>#VALUE!</v>
      </c>
      <c r="AD137" s="40" t="e">
        <f>'Hedged Adj Projected Carry'!AD57</f>
        <v>#VALUE!</v>
      </c>
      <c r="AE137" s="42" t="e">
        <f>'Hedged Adj Projected Carry'!AE57</f>
        <v>#VALUE!</v>
      </c>
    </row>
    <row r="138" spans="8:31" hidden="1"/>
    <row r="139" spans="8:31" hidden="1">
      <c r="H139" s="133" t="s">
        <v>89</v>
      </c>
    </row>
    <row r="140" spans="8:31" hidden="1"/>
    <row r="141" spans="8:31" hidden="1">
      <c r="H141" s="211" t="s">
        <v>163</v>
      </c>
    </row>
    <row r="142" spans="8:31" hidden="1"/>
    <row r="143" spans="8:31" hidden="1">
      <c r="H143" s="53" t="s">
        <v>181</v>
      </c>
    </row>
    <row r="144" spans="8:31" hidden="1"/>
    <row r="145" spans="8:31" hidden="1">
      <c r="H145" s="211" t="s">
        <v>185</v>
      </c>
    </row>
    <row r="146" spans="8:31" hidden="1">
      <c r="H146" s="211" t="s">
        <v>186</v>
      </c>
    </row>
    <row r="147" spans="8:31" hidden="1"/>
    <row r="148" spans="8:31" hidden="1"/>
    <row r="149" spans="8:31" hidden="1"/>
    <row r="150" spans="8:31" hidden="1"/>
    <row r="151" spans="8:31" hidden="1"/>
    <row r="152" spans="8:31" ht="15" hidden="1">
      <c r="H152" s="3" t="s">
        <v>46</v>
      </c>
    </row>
    <row r="153" spans="8:31" ht="15" hidden="1">
      <c r="H153" s="277"/>
      <c r="I153" s="277"/>
      <c r="J153" s="333" t="s">
        <v>177</v>
      </c>
      <c r="K153" s="333"/>
      <c r="L153" s="333"/>
      <c r="M153" s="333"/>
      <c r="N153" s="333"/>
      <c r="O153" s="333"/>
      <c r="P153" s="333"/>
      <c r="Q153" s="333"/>
      <c r="R153" s="333"/>
      <c r="S153" s="333"/>
      <c r="T153" s="333"/>
      <c r="U153" s="333"/>
      <c r="V153" s="333"/>
      <c r="W153" s="333"/>
      <c r="X153" s="333"/>
      <c r="Y153" s="333"/>
      <c r="Z153" s="333"/>
      <c r="AA153" s="333"/>
      <c r="AB153" s="333"/>
      <c r="AC153" s="333"/>
      <c r="AD153" s="333"/>
      <c r="AE153" s="334"/>
    </row>
    <row r="154" spans="8:31" ht="45" hidden="1">
      <c r="H154" s="241" t="s">
        <v>47</v>
      </c>
      <c r="I154" s="241" t="s">
        <v>0</v>
      </c>
      <c r="J154" s="278" t="s">
        <v>190</v>
      </c>
      <c r="K154" s="9" t="s">
        <v>1</v>
      </c>
      <c r="L154" s="10" t="s">
        <v>200</v>
      </c>
      <c r="M154" s="10" t="s">
        <v>191</v>
      </c>
      <c r="N154" s="9" t="s">
        <v>2</v>
      </c>
      <c r="O154" s="11" t="s">
        <v>5</v>
      </c>
      <c r="P154" s="10" t="s">
        <v>202</v>
      </c>
      <c r="Q154" s="9" t="s">
        <v>192</v>
      </c>
      <c r="R154" s="9" t="s">
        <v>3</v>
      </c>
      <c r="S154" s="9" t="s">
        <v>6</v>
      </c>
      <c r="T154" s="9" t="s">
        <v>9</v>
      </c>
      <c r="U154" s="10" t="s">
        <v>4</v>
      </c>
      <c r="V154" s="9" t="s">
        <v>7</v>
      </c>
      <c r="W154" s="11" t="s">
        <v>10</v>
      </c>
      <c r="X154" s="9" t="s">
        <v>8</v>
      </c>
      <c r="Y154" s="9" t="s">
        <v>11</v>
      </c>
      <c r="Z154" s="279" t="s">
        <v>12</v>
      </c>
      <c r="AA154" s="279" t="s">
        <v>13</v>
      </c>
      <c r="AB154" s="9" t="s">
        <v>14</v>
      </c>
      <c r="AC154" s="10" t="s">
        <v>15</v>
      </c>
      <c r="AD154" s="9" t="s">
        <v>16</v>
      </c>
      <c r="AE154" s="11" t="s">
        <v>17</v>
      </c>
    </row>
    <row r="155" spans="8:31" ht="15" hidden="1">
      <c r="H155" s="162">
        <f t="shared" ref="H155:I157" si="279">H34</f>
        <v>1</v>
      </c>
      <c r="I155" s="163">
        <f t="shared" si="279"/>
        <v>42215</v>
      </c>
      <c r="J155" s="34" t="e">
        <f>#REF!</f>
        <v>#REF!</v>
      </c>
      <c r="K155" s="165">
        <f>BE34</f>
        <v>0</v>
      </c>
      <c r="L155" s="34">
        <f>BG34</f>
        <v>0</v>
      </c>
      <c r="M155" s="34">
        <f>BM34</f>
        <v>0</v>
      </c>
      <c r="N155" s="164">
        <f>BQ34</f>
        <v>0</v>
      </c>
      <c r="O155" s="166">
        <f>BU34</f>
        <v>0</v>
      </c>
      <c r="P155" s="34">
        <f>BW34</f>
        <v>0</v>
      </c>
      <c r="Q155" s="251">
        <f>CC34</f>
        <v>0</v>
      </c>
      <c r="R155" s="164">
        <f>CG34</f>
        <v>0</v>
      </c>
      <c r="S155" s="164">
        <f>BC34</f>
        <v>-7.9429999999999996</v>
      </c>
      <c r="T155" s="165" t="str">
        <f>CO34</f>
        <v>E</v>
      </c>
      <c r="U155" s="34" t="str">
        <f>CS34</f>
        <v>E</v>
      </c>
      <c r="V155" s="164" t="str">
        <f>CW34</f>
        <v>E</v>
      </c>
      <c r="W155" s="166" t="str">
        <f>DA34</f>
        <v>E</v>
      </c>
      <c r="X155" s="251" t="str">
        <f>DE34</f>
        <v>E</v>
      </c>
      <c r="Y155" s="165" t="str">
        <f>DI34</f>
        <v>E</v>
      </c>
      <c r="Z155" s="257" t="str">
        <f>DM34</f>
        <v>E</v>
      </c>
      <c r="AA155" s="257" t="str">
        <f>DQ34</f>
        <v>E</v>
      </c>
      <c r="AB155" s="254" t="str">
        <f>DI34</f>
        <v>E</v>
      </c>
      <c r="AC155" s="34" t="str">
        <f>DY34</f>
        <v>E</v>
      </c>
      <c r="AD155" s="164" t="str">
        <f>EC34</f>
        <v>E</v>
      </c>
      <c r="AE155" s="166" t="str">
        <f>EG34</f>
        <v>E</v>
      </c>
    </row>
    <row r="156" spans="8:31" ht="15" hidden="1">
      <c r="H156" s="58">
        <f t="shared" si="279"/>
        <v>2</v>
      </c>
      <c r="I156" s="32">
        <f t="shared" si="279"/>
        <v>42246</v>
      </c>
      <c r="J156" s="37" t="e">
        <f>#REF!</f>
        <v>#REF!</v>
      </c>
      <c r="K156" s="36">
        <f>BE35</f>
        <v>0</v>
      </c>
      <c r="L156" s="37">
        <f>BG35</f>
        <v>0</v>
      </c>
      <c r="M156" s="37">
        <f>BM35</f>
        <v>0</v>
      </c>
      <c r="N156" s="35">
        <f>BQ35</f>
        <v>0</v>
      </c>
      <c r="O156" s="38">
        <f>BU35</f>
        <v>0</v>
      </c>
      <c r="P156" s="37">
        <f>BW35</f>
        <v>0</v>
      </c>
      <c r="Q156" s="252">
        <f>CC35</f>
        <v>0</v>
      </c>
      <c r="R156" s="35">
        <f>CG35</f>
        <v>0</v>
      </c>
      <c r="S156" s="35">
        <f>BC35</f>
        <v>-6.2460000000000004</v>
      </c>
      <c r="T156" s="36" t="str">
        <f>CO35</f>
        <v>E</v>
      </c>
      <c r="U156" s="37" t="str">
        <f>CS35</f>
        <v>E</v>
      </c>
      <c r="V156" s="35" t="str">
        <f>CW35</f>
        <v>E</v>
      </c>
      <c r="W156" s="38" t="str">
        <f>DA35</f>
        <v>E</v>
      </c>
      <c r="X156" s="252" t="str">
        <f>DE35</f>
        <v>E</v>
      </c>
      <c r="Y156" s="36" t="str">
        <f>DI35</f>
        <v>E</v>
      </c>
      <c r="Z156" s="258" t="str">
        <f>DM35</f>
        <v>E</v>
      </c>
      <c r="AA156" s="258" t="str">
        <f>DQ35</f>
        <v>E</v>
      </c>
      <c r="AB156" s="255" t="str">
        <f>DI35</f>
        <v>E</v>
      </c>
      <c r="AC156" s="37" t="str">
        <f>DY35</f>
        <v>E</v>
      </c>
      <c r="AD156" s="35" t="str">
        <f>EC35</f>
        <v>E</v>
      </c>
      <c r="AE156" s="38" t="str">
        <f>EG35</f>
        <v>E</v>
      </c>
    </row>
    <row r="157" spans="8:31" ht="15" hidden="1">
      <c r="H157" s="59">
        <f t="shared" si="279"/>
        <v>3</v>
      </c>
      <c r="I157" s="33">
        <f t="shared" si="279"/>
        <v>42277</v>
      </c>
      <c r="J157" s="39" t="e">
        <f>#REF!</f>
        <v>#REF!</v>
      </c>
      <c r="K157" s="41">
        <f>BE36</f>
        <v>0</v>
      </c>
      <c r="L157" s="39">
        <f>BG36</f>
        <v>0</v>
      </c>
      <c r="M157" s="39">
        <f>BM36</f>
        <v>0</v>
      </c>
      <c r="N157" s="40">
        <f>BQ36</f>
        <v>0</v>
      </c>
      <c r="O157" s="42">
        <f>BU36</f>
        <v>0</v>
      </c>
      <c r="P157" s="39">
        <f>BW36</f>
        <v>0</v>
      </c>
      <c r="Q157" s="253">
        <f>CC36</f>
        <v>0</v>
      </c>
      <c r="R157" s="40">
        <f>CG36</f>
        <v>0</v>
      </c>
      <c r="S157" s="40">
        <f>BC36</f>
        <v>-4.6210000000000004</v>
      </c>
      <c r="T157" s="41" t="str">
        <f>CO36</f>
        <v>E</v>
      </c>
      <c r="U157" s="39" t="str">
        <f>CS36</f>
        <v>E</v>
      </c>
      <c r="V157" s="40" t="str">
        <f>CW36</f>
        <v>E</v>
      </c>
      <c r="W157" s="42" t="str">
        <f>DA36</f>
        <v>E</v>
      </c>
      <c r="X157" s="253" t="str">
        <f>DE36</f>
        <v>E</v>
      </c>
      <c r="Y157" s="41" t="str">
        <f>DI36</f>
        <v>E</v>
      </c>
      <c r="Z157" s="259" t="str">
        <f>DM36</f>
        <v>E</v>
      </c>
      <c r="AA157" s="259" t="str">
        <f>DQ36</f>
        <v>E</v>
      </c>
      <c r="AB157" s="256" t="str">
        <f>DI36</f>
        <v>E</v>
      </c>
      <c r="AC157" s="39" t="str">
        <f>DY36</f>
        <v>E</v>
      </c>
      <c r="AD157" s="40" t="str">
        <f>EC36</f>
        <v>E</v>
      </c>
      <c r="AE157" s="42" t="str">
        <f>EG36</f>
        <v>E</v>
      </c>
    </row>
    <row r="158" spans="8:31" ht="15" hidden="1">
      <c r="M158" s="233"/>
      <c r="N158" s="234"/>
      <c r="O158" s="234"/>
      <c r="P158" s="234"/>
      <c r="Q158" s="234"/>
      <c r="R158" s="234"/>
      <c r="S158" s="234"/>
      <c r="T158" s="234"/>
      <c r="U158" s="234"/>
      <c r="V158" s="234"/>
      <c r="W158" s="234"/>
      <c r="X158" s="234"/>
      <c r="Y158" s="234"/>
      <c r="Z158" s="235"/>
      <c r="AA158" s="236"/>
      <c r="AB158" s="234"/>
      <c r="AC158" s="237"/>
    </row>
    <row r="159" spans="8:31" ht="11.25" hidden="1" customHeight="1"/>
    <row r="160" spans="8:31" hidden="1"/>
    <row r="161" spans="13:29" hidden="1"/>
    <row r="162" spans="13:29" hidden="1"/>
    <row r="163" spans="13:29" hidden="1"/>
    <row r="164" spans="13:29" hidden="1"/>
    <row r="165" spans="13:29" hidden="1"/>
    <row r="166" spans="13:29" hidden="1"/>
    <row r="167" spans="13:29" hidden="1"/>
    <row r="168" spans="13:29" hidden="1"/>
    <row r="169" spans="13:29" hidden="1"/>
    <row r="170" spans="13:29" hidden="1"/>
    <row r="171" spans="13:29" hidden="1">
      <c r="M171" s="13" t="s">
        <v>18</v>
      </c>
      <c r="N171" s="2" t="s">
        <v>19</v>
      </c>
      <c r="O171" s="2" t="s">
        <v>21</v>
      </c>
      <c r="P171" s="2" t="s">
        <v>24</v>
      </c>
      <c r="Q171" s="13" t="s">
        <v>20</v>
      </c>
      <c r="R171" s="13" t="s">
        <v>22</v>
      </c>
      <c r="S171" s="13" t="s">
        <v>25</v>
      </c>
      <c r="T171" s="13" t="s">
        <v>27</v>
      </c>
      <c r="U171" s="13" t="s">
        <v>23</v>
      </c>
      <c r="V171" s="13" t="s">
        <v>26</v>
      </c>
      <c r="W171" s="2" t="s">
        <v>28</v>
      </c>
      <c r="X171" s="13" t="s">
        <v>29</v>
      </c>
      <c r="Y171" s="13" t="s">
        <v>30</v>
      </c>
      <c r="Z171" s="2" t="s">
        <v>31</v>
      </c>
      <c r="AA171" s="2" t="s">
        <v>32</v>
      </c>
      <c r="AB171" s="2" t="s">
        <v>33</v>
      </c>
      <c r="AC171" s="2" t="s">
        <v>34</v>
      </c>
    </row>
    <row r="172" spans="13:29" hidden="1">
      <c r="M172" s="2" t="str">
        <f>[1]!YBHIST(M171&amp;"(IOX)",CurrentCloseDate,"Price","sec","")</f>
        <v>E</v>
      </c>
      <c r="N172" s="2" t="str">
        <f>[1]!YBHIST(N171&amp;"(IOX)",CurrentCloseDate,"Price","sec","")</f>
        <v>E</v>
      </c>
      <c r="O172" s="2" t="str">
        <f>[1]!YBHIST(O171&amp;"(IOX)",CurrentCloseDate,"Price","sec","")</f>
        <v>E</v>
      </c>
      <c r="P172" s="2" t="str">
        <f>[1]!YBHIST(P171&amp;"(IOX)",CurrentCloseDate,"Price","sec","")</f>
        <v>E</v>
      </c>
      <c r="Q172" s="2" t="str">
        <f>[1]!YBHIST(Q171&amp;"(IOX)",CurrentCloseDate,"Price","sec","")</f>
        <v>E</v>
      </c>
      <c r="R172" s="2">
        <f>[1]!YBHIST(R171&amp;"(IOX)",CurrentCloseDate,"Price","sec","")</f>
        <v>22.546880999999999</v>
      </c>
      <c r="S172" s="2" t="str">
        <f>[1]!YBHIST(S171&amp;"(IOX)",CurrentCloseDate,"Price","sec","")</f>
        <v>E</v>
      </c>
      <c r="T172" s="2" t="str">
        <f>[1]!YBHIST(T171&amp;"(IOX)",CurrentCloseDate,"Price","sec","")</f>
        <v>E</v>
      </c>
      <c r="U172" s="2" t="str">
        <f>[1]!YBHIST(U171&amp;"(IOX)",CurrentCloseDate,"Price","sec","")</f>
        <v>E</v>
      </c>
      <c r="V172" s="2" t="str">
        <f>[1]!YBHIST(V171&amp;"(IOX)",CurrentCloseDate,"Price","sec","")</f>
        <v>E</v>
      </c>
      <c r="W172" s="2" t="str">
        <f>[1]!YBHIST(W171&amp;"(IOX)",CurrentCloseDate,"Price","sec","")</f>
        <v>E</v>
      </c>
      <c r="X172" s="2" t="str">
        <f>[1]!YBHIST(X171&amp;"(IOX)",CurrentCloseDate,"Price","sec","")</f>
        <v>E</v>
      </c>
      <c r="Y172" s="2" t="str">
        <f>[1]!YBHIST(Y171&amp;"(IOX)",CurrentCloseDate,"Price","sec","")</f>
        <v>E</v>
      </c>
      <c r="Z172" s="2" t="str">
        <f>[1]!YBHIST(Z171&amp;"(IOX)",CurrentCloseDate,"Price","sec","")</f>
        <v>E</v>
      </c>
      <c r="AA172" s="2" t="str">
        <f>[1]!YBHIST(AA171&amp;"(IOX)",CurrentCloseDate,"Price","sec","")</f>
        <v>E</v>
      </c>
      <c r="AB172" s="2" t="str">
        <f>[1]!YBHIST(AB171&amp;"(IOX)",CurrentCloseDate,"Price","sec","")</f>
        <v>E</v>
      </c>
      <c r="AC172" s="2" t="str">
        <f>[1]!YBHIST(AC171&amp;"(IOX)",CurrentCloseDate,"Price","sec","")</f>
        <v>E</v>
      </c>
    </row>
    <row r="173" spans="13:29" hidden="1">
      <c r="M173" s="7" t="str">
        <f>[1]!YBPRICE(M171&amp;"(IOX)",M172&amp;"d","Market","OAS","Swap",CurrentCloseDate,"LMMSkew","",$F$59,100,"")</f>
        <v>E</v>
      </c>
      <c r="N173" s="7" t="str">
        <f>[1]!YBPRICE(N171&amp;"(IOX)",N172&amp;"d","Market","OAS","Swap",CurrentCloseDate,"LMMSkew","",$F$59,100,"")</f>
        <v>E</v>
      </c>
      <c r="O173" s="7" t="str">
        <f>[1]!YBPRICE(O171&amp;"(IOX)",O172&amp;"d","Market","OAS","Swap",CurrentCloseDate,"LMMSkew","",$F$59,100,"")</f>
        <v>E</v>
      </c>
      <c r="P173" s="7" t="str">
        <f>[1]!YBPRICE(P171&amp;"(IOX)",P172&amp;"d","Market","OAS","Swap",CurrentCloseDate,"LMMSkew","",$F$59,100,"")</f>
        <v>E</v>
      </c>
      <c r="Q173" s="7" t="str">
        <f>[1]!YBPRICE(Q171&amp;"(IOX)",Q172&amp;"d","Market","OAS","Swap",CurrentCloseDate,"LMMSkew","",$F$59,100,"")</f>
        <v>E</v>
      </c>
      <c r="R173" s="7">
        <f>[1]!YBPRICE(R171&amp;"(IOX)",R172&amp;"d","Market","OAS","Swap",CurrentCloseDate,"LMMSkew","",$F$59,100,"")</f>
        <v>41.058</v>
      </c>
      <c r="S173" s="7" t="str">
        <f>[1]!YBPRICE(S171&amp;"(IOX)",S172&amp;"d","Market","OAS","Swap",CurrentCloseDate,"LMMSkew","",$F$59,100,"")</f>
        <v>E</v>
      </c>
      <c r="T173" s="7" t="str">
        <f>[1]!YBPRICE(T171&amp;"(IOX)",T172&amp;"d","Market","OAS","Swap",CurrentCloseDate,"LMMSkew","",$F$59,100,"")</f>
        <v>E</v>
      </c>
      <c r="U173" s="7" t="str">
        <f>[1]!YBPRICE(U171&amp;"(IOX)",U172&amp;"d","Market","OAS","Swap",CurrentCloseDate,"LMMSkew","",$F$59,100,"")</f>
        <v>E</v>
      </c>
      <c r="V173" s="7" t="str">
        <f>[1]!YBPRICE(V171&amp;"(IOX)",V172&amp;"d","Market","OAS","Swap",CurrentCloseDate,"LMMSkew","",$F$59,100,"")</f>
        <v>E</v>
      </c>
      <c r="W173" s="7" t="str">
        <f>[1]!YBPRICE(W171&amp;"(IOX)",W172&amp;"d","Market","OAS","Swap",CurrentCloseDate,"LMMSkew","",$F$59,100,"")</f>
        <v>E</v>
      </c>
      <c r="X173" s="7" t="str">
        <f>[1]!YBPRICE(X171&amp;"(IOX)",X172&amp;"d","Market","OAS","Swap",CurrentCloseDate,"LMMSkew","",$F$59,100,"")</f>
        <v>E</v>
      </c>
      <c r="Y173" s="7" t="str">
        <f>[1]!YBPRICE(Y171&amp;"(IOX)",Y172&amp;"d","Market","OAS","Swap",CurrentCloseDate,"LMMSkew","",$F$59,100,"")</f>
        <v>E</v>
      </c>
      <c r="Z173" s="7" t="str">
        <f>[1]!YBPRICE(Z171&amp;"(IOX)",Z172&amp;"d","Market","OAS","Swap",CurrentCloseDate,"LMMSkew","",$F$59,100,"")</f>
        <v>E</v>
      </c>
      <c r="AA173" s="7" t="str">
        <f>[1]!YBPRICE(AA171&amp;"(IOX)",AA172&amp;"d","Market","OAS","Swap",CurrentCloseDate,"LMMSkew","",$F$59,100,"")</f>
        <v>E</v>
      </c>
      <c r="AB173" s="7" t="str">
        <f>[1]!YBPRICE(AB171&amp;"(IOX)",AB172&amp;"d","Market","OAS","Swap",CurrentCloseDate,"LMMSkew","",$F$59,100,"")</f>
        <v>E</v>
      </c>
      <c r="AC173" s="7" t="str">
        <f>[1]!YBPRICE(AC171&amp;"(IOX)",AC172&amp;"d","Market","OAS","Swap",CurrentCloseDate,"LMMSkew","",$F$59,100,"")</f>
        <v>E</v>
      </c>
    </row>
    <row r="174" spans="13:29" hidden="1"/>
    <row r="175" spans="13:29" hidden="1">
      <c r="M175" s="2" t="str">
        <f>[1]!YBSCEN(M$171&amp;"(IOX)",M$173&amp;"o","Market","PriceAtHorizon","Swap",CurrentCloseDate,"LMMSkew","",$F59,$G59,0,0,"Immediate","ParShift|N",Down25,"OAS Change",0,,"EFF",,,,0,,,,"Default",,)</f>
        <v>E</v>
      </c>
      <c r="N175" s="2" t="str">
        <f>[1]!YBSCEN(N$171&amp;"(IOX)",N$173&amp;"o","Market","PriceAtHorizon","Swap",CurrentCloseDate,"LMMSkew","",$F59,$G59,0,0,"Immediate","ParShift|N",Down25,"OAS Change",0,,"EFF",,,,0,,,,"Default",,)</f>
        <v>E</v>
      </c>
      <c r="O175" s="2" t="str">
        <f>[1]!YBSCEN(O$171&amp;"(IOX)",O$173&amp;"o","Market","PriceAtHorizon","Swap",CurrentCloseDate,"LMMSkew","",$F59,$G59,0,0,"Immediate","ParShift|N",Down25,"OAS Change",0,,"EFF",,,,0,,,,"Default",,)</f>
        <v>E</v>
      </c>
      <c r="P175" s="2" t="str">
        <f>[1]!YBSCEN(P$171&amp;"(IOX)",P$173&amp;"o","Market","PriceAtHorizon","Swap",CurrentCloseDate,"LMMSkew","",$F59,$G59,0,0,"Immediate","ParShift|N",Down25,"OAS Change",0,,"EFF",,,,0,,,,"Default",,)</f>
        <v>E</v>
      </c>
      <c r="Q175" s="2" t="str">
        <f>[1]!YBSCEN(Q$171&amp;"(IOX)",Q$173&amp;"o","Market","PriceAtHorizon","Swap",CurrentCloseDate,"LMMSkew","",$F59,$G59,0,0,"Immediate","ParShift|N",Down25,"OAS Change",0,,"EFF",,,,0,,,,"Default",,)</f>
        <v>E</v>
      </c>
      <c r="R175" s="2" t="str">
        <f>[1]!YBSCEN(R$171&amp;"(IOX)",R$173&amp;"o","Market","PriceAtHorizon","Swap",CurrentCloseDate,"LMMSkew","",$F59,$G59,0,0,"Immediate","ParShift|N",Down25,"OAS Change",0,,"EFF",,,,0,,,,"Default",,)</f>
        <v>E</v>
      </c>
      <c r="S175" s="2" t="str">
        <f>[1]!YBSCEN(S$171&amp;"(IOX)",S$173&amp;"o","Market","PriceAtHorizon","Swap",CurrentCloseDate,"LMMSkew","",$F59,$G59,0,0,"Immediate","ParShift|N",Down25,"OAS Change",0,,"EFF",,,,0,,,,"Default",,)</f>
        <v>E</v>
      </c>
      <c r="T175" s="2" t="str">
        <f>[1]!YBSCEN(T$171&amp;"(IOX)",T$173&amp;"o","Market","PriceAtHorizon","Swap",CurrentCloseDate,"LMMSkew","",$F59,$G59,0,0,"Immediate","ParShift|N",Down25,"OAS Change",0,,"EFF",,,,0,,,,"Default",,)</f>
        <v>E</v>
      </c>
      <c r="U175" s="2" t="str">
        <f>[1]!YBSCEN(U$171&amp;"(IOX)",U$173&amp;"o","Market","PriceAtHorizon","Swap",CurrentCloseDate,"LMMSkew","",$F59,$G59,0,0,"Immediate","ParShift|N",Down25,"OAS Change",0,,"EFF",,,,0,,,,"Default",,)</f>
        <v>E</v>
      </c>
      <c r="V175" s="2" t="str">
        <f>[1]!YBSCEN(V$171&amp;"(IOX)",V$173&amp;"o","Market","PriceAtHorizon","Swap",CurrentCloseDate,"LMMSkew","",$F59,$G59,0,0,"Immediate","ParShift|N",Down25,"OAS Change",0,,"EFF",,,,0,,,,"Default",,)</f>
        <v>E</v>
      </c>
      <c r="W175" s="2" t="str">
        <f>[1]!YBSCEN(W$171&amp;"(IOX)",W$173&amp;"o","Market","PriceAtHorizon","Swap",CurrentCloseDate,"LMMSkew","",$F59,$G59,0,0,"Immediate","ParShift|N",Down25,"OAS Change",0,,"EFF",,,,0,,,,"Default",,)</f>
        <v>E</v>
      </c>
      <c r="X175" s="2" t="str">
        <f>[1]!YBSCEN(X$171&amp;"(IOX)",X$173&amp;"o","Market","PriceAtHorizon","Swap",CurrentCloseDate,"LMMSkew","",$F59,$G59,0,0,"Immediate","ParShift|N",Down25,"OAS Change",0,,"EFF",,,,0,,,,"Default",,)</f>
        <v>E</v>
      </c>
      <c r="Y175" s="2" t="str">
        <f>[1]!YBSCEN(Y$171&amp;"(IOX)",Y$173&amp;"o","Market","PriceAtHorizon","Swap",CurrentCloseDate,"LMMSkew","",$F59,$G59,0,0,"Immediate","ParShift|N",Down25,"OAS Change",0,,"EFF",,,,0,,,,"Default",,)</f>
        <v>E</v>
      </c>
      <c r="Z175" s="2" t="str">
        <f>[1]!YBSCEN(Z$171&amp;"(IOX)",Z$173&amp;"o","Market","PriceAtHorizon","Swap",CurrentCloseDate,"LMMSkew","",$F59,$G59,0,0,"Immediate","ParShift|N",Down25,"OAS Change",0,,"EFF",,,,0,,,,"Default",,)</f>
        <v>E</v>
      </c>
      <c r="AA175" s="2" t="str">
        <f>[1]!YBSCEN(AA$171&amp;"(IOX)",AA$173&amp;"o","Market","PriceAtHorizon","Swap",CurrentCloseDate,"LMMSkew","",$F59,$G59,0,0,"Immediate","ParShift|N",Down25,"OAS Change",0,,"EFF",,,,0,,,,"Default",,)</f>
        <v>E</v>
      </c>
      <c r="AB175" s="2" t="str">
        <f>[1]!YBSCEN(AB$171&amp;"(IOX)",AB$173&amp;"o","Market","PriceAtHorizon","Swap",CurrentCloseDate,"LMMSkew","",$F59,$G59,0,0,"Immediate","ParShift|N",Down25,"OAS Change",0,,"EFF",,,,0,,,,"Default",,)</f>
        <v>E</v>
      </c>
      <c r="AC175" s="2" t="str">
        <f>[1]!YBSCEN(AC$171&amp;"(IOX)",AC$173&amp;"o","Market","PriceAtHorizon","Swap",CurrentCloseDate,"LMMSkew","",$F59,$G59,0,0,"Immediate","ParShift|N",Down25,"OAS Change",0,,"EFF",,,,0,,,,"Default",,)</f>
        <v>E</v>
      </c>
    </row>
    <row r="176" spans="13:29" hidden="1"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</row>
    <row r="177" spans="8:31" hidden="1"/>
    <row r="178" spans="8:31" hidden="1"/>
    <row r="179" spans="8:31" hidden="1"/>
    <row r="180" spans="8:31" hidden="1"/>
    <row r="181" spans="8:31" hidden="1"/>
    <row r="182" spans="8:31" ht="15" hidden="1">
      <c r="H182" s="3"/>
    </row>
    <row r="183" spans="8:31" ht="15" hidden="1">
      <c r="H183" s="3" t="s">
        <v>48</v>
      </c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</row>
    <row r="184" spans="8:31" ht="15" hidden="1">
      <c r="H184" s="277"/>
      <c r="I184" s="277"/>
      <c r="J184" s="332" t="s">
        <v>178</v>
      </c>
      <c r="K184" s="333"/>
      <c r="L184" s="333"/>
      <c r="M184" s="333"/>
      <c r="N184" s="333"/>
      <c r="O184" s="333"/>
      <c r="P184" s="333"/>
      <c r="Q184" s="333"/>
      <c r="R184" s="333"/>
      <c r="S184" s="333"/>
      <c r="T184" s="333"/>
      <c r="U184" s="333"/>
      <c r="V184" s="333"/>
      <c r="W184" s="333"/>
      <c r="X184" s="333"/>
      <c r="Y184" s="333"/>
      <c r="Z184" s="333"/>
      <c r="AA184" s="333"/>
      <c r="AB184" s="333"/>
      <c r="AC184" s="333"/>
      <c r="AD184" s="333"/>
      <c r="AE184" s="334"/>
    </row>
    <row r="185" spans="8:31" ht="45" hidden="1">
      <c r="H185" s="241" t="s">
        <v>47</v>
      </c>
      <c r="I185" s="241" t="s">
        <v>0</v>
      </c>
      <c r="J185" s="278" t="s">
        <v>190</v>
      </c>
      <c r="K185" s="9" t="s">
        <v>1</v>
      </c>
      <c r="L185" s="10" t="s">
        <v>200</v>
      </c>
      <c r="M185" s="9" t="s">
        <v>191</v>
      </c>
      <c r="N185" s="9" t="s">
        <v>2</v>
      </c>
      <c r="O185" s="11" t="s">
        <v>5</v>
      </c>
      <c r="P185" s="10" t="s">
        <v>202</v>
      </c>
      <c r="Q185" s="9" t="s">
        <v>192</v>
      </c>
      <c r="R185" s="9" t="s">
        <v>3</v>
      </c>
      <c r="S185" s="9" t="s">
        <v>6</v>
      </c>
      <c r="T185" s="9" t="s">
        <v>9</v>
      </c>
      <c r="U185" s="10" t="s">
        <v>4</v>
      </c>
      <c r="V185" s="9" t="s">
        <v>7</v>
      </c>
      <c r="W185" s="11" t="s">
        <v>10</v>
      </c>
      <c r="X185" s="9" t="s">
        <v>8</v>
      </c>
      <c r="Y185" s="9" t="s">
        <v>11</v>
      </c>
      <c r="Z185" s="279" t="s">
        <v>12</v>
      </c>
      <c r="AA185" s="279" t="s">
        <v>13</v>
      </c>
      <c r="AB185" s="9" t="s">
        <v>14</v>
      </c>
      <c r="AC185" s="10" t="s">
        <v>15</v>
      </c>
      <c r="AD185" s="9" t="s">
        <v>16</v>
      </c>
      <c r="AE185" s="11" t="s">
        <v>17</v>
      </c>
    </row>
    <row r="186" spans="8:31" ht="15" hidden="1">
      <c r="H186" s="162">
        <f>H59</f>
        <v>1</v>
      </c>
      <c r="I186" s="163">
        <f>I90</f>
        <v>42215</v>
      </c>
      <c r="J186" s="34" t="str">
        <f>BA59</f>
        <v>E</v>
      </c>
      <c r="K186" s="165" t="str">
        <f>BE59</f>
        <v>E</v>
      </c>
      <c r="L186" s="34" t="str">
        <f>BG59</f>
        <v>E</v>
      </c>
      <c r="M186" s="164" t="str">
        <f>BM59</f>
        <v>E</v>
      </c>
      <c r="N186" s="164" t="str">
        <f>BQ59</f>
        <v>E</v>
      </c>
      <c r="O186" s="166" t="str">
        <f>BU59</f>
        <v>E</v>
      </c>
      <c r="P186" s="34" t="str">
        <f>BW59</f>
        <v>E</v>
      </c>
      <c r="Q186" s="251" t="str">
        <f>CC59</f>
        <v>E</v>
      </c>
      <c r="R186" s="164" t="str">
        <f>CG59</f>
        <v>E</v>
      </c>
      <c r="S186" s="164" t="str">
        <f>CK59</f>
        <v>E</v>
      </c>
      <c r="T186" s="165" t="str">
        <f>CO59</f>
        <v>E</v>
      </c>
      <c r="U186" s="34" t="str">
        <f>CS59</f>
        <v>E</v>
      </c>
      <c r="V186" s="164" t="str">
        <f>CW59</f>
        <v>E</v>
      </c>
      <c r="W186" s="166" t="str">
        <f>DA59</f>
        <v>E</v>
      </c>
      <c r="X186" s="251" t="str">
        <f>DE59</f>
        <v>E</v>
      </c>
      <c r="Y186" s="165" t="str">
        <f>DI59</f>
        <v>E</v>
      </c>
      <c r="Z186" s="257" t="str">
        <f>DM59</f>
        <v>E</v>
      </c>
      <c r="AA186" s="257" t="str">
        <f>DQ59</f>
        <v>E</v>
      </c>
      <c r="AB186" s="254" t="str">
        <f>DI59</f>
        <v>E</v>
      </c>
      <c r="AC186" s="34" t="str">
        <f>DY59</f>
        <v>E</v>
      </c>
      <c r="AD186" s="164" t="str">
        <f>EC59</f>
        <v>E</v>
      </c>
      <c r="AE186" s="166" t="str">
        <f>EG59</f>
        <v>E</v>
      </c>
    </row>
    <row r="187" spans="8:31" ht="15" hidden="1">
      <c r="H187" s="58">
        <f t="shared" ref="H187:H188" si="280">H60</f>
        <v>2</v>
      </c>
      <c r="I187" s="32">
        <f>I91</f>
        <v>42246</v>
      </c>
      <c r="J187" s="37" t="str">
        <f t="shared" ref="J187:J188" si="281">BA60</f>
        <v>E</v>
      </c>
      <c r="K187" s="36" t="str">
        <f t="shared" ref="K187:K188" si="282">BE60</f>
        <v>E</v>
      </c>
      <c r="L187" s="37" t="str">
        <f t="shared" ref="L187:L188" si="283">BG60</f>
        <v>E</v>
      </c>
      <c r="M187" s="35" t="str">
        <f>BM60</f>
        <v>E</v>
      </c>
      <c r="N187" s="35" t="str">
        <f>BQ60</f>
        <v>E</v>
      </c>
      <c r="O187" s="38" t="str">
        <f>BU60</f>
        <v>E</v>
      </c>
      <c r="P187" s="37" t="str">
        <f t="shared" ref="P187:P188" si="284">BW60</f>
        <v>E</v>
      </c>
      <c r="Q187" s="252" t="str">
        <f>CC60</f>
        <v>E</v>
      </c>
      <c r="R187" s="35" t="str">
        <f>CG60</f>
        <v>E</v>
      </c>
      <c r="S187" s="35" t="str">
        <f>CK60</f>
        <v>E</v>
      </c>
      <c r="T187" s="36" t="str">
        <f>CO60</f>
        <v>E</v>
      </c>
      <c r="U187" s="37" t="str">
        <f>CS60</f>
        <v>E</v>
      </c>
      <c r="V187" s="35" t="str">
        <f>CW60</f>
        <v>E</v>
      </c>
      <c r="W187" s="38" t="str">
        <f>DA60</f>
        <v>E</v>
      </c>
      <c r="X187" s="252" t="str">
        <f>DE60</f>
        <v>E</v>
      </c>
      <c r="Y187" s="36" t="str">
        <f>DI60</f>
        <v>E</v>
      </c>
      <c r="Z187" s="258" t="str">
        <f>DM60</f>
        <v>E</v>
      </c>
      <c r="AA187" s="258" t="str">
        <f>DQ60</f>
        <v>E</v>
      </c>
      <c r="AB187" s="255" t="str">
        <f>DI60</f>
        <v>E</v>
      </c>
      <c r="AC187" s="37" t="str">
        <f>DY60</f>
        <v>E</v>
      </c>
      <c r="AD187" s="35" t="str">
        <f>EC60</f>
        <v>E</v>
      </c>
      <c r="AE187" s="38" t="str">
        <f>EG60</f>
        <v>E</v>
      </c>
    </row>
    <row r="188" spans="8:31" ht="15" hidden="1">
      <c r="H188" s="59">
        <f t="shared" si="280"/>
        <v>3</v>
      </c>
      <c r="I188" s="33">
        <f>I92</f>
        <v>42277</v>
      </c>
      <c r="J188" s="39" t="str">
        <f t="shared" si="281"/>
        <v>E</v>
      </c>
      <c r="K188" s="41" t="str">
        <f t="shared" si="282"/>
        <v>E</v>
      </c>
      <c r="L188" s="39" t="str">
        <f t="shared" si="283"/>
        <v>E</v>
      </c>
      <c r="M188" s="40" t="str">
        <f>BM61</f>
        <v>E</v>
      </c>
      <c r="N188" s="40" t="str">
        <f>BQ61</f>
        <v>E</v>
      </c>
      <c r="O188" s="42" t="str">
        <f>BU61</f>
        <v>E</v>
      </c>
      <c r="P188" s="39" t="str">
        <f t="shared" si="284"/>
        <v>E</v>
      </c>
      <c r="Q188" s="253" t="str">
        <f>CC61</f>
        <v>E</v>
      </c>
      <c r="R188" s="40" t="str">
        <f>CG61</f>
        <v>E</v>
      </c>
      <c r="S188" s="40" t="str">
        <f>CK61</f>
        <v>E</v>
      </c>
      <c r="T188" s="41" t="str">
        <f>CO61</f>
        <v>E</v>
      </c>
      <c r="U188" s="39" t="str">
        <f>CS61</f>
        <v>E</v>
      </c>
      <c r="V188" s="40" t="str">
        <f>CW61</f>
        <v>E</v>
      </c>
      <c r="W188" s="42" t="str">
        <f>DA61</f>
        <v>E</v>
      </c>
      <c r="X188" s="253" t="str">
        <f>DE61</f>
        <v>E</v>
      </c>
      <c r="Y188" s="41" t="str">
        <f>DI61</f>
        <v>E</v>
      </c>
      <c r="Z188" s="259" t="str">
        <f>DM61</f>
        <v>E</v>
      </c>
      <c r="AA188" s="259" t="str">
        <f>DQ61</f>
        <v>E</v>
      </c>
      <c r="AB188" s="256" t="str">
        <f>DI61</f>
        <v>E</v>
      </c>
      <c r="AC188" s="39" t="str">
        <f>DY61</f>
        <v>E</v>
      </c>
      <c r="AD188" s="40" t="str">
        <f>EC61</f>
        <v>E</v>
      </c>
      <c r="AE188" s="42" t="str">
        <f>EG61</f>
        <v>E</v>
      </c>
    </row>
    <row r="189" spans="8:31" hidden="1"/>
    <row r="190" spans="8:31" hidden="1"/>
    <row r="191" spans="8:31" hidden="1"/>
    <row r="192" spans="8:31" hidden="1"/>
    <row r="193" spans="13:29" hidden="1"/>
    <row r="194" spans="13:29" hidden="1"/>
    <row r="195" spans="13:29" hidden="1"/>
    <row r="196" spans="13:29" hidden="1">
      <c r="W196" s="1"/>
    </row>
    <row r="197" spans="13:29" hidden="1"/>
    <row r="198" spans="13:29" hidden="1"/>
    <row r="199" spans="13:29" hidden="1"/>
    <row r="200" spans="13:29" hidden="1"/>
    <row r="201" spans="13:29" hidden="1"/>
    <row r="202" spans="13:29" hidden="1">
      <c r="M202" s="13" t="s">
        <v>18</v>
      </c>
      <c r="N202" s="2" t="s">
        <v>19</v>
      </c>
      <c r="O202" s="2" t="s">
        <v>21</v>
      </c>
      <c r="P202" s="2" t="s">
        <v>24</v>
      </c>
      <c r="Q202" s="13" t="s">
        <v>20</v>
      </c>
      <c r="R202" s="13" t="s">
        <v>22</v>
      </c>
      <c r="S202" s="13" t="s">
        <v>25</v>
      </c>
      <c r="T202" s="13" t="s">
        <v>27</v>
      </c>
      <c r="U202" s="13" t="s">
        <v>23</v>
      </c>
      <c r="V202" s="13" t="s">
        <v>26</v>
      </c>
      <c r="W202" s="2" t="s">
        <v>28</v>
      </c>
      <c r="X202" s="13" t="s">
        <v>29</v>
      </c>
      <c r="Y202" s="13" t="s">
        <v>30</v>
      </c>
      <c r="Z202" s="2" t="s">
        <v>31</v>
      </c>
      <c r="AA202" s="2" t="s">
        <v>32</v>
      </c>
      <c r="AB202" s="2" t="s">
        <v>33</v>
      </c>
      <c r="AC202" s="2" t="s">
        <v>34</v>
      </c>
    </row>
    <row r="203" spans="13:29" hidden="1">
      <c r="M203" s="2" t="str">
        <f>[1]!YBHIST(M202&amp;"(IOX)",CurrentCloseDate,"Price","sec","")</f>
        <v>E</v>
      </c>
      <c r="N203" s="2" t="str">
        <f>[1]!YBHIST(N202&amp;"(IOX)",CurrentCloseDate,"Price","sec","")</f>
        <v>E</v>
      </c>
      <c r="O203" s="2" t="str">
        <f>[1]!YBHIST(O202&amp;"(IOX)",CurrentCloseDate,"Price","sec","")</f>
        <v>E</v>
      </c>
      <c r="P203" s="2" t="str">
        <f>[1]!YBHIST(P202&amp;"(IOX)",CurrentCloseDate,"Price","sec","")</f>
        <v>E</v>
      </c>
      <c r="Q203" s="2" t="str">
        <f>[1]!YBHIST(Q202&amp;"(IOX)",CurrentCloseDate,"Price","sec","")</f>
        <v>E</v>
      </c>
      <c r="R203" s="2">
        <f>[1]!YBHIST(R202&amp;"(IOX)",CurrentCloseDate,"Price","sec","")</f>
        <v>22.546880999999999</v>
      </c>
      <c r="S203" s="2" t="str">
        <f>[1]!YBHIST(S202&amp;"(IOX)",CurrentCloseDate,"Price","sec","")</f>
        <v>E</v>
      </c>
      <c r="T203" s="2" t="str">
        <f>[1]!YBHIST(T202&amp;"(IOX)",CurrentCloseDate,"Price","sec","")</f>
        <v>E</v>
      </c>
      <c r="U203" s="2" t="str">
        <f>[1]!YBHIST(U202&amp;"(IOX)",CurrentCloseDate,"Price","sec","")</f>
        <v>E</v>
      </c>
      <c r="V203" s="2" t="str">
        <f>[1]!YBHIST(V202&amp;"(IOX)",CurrentCloseDate,"Price","sec","")</f>
        <v>E</v>
      </c>
      <c r="W203" s="2" t="str">
        <f>[1]!YBHIST(W202&amp;"(IOX)",CurrentCloseDate,"Price","sec","")</f>
        <v>E</v>
      </c>
      <c r="X203" s="2" t="str">
        <f>[1]!YBHIST(X202&amp;"(IOX)",CurrentCloseDate,"Price","sec","")</f>
        <v>E</v>
      </c>
      <c r="Y203" s="2" t="str">
        <f>[1]!YBHIST(Y202&amp;"(IOX)",CurrentCloseDate,"Price","sec","")</f>
        <v>E</v>
      </c>
      <c r="Z203" s="2" t="str">
        <f>[1]!YBHIST(Z202&amp;"(IOX)",CurrentCloseDate,"Price","sec","")</f>
        <v>E</v>
      </c>
      <c r="AA203" s="2" t="str">
        <f>[1]!YBHIST(AA202&amp;"(IOX)",CurrentCloseDate,"Price","sec","")</f>
        <v>E</v>
      </c>
      <c r="AB203" s="2" t="str">
        <f>[1]!YBHIST(AB202&amp;"(IOX)",CurrentCloseDate,"Price","sec","")</f>
        <v>E</v>
      </c>
      <c r="AC203" s="2" t="str">
        <f>[1]!YBHIST(AC202&amp;"(IOX)",CurrentCloseDate,"Price","sec","")</f>
        <v>E</v>
      </c>
    </row>
    <row r="204" spans="13:29" hidden="1">
      <c r="M204" s="7" t="str">
        <f>[1]!YBPRICE(M202&amp;"(IOX)",M203&amp;"d","Market","OAS","Swap",CurrentCloseDate,"LMMSkew","",$F$59,100,"")</f>
        <v>E</v>
      </c>
      <c r="N204" s="7" t="str">
        <f>[1]!YBPRICE(N202&amp;"(IOX)",N203&amp;"d","Market","OAS","Swap",CurrentCloseDate,"LMMSkew","",$F$59,100,"")</f>
        <v>E</v>
      </c>
      <c r="O204" s="7" t="str">
        <f>[1]!YBPRICE(O202&amp;"(IOX)",O203&amp;"d","Market","OAS","Swap",CurrentCloseDate,"LMMSkew","",$F$59,100,"")</f>
        <v>E</v>
      </c>
      <c r="P204" s="7" t="str">
        <f>[1]!YBPRICE(P202&amp;"(IOX)",P203&amp;"d","Market","OAS","Swap",CurrentCloseDate,"LMMSkew","",$F$59,100,"")</f>
        <v>E</v>
      </c>
      <c r="Q204" s="7" t="str">
        <f>[1]!YBPRICE(Q202&amp;"(IOX)",Q203&amp;"d","Market","OAS","Swap",CurrentCloseDate,"LMMSkew","",$F$59,100,"")</f>
        <v>E</v>
      </c>
      <c r="R204" s="7">
        <f>[1]!YBPRICE(R202&amp;"(IOX)",R203&amp;"d","Market","OAS","Swap",CurrentCloseDate,"LMMSkew","",$F$59,100,"")</f>
        <v>41.058</v>
      </c>
      <c r="S204" s="7" t="str">
        <f>[1]!YBPRICE(S202&amp;"(IOX)",S203&amp;"d","Market","OAS","Swap",CurrentCloseDate,"LMMSkew","",$F$59,100,"")</f>
        <v>E</v>
      </c>
      <c r="T204" s="7" t="str">
        <f>[1]!YBPRICE(T202&amp;"(IOX)",T203&amp;"d","Market","OAS","Swap",CurrentCloseDate,"LMMSkew","",$F$59,100,"")</f>
        <v>E</v>
      </c>
      <c r="U204" s="7" t="str">
        <f>[1]!YBPRICE(U202&amp;"(IOX)",U203&amp;"d","Market","OAS","Swap",CurrentCloseDate,"LMMSkew","",$F$59,100,"")</f>
        <v>E</v>
      </c>
      <c r="V204" s="7" t="str">
        <f>[1]!YBPRICE(V202&amp;"(IOX)",V203&amp;"d","Market","OAS","Swap",CurrentCloseDate,"LMMSkew","",$F$59,100,"")</f>
        <v>E</v>
      </c>
      <c r="W204" s="7" t="str">
        <f>[1]!YBPRICE(W202&amp;"(IOX)",W203&amp;"d","Market","OAS","Swap",CurrentCloseDate,"LMMSkew","",$F$59,100,"")</f>
        <v>E</v>
      </c>
      <c r="X204" s="7" t="str">
        <f>[1]!YBPRICE(X202&amp;"(IOX)",X203&amp;"d","Market","OAS","Swap",CurrentCloseDate,"LMMSkew","",$F$59,100,"")</f>
        <v>E</v>
      </c>
      <c r="Y204" s="7" t="str">
        <f>[1]!YBPRICE(Y202&amp;"(IOX)",Y203&amp;"d","Market","OAS","Swap",CurrentCloseDate,"LMMSkew","",$F$59,100,"")</f>
        <v>E</v>
      </c>
      <c r="Z204" s="7" t="str">
        <f>[1]!YBPRICE(Z202&amp;"(IOX)",Z203&amp;"d","Market","OAS","Swap",CurrentCloseDate,"LMMSkew","",$F$59,100,"")</f>
        <v>E</v>
      </c>
      <c r="AA204" s="7" t="str">
        <f>[1]!YBPRICE(AA202&amp;"(IOX)",AA203&amp;"d","Market","OAS","Swap",CurrentCloseDate,"LMMSkew","",$F$59,100,"")</f>
        <v>E</v>
      </c>
      <c r="AB204" s="7" t="str">
        <f>[1]!YBPRICE(AB202&amp;"(IOX)",AB203&amp;"d","Market","OAS","Swap",CurrentCloseDate,"LMMSkew","",$F$59,100,"")</f>
        <v>E</v>
      </c>
      <c r="AC204" s="7" t="str">
        <f>[1]!YBPRICE(AC202&amp;"(IOX)",AC203&amp;"d","Market","OAS","Swap",CurrentCloseDate,"LMMSkew","",$F$59,100,"")</f>
        <v>E</v>
      </c>
    </row>
    <row r="205" spans="13:29" hidden="1"/>
    <row r="206" spans="13:29" hidden="1">
      <c r="M206" s="2" t="str">
        <f>[1]!YBSCEN(M202&amp;"(IOX)",M204&amp;"o","Market","PriceAtHorizon","Swap",CurrentCloseDate,"LMMSkew","",$F90,$G90,0,0,"Immediate","ParShift|N",Up_25,"OAS Change",0,,"EFF",,,,0,,,,"Default",,)</f>
        <v>E</v>
      </c>
      <c r="N206" s="2" t="str">
        <f>[1]!YBSCEN(N202&amp;"(IOX)",N204&amp;"o","Market","PriceAtHorizon","Swap",CurrentCloseDate,"LMMSkew","",$F90,$G90,0,0,"Immediate","ParShift|N",Up_25,"OAS Change",0,,"EFF",,,,0,,,,"Default",,)</f>
        <v>E</v>
      </c>
      <c r="O206" s="2" t="str">
        <f>[1]!YBSCEN(O202&amp;"(IOX)",O204&amp;"o","Market","PriceAtHorizon","Swap",CurrentCloseDate,"LMMSkew","",$F90,$G90,0,0,"Immediate","ParShift|N",Up_25,"OAS Change",0,,"EFF",,,,0,,,,"Default",,)</f>
        <v>E</v>
      </c>
      <c r="P206" s="2" t="str">
        <f>[1]!YBSCEN(P202&amp;"(IOX)",P204&amp;"o","Market","PriceAtHorizon","Swap",CurrentCloseDate,"LMMSkew","",$F90,$G90,0,0,"Immediate","ParShift|N",Up_25,"OAS Change",0,,"EFF",,,,0,,,,"Default",,)</f>
        <v>E</v>
      </c>
      <c r="Q206" s="2" t="str">
        <f>[1]!YBSCEN(Q202&amp;"(IOX)",Q204&amp;"o","Market","PriceAtHorizon","Swap",CurrentCloseDate,"LMMSkew","",$F90,$G90,0,0,"Immediate","ParShift|N",Up_25,"OAS Change",0,,"EFF",,,,0,,,,"Default",,)</f>
        <v>E</v>
      </c>
      <c r="R206" s="2" t="str">
        <f>[1]!YBSCEN(R202&amp;"(IOX)",R204&amp;"o","Market","PriceAtHorizon","Swap",CurrentCloseDate,"LMMSkew","",$F90,$G90,0,0,"Immediate","ParShift|N",Up_25,"OAS Change",0,,"EFF",,,,0,,,,"Default",,)</f>
        <v>E</v>
      </c>
      <c r="S206" s="2" t="str">
        <f>[1]!YBSCEN(S202&amp;"(IOX)",S204&amp;"o","Market","PriceAtHorizon","Swap",CurrentCloseDate,"LMMSkew","",$F90,$G90,0,0,"Immediate","ParShift|N",Up_25,"OAS Change",0,,"EFF",,,,0,,,,"Default",,)</f>
        <v>E</v>
      </c>
      <c r="T206" s="2" t="str">
        <f>[1]!YBSCEN(T202&amp;"(IOX)",T204&amp;"o","Market","PriceAtHorizon","Swap",CurrentCloseDate,"LMMSkew","",$F90,$G90,0,0,"Immediate","ParShift|N",Up_25,"OAS Change",0,,"EFF",,,,0,,,,"Default",,)</f>
        <v>E</v>
      </c>
      <c r="U206" s="2" t="str">
        <f>[1]!YBSCEN(U202&amp;"(IOX)",U204&amp;"o","Market","PriceAtHorizon","Swap",CurrentCloseDate,"LMMSkew","",$F90,$G90,0,0,"Immediate","ParShift|N",Up_25,"OAS Change",0,,"EFF",,,,0,,,,"Default",,)</f>
        <v>E</v>
      </c>
      <c r="V206" s="2" t="str">
        <f>[1]!YBSCEN(V202&amp;"(IOX)",V204&amp;"o","Market","PriceAtHorizon","Swap",CurrentCloseDate,"LMMSkew","",$F90,$G90,0,0,"Immediate","ParShift|N",Up_25,"OAS Change",0,,"EFF",,,,0,,,,"Default",,)</f>
        <v>E</v>
      </c>
      <c r="W206" s="2" t="str">
        <f>[1]!YBSCEN(W202&amp;"(IOX)",W204&amp;"o","Market","PriceAtHorizon","Swap",CurrentCloseDate,"LMMSkew","",$F90,$G90,0,0,"Immediate","ParShift|N",Up_25,"OAS Change",0,,"EFF",,,,0,,,,"Default",,)</f>
        <v>E</v>
      </c>
      <c r="X206" s="2" t="str">
        <f>[1]!YBSCEN(X202&amp;"(IOX)",X204&amp;"o","Market","PriceAtHorizon","Swap",CurrentCloseDate,"LMMSkew","",$F90,$G90,0,0,"Immediate","ParShift|N",Up_25,"OAS Change",0,,"EFF",,,,0,,,,"Default",,)</f>
        <v>E</v>
      </c>
      <c r="Y206" s="2" t="str">
        <f>[1]!YBSCEN(Y202&amp;"(IOX)",Y204&amp;"o","Market","PriceAtHorizon","Swap",CurrentCloseDate,"LMMSkew","",$F90,$G90,0,0,"Immediate","ParShift|N",Up_25,"OAS Change",0,,"EFF",,,,0,,,,"Default",,)</f>
        <v>E</v>
      </c>
      <c r="Z206" s="2" t="str">
        <f>[1]!YBSCEN(Z202&amp;"(IOX)",Z204&amp;"o","Market","PriceAtHorizon","Swap",CurrentCloseDate,"LMMSkew","",$F90,$G90,0,0,"Immediate","ParShift|N",Up_25,"OAS Change",0,,"EFF",,,,0,,,,"Default",,)</f>
        <v>E</v>
      </c>
      <c r="AA206" s="2" t="str">
        <f>[1]!YBSCEN(AA202&amp;"(IOX)",AA204&amp;"o","Market","PriceAtHorizon","Swap",CurrentCloseDate,"LMMSkew","",$F90,$G90,0,0,"Immediate","ParShift|N",Up_25,"OAS Change",0,,"EFF",,,,0,,,,"Default",,)</f>
        <v>E</v>
      </c>
      <c r="AB206" s="2" t="str">
        <f>[1]!YBSCEN(AB202&amp;"(IOX)",AB204&amp;"o","Market","PriceAtHorizon","Swap",CurrentCloseDate,"LMMSkew","",$F90,$G90,0,0,"Immediate","ParShift|N",Up_25,"OAS Change",0,,"EFF",,,,0,,,,"Default",,)</f>
        <v>E</v>
      </c>
      <c r="AC206" s="2" t="str">
        <f>[1]!YBSCEN(AC202&amp;"(IOX)",AC204&amp;"o","Market","PriceAtHorizon","Swap",CurrentCloseDate,"LMMSkew","",$F90,$G90,0,0,"Immediate","ParShift|N",Up_25,"OAS Change",0,,"EFF",,,,0,,,,"Default",,)</f>
        <v>E</v>
      </c>
    </row>
    <row r="207" spans="13:29" hidden="1"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</row>
    <row r="208" spans="13:29" hidden="1"/>
    <row r="209" spans="8:31" hidden="1"/>
    <row r="210" spans="8:31" hidden="1"/>
    <row r="211" spans="8:31" hidden="1"/>
    <row r="212" spans="8:31" hidden="1"/>
    <row r="213" spans="8:31" ht="15" hidden="1" customHeight="1"/>
    <row r="214" spans="8:31" ht="15" hidden="1">
      <c r="H214" s="3" t="s">
        <v>49</v>
      </c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</row>
    <row r="215" spans="8:31" ht="15" hidden="1">
      <c r="H215" s="277"/>
      <c r="I215" s="277"/>
      <c r="J215" s="332" t="s">
        <v>179</v>
      </c>
      <c r="K215" s="333"/>
      <c r="L215" s="333"/>
      <c r="M215" s="333"/>
      <c r="N215" s="333"/>
      <c r="O215" s="333"/>
      <c r="P215" s="333"/>
      <c r="Q215" s="333"/>
      <c r="R215" s="333"/>
      <c r="S215" s="333"/>
      <c r="T215" s="333"/>
      <c r="U215" s="333"/>
      <c r="V215" s="333"/>
      <c r="W215" s="333"/>
      <c r="X215" s="333"/>
      <c r="Y215" s="333"/>
      <c r="Z215" s="333"/>
      <c r="AA215" s="333"/>
      <c r="AB215" s="333"/>
      <c r="AC215" s="333"/>
      <c r="AD215" s="333"/>
      <c r="AE215" s="334"/>
    </row>
    <row r="216" spans="8:31" ht="45" hidden="1">
      <c r="H216" s="241" t="s">
        <v>47</v>
      </c>
      <c r="I216" s="241" t="s">
        <v>0</v>
      </c>
      <c r="J216" s="278" t="s">
        <v>190</v>
      </c>
      <c r="K216" s="9" t="s">
        <v>1</v>
      </c>
      <c r="L216" s="10" t="s">
        <v>200</v>
      </c>
      <c r="M216" s="9" t="s">
        <v>191</v>
      </c>
      <c r="N216" s="9" t="s">
        <v>2</v>
      </c>
      <c r="O216" s="11" t="s">
        <v>5</v>
      </c>
      <c r="P216" s="10" t="s">
        <v>202</v>
      </c>
      <c r="Q216" s="9" t="s">
        <v>192</v>
      </c>
      <c r="R216" s="9" t="s">
        <v>3</v>
      </c>
      <c r="S216" s="9" t="s">
        <v>6</v>
      </c>
      <c r="T216" s="9" t="s">
        <v>9</v>
      </c>
      <c r="U216" s="10" t="s">
        <v>4</v>
      </c>
      <c r="V216" s="9" t="s">
        <v>7</v>
      </c>
      <c r="W216" s="11" t="s">
        <v>10</v>
      </c>
      <c r="X216" s="9" t="s">
        <v>8</v>
      </c>
      <c r="Y216" s="9" t="s">
        <v>11</v>
      </c>
      <c r="Z216" s="279" t="s">
        <v>12</v>
      </c>
      <c r="AA216" s="279" t="s">
        <v>13</v>
      </c>
      <c r="AB216" s="9" t="s">
        <v>14</v>
      </c>
      <c r="AC216" s="10" t="s">
        <v>15</v>
      </c>
      <c r="AD216" s="9" t="s">
        <v>16</v>
      </c>
      <c r="AE216" s="11" t="s">
        <v>17</v>
      </c>
    </row>
    <row r="217" spans="8:31" ht="15" hidden="1">
      <c r="H217" s="162">
        <f t="shared" ref="H217:I219" si="285">H90</f>
        <v>1</v>
      </c>
      <c r="I217" s="163">
        <f t="shared" si="285"/>
        <v>42215</v>
      </c>
      <c r="J217" s="34" t="str">
        <f>BA90</f>
        <v>E</v>
      </c>
      <c r="K217" s="165" t="str">
        <f>BE90</f>
        <v>E</v>
      </c>
      <c r="L217" s="34" t="str">
        <f>BG90</f>
        <v>E</v>
      </c>
      <c r="M217" s="164" t="str">
        <f>BM90</f>
        <v>E</v>
      </c>
      <c r="N217" s="164" t="str">
        <f>BQ90</f>
        <v>E</v>
      </c>
      <c r="O217" s="166" t="str">
        <f>BU90</f>
        <v>E</v>
      </c>
      <c r="P217" s="34" t="str">
        <f>BW90</f>
        <v>E</v>
      </c>
      <c r="Q217" s="251" t="str">
        <f>CC90</f>
        <v>E</v>
      </c>
      <c r="R217" s="164" t="str">
        <f>CG90</f>
        <v>E</v>
      </c>
      <c r="S217" s="164" t="str">
        <f>CK90</f>
        <v>E</v>
      </c>
      <c r="T217" s="165" t="str">
        <f>CO90</f>
        <v>E</v>
      </c>
      <c r="U217" s="34" t="str">
        <f>CS90</f>
        <v>E</v>
      </c>
      <c r="V217" s="164" t="str">
        <f>CW90</f>
        <v>E</v>
      </c>
      <c r="W217" s="166" t="str">
        <f>DA90</f>
        <v>E</v>
      </c>
      <c r="X217" s="251" t="str">
        <f>DE90</f>
        <v>E</v>
      </c>
      <c r="Y217" s="165" t="str">
        <f>DI90</f>
        <v>E</v>
      </c>
      <c r="Z217" s="257" t="str">
        <f>DM90</f>
        <v>E</v>
      </c>
      <c r="AA217" s="257" t="str">
        <f>DQ90</f>
        <v>E</v>
      </c>
      <c r="AB217" s="254" t="str">
        <f>DI90</f>
        <v>E</v>
      </c>
      <c r="AC217" s="34" t="str">
        <f>DY90</f>
        <v>E</v>
      </c>
      <c r="AD217" s="164" t="str">
        <f>EC90</f>
        <v>E</v>
      </c>
      <c r="AE217" s="166" t="str">
        <f>EG90</f>
        <v>E</v>
      </c>
    </row>
    <row r="218" spans="8:31" ht="15" hidden="1">
      <c r="H218" s="58">
        <f t="shared" si="285"/>
        <v>2</v>
      </c>
      <c r="I218" s="32">
        <f t="shared" si="285"/>
        <v>42246</v>
      </c>
      <c r="J218" s="37" t="str">
        <f t="shared" ref="J218:J219" si="286">BA91</f>
        <v>E</v>
      </c>
      <c r="K218" s="36" t="str">
        <f t="shared" ref="K218:K219" si="287">BE91</f>
        <v>E</v>
      </c>
      <c r="L218" s="37" t="str">
        <f t="shared" ref="L218:L219" si="288">BG91</f>
        <v>E</v>
      </c>
      <c r="M218" s="35" t="str">
        <f>BM91</f>
        <v>E</v>
      </c>
      <c r="N218" s="35" t="str">
        <f>BQ91</f>
        <v>E</v>
      </c>
      <c r="O218" s="38" t="str">
        <f>BU91</f>
        <v>E</v>
      </c>
      <c r="P218" s="37" t="str">
        <f t="shared" ref="P218:P219" si="289">BW91</f>
        <v>E</v>
      </c>
      <c r="Q218" s="252" t="str">
        <f>CC91</f>
        <v>E</v>
      </c>
      <c r="R218" s="35" t="str">
        <f>CG91</f>
        <v>E</v>
      </c>
      <c r="S218" s="35" t="str">
        <f>CK91</f>
        <v>E</v>
      </c>
      <c r="T218" s="36" t="str">
        <f>CO91</f>
        <v>E</v>
      </c>
      <c r="U218" s="37" t="str">
        <f>CS91</f>
        <v>E</v>
      </c>
      <c r="V218" s="35" t="str">
        <f>CW91</f>
        <v>E</v>
      </c>
      <c r="W218" s="38" t="str">
        <f>DA91</f>
        <v>E</v>
      </c>
      <c r="X218" s="252" t="str">
        <f>DE91</f>
        <v>E</v>
      </c>
      <c r="Y218" s="36" t="str">
        <f>DI91</f>
        <v>E</v>
      </c>
      <c r="Z218" s="258" t="str">
        <f>DM91</f>
        <v>E</v>
      </c>
      <c r="AA218" s="258" t="str">
        <f>DQ91</f>
        <v>E</v>
      </c>
      <c r="AB218" s="255" t="str">
        <f>DI91</f>
        <v>E</v>
      </c>
      <c r="AC218" s="37" t="str">
        <f>DY91</f>
        <v>E</v>
      </c>
      <c r="AD218" s="35" t="str">
        <f>EC91</f>
        <v>E</v>
      </c>
      <c r="AE218" s="38" t="str">
        <f>EG91</f>
        <v>E</v>
      </c>
    </row>
    <row r="219" spans="8:31" ht="15" hidden="1">
      <c r="H219" s="59">
        <f t="shared" si="285"/>
        <v>3</v>
      </c>
      <c r="I219" s="33">
        <f t="shared" si="285"/>
        <v>42277</v>
      </c>
      <c r="J219" s="39" t="str">
        <f t="shared" si="286"/>
        <v>E</v>
      </c>
      <c r="K219" s="41" t="str">
        <f t="shared" si="287"/>
        <v>E</v>
      </c>
      <c r="L219" s="39" t="str">
        <f t="shared" si="288"/>
        <v>E</v>
      </c>
      <c r="M219" s="40" t="str">
        <f>BM92</f>
        <v>E</v>
      </c>
      <c r="N219" s="40" t="str">
        <f>BQ92</f>
        <v>E</v>
      </c>
      <c r="O219" s="42" t="str">
        <f>BU92</f>
        <v>E</v>
      </c>
      <c r="P219" s="39" t="str">
        <f t="shared" si="289"/>
        <v>E</v>
      </c>
      <c r="Q219" s="253" t="str">
        <f>CC92</f>
        <v>E</v>
      </c>
      <c r="R219" s="40" t="str">
        <f>CG92</f>
        <v>E</v>
      </c>
      <c r="S219" s="40" t="str">
        <f>CK92</f>
        <v>E</v>
      </c>
      <c r="T219" s="41" t="str">
        <f>CO92</f>
        <v>E</v>
      </c>
      <c r="U219" s="39" t="str">
        <f>CS92</f>
        <v>E</v>
      </c>
      <c r="V219" s="40" t="str">
        <f>CW92</f>
        <v>E</v>
      </c>
      <c r="W219" s="42" t="str">
        <f>DA92</f>
        <v>E</v>
      </c>
      <c r="X219" s="253" t="str">
        <f>DE92</f>
        <v>E</v>
      </c>
      <c r="Y219" s="41" t="str">
        <f>DI92</f>
        <v>E</v>
      </c>
      <c r="Z219" s="259" t="str">
        <f>DM92</f>
        <v>E</v>
      </c>
      <c r="AA219" s="259" t="str">
        <f>DQ92</f>
        <v>E</v>
      </c>
      <c r="AB219" s="256" t="str">
        <f>DI92</f>
        <v>E</v>
      </c>
      <c r="AC219" s="39" t="str">
        <f>DY92</f>
        <v>E</v>
      </c>
      <c r="AD219" s="40" t="str">
        <f>EC92</f>
        <v>E</v>
      </c>
      <c r="AE219" s="42" t="str">
        <f>EG92</f>
        <v>E</v>
      </c>
    </row>
    <row r="220" spans="8:31" hidden="1"/>
    <row r="221" spans="8:31" hidden="1"/>
    <row r="222" spans="8:31" hidden="1"/>
    <row r="223" spans="8:31" hidden="1"/>
    <row r="224" spans="8:31" hidden="1">
      <c r="H224" s="133" t="s">
        <v>89</v>
      </c>
    </row>
  </sheetData>
  <mergeCells count="137">
    <mergeCell ref="CQ24:CR24"/>
    <mergeCell ref="CA23:CD23"/>
    <mergeCell ref="CE23:CH23"/>
    <mergeCell ref="DC23:DF23"/>
    <mergeCell ref="DG23:DJ23"/>
    <mergeCell ref="AY23:BB23"/>
    <mergeCell ref="BC23:BF23"/>
    <mergeCell ref="BG23:BJ23"/>
    <mergeCell ref="BK23:BN23"/>
    <mergeCell ref="BO23:BR23"/>
    <mergeCell ref="BS23:BV23"/>
    <mergeCell ref="BW23:BZ23"/>
    <mergeCell ref="CI23:CL23"/>
    <mergeCell ref="CM23:CP23"/>
    <mergeCell ref="CQ23:CT23"/>
    <mergeCell ref="CU23:CX23"/>
    <mergeCell ref="CY23:DB23"/>
    <mergeCell ref="H27:H29"/>
    <mergeCell ref="AH33:AI33"/>
    <mergeCell ref="AY24:AZ24"/>
    <mergeCell ref="BI24:BJ24"/>
    <mergeCell ref="BK24:BL24"/>
    <mergeCell ref="BM24:BN24"/>
    <mergeCell ref="BO24:BP24"/>
    <mergeCell ref="CM24:CN24"/>
    <mergeCell ref="CO24:CP24"/>
    <mergeCell ref="CI24:CJ24"/>
    <mergeCell ref="CK24:CL24"/>
    <mergeCell ref="CE24:CF24"/>
    <mergeCell ref="CG24:CH24"/>
    <mergeCell ref="BA1:BK1"/>
    <mergeCell ref="DK24:DL24"/>
    <mergeCell ref="DM24:DN24"/>
    <mergeCell ref="CS24:CT24"/>
    <mergeCell ref="CU24:CV24"/>
    <mergeCell ref="CW24:CX24"/>
    <mergeCell ref="CY24:CZ24"/>
    <mergeCell ref="DA24:DB24"/>
    <mergeCell ref="DC24:DD24"/>
    <mergeCell ref="DE24:DF24"/>
    <mergeCell ref="DG24:DH24"/>
    <mergeCell ref="DI24:DJ24"/>
    <mergeCell ref="DK23:DN23"/>
    <mergeCell ref="BQ24:BR24"/>
    <mergeCell ref="BS24:BT24"/>
    <mergeCell ref="BU24:BV24"/>
    <mergeCell ref="BW24:BX24"/>
    <mergeCell ref="BY24:BZ24"/>
    <mergeCell ref="CA24:CB24"/>
    <mergeCell ref="CC24:CD24"/>
    <mergeCell ref="BA24:BB24"/>
    <mergeCell ref="BC24:BD24"/>
    <mergeCell ref="BE24:BF24"/>
    <mergeCell ref="BG24:BH24"/>
    <mergeCell ref="AY57:BB57"/>
    <mergeCell ref="BC57:BF57"/>
    <mergeCell ref="CI88:CL88"/>
    <mergeCell ref="DS88:DV88"/>
    <mergeCell ref="EA32:ED32"/>
    <mergeCell ref="DO57:DR57"/>
    <mergeCell ref="DS57:DV57"/>
    <mergeCell ref="DW57:DZ57"/>
    <mergeCell ref="DS32:DV32"/>
    <mergeCell ref="DW32:DZ32"/>
    <mergeCell ref="BA32:BD32"/>
    <mergeCell ref="DO32:DR32"/>
    <mergeCell ref="DG57:DJ57"/>
    <mergeCell ref="DK57:DN57"/>
    <mergeCell ref="CA57:CD57"/>
    <mergeCell ref="CE57:CH57"/>
    <mergeCell ref="CI57:CL57"/>
    <mergeCell ref="CM57:CP57"/>
    <mergeCell ref="CQ57:CT57"/>
    <mergeCell ref="CU57:CX57"/>
    <mergeCell ref="DC57:DF57"/>
    <mergeCell ref="EA88:ED88"/>
    <mergeCell ref="BA89:BB89"/>
    <mergeCell ref="BC89:BD89"/>
    <mergeCell ref="BE89:BF89"/>
    <mergeCell ref="BK89:BL89"/>
    <mergeCell ref="BM89:BN89"/>
    <mergeCell ref="DC88:DF88"/>
    <mergeCell ref="DG88:DJ88"/>
    <mergeCell ref="BO88:BR88"/>
    <mergeCell ref="BS88:BV88"/>
    <mergeCell ref="CM88:CP88"/>
    <mergeCell ref="CQ88:CT88"/>
    <mergeCell ref="CU88:CX88"/>
    <mergeCell ref="CY88:DB88"/>
    <mergeCell ref="BW88:BZ88"/>
    <mergeCell ref="CA88:CD88"/>
    <mergeCell ref="CE88:CH88"/>
    <mergeCell ref="EE88:EH88"/>
    <mergeCell ref="BG57:BJ57"/>
    <mergeCell ref="BG58:BH58"/>
    <mergeCell ref="BI58:BJ58"/>
    <mergeCell ref="BG88:BJ88"/>
    <mergeCell ref="BO57:BR57"/>
    <mergeCell ref="BS57:BV57"/>
    <mergeCell ref="CU32:CX32"/>
    <mergeCell ref="CQ32:CT32"/>
    <mergeCell ref="CM32:CP32"/>
    <mergeCell ref="EE32:EH32"/>
    <mergeCell ref="DK32:DN32"/>
    <mergeCell ref="DG32:DJ32"/>
    <mergeCell ref="DC32:DF32"/>
    <mergeCell ref="CY32:DB32"/>
    <mergeCell ref="CY57:DB57"/>
    <mergeCell ref="EE57:EH57"/>
    <mergeCell ref="EA57:ED57"/>
    <mergeCell ref="DW88:DZ88"/>
    <mergeCell ref="DO88:DR88"/>
    <mergeCell ref="DK88:DN88"/>
    <mergeCell ref="J184:AE184"/>
    <mergeCell ref="J215:AE215"/>
    <mergeCell ref="BG89:BH89"/>
    <mergeCell ref="BI89:BJ89"/>
    <mergeCell ref="BW57:BZ57"/>
    <mergeCell ref="AH23:AL23"/>
    <mergeCell ref="AM23:AP23"/>
    <mergeCell ref="AH32:AN32"/>
    <mergeCell ref="J126:AE126"/>
    <mergeCell ref="J133:AE133"/>
    <mergeCell ref="J153:AE153"/>
    <mergeCell ref="J23:AE23"/>
    <mergeCell ref="BK57:BN57"/>
    <mergeCell ref="AY58:AZ58"/>
    <mergeCell ref="BA58:BB58"/>
    <mergeCell ref="BC58:BD58"/>
    <mergeCell ref="BE58:BF58"/>
    <mergeCell ref="BK58:BL58"/>
    <mergeCell ref="BM58:BN58"/>
    <mergeCell ref="AY88:BB88"/>
    <mergeCell ref="BC88:BF88"/>
    <mergeCell ref="BK88:BN88"/>
    <mergeCell ref="J115:AC115"/>
    <mergeCell ref="AY89:AZ89"/>
  </mergeCells>
  <dataValidations disablePrompts="1" count="1">
    <dataValidation type="list" allowBlank="1" showInputMessage="1" showErrorMessage="1" sqref="BB6">
      <formula1>"Yes, No"</formula1>
    </dataValidation>
  </dataValidations>
  <printOptions horizontalCentered="1"/>
  <pageMargins left="0.25" right="0.25" top="0.25" bottom="0.25" header="0.3" footer="0.15"/>
  <pageSetup scale="60" fitToWidth="0" fitToHeight="2" orientation="landscape" horizontalDpi="300" verticalDpi="300" r:id="rId1"/>
  <headerFooter scaleWithDoc="0">
    <oddHeader>&amp;L&amp;G&amp;C&amp;"-,Bold"&amp;13&amp;K2E398A
&amp;15IOS Projected Carry - Constant OAS - v21&amp;R&amp;"-,Bold"&amp;10&amp;K2E398A
&amp;12&amp;K2E398A    &amp;"-,Regular"&amp;10&amp;K000000
&amp;"-,Bold"&amp;K2E398A As of 06/26/2015</oddHeader>
    <oddFooter>&amp;L&amp;8&amp;K2E398AReport Created on &amp;D &amp;T&amp;C&amp;G
&amp;8&amp;K2E398APage &amp;P of &amp;N</oddFooter>
  </headerFooter>
  <rowBreaks count="1" manualBreakCount="1">
    <brk id="111" min="7" max="41" man="1"/>
  </rowBreaks>
  <drawing r:id="rId2"/>
  <legacy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08" operator="beginsWith" id="{690E2825-E499-4070-AB65-94FCA1180050}">
            <xm:f>LEFT(J25,LEN("-"))="-"</xm:f>
            <xm:f>"-"</xm:f>
            <x14:dxf>
              <font>
                <color rgb="FFFF0000"/>
              </font>
            </x14:dxf>
          </x14:cfRule>
          <xm:sqref>M99:AU100 M94:AU96 AH34:AK34 AN25 M158:AC170 N93:AU93 M189:AC201 M123:AU125 AD113:AU115 M131:AU131 M138:AU152 M132:AL132 AN132:AU132 AH25:AL25 J26:K29 Q26:AE29 N26:O29 J34:K35 Q34:AE34 O34:O35 J59:K61 Q59:AE61 M62:AD74 N61:O61 O59:O60 J90:K92 Q90:AE92 O90:O92 AF116:AU122 R117:AE119 R120:X122 O117:O122 AF126:AU130 R128:AE130 O128:O130 AF133:AU137 AD158:AU183 AF153:AU157 J155:K157 M155:M157 Q155:AE157 O155:O157 AD189:AU196 J186:K188 Q186:AE188 O186:O188 AF184:AU188 M40:AD43 Q35:R35 T35:AE36 S35:S39</xm:sqref>
        </x14:conditionalFormatting>
        <x14:conditionalFormatting xmlns:xm="http://schemas.microsoft.com/office/excel/2006/main">
          <x14:cfRule type="beginsWith" priority="157" operator="beginsWith" id="{229162BE-4B20-47E5-871E-58224198D78F}">
            <xm:f>LEFT(N91,LEN("-"))="-"</xm:f>
            <xm:f>"-"</xm:f>
            <x14:dxf>
              <font>
                <color rgb="FFFF0000"/>
              </font>
            </x14:dxf>
          </x14:cfRule>
          <xm:sqref>N91</xm:sqref>
        </x14:conditionalFormatting>
        <x14:conditionalFormatting xmlns:xm="http://schemas.microsoft.com/office/excel/2006/main">
          <x14:cfRule type="beginsWith" priority="158" operator="beginsWith" id="{DB5FBEC7-CA77-46B3-A376-3B748DAE89B2}">
            <xm:f>LEFT(N90,LEN("-"))="-"</xm:f>
            <xm:f>"-"</xm:f>
            <x14:dxf>
              <font>
                <color rgb="FFFF0000"/>
              </font>
            </x14:dxf>
          </x14:cfRule>
          <xm:sqref>N90 N92</xm:sqref>
        </x14:conditionalFormatting>
        <x14:conditionalFormatting xmlns:xm="http://schemas.microsoft.com/office/excel/2006/main">
          <x14:cfRule type="beginsWith" priority="151" operator="beginsWith" id="{C04BC531-22A0-49E0-A5D9-E5A7B7FA306C}">
            <xm:f>LEFT(N35,LEN("-"))="-"</xm:f>
            <xm:f>"-"</xm:f>
            <x14:dxf>
              <font>
                <color rgb="FFFF0000"/>
              </font>
            </x14:dxf>
          </x14:cfRule>
          <xm:sqref>N35</xm:sqref>
        </x14:conditionalFormatting>
        <x14:conditionalFormatting xmlns:xm="http://schemas.microsoft.com/office/excel/2006/main">
          <x14:cfRule type="beginsWith" priority="166" operator="beginsWith" id="{8BB9CF3D-528B-4BE5-87F4-E20EFFE1630D}">
            <xm:f>LEFT(N59,LEN("-"))="-"</xm:f>
            <xm:f>"-"</xm:f>
            <x14:dxf>
              <font>
                <color rgb="FFFF0000"/>
              </font>
            </x14:dxf>
          </x14:cfRule>
          <xm:sqref>N59</xm:sqref>
        </x14:conditionalFormatting>
        <x14:conditionalFormatting xmlns:xm="http://schemas.microsoft.com/office/excel/2006/main">
          <x14:cfRule type="beginsWith" priority="165" operator="beginsWith" id="{60ABF3E3-7011-4D00-B89E-EDC41CAE3D53}">
            <xm:f>LEFT(N60,LEN("-"))="-"</xm:f>
            <xm:f>"-"</xm:f>
            <x14:dxf>
              <font>
                <color rgb="FFFF0000"/>
              </font>
            </x14:dxf>
          </x14:cfRule>
          <xm:sqref>N60</xm:sqref>
        </x14:conditionalFormatting>
        <x14:conditionalFormatting xmlns:xm="http://schemas.microsoft.com/office/excel/2006/main">
          <x14:cfRule type="beginsWith" priority="164" operator="beginsWith" id="{49971F1C-CFD6-4CF1-8740-1043433B4DC9}">
            <xm:f>LEFT(M93,LEN("-"))="-"</xm:f>
            <xm:f>"-"</xm:f>
            <x14:dxf>
              <font>
                <color rgb="FFFF0000"/>
              </font>
            </x14:dxf>
          </x14:cfRule>
          <xm:sqref>M93</xm:sqref>
        </x14:conditionalFormatting>
        <x14:conditionalFormatting xmlns:xm="http://schemas.microsoft.com/office/excel/2006/main">
          <x14:cfRule type="beginsWith" priority="118" operator="beginsWith" id="{915E92F6-10E3-467B-A0AA-9B61E7914B11}">
            <xm:f>LEFT(Z121,LEN("-"))="-"</xm:f>
            <xm:f>"-"</xm:f>
            <x14:dxf>
              <font>
                <color rgb="FFFF0000"/>
              </font>
            </x14:dxf>
          </x14:cfRule>
          <xm:sqref>Z121:AE122</xm:sqref>
        </x14:conditionalFormatting>
        <x14:conditionalFormatting xmlns:xm="http://schemas.microsoft.com/office/excel/2006/main">
          <x14:cfRule type="beginsWith" priority="132" operator="beginsWith" id="{50928AA1-BEAC-45C3-B69C-F5BEEC448C98}">
            <xm:f>LEFT(N186,LEN("-"))="-"</xm:f>
            <xm:f>"-"</xm:f>
            <x14:dxf>
              <font>
                <color rgb="FFFF0000"/>
              </font>
            </x14:dxf>
          </x14:cfRule>
          <xm:sqref>N186 N188</xm:sqref>
        </x14:conditionalFormatting>
        <x14:conditionalFormatting xmlns:xm="http://schemas.microsoft.com/office/excel/2006/main">
          <x14:cfRule type="beginsWith" priority="131" operator="beginsWith" id="{2E2331EC-A59F-4431-A729-5FD533456F8A}">
            <xm:f>LEFT(N187,LEN("-"))="-"</xm:f>
            <xm:f>"-"</xm:f>
            <x14:dxf>
              <font>
                <color rgb="FFFF0000"/>
              </font>
            </x14:dxf>
          </x14:cfRule>
          <xm:sqref>N187</xm:sqref>
        </x14:conditionalFormatting>
        <x14:conditionalFormatting xmlns:xm="http://schemas.microsoft.com/office/excel/2006/main">
          <x14:cfRule type="beginsWith" priority="152" operator="beginsWith" id="{6BD43D53-445F-4714-9F04-1EE364C16FBE}">
            <xm:f>LEFT(N34,LEN("-"))="-"</xm:f>
            <xm:f>"-"</xm:f>
            <x14:dxf>
              <font>
                <color rgb="FFFF0000"/>
              </font>
            </x14:dxf>
          </x14:cfRule>
          <xm:sqref>N34</xm:sqref>
        </x14:conditionalFormatting>
        <x14:conditionalFormatting xmlns:xm="http://schemas.microsoft.com/office/excel/2006/main">
          <x14:cfRule type="beginsWith" priority="145" operator="beginsWith" id="{7151FCD4-F502-4160-974A-4D0D47730AC4}">
            <xm:f>LEFT(N156,LEN("-"))="-"</xm:f>
            <xm:f>"-"</xm:f>
            <x14:dxf>
              <font>
                <color rgb="FFFF0000"/>
              </font>
            </x14:dxf>
          </x14:cfRule>
          <xm:sqref>N156</xm:sqref>
        </x14:conditionalFormatting>
        <x14:conditionalFormatting xmlns:xm="http://schemas.microsoft.com/office/excel/2006/main">
          <x14:cfRule type="beginsWith" priority="146" operator="beginsWith" id="{620ADF6F-120B-4A6C-9AE4-8E2C9141A0AC}">
            <xm:f>LEFT(N155,LEN("-"))="-"</xm:f>
            <xm:f>"-"</xm:f>
            <x14:dxf>
              <font>
                <color rgb="FFFF0000"/>
              </font>
            </x14:dxf>
          </x14:cfRule>
          <xm:sqref>N155 N157</xm:sqref>
        </x14:conditionalFormatting>
        <x14:conditionalFormatting xmlns:xm="http://schemas.microsoft.com/office/excel/2006/main">
          <x14:cfRule type="beginsWith" priority="119" operator="beginsWith" id="{8EBDB0FC-C71F-426B-8A58-2EE7D7808ADA}">
            <xm:f>LEFT(Z120,LEN("-"))="-"</xm:f>
            <xm:f>"-"</xm:f>
            <x14:dxf>
              <font>
                <color rgb="FFFF0000"/>
              </font>
            </x14:dxf>
          </x14:cfRule>
          <xm:sqref>Z120:AE120</xm:sqref>
        </x14:conditionalFormatting>
        <x14:conditionalFormatting xmlns:xm="http://schemas.microsoft.com/office/excel/2006/main">
          <x14:cfRule type="beginsWith" priority="121" operator="beginsWith" id="{605E4A4A-34C4-4186-8933-8850AE593F5B}">
            <xm:f>LEFT(Y120,LEN("-"))="-"</xm:f>
            <xm:f>"-"</xm:f>
            <x14:dxf>
              <font>
                <color rgb="FFFF0000"/>
              </font>
            </x14:dxf>
          </x14:cfRule>
          <xm:sqref>Y120</xm:sqref>
        </x14:conditionalFormatting>
        <x14:conditionalFormatting xmlns:xm="http://schemas.microsoft.com/office/excel/2006/main">
          <x14:cfRule type="beginsWith" priority="120" operator="beginsWith" id="{FE71A670-0AB1-451F-ACC9-1089608B3C23}">
            <xm:f>LEFT(Y121,LEN("-"))="-"</xm:f>
            <xm:f>"-"</xm:f>
            <x14:dxf>
              <font>
                <color rgb="FFFF0000"/>
              </font>
            </x14:dxf>
          </x14:cfRule>
          <xm:sqref>Y121:Y122</xm:sqref>
        </x14:conditionalFormatting>
        <x14:conditionalFormatting xmlns:xm="http://schemas.microsoft.com/office/excel/2006/main">
          <x14:cfRule type="beginsWith" priority="117" operator="beginsWith" id="{F40DEDA3-57E6-42A6-8757-4656760E3C9F}">
            <xm:f>LEFT(J117,LEN("-"))="-"</xm:f>
            <xm:f>"-"</xm:f>
            <x14:dxf>
              <font>
                <color rgb="FFFF0000"/>
              </font>
            </x14:dxf>
          </x14:cfRule>
          <xm:sqref>J117</xm:sqref>
        </x14:conditionalFormatting>
        <x14:conditionalFormatting xmlns:xm="http://schemas.microsoft.com/office/excel/2006/main">
          <x14:cfRule type="beginsWith" priority="116" operator="beginsWith" id="{F5173C37-78D0-4FAF-8DCE-81D1F2485622}">
            <xm:f>LEFT(J118,LEN("-"))="-"</xm:f>
            <xm:f>"-"</xm:f>
            <x14:dxf>
              <font>
                <color rgb="FFFF0000"/>
              </font>
            </x14:dxf>
          </x14:cfRule>
          <xm:sqref>J118</xm:sqref>
        </x14:conditionalFormatting>
        <x14:conditionalFormatting xmlns:xm="http://schemas.microsoft.com/office/excel/2006/main">
          <x14:cfRule type="beginsWith" priority="115" operator="beginsWith" id="{45B4BE14-546B-4541-B6CD-898D81410695}">
            <xm:f>LEFT(J119,LEN("-"))="-"</xm:f>
            <xm:f>"-"</xm:f>
            <x14:dxf>
              <font>
                <color rgb="FFFF0000"/>
              </font>
            </x14:dxf>
          </x14:cfRule>
          <xm:sqref>J119</xm:sqref>
        </x14:conditionalFormatting>
        <x14:conditionalFormatting xmlns:xm="http://schemas.microsoft.com/office/excel/2006/main">
          <x14:cfRule type="beginsWith" priority="114" operator="beginsWith" id="{02ABDC53-0D2C-4199-BA32-2394B6E4EA45}">
            <xm:f>LEFT(J120,LEN("-"))="-"</xm:f>
            <xm:f>"-"</xm:f>
            <x14:dxf>
              <font>
                <color rgb="FFFF0000"/>
              </font>
            </x14:dxf>
          </x14:cfRule>
          <xm:sqref>J120:J122</xm:sqref>
        </x14:conditionalFormatting>
        <x14:conditionalFormatting xmlns:xm="http://schemas.microsoft.com/office/excel/2006/main">
          <x14:cfRule type="beginsWith" priority="113" operator="beginsWith" id="{6318578B-2243-499B-A802-B3B379375FB2}">
            <xm:f>LEFT(M117,LEN("-"))="-"</xm:f>
            <xm:f>"-"</xm:f>
            <x14:dxf>
              <font>
                <color rgb="FFFF0000"/>
              </font>
            </x14:dxf>
          </x14:cfRule>
          <xm:sqref>M117</xm:sqref>
        </x14:conditionalFormatting>
        <x14:conditionalFormatting xmlns:xm="http://schemas.microsoft.com/office/excel/2006/main">
          <x14:cfRule type="beginsWith" priority="112" operator="beginsWith" id="{0A912A7C-1B23-405C-8EA2-D7BE04A95A8F}">
            <xm:f>LEFT(M118,LEN("-"))="-"</xm:f>
            <xm:f>"-"</xm:f>
            <x14:dxf>
              <font>
                <color rgb="FFFF0000"/>
              </font>
            </x14:dxf>
          </x14:cfRule>
          <xm:sqref>M118</xm:sqref>
        </x14:conditionalFormatting>
        <x14:conditionalFormatting xmlns:xm="http://schemas.microsoft.com/office/excel/2006/main">
          <x14:cfRule type="beginsWith" priority="111" operator="beginsWith" id="{EA027FDF-7F15-4014-9B1E-BF8F18405E29}">
            <xm:f>LEFT(M119,LEN("-"))="-"</xm:f>
            <xm:f>"-"</xm:f>
            <x14:dxf>
              <font>
                <color rgb="FFFF0000"/>
              </font>
            </x14:dxf>
          </x14:cfRule>
          <xm:sqref>M119</xm:sqref>
        </x14:conditionalFormatting>
        <x14:conditionalFormatting xmlns:xm="http://schemas.microsoft.com/office/excel/2006/main">
          <x14:cfRule type="beginsWith" priority="110" operator="beginsWith" id="{14A9BEBA-5A02-4F03-B88B-9398ACE33FC9}">
            <xm:f>LEFT(M120,LEN("-"))="-"</xm:f>
            <xm:f>"-"</xm:f>
            <x14:dxf>
              <font>
                <color rgb="FFFF0000"/>
              </font>
            </x14:dxf>
          </x14:cfRule>
          <xm:sqref>M120:M121</xm:sqref>
        </x14:conditionalFormatting>
        <x14:conditionalFormatting xmlns:xm="http://schemas.microsoft.com/office/excel/2006/main">
          <x14:cfRule type="beginsWith" priority="109" operator="beginsWith" id="{A7826883-65D7-4B29-939A-9915A90EBD6B}">
            <xm:f>LEFT(N117,LEN("-"))="-"</xm:f>
            <xm:f>"-"</xm:f>
            <x14:dxf>
              <font>
                <color rgb="FFFF0000"/>
              </font>
            </x14:dxf>
          </x14:cfRule>
          <xm:sqref>N117</xm:sqref>
        </x14:conditionalFormatting>
        <x14:conditionalFormatting xmlns:xm="http://schemas.microsoft.com/office/excel/2006/main">
          <x14:cfRule type="beginsWith" priority="108" operator="beginsWith" id="{422CF5F0-DB25-4A6E-AD5C-DC08C5116E1F}">
            <xm:f>LEFT(N118,LEN("-"))="-"</xm:f>
            <xm:f>"-"</xm:f>
            <x14:dxf>
              <font>
                <color rgb="FFFF0000"/>
              </font>
            </x14:dxf>
          </x14:cfRule>
          <xm:sqref>N118</xm:sqref>
        </x14:conditionalFormatting>
        <x14:conditionalFormatting xmlns:xm="http://schemas.microsoft.com/office/excel/2006/main">
          <x14:cfRule type="beginsWith" priority="103" operator="beginsWith" id="{3E901D30-62CF-4570-82D9-278F1FE9C365}">
            <xm:f>LEFT(K118,LEN("-"))="-"</xm:f>
            <xm:f>"-"</xm:f>
            <x14:dxf>
              <font>
                <color rgb="FFFF0000"/>
              </font>
            </x14:dxf>
          </x14:cfRule>
          <xm:sqref>K118</xm:sqref>
        </x14:conditionalFormatting>
        <x14:conditionalFormatting xmlns:xm="http://schemas.microsoft.com/office/excel/2006/main">
          <x14:cfRule type="beginsWith" priority="102" operator="beginsWith" id="{B281FD53-49B4-4FEA-B9E4-0E099C1FFE2E}">
            <xm:f>LEFT(K119,LEN("-"))="-"</xm:f>
            <xm:f>"-"</xm:f>
            <x14:dxf>
              <font>
                <color rgb="FFFF0000"/>
              </font>
            </x14:dxf>
          </x14:cfRule>
          <xm:sqref>K119</xm:sqref>
        </x14:conditionalFormatting>
        <x14:conditionalFormatting xmlns:xm="http://schemas.microsoft.com/office/excel/2006/main">
          <x14:cfRule type="beginsWith" priority="101" operator="beginsWith" id="{07FE7183-14AA-42D8-BDE6-B5021C671F93}">
            <xm:f>LEFT(K120,LEN("-"))="-"</xm:f>
            <xm:f>"-"</xm:f>
            <x14:dxf>
              <font>
                <color rgb="FFFF0000"/>
              </font>
            </x14:dxf>
          </x14:cfRule>
          <xm:sqref>K120</xm:sqref>
        </x14:conditionalFormatting>
        <x14:conditionalFormatting xmlns:xm="http://schemas.microsoft.com/office/excel/2006/main">
          <x14:cfRule type="beginsWith" priority="100" operator="beginsWith" id="{4A9216EF-C8BC-49A5-87A4-98105675815C}">
            <xm:f>LEFT(K121,LEN("-"))="-"</xm:f>
            <xm:f>"-"</xm:f>
            <x14:dxf>
              <font>
                <color rgb="FFFF0000"/>
              </font>
            </x14:dxf>
          </x14:cfRule>
          <xm:sqref>K121:K122</xm:sqref>
        </x14:conditionalFormatting>
        <x14:conditionalFormatting xmlns:xm="http://schemas.microsoft.com/office/excel/2006/main">
          <x14:cfRule type="beginsWith" priority="107" operator="beginsWith" id="{278E6928-6A3E-4B9A-AE3D-AD1BB57D6482}">
            <xm:f>LEFT(N119,LEN("-"))="-"</xm:f>
            <xm:f>"-"</xm:f>
            <x14:dxf>
              <font>
                <color rgb="FFFF0000"/>
              </font>
            </x14:dxf>
          </x14:cfRule>
          <xm:sqref>N119</xm:sqref>
        </x14:conditionalFormatting>
        <x14:conditionalFormatting xmlns:xm="http://schemas.microsoft.com/office/excel/2006/main">
          <x14:cfRule type="beginsWith" priority="106" operator="beginsWith" id="{50D514C1-E8DD-4DBF-9799-7A349AA4F7A0}">
            <xm:f>LEFT(N120,LEN("-"))="-"</xm:f>
            <xm:f>"-"</xm:f>
            <x14:dxf>
              <font>
                <color rgb="FFFF0000"/>
              </font>
            </x14:dxf>
          </x14:cfRule>
          <xm:sqref>N120</xm:sqref>
        </x14:conditionalFormatting>
        <x14:conditionalFormatting xmlns:xm="http://schemas.microsoft.com/office/excel/2006/main">
          <x14:cfRule type="beginsWith" priority="105" operator="beginsWith" id="{696CE7B6-756C-415C-B014-C0F0DC4CED42}">
            <xm:f>LEFT(N121,LEN("-"))="-"</xm:f>
            <xm:f>"-"</xm:f>
            <x14:dxf>
              <font>
                <color rgb="FFFF0000"/>
              </font>
            </x14:dxf>
          </x14:cfRule>
          <xm:sqref>N121:N122</xm:sqref>
        </x14:conditionalFormatting>
        <x14:conditionalFormatting xmlns:xm="http://schemas.microsoft.com/office/excel/2006/main">
          <x14:cfRule type="beginsWith" priority="104" operator="beginsWith" id="{037ED8D6-BD8D-4CF7-84BB-2E9167D35102}">
            <xm:f>LEFT(K117,LEN("-"))="-"</xm:f>
            <xm:f>"-"</xm:f>
            <x14:dxf>
              <font>
                <color rgb="FFFF0000"/>
              </font>
            </x14:dxf>
          </x14:cfRule>
          <xm:sqref>K117</xm:sqref>
        </x14:conditionalFormatting>
        <x14:conditionalFormatting xmlns:xm="http://schemas.microsoft.com/office/excel/2006/main">
          <x14:cfRule type="beginsWith" priority="87" operator="beginsWith" id="{6C3E79A7-5ED4-4B38-9DB4-8B49F9DDAF02}">
            <xm:f>LEFT(K128,LEN("-"))="-"</xm:f>
            <xm:f>"-"</xm:f>
            <x14:dxf>
              <font>
                <color rgb="FFFF0000"/>
              </font>
            </x14:dxf>
          </x14:cfRule>
          <xm:sqref>K128</xm:sqref>
        </x14:conditionalFormatting>
        <x14:conditionalFormatting xmlns:xm="http://schemas.microsoft.com/office/excel/2006/main">
          <x14:cfRule type="beginsWith" priority="60" operator="beginsWith" id="{691E859E-5622-4A50-AA0C-90F5C8BE6AAF}">
            <xm:f>LEFT(P90,LEN("-"))="-"</xm:f>
            <xm:f>"-"</xm:f>
            <x14:dxf>
              <font>
                <color rgb="FFFF0000"/>
              </font>
            </x14:dxf>
          </x14:cfRule>
          <xm:sqref>P90:P92</xm:sqref>
        </x14:conditionalFormatting>
        <x14:conditionalFormatting xmlns:xm="http://schemas.microsoft.com/office/excel/2006/main">
          <x14:cfRule type="beginsWith" priority="96" operator="beginsWith" id="{86FABAD8-FA9B-419A-AC97-7E136ACFC1E3}">
            <xm:f>LEFT(J130,LEN("-"))="-"</xm:f>
            <xm:f>"-"</xm:f>
            <x14:dxf>
              <font>
                <color rgb="FFFF0000"/>
              </font>
            </x14:dxf>
          </x14:cfRule>
          <xm:sqref>J130</xm:sqref>
        </x14:conditionalFormatting>
        <x14:conditionalFormatting xmlns:xm="http://schemas.microsoft.com/office/excel/2006/main">
          <x14:cfRule type="beginsWith" priority="95" operator="beginsWith" id="{9D53ADE9-EA63-4123-BD63-F21F88555EDD}">
            <xm:f>LEFT(J129,LEN("-"))="-"</xm:f>
            <xm:f>"-"</xm:f>
            <x14:dxf>
              <font>
                <color rgb="FFFF0000"/>
              </font>
            </x14:dxf>
          </x14:cfRule>
          <xm:sqref>J129</xm:sqref>
        </x14:conditionalFormatting>
        <x14:conditionalFormatting xmlns:xm="http://schemas.microsoft.com/office/excel/2006/main">
          <x14:cfRule type="beginsWith" priority="90" operator="beginsWith" id="{A9D96DF9-2235-416F-8ACC-045F4D47EC18}">
            <xm:f>LEFT(N128,LEN("-"))="-"</xm:f>
            <xm:f>"-"</xm:f>
            <x14:dxf>
              <font>
                <color rgb="FFFF0000"/>
              </font>
            </x14:dxf>
          </x14:cfRule>
          <xm:sqref>N128</xm:sqref>
        </x14:conditionalFormatting>
        <x14:conditionalFormatting xmlns:xm="http://schemas.microsoft.com/office/excel/2006/main">
          <x14:cfRule type="beginsWith" priority="92" operator="beginsWith" id="{E7BFEA72-30F8-4BF8-8D2D-C4680F7E4C75}">
            <xm:f>LEFT(N129,LEN("-"))="-"</xm:f>
            <xm:f>"-"</xm:f>
            <x14:dxf>
              <font>
                <color rgb="FFFF0000"/>
              </font>
            </x14:dxf>
          </x14:cfRule>
          <xm:sqref>N129</xm:sqref>
        </x14:conditionalFormatting>
        <x14:conditionalFormatting xmlns:xm="http://schemas.microsoft.com/office/excel/2006/main">
          <x14:cfRule type="beginsWith" priority="91" operator="beginsWith" id="{BDFE62F8-3ACA-4C17-94F7-43BC8BB57519}">
            <xm:f>LEFT(N130,LEN("-"))="-"</xm:f>
            <xm:f>"-"</xm:f>
            <x14:dxf>
              <font>
                <color rgb="FFFF0000"/>
              </font>
            </x14:dxf>
          </x14:cfRule>
          <xm:sqref>N130</xm:sqref>
        </x14:conditionalFormatting>
        <x14:conditionalFormatting xmlns:xm="http://schemas.microsoft.com/office/excel/2006/main">
          <x14:cfRule type="beginsWith" priority="89" operator="beginsWith" id="{59D1B445-98A8-41ED-A6E1-292A155147AC}">
            <xm:f>LEFT(K129,LEN("-"))="-"</xm:f>
            <xm:f>"-"</xm:f>
            <x14:dxf>
              <font>
                <color rgb="FFFF0000"/>
              </font>
            </x14:dxf>
          </x14:cfRule>
          <xm:sqref>K129</xm:sqref>
        </x14:conditionalFormatting>
        <x14:conditionalFormatting xmlns:xm="http://schemas.microsoft.com/office/excel/2006/main">
          <x14:cfRule type="beginsWith" priority="88" operator="beginsWith" id="{2EBB14C0-CB24-4833-8209-BE775E313D56}">
            <xm:f>LEFT(K130,LEN("-"))="-"</xm:f>
            <xm:f>"-"</xm:f>
            <x14:dxf>
              <font>
                <color rgb="FFFF0000"/>
              </font>
            </x14:dxf>
          </x14:cfRule>
          <xm:sqref>K130</xm:sqref>
        </x14:conditionalFormatting>
        <x14:conditionalFormatting xmlns:xm="http://schemas.microsoft.com/office/excel/2006/main">
          <x14:cfRule type="beginsWith" priority="66" operator="beginsWith" id="{EA70D956-15CE-40E6-9BCE-317201943D61}">
            <xm:f>LEFT(L59,LEN("-"))="-"</xm:f>
            <xm:f>"-"</xm:f>
            <x14:dxf>
              <font>
                <color rgb="FFFF0000"/>
              </font>
            </x14:dxf>
          </x14:cfRule>
          <xm:sqref>L59:L61</xm:sqref>
        </x14:conditionalFormatting>
        <x14:conditionalFormatting xmlns:xm="http://schemas.microsoft.com/office/excel/2006/main">
          <x14:cfRule type="beginsWith" priority="65" operator="beginsWith" id="{202C4295-F3CE-42B8-B1FB-468335FA768F}">
            <xm:f>LEFT(P59,LEN("-"))="-"</xm:f>
            <xm:f>"-"</xm:f>
            <x14:dxf>
              <font>
                <color rgb="FFFF0000"/>
              </font>
            </x14:dxf>
          </x14:cfRule>
          <xm:sqref>P59:P61</xm:sqref>
        </x14:conditionalFormatting>
        <x14:conditionalFormatting xmlns:xm="http://schemas.microsoft.com/office/excel/2006/main">
          <x14:cfRule type="beginsWith" priority="69" operator="beginsWith" id="{000C3780-B002-465C-8D4A-EF817EBE78D6}">
            <xm:f>LEFT(P34,LEN("-"))="-"</xm:f>
            <xm:f>"-"</xm:f>
            <x14:dxf>
              <font>
                <color rgb="FFFF0000"/>
              </font>
            </x14:dxf>
          </x14:cfRule>
          <xm:sqref>P34:P35</xm:sqref>
        </x14:conditionalFormatting>
        <x14:conditionalFormatting xmlns:xm="http://schemas.microsoft.com/office/excel/2006/main">
          <x14:cfRule type="beginsWith" priority="68" operator="beginsWith" id="{BB3AB1FF-AFE8-4607-A652-DD87093EF162}">
            <xm:f>LEFT(M34,LEN("-"))="-"</xm:f>
            <xm:f>"-"</xm:f>
            <x14:dxf>
              <font>
                <color rgb="FFFF0000"/>
              </font>
            </x14:dxf>
          </x14:cfRule>
          <xm:sqref>M34:M35</xm:sqref>
        </x14:conditionalFormatting>
        <x14:conditionalFormatting xmlns:xm="http://schemas.microsoft.com/office/excel/2006/main">
          <x14:cfRule type="beginsWith" priority="63" operator="beginsWith" id="{B9188ADF-2443-45E8-A1CD-11ADF4405C10}">
            <xm:f>LEFT(M59,LEN("-"))="-"</xm:f>
            <xm:f>"-"</xm:f>
            <x14:dxf>
              <font>
                <color rgb="FFFF0000"/>
              </font>
            </x14:dxf>
          </x14:cfRule>
          <xm:sqref>M59</xm:sqref>
        </x14:conditionalFormatting>
        <x14:conditionalFormatting xmlns:xm="http://schemas.microsoft.com/office/excel/2006/main">
          <x14:cfRule type="beginsWith" priority="64" operator="beginsWith" id="{BD757BE2-0AFB-4DCF-9E28-E60387C461BC}">
            <xm:f>LEFT(M61,LEN("-"))="-"</xm:f>
            <xm:f>"-"</xm:f>
            <x14:dxf>
              <font>
                <color rgb="FFFF0000"/>
              </font>
            </x14:dxf>
          </x14:cfRule>
          <xm:sqref>M61</xm:sqref>
        </x14:conditionalFormatting>
        <x14:conditionalFormatting xmlns:xm="http://schemas.microsoft.com/office/excel/2006/main">
          <x14:cfRule type="beginsWith" priority="62" operator="beginsWith" id="{B16D5DBD-237C-4253-B02E-85DB7B7CAFB3}">
            <xm:f>LEFT(M60,LEN("-"))="-"</xm:f>
            <xm:f>"-"</xm:f>
            <x14:dxf>
              <font>
                <color rgb="FFFF0000"/>
              </font>
            </x14:dxf>
          </x14:cfRule>
          <xm:sqref>M60</xm:sqref>
        </x14:conditionalFormatting>
        <x14:conditionalFormatting xmlns:xm="http://schemas.microsoft.com/office/excel/2006/main">
          <x14:cfRule type="beginsWith" priority="61" operator="beginsWith" id="{86A1834B-D191-47CF-8654-A115AFB879D0}">
            <xm:f>LEFT(L34,LEN("-"))="-"</xm:f>
            <xm:f>"-"</xm:f>
            <x14:dxf>
              <font>
                <color rgb="FFFF0000"/>
              </font>
            </x14:dxf>
          </x14:cfRule>
          <xm:sqref>L34:L35</xm:sqref>
        </x14:conditionalFormatting>
        <x14:conditionalFormatting xmlns:xm="http://schemas.microsoft.com/office/excel/2006/main">
          <x14:cfRule type="beginsWith" priority="73" operator="beginsWith" id="{3B704786-C079-4AB7-AB62-582728181F1F}">
            <xm:f>LEFT(L26,LEN("-"))="-"</xm:f>
            <xm:f>"-"</xm:f>
            <x14:dxf>
              <font>
                <color rgb="FFFF000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72" operator="beginsWith" id="{519AED7E-6D89-4E62-9D7B-81156C190251}">
            <xm:f>LEFT(P26,LEN("-"))="-"</xm:f>
            <xm:f>"-"</xm:f>
            <x14:dxf>
              <font>
                <color rgb="FFFF000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71" operator="beginsWith" id="{EB50C71D-86B5-465D-9836-E02B80D99B7B}">
            <xm:f>LEFT(M26,LEN("-"))="-"</xm:f>
            <xm:f>"-"</xm:f>
            <x14:dxf>
              <font>
                <color rgb="FFFF0000"/>
              </font>
            </x14:dxf>
          </x14:cfRule>
          <xm:sqref>M26:M29</xm:sqref>
        </x14:conditionalFormatting>
        <x14:conditionalFormatting xmlns:xm="http://schemas.microsoft.com/office/excel/2006/main">
          <x14:cfRule type="beginsWith" priority="59" operator="beginsWith" id="{0C0FAF64-47A1-46AD-B272-3985BA22667F}">
            <xm:f>LEFT(L90,LEN("-"))="-"</xm:f>
            <xm:f>"-"</xm:f>
            <x14:dxf>
              <font>
                <color rgb="FFFF0000"/>
              </font>
            </x14:dxf>
          </x14:cfRule>
          <xm:sqref>L90:L92</xm:sqref>
        </x14:conditionalFormatting>
        <x14:conditionalFormatting xmlns:xm="http://schemas.microsoft.com/office/excel/2006/main">
          <x14:cfRule type="beginsWith" priority="57" operator="beginsWith" id="{C18AB2F7-ED9E-4FFD-9AE9-3ED8C79F8E2C}">
            <xm:f>LEFT(M91,LEN("-"))="-"</xm:f>
            <xm:f>"-"</xm:f>
            <x14:dxf>
              <font>
                <color rgb="FFFF0000"/>
              </font>
            </x14:dxf>
          </x14:cfRule>
          <xm:sqref>M91</xm:sqref>
        </x14:conditionalFormatting>
        <x14:conditionalFormatting xmlns:xm="http://schemas.microsoft.com/office/excel/2006/main">
          <x14:cfRule type="beginsWith" priority="58" operator="beginsWith" id="{3F9163B8-C28E-4D36-A376-9EA99124C765}">
            <xm:f>LEFT(M90,LEN("-"))="-"</xm:f>
            <xm:f>"-"</xm:f>
            <x14:dxf>
              <font>
                <color rgb="FFFF0000"/>
              </font>
            </x14:dxf>
          </x14:cfRule>
          <xm:sqref>M90 M92</xm:sqref>
        </x14:conditionalFormatting>
        <x14:conditionalFormatting xmlns:xm="http://schemas.microsoft.com/office/excel/2006/main">
          <x14:cfRule type="beginsWith" priority="56" operator="beginsWith" id="{FE5CCA86-1DDF-479A-9D28-5164F54AC568}">
            <xm:f>LEFT(P117,LEN("-"))="-"</xm:f>
            <xm:f>"-"</xm:f>
            <x14:dxf>
              <font>
                <color rgb="FFFF0000"/>
              </font>
            </x14:dxf>
          </x14:cfRule>
          <xm:sqref>P117:P122</xm:sqref>
        </x14:conditionalFormatting>
        <x14:conditionalFormatting xmlns:xm="http://schemas.microsoft.com/office/excel/2006/main">
          <x14:cfRule type="beginsWith" priority="55" operator="beginsWith" id="{BFD4DC65-651F-473F-B6E9-BF6A2867B0D4}">
            <xm:f>LEFT(L117,LEN("-"))="-"</xm:f>
            <xm:f>"-"</xm:f>
            <x14:dxf>
              <font>
                <color rgb="FFFF0000"/>
              </font>
            </x14:dxf>
          </x14:cfRule>
          <xm:sqref>L117:L122</xm:sqref>
        </x14:conditionalFormatting>
        <x14:conditionalFormatting xmlns:xm="http://schemas.microsoft.com/office/excel/2006/main">
          <x14:cfRule type="beginsWith" priority="54" operator="beginsWith" id="{E40ADAE6-4231-4E17-AAF8-73C56C7E65EF}">
            <xm:f>LEFT(Q117,LEN("-"))="-"</xm:f>
            <xm:f>"-"</xm:f>
            <x14:dxf>
              <font>
                <color rgb="FFFF0000"/>
              </font>
            </x14:dxf>
          </x14:cfRule>
          <xm:sqref>Q117:Q122</xm:sqref>
        </x14:conditionalFormatting>
        <x14:conditionalFormatting xmlns:xm="http://schemas.microsoft.com/office/excel/2006/main">
          <x14:cfRule type="beginsWith" priority="53" operator="beginsWith" id="{BCF9F58F-09E8-4CDC-B451-777087A8087C}">
            <xm:f>LEFT(P128,LEN("-"))="-"</xm:f>
            <xm:f>"-"</xm:f>
            <x14:dxf>
              <font>
                <color rgb="FFFF0000"/>
              </font>
            </x14:dxf>
          </x14:cfRule>
          <xm:sqref>P128:P130</xm:sqref>
        </x14:conditionalFormatting>
        <x14:conditionalFormatting xmlns:xm="http://schemas.microsoft.com/office/excel/2006/main">
          <x14:cfRule type="beginsWith" priority="52" operator="beginsWith" id="{2B478688-0F65-4629-AE28-7AA881A018F3}">
            <xm:f>LEFT(L128,LEN("-"))="-"</xm:f>
            <xm:f>"-"</xm:f>
            <x14:dxf>
              <font>
                <color rgb="FFFF0000"/>
              </font>
            </x14:dxf>
          </x14:cfRule>
          <xm:sqref>L128:L130</xm:sqref>
        </x14:conditionalFormatting>
        <x14:conditionalFormatting xmlns:xm="http://schemas.microsoft.com/office/excel/2006/main">
          <x14:cfRule type="beginsWith" priority="51" operator="beginsWith" id="{6E1F464A-D85D-42F3-8358-526311408E5D}">
            <xm:f>LEFT(Q128,LEN("-"))="-"</xm:f>
            <xm:f>"-"</xm:f>
            <x14:dxf>
              <font>
                <color rgb="FFFF0000"/>
              </font>
            </x14:dxf>
          </x14:cfRule>
          <xm:sqref>Q128:Q130</xm:sqref>
        </x14:conditionalFormatting>
        <x14:conditionalFormatting xmlns:xm="http://schemas.microsoft.com/office/excel/2006/main">
          <x14:cfRule type="beginsWith" priority="36" operator="beginsWith" id="{9E1A11FB-C1B6-476A-B1F1-DB6711BB0CC0}">
            <xm:f>LEFT(P135,LEN("-"))="-"</xm:f>
            <xm:f>"-"</xm:f>
            <x14:dxf>
              <font>
                <color rgb="FFFF0000"/>
              </font>
            </x14:dxf>
          </x14:cfRule>
          <xm:sqref>P135:P137</xm:sqref>
        </x14:conditionalFormatting>
        <x14:conditionalFormatting xmlns:xm="http://schemas.microsoft.com/office/excel/2006/main">
          <x14:cfRule type="beginsWith" priority="34" operator="beginsWith" id="{C0CCE7F2-C6A3-4458-89D0-D59FCA8F05D8}">
            <xm:f>LEFT(Q135,LEN("-"))="-"</xm:f>
            <xm:f>"-"</xm:f>
            <x14:dxf>
              <font>
                <color rgb="FFFF0000"/>
              </font>
            </x14:dxf>
          </x14:cfRule>
          <xm:sqref>Q135:Q137</xm:sqref>
        </x14:conditionalFormatting>
        <x14:conditionalFormatting xmlns:xm="http://schemas.microsoft.com/office/excel/2006/main">
          <x14:cfRule type="beginsWith" priority="35" operator="beginsWith" id="{3A32AB41-B234-4807-B4FE-27740A0C22F1}">
            <xm:f>LEFT(L135,LEN("-"))="-"</xm:f>
            <xm:f>"-"</xm:f>
            <x14:dxf>
              <font>
                <color rgb="FFFF0000"/>
              </font>
            </x14:dxf>
          </x14:cfRule>
          <xm:sqref>L135:L137</xm:sqref>
        </x14:conditionalFormatting>
        <x14:conditionalFormatting xmlns:xm="http://schemas.microsoft.com/office/excel/2006/main">
          <x14:cfRule type="beginsWith" priority="47" operator="beginsWith" id="{6DB5385A-4B8C-4CE4-A34C-341D6E45F049}">
            <xm:f>LEFT(O135,LEN("-"))="-"</xm:f>
            <xm:f>"-"</xm:f>
            <x14:dxf>
              <font>
                <color rgb="FFFF0000"/>
              </font>
            </x14:dxf>
          </x14:cfRule>
          <xm:sqref>R135:AE137 O135:O137</xm:sqref>
        </x14:conditionalFormatting>
        <x14:conditionalFormatting xmlns:xm="http://schemas.microsoft.com/office/excel/2006/main">
          <x14:cfRule type="beginsWith" priority="37" operator="beginsWith" id="{88BEA37C-CE0A-413A-8A6D-188124897472}">
            <xm:f>LEFT(K135,LEN("-"))="-"</xm:f>
            <xm:f>"-"</xm:f>
            <x14:dxf>
              <font>
                <color rgb="FFFF0000"/>
              </font>
            </x14:dxf>
          </x14:cfRule>
          <xm:sqref>K135</xm:sqref>
        </x14:conditionalFormatting>
        <x14:conditionalFormatting xmlns:xm="http://schemas.microsoft.com/office/excel/2006/main">
          <x14:cfRule type="beginsWith" priority="46" operator="beginsWith" id="{2C9453D2-AD5C-4A3A-BD29-4B6FF4B4011E}">
            <xm:f>LEFT(J137,LEN("-"))="-"</xm:f>
            <xm:f>"-"</xm:f>
            <x14:dxf>
              <font>
                <color rgb="FFFF0000"/>
              </font>
            </x14:dxf>
          </x14:cfRule>
          <xm:sqref>J137</xm:sqref>
        </x14:conditionalFormatting>
        <x14:conditionalFormatting xmlns:xm="http://schemas.microsoft.com/office/excel/2006/main">
          <x14:cfRule type="beginsWith" priority="45" operator="beginsWith" id="{702AB7DF-BEE5-48FC-8076-5FFC0E0A9F84}">
            <xm:f>LEFT(J136,LEN("-"))="-"</xm:f>
            <xm:f>"-"</xm:f>
            <x14:dxf>
              <font>
                <color rgb="FFFF0000"/>
              </font>
            </x14:dxf>
          </x14:cfRule>
          <xm:sqref>J136</xm:sqref>
        </x14:conditionalFormatting>
        <x14:conditionalFormatting xmlns:xm="http://schemas.microsoft.com/office/excel/2006/main">
          <x14:cfRule type="beginsWith" priority="40" operator="beginsWith" id="{FA99ADF4-FCC6-44FD-8164-2E6F6A5C088B}">
            <xm:f>LEFT(N135,LEN("-"))="-"</xm:f>
            <xm:f>"-"</xm:f>
            <x14:dxf>
              <font>
                <color rgb="FFFF0000"/>
              </font>
            </x14:dxf>
          </x14:cfRule>
          <xm:sqref>N135</xm:sqref>
        </x14:conditionalFormatting>
        <x14:conditionalFormatting xmlns:xm="http://schemas.microsoft.com/office/excel/2006/main">
          <x14:cfRule type="beginsWith" priority="42" operator="beginsWith" id="{59EAF79C-42E1-41EB-B33B-30197A3D52F0}">
            <xm:f>LEFT(N136,LEN("-"))="-"</xm:f>
            <xm:f>"-"</xm:f>
            <x14:dxf>
              <font>
                <color rgb="FFFF0000"/>
              </font>
            </x14:dxf>
          </x14:cfRule>
          <xm:sqref>N136</xm:sqref>
        </x14:conditionalFormatting>
        <x14:conditionalFormatting xmlns:xm="http://schemas.microsoft.com/office/excel/2006/main">
          <x14:cfRule type="beginsWith" priority="41" operator="beginsWith" id="{D2420E38-D5AB-486B-86CC-DA3D8826EA52}">
            <xm:f>LEFT(N137,LEN("-"))="-"</xm:f>
            <xm:f>"-"</xm:f>
            <x14:dxf>
              <font>
                <color rgb="FFFF0000"/>
              </font>
            </x14:dxf>
          </x14:cfRule>
          <xm:sqref>N137</xm:sqref>
        </x14:conditionalFormatting>
        <x14:conditionalFormatting xmlns:xm="http://schemas.microsoft.com/office/excel/2006/main">
          <x14:cfRule type="beginsWith" priority="39" operator="beginsWith" id="{01C769C1-87DF-4890-8684-62D83FF0C2D0}">
            <xm:f>LEFT(K136,LEN("-"))="-"</xm:f>
            <xm:f>"-"</xm:f>
            <x14:dxf>
              <font>
                <color rgb="FFFF0000"/>
              </font>
            </x14:dxf>
          </x14:cfRule>
          <xm:sqref>K136</xm:sqref>
        </x14:conditionalFormatting>
        <x14:conditionalFormatting xmlns:xm="http://schemas.microsoft.com/office/excel/2006/main">
          <x14:cfRule type="beginsWith" priority="38" operator="beginsWith" id="{56EDD3C2-0FAA-4C90-B2DF-85B25A0319A5}">
            <xm:f>LEFT(K137,LEN("-"))="-"</xm:f>
            <xm:f>"-"</xm:f>
            <x14:dxf>
              <font>
                <color rgb="FFFF0000"/>
              </font>
            </x14:dxf>
          </x14:cfRule>
          <xm:sqref>K137</xm:sqref>
        </x14:conditionalFormatting>
        <x14:conditionalFormatting xmlns:xm="http://schemas.microsoft.com/office/excel/2006/main">
          <x14:cfRule type="beginsWith" priority="33" operator="beginsWith" id="{DCED3360-C446-480F-9D7C-3F8514D2B5D7}">
            <xm:f>LEFT(L155,LEN("-"))="-"</xm:f>
            <xm:f>"-"</xm:f>
            <x14:dxf>
              <font>
                <color rgb="FFFF0000"/>
              </font>
            </x14:dxf>
          </x14:cfRule>
          <xm:sqref>L155:L157</xm:sqref>
        </x14:conditionalFormatting>
        <x14:conditionalFormatting xmlns:xm="http://schemas.microsoft.com/office/excel/2006/main">
          <x14:cfRule type="beginsWith" priority="32" operator="beginsWith" id="{3E21F83F-62D3-4D5D-A1F2-E9364F9B9C46}">
            <xm:f>LEFT(P155,LEN("-"))="-"</xm:f>
            <xm:f>"-"</xm:f>
            <x14:dxf>
              <font>
                <color rgb="FFFF0000"/>
              </font>
            </x14:dxf>
          </x14:cfRule>
          <xm:sqref>P155:P157</xm:sqref>
        </x14:conditionalFormatting>
        <x14:conditionalFormatting xmlns:xm="http://schemas.microsoft.com/office/excel/2006/main">
          <x14:cfRule type="beginsWith" priority="28" operator="beginsWith" id="{3B84554E-99B8-4D14-B826-46498F883D41}">
            <xm:f>LEFT(M187,LEN("-"))="-"</xm:f>
            <xm:f>"-"</xm:f>
            <x14:dxf>
              <font>
                <color rgb="FFFF0000"/>
              </font>
            </x14:dxf>
          </x14:cfRule>
          <xm:sqref>M187</xm:sqref>
        </x14:conditionalFormatting>
        <x14:conditionalFormatting xmlns:xm="http://schemas.microsoft.com/office/excel/2006/main">
          <x14:cfRule type="beginsWith" priority="31" operator="beginsWith" id="{93DF1DA7-ED33-4CAE-B3E2-34E9D4FD4F01}">
            <xm:f>LEFT(L186,LEN("-"))="-"</xm:f>
            <xm:f>"-"</xm:f>
            <x14:dxf>
              <font>
                <color rgb="FFFF0000"/>
              </font>
            </x14:dxf>
          </x14:cfRule>
          <xm:sqref>L186:L188</xm:sqref>
        </x14:conditionalFormatting>
        <x14:conditionalFormatting xmlns:xm="http://schemas.microsoft.com/office/excel/2006/main">
          <x14:cfRule type="beginsWith" priority="30" operator="beginsWith" id="{8D88CDCC-9923-420E-98F7-EAB95082DD40}">
            <xm:f>LEFT(P186,LEN("-"))="-"</xm:f>
            <xm:f>"-"</xm:f>
            <x14:dxf>
              <font>
                <color rgb="FFFF0000"/>
              </font>
            </x14:dxf>
          </x14:cfRule>
          <xm:sqref>P186:P188</xm:sqref>
        </x14:conditionalFormatting>
        <x14:conditionalFormatting xmlns:xm="http://schemas.microsoft.com/office/excel/2006/main">
          <x14:cfRule type="beginsWith" priority="29" operator="beginsWith" id="{4EF59FA7-3FFA-4726-9AEB-47A43DE1B13C}">
            <xm:f>LEFT(M186,LEN("-"))="-"</xm:f>
            <xm:f>"-"</xm:f>
            <x14:dxf>
              <font>
                <color rgb="FFFF0000"/>
              </font>
            </x14:dxf>
          </x14:cfRule>
          <xm:sqref>M186 M188</xm:sqref>
        </x14:conditionalFormatting>
        <x14:conditionalFormatting xmlns:xm="http://schemas.microsoft.com/office/excel/2006/main">
          <x14:cfRule type="beginsWith" priority="20" operator="beginsWith" id="{58E0853B-8015-48C3-8F04-AE994A7E442F}">
            <xm:f>LEFT(M217,LEN("-"))="-"</xm:f>
            <xm:f>"-"</xm:f>
            <x14:dxf>
              <font>
                <color rgb="FFFF0000"/>
              </font>
            </x14:dxf>
          </x14:cfRule>
          <xm:sqref>M217 M219</xm:sqref>
        </x14:conditionalFormatting>
        <x14:conditionalFormatting xmlns:xm="http://schemas.microsoft.com/office/excel/2006/main">
          <x14:cfRule type="beginsWith" priority="19" operator="beginsWith" id="{0A0A16FD-D794-4A32-B2E7-52B094FC6121}">
            <xm:f>LEFT(M218,LEN("-"))="-"</xm:f>
            <xm:f>"-"</xm:f>
            <x14:dxf>
              <font>
                <color rgb="FFFF0000"/>
              </font>
            </x14:dxf>
          </x14:cfRule>
          <xm:sqref>M218</xm:sqref>
        </x14:conditionalFormatting>
        <x14:conditionalFormatting xmlns:xm="http://schemas.microsoft.com/office/excel/2006/main">
          <x14:cfRule type="beginsWith" priority="25" operator="beginsWith" id="{6B0C2450-2982-418C-BEF0-555C4DDD80CF}">
            <xm:f>LEFT(J217,LEN("-"))="-"</xm:f>
            <xm:f>"-"</xm:f>
            <x14:dxf>
              <font>
                <color rgb="FFFF0000"/>
              </font>
            </x14:dxf>
          </x14:cfRule>
          <xm:sqref>J217:K219 Q217:AE219 O217:O219</xm:sqref>
        </x14:conditionalFormatting>
        <x14:conditionalFormatting xmlns:xm="http://schemas.microsoft.com/office/excel/2006/main">
          <x14:cfRule type="beginsWith" priority="24" operator="beginsWith" id="{9106D502-AD7B-4115-A6D5-0D464139B5EE}">
            <xm:f>LEFT(N217,LEN("-"))="-"</xm:f>
            <xm:f>"-"</xm:f>
            <x14:dxf>
              <font>
                <color rgb="FFFF0000"/>
              </font>
            </x14:dxf>
          </x14:cfRule>
          <xm:sqref>N217 N219</xm:sqref>
        </x14:conditionalFormatting>
        <x14:conditionalFormatting xmlns:xm="http://schemas.microsoft.com/office/excel/2006/main">
          <x14:cfRule type="beginsWith" priority="23" operator="beginsWith" id="{D9F7FD8F-23E1-4F33-85BA-D646E8F76409}">
            <xm:f>LEFT(N218,LEN("-"))="-"</xm:f>
            <xm:f>"-"</xm:f>
            <x14:dxf>
              <font>
                <color rgb="FFFF0000"/>
              </font>
            </x14:dxf>
          </x14:cfRule>
          <xm:sqref>N218</xm:sqref>
        </x14:conditionalFormatting>
        <x14:conditionalFormatting xmlns:xm="http://schemas.microsoft.com/office/excel/2006/main">
          <x14:cfRule type="beginsWith" priority="22" operator="beginsWith" id="{ED4306BD-B686-4E59-9C5D-E6059C9C1FC9}">
            <xm:f>LEFT(L217,LEN("-"))="-"</xm:f>
            <xm:f>"-"</xm:f>
            <x14:dxf>
              <font>
                <color rgb="FFFF0000"/>
              </font>
            </x14:dxf>
          </x14:cfRule>
          <xm:sqref>L217:L219</xm:sqref>
        </x14:conditionalFormatting>
        <x14:conditionalFormatting xmlns:xm="http://schemas.microsoft.com/office/excel/2006/main">
          <x14:cfRule type="beginsWith" priority="21" operator="beginsWith" id="{E8B6C66D-F90F-4C70-921B-5A6CB8BA0A82}">
            <xm:f>LEFT(P217,LEN("-"))="-"</xm:f>
            <xm:f>"-"</xm:f>
            <x14:dxf>
              <font>
                <color rgb="FFFF0000"/>
              </font>
            </x14:dxf>
          </x14:cfRule>
          <xm:sqref>P217:P219</xm:sqref>
        </x14:conditionalFormatting>
        <x14:conditionalFormatting xmlns:xm="http://schemas.microsoft.com/office/excel/2006/main">
          <x14:cfRule type="beginsWith" priority="16" operator="beginsWith" id="{8D75E147-4593-46CD-9DAA-134FD748ADBA}">
            <xm:f>LEFT(M128,LEN("-"))="-"</xm:f>
            <xm:f>"-"</xm:f>
            <x14:dxf>
              <font>
                <color rgb="FFFF0000"/>
              </font>
            </x14:dxf>
          </x14:cfRule>
          <xm:sqref>M128</xm:sqref>
        </x14:conditionalFormatting>
        <x14:conditionalFormatting xmlns:xm="http://schemas.microsoft.com/office/excel/2006/main">
          <x14:cfRule type="beginsWith" priority="18" operator="beginsWith" id="{0C0834B3-AFA2-4DA3-9B7F-C18057B74DD0}">
            <xm:f>LEFT(M129,LEN("-"))="-"</xm:f>
            <xm:f>"-"</xm:f>
            <x14:dxf>
              <font>
                <color rgb="FFFF0000"/>
              </font>
            </x14:dxf>
          </x14:cfRule>
          <xm:sqref>M129</xm:sqref>
        </x14:conditionalFormatting>
        <x14:conditionalFormatting xmlns:xm="http://schemas.microsoft.com/office/excel/2006/main">
          <x14:cfRule type="beginsWith" priority="17" operator="beginsWith" id="{9CB8E8AB-AED8-40B8-BA91-602B1825655F}">
            <xm:f>LEFT(M130,LEN("-"))="-"</xm:f>
            <xm:f>"-"</xm:f>
            <x14:dxf>
              <font>
                <color rgb="FFFF0000"/>
              </font>
            </x14:dxf>
          </x14:cfRule>
          <xm:sqref>M130</xm:sqref>
        </x14:conditionalFormatting>
        <x14:conditionalFormatting xmlns:xm="http://schemas.microsoft.com/office/excel/2006/main">
          <x14:cfRule type="beginsWith" priority="13" operator="beginsWith" id="{01FBA04E-AB31-45EB-A54F-856C745F9A3D}">
            <xm:f>LEFT(M135,LEN("-"))="-"</xm:f>
            <xm:f>"-"</xm:f>
            <x14:dxf>
              <font>
                <color rgb="FFFF0000"/>
              </font>
            </x14:dxf>
          </x14:cfRule>
          <xm:sqref>M135</xm:sqref>
        </x14:conditionalFormatting>
        <x14:conditionalFormatting xmlns:xm="http://schemas.microsoft.com/office/excel/2006/main">
          <x14:cfRule type="beginsWith" priority="15" operator="beginsWith" id="{316CC406-09E8-48B0-BEAA-9A81B5FD1FD8}">
            <xm:f>LEFT(M136,LEN("-"))="-"</xm:f>
            <xm:f>"-"</xm:f>
            <x14:dxf>
              <font>
                <color rgb="FFFF0000"/>
              </font>
            </x14:dxf>
          </x14:cfRule>
          <xm:sqref>M136</xm:sqref>
        </x14:conditionalFormatting>
        <x14:conditionalFormatting xmlns:xm="http://schemas.microsoft.com/office/excel/2006/main">
          <x14:cfRule type="beginsWith" priority="14" operator="beginsWith" id="{7548AA61-92A5-4AD9-ABDE-F6987355B59F}">
            <xm:f>LEFT(M137,LEN("-"))="-"</xm:f>
            <xm:f>"-"</xm:f>
            <x14:dxf>
              <font>
                <color rgb="FFFF0000"/>
              </font>
            </x14:dxf>
          </x14:cfRule>
          <xm:sqref>M137</xm:sqref>
        </x14:conditionalFormatting>
        <x14:conditionalFormatting xmlns:xm="http://schemas.microsoft.com/office/excel/2006/main">
          <x14:cfRule type="beginsWith" priority="12" operator="beginsWith" id="{FD031AD3-296E-431C-AFFE-01CF10E09625}">
            <xm:f>LEFT(M122,LEN("-"))="-"</xm:f>
            <xm:f>"-"</xm:f>
            <x14:dxf>
              <font>
                <color rgb="FFFF0000"/>
              </font>
            </x14:dxf>
          </x14:cfRule>
          <xm:sqref>M122</xm:sqref>
        </x14:conditionalFormatting>
        <x14:conditionalFormatting xmlns:xm="http://schemas.microsoft.com/office/excel/2006/main">
          <x14:cfRule type="beginsWith" priority="6" operator="beginsWith" id="{A47156AB-CAE9-4771-89C8-711450E19837}">
            <xm:f>LEFT(L39,LEN("-"))="-"</xm:f>
            <xm:f>"-"</xm:f>
            <x14:dxf>
              <font>
                <color rgb="FFFF0000"/>
              </font>
            </x14:dxf>
          </x14:cfRule>
          <xm:sqref>L39</xm:sqref>
        </x14:conditionalFormatting>
        <x14:conditionalFormatting xmlns:xm="http://schemas.microsoft.com/office/excel/2006/main">
          <x14:cfRule type="beginsWith" priority="10" operator="beginsWith" id="{83FFF930-2180-4111-8261-ED483CD8ACFB}">
            <xm:f>LEFT(J37,LEN("-"))="-"</xm:f>
            <xm:f>"-"</xm:f>
            <x14:dxf>
              <font>
                <color rgb="FFFF0000"/>
              </font>
            </x14:dxf>
          </x14:cfRule>
          <xm:sqref>J39:K39 Q39:R39 O39 T37:AE39</xm:sqref>
        </x14:conditionalFormatting>
        <x14:conditionalFormatting xmlns:xm="http://schemas.microsoft.com/office/excel/2006/main">
          <x14:cfRule type="beginsWith" priority="9" operator="beginsWith" id="{C22ED937-B481-4A79-A1A6-6C00BAF28CC6}">
            <xm:f>LEFT(N39,LEN("-"))="-"</xm:f>
            <xm:f>"-"</xm:f>
            <x14:dxf>
              <font>
                <color rgb="FFFF0000"/>
              </font>
            </x14:dxf>
          </x14:cfRule>
          <xm:sqref>N39</xm:sqref>
        </x14:conditionalFormatting>
        <x14:conditionalFormatting xmlns:xm="http://schemas.microsoft.com/office/excel/2006/main">
          <x14:cfRule type="beginsWith" priority="8" operator="beginsWith" id="{C1A028BE-E01C-4622-B2A4-61D82BEE167C}">
            <xm:f>LEFT(P39,LEN("-"))="-"</xm:f>
            <xm:f>"-"</xm:f>
            <x14:dxf>
              <font>
                <color rgb="FFFF0000"/>
              </font>
            </x14:dxf>
          </x14:cfRule>
          <xm:sqref>P39</xm:sqref>
        </x14:conditionalFormatting>
        <x14:conditionalFormatting xmlns:xm="http://schemas.microsoft.com/office/excel/2006/main">
          <x14:cfRule type="beginsWith" priority="7" operator="beginsWith" id="{3302F520-71CF-45DC-A994-CFE3F7658290}">
            <xm:f>LEFT(M39,LEN("-"))="-"</xm:f>
            <xm:f>"-"</xm:f>
            <x14:dxf>
              <font>
                <color rgb="FFFF0000"/>
              </font>
            </x14:dxf>
          </x14:cfRule>
          <xm:sqref>M39</xm:sqref>
        </x14:conditionalFormatting>
        <x14:conditionalFormatting xmlns:xm="http://schemas.microsoft.com/office/excel/2006/main">
          <x14:cfRule type="beginsWith" priority="5" operator="beginsWith" id="{DC0FAA86-EB0D-4852-AAC6-F041D7F3CE99}">
            <xm:f>LEFT(J36,LEN("-"))="-"</xm:f>
            <xm:f>"-"</xm:f>
            <x14:dxf>
              <font>
                <color rgb="FFFF0000"/>
              </font>
            </x14:dxf>
          </x14:cfRule>
          <xm:sqref>J36:K38 Q36:R38 O36:O38</xm:sqref>
        </x14:conditionalFormatting>
        <x14:conditionalFormatting xmlns:xm="http://schemas.microsoft.com/office/excel/2006/main">
          <x14:cfRule type="beginsWith" priority="4" operator="beginsWith" id="{0778A78B-8EB7-4258-8B72-D37013DF8D55}">
            <xm:f>LEFT(N36,LEN("-"))="-"</xm:f>
            <xm:f>"-"</xm:f>
            <x14:dxf>
              <font>
                <color rgb="FFFF0000"/>
              </font>
            </x14:dxf>
          </x14:cfRule>
          <xm:sqref>N36:N38</xm:sqref>
        </x14:conditionalFormatting>
        <x14:conditionalFormatting xmlns:xm="http://schemas.microsoft.com/office/excel/2006/main">
          <x14:cfRule type="beginsWith" priority="3" operator="beginsWith" id="{D5A233D0-BC92-4DCC-B1A4-1310038485CA}">
            <xm:f>LEFT(P36,LEN("-"))="-"</xm:f>
            <xm:f>"-"</xm:f>
            <x14:dxf>
              <font>
                <color rgb="FFFF0000"/>
              </font>
            </x14:dxf>
          </x14:cfRule>
          <xm:sqref>P36:P38</xm:sqref>
        </x14:conditionalFormatting>
        <x14:conditionalFormatting xmlns:xm="http://schemas.microsoft.com/office/excel/2006/main">
          <x14:cfRule type="beginsWith" priority="2" operator="beginsWith" id="{A5F1571B-3450-420D-A572-B0112762031D}">
            <xm:f>LEFT(M36,LEN("-"))="-"</xm:f>
            <xm:f>"-"</xm:f>
            <x14:dxf>
              <font>
                <color rgb="FFFF0000"/>
              </font>
            </x14:dxf>
          </x14:cfRule>
          <xm:sqref>M36:M38</xm:sqref>
        </x14:conditionalFormatting>
        <x14:conditionalFormatting xmlns:xm="http://schemas.microsoft.com/office/excel/2006/main">
          <x14:cfRule type="beginsWith" priority="1" operator="beginsWith" id="{17EB9D28-CD8A-48F5-86FE-D49D52A79CA8}">
            <xm:f>LEFT(L36,LEN("-"))="-"</xm:f>
            <xm:f>"-"</xm:f>
            <x14:dxf>
              <font>
                <color rgb="FFFF0000"/>
              </font>
            </x14:dxf>
          </x14:cfRule>
          <xm:sqref>L36:L38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79998168889431442"/>
  </sheetPr>
  <dimension ref="A1:DQ132"/>
  <sheetViews>
    <sheetView showGridLines="0" topLeftCell="F24" zoomScale="90" zoomScaleNormal="90" workbookViewId="0">
      <selection activeCell="N29" sqref="N29"/>
    </sheetView>
  </sheetViews>
  <sheetFormatPr defaultRowHeight="12.75"/>
  <cols>
    <col min="1" max="2" width="15.5703125" style="2" hidden="1" customWidth="1"/>
    <col min="3" max="3" width="12.5703125" style="2" hidden="1" customWidth="1"/>
    <col min="4" max="4" width="11.85546875" style="2" hidden="1" customWidth="1"/>
    <col min="5" max="5" width="17.85546875" style="2" hidden="1" customWidth="1"/>
    <col min="6" max="6" width="6.7109375" style="2" bestFit="1" customWidth="1"/>
    <col min="7" max="7" width="8.140625" style="2" customWidth="1"/>
    <col min="8" max="8" width="8.5703125" style="2" customWidth="1"/>
    <col min="9" max="9" width="11.7109375" style="2" customWidth="1"/>
    <col min="10" max="31" width="6.85546875" style="2" customWidth="1"/>
    <col min="32" max="32" width="0.7109375" style="2" customWidth="1"/>
    <col min="33" max="33" width="1.42578125" style="2" customWidth="1"/>
    <col min="34" max="34" width="9.28515625" style="2" customWidth="1"/>
    <col min="35" max="35" width="7" style="2" customWidth="1"/>
    <col min="36" max="36" width="7.140625" style="2" customWidth="1"/>
    <col min="37" max="47" width="6.5703125" style="2" customWidth="1"/>
    <col min="48" max="48" width="6" style="2" customWidth="1"/>
    <col min="49" max="50" width="3.42578125" style="2" customWidth="1"/>
    <col min="51" max="57" width="3" style="2" customWidth="1"/>
    <col min="58" max="62" width="9.140625" style="2"/>
    <col min="63" max="63" width="13.140625" style="2" bestFit="1" customWidth="1"/>
    <col min="64" max="64" width="13.5703125" style="2" bestFit="1" customWidth="1"/>
    <col min="65" max="65" width="11.42578125" style="2" bestFit="1" customWidth="1"/>
    <col min="66" max="66" width="13.5703125" style="2" bestFit="1" customWidth="1"/>
    <col min="67" max="67" width="11.42578125" style="2" bestFit="1" customWidth="1"/>
    <col min="68" max="68" width="12.28515625" style="2" bestFit="1" customWidth="1"/>
    <col min="69" max="69" width="10.7109375" style="2" customWidth="1"/>
    <col min="70" max="70" width="21.7109375" style="2" bestFit="1" customWidth="1"/>
    <col min="71" max="71" width="11" style="2" bestFit="1" customWidth="1"/>
    <col min="72" max="72" width="11" style="2" customWidth="1"/>
    <col min="73" max="73" width="13.85546875" style="2" bestFit="1" customWidth="1"/>
    <col min="74" max="74" width="7.7109375" style="2" bestFit="1" customWidth="1"/>
    <col min="75" max="75" width="8.140625" style="2" bestFit="1" customWidth="1"/>
    <col min="76" max="78" width="10.42578125" style="2" customWidth="1"/>
    <col min="79" max="79" width="10.42578125" style="2" bestFit="1" customWidth="1"/>
    <col min="80" max="82" width="10.42578125" style="2" customWidth="1"/>
    <col min="83" max="83" width="10.42578125" style="2" bestFit="1" customWidth="1"/>
    <col min="84" max="86" width="10.42578125" style="2" customWidth="1"/>
    <col min="87" max="87" width="10.42578125" style="2" bestFit="1" customWidth="1"/>
    <col min="88" max="90" width="10.42578125" style="2" customWidth="1"/>
    <col min="91" max="91" width="10.42578125" style="2" bestFit="1" customWidth="1"/>
    <col min="92" max="94" width="10.42578125" style="2" customWidth="1"/>
    <col min="95" max="95" width="10.42578125" style="2" bestFit="1" customWidth="1"/>
    <col min="96" max="98" width="10.42578125" style="2" customWidth="1"/>
    <col min="99" max="99" width="10.42578125" style="2" bestFit="1" customWidth="1"/>
    <col min="100" max="102" width="10.42578125" style="2" customWidth="1"/>
    <col min="103" max="103" width="10.42578125" style="2" bestFit="1" customWidth="1"/>
    <col min="104" max="106" width="10.42578125" style="2" customWidth="1"/>
    <col min="107" max="107" width="10.42578125" style="2" bestFit="1" customWidth="1"/>
    <col min="108" max="110" width="10.42578125" style="2" customWidth="1"/>
    <col min="111" max="111" width="10.42578125" style="2" bestFit="1" customWidth="1"/>
    <col min="112" max="114" width="10.42578125" style="2" customWidth="1"/>
    <col min="115" max="123" width="10.42578125" style="2" bestFit="1" customWidth="1"/>
    <col min="124" max="126" width="11" style="2" bestFit="1" customWidth="1"/>
    <col min="127" max="16384" width="9.140625" style="2"/>
  </cols>
  <sheetData>
    <row r="1" spans="43:121">
      <c r="AQ1" s="1"/>
      <c r="BR1" s="85" t="s">
        <v>55</v>
      </c>
    </row>
    <row r="2" spans="43:121">
      <c r="BR2" s="83" t="s">
        <v>39</v>
      </c>
    </row>
    <row r="3" spans="43:121">
      <c r="BR3" s="83" t="s">
        <v>40</v>
      </c>
    </row>
    <row r="4" spans="43:121">
      <c r="BR4" s="83" t="s">
        <v>44</v>
      </c>
    </row>
    <row r="5" spans="43:121">
      <c r="BR5" s="83" t="s">
        <v>41</v>
      </c>
    </row>
    <row r="6" spans="43:121">
      <c r="BR6" s="84" t="s">
        <v>50</v>
      </c>
    </row>
    <row r="7" spans="43:121" ht="15">
      <c r="AY7" s="353"/>
      <c r="AZ7" s="353"/>
      <c r="BA7" s="353"/>
      <c r="BB7" s="359"/>
      <c r="BC7" s="359"/>
      <c r="BD7" s="359"/>
      <c r="BE7" s="359"/>
      <c r="BF7" s="353"/>
      <c r="BG7" s="353"/>
      <c r="BH7" s="353"/>
      <c r="BI7" s="353"/>
      <c r="BJ7" s="353"/>
      <c r="BK7" s="353"/>
      <c r="BL7" s="135"/>
      <c r="BR7" s="91" t="s">
        <v>58</v>
      </c>
      <c r="DO7" s="22"/>
      <c r="DQ7" s="6"/>
    </row>
    <row r="8" spans="43:121" ht="15">
      <c r="AY8" s="134"/>
      <c r="AZ8" s="352"/>
      <c r="BA8" s="352"/>
      <c r="BB8" s="352"/>
      <c r="BC8" s="352"/>
      <c r="BD8" s="352"/>
      <c r="BE8" s="352"/>
      <c r="BF8" s="352"/>
      <c r="BG8" s="352"/>
      <c r="BH8" s="352"/>
      <c r="BI8" s="352"/>
      <c r="BJ8" s="352"/>
      <c r="BK8" s="352"/>
      <c r="BL8" s="134"/>
    </row>
    <row r="9" spans="43:121"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</row>
    <row r="18" spans="2:121" ht="12.75" hidden="1" customHeight="1">
      <c r="G18" s="52" t="s">
        <v>42</v>
      </c>
      <c r="J18" s="2" t="str">
        <f>'Projected Carry'!J18</f>
        <v>fn30.300.13</v>
      </c>
      <c r="K18" s="2" t="str">
        <f>'Projected Carry'!K18</f>
        <v>fn30.300.12</v>
      </c>
      <c r="L18" s="2" t="str">
        <f>'Projected Carry'!L18</f>
        <v>fn30.350.14</v>
      </c>
      <c r="M18" s="13" t="str">
        <f>'Projected Carry'!M18</f>
        <v>fn30.350.13</v>
      </c>
      <c r="N18" s="13" t="str">
        <f>'Projected Carry'!N18</f>
        <v>fn30.350.12</v>
      </c>
      <c r="O18" s="2" t="str">
        <f>'Projected Carry'!O18</f>
        <v>fn30.350.10</v>
      </c>
      <c r="P18" s="2" t="str">
        <f>'Projected Carry'!P18</f>
        <v>fn30.400.14</v>
      </c>
      <c r="Q18" s="13" t="str">
        <f>'Projected Carry'!Q18</f>
        <v>fn30.400.13</v>
      </c>
      <c r="R18" s="13" t="str">
        <f>'Projected Carry'!R18</f>
        <v>fn30.400.11</v>
      </c>
      <c r="S18" s="13" t="str">
        <f>'Projected Carry'!S18</f>
        <v>fn30.400.10</v>
      </c>
      <c r="T18" s="13" t="str">
        <f>'Projected Carry'!T18</f>
        <v>fn30.400.09</v>
      </c>
      <c r="U18" s="13" t="str">
        <f>'Projected Carry'!U18</f>
        <v>fn30.450.11</v>
      </c>
      <c r="V18" s="13" t="str">
        <f>'Projected Carry'!V18</f>
        <v>fn30.450.10</v>
      </c>
      <c r="W18" s="2" t="str">
        <f>'Projected Carry'!W18</f>
        <v>fn30.450.09</v>
      </c>
      <c r="X18" s="13" t="str">
        <f>'Projected Carry'!X18</f>
        <v>fn30.500.10</v>
      </c>
      <c r="Y18" s="13" t="str">
        <f>'Projected Carry'!Y18</f>
        <v>fn30.500.09</v>
      </c>
      <c r="Z18" s="2" t="str">
        <f>'Projected Carry'!Z18</f>
        <v>fn30.550.08</v>
      </c>
      <c r="AA18" s="2" t="str">
        <f>'Projected Carry'!AA18</f>
        <v>fn30.600.08</v>
      </c>
      <c r="AB18" s="2" t="str">
        <f>'Projected Carry'!AB18</f>
        <v>fn30.650.67</v>
      </c>
      <c r="AC18" s="2" t="str">
        <f>'Projected Carry'!AC18</f>
        <v>gII30.400.10</v>
      </c>
      <c r="AD18" s="2" t="str">
        <f>'Projected Carry'!AD18</f>
        <v>gII30.450.10</v>
      </c>
      <c r="AE18" s="13" t="str">
        <f>'Projected Carry'!AE18</f>
        <v>gII30.500.10</v>
      </c>
      <c r="AG18" s="52" t="str">
        <f>"FNMA3.0-TBA-"&amp;Front_TBA_Month</f>
        <v>FNMA3.0-TBA-JUL</v>
      </c>
      <c r="AH18" s="52" t="str">
        <f>"FNMA3.0-TBA-"&amp;Forward_TBA_Month</f>
        <v>FNMA3.0-TBA-AUG</v>
      </c>
      <c r="AI18" s="52" t="s">
        <v>85</v>
      </c>
      <c r="AJ18" s="13"/>
      <c r="AK18" s="13"/>
      <c r="AL18" s="13"/>
      <c r="AM18" s="13"/>
      <c r="AN18" s="13"/>
      <c r="AP18" s="13"/>
      <c r="AQ18" s="13"/>
    </row>
    <row r="19" spans="2:121" ht="12.75" hidden="1" customHeight="1">
      <c r="G19" s="52" t="s">
        <v>41</v>
      </c>
      <c r="J19" s="2" t="str">
        <f>[1]!YBHIST(J$18&amp;"(IOX)",CurrentCloseDate,"Price","sec","")</f>
        <v>E</v>
      </c>
      <c r="K19" s="2" t="str">
        <f>[1]!YBHIST(K$18&amp;"(IOX)",CurrentCloseDate,"Price","sec","")</f>
        <v>E</v>
      </c>
      <c r="L19" s="2" t="str">
        <f>[1]!YBHIST(L$18&amp;"(IOX)",CurrentCloseDate,"Price","sec","")</f>
        <v>E</v>
      </c>
      <c r="M19" s="2" t="str">
        <f>[1]!YBHIST(M$18&amp;"(IOX)",CurrentCloseDate,"Price","sec","")</f>
        <v>E</v>
      </c>
      <c r="N19" s="2" t="str">
        <f>[1]!YBHIST(N$18&amp;"(IOX)",CurrentCloseDate,"Price","sec","")</f>
        <v>E</v>
      </c>
      <c r="O19" s="2" t="str">
        <f>[1]!YBHIST(O$18&amp;"(IOX)",CurrentCloseDate,"Price","sec","")</f>
        <v>E</v>
      </c>
      <c r="P19" s="2" t="str">
        <f>[1]!YBHIST(P$18&amp;"(IOX)",CurrentCloseDate,"Price","sec","")</f>
        <v>E</v>
      </c>
      <c r="Q19" s="2" t="str">
        <f>[1]!YBHIST(Q$18&amp;"(IOX)",CurrentCloseDate,"Price","sec","")</f>
        <v>E</v>
      </c>
      <c r="R19" s="2" t="str">
        <f>[1]!YBHIST(R$18&amp;"(IOX)",CurrentCloseDate,"Price","sec","")</f>
        <v>E</v>
      </c>
      <c r="S19" s="2">
        <f>[1]!YBHIST(S$18&amp;"(IOX)",CurrentCloseDate,"Price","sec","")</f>
        <v>22.546880999999999</v>
      </c>
      <c r="T19" s="2" t="str">
        <f>[1]!YBHIST(T$18&amp;"(IOX)",CurrentCloseDate,"Price","sec","")</f>
        <v>E</v>
      </c>
      <c r="U19" s="2" t="str">
        <f>[1]!YBHIST(U$18&amp;"(IOX)",CurrentCloseDate,"Price","sec","")</f>
        <v>E</v>
      </c>
      <c r="V19" s="2" t="str">
        <f>[1]!YBHIST(V$18&amp;"(IOX)",CurrentCloseDate,"Price","sec","")</f>
        <v>E</v>
      </c>
      <c r="W19" s="2" t="str">
        <f>[1]!YBHIST(W$18&amp;"(IOX)",CurrentCloseDate,"Price","sec","")</f>
        <v>E</v>
      </c>
      <c r="X19" s="2" t="str">
        <f>[1]!YBHIST(X$18&amp;"(IOX)",CurrentCloseDate,"Price","sec","")</f>
        <v>E</v>
      </c>
      <c r="Y19" s="2" t="str">
        <f>[1]!YBHIST(Y$18&amp;"(IOX)",CurrentCloseDate,"Price","sec","")</f>
        <v>E</v>
      </c>
      <c r="Z19" s="2" t="str">
        <f>[1]!YBHIST(Z$18&amp;"(IOX)",CurrentCloseDate,"Price","sec","")</f>
        <v>E</v>
      </c>
      <c r="AA19" s="2" t="str">
        <f>[1]!YBHIST(AA$18&amp;"(IOX)",CurrentCloseDate,"Price","sec","")</f>
        <v>E</v>
      </c>
      <c r="AB19" s="2" t="str">
        <f>[1]!YBHIST(AB$18&amp;"(IOX)",CurrentCloseDate,"Price","sec","")</f>
        <v>E</v>
      </c>
      <c r="AC19" s="2" t="str">
        <f>[1]!YBHIST(AC$18&amp;"(IOX)",CurrentCloseDate,"Price","sec","")</f>
        <v>E</v>
      </c>
      <c r="AD19" s="2" t="str">
        <f>[1]!YBHIST(AD$18&amp;"(IOX)",CurrentCloseDate,"Price","sec","")</f>
        <v>E</v>
      </c>
      <c r="AE19" s="2" t="str">
        <f>[1]!YBHIST(AE$18&amp;"(IOX)",CurrentCloseDate,"Price","sec","")</f>
        <v>E</v>
      </c>
      <c r="AG19" s="52" t="str">
        <f>[1]!YBHIST(AG18,CurrentCloseDate,"Price","sec","")</f>
        <v>E</v>
      </c>
      <c r="AH19" s="52" t="str">
        <f>[1]!YBHIST(AH18,CurrentCloseDate,"Price","sec","")</f>
        <v>E</v>
      </c>
      <c r="AI19" s="52" t="e">
        <f>AG19-AH19</f>
        <v>#VALUE!</v>
      </c>
    </row>
    <row r="20" spans="2:121" ht="12.75" hidden="1" customHeight="1">
      <c r="G20" s="128" t="s">
        <v>90</v>
      </c>
      <c r="J20" s="2" t="e">
        <f>J$19+[1]!YBPRICE(J18&amp;"(IOX)",J$19&amp;"d",,"AccruedInterest","Swap",CurrentCloseDate,"default",,"CPR",20,"")</f>
        <v>#VALUE!</v>
      </c>
      <c r="K20" s="2" t="e">
        <f>K$19+[1]!YBPRICE(K18&amp;"(IOX)",K$19&amp;"d",,"AccruedInterest","Swap",CurrentCloseDate,"default",,"CPR",20,"")</f>
        <v>#VALUE!</v>
      </c>
      <c r="L20" s="2" t="e">
        <f>L$19+[1]!YBPRICE(L18&amp;"(IOX)",L$19&amp;"d",,"AccruedInterest","Swap",CurrentCloseDate,"default",,"CPR",20,"")</f>
        <v>#VALUE!</v>
      </c>
      <c r="M20" s="2" t="e">
        <f>M$19+[1]!YBPRICE(M18&amp;"(IOX)",M$19&amp;"d",,"AccruedInterest","Swap",CurrentCloseDate,"default",,"CPR",20,"")</f>
        <v>#VALUE!</v>
      </c>
      <c r="N20" s="2" t="e">
        <f>N$19+[1]!YBPRICE(N18&amp;"(IOX)",N$19&amp;"d",,"AccruedInterest","Swap",CurrentCloseDate,"default",,"CPR",20,"")</f>
        <v>#VALUE!</v>
      </c>
      <c r="O20" s="2" t="e">
        <f>O$19+[1]!YBPRICE(O18&amp;"(IOX)",O$19&amp;"d",,"AccruedInterest","Swap",CurrentCloseDate,"default",,"CPR",20,"")</f>
        <v>#VALUE!</v>
      </c>
      <c r="P20" s="2" t="e">
        <f>P$19+[1]!YBPRICE(P18&amp;"(IOX)",P$19&amp;"d",,"AccruedInterest","Swap",CurrentCloseDate,"default",,"CPR",20,"")</f>
        <v>#VALUE!</v>
      </c>
      <c r="Q20" s="2" t="e">
        <f>Q$19+[1]!YBPRICE(Q18&amp;"(IOX)",Q$19&amp;"d",,"AccruedInterest","Swap",CurrentCloseDate,"default",,"CPR",20,"")</f>
        <v>#VALUE!</v>
      </c>
      <c r="R20" s="2" t="e">
        <f>R$19+[1]!YBPRICE(R18&amp;"(IOX)",R$19&amp;"d",,"AccruedInterest","Swap",CurrentCloseDate,"default",,"CPR",20,"")</f>
        <v>#VALUE!</v>
      </c>
      <c r="S20" s="2" t="e">
        <f>S$19+[1]!YBPRICE(S18&amp;"(IOX)",S$19&amp;"d",,"AccruedInterest","Swap",CurrentCloseDate,"default",,"CPR",20,"")</f>
        <v>#VALUE!</v>
      </c>
      <c r="T20" s="2" t="e">
        <f>T$19+[1]!YBPRICE(T18&amp;"(IOX)",T$19&amp;"d",,"AccruedInterest","Swap",CurrentCloseDate,"default",,"CPR",20,"")</f>
        <v>#VALUE!</v>
      </c>
      <c r="U20" s="2" t="e">
        <f>U$19+[1]!YBPRICE(U18&amp;"(IOX)",U$19&amp;"d",,"AccruedInterest","Swap",CurrentCloseDate,"default",,"CPR",20,"")</f>
        <v>#VALUE!</v>
      </c>
      <c r="V20" s="2" t="e">
        <f>V$19+[1]!YBPRICE(V18&amp;"(IOX)",V$19&amp;"d",,"AccruedInterest","Swap",CurrentCloseDate,"default",,"CPR",20,"")</f>
        <v>#VALUE!</v>
      </c>
      <c r="W20" s="2" t="e">
        <f>W$19+[1]!YBPRICE(W18&amp;"(IOX)",W$19&amp;"d",,"AccruedInterest","Swap",CurrentCloseDate,"default",,"CPR",20,"")</f>
        <v>#VALUE!</v>
      </c>
      <c r="X20" s="2" t="e">
        <f>X$19+[1]!YBPRICE(X18&amp;"(IOX)",X$19&amp;"d",,"AccruedInterest","Swap",CurrentCloseDate,"default",,"CPR",20,"")</f>
        <v>#VALUE!</v>
      </c>
      <c r="Y20" s="2" t="e">
        <f>Y$19+[1]!YBPRICE(Y18&amp;"(IOX)",Y$19&amp;"d",,"AccruedInterest","Swap",CurrentCloseDate,"default",,"CPR",20,"")</f>
        <v>#VALUE!</v>
      </c>
      <c r="Z20" s="2" t="e">
        <f>Z$19+[1]!YBPRICE(Z18&amp;"(IOX)",Z$19&amp;"d",,"AccruedInterest","Swap",CurrentCloseDate,"default",,"CPR",20,"")</f>
        <v>#VALUE!</v>
      </c>
      <c r="AA20" s="2" t="e">
        <f>AA$19+[1]!YBPRICE(AA18&amp;"(IOX)",AA$19&amp;"d",,"AccruedInterest","Swap",CurrentCloseDate,"default",,"CPR",20,"")</f>
        <v>#VALUE!</v>
      </c>
      <c r="AB20" s="2" t="e">
        <f>AB$19+[1]!YBPRICE(AB18&amp;"(IOX)",AB$19&amp;"d",,"AccruedInterest","Swap",CurrentCloseDate,"default",,"CPR",20,"")</f>
        <v>#VALUE!</v>
      </c>
      <c r="AC20" s="2" t="e">
        <f>AC$19+[1]!YBPRICE(AC18&amp;"(IOX)",AC$19&amp;"d",,"AccruedInterest","Swap",CurrentCloseDate,"default",,"CPR",20,"")</f>
        <v>#VALUE!</v>
      </c>
      <c r="AD20" s="2" t="e">
        <f>AD$19+[1]!YBPRICE(AD18&amp;"(IOX)",AD$19&amp;"d",,"AccruedInterest","Swap",CurrentCloseDate,"default",,"CPR",20,"")</f>
        <v>#VALUE!</v>
      </c>
      <c r="AE20" s="2" t="e">
        <f>AE$19+[1]!YBPRICE(AE18&amp;"(IOX)",AE$19&amp;"d",,"AccruedInterest","Swap",CurrentCloseDate,"default",,"CPR",20,"")</f>
        <v>#VALUE!</v>
      </c>
      <c r="AG20" s="52" t="e">
        <f>Front_TBA_Price+[1]!YBPRICE(Front_TBA,Front_TBA_Price&amp;"d",,"AccruedInterest","Swap",CurrentCloseDate,"default",,"CPR",20,"")</f>
        <v>#VALUE!</v>
      </c>
      <c r="AH20" s="52" t="e">
        <f>Foward_TBA_Price+[1]!YBPRICE(Forward_TBA,Foward_TBA_Price&amp;"d",,"AccruedInterest","Swap",CurrentCloseDate,"default",,"CPR",20,"")</f>
        <v>#VALUE!</v>
      </c>
      <c r="AI20" s="52"/>
    </row>
    <row r="21" spans="2:121">
      <c r="AG21" s="52"/>
      <c r="AH21" s="52"/>
      <c r="AI21" s="52"/>
    </row>
    <row r="22" spans="2:121">
      <c r="F22" s="123" t="s">
        <v>83</v>
      </c>
      <c r="G22" s="125" t="s">
        <v>207</v>
      </c>
      <c r="AE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</row>
    <row r="23" spans="2:121">
      <c r="F23" s="124" t="s">
        <v>84</v>
      </c>
      <c r="G23" s="126" t="s">
        <v>208</v>
      </c>
    </row>
    <row r="24" spans="2:121" ht="15">
      <c r="H24" s="66"/>
      <c r="I24" s="93">
        <f>CurrentCloseDate</f>
        <v>42185</v>
      </c>
      <c r="J24" s="343" t="s">
        <v>106</v>
      </c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344"/>
      <c r="X24" s="344"/>
      <c r="Y24" s="344"/>
      <c r="Z24" s="344"/>
      <c r="AA24" s="344"/>
      <c r="AB24" s="344"/>
      <c r="AC24" s="344"/>
      <c r="AD24" s="344"/>
      <c r="AE24" s="345"/>
      <c r="AH24" s="360" t="s">
        <v>105</v>
      </c>
      <c r="AI24" s="361"/>
      <c r="AJ24" s="362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W24" s="60"/>
      <c r="AX24" s="60"/>
      <c r="AY24" s="353"/>
      <c r="AZ24" s="353"/>
      <c r="BA24" s="353"/>
      <c r="BB24" s="359"/>
      <c r="BC24" s="359"/>
      <c r="BD24" s="359"/>
      <c r="BE24" s="359"/>
      <c r="BF24" s="353"/>
      <c r="BG24" s="353"/>
      <c r="BH24" s="353"/>
      <c r="BI24" s="353"/>
      <c r="BJ24" s="353"/>
      <c r="BK24" s="353"/>
      <c r="BL24" s="353"/>
      <c r="BM24" s="353"/>
      <c r="BN24" s="353"/>
      <c r="BO24" s="353"/>
      <c r="BP24" s="353"/>
      <c r="BQ24" s="353"/>
      <c r="BR24" s="353"/>
      <c r="BS24" s="353"/>
      <c r="BT24" s="353"/>
      <c r="BU24" s="353"/>
      <c r="BV24" s="353"/>
      <c r="BW24" s="353"/>
      <c r="BX24" s="353"/>
      <c r="BY24" s="353"/>
      <c r="BZ24" s="353"/>
      <c r="CA24" s="353"/>
      <c r="CB24" s="353"/>
      <c r="CC24" s="353"/>
      <c r="CD24" s="353"/>
      <c r="CE24" s="353"/>
      <c r="CF24" s="353"/>
      <c r="CG24" s="353"/>
      <c r="CH24" s="353"/>
      <c r="CI24" s="353"/>
      <c r="CJ24" s="353"/>
      <c r="CK24" s="353"/>
      <c r="CL24" s="353"/>
      <c r="CM24" s="353"/>
      <c r="CN24" s="353"/>
      <c r="CO24" s="353"/>
      <c r="CP24" s="353"/>
      <c r="CQ24" s="353"/>
      <c r="CR24" s="353"/>
      <c r="CS24" s="353"/>
      <c r="CT24" s="353"/>
      <c r="CU24" s="353"/>
      <c r="CV24" s="353"/>
      <c r="CW24" s="353"/>
      <c r="CX24" s="353"/>
      <c r="CY24" s="353"/>
      <c r="CZ24" s="353"/>
      <c r="DA24" s="353"/>
      <c r="DB24" s="353"/>
      <c r="DC24" s="353"/>
      <c r="DD24" s="353"/>
      <c r="DE24" s="353"/>
      <c r="DF24" s="353"/>
      <c r="DG24" s="353"/>
      <c r="DH24" s="353"/>
      <c r="DI24" s="353"/>
      <c r="DJ24" s="353"/>
      <c r="DK24" s="353"/>
      <c r="DL24" s="353"/>
      <c r="DM24" s="353"/>
      <c r="DN24" s="353"/>
      <c r="DO24" s="60"/>
      <c r="DP24" s="60"/>
      <c r="DQ24" s="60"/>
    </row>
    <row r="25" spans="2:121" s="6" customFormat="1" ht="45">
      <c r="F25" s="2"/>
      <c r="G25" s="2"/>
      <c r="H25" s="67"/>
      <c r="I25" s="120" t="s">
        <v>42</v>
      </c>
      <c r="J25" s="244" t="str">
        <f>'Projected Carry'!J24</f>
        <v>FN30.
300.
13</v>
      </c>
      <c r="K25" s="244" t="str">
        <f>'Projected Carry'!K24</f>
        <v>FN30.
300.
12</v>
      </c>
      <c r="L25" s="290" t="str">
        <f>'Projected Carry'!L24</f>
        <v>FN30.
350.
14</v>
      </c>
      <c r="M25" s="309" t="str">
        <f>'Projected Carry'!M24</f>
        <v>FN30.
350.
13</v>
      </c>
      <c r="N25" s="243" t="str">
        <f>'Projected Carry'!N24</f>
        <v>FN30.
350.
12</v>
      </c>
      <c r="O25" s="242" t="str">
        <f>'Projected Carry'!O24</f>
        <v>FN30.
350.
10</v>
      </c>
      <c r="P25" s="309" t="str">
        <f>'Projected Carry'!P24</f>
        <v>FN30.
400.
14</v>
      </c>
      <c r="Q25" s="106" t="str">
        <f>'Projected Carry'!Q24</f>
        <v>FN30.
400.
13</v>
      </c>
      <c r="R25" s="106" t="str">
        <f>'Projected Carry'!R24</f>
        <v>FN30.
400.
11</v>
      </c>
      <c r="S25" s="106" t="str">
        <f>'Projected Carry'!S24</f>
        <v>FN30.
400.
10</v>
      </c>
      <c r="T25" s="106" t="str">
        <f>'Projected Carry'!T24</f>
        <v>FN30.
400.
09</v>
      </c>
      <c r="U25" s="241" t="str">
        <f>'Projected Carry'!U24</f>
        <v>FN30.
450.
11</v>
      </c>
      <c r="V25" s="243" t="str">
        <f>'Projected Carry'!V24</f>
        <v>FN30.
450.
10</v>
      </c>
      <c r="W25" s="242" t="str">
        <f>'Projected Carry'!W24</f>
        <v>FN30.
450.
09</v>
      </c>
      <c r="X25" s="106" t="str">
        <f>'Projected Carry'!X24</f>
        <v>FN30.
500.
10</v>
      </c>
      <c r="Y25" s="106" t="str">
        <f>'Projected Carry'!Y24</f>
        <v>FN30.
500.
09</v>
      </c>
      <c r="Z25" s="73" t="str">
        <f>'Projected Carry'!Z24</f>
        <v>FN30.
550.
08</v>
      </c>
      <c r="AA25" s="73" t="str">
        <f>'Projected Carry'!AA24</f>
        <v>FN30.
600.
08</v>
      </c>
      <c r="AB25" s="106" t="str">
        <f>'Projected Carry'!AB24</f>
        <v>FN30.
650.
67</v>
      </c>
      <c r="AC25" s="104" t="str">
        <f>'Projected Carry'!AC24</f>
        <v>GII30.
400.
10</v>
      </c>
      <c r="AD25" s="106" t="str">
        <f>'Projected Carry'!AD24</f>
        <v>GII30.
450.
10</v>
      </c>
      <c r="AE25" s="105" t="str">
        <f>'Projected Carry'!AE24</f>
        <v>GII30.
500.
10</v>
      </c>
      <c r="AH25" s="120" t="s">
        <v>172</v>
      </c>
      <c r="AI25" s="307" t="str">
        <f>"3.0 " &amp; Front_TBA_Month</f>
        <v>3.0 JUL</v>
      </c>
      <c r="AJ25" s="308" t="str">
        <f>"3.0 " &amp; Forward_TBA_Month</f>
        <v>3.0 AUG</v>
      </c>
      <c r="AK25" s="107"/>
      <c r="AL25" s="107"/>
      <c r="AM25" s="107"/>
      <c r="AN25" s="107"/>
      <c r="AO25" s="103"/>
      <c r="AP25" s="103"/>
      <c r="AQ25" s="103"/>
      <c r="AR25" s="103"/>
      <c r="AS25" s="103"/>
      <c r="AT25" s="103"/>
      <c r="AU25" s="103"/>
      <c r="AV25" s="23"/>
      <c r="AW25" s="63"/>
      <c r="AX25" s="63"/>
      <c r="AY25" s="134"/>
      <c r="AZ25" s="352"/>
      <c r="BA25" s="352"/>
      <c r="BB25" s="352"/>
      <c r="BC25" s="352"/>
      <c r="BD25" s="352"/>
      <c r="BE25" s="352"/>
      <c r="BF25" s="352"/>
      <c r="BG25" s="352"/>
      <c r="BH25" s="352"/>
      <c r="BI25" s="352"/>
      <c r="BJ25" s="352"/>
      <c r="BK25" s="352"/>
      <c r="BL25" s="134"/>
      <c r="BM25" s="352"/>
      <c r="BN25" s="352"/>
      <c r="BO25" s="352"/>
      <c r="BP25" s="352"/>
      <c r="BQ25" s="352"/>
      <c r="BR25" s="352"/>
      <c r="BS25" s="352"/>
      <c r="BT25" s="352"/>
      <c r="BU25" s="352"/>
      <c r="BV25" s="352"/>
      <c r="BW25" s="352"/>
      <c r="BX25" s="352"/>
      <c r="BY25" s="352"/>
      <c r="BZ25" s="352"/>
      <c r="CA25" s="352"/>
      <c r="CB25" s="352"/>
      <c r="CC25" s="352"/>
      <c r="CD25" s="352"/>
      <c r="CE25" s="352"/>
      <c r="CF25" s="352"/>
      <c r="CG25" s="352"/>
      <c r="CH25" s="352"/>
      <c r="CI25" s="352"/>
      <c r="CJ25" s="352"/>
      <c r="CK25" s="352"/>
      <c r="CL25" s="352"/>
      <c r="CM25" s="352"/>
      <c r="CN25" s="352"/>
      <c r="CO25" s="352"/>
      <c r="CP25" s="352"/>
      <c r="CQ25" s="352"/>
      <c r="CR25" s="352"/>
      <c r="CS25" s="352"/>
      <c r="CT25" s="352"/>
      <c r="CU25" s="352"/>
      <c r="CV25" s="352"/>
      <c r="CW25" s="352"/>
      <c r="CX25" s="352"/>
      <c r="CY25" s="352"/>
      <c r="CZ25" s="352"/>
      <c r="DA25" s="352"/>
      <c r="DB25" s="352"/>
      <c r="DC25" s="352"/>
      <c r="DD25" s="352"/>
      <c r="DE25" s="352"/>
      <c r="DF25" s="352"/>
      <c r="DG25" s="352"/>
      <c r="DH25" s="352"/>
      <c r="DI25" s="352"/>
      <c r="DJ25" s="352"/>
      <c r="DK25" s="352"/>
      <c r="DL25" s="352"/>
      <c r="DM25" s="352"/>
      <c r="DN25" s="352"/>
      <c r="DO25" s="63"/>
      <c r="DP25" s="63"/>
      <c r="DQ25" s="63"/>
    </row>
    <row r="26" spans="2:121" ht="15" customHeight="1">
      <c r="B26" s="7"/>
      <c r="C26" s="8"/>
      <c r="D26" s="8"/>
      <c r="E26" s="8"/>
      <c r="H26" s="68"/>
      <c r="I26" s="71" t="s">
        <v>90</v>
      </c>
      <c r="J26" s="47" t="str">
        <f>[1]!YBTICK(J$20,"T","+",)</f>
        <v>-2146826273-00</v>
      </c>
      <c r="K26" s="78" t="str">
        <f>[1]!YBTICK(K$20,"T","+",)</f>
        <v>-2146826273-00</v>
      </c>
      <c r="L26" s="79" t="str">
        <f>[1]!YBTICK(K$20,"T","+",)</f>
        <v>-2146826273-00</v>
      </c>
      <c r="M26" s="76" t="str">
        <f>[1]!YBTICK(L$20,"T","+",)</f>
        <v>-2146826273-00</v>
      </c>
      <c r="N26" s="76" t="str">
        <f>[1]!YBTICK(M$20,"T","+",)</f>
        <v>-2146826273-00</v>
      </c>
      <c r="O26" s="77" t="str">
        <f>[1]!YBTICK(N$20,"T","+",)</f>
        <v>-2146826273-00</v>
      </c>
      <c r="P26" s="260" t="str">
        <f>[1]!YBTICK(N$20,"T","+",)</f>
        <v>-2146826273-00</v>
      </c>
      <c r="Q26" s="260" t="str">
        <f>[1]!YBTICK(O$20,"T","+",)</f>
        <v>-2146826273-00</v>
      </c>
      <c r="R26" s="76" t="str">
        <f>[1]!YBTICK(P$20,"T","+",)</f>
        <v>-2146826273-00</v>
      </c>
      <c r="S26" s="76" t="str">
        <f>[1]!YBTICK(Q$20,"T","+",)</f>
        <v>-2146826273-00</v>
      </c>
      <c r="T26" s="78" t="str">
        <f>[1]!YBTICK(R$20,"T","+",)</f>
        <v>-2146826273-00</v>
      </c>
      <c r="U26" s="79" t="str">
        <f>[1]!YBTICK(S$20,"T","+",)</f>
        <v>-2146826273-00</v>
      </c>
      <c r="V26" s="76" t="str">
        <f>[1]!YBTICK(T$20,"T","+",)</f>
        <v>-2146826273-00</v>
      </c>
      <c r="W26" s="77" t="str">
        <f>[1]!YBTICK(U$20,"T","+",)</f>
        <v>-2146826273-00</v>
      </c>
      <c r="X26" s="260" t="str">
        <f>[1]!YBTICK(V$20,"T","+",)</f>
        <v>-2146826273-00</v>
      </c>
      <c r="Y26" s="78" t="str">
        <f>[1]!YBTICK(W$20,"T","+",)</f>
        <v>-2146826273-00</v>
      </c>
      <c r="Z26" s="273" t="str">
        <f>[1]!YBTICK(X$20,"T","+",)</f>
        <v>-2146826273-00</v>
      </c>
      <c r="AA26" s="273" t="str">
        <f>[1]!YBTICK(Y$20,"T","+",)</f>
        <v>-2146826273-00</v>
      </c>
      <c r="AB26" s="264" t="str">
        <f>[1]!YBTICK(Z$20,"T","+",)</f>
        <v>-2146826273-00</v>
      </c>
      <c r="AC26" s="79" t="str">
        <f>[1]!YBTICK(AA$20,"T","+",)</f>
        <v>-2146826273-00</v>
      </c>
      <c r="AD26" s="76" t="str">
        <f>[1]!YBTICK(AB$20,"T","+",)</f>
        <v>-2146826273-00</v>
      </c>
      <c r="AE26" s="77" t="str">
        <f>[1]!YBTICK(AC$20,"T","+",)</f>
        <v>-2146826273-00</v>
      </c>
      <c r="AH26" s="121" t="s">
        <v>182</v>
      </c>
      <c r="AI26" s="79" t="str">
        <f>[1]!YBTICK(AG$19,"T","+",)</f>
        <v>E</v>
      </c>
      <c r="AJ26" s="122" t="str">
        <f>[1]!YBTICK(AH$19,"T","+",)</f>
        <v>E</v>
      </c>
      <c r="AK26" s="107"/>
      <c r="AL26" s="107"/>
      <c r="AM26" s="107"/>
      <c r="AN26" s="107"/>
      <c r="AO26" s="65"/>
      <c r="AP26" s="65"/>
      <c r="AQ26" s="65"/>
      <c r="AR26" s="65"/>
      <c r="AS26" s="65"/>
      <c r="AT26" s="65"/>
      <c r="AU26" s="65"/>
      <c r="AW26" s="60"/>
      <c r="AX26" s="60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0"/>
      <c r="DN26" s="60"/>
      <c r="DO26" s="60"/>
      <c r="DP26" s="60"/>
      <c r="DQ26" s="60"/>
    </row>
    <row r="27" spans="2:121" ht="15">
      <c r="H27" s="68"/>
      <c r="I27" s="71" t="s">
        <v>51</v>
      </c>
      <c r="J27" s="117" t="str">
        <f>[1]!YBPRICE(J$18&amp;"(IOX)",J$19&amp;"d","Market","Yield","Swap",CurrentCloseDate,"LMMSkew","",$F26,$G26,"")</f>
        <v>E</v>
      </c>
      <c r="K27" s="119" t="str">
        <f>[1]!YBPRICE(K$18&amp;"(IOX)",K$19&amp;"d","Market","Yield","Swap",CurrentCloseDate,"LMMSkew","",$F26,$G26,"")</f>
        <v>E</v>
      </c>
      <c r="L27" s="115" t="str">
        <f>[1]!YBPRICE(L$18&amp;"(IOX)",L$19&amp;"d","Market","Yield","Swap",CurrentCloseDate,"LMMSkew","",$F26,$G26,"")</f>
        <v>E</v>
      </c>
      <c r="M27" s="118" t="str">
        <f>[1]!YBPRICE(M$18&amp;"(IOX)",M$19&amp;"d","Market","Yield","Swap",CurrentCloseDate,"LMMSkew","",$F26,$G26,"")</f>
        <v>E</v>
      </c>
      <c r="N27" s="118" t="str">
        <f>[1]!YBPRICE(N$18&amp;"(IOX)",N$19&amp;"d","Market","Yield","Swap",CurrentCloseDate,"LMMSkew","",$F26,$G26,"")</f>
        <v>E</v>
      </c>
      <c r="O27" s="116" t="str">
        <f>[1]!YBPRICE(O$18&amp;"(IOX)",O$19&amp;"d","Market","Yield","Swap",CurrentCloseDate,"LMMSkew","",$F26,$G26,"")</f>
        <v>E</v>
      </c>
      <c r="P27" s="284" t="str">
        <f>[1]!YBPRICE(P$18&amp;"(IOX)",P$19&amp;"d","Market","Yield","Swap",CurrentCloseDate,"LMMSkew","",$F26,$G26,"")</f>
        <v>E</v>
      </c>
      <c r="Q27" s="284" t="str">
        <f>[1]!YBPRICE(Q$18&amp;"(IOX)",Q$19&amp;"d","Market","Yield","Swap",CurrentCloseDate,"LMMSkew","",$F26,$G26,"")</f>
        <v>E</v>
      </c>
      <c r="R27" s="118" t="str">
        <f>[1]!YBPRICE(R$18&amp;"(IOX)",R$19&amp;"d","Market","Yield","Swap",CurrentCloseDate,"LMMSkew","",$F26,$G26,"")</f>
        <v>E</v>
      </c>
      <c r="S27" s="118">
        <f>[1]!YBPRICE(S$18&amp;"(IOX)",S$19&amp;"d","Market","Yield","Swap",CurrentCloseDate,"LMMSkew","",$F26,$G26,"")</f>
        <v>0.92283000000000004</v>
      </c>
      <c r="T27" s="119" t="str">
        <f>[1]!YBPRICE(T$18&amp;"(IOX)",T$19&amp;"d","Market","Yield","Swap",CurrentCloseDate,"LMMSkew","",$F26,$G26,"")</f>
        <v>E</v>
      </c>
      <c r="U27" s="115" t="str">
        <f>[1]!YBPRICE(U$18&amp;"(IOX)",U$19&amp;"d","Market","Yield","Swap",CurrentCloseDate,"LMMSkew","",$F26,$G26,"")</f>
        <v>E</v>
      </c>
      <c r="V27" s="118" t="str">
        <f>[1]!YBPRICE(V$18&amp;"(IOX)",V$19&amp;"d","Market","Yield","Swap",CurrentCloseDate,"LMMSkew","",$F26,$G26,"")</f>
        <v>E</v>
      </c>
      <c r="W27" s="116" t="str">
        <f>[1]!YBPRICE(W$18&amp;"(IOX)",W$19&amp;"d","Market","Yield","Swap",CurrentCloseDate,"LMMSkew","",$F26,$G26,"")</f>
        <v>E</v>
      </c>
      <c r="X27" s="284" t="str">
        <f>[1]!YBPRICE(X$18&amp;"(IOX)",X$19&amp;"d","Market","Yield","Swap",CurrentCloseDate,"LMMSkew","",$F26,$G26,"")</f>
        <v>E</v>
      </c>
      <c r="Y27" s="119" t="str">
        <f>[1]!YBPRICE(Y$18&amp;"(IOX)",Y$19&amp;"d","Market","Yield","Swap",CurrentCloseDate,"LMMSkew","",$F26,$G26,"")</f>
        <v>E</v>
      </c>
      <c r="Z27" s="291" t="str">
        <f>[1]!YBPRICE(Z$18&amp;"(IOX)",Z$19&amp;"d","Market","Yield","Swap",CurrentCloseDate,"LMMSkew","",$F26,$G26,"")</f>
        <v>E</v>
      </c>
      <c r="AA27" s="291" t="str">
        <f>[1]!YBPRICE(AA$18&amp;"(IOX)",AA$19&amp;"d","Market","Yield","Swap",CurrentCloseDate,"LMMSkew","",$F26,$G26,"")</f>
        <v>E</v>
      </c>
      <c r="AB27" s="287" t="str">
        <f>[1]!YBPRICE(AB$18&amp;"(IOX)",AB$19&amp;"d","Market","Yield","Swap",CurrentCloseDate,"LMMSkew","",$F26,$G26,"")</f>
        <v>E</v>
      </c>
      <c r="AC27" s="115" t="str">
        <f>[1]!YBPRICE(AC$18&amp;"(IOX)",AC$19&amp;"d","Market","Yield","Swap",CurrentCloseDate,"LMMSkew","",$F26,$G26,"")</f>
        <v>E</v>
      </c>
      <c r="AD27" s="118" t="str">
        <f>[1]!YBPRICE(AD$18&amp;"(IOX)",AD$19&amp;"d","Market","Yield","Swap",CurrentCloseDate,"LMMSkew","",$F26,$G26,"")</f>
        <v>E</v>
      </c>
      <c r="AE27" s="116" t="str">
        <f>[1]!YBPRICE(AE$18&amp;"(IOX)",AE$19&amp;"d","Market","Yield","Swap",CurrentCloseDate,"LMMSkew","",$F26,$G26,"")</f>
        <v>E</v>
      </c>
      <c r="AH27" s="127" t="s">
        <v>85</v>
      </c>
      <c r="AI27" s="370" t="str">
        <f>[1]!YBTICK(TBA_Roll,"T","+",)</f>
        <v>-2146826273-00</v>
      </c>
      <c r="AJ27" s="371"/>
      <c r="AK27" s="107"/>
      <c r="AL27" s="107"/>
      <c r="AM27" s="107"/>
      <c r="AN27" s="107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  <c r="DN27" s="60"/>
      <c r="DO27" s="60"/>
      <c r="DP27" s="60"/>
      <c r="DQ27" s="60"/>
    </row>
    <row r="28" spans="2:121" ht="15" customHeight="1">
      <c r="I28" s="71" t="s">
        <v>82</v>
      </c>
      <c r="J28" s="111">
        <f>VLOOKUP(J$18&amp;"(IOX)", 'Time Series Data'!$D:$N, 8, 0)</f>
        <v>-2.7620062000000001E-2</v>
      </c>
      <c r="K28" s="113">
        <f>VLOOKUP(K$18&amp;"(IOX)", 'Time Series Data'!$D:$N, 8, 0)</f>
        <v>-2.6780399E-2</v>
      </c>
      <c r="L28" s="111">
        <f>VLOOKUP(L$18&amp;"(IOX)", 'Time Series Data'!$D:$N, 8, 0)</f>
        <v>-6.080961599999999E-2</v>
      </c>
      <c r="M28" s="112">
        <f>VLOOKUP(M$18&amp;"(IOX)", 'Time Series Data'!$D:$N, 8, 0)</f>
        <v>-3.9465841000000002E-2</v>
      </c>
      <c r="N28" s="112">
        <f>VLOOKUP(N$18&amp;"(IOX)", 'Time Series Data'!$D:$N, 8, 0)</f>
        <v>-3.3630390000000003E-2</v>
      </c>
      <c r="O28" s="114">
        <f>VLOOKUP(O$18&amp;"(IOX)", 'Time Series Data'!$D:$N, 8, 0)</f>
        <v>-3.9418604000000003E-2</v>
      </c>
      <c r="P28" s="285">
        <f>VLOOKUP(P$18&amp;"(IOX)", 'Time Series Data'!$D:$N, 8, 0)</f>
        <v>-5.9393558999999999E-2</v>
      </c>
      <c r="Q28" s="285">
        <f>VLOOKUP(Q$18&amp;"(IOX)", 'Time Series Data'!$D:$N, 8, 0)</f>
        <v>-5.299942199999999E-2</v>
      </c>
      <c r="R28" s="112">
        <f>VLOOKUP(R$18&amp;"(IOX)", 'Time Series Data'!$D:$N, 8, 0)</f>
        <v>-3.4728255E-2</v>
      </c>
      <c r="S28" s="112">
        <f>VLOOKUP(S$18&amp;"(IOX)", 'Time Series Data'!$D:$N, 8, 0)</f>
        <v>-3.9922002999999998E-2</v>
      </c>
      <c r="T28" s="113">
        <f>VLOOKUP(T$18&amp;"(IOX)", 'Time Series Data'!$D:$N, 8, 0)</f>
        <v>-4.5718449999999994E-2</v>
      </c>
      <c r="U28" s="111">
        <f>VLOOKUP(U$18&amp;"(IOX)", 'Time Series Data'!$D:$N, 8, 0)</f>
        <v>-3.5737208999999999E-2</v>
      </c>
      <c r="V28" s="112">
        <f>VLOOKUP(V$18&amp;"(IOX)", 'Time Series Data'!$D:$N, 8, 0)</f>
        <v>-4.0246985999999998E-2</v>
      </c>
      <c r="W28" s="114">
        <f>VLOOKUP(W$18&amp;"(IOX)", 'Time Series Data'!$D:$N, 8, 0)</f>
        <v>-4.5573756E-2</v>
      </c>
      <c r="X28" s="285">
        <f>VLOOKUP(X$18&amp;"(IOX)", 'Time Series Data'!$D:$N, 8, 0)</f>
        <v>-3.8036831E-2</v>
      </c>
      <c r="Y28" s="113">
        <f>VLOOKUP(Y$18&amp;"(IOX)", 'Time Series Data'!$D:$N, 8, 0)</f>
        <v>-4.3821118999999999E-2</v>
      </c>
      <c r="Z28" s="292">
        <f>VLOOKUP(Z$18&amp;"(IOX)", 'Time Series Data'!$D:$N, 8, 0)</f>
        <v>-4.4198923000000001E-2</v>
      </c>
      <c r="AA28" s="292">
        <f>VLOOKUP(AA$18&amp;"(IOX)", 'Time Series Data'!$D:$N, 8, 0)</f>
        <v>-4.3274805E-2</v>
      </c>
      <c r="AB28" s="288">
        <f>VLOOKUP(AB$18&amp;"(IOX)", 'Time Series Data'!$D:$N, 8, 0)</f>
        <v>-3.0977258000000001E-2</v>
      </c>
      <c r="AC28" s="111">
        <f>VLOOKUP(AC$18&amp;"(IOX)", 'Time Series Data'!$D:$N, 8, 0)</f>
        <v>-4.5471053999999997E-2</v>
      </c>
      <c r="AD28" s="112">
        <f>VLOOKUP(AD$18&amp;"(IOX)", 'Time Series Data'!$D:$N, 8, 0)</f>
        <v>-3.9397407000000002E-2</v>
      </c>
      <c r="AE28" s="114">
        <f>VLOOKUP(AE$18&amp;"(IOX)", 'Time Series Data'!$D:$N, 8, 0)</f>
        <v>-3.7093516E-2</v>
      </c>
      <c r="AH28" s="72" t="s">
        <v>82</v>
      </c>
      <c r="AI28" s="109">
        <f>VLOOKUP(AG$18, 'Time Series Data'!$D:$N, 8, 0)</f>
        <v>7.1077219999999997E-2</v>
      </c>
      <c r="AJ28" s="110"/>
      <c r="AK28" s="107"/>
      <c r="AL28" s="107"/>
      <c r="AM28" s="107"/>
      <c r="AN28" s="107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  <c r="DN28" s="60"/>
      <c r="DO28" s="60"/>
      <c r="DP28" s="60"/>
      <c r="DQ28" s="60"/>
    </row>
    <row r="29" spans="2:121" ht="15">
      <c r="I29" s="71" t="s">
        <v>67</v>
      </c>
      <c r="J29" s="109">
        <f t="shared" ref="J29:AE29" si="0">J$28/$AI$28</f>
        <v>-0.38859232254722403</v>
      </c>
      <c r="K29" s="132">
        <f t="shared" si="0"/>
        <v>-0.37677893142134711</v>
      </c>
      <c r="L29" s="109">
        <f t="shared" si="0"/>
        <v>-0.85554297143304137</v>
      </c>
      <c r="M29" s="131">
        <f t="shared" si="0"/>
        <v>-0.55525301918111036</v>
      </c>
      <c r="N29" s="131">
        <f t="shared" si="0"/>
        <v>-0.47315286107138133</v>
      </c>
      <c r="O29" s="110">
        <f t="shared" si="0"/>
        <v>-0.55458843213057585</v>
      </c>
      <c r="P29" s="286">
        <f t="shared" si="0"/>
        <v>-0.83562017479017892</v>
      </c>
      <c r="Q29" s="286">
        <f t="shared" si="0"/>
        <v>-0.74565974865083351</v>
      </c>
      <c r="R29" s="131">
        <f t="shared" si="0"/>
        <v>-0.48859894914291813</v>
      </c>
      <c r="S29" s="131">
        <f t="shared" si="0"/>
        <v>-0.56167085600703004</v>
      </c>
      <c r="T29" s="132">
        <f t="shared" si="0"/>
        <v>-0.64322225883342088</v>
      </c>
      <c r="U29" s="109">
        <f t="shared" si="0"/>
        <v>-0.50279413010244356</v>
      </c>
      <c r="V29" s="131">
        <f t="shared" si="0"/>
        <v>-0.56624310855151627</v>
      </c>
      <c r="W29" s="110">
        <f t="shared" si="0"/>
        <v>-0.64118652924242114</v>
      </c>
      <c r="X29" s="286">
        <f t="shared" si="0"/>
        <v>-0.53514798412205766</v>
      </c>
      <c r="Y29" s="132">
        <f t="shared" si="0"/>
        <v>-0.61652831948126274</v>
      </c>
      <c r="Z29" s="293">
        <f t="shared" si="0"/>
        <v>-0.62184372151865253</v>
      </c>
      <c r="AA29" s="293">
        <f t="shared" si="0"/>
        <v>-0.60884211565956015</v>
      </c>
      <c r="AB29" s="289">
        <f t="shared" si="0"/>
        <v>-0.43582540228782163</v>
      </c>
      <c r="AC29" s="109">
        <f t="shared" si="0"/>
        <v>-0.63974159372018202</v>
      </c>
      <c r="AD29" s="131">
        <f t="shared" si="0"/>
        <v>-0.55429020718593103</v>
      </c>
      <c r="AE29" s="110">
        <f t="shared" si="0"/>
        <v>-0.52187629172891115</v>
      </c>
      <c r="AH29" s="72" t="s">
        <v>168</v>
      </c>
      <c r="AI29" s="222"/>
      <c r="AJ29" s="223"/>
      <c r="AK29" s="107"/>
      <c r="AL29" s="107"/>
      <c r="AM29" s="107"/>
      <c r="AN29" s="107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  <c r="DN29" s="60"/>
      <c r="DO29" s="60"/>
      <c r="DP29" s="60"/>
      <c r="DQ29" s="60"/>
    </row>
    <row r="30" spans="2:121" ht="25.5" customHeight="1">
      <c r="H30" s="365" t="s">
        <v>173</v>
      </c>
      <c r="I30" s="366"/>
      <c r="J30" s="109" t="e">
        <f t="shared" ref="J30:AE30" si="1">J29*(Front_TBA_Full_Price/J20)</f>
        <v>#VALUE!</v>
      </c>
      <c r="K30" s="132" t="e">
        <f t="shared" si="1"/>
        <v>#VALUE!</v>
      </c>
      <c r="L30" s="109" t="e">
        <f t="shared" si="1"/>
        <v>#VALUE!</v>
      </c>
      <c r="M30" s="131" t="e">
        <f t="shared" si="1"/>
        <v>#VALUE!</v>
      </c>
      <c r="N30" s="131" t="e">
        <f t="shared" si="1"/>
        <v>#VALUE!</v>
      </c>
      <c r="O30" s="110" t="e">
        <f t="shared" si="1"/>
        <v>#VALUE!</v>
      </c>
      <c r="P30" s="286" t="e">
        <f t="shared" si="1"/>
        <v>#VALUE!</v>
      </c>
      <c r="Q30" s="286" t="e">
        <f t="shared" si="1"/>
        <v>#VALUE!</v>
      </c>
      <c r="R30" s="131" t="e">
        <f t="shared" si="1"/>
        <v>#VALUE!</v>
      </c>
      <c r="S30" s="131" t="e">
        <f t="shared" si="1"/>
        <v>#VALUE!</v>
      </c>
      <c r="T30" s="132" t="e">
        <f t="shared" si="1"/>
        <v>#VALUE!</v>
      </c>
      <c r="U30" s="109" t="e">
        <f t="shared" si="1"/>
        <v>#VALUE!</v>
      </c>
      <c r="V30" s="131" t="e">
        <f t="shared" si="1"/>
        <v>#VALUE!</v>
      </c>
      <c r="W30" s="110" t="e">
        <f t="shared" si="1"/>
        <v>#VALUE!</v>
      </c>
      <c r="X30" s="286" t="e">
        <f t="shared" si="1"/>
        <v>#VALUE!</v>
      </c>
      <c r="Y30" s="132" t="e">
        <f t="shared" si="1"/>
        <v>#VALUE!</v>
      </c>
      <c r="Z30" s="293" t="e">
        <f t="shared" si="1"/>
        <v>#VALUE!</v>
      </c>
      <c r="AA30" s="293" t="e">
        <f t="shared" si="1"/>
        <v>#VALUE!</v>
      </c>
      <c r="AB30" s="289" t="e">
        <f t="shared" si="1"/>
        <v>#VALUE!</v>
      </c>
      <c r="AC30" s="109" t="e">
        <f t="shared" si="1"/>
        <v>#VALUE!</v>
      </c>
      <c r="AD30" s="131" t="e">
        <f t="shared" si="1"/>
        <v>#VALUE!</v>
      </c>
      <c r="AE30" s="110" t="e">
        <f t="shared" si="1"/>
        <v>#VALUE!</v>
      </c>
      <c r="AH30" s="239" t="s">
        <v>183</v>
      </c>
      <c r="AI30" s="370"/>
      <c r="AJ30" s="371"/>
      <c r="AK30" s="107"/>
      <c r="AL30" s="107"/>
      <c r="AM30" s="107"/>
      <c r="AN30" s="107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60"/>
      <c r="DI30" s="60"/>
      <c r="DJ30" s="60"/>
      <c r="DK30" s="60"/>
      <c r="DL30" s="60"/>
      <c r="DM30" s="60"/>
      <c r="DN30" s="60"/>
      <c r="DO30" s="60"/>
      <c r="DP30" s="60"/>
      <c r="DQ30" s="60"/>
    </row>
    <row r="31" spans="2:121" ht="30" customHeight="1">
      <c r="H31" s="3" t="s">
        <v>46</v>
      </c>
      <c r="I31" s="3"/>
      <c r="J31" s="3"/>
      <c r="K31" s="3"/>
      <c r="L31" s="3"/>
      <c r="AY31" s="139"/>
      <c r="AZ31" s="60"/>
      <c r="BA31" s="60"/>
      <c r="BB31" s="60"/>
      <c r="BC31" s="60"/>
      <c r="BD31" s="60"/>
      <c r="BE31" s="60"/>
      <c r="BF31" s="61"/>
      <c r="BG31" s="61"/>
      <c r="BH31" s="61"/>
      <c r="BI31" s="61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</row>
    <row r="32" spans="2:121" s="4" customFormat="1" ht="8.25" hidden="1" customHeight="1">
      <c r="F32" s="2"/>
      <c r="G32" s="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2"/>
      <c r="CB32" s="62"/>
      <c r="CC32" s="62"/>
      <c r="CD32" s="62"/>
      <c r="CE32" s="62"/>
      <c r="CF32" s="62"/>
      <c r="CG32" s="62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</row>
    <row r="33" spans="2:121" ht="15" hidden="1">
      <c r="H33" s="5"/>
      <c r="I33" s="5"/>
      <c r="J33" s="343" t="s">
        <v>176</v>
      </c>
      <c r="K33" s="344"/>
      <c r="L33" s="344"/>
      <c r="M33" s="344"/>
      <c r="N33" s="344"/>
      <c r="O33" s="344"/>
      <c r="P33" s="344"/>
      <c r="Q33" s="344"/>
      <c r="R33" s="344"/>
      <c r="S33" s="344"/>
      <c r="T33" s="344"/>
      <c r="U33" s="344"/>
      <c r="V33" s="344"/>
      <c r="W33" s="344"/>
      <c r="X33" s="344"/>
      <c r="Y33" s="344"/>
      <c r="Z33" s="344"/>
      <c r="AA33" s="344"/>
      <c r="AB33" s="344"/>
      <c r="AC33" s="344"/>
      <c r="AD33" s="344"/>
      <c r="AE33" s="345"/>
      <c r="AY33" s="353"/>
      <c r="AZ33" s="353"/>
      <c r="BA33" s="353"/>
      <c r="BB33" s="359"/>
      <c r="BC33" s="359"/>
      <c r="BD33" s="359"/>
      <c r="BE33" s="359"/>
      <c r="BF33" s="353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60"/>
      <c r="DP33" s="60"/>
      <c r="DQ33" s="60"/>
    </row>
    <row r="34" spans="2:121" s="6" customFormat="1" ht="45">
      <c r="F34" s="184"/>
      <c r="G34" s="184"/>
      <c r="H34" s="73" t="s">
        <v>47</v>
      </c>
      <c r="I34" s="104" t="s">
        <v>0</v>
      </c>
      <c r="J34" s="290" t="str">
        <f>'Projected Carry'!J33</f>
        <v>FN30.
300.
13</v>
      </c>
      <c r="K34" s="244" t="str">
        <f>'Projected Carry'!K33</f>
        <v>FN30.
300.
12</v>
      </c>
      <c r="L34" s="290" t="str">
        <f>'Projected Carry'!L33</f>
        <v>FN30.
350.
14</v>
      </c>
      <c r="M34" s="309" t="str">
        <f>'Projected Carry'!M33</f>
        <v>FN30.
350.
13</v>
      </c>
      <c r="N34" s="243" t="str">
        <f>'Projected Carry'!N33</f>
        <v>FN30.
350.
12</v>
      </c>
      <c r="O34" s="242" t="str">
        <f>'Projected Carry'!O33</f>
        <v>FN30.
350.
10</v>
      </c>
      <c r="P34" s="309" t="str">
        <f>'Projected Carry'!P33</f>
        <v>FN30.
400.
14</v>
      </c>
      <c r="Q34" s="243" t="str">
        <f>'Projected Carry'!Q33</f>
        <v>FN30.
400.
13</v>
      </c>
      <c r="R34" s="243" t="str">
        <f>'Projected Carry'!R33</f>
        <v>FN30.
400.
11</v>
      </c>
      <c r="S34" s="243" t="str">
        <f>'Projected Carry'!S33</f>
        <v>FN30.
400.
10</v>
      </c>
      <c r="T34" s="243" t="str">
        <f>'Projected Carry'!T33</f>
        <v>FN30.
400.
09</v>
      </c>
      <c r="U34" s="241" t="str">
        <f>'Projected Carry'!U33</f>
        <v>FN30.
450.
11</v>
      </c>
      <c r="V34" s="243" t="str">
        <f>'Projected Carry'!V33</f>
        <v>FN30.
450.
10</v>
      </c>
      <c r="W34" s="242" t="str">
        <f>'Projected Carry'!W33</f>
        <v>FN30.
450.
09</v>
      </c>
      <c r="X34" s="243" t="str">
        <f>'Projected Carry'!X33</f>
        <v>FN30.
500.
10</v>
      </c>
      <c r="Y34" s="243" t="str">
        <f>'Projected Carry'!Y33</f>
        <v>FN30.
500.
09</v>
      </c>
      <c r="Z34" s="73" t="str">
        <f>'Projected Carry'!Z33</f>
        <v>FN30.
550.
08</v>
      </c>
      <c r="AA34" s="73" t="str">
        <f>'Projected Carry'!AA33</f>
        <v>FN30.
600.
08</v>
      </c>
      <c r="AB34" s="243" t="str">
        <f>'Projected Carry'!AB33</f>
        <v>FN30.
650.
67</v>
      </c>
      <c r="AC34" s="241" t="str">
        <f>'Projected Carry'!AC33</f>
        <v>GII30.
400.
10</v>
      </c>
      <c r="AD34" s="243" t="str">
        <f>'Projected Carry'!AD33</f>
        <v>GII30.
450.
10</v>
      </c>
      <c r="AE34" s="242" t="str">
        <f>'Projected Carry'!AE33</f>
        <v>GII30.
500.
10</v>
      </c>
      <c r="AV34" s="23"/>
      <c r="AY34" s="134"/>
      <c r="AZ34" s="352"/>
      <c r="BA34" s="352"/>
      <c r="BB34" s="352"/>
      <c r="BC34" s="352"/>
      <c r="BD34" s="352"/>
      <c r="BE34" s="352"/>
      <c r="BF34" s="352"/>
      <c r="BG34" s="352"/>
      <c r="BH34" s="352"/>
      <c r="BI34" s="352"/>
      <c r="BJ34" s="352"/>
      <c r="BK34" s="352"/>
      <c r="BL34" s="134"/>
      <c r="BM34" s="352"/>
      <c r="BN34" s="352"/>
      <c r="BO34" s="352"/>
      <c r="BP34" s="352"/>
      <c r="BQ34" s="352"/>
      <c r="BR34" s="352"/>
      <c r="BS34" s="352"/>
      <c r="BT34" s="352"/>
      <c r="BU34" s="352"/>
      <c r="BV34" s="352"/>
      <c r="BW34" s="352"/>
      <c r="BX34" s="352"/>
      <c r="BY34" s="352"/>
      <c r="BZ34" s="352"/>
      <c r="CA34" s="352"/>
      <c r="CB34" s="352"/>
      <c r="CC34" s="352"/>
      <c r="CD34" s="352"/>
      <c r="CE34" s="352"/>
      <c r="CF34" s="352"/>
      <c r="CG34" s="352"/>
      <c r="CH34" s="352"/>
      <c r="CI34" s="352"/>
      <c r="CJ34" s="352"/>
      <c r="CK34" s="352"/>
      <c r="CL34" s="352"/>
      <c r="CM34" s="352"/>
      <c r="CN34" s="352"/>
      <c r="CO34" s="352"/>
      <c r="CP34" s="352"/>
      <c r="CQ34" s="352"/>
      <c r="CR34" s="352"/>
      <c r="CS34" s="352"/>
      <c r="CT34" s="352"/>
      <c r="CU34" s="352"/>
      <c r="CV34" s="352"/>
      <c r="CW34" s="352"/>
      <c r="CX34" s="352"/>
      <c r="CY34" s="352"/>
      <c r="CZ34" s="352"/>
      <c r="DA34" s="352"/>
      <c r="DB34" s="352"/>
      <c r="DC34" s="352"/>
      <c r="DD34" s="352"/>
      <c r="DE34" s="352"/>
      <c r="DF34" s="352"/>
      <c r="DG34" s="352"/>
      <c r="DH34" s="352"/>
      <c r="DI34" s="352"/>
      <c r="DJ34" s="352"/>
      <c r="DK34" s="352"/>
      <c r="DL34" s="352"/>
      <c r="DM34" s="352"/>
      <c r="DN34" s="352"/>
      <c r="DO34" s="63"/>
      <c r="DP34" s="63"/>
      <c r="DQ34" s="63"/>
    </row>
    <row r="35" spans="2:121" ht="15" hidden="1" customHeight="1">
      <c r="B35" s="7"/>
      <c r="C35" s="8"/>
      <c r="D35" s="8"/>
      <c r="E35" s="8"/>
      <c r="F35" s="16" t="s">
        <v>35</v>
      </c>
      <c r="G35" s="15">
        <v>100</v>
      </c>
      <c r="H35" s="58">
        <v>1</v>
      </c>
      <c r="I35" s="32">
        <f t="shared" ref="I35:I36" si="2">EDATE(CurrentCloseDate, H35)</f>
        <v>42215</v>
      </c>
      <c r="J35" s="161">
        <f>'Projected Carry'!J34</f>
        <v>0</v>
      </c>
      <c r="K35" s="143" t="e">
        <f>'Projected Carry'!K34</f>
        <v>#REF!</v>
      </c>
      <c r="L35" s="161">
        <f>'Projected Carry'!L34</f>
        <v>0</v>
      </c>
      <c r="M35" s="143">
        <f>'Projected Carry'!M34</f>
        <v>0</v>
      </c>
      <c r="N35" s="143">
        <f>'Projected Carry'!N34</f>
        <v>0</v>
      </c>
      <c r="O35" s="144">
        <f>'Projected Carry'!O34</f>
        <v>0</v>
      </c>
      <c r="P35" s="161">
        <f>'Projected Carry'!P34</f>
        <v>0</v>
      </c>
      <c r="Q35" s="143">
        <f>'Projected Carry'!Q34</f>
        <v>0</v>
      </c>
      <c r="R35" s="143">
        <f>'Projected Carry'!R34</f>
        <v>0</v>
      </c>
      <c r="S35" s="143">
        <f>'Projected Carry'!S34</f>
        <v>-7.9429999999999996</v>
      </c>
      <c r="T35" s="144" t="str">
        <f>'Projected Carry'!T34</f>
        <v>E</v>
      </c>
      <c r="U35" s="161" t="str">
        <f>'Projected Carry'!U34</f>
        <v>E</v>
      </c>
      <c r="V35" s="143" t="str">
        <f>'Projected Carry'!V34</f>
        <v>E</v>
      </c>
      <c r="W35" s="144" t="str">
        <f>'Projected Carry'!W34</f>
        <v>E</v>
      </c>
      <c r="X35" s="161" t="str">
        <f>'Projected Carry'!X34</f>
        <v>E</v>
      </c>
      <c r="Y35" s="144" t="str">
        <f>'Projected Carry'!Y34</f>
        <v>E</v>
      </c>
      <c r="Z35" s="322" t="str">
        <f>'Projected Carry'!Z34</f>
        <v>E</v>
      </c>
      <c r="AA35" s="294" t="str">
        <f>'Projected Carry'!AA34</f>
        <v>E</v>
      </c>
      <c r="AB35" s="297" t="str">
        <f>'Projected Carry'!AB34</f>
        <v>E</v>
      </c>
      <c r="AC35" s="142" t="str">
        <f>'Projected Carry'!AC34</f>
        <v>E</v>
      </c>
      <c r="AD35" s="143" t="str">
        <f>'Projected Carry'!AD34</f>
        <v>E</v>
      </c>
      <c r="AE35" s="145" t="str">
        <f>'Projected Carry'!AE34</f>
        <v>E</v>
      </c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0"/>
      <c r="DN35" s="60"/>
      <c r="DO35" s="60"/>
      <c r="DP35" s="60"/>
      <c r="DQ35" s="60"/>
    </row>
    <row r="36" spans="2:121" ht="15" hidden="1" customHeight="1">
      <c r="C36" s="8"/>
      <c r="D36" s="8"/>
      <c r="E36" s="8"/>
      <c r="F36" s="160" t="s">
        <v>104</v>
      </c>
      <c r="G36" s="158"/>
      <c r="H36" s="162">
        <v>12</v>
      </c>
      <c r="I36" s="163">
        <f t="shared" si="2"/>
        <v>42551</v>
      </c>
      <c r="J36" s="34">
        <f>'Projected Carry'!J35</f>
        <v>0</v>
      </c>
      <c r="K36" s="164" t="e">
        <f>'Projected Carry'!K35</f>
        <v>#REF!</v>
      </c>
      <c r="L36" s="34">
        <f>'Projected Carry'!L35</f>
        <v>0</v>
      </c>
      <c r="M36" s="164">
        <f>'Projected Carry'!M35</f>
        <v>0</v>
      </c>
      <c r="N36" s="164">
        <f>'Projected Carry'!N35</f>
        <v>0</v>
      </c>
      <c r="O36" s="165">
        <f>'Projected Carry'!O35</f>
        <v>0</v>
      </c>
      <c r="P36" s="34">
        <f>'Projected Carry'!P35</f>
        <v>0</v>
      </c>
      <c r="Q36" s="164">
        <f>'Projected Carry'!Q35</f>
        <v>0</v>
      </c>
      <c r="R36" s="164">
        <f>'Projected Carry'!R35</f>
        <v>0</v>
      </c>
      <c r="S36" s="164">
        <f>'Projected Carry'!S35</f>
        <v>-6.2460000000000004</v>
      </c>
      <c r="T36" s="165" t="str">
        <f>'Projected Carry'!T35</f>
        <v>E</v>
      </c>
      <c r="U36" s="34" t="str">
        <f>'Projected Carry'!U35</f>
        <v>E</v>
      </c>
      <c r="V36" s="164" t="str">
        <f>'Projected Carry'!V35</f>
        <v>E</v>
      </c>
      <c r="W36" s="165" t="str">
        <f>'Projected Carry'!W35</f>
        <v>E</v>
      </c>
      <c r="X36" s="34" t="str">
        <f>'Projected Carry'!X35</f>
        <v>E</v>
      </c>
      <c r="Y36" s="165" t="str">
        <f>'Projected Carry'!Y35</f>
        <v>E</v>
      </c>
      <c r="Z36" s="257" t="str">
        <f>'Projected Carry'!Z35</f>
        <v>E</v>
      </c>
      <c r="AA36" s="295" t="str">
        <f>'Projected Carry'!AA35</f>
        <v>E</v>
      </c>
      <c r="AB36" s="257" t="str">
        <f>'Projected Carry'!AB35</f>
        <v>E</v>
      </c>
      <c r="AC36" s="34" t="str">
        <f>'Projected Carry'!AC35</f>
        <v>E</v>
      </c>
      <c r="AD36" s="164" t="str">
        <f>'Projected Carry'!AD35</f>
        <v>E</v>
      </c>
      <c r="AE36" s="166" t="str">
        <f>'Projected Carry'!AE35</f>
        <v>E</v>
      </c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0"/>
      <c r="DN36" s="60"/>
      <c r="DO36" s="60"/>
      <c r="DP36" s="60"/>
      <c r="DQ36" s="60"/>
    </row>
    <row r="37" spans="2:121" ht="15" hidden="1">
      <c r="F37" s="159" t="s">
        <v>98</v>
      </c>
      <c r="G37" s="158"/>
      <c r="H37" s="58"/>
      <c r="I37" s="32"/>
      <c r="J37" s="37" t="e">
        <f>J$20*J$36/100</f>
        <v>#VALUE!</v>
      </c>
      <c r="K37" s="35" t="e">
        <f>K$20*K$36/100</f>
        <v>#VALUE!</v>
      </c>
      <c r="L37" s="37" t="e">
        <f>K$20*L$36/100</f>
        <v>#VALUE!</v>
      </c>
      <c r="M37" s="35" t="e">
        <f>L$20*M$36/100</f>
        <v>#VALUE!</v>
      </c>
      <c r="N37" s="35" t="e">
        <f>M$20*N$36/100</f>
        <v>#VALUE!</v>
      </c>
      <c r="O37" s="36" t="e">
        <f>N$20*O$36/100</f>
        <v>#VALUE!</v>
      </c>
      <c r="P37" s="37" t="e">
        <f t="shared" ref="P37:AE37" si="3">N$20*P$36/100</f>
        <v>#VALUE!</v>
      </c>
      <c r="Q37" s="35" t="e">
        <f t="shared" si="3"/>
        <v>#VALUE!</v>
      </c>
      <c r="R37" s="35" t="e">
        <f t="shared" si="3"/>
        <v>#VALUE!</v>
      </c>
      <c r="S37" s="35" t="e">
        <f t="shared" si="3"/>
        <v>#VALUE!</v>
      </c>
      <c r="T37" s="36" t="e">
        <f t="shared" si="3"/>
        <v>#VALUE!</v>
      </c>
      <c r="U37" s="37" t="e">
        <f t="shared" si="3"/>
        <v>#VALUE!</v>
      </c>
      <c r="V37" s="35" t="e">
        <f t="shared" si="3"/>
        <v>#VALUE!</v>
      </c>
      <c r="W37" s="36" t="e">
        <f t="shared" si="3"/>
        <v>#VALUE!</v>
      </c>
      <c r="X37" s="37" t="e">
        <f t="shared" si="3"/>
        <v>#VALUE!</v>
      </c>
      <c r="Y37" s="36" t="e">
        <f t="shared" si="3"/>
        <v>#VALUE!</v>
      </c>
      <c r="Z37" s="258" t="e">
        <f t="shared" si="3"/>
        <v>#VALUE!</v>
      </c>
      <c r="AA37" s="296" t="e">
        <f t="shared" si="3"/>
        <v>#VALUE!</v>
      </c>
      <c r="AB37" s="258" t="e">
        <f t="shared" si="3"/>
        <v>#VALUE!</v>
      </c>
      <c r="AC37" s="37" t="e">
        <f t="shared" si="3"/>
        <v>#VALUE!</v>
      </c>
      <c r="AD37" s="35" t="e">
        <f t="shared" si="3"/>
        <v>#VALUE!</v>
      </c>
      <c r="AE37" s="38" t="e">
        <f t="shared" si="3"/>
        <v>#VALUE!</v>
      </c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</row>
    <row r="38" spans="2:121" ht="15" hidden="1">
      <c r="F38" s="159" t="s">
        <v>97</v>
      </c>
      <c r="H38" s="58"/>
      <c r="I38" s="32"/>
      <c r="J38" s="37" t="e">
        <f t="shared" ref="J38:K38" si="4">$BL$70*J$29*-1</f>
        <v>#VALUE!</v>
      </c>
      <c r="K38" s="35" t="e">
        <f t="shared" si="4"/>
        <v>#VALUE!</v>
      </c>
      <c r="L38" s="37" t="e">
        <f t="shared" ref="L38:AE38" si="5">$BL$70*L$29*-1</f>
        <v>#VALUE!</v>
      </c>
      <c r="M38" s="35" t="e">
        <f t="shared" si="5"/>
        <v>#VALUE!</v>
      </c>
      <c r="N38" s="35" t="e">
        <f t="shared" si="5"/>
        <v>#VALUE!</v>
      </c>
      <c r="O38" s="36" t="e">
        <f t="shared" si="5"/>
        <v>#VALUE!</v>
      </c>
      <c r="P38" s="37" t="e">
        <f t="shared" si="5"/>
        <v>#VALUE!</v>
      </c>
      <c r="Q38" s="35" t="e">
        <f t="shared" si="5"/>
        <v>#VALUE!</v>
      </c>
      <c r="R38" s="35" t="e">
        <f t="shared" si="5"/>
        <v>#VALUE!</v>
      </c>
      <c r="S38" s="35" t="e">
        <f t="shared" si="5"/>
        <v>#VALUE!</v>
      </c>
      <c r="T38" s="36" t="e">
        <f t="shared" si="5"/>
        <v>#VALUE!</v>
      </c>
      <c r="U38" s="37" t="e">
        <f t="shared" si="5"/>
        <v>#VALUE!</v>
      </c>
      <c r="V38" s="35" t="e">
        <f t="shared" si="5"/>
        <v>#VALUE!</v>
      </c>
      <c r="W38" s="36" t="e">
        <f t="shared" si="5"/>
        <v>#VALUE!</v>
      </c>
      <c r="X38" s="37" t="e">
        <f t="shared" si="5"/>
        <v>#VALUE!</v>
      </c>
      <c r="Y38" s="36" t="e">
        <f t="shared" si="5"/>
        <v>#VALUE!</v>
      </c>
      <c r="Z38" s="258" t="e">
        <f t="shared" si="5"/>
        <v>#VALUE!</v>
      </c>
      <c r="AA38" s="296" t="e">
        <f t="shared" si="5"/>
        <v>#VALUE!</v>
      </c>
      <c r="AB38" s="258" t="e">
        <f t="shared" si="5"/>
        <v>#VALUE!</v>
      </c>
      <c r="AC38" s="37" t="e">
        <f t="shared" si="5"/>
        <v>#VALUE!</v>
      </c>
      <c r="AD38" s="35" t="e">
        <f t="shared" si="5"/>
        <v>#VALUE!</v>
      </c>
      <c r="AE38" s="35" t="e">
        <f t="shared" si="5"/>
        <v>#VALUE!</v>
      </c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</row>
    <row r="39" spans="2:121" ht="15" hidden="1">
      <c r="F39" s="13" t="s">
        <v>99</v>
      </c>
      <c r="H39" s="58"/>
      <c r="I39" s="32"/>
      <c r="J39" s="37" t="e">
        <f t="shared" ref="J39" si="6">SUM(J$37:J$38)</f>
        <v>#VALUE!</v>
      </c>
      <c r="K39" s="35" t="e">
        <f t="shared" ref="K39" si="7">SUM(K$37:K$38)</f>
        <v>#VALUE!</v>
      </c>
      <c r="L39" s="37" t="e">
        <f t="shared" ref="L39:AE39" si="8">SUM(L$37:L$38)</f>
        <v>#VALUE!</v>
      </c>
      <c r="M39" s="35" t="e">
        <f t="shared" si="8"/>
        <v>#VALUE!</v>
      </c>
      <c r="N39" s="35" t="e">
        <f t="shared" si="8"/>
        <v>#VALUE!</v>
      </c>
      <c r="O39" s="36" t="e">
        <f t="shared" si="8"/>
        <v>#VALUE!</v>
      </c>
      <c r="P39" s="37" t="e">
        <f t="shared" si="8"/>
        <v>#VALUE!</v>
      </c>
      <c r="Q39" s="35" t="e">
        <f t="shared" si="8"/>
        <v>#VALUE!</v>
      </c>
      <c r="R39" s="35" t="e">
        <f t="shared" si="8"/>
        <v>#VALUE!</v>
      </c>
      <c r="S39" s="35" t="e">
        <f t="shared" si="8"/>
        <v>#VALUE!</v>
      </c>
      <c r="T39" s="36" t="e">
        <f t="shared" si="8"/>
        <v>#VALUE!</v>
      </c>
      <c r="U39" s="37" t="e">
        <f t="shared" si="8"/>
        <v>#VALUE!</v>
      </c>
      <c r="V39" s="35" t="e">
        <f t="shared" si="8"/>
        <v>#VALUE!</v>
      </c>
      <c r="W39" s="36" t="e">
        <f t="shared" si="8"/>
        <v>#VALUE!</v>
      </c>
      <c r="X39" s="37" t="e">
        <f t="shared" si="8"/>
        <v>#VALUE!</v>
      </c>
      <c r="Y39" s="36" t="e">
        <f t="shared" si="8"/>
        <v>#VALUE!</v>
      </c>
      <c r="Z39" s="258" t="e">
        <f t="shared" si="8"/>
        <v>#VALUE!</v>
      </c>
      <c r="AA39" s="296" t="e">
        <f t="shared" si="8"/>
        <v>#VALUE!</v>
      </c>
      <c r="AB39" s="258" t="e">
        <f t="shared" si="8"/>
        <v>#VALUE!</v>
      </c>
      <c r="AC39" s="37" t="e">
        <f t="shared" si="8"/>
        <v>#VALUE!</v>
      </c>
      <c r="AD39" s="35" t="e">
        <f t="shared" si="8"/>
        <v>#VALUE!</v>
      </c>
      <c r="AE39" s="35" t="e">
        <f t="shared" si="8"/>
        <v>#VALUE!</v>
      </c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</row>
    <row r="40" spans="2:121" ht="15">
      <c r="F40" s="52" t="s">
        <v>103</v>
      </c>
      <c r="H40" s="59">
        <v>12</v>
      </c>
      <c r="I40" s="33">
        <f t="shared" ref="I40" si="9">EDATE(CurrentCloseDate, H40)</f>
        <v>42551</v>
      </c>
      <c r="J40" s="39" t="e">
        <f t="shared" ref="J40" si="10">J$39/J$20*100</f>
        <v>#VALUE!</v>
      </c>
      <c r="K40" s="40" t="e">
        <f>K$39/K$20*100</f>
        <v>#VALUE!</v>
      </c>
      <c r="L40" s="39" t="e">
        <f>L$39/L$20*100</f>
        <v>#VALUE!</v>
      </c>
      <c r="M40" s="40" t="e">
        <f t="shared" ref="M40:AE40" si="11">M$39/M$20*100</f>
        <v>#VALUE!</v>
      </c>
      <c r="N40" s="40" t="e">
        <f t="shared" si="11"/>
        <v>#VALUE!</v>
      </c>
      <c r="O40" s="41" t="e">
        <f t="shared" si="11"/>
        <v>#VALUE!</v>
      </c>
      <c r="P40" s="39" t="e">
        <f t="shared" si="11"/>
        <v>#VALUE!</v>
      </c>
      <c r="Q40" s="40" t="e">
        <f t="shared" si="11"/>
        <v>#VALUE!</v>
      </c>
      <c r="R40" s="40" t="e">
        <f t="shared" si="11"/>
        <v>#VALUE!</v>
      </c>
      <c r="S40" s="40" t="e">
        <f t="shared" si="11"/>
        <v>#VALUE!</v>
      </c>
      <c r="T40" s="41" t="e">
        <f t="shared" si="11"/>
        <v>#VALUE!</v>
      </c>
      <c r="U40" s="39" t="e">
        <f t="shared" si="11"/>
        <v>#VALUE!</v>
      </c>
      <c r="V40" s="40" t="e">
        <f t="shared" si="11"/>
        <v>#VALUE!</v>
      </c>
      <c r="W40" s="41" t="e">
        <f t="shared" si="11"/>
        <v>#VALUE!</v>
      </c>
      <c r="X40" s="39" t="e">
        <f t="shared" si="11"/>
        <v>#VALUE!</v>
      </c>
      <c r="Y40" s="41" t="e">
        <f t="shared" si="11"/>
        <v>#VALUE!</v>
      </c>
      <c r="Z40" s="259" t="e">
        <f t="shared" si="11"/>
        <v>#VALUE!</v>
      </c>
      <c r="AA40" s="269" t="e">
        <f t="shared" si="11"/>
        <v>#VALUE!</v>
      </c>
      <c r="AB40" s="259" t="e">
        <f t="shared" si="11"/>
        <v>#VALUE!</v>
      </c>
      <c r="AC40" s="39" t="e">
        <f t="shared" si="11"/>
        <v>#VALUE!</v>
      </c>
      <c r="AD40" s="40" t="e">
        <f t="shared" si="11"/>
        <v>#VALUE!</v>
      </c>
      <c r="AE40" s="40" t="e">
        <f t="shared" si="11"/>
        <v>#VALUE!</v>
      </c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</row>
    <row r="41" spans="2:121"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</row>
    <row r="42" spans="2:121"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</row>
    <row r="43" spans="2:121"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</row>
    <row r="44" spans="2:121" ht="15">
      <c r="I44" s="3"/>
      <c r="J44" s="3"/>
      <c r="K44" s="3"/>
      <c r="L44" s="3"/>
      <c r="AW44" s="60"/>
      <c r="AX44" s="60"/>
      <c r="AY44" s="60"/>
      <c r="AZ44" s="60"/>
      <c r="BA44" s="60"/>
      <c r="BB44" s="60"/>
      <c r="BC44" s="60"/>
      <c r="BD44" s="60"/>
      <c r="BE44" s="60"/>
      <c r="BF44" s="61"/>
      <c r="BG44" s="61"/>
      <c r="BH44" s="61"/>
      <c r="BI44" s="61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</row>
    <row r="45" spans="2:121" s="4" customFormat="1" ht="15" customHeight="1">
      <c r="I45" s="367" t="s">
        <v>171</v>
      </c>
      <c r="J45" s="343" t="s">
        <v>174</v>
      </c>
      <c r="K45" s="344"/>
      <c r="L45" s="344"/>
      <c r="M45" s="344"/>
      <c r="N45" s="344"/>
      <c r="O45" s="344"/>
      <c r="P45" s="344"/>
      <c r="Q45" s="344"/>
      <c r="R45" s="344"/>
      <c r="S45" s="344"/>
      <c r="T45" s="344"/>
      <c r="U45" s="344"/>
      <c r="V45" s="344"/>
      <c r="W45" s="344"/>
      <c r="X45" s="344"/>
      <c r="Y45" s="344"/>
      <c r="Z45" s="344"/>
      <c r="AA45" s="344"/>
      <c r="AB45" s="344"/>
      <c r="AC45" s="344"/>
      <c r="AD45" s="344"/>
      <c r="AE45" s="345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2"/>
      <c r="CB45" s="62"/>
      <c r="CC45" s="62"/>
      <c r="CD45" s="62"/>
      <c r="CE45" s="62"/>
      <c r="CF45" s="62"/>
      <c r="CG45" s="62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</row>
    <row r="46" spans="2:121" ht="45">
      <c r="I46" s="368"/>
      <c r="J46" s="290" t="str">
        <f>J34</f>
        <v>FN30.
300.
13</v>
      </c>
      <c r="K46" s="244" t="str">
        <f t="shared" ref="K46" si="12">K34</f>
        <v>FN30.
300.
12</v>
      </c>
      <c r="L46" s="290" t="str">
        <f t="shared" ref="L46:AE46" si="13">L34</f>
        <v>FN30.
350.
14</v>
      </c>
      <c r="M46" s="309" t="str">
        <f t="shared" si="13"/>
        <v>FN30.
350.
13</v>
      </c>
      <c r="N46" s="243" t="str">
        <f t="shared" si="13"/>
        <v>FN30.
350.
12</v>
      </c>
      <c r="O46" s="242" t="str">
        <f t="shared" si="13"/>
        <v>FN30.
350.
10</v>
      </c>
      <c r="P46" s="309" t="str">
        <f t="shared" si="13"/>
        <v>FN30.
400.
14</v>
      </c>
      <c r="Q46" s="309" t="str">
        <f t="shared" si="13"/>
        <v>FN30.
400.
13</v>
      </c>
      <c r="R46" s="243" t="str">
        <f t="shared" si="13"/>
        <v>FN30.
400.
11</v>
      </c>
      <c r="S46" s="243" t="str">
        <f t="shared" si="13"/>
        <v>FN30.
400.
10</v>
      </c>
      <c r="T46" s="243" t="str">
        <f t="shared" si="13"/>
        <v>FN30.
400.
09</v>
      </c>
      <c r="U46" s="241" t="str">
        <f t="shared" si="13"/>
        <v>FN30.
450.
11</v>
      </c>
      <c r="V46" s="243" t="str">
        <f t="shared" si="13"/>
        <v>FN30.
450.
10</v>
      </c>
      <c r="W46" s="242" t="str">
        <f t="shared" si="13"/>
        <v>FN30.
450.
09</v>
      </c>
      <c r="X46" s="243" t="str">
        <f t="shared" si="13"/>
        <v>FN30.
500.
10</v>
      </c>
      <c r="Y46" s="243" t="str">
        <f t="shared" si="13"/>
        <v>FN30.
500.
09</v>
      </c>
      <c r="Z46" s="73" t="str">
        <f t="shared" si="13"/>
        <v>FN30.
550.
08</v>
      </c>
      <c r="AA46" s="73" t="str">
        <f t="shared" si="13"/>
        <v>FN30.
600.
08</v>
      </c>
      <c r="AB46" s="243" t="str">
        <f t="shared" si="13"/>
        <v>FN30.
650.
67</v>
      </c>
      <c r="AC46" s="241" t="str">
        <f t="shared" si="13"/>
        <v>GII30.
400.
10</v>
      </c>
      <c r="AD46" s="243" t="str">
        <f t="shared" si="13"/>
        <v>GII30.
450.
10</v>
      </c>
      <c r="AE46" s="242" t="str">
        <f t="shared" si="13"/>
        <v>GII30.
500.
10</v>
      </c>
    </row>
    <row r="47" spans="2:121" ht="15">
      <c r="I47" s="238" t="s">
        <v>170</v>
      </c>
      <c r="J47" s="217"/>
      <c r="K47" s="213"/>
      <c r="L47" s="217"/>
      <c r="M47" s="213"/>
      <c r="N47" s="213"/>
      <c r="O47" s="214"/>
      <c r="P47" s="161"/>
      <c r="Q47" s="213"/>
      <c r="R47" s="213"/>
      <c r="S47" s="213"/>
      <c r="T47" s="214"/>
      <c r="U47" s="161"/>
      <c r="V47" s="213"/>
      <c r="W47" s="214"/>
      <c r="X47" s="161"/>
      <c r="Y47" s="214"/>
      <c r="Z47" s="297"/>
      <c r="AA47" s="294"/>
      <c r="AB47" s="294"/>
      <c r="AC47" s="161"/>
      <c r="AD47" s="213"/>
      <c r="AE47" s="215"/>
    </row>
    <row r="48" spans="2:121" ht="15">
      <c r="G48" s="240">
        <v>0.25</v>
      </c>
      <c r="I48" s="212" t="s">
        <v>184</v>
      </c>
      <c r="J48" s="224" t="e">
        <f t="shared" ref="J48:K48" si="14">J30*$G48*-1</f>
        <v>#VALUE!</v>
      </c>
      <c r="K48" s="213" t="e">
        <f t="shared" si="14"/>
        <v>#VALUE!</v>
      </c>
      <c r="L48" s="224" t="e">
        <f t="shared" ref="L48:AE48" si="15">L30*$G48*-1</f>
        <v>#VALUE!</v>
      </c>
      <c r="M48" s="213" t="e">
        <f t="shared" si="15"/>
        <v>#VALUE!</v>
      </c>
      <c r="N48" s="213" t="e">
        <f t="shared" si="15"/>
        <v>#VALUE!</v>
      </c>
      <c r="O48" s="214" t="e">
        <f t="shared" si="15"/>
        <v>#VALUE!</v>
      </c>
      <c r="P48" s="161" t="e">
        <f t="shared" si="15"/>
        <v>#VALUE!</v>
      </c>
      <c r="Q48" s="213" t="e">
        <f t="shared" si="15"/>
        <v>#VALUE!</v>
      </c>
      <c r="R48" s="213" t="e">
        <f t="shared" si="15"/>
        <v>#VALUE!</v>
      </c>
      <c r="S48" s="213" t="e">
        <f t="shared" si="15"/>
        <v>#VALUE!</v>
      </c>
      <c r="T48" s="214" t="e">
        <f t="shared" si="15"/>
        <v>#VALUE!</v>
      </c>
      <c r="U48" s="161" t="e">
        <f t="shared" si="15"/>
        <v>#VALUE!</v>
      </c>
      <c r="V48" s="213" t="e">
        <f t="shared" si="15"/>
        <v>#VALUE!</v>
      </c>
      <c r="W48" s="214" t="e">
        <f t="shared" si="15"/>
        <v>#VALUE!</v>
      </c>
      <c r="X48" s="161" t="e">
        <f t="shared" si="15"/>
        <v>#VALUE!</v>
      </c>
      <c r="Y48" s="214" t="e">
        <f t="shared" si="15"/>
        <v>#VALUE!</v>
      </c>
      <c r="Z48" s="297" t="e">
        <f t="shared" si="15"/>
        <v>#VALUE!</v>
      </c>
      <c r="AA48" s="294" t="e">
        <f t="shared" si="15"/>
        <v>#VALUE!</v>
      </c>
      <c r="AB48" s="294" t="e">
        <f t="shared" si="15"/>
        <v>#VALUE!</v>
      </c>
      <c r="AC48" s="161" t="e">
        <f t="shared" si="15"/>
        <v>#VALUE!</v>
      </c>
      <c r="AD48" s="213" t="e">
        <f t="shared" si="15"/>
        <v>#VALUE!</v>
      </c>
      <c r="AE48" s="215" t="e">
        <f t="shared" si="15"/>
        <v>#VALUE!</v>
      </c>
    </row>
    <row r="49" spans="7:77" ht="15">
      <c r="G49" s="240">
        <v>0.5</v>
      </c>
      <c r="I49" s="216" t="s">
        <v>169</v>
      </c>
      <c r="J49" s="109" t="e">
        <f t="shared" ref="J49:K49" si="16">J30*$G49*-1</f>
        <v>#VALUE!</v>
      </c>
      <c r="K49" s="40" t="e">
        <f t="shared" si="16"/>
        <v>#VALUE!</v>
      </c>
      <c r="L49" s="109" t="e">
        <f t="shared" ref="L49:AE49" si="17">L30*$G49*-1</f>
        <v>#VALUE!</v>
      </c>
      <c r="M49" s="40" t="e">
        <f t="shared" si="17"/>
        <v>#VALUE!</v>
      </c>
      <c r="N49" s="40" t="e">
        <f t="shared" si="17"/>
        <v>#VALUE!</v>
      </c>
      <c r="O49" s="41" t="e">
        <f t="shared" si="17"/>
        <v>#VALUE!</v>
      </c>
      <c r="P49" s="39" t="e">
        <f t="shared" si="17"/>
        <v>#VALUE!</v>
      </c>
      <c r="Q49" s="40" t="e">
        <f t="shared" si="17"/>
        <v>#VALUE!</v>
      </c>
      <c r="R49" s="40" t="e">
        <f t="shared" si="17"/>
        <v>#VALUE!</v>
      </c>
      <c r="S49" s="40" t="e">
        <f t="shared" si="17"/>
        <v>#VALUE!</v>
      </c>
      <c r="T49" s="41" t="e">
        <f t="shared" si="17"/>
        <v>#VALUE!</v>
      </c>
      <c r="U49" s="39" t="e">
        <f t="shared" si="17"/>
        <v>#VALUE!</v>
      </c>
      <c r="V49" s="40" t="e">
        <f t="shared" si="17"/>
        <v>#VALUE!</v>
      </c>
      <c r="W49" s="41" t="e">
        <f t="shared" si="17"/>
        <v>#VALUE!</v>
      </c>
      <c r="X49" s="39" t="e">
        <f t="shared" si="17"/>
        <v>#VALUE!</v>
      </c>
      <c r="Y49" s="41" t="e">
        <f t="shared" si="17"/>
        <v>#VALUE!</v>
      </c>
      <c r="Z49" s="259" t="e">
        <f t="shared" si="17"/>
        <v>#VALUE!</v>
      </c>
      <c r="AA49" s="269" t="e">
        <f t="shared" si="17"/>
        <v>#VALUE!</v>
      </c>
      <c r="AB49" s="269" t="e">
        <f t="shared" si="17"/>
        <v>#VALUE!</v>
      </c>
      <c r="AC49" s="39" t="e">
        <f t="shared" si="17"/>
        <v>#VALUE!</v>
      </c>
      <c r="AD49" s="40" t="e">
        <f t="shared" si="17"/>
        <v>#VALUE!</v>
      </c>
      <c r="AE49" s="42" t="e">
        <f t="shared" si="17"/>
        <v>#VALUE!</v>
      </c>
    </row>
    <row r="53" spans="7:77" ht="15">
      <c r="I53" s="367" t="s">
        <v>171</v>
      </c>
      <c r="J53" s="343" t="s">
        <v>175</v>
      </c>
      <c r="K53" s="344"/>
      <c r="L53" s="344"/>
      <c r="M53" s="344"/>
      <c r="N53" s="344"/>
      <c r="O53" s="344"/>
      <c r="P53" s="344"/>
      <c r="Q53" s="344"/>
      <c r="R53" s="344"/>
      <c r="S53" s="344"/>
      <c r="T53" s="344"/>
      <c r="U53" s="344"/>
      <c r="V53" s="344"/>
      <c r="W53" s="344"/>
      <c r="X53" s="344"/>
      <c r="Y53" s="344"/>
      <c r="Z53" s="344"/>
      <c r="AA53" s="344"/>
      <c r="AB53" s="344"/>
      <c r="AC53" s="344"/>
      <c r="AD53" s="344"/>
      <c r="AE53" s="345"/>
    </row>
    <row r="54" spans="7:77" ht="45">
      <c r="I54" s="368"/>
      <c r="J54" s="290" t="str">
        <f>J34</f>
        <v>FN30.
300.
13</v>
      </c>
      <c r="K54" s="244" t="str">
        <f t="shared" ref="K54" si="18">K34</f>
        <v>FN30.
300.
12</v>
      </c>
      <c r="L54" s="290" t="str">
        <f t="shared" ref="L54:AE54" si="19">L34</f>
        <v>FN30.
350.
14</v>
      </c>
      <c r="M54" s="309" t="str">
        <f t="shared" si="19"/>
        <v>FN30.
350.
13</v>
      </c>
      <c r="N54" s="309" t="str">
        <f t="shared" si="19"/>
        <v>FN30.
350.
12</v>
      </c>
      <c r="O54" s="308" t="str">
        <f t="shared" si="19"/>
        <v>FN30.
350.
10</v>
      </c>
      <c r="P54" s="309" t="str">
        <f t="shared" si="19"/>
        <v>FN30.
400.
14</v>
      </c>
      <c r="Q54" s="309" t="str">
        <f t="shared" si="19"/>
        <v>FN30.
400.
13</v>
      </c>
      <c r="R54" s="309" t="str">
        <f t="shared" si="19"/>
        <v>FN30.
400.
11</v>
      </c>
      <c r="S54" s="309" t="str">
        <f t="shared" si="19"/>
        <v>FN30.
400.
10</v>
      </c>
      <c r="T54" s="309" t="str">
        <f t="shared" si="19"/>
        <v>FN30.
400.
09</v>
      </c>
      <c r="U54" s="307" t="str">
        <f t="shared" si="19"/>
        <v>FN30.
450.
11</v>
      </c>
      <c r="V54" s="309" t="str">
        <f t="shared" si="19"/>
        <v>FN30.
450.
10</v>
      </c>
      <c r="W54" s="308" t="str">
        <f t="shared" si="19"/>
        <v>FN30.
450.
09</v>
      </c>
      <c r="X54" s="309" t="str">
        <f t="shared" si="19"/>
        <v>FN30.
500.
10</v>
      </c>
      <c r="Y54" s="309" t="str">
        <f t="shared" si="19"/>
        <v>FN30.
500.
09</v>
      </c>
      <c r="Z54" s="73" t="str">
        <f t="shared" si="19"/>
        <v>FN30.
550.
08</v>
      </c>
      <c r="AA54" s="73" t="str">
        <f t="shared" si="19"/>
        <v>FN30.
600.
08</v>
      </c>
      <c r="AB54" s="309" t="str">
        <f t="shared" si="19"/>
        <v>FN30.
650.
67</v>
      </c>
      <c r="AC54" s="307" t="str">
        <f t="shared" si="19"/>
        <v>GII30.
400.
10</v>
      </c>
      <c r="AD54" s="309" t="str">
        <f t="shared" si="19"/>
        <v>GII30.
450.
10</v>
      </c>
      <c r="AE54" s="308" t="str">
        <f t="shared" si="19"/>
        <v>GII30.
500.
10</v>
      </c>
    </row>
    <row r="55" spans="7:77" ht="15">
      <c r="I55" s="238" t="s">
        <v>170</v>
      </c>
      <c r="J55" s="217"/>
      <c r="K55" s="213"/>
      <c r="L55" s="217"/>
      <c r="M55" s="213"/>
      <c r="N55" s="213"/>
      <c r="O55" s="214"/>
      <c r="P55" s="161"/>
      <c r="Q55" s="213"/>
      <c r="R55" s="213"/>
      <c r="S55" s="213"/>
      <c r="T55" s="214"/>
      <c r="U55" s="161"/>
      <c r="V55" s="213"/>
      <c r="W55" s="214"/>
      <c r="X55" s="161"/>
      <c r="Y55" s="214"/>
      <c r="Z55" s="297"/>
      <c r="AA55" s="294"/>
      <c r="AB55" s="294"/>
      <c r="AC55" s="161"/>
      <c r="AD55" s="213"/>
      <c r="AE55" s="215"/>
    </row>
    <row r="56" spans="7:77" ht="15.75" thickBot="1">
      <c r="I56" s="212" t="s">
        <v>184</v>
      </c>
      <c r="J56" s="224" t="e">
        <f t="shared" ref="J56:K56" si="20">J48+J40</f>
        <v>#VALUE!</v>
      </c>
      <c r="K56" s="213" t="e">
        <f t="shared" si="20"/>
        <v>#VALUE!</v>
      </c>
      <c r="L56" s="224" t="e">
        <f t="shared" ref="L56:AE56" si="21">L48+L40</f>
        <v>#VALUE!</v>
      </c>
      <c r="M56" s="213" t="e">
        <f t="shared" si="21"/>
        <v>#VALUE!</v>
      </c>
      <c r="N56" s="213" t="e">
        <f t="shared" si="21"/>
        <v>#VALUE!</v>
      </c>
      <c r="O56" s="214" t="e">
        <f t="shared" si="21"/>
        <v>#VALUE!</v>
      </c>
      <c r="P56" s="161" t="e">
        <f t="shared" si="21"/>
        <v>#VALUE!</v>
      </c>
      <c r="Q56" s="213" t="e">
        <f t="shared" si="21"/>
        <v>#VALUE!</v>
      </c>
      <c r="R56" s="213" t="e">
        <f t="shared" si="21"/>
        <v>#VALUE!</v>
      </c>
      <c r="S56" s="213" t="e">
        <f t="shared" si="21"/>
        <v>#VALUE!</v>
      </c>
      <c r="T56" s="214" t="e">
        <f t="shared" si="21"/>
        <v>#VALUE!</v>
      </c>
      <c r="U56" s="161" t="e">
        <f t="shared" si="21"/>
        <v>#VALUE!</v>
      </c>
      <c r="V56" s="213" t="e">
        <f t="shared" si="21"/>
        <v>#VALUE!</v>
      </c>
      <c r="W56" s="214" t="e">
        <f t="shared" si="21"/>
        <v>#VALUE!</v>
      </c>
      <c r="X56" s="161" t="e">
        <f t="shared" si="21"/>
        <v>#VALUE!</v>
      </c>
      <c r="Y56" s="214" t="e">
        <f t="shared" si="21"/>
        <v>#VALUE!</v>
      </c>
      <c r="Z56" s="297" t="e">
        <f t="shared" si="21"/>
        <v>#VALUE!</v>
      </c>
      <c r="AA56" s="294" t="e">
        <f t="shared" si="21"/>
        <v>#VALUE!</v>
      </c>
      <c r="AB56" s="294" t="e">
        <f t="shared" si="21"/>
        <v>#VALUE!</v>
      </c>
      <c r="AC56" s="161" t="e">
        <f t="shared" si="21"/>
        <v>#VALUE!</v>
      </c>
      <c r="AD56" s="213" t="e">
        <f t="shared" si="21"/>
        <v>#VALUE!</v>
      </c>
      <c r="AE56" s="215" t="e">
        <f t="shared" si="21"/>
        <v>#VALUE!</v>
      </c>
      <c r="BU56" s="372" t="s">
        <v>102</v>
      </c>
      <c r="BV56" s="372"/>
      <c r="BW56" s="372"/>
      <c r="BX56" s="372"/>
      <c r="BY56" s="372"/>
    </row>
    <row r="57" spans="7:77" ht="15.75" thickTop="1">
      <c r="I57" s="216" t="s">
        <v>169</v>
      </c>
      <c r="J57" s="109" t="e">
        <f t="shared" ref="J57:K57" si="22">J49+J40</f>
        <v>#VALUE!</v>
      </c>
      <c r="K57" s="40" t="e">
        <f t="shared" si="22"/>
        <v>#VALUE!</v>
      </c>
      <c r="L57" s="109" t="e">
        <f t="shared" ref="L57:AE57" si="23">L49+L40</f>
        <v>#VALUE!</v>
      </c>
      <c r="M57" s="40" t="e">
        <f t="shared" si="23"/>
        <v>#VALUE!</v>
      </c>
      <c r="N57" s="40" t="e">
        <f t="shared" si="23"/>
        <v>#VALUE!</v>
      </c>
      <c r="O57" s="41" t="e">
        <f t="shared" si="23"/>
        <v>#VALUE!</v>
      </c>
      <c r="P57" s="39" t="e">
        <f t="shared" si="23"/>
        <v>#VALUE!</v>
      </c>
      <c r="Q57" s="40" t="e">
        <f t="shared" si="23"/>
        <v>#VALUE!</v>
      </c>
      <c r="R57" s="40" t="e">
        <f t="shared" si="23"/>
        <v>#VALUE!</v>
      </c>
      <c r="S57" s="40" t="e">
        <f t="shared" si="23"/>
        <v>#VALUE!</v>
      </c>
      <c r="T57" s="41" t="e">
        <f t="shared" si="23"/>
        <v>#VALUE!</v>
      </c>
      <c r="U57" s="39" t="e">
        <f t="shared" si="23"/>
        <v>#VALUE!</v>
      </c>
      <c r="V57" s="40" t="e">
        <f t="shared" si="23"/>
        <v>#VALUE!</v>
      </c>
      <c r="W57" s="41" t="e">
        <f t="shared" si="23"/>
        <v>#VALUE!</v>
      </c>
      <c r="X57" s="39" t="e">
        <f t="shared" si="23"/>
        <v>#VALUE!</v>
      </c>
      <c r="Y57" s="41" t="e">
        <f t="shared" si="23"/>
        <v>#VALUE!</v>
      </c>
      <c r="Z57" s="259" t="e">
        <f t="shared" si="23"/>
        <v>#VALUE!</v>
      </c>
      <c r="AA57" s="269" t="e">
        <f t="shared" si="23"/>
        <v>#VALUE!</v>
      </c>
      <c r="AB57" s="269" t="e">
        <f t="shared" si="23"/>
        <v>#VALUE!</v>
      </c>
      <c r="AC57" s="39" t="e">
        <f t="shared" si="23"/>
        <v>#VALUE!</v>
      </c>
      <c r="AD57" s="40" t="e">
        <f t="shared" si="23"/>
        <v>#VALUE!</v>
      </c>
      <c r="AE57" s="42" t="e">
        <f t="shared" si="23"/>
        <v>#VALUE!</v>
      </c>
    </row>
    <row r="58" spans="7:77">
      <c r="BV58" s="137" t="s">
        <v>42</v>
      </c>
      <c r="BW58" s="138" t="s">
        <v>86</v>
      </c>
      <c r="BY58" s="155" t="s">
        <v>101</v>
      </c>
    </row>
    <row r="59" spans="7:77">
      <c r="BU59" s="175" t="s">
        <v>100</v>
      </c>
      <c r="BV59" s="171">
        <v>23.493055559999998</v>
      </c>
      <c r="BW59" s="167">
        <v>102.33350644000001</v>
      </c>
      <c r="BY59" s="170">
        <v>-0.96381674601400957</v>
      </c>
    </row>
    <row r="60" spans="7:77">
      <c r="H60" s="133" t="s">
        <v>89</v>
      </c>
      <c r="BU60" s="176" t="s">
        <v>93</v>
      </c>
      <c r="BV60" s="172">
        <v>-10.243</v>
      </c>
      <c r="BW60" s="168">
        <v>3.3370000000000002</v>
      </c>
    </row>
    <row r="61" spans="7:77">
      <c r="BU61" s="177"/>
      <c r="BV61" s="173"/>
      <c r="BW61" s="168"/>
      <c r="BX61" s="137" t="s">
        <v>99</v>
      </c>
      <c r="BY61" s="138" t="s">
        <v>93</v>
      </c>
    </row>
    <row r="62" spans="7:77">
      <c r="H62" s="211" t="s">
        <v>163</v>
      </c>
      <c r="BU62" s="178" t="s">
        <v>96</v>
      </c>
      <c r="BV62" s="174">
        <f>BV59*BV60/100</f>
        <v>-2.4063936810107998</v>
      </c>
      <c r="BW62" s="169">
        <f>BW59*BW60/100*BY59*-1</f>
        <v>3.291308033570274</v>
      </c>
      <c r="BX62" s="179">
        <f>BW62+BV62</f>
        <v>0.88491435255947426</v>
      </c>
      <c r="BY62" s="180">
        <f>BX62/BV59</f>
        <v>3.7667060817161507E-2</v>
      </c>
    </row>
    <row r="64" spans="7:77">
      <c r="H64" s="53" t="s">
        <v>181</v>
      </c>
    </row>
    <row r="66" spans="8:70">
      <c r="H66" s="211" t="s">
        <v>185</v>
      </c>
      <c r="M66" s="13"/>
    </row>
    <row r="67" spans="8:70" ht="15" customHeight="1">
      <c r="H67" s="211" t="s">
        <v>186</v>
      </c>
      <c r="M67" s="13"/>
      <c r="BK67" s="335" t="s">
        <v>37</v>
      </c>
      <c r="BL67" s="336"/>
      <c r="BM67" s="335" t="s">
        <v>38</v>
      </c>
      <c r="BN67" s="369"/>
      <c r="BO67" s="369"/>
      <c r="BP67" s="369"/>
      <c r="BQ67" s="369"/>
      <c r="BR67" s="336"/>
    </row>
    <row r="68" spans="8:70" ht="30">
      <c r="BH68" s="363" t="str">
        <f>Front_TBA</f>
        <v>FNMA3.0-TBA-JUL</v>
      </c>
      <c r="BI68" s="364"/>
      <c r="BJ68" s="136" t="s">
        <v>47</v>
      </c>
      <c r="BK68" s="137" t="s">
        <v>91</v>
      </c>
      <c r="BL68" s="154" t="s">
        <v>96</v>
      </c>
      <c r="BM68" s="140" t="s">
        <v>95</v>
      </c>
      <c r="BN68" s="141" t="s">
        <v>90</v>
      </c>
      <c r="BO68" s="141" t="s">
        <v>94</v>
      </c>
      <c r="BP68" s="141" t="s">
        <v>92</v>
      </c>
      <c r="BQ68" s="146" t="s">
        <v>91</v>
      </c>
      <c r="BR68" s="155" t="s">
        <v>96</v>
      </c>
    </row>
    <row r="69" spans="8:70" hidden="1">
      <c r="BH69" s="147" t="s">
        <v>35</v>
      </c>
      <c r="BI69" s="148">
        <v>100</v>
      </c>
      <c r="BJ69" s="45">
        <v>1</v>
      </c>
      <c r="BK69" s="26" t="str">
        <f>[1]!YBSCEN($BH$68,$AG$19&amp;"d","","AnnualizedReturn","Swap",CurrentCloseDate,"Default","",$BH69,$BI69,$BJ69,,"Gradual","ParShift|N",0,"OAS Change",0,,"EFF",,,,0,,,,"Default",,)</f>
        <v>E</v>
      </c>
      <c r="BL69" s="26" t="e">
        <f>BN69*BK69/100</f>
        <v>#VALUE!</v>
      </c>
      <c r="BM69" s="181" t="e">
        <f>TBA_Roll/100</f>
        <v>#VALUE!</v>
      </c>
      <c r="BN69" s="182" t="e">
        <f>Front_TBA_Price+[1]!YBPRICE(Front_TBA,Front_TBA_Price&amp;"d",,"AccruedInterest","Swap",CurrentCloseDate,"default",,"CPR",20,"")</f>
        <v>#VALUE!</v>
      </c>
      <c r="BO69" s="182" t="e">
        <f>$BM69/($BN69/100)</f>
        <v>#VALUE!</v>
      </c>
      <c r="BP69" s="182" t="e">
        <f>($BO69+1)^6</f>
        <v>#VALUE!</v>
      </c>
      <c r="BQ69" s="30" t="e">
        <f>($BP69-1)*2*100</f>
        <v>#VALUE!</v>
      </c>
      <c r="BR69" s="156" t="e">
        <f>BN69*BQ69/100</f>
        <v>#VALUE!</v>
      </c>
    </row>
    <row r="70" spans="8:70">
      <c r="BH70" s="149" t="s">
        <v>35</v>
      </c>
      <c r="BI70" s="150">
        <v>100</v>
      </c>
      <c r="BJ70" s="151">
        <v>12</v>
      </c>
      <c r="BK70" s="152" t="str">
        <f>[1]!YBSCEN($BH$68,$AG$19&amp;"d","","AnnualizedReturn","Swap",CurrentCloseDate,"Default","",$BH70,$BI70,$BJ70,,"Gradual","ParShift|N",0,"OAS Change",0,,"EFF",,,,0,,,,"Default",,)</f>
        <v>E</v>
      </c>
      <c r="BL70" s="152" t="e">
        <f>BN70*BK70/100</f>
        <v>#VALUE!</v>
      </c>
      <c r="BM70" s="179" t="e">
        <f>TBA_Roll/100</f>
        <v>#VALUE!</v>
      </c>
      <c r="BN70" s="183" t="e">
        <f>Front_TBA_Price+[1]!YBPRICE(Front_TBA,Front_TBA_Price&amp;"d",,"AccruedInterest","Swap",CurrentCloseDate,"default",,"CPR",20,"")</f>
        <v>#VALUE!</v>
      </c>
      <c r="BO70" s="183" t="e">
        <f>$BM70/($BN70/100)</f>
        <v>#VALUE!</v>
      </c>
      <c r="BP70" s="183" t="e">
        <f>($BO70+1)^6</f>
        <v>#VALUE!</v>
      </c>
      <c r="BQ70" s="153" t="e">
        <f>($BP70-1)*2*100</f>
        <v>#VALUE!</v>
      </c>
      <c r="BR70" s="157" t="e">
        <f t="shared" ref="BR70" si="24">BN70*BQ70/100</f>
        <v>#VALUE!</v>
      </c>
    </row>
    <row r="71" spans="8:70" ht="15">
      <c r="H71" s="3" t="s">
        <v>194</v>
      </c>
    </row>
    <row r="72" spans="8:70" ht="15" hidden="1">
      <c r="H72" s="277"/>
      <c r="I72" s="277"/>
      <c r="J72" s="333" t="s">
        <v>177</v>
      </c>
      <c r="K72" s="333"/>
      <c r="L72" s="333"/>
      <c r="M72" s="333"/>
      <c r="N72" s="333"/>
      <c r="O72" s="333"/>
      <c r="P72" s="333"/>
      <c r="Q72" s="333"/>
      <c r="R72" s="333"/>
      <c r="S72" s="333"/>
      <c r="T72" s="333"/>
      <c r="U72" s="333"/>
      <c r="V72" s="333"/>
      <c r="W72" s="333"/>
      <c r="X72" s="333"/>
      <c r="Y72" s="333"/>
      <c r="Z72" s="333"/>
      <c r="AA72" s="333"/>
      <c r="AB72" s="333"/>
      <c r="AC72" s="334"/>
    </row>
    <row r="73" spans="8:70" ht="45">
      <c r="H73" s="300" t="s">
        <v>47</v>
      </c>
      <c r="I73" s="300" t="s">
        <v>0</v>
      </c>
      <c r="J73" s="278" t="str">
        <f>'Projected Carry'!J154</f>
        <v>FN30.
300.
13</v>
      </c>
      <c r="K73" s="9" t="str">
        <f>'Projected Carry'!K154</f>
        <v>FN30.
300.
12</v>
      </c>
      <c r="L73" s="10" t="str">
        <f>'Projected Carry'!L154</f>
        <v>FN30.
350.
14</v>
      </c>
      <c r="M73" s="9" t="str">
        <f>'Projected Carry'!M154</f>
        <v>FN30.
350.
13</v>
      </c>
      <c r="N73" s="9" t="str">
        <f>'Projected Carry'!N154</f>
        <v>FN30.
350.
12</v>
      </c>
      <c r="O73" s="11" t="str">
        <f>'Projected Carry'!O154</f>
        <v>FN30.
350.
10</v>
      </c>
      <c r="P73" s="9" t="str">
        <f>'Projected Carry'!P154</f>
        <v>FN30.
400.
14</v>
      </c>
      <c r="Q73" s="9" t="str">
        <f>'Projected Carry'!Q154</f>
        <v>FN30.
400.
13</v>
      </c>
      <c r="R73" s="9" t="str">
        <f>'Projected Carry'!R154</f>
        <v>FN30.
400.
11</v>
      </c>
      <c r="S73" s="9" t="str">
        <f>'Projected Carry'!S154</f>
        <v>FN30.
400.
10</v>
      </c>
      <c r="T73" s="9" t="str">
        <f>'Projected Carry'!T154</f>
        <v>FN30.
400.
09</v>
      </c>
      <c r="U73" s="10" t="str">
        <f>'Projected Carry'!U154</f>
        <v>FN30.
450.
11</v>
      </c>
      <c r="V73" s="9" t="str">
        <f>'Projected Carry'!V154</f>
        <v>FN30.
450.
10</v>
      </c>
      <c r="W73" s="11" t="str">
        <f>'Projected Carry'!W154</f>
        <v>FN30.
450.
09</v>
      </c>
      <c r="X73" s="9" t="str">
        <f>'Projected Carry'!X154</f>
        <v>FN30.
500.
10</v>
      </c>
      <c r="Y73" s="9" t="str">
        <f>'Projected Carry'!Y154</f>
        <v>FN30.
500.
09</v>
      </c>
      <c r="Z73" s="279" t="str">
        <f>'Projected Carry'!Z154</f>
        <v>FN30.
550.
08</v>
      </c>
      <c r="AA73" s="279" t="str">
        <f>'Projected Carry'!AA154</f>
        <v>FN30.
600.
08</v>
      </c>
      <c r="AB73" s="9" t="str">
        <f>'Projected Carry'!AB154</f>
        <v>FN30.
650.
67</v>
      </c>
      <c r="AC73" s="10" t="str">
        <f>'Projected Carry'!AC154</f>
        <v>GII30.
400.
10</v>
      </c>
      <c r="AD73" s="9" t="str">
        <f>'Projected Carry'!AD154</f>
        <v>GII30.
450.
10</v>
      </c>
      <c r="AE73" s="11" t="str">
        <f>'Projected Carry'!AE154</f>
        <v>GII30.
500.
10</v>
      </c>
    </row>
    <row r="74" spans="8:70" ht="15">
      <c r="H74" s="162">
        <f>'Projected Carry'!H155</f>
        <v>1</v>
      </c>
      <c r="I74" s="163">
        <f>'Projected Carry'!I155</f>
        <v>42215</v>
      </c>
      <c r="J74" s="34" t="e">
        <f>'Projected Carry'!J155</f>
        <v>#REF!</v>
      </c>
      <c r="K74" s="165">
        <f>'Projected Carry'!K155</f>
        <v>0</v>
      </c>
      <c r="L74" s="34">
        <f>'Projected Carry'!L155</f>
        <v>0</v>
      </c>
      <c r="M74" s="164">
        <f>'Projected Carry'!M155</f>
        <v>0</v>
      </c>
      <c r="N74" s="164">
        <f>'Projected Carry'!N155</f>
        <v>0</v>
      </c>
      <c r="O74" s="166">
        <f>'Projected Carry'!O155</f>
        <v>0</v>
      </c>
      <c r="P74" s="251">
        <f>'Projected Carry'!P155</f>
        <v>0</v>
      </c>
      <c r="Q74" s="251">
        <f>'Projected Carry'!Q155</f>
        <v>0</v>
      </c>
      <c r="R74" s="164">
        <f>'Projected Carry'!R155</f>
        <v>0</v>
      </c>
      <c r="S74" s="164">
        <f>'Projected Carry'!S155</f>
        <v>-7.9429999999999996</v>
      </c>
      <c r="T74" s="165" t="str">
        <f>'Projected Carry'!T155</f>
        <v>E</v>
      </c>
      <c r="U74" s="34" t="str">
        <f>'Projected Carry'!U155</f>
        <v>E</v>
      </c>
      <c r="V74" s="164" t="str">
        <f>'Projected Carry'!V155</f>
        <v>E</v>
      </c>
      <c r="W74" s="166" t="str">
        <f>'Projected Carry'!W155</f>
        <v>E</v>
      </c>
      <c r="X74" s="251" t="str">
        <f>'Projected Carry'!X155</f>
        <v>E</v>
      </c>
      <c r="Y74" s="165" t="str">
        <f>'Projected Carry'!Y155</f>
        <v>E</v>
      </c>
      <c r="Z74" s="257" t="str">
        <f>'Projected Carry'!Z155</f>
        <v>E</v>
      </c>
      <c r="AA74" s="257" t="str">
        <f>'Projected Carry'!AA155</f>
        <v>E</v>
      </c>
      <c r="AB74" s="254" t="str">
        <f>'Projected Carry'!AB155</f>
        <v>E</v>
      </c>
      <c r="AC74" s="34" t="str">
        <f>'Projected Carry'!AC155</f>
        <v>E</v>
      </c>
      <c r="AD74" s="164" t="str">
        <f>'Projected Carry'!AD155</f>
        <v>E</v>
      </c>
      <c r="AE74" s="166" t="str">
        <f>'Projected Carry'!AE155</f>
        <v>E</v>
      </c>
    </row>
    <row r="75" spans="8:70" ht="15">
      <c r="H75" s="58">
        <f>'Projected Carry'!H156</f>
        <v>2</v>
      </c>
      <c r="I75" s="32">
        <f>'Projected Carry'!I156</f>
        <v>42246</v>
      </c>
      <c r="J75" s="37" t="e">
        <f>'Projected Carry'!J156</f>
        <v>#REF!</v>
      </c>
      <c r="K75" s="36">
        <f>'Projected Carry'!K156</f>
        <v>0</v>
      </c>
      <c r="L75" s="37">
        <f>'Projected Carry'!L156</f>
        <v>0</v>
      </c>
      <c r="M75" s="35">
        <f>'Projected Carry'!M156</f>
        <v>0</v>
      </c>
      <c r="N75" s="35">
        <f>'Projected Carry'!N156</f>
        <v>0</v>
      </c>
      <c r="O75" s="38">
        <f>'Projected Carry'!O156</f>
        <v>0</v>
      </c>
      <c r="P75" s="252">
        <f>'Projected Carry'!P156</f>
        <v>0</v>
      </c>
      <c r="Q75" s="252">
        <f>'Projected Carry'!Q156</f>
        <v>0</v>
      </c>
      <c r="R75" s="35">
        <f>'Projected Carry'!R156</f>
        <v>0</v>
      </c>
      <c r="S75" s="35">
        <f>'Projected Carry'!S156</f>
        <v>-6.2460000000000004</v>
      </c>
      <c r="T75" s="36" t="str">
        <f>'Projected Carry'!T156</f>
        <v>E</v>
      </c>
      <c r="U75" s="37" t="str">
        <f>'Projected Carry'!U156</f>
        <v>E</v>
      </c>
      <c r="V75" s="35" t="str">
        <f>'Projected Carry'!V156</f>
        <v>E</v>
      </c>
      <c r="W75" s="38" t="str">
        <f>'Projected Carry'!W156</f>
        <v>E</v>
      </c>
      <c r="X75" s="252" t="str">
        <f>'Projected Carry'!X156</f>
        <v>E</v>
      </c>
      <c r="Y75" s="36" t="str">
        <f>'Projected Carry'!Y156</f>
        <v>E</v>
      </c>
      <c r="Z75" s="258" t="str">
        <f>'Projected Carry'!Z156</f>
        <v>E</v>
      </c>
      <c r="AA75" s="258" t="str">
        <f>'Projected Carry'!AA156</f>
        <v>E</v>
      </c>
      <c r="AB75" s="255" t="str">
        <f>'Projected Carry'!AB156</f>
        <v>E</v>
      </c>
      <c r="AC75" s="37" t="str">
        <f>'Projected Carry'!AC156</f>
        <v>E</v>
      </c>
      <c r="AD75" s="35" t="str">
        <f>'Projected Carry'!AD156</f>
        <v>E</v>
      </c>
      <c r="AE75" s="38" t="str">
        <f>'Projected Carry'!AE156</f>
        <v>E</v>
      </c>
    </row>
    <row r="76" spans="8:70" ht="15">
      <c r="H76" s="59">
        <f>'Projected Carry'!H157</f>
        <v>3</v>
      </c>
      <c r="I76" s="33">
        <f>'Projected Carry'!I157</f>
        <v>42277</v>
      </c>
      <c r="J76" s="39" t="e">
        <f>'Projected Carry'!J157</f>
        <v>#REF!</v>
      </c>
      <c r="K76" s="41">
        <f>'Projected Carry'!K157</f>
        <v>0</v>
      </c>
      <c r="L76" s="39">
        <f>'Projected Carry'!L157</f>
        <v>0</v>
      </c>
      <c r="M76" s="40">
        <f>'Projected Carry'!M157</f>
        <v>0</v>
      </c>
      <c r="N76" s="40">
        <f>'Projected Carry'!N157</f>
        <v>0</v>
      </c>
      <c r="O76" s="42">
        <f>'Projected Carry'!O157</f>
        <v>0</v>
      </c>
      <c r="P76" s="253">
        <f>'Projected Carry'!P157</f>
        <v>0</v>
      </c>
      <c r="Q76" s="253">
        <f>'Projected Carry'!Q157</f>
        <v>0</v>
      </c>
      <c r="R76" s="40">
        <f>'Projected Carry'!R157</f>
        <v>0</v>
      </c>
      <c r="S76" s="40">
        <f>'Projected Carry'!S157</f>
        <v>-4.6210000000000004</v>
      </c>
      <c r="T76" s="41" t="str">
        <f>'Projected Carry'!T157</f>
        <v>E</v>
      </c>
      <c r="U76" s="39" t="str">
        <f>'Projected Carry'!U157</f>
        <v>E</v>
      </c>
      <c r="V76" s="40" t="str">
        <f>'Projected Carry'!V157</f>
        <v>E</v>
      </c>
      <c r="W76" s="42" t="str">
        <f>'Projected Carry'!W157</f>
        <v>E</v>
      </c>
      <c r="X76" s="253" t="str">
        <f>'Projected Carry'!X157</f>
        <v>E</v>
      </c>
      <c r="Y76" s="41" t="str">
        <f>'Projected Carry'!Y157</f>
        <v>E</v>
      </c>
      <c r="Z76" s="259" t="str">
        <f>'Projected Carry'!Z157</f>
        <v>E</v>
      </c>
      <c r="AA76" s="259" t="str">
        <f>'Projected Carry'!AA157</f>
        <v>E</v>
      </c>
      <c r="AB76" s="256" t="str">
        <f>'Projected Carry'!AB157</f>
        <v>E</v>
      </c>
      <c r="AC76" s="39" t="str">
        <f>'Projected Carry'!AC157</f>
        <v>E</v>
      </c>
      <c r="AD76" s="40" t="str">
        <f>'Projected Carry'!AD157</f>
        <v>E</v>
      </c>
      <c r="AE76" s="42" t="str">
        <f>'Projected Carry'!AE157</f>
        <v>E</v>
      </c>
    </row>
    <row r="79" spans="8:70" ht="15">
      <c r="H79" s="3" t="s">
        <v>195</v>
      </c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</row>
    <row r="80" spans="8:70" ht="15" hidden="1">
      <c r="H80" s="277"/>
      <c r="I80" s="277"/>
      <c r="J80" s="332" t="s">
        <v>178</v>
      </c>
      <c r="K80" s="333"/>
      <c r="L80" s="333"/>
      <c r="M80" s="333"/>
      <c r="N80" s="333"/>
      <c r="O80" s="333"/>
      <c r="P80" s="333"/>
      <c r="Q80" s="333"/>
      <c r="R80" s="333"/>
      <c r="S80" s="333"/>
      <c r="T80" s="333"/>
      <c r="U80" s="333"/>
      <c r="V80" s="333"/>
      <c r="W80" s="333"/>
      <c r="X80" s="333"/>
      <c r="Y80" s="333"/>
      <c r="Z80" s="333"/>
      <c r="AA80" s="333"/>
      <c r="AB80" s="333"/>
      <c r="AC80" s="334"/>
    </row>
    <row r="81" spans="8:31" ht="45">
      <c r="H81" s="300" t="s">
        <v>47</v>
      </c>
      <c r="I81" s="300" t="s">
        <v>0</v>
      </c>
      <c r="J81" s="278" t="str">
        <f>'Projected Carry'!J185</f>
        <v>FN30.
300.
13</v>
      </c>
      <c r="K81" s="9" t="str">
        <f>'Projected Carry'!K185</f>
        <v>FN30.
300.
12</v>
      </c>
      <c r="L81" s="10" t="str">
        <f>'Projected Carry'!L185</f>
        <v>FN30.
350.
14</v>
      </c>
      <c r="M81" s="9" t="str">
        <f>'Projected Carry'!M185</f>
        <v>FN30.
350.
13</v>
      </c>
      <c r="N81" s="9" t="str">
        <f>'Projected Carry'!N185</f>
        <v>FN30.
350.
12</v>
      </c>
      <c r="O81" s="11" t="str">
        <f>'Projected Carry'!O185</f>
        <v>FN30.
350.
10</v>
      </c>
      <c r="P81" s="9" t="str">
        <f>'Projected Carry'!P185</f>
        <v>FN30.
400.
14</v>
      </c>
      <c r="Q81" s="9" t="str">
        <f>'Projected Carry'!Q185</f>
        <v>FN30.
400.
13</v>
      </c>
      <c r="R81" s="9" t="str">
        <f>'Projected Carry'!R185</f>
        <v>FN30.
400.
11</v>
      </c>
      <c r="S81" s="9" t="str">
        <f>'Projected Carry'!S185</f>
        <v>FN30.
400.
10</v>
      </c>
      <c r="T81" s="9" t="str">
        <f>'Projected Carry'!T185</f>
        <v>FN30.
400.
09</v>
      </c>
      <c r="U81" s="10" t="str">
        <f>'Projected Carry'!U185</f>
        <v>FN30.
450.
11</v>
      </c>
      <c r="V81" s="9" t="str">
        <f>'Projected Carry'!V185</f>
        <v>FN30.
450.
10</v>
      </c>
      <c r="W81" s="11" t="str">
        <f>'Projected Carry'!W185</f>
        <v>FN30.
450.
09</v>
      </c>
      <c r="X81" s="9" t="str">
        <f>'Projected Carry'!X185</f>
        <v>FN30.
500.
10</v>
      </c>
      <c r="Y81" s="9" t="str">
        <f>'Projected Carry'!Y185</f>
        <v>FN30.
500.
09</v>
      </c>
      <c r="Z81" s="279" t="str">
        <f>'Projected Carry'!Z185</f>
        <v>FN30.
550.
08</v>
      </c>
      <c r="AA81" s="279" t="str">
        <f>'Projected Carry'!AA185</f>
        <v>FN30.
600.
08</v>
      </c>
      <c r="AB81" s="9" t="str">
        <f>'Projected Carry'!AB185</f>
        <v>FN30.
650.
67</v>
      </c>
      <c r="AC81" s="10" t="str">
        <f>'Projected Carry'!AC185</f>
        <v>GII30.
400.
10</v>
      </c>
      <c r="AD81" s="9" t="str">
        <f>'Projected Carry'!AD185</f>
        <v>GII30.
450.
10</v>
      </c>
      <c r="AE81" s="11" t="str">
        <f>'Projected Carry'!AE185</f>
        <v>GII30.
500.
10</v>
      </c>
    </row>
    <row r="82" spans="8:31" ht="15">
      <c r="H82" s="162">
        <f>'Projected Carry'!H186</f>
        <v>1</v>
      </c>
      <c r="I82" s="163">
        <f>'Projected Carry'!I186</f>
        <v>42215</v>
      </c>
      <c r="J82" s="34" t="str">
        <f>'Projected Carry'!J186</f>
        <v>E</v>
      </c>
      <c r="K82" s="165" t="str">
        <f>'Projected Carry'!K186</f>
        <v>E</v>
      </c>
      <c r="L82" s="34" t="str">
        <f>'Projected Carry'!L186</f>
        <v>E</v>
      </c>
      <c r="M82" s="164" t="str">
        <f>'Projected Carry'!M186</f>
        <v>E</v>
      </c>
      <c r="N82" s="164" t="str">
        <f>'Projected Carry'!N186</f>
        <v>E</v>
      </c>
      <c r="O82" s="166" t="str">
        <f>'Projected Carry'!O186</f>
        <v>E</v>
      </c>
      <c r="P82" s="251" t="str">
        <f>'Projected Carry'!P186</f>
        <v>E</v>
      </c>
      <c r="Q82" s="251" t="str">
        <f>'Projected Carry'!Q186</f>
        <v>E</v>
      </c>
      <c r="R82" s="164" t="str">
        <f>'Projected Carry'!R186</f>
        <v>E</v>
      </c>
      <c r="S82" s="164" t="str">
        <f>'Projected Carry'!S186</f>
        <v>E</v>
      </c>
      <c r="T82" s="165" t="str">
        <f>'Projected Carry'!T186</f>
        <v>E</v>
      </c>
      <c r="U82" s="34" t="str">
        <f>'Projected Carry'!U186</f>
        <v>E</v>
      </c>
      <c r="V82" s="164" t="str">
        <f>'Projected Carry'!V186</f>
        <v>E</v>
      </c>
      <c r="W82" s="166" t="str">
        <f>'Projected Carry'!W186</f>
        <v>E</v>
      </c>
      <c r="X82" s="251" t="str">
        <f>'Projected Carry'!X186</f>
        <v>E</v>
      </c>
      <c r="Y82" s="165" t="str">
        <f>'Projected Carry'!Y186</f>
        <v>E</v>
      </c>
      <c r="Z82" s="257" t="str">
        <f>'Projected Carry'!Z186</f>
        <v>E</v>
      </c>
      <c r="AA82" s="257" t="str">
        <f>'Projected Carry'!AA186</f>
        <v>E</v>
      </c>
      <c r="AB82" s="254" t="str">
        <f>'Projected Carry'!AB186</f>
        <v>E</v>
      </c>
      <c r="AC82" s="34" t="str">
        <f>'Projected Carry'!AC186</f>
        <v>E</v>
      </c>
      <c r="AD82" s="164" t="str">
        <f>'Projected Carry'!AD186</f>
        <v>E</v>
      </c>
      <c r="AE82" s="166" t="str">
        <f>'Projected Carry'!AE186</f>
        <v>E</v>
      </c>
    </row>
    <row r="83" spans="8:31" ht="15">
      <c r="H83" s="58">
        <f>'Projected Carry'!H187</f>
        <v>2</v>
      </c>
      <c r="I83" s="32">
        <f>'Projected Carry'!I187</f>
        <v>42246</v>
      </c>
      <c r="J83" s="37" t="str">
        <f>'Projected Carry'!J187</f>
        <v>E</v>
      </c>
      <c r="K83" s="36" t="str">
        <f>'Projected Carry'!K187</f>
        <v>E</v>
      </c>
      <c r="L83" s="37" t="str">
        <f>'Projected Carry'!L187</f>
        <v>E</v>
      </c>
      <c r="M83" s="35" t="str">
        <f>'Projected Carry'!M187</f>
        <v>E</v>
      </c>
      <c r="N83" s="35" t="str">
        <f>'Projected Carry'!N187</f>
        <v>E</v>
      </c>
      <c r="O83" s="38" t="str">
        <f>'Projected Carry'!O187</f>
        <v>E</v>
      </c>
      <c r="P83" s="252" t="str">
        <f>'Projected Carry'!P187</f>
        <v>E</v>
      </c>
      <c r="Q83" s="252" t="str">
        <f>'Projected Carry'!Q187</f>
        <v>E</v>
      </c>
      <c r="R83" s="35" t="str">
        <f>'Projected Carry'!R187</f>
        <v>E</v>
      </c>
      <c r="S83" s="35" t="str">
        <f>'Projected Carry'!S187</f>
        <v>E</v>
      </c>
      <c r="T83" s="36" t="str">
        <f>'Projected Carry'!T187</f>
        <v>E</v>
      </c>
      <c r="U83" s="37" t="str">
        <f>'Projected Carry'!U187</f>
        <v>E</v>
      </c>
      <c r="V83" s="35" t="str">
        <f>'Projected Carry'!V187</f>
        <v>E</v>
      </c>
      <c r="W83" s="38" t="str">
        <f>'Projected Carry'!W187</f>
        <v>E</v>
      </c>
      <c r="X83" s="252" t="str">
        <f>'Projected Carry'!X187</f>
        <v>E</v>
      </c>
      <c r="Y83" s="36" t="str">
        <f>'Projected Carry'!Y187</f>
        <v>E</v>
      </c>
      <c r="Z83" s="258" t="str">
        <f>'Projected Carry'!Z187</f>
        <v>E</v>
      </c>
      <c r="AA83" s="258" t="str">
        <f>'Projected Carry'!AA187</f>
        <v>E</v>
      </c>
      <c r="AB83" s="255" t="str">
        <f>'Projected Carry'!AB187</f>
        <v>E</v>
      </c>
      <c r="AC83" s="37" t="str">
        <f>'Projected Carry'!AC187</f>
        <v>E</v>
      </c>
      <c r="AD83" s="35" t="str">
        <f>'Projected Carry'!AD187</f>
        <v>E</v>
      </c>
      <c r="AE83" s="38" t="str">
        <f>'Projected Carry'!AE187</f>
        <v>E</v>
      </c>
    </row>
    <row r="84" spans="8:31" ht="15">
      <c r="H84" s="59">
        <f>'Projected Carry'!H188</f>
        <v>3</v>
      </c>
      <c r="I84" s="33">
        <f>'Projected Carry'!I188</f>
        <v>42277</v>
      </c>
      <c r="J84" s="39" t="str">
        <f>'Projected Carry'!J188</f>
        <v>E</v>
      </c>
      <c r="K84" s="41" t="str">
        <f>'Projected Carry'!K188</f>
        <v>E</v>
      </c>
      <c r="L84" s="39" t="str">
        <f>'Projected Carry'!L188</f>
        <v>E</v>
      </c>
      <c r="M84" s="40" t="str">
        <f>'Projected Carry'!M188</f>
        <v>E</v>
      </c>
      <c r="N84" s="40" t="str">
        <f>'Projected Carry'!N188</f>
        <v>E</v>
      </c>
      <c r="O84" s="42" t="str">
        <f>'Projected Carry'!O188</f>
        <v>E</v>
      </c>
      <c r="P84" s="253" t="str">
        <f>'Projected Carry'!P188</f>
        <v>E</v>
      </c>
      <c r="Q84" s="253" t="str">
        <f>'Projected Carry'!Q188</f>
        <v>E</v>
      </c>
      <c r="R84" s="40" t="str">
        <f>'Projected Carry'!R188</f>
        <v>E</v>
      </c>
      <c r="S84" s="40" t="str">
        <f>'Projected Carry'!S188</f>
        <v>E</v>
      </c>
      <c r="T84" s="41" t="str">
        <f>'Projected Carry'!T188</f>
        <v>E</v>
      </c>
      <c r="U84" s="39" t="str">
        <f>'Projected Carry'!U188</f>
        <v>E</v>
      </c>
      <c r="V84" s="40" t="str">
        <f>'Projected Carry'!V188</f>
        <v>E</v>
      </c>
      <c r="W84" s="42" t="str">
        <f>'Projected Carry'!W188</f>
        <v>E</v>
      </c>
      <c r="X84" s="253" t="str">
        <f>'Projected Carry'!X188</f>
        <v>E</v>
      </c>
      <c r="Y84" s="41" t="str">
        <f>'Projected Carry'!Y188</f>
        <v>E</v>
      </c>
      <c r="Z84" s="259" t="str">
        <f>'Projected Carry'!Z188</f>
        <v>E</v>
      </c>
      <c r="AA84" s="259" t="str">
        <f>'Projected Carry'!AA188</f>
        <v>E</v>
      </c>
      <c r="AB84" s="256" t="str">
        <f>'Projected Carry'!AB188</f>
        <v>E</v>
      </c>
      <c r="AC84" s="39" t="str">
        <f>'Projected Carry'!AC188</f>
        <v>E</v>
      </c>
      <c r="AD84" s="40" t="str">
        <f>'Projected Carry'!AD188</f>
        <v>E</v>
      </c>
      <c r="AE84" s="42" t="str">
        <f>'Projected Carry'!AE188</f>
        <v>E</v>
      </c>
    </row>
    <row r="87" spans="8:31" ht="15">
      <c r="H87" s="3" t="s">
        <v>196</v>
      </c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</row>
    <row r="88" spans="8:31" ht="15" hidden="1">
      <c r="H88" s="277"/>
      <c r="I88" s="277"/>
      <c r="J88" s="332" t="s">
        <v>179</v>
      </c>
      <c r="K88" s="333"/>
      <c r="L88" s="333"/>
      <c r="M88" s="333"/>
      <c r="N88" s="333"/>
      <c r="O88" s="333"/>
      <c r="P88" s="333"/>
      <c r="Q88" s="333"/>
      <c r="R88" s="333"/>
      <c r="S88" s="333"/>
      <c r="T88" s="333"/>
      <c r="U88" s="333"/>
      <c r="V88" s="333"/>
      <c r="W88" s="333"/>
      <c r="X88" s="333"/>
      <c r="Y88" s="333"/>
      <c r="Z88" s="333"/>
      <c r="AA88" s="333"/>
      <c r="AB88" s="333"/>
      <c r="AC88" s="334"/>
    </row>
    <row r="89" spans="8:31" ht="45">
      <c r="H89" s="300" t="s">
        <v>47</v>
      </c>
      <c r="I89" s="300" t="s">
        <v>0</v>
      </c>
      <c r="J89" s="278" t="str">
        <f>'Projected Carry'!J216</f>
        <v>FN30.
300.
13</v>
      </c>
      <c r="K89" s="9" t="str">
        <f>'Projected Carry'!K216</f>
        <v>FN30.
300.
12</v>
      </c>
      <c r="L89" s="10" t="str">
        <f>'Projected Carry'!L216</f>
        <v>FN30.
350.
14</v>
      </c>
      <c r="M89" s="9" t="str">
        <f>'Projected Carry'!M216</f>
        <v>FN30.
350.
13</v>
      </c>
      <c r="N89" s="9" t="str">
        <f>'Projected Carry'!N216</f>
        <v>FN30.
350.
12</v>
      </c>
      <c r="O89" s="11" t="str">
        <f>'Projected Carry'!O216</f>
        <v>FN30.
350.
10</v>
      </c>
      <c r="P89" s="9" t="str">
        <f>'Projected Carry'!P216</f>
        <v>FN30.
400.
14</v>
      </c>
      <c r="Q89" s="9" t="str">
        <f>'Projected Carry'!Q216</f>
        <v>FN30.
400.
13</v>
      </c>
      <c r="R89" s="9" t="str">
        <f>'Projected Carry'!R216</f>
        <v>FN30.
400.
11</v>
      </c>
      <c r="S89" s="9" t="str">
        <f>'Projected Carry'!S216</f>
        <v>FN30.
400.
10</v>
      </c>
      <c r="T89" s="9" t="str">
        <f>'Projected Carry'!T216</f>
        <v>FN30.
400.
09</v>
      </c>
      <c r="U89" s="10" t="str">
        <f>'Projected Carry'!U216</f>
        <v>FN30.
450.
11</v>
      </c>
      <c r="V89" s="9" t="str">
        <f>'Projected Carry'!V216</f>
        <v>FN30.
450.
10</v>
      </c>
      <c r="W89" s="11" t="str">
        <f>'Projected Carry'!W216</f>
        <v>FN30.
450.
09</v>
      </c>
      <c r="X89" s="9" t="str">
        <f>'Projected Carry'!X216</f>
        <v>FN30.
500.
10</v>
      </c>
      <c r="Y89" s="9" t="str">
        <f>'Projected Carry'!Y216</f>
        <v>FN30.
500.
09</v>
      </c>
      <c r="Z89" s="279" t="str">
        <f>'Projected Carry'!Z216</f>
        <v>FN30.
550.
08</v>
      </c>
      <c r="AA89" s="279" t="str">
        <f>'Projected Carry'!AA216</f>
        <v>FN30.
600.
08</v>
      </c>
      <c r="AB89" s="9" t="str">
        <f>'Projected Carry'!AB216</f>
        <v>FN30.
650.
67</v>
      </c>
      <c r="AC89" s="10" t="str">
        <f>'Projected Carry'!AC216</f>
        <v>GII30.
400.
10</v>
      </c>
      <c r="AD89" s="9" t="str">
        <f>'Projected Carry'!AD216</f>
        <v>GII30.
450.
10</v>
      </c>
      <c r="AE89" s="11" t="str">
        <f>'Projected Carry'!AE216</f>
        <v>GII30.
500.
10</v>
      </c>
    </row>
    <row r="90" spans="8:31" ht="15">
      <c r="H90" s="162">
        <f>'Projected Carry'!H217</f>
        <v>1</v>
      </c>
      <c r="I90" s="163">
        <f>'Projected Carry'!I217</f>
        <v>42215</v>
      </c>
      <c r="J90" s="34" t="str">
        <f>'Projected Carry'!J217</f>
        <v>E</v>
      </c>
      <c r="K90" s="165" t="str">
        <f>'Projected Carry'!K217</f>
        <v>E</v>
      </c>
      <c r="L90" s="34" t="str">
        <f>'Projected Carry'!L217</f>
        <v>E</v>
      </c>
      <c r="M90" s="164" t="str">
        <f>'Projected Carry'!M217</f>
        <v>E</v>
      </c>
      <c r="N90" s="164" t="str">
        <f>'Projected Carry'!N217</f>
        <v>E</v>
      </c>
      <c r="O90" s="166" t="str">
        <f>'Projected Carry'!O217</f>
        <v>E</v>
      </c>
      <c r="P90" s="251" t="str">
        <f>'Projected Carry'!P217</f>
        <v>E</v>
      </c>
      <c r="Q90" s="251" t="str">
        <f>'Projected Carry'!Q217</f>
        <v>E</v>
      </c>
      <c r="R90" s="164" t="str">
        <f>'Projected Carry'!R217</f>
        <v>E</v>
      </c>
      <c r="S90" s="164" t="str">
        <f>'Projected Carry'!S217</f>
        <v>E</v>
      </c>
      <c r="T90" s="165" t="str">
        <f>'Projected Carry'!T217</f>
        <v>E</v>
      </c>
      <c r="U90" s="34" t="str">
        <f>'Projected Carry'!U217</f>
        <v>E</v>
      </c>
      <c r="V90" s="164" t="str">
        <f>'Projected Carry'!V217</f>
        <v>E</v>
      </c>
      <c r="W90" s="166" t="str">
        <f>'Projected Carry'!W217</f>
        <v>E</v>
      </c>
      <c r="X90" s="251" t="str">
        <f>'Projected Carry'!X217</f>
        <v>E</v>
      </c>
      <c r="Y90" s="165" t="str">
        <f>'Projected Carry'!Y217</f>
        <v>E</v>
      </c>
      <c r="Z90" s="257" t="str">
        <f>'Projected Carry'!Z217</f>
        <v>E</v>
      </c>
      <c r="AA90" s="257" t="str">
        <f>'Projected Carry'!AA217</f>
        <v>E</v>
      </c>
      <c r="AB90" s="254" t="str">
        <f>'Projected Carry'!AB217</f>
        <v>E</v>
      </c>
      <c r="AC90" s="34" t="str">
        <f>'Projected Carry'!AC217</f>
        <v>E</v>
      </c>
      <c r="AD90" s="164" t="str">
        <f>'Projected Carry'!AD217</f>
        <v>E</v>
      </c>
      <c r="AE90" s="166" t="str">
        <f>'Projected Carry'!AE217</f>
        <v>E</v>
      </c>
    </row>
    <row r="91" spans="8:31" ht="15">
      <c r="H91" s="58">
        <f>'Projected Carry'!H218</f>
        <v>2</v>
      </c>
      <c r="I91" s="32">
        <f>'Projected Carry'!I218</f>
        <v>42246</v>
      </c>
      <c r="J91" s="37" t="str">
        <f>'Projected Carry'!J218</f>
        <v>E</v>
      </c>
      <c r="K91" s="36" t="str">
        <f>'Projected Carry'!K218</f>
        <v>E</v>
      </c>
      <c r="L91" s="37" t="str">
        <f>'Projected Carry'!L218</f>
        <v>E</v>
      </c>
      <c r="M91" s="35" t="str">
        <f>'Projected Carry'!M218</f>
        <v>E</v>
      </c>
      <c r="N91" s="35" t="str">
        <f>'Projected Carry'!N218</f>
        <v>E</v>
      </c>
      <c r="O91" s="38" t="str">
        <f>'Projected Carry'!O218</f>
        <v>E</v>
      </c>
      <c r="P91" s="252" t="str">
        <f>'Projected Carry'!P218</f>
        <v>E</v>
      </c>
      <c r="Q91" s="252" t="str">
        <f>'Projected Carry'!Q218</f>
        <v>E</v>
      </c>
      <c r="R91" s="35" t="str">
        <f>'Projected Carry'!R218</f>
        <v>E</v>
      </c>
      <c r="S91" s="35" t="str">
        <f>'Projected Carry'!S218</f>
        <v>E</v>
      </c>
      <c r="T91" s="36" t="str">
        <f>'Projected Carry'!T218</f>
        <v>E</v>
      </c>
      <c r="U91" s="37" t="str">
        <f>'Projected Carry'!U218</f>
        <v>E</v>
      </c>
      <c r="V91" s="35" t="str">
        <f>'Projected Carry'!V218</f>
        <v>E</v>
      </c>
      <c r="W91" s="38" t="str">
        <f>'Projected Carry'!W218</f>
        <v>E</v>
      </c>
      <c r="X91" s="252" t="str">
        <f>'Projected Carry'!X218</f>
        <v>E</v>
      </c>
      <c r="Y91" s="36" t="str">
        <f>'Projected Carry'!Y218</f>
        <v>E</v>
      </c>
      <c r="Z91" s="258" t="str">
        <f>'Projected Carry'!Z218</f>
        <v>E</v>
      </c>
      <c r="AA91" s="258" t="str">
        <f>'Projected Carry'!AA218</f>
        <v>E</v>
      </c>
      <c r="AB91" s="255" t="str">
        <f>'Projected Carry'!AB218</f>
        <v>E</v>
      </c>
      <c r="AC91" s="37" t="str">
        <f>'Projected Carry'!AC218</f>
        <v>E</v>
      </c>
      <c r="AD91" s="35" t="str">
        <f>'Projected Carry'!AD218</f>
        <v>E</v>
      </c>
      <c r="AE91" s="38" t="str">
        <f>'Projected Carry'!AE218</f>
        <v>E</v>
      </c>
    </row>
    <row r="92" spans="8:31" ht="15">
      <c r="H92" s="59">
        <f>'Projected Carry'!H219</f>
        <v>3</v>
      </c>
      <c r="I92" s="33">
        <f>'Projected Carry'!I219</f>
        <v>42277</v>
      </c>
      <c r="J92" s="39" t="str">
        <f>'Projected Carry'!J219</f>
        <v>E</v>
      </c>
      <c r="K92" s="41" t="str">
        <f>'Projected Carry'!K219</f>
        <v>E</v>
      </c>
      <c r="L92" s="39" t="str">
        <f>'Projected Carry'!L219</f>
        <v>E</v>
      </c>
      <c r="M92" s="40" t="str">
        <f>'Projected Carry'!M219</f>
        <v>E</v>
      </c>
      <c r="N92" s="40" t="str">
        <f>'Projected Carry'!N219</f>
        <v>E</v>
      </c>
      <c r="O92" s="42" t="str">
        <f>'Projected Carry'!O219</f>
        <v>E</v>
      </c>
      <c r="P92" s="253" t="str">
        <f>'Projected Carry'!P219</f>
        <v>E</v>
      </c>
      <c r="Q92" s="253" t="str">
        <f>'Projected Carry'!Q219</f>
        <v>E</v>
      </c>
      <c r="R92" s="40" t="str">
        <f>'Projected Carry'!R219</f>
        <v>E</v>
      </c>
      <c r="S92" s="40" t="str">
        <f>'Projected Carry'!S219</f>
        <v>E</v>
      </c>
      <c r="T92" s="41" t="str">
        <f>'Projected Carry'!T219</f>
        <v>E</v>
      </c>
      <c r="U92" s="39" t="str">
        <f>'Projected Carry'!U219</f>
        <v>E</v>
      </c>
      <c r="V92" s="40" t="str">
        <f>'Projected Carry'!V219</f>
        <v>E</v>
      </c>
      <c r="W92" s="42" t="str">
        <f>'Projected Carry'!W219</f>
        <v>E</v>
      </c>
      <c r="X92" s="253" t="str">
        <f>'Projected Carry'!X219</f>
        <v>E</v>
      </c>
      <c r="Y92" s="41" t="str">
        <f>'Projected Carry'!Y219</f>
        <v>E</v>
      </c>
      <c r="Z92" s="259" t="str">
        <f>'Projected Carry'!Z219</f>
        <v>E</v>
      </c>
      <c r="AA92" s="259" t="str">
        <f>'Projected Carry'!AA219</f>
        <v>E</v>
      </c>
      <c r="AB92" s="256" t="str">
        <f>'Projected Carry'!AB219</f>
        <v>E</v>
      </c>
      <c r="AC92" s="39" t="str">
        <f>'Projected Carry'!AC219</f>
        <v>E</v>
      </c>
      <c r="AD92" s="40" t="str">
        <f>'Projected Carry'!AD219</f>
        <v>E</v>
      </c>
      <c r="AE92" s="42" t="str">
        <f>'Projected Carry'!AE219</f>
        <v>E</v>
      </c>
    </row>
    <row r="95" spans="8:31">
      <c r="H95" s="133" t="s">
        <v>89</v>
      </c>
    </row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4" spans="8:29" ht="15">
      <c r="H114" s="3" t="s">
        <v>198</v>
      </c>
    </row>
    <row r="115" spans="8:29" hidden="1"/>
    <row r="116" spans="8:29" ht="15" hidden="1">
      <c r="H116" s="277"/>
      <c r="I116" s="277"/>
      <c r="J116" s="332"/>
      <c r="K116" s="333"/>
      <c r="L116" s="333"/>
      <c r="M116" s="333"/>
      <c r="N116" s="333"/>
      <c r="O116" s="333"/>
      <c r="P116" s="333"/>
      <c r="Q116" s="333"/>
      <c r="R116" s="333"/>
      <c r="S116" s="333"/>
      <c r="T116" s="333"/>
      <c r="U116" s="333"/>
      <c r="V116" s="333"/>
      <c r="W116" s="333"/>
      <c r="X116" s="333"/>
      <c r="Y116" s="333"/>
      <c r="Z116" s="333"/>
      <c r="AA116" s="333"/>
      <c r="AB116" s="333"/>
      <c r="AC116" s="334"/>
    </row>
    <row r="117" spans="8:29" ht="45">
      <c r="H117" s="73" t="s">
        <v>47</v>
      </c>
      <c r="I117" s="241" t="s">
        <v>0</v>
      </c>
      <c r="J117" s="298" t="str">
        <f t="shared" ref="J117:K117" si="25">J25</f>
        <v>FN30.
300.
13</v>
      </c>
      <c r="K117" s="299" t="str">
        <f t="shared" si="25"/>
        <v>FN30.
300.
12</v>
      </c>
      <c r="L117" s="298" t="str">
        <f>M25</f>
        <v>FN30.
350.
13</v>
      </c>
      <c r="M117" s="9" t="str">
        <f>N25</f>
        <v>FN30.
350.
12</v>
      </c>
      <c r="N117" s="11" t="str">
        <f>O25</f>
        <v>FN30.
350.
10</v>
      </c>
      <c r="O117" s="9" t="str">
        <f t="shared" ref="O117:AC117" si="26">Q25</f>
        <v>FN30.
400.
13</v>
      </c>
      <c r="P117" s="9" t="str">
        <f t="shared" si="26"/>
        <v>FN30.
400.
11</v>
      </c>
      <c r="Q117" s="9" t="str">
        <f t="shared" si="26"/>
        <v>FN30.
400.
10</v>
      </c>
      <c r="R117" s="9" t="str">
        <f t="shared" si="26"/>
        <v>FN30.
400.
09</v>
      </c>
      <c r="S117" s="10" t="str">
        <f t="shared" si="26"/>
        <v>FN30.
450.
11</v>
      </c>
      <c r="T117" s="9" t="str">
        <f t="shared" si="26"/>
        <v>FN30.
450.
10</v>
      </c>
      <c r="U117" s="11" t="str">
        <f t="shared" si="26"/>
        <v>FN30.
450.
09</v>
      </c>
      <c r="V117" s="9" t="str">
        <f t="shared" si="26"/>
        <v>FN30.
500.
10</v>
      </c>
      <c r="W117" s="9" t="str">
        <f t="shared" si="26"/>
        <v>FN30.
500.
09</v>
      </c>
      <c r="X117" s="279" t="str">
        <f t="shared" si="26"/>
        <v>FN30.
550.
08</v>
      </c>
      <c r="Y117" s="279" t="str">
        <f t="shared" si="26"/>
        <v>FN30.
600.
08</v>
      </c>
      <c r="Z117" s="9" t="str">
        <f t="shared" si="26"/>
        <v>FN30.
650.
67</v>
      </c>
      <c r="AA117" s="10" t="str">
        <f t="shared" si="26"/>
        <v>GII30.
400.
10</v>
      </c>
      <c r="AB117" s="9" t="str">
        <f t="shared" si="26"/>
        <v>GII30.
450.
10</v>
      </c>
      <c r="AC117" s="11" t="str">
        <f t="shared" si="26"/>
        <v>GII30.
500.
10</v>
      </c>
    </row>
    <row r="118" spans="8:29" ht="15" hidden="1">
      <c r="H118" s="58">
        <f>H35</f>
        <v>1</v>
      </c>
      <c r="I118" s="32">
        <f>I35</f>
        <v>42215</v>
      </c>
      <c r="J118" s="161" t="e">
        <f>'Projected Carry'!J155</f>
        <v>#REF!</v>
      </c>
      <c r="K118" s="143">
        <f>'Projected Carry'!K155</f>
        <v>0</v>
      </c>
      <c r="L118" s="161">
        <f>'Projected Carry'!M155</f>
        <v>0</v>
      </c>
      <c r="M118" s="143">
        <f>'Projected Carry'!N155</f>
        <v>0</v>
      </c>
      <c r="N118" s="144">
        <f>'Projected Carry'!O155</f>
        <v>0</v>
      </c>
      <c r="O118" s="161">
        <f>'Projected Carry'!Q155</f>
        <v>0</v>
      </c>
      <c r="P118" s="143">
        <f>'Projected Carry'!R155</f>
        <v>0</v>
      </c>
      <c r="Q118" s="143">
        <f>'Projected Carry'!S155</f>
        <v>-7.9429999999999996</v>
      </c>
      <c r="R118" s="144" t="str">
        <f>'Projected Carry'!T155</f>
        <v>E</v>
      </c>
      <c r="S118" s="161" t="str">
        <f>'Projected Carry'!U155</f>
        <v>E</v>
      </c>
      <c r="T118" s="143" t="str">
        <f>'Projected Carry'!V155</f>
        <v>E</v>
      </c>
      <c r="U118" s="144" t="str">
        <f>'Projected Carry'!W155</f>
        <v>E</v>
      </c>
      <c r="V118" s="161" t="str">
        <f>'Projected Carry'!X155</f>
        <v>E</v>
      </c>
      <c r="W118" s="144" t="str">
        <f>'Projected Carry'!Y155</f>
        <v>E</v>
      </c>
      <c r="X118" s="322" t="str">
        <f>'Projected Carry'!Z155</f>
        <v>E</v>
      </c>
      <c r="Y118" s="294" t="str">
        <f>'Projected Carry'!AA155</f>
        <v>E</v>
      </c>
      <c r="Z118" s="297" t="str">
        <f>'Projected Carry'!AB155</f>
        <v>E</v>
      </c>
      <c r="AA118" s="142" t="str">
        <f>'Projected Carry'!AC155</f>
        <v>E</v>
      </c>
      <c r="AB118" s="143" t="str">
        <f>'Projected Carry'!AD155</f>
        <v>E</v>
      </c>
      <c r="AC118" s="145" t="str">
        <f>'Projected Carry'!AE155</f>
        <v>E</v>
      </c>
    </row>
    <row r="119" spans="8:29" ht="15" hidden="1">
      <c r="H119" s="162">
        <f>H36</f>
        <v>12</v>
      </c>
      <c r="I119" s="163">
        <f>I36</f>
        <v>42551</v>
      </c>
      <c r="J119" s="34" t="e">
        <f>'Projected Carry'!J156</f>
        <v>#REF!</v>
      </c>
      <c r="K119" s="164">
        <f>'Projected Carry'!K156</f>
        <v>0</v>
      </c>
      <c r="L119" s="34">
        <f>'Projected Carry'!M156</f>
        <v>0</v>
      </c>
      <c r="M119" s="164">
        <f>'Projected Carry'!N156</f>
        <v>0</v>
      </c>
      <c r="N119" s="165">
        <f>'Projected Carry'!O156</f>
        <v>0</v>
      </c>
      <c r="O119" s="34">
        <f>'Projected Carry'!Q156</f>
        <v>0</v>
      </c>
      <c r="P119" s="164">
        <f>'Projected Carry'!R156</f>
        <v>0</v>
      </c>
      <c r="Q119" s="164">
        <f>'Projected Carry'!S156</f>
        <v>-6.2460000000000004</v>
      </c>
      <c r="R119" s="165" t="str">
        <f>'Projected Carry'!T156</f>
        <v>E</v>
      </c>
      <c r="S119" s="34" t="str">
        <f>'Projected Carry'!U156</f>
        <v>E</v>
      </c>
      <c r="T119" s="164" t="str">
        <f>'Projected Carry'!V156</f>
        <v>E</v>
      </c>
      <c r="U119" s="165" t="str">
        <f>'Projected Carry'!W156</f>
        <v>E</v>
      </c>
      <c r="V119" s="34" t="str">
        <f>'Projected Carry'!X156</f>
        <v>E</v>
      </c>
      <c r="W119" s="165" t="str">
        <f>'Projected Carry'!Y156</f>
        <v>E</v>
      </c>
      <c r="X119" s="257" t="str">
        <f>'Projected Carry'!Z156</f>
        <v>E</v>
      </c>
      <c r="Y119" s="295" t="str">
        <f>'Projected Carry'!AA156</f>
        <v>E</v>
      </c>
      <c r="Z119" s="257" t="str">
        <f>'Projected Carry'!AB156</f>
        <v>E</v>
      </c>
      <c r="AA119" s="34" t="str">
        <f>'Projected Carry'!AC156</f>
        <v>E</v>
      </c>
      <c r="AB119" s="164" t="str">
        <f>'Projected Carry'!AD156</f>
        <v>E</v>
      </c>
      <c r="AC119" s="166" t="str">
        <f>'Projected Carry'!AE156</f>
        <v>E</v>
      </c>
    </row>
    <row r="120" spans="8:29" ht="15" hidden="1">
      <c r="H120" s="58"/>
      <c r="I120" s="32"/>
      <c r="J120" s="37" t="e">
        <f t="shared" ref="J120:K120" si="27">J$20*J$119/100</f>
        <v>#VALUE!</v>
      </c>
      <c r="K120" s="35" t="e">
        <f t="shared" si="27"/>
        <v>#VALUE!</v>
      </c>
      <c r="L120" s="37" t="e">
        <f t="shared" ref="L120:AC120" si="28">L$20*L$119/100</f>
        <v>#VALUE!</v>
      </c>
      <c r="M120" s="35" t="e">
        <f t="shared" si="28"/>
        <v>#VALUE!</v>
      </c>
      <c r="N120" s="36" t="e">
        <f t="shared" si="28"/>
        <v>#VALUE!</v>
      </c>
      <c r="O120" s="37" t="e">
        <f t="shared" si="28"/>
        <v>#VALUE!</v>
      </c>
      <c r="P120" s="35" t="e">
        <f t="shared" si="28"/>
        <v>#VALUE!</v>
      </c>
      <c r="Q120" s="35" t="e">
        <f t="shared" si="28"/>
        <v>#VALUE!</v>
      </c>
      <c r="R120" s="36" t="e">
        <f t="shared" si="28"/>
        <v>#VALUE!</v>
      </c>
      <c r="S120" s="37" t="e">
        <f t="shared" si="28"/>
        <v>#VALUE!</v>
      </c>
      <c r="T120" s="35" t="e">
        <f t="shared" si="28"/>
        <v>#VALUE!</v>
      </c>
      <c r="U120" s="36" t="e">
        <f t="shared" si="28"/>
        <v>#VALUE!</v>
      </c>
      <c r="V120" s="37" t="e">
        <f t="shared" si="28"/>
        <v>#VALUE!</v>
      </c>
      <c r="W120" s="36" t="e">
        <f t="shared" si="28"/>
        <v>#VALUE!</v>
      </c>
      <c r="X120" s="258" t="e">
        <f t="shared" si="28"/>
        <v>#VALUE!</v>
      </c>
      <c r="Y120" s="296" t="e">
        <f t="shared" si="28"/>
        <v>#VALUE!</v>
      </c>
      <c r="Z120" s="258" t="e">
        <f t="shared" si="28"/>
        <v>#VALUE!</v>
      </c>
      <c r="AA120" s="37" t="e">
        <f t="shared" si="28"/>
        <v>#VALUE!</v>
      </c>
      <c r="AB120" s="35" t="e">
        <f t="shared" si="28"/>
        <v>#VALUE!</v>
      </c>
      <c r="AC120" s="38" t="e">
        <f t="shared" si="28"/>
        <v>#VALUE!</v>
      </c>
    </row>
    <row r="121" spans="8:29" ht="15" hidden="1">
      <c r="H121" s="58"/>
      <c r="I121" s="32"/>
      <c r="J121" s="37" t="e">
        <f t="shared" ref="J121:K121" si="29">$BR$70*J$29*-1</f>
        <v>#VALUE!</v>
      </c>
      <c r="K121" s="35" t="e">
        <f t="shared" si="29"/>
        <v>#VALUE!</v>
      </c>
      <c r="L121" s="37" t="e">
        <f>$BR$70*M$29*-1</f>
        <v>#VALUE!</v>
      </c>
      <c r="M121" s="35" t="e">
        <f>$BR$70*N$29*-1</f>
        <v>#VALUE!</v>
      </c>
      <c r="N121" s="36" t="e">
        <f>$BR$70*O$29*-1</f>
        <v>#VALUE!</v>
      </c>
      <c r="O121" s="37" t="e">
        <f t="shared" ref="O121:AC121" si="30">$BR$70*Q$29*-1</f>
        <v>#VALUE!</v>
      </c>
      <c r="P121" s="35" t="e">
        <f t="shared" si="30"/>
        <v>#VALUE!</v>
      </c>
      <c r="Q121" s="35" t="e">
        <f t="shared" si="30"/>
        <v>#VALUE!</v>
      </c>
      <c r="R121" s="36" t="e">
        <f t="shared" si="30"/>
        <v>#VALUE!</v>
      </c>
      <c r="S121" s="37" t="e">
        <f t="shared" si="30"/>
        <v>#VALUE!</v>
      </c>
      <c r="T121" s="35" t="e">
        <f t="shared" si="30"/>
        <v>#VALUE!</v>
      </c>
      <c r="U121" s="36" t="e">
        <f t="shared" si="30"/>
        <v>#VALUE!</v>
      </c>
      <c r="V121" s="37" t="e">
        <f t="shared" si="30"/>
        <v>#VALUE!</v>
      </c>
      <c r="W121" s="36" t="e">
        <f t="shared" si="30"/>
        <v>#VALUE!</v>
      </c>
      <c r="X121" s="258" t="e">
        <f t="shared" si="30"/>
        <v>#VALUE!</v>
      </c>
      <c r="Y121" s="296" t="e">
        <f t="shared" si="30"/>
        <v>#VALUE!</v>
      </c>
      <c r="Z121" s="258" t="e">
        <f t="shared" si="30"/>
        <v>#VALUE!</v>
      </c>
      <c r="AA121" s="37" t="e">
        <f t="shared" si="30"/>
        <v>#VALUE!</v>
      </c>
      <c r="AB121" s="35" t="e">
        <f t="shared" si="30"/>
        <v>#VALUE!</v>
      </c>
      <c r="AC121" s="35" t="e">
        <f t="shared" si="30"/>
        <v>#VALUE!</v>
      </c>
    </row>
    <row r="122" spans="8:29" ht="15" hidden="1">
      <c r="H122" s="58"/>
      <c r="I122" s="32"/>
      <c r="J122" s="37" t="e">
        <f t="shared" ref="J122:AC122" si="31">SUM(J$120:J$121)</f>
        <v>#VALUE!</v>
      </c>
      <c r="K122" s="35" t="e">
        <f t="shared" si="31"/>
        <v>#VALUE!</v>
      </c>
      <c r="L122" s="37" t="e">
        <f t="shared" si="31"/>
        <v>#VALUE!</v>
      </c>
      <c r="M122" s="35" t="e">
        <f t="shared" si="31"/>
        <v>#VALUE!</v>
      </c>
      <c r="N122" s="36" t="e">
        <f t="shared" si="31"/>
        <v>#VALUE!</v>
      </c>
      <c r="O122" s="37" t="e">
        <f t="shared" si="31"/>
        <v>#VALUE!</v>
      </c>
      <c r="P122" s="35" t="e">
        <f t="shared" si="31"/>
        <v>#VALUE!</v>
      </c>
      <c r="Q122" s="35" t="e">
        <f t="shared" si="31"/>
        <v>#VALUE!</v>
      </c>
      <c r="R122" s="36" t="e">
        <f t="shared" si="31"/>
        <v>#VALUE!</v>
      </c>
      <c r="S122" s="37" t="e">
        <f t="shared" si="31"/>
        <v>#VALUE!</v>
      </c>
      <c r="T122" s="35" t="e">
        <f t="shared" si="31"/>
        <v>#VALUE!</v>
      </c>
      <c r="U122" s="36" t="e">
        <f t="shared" si="31"/>
        <v>#VALUE!</v>
      </c>
      <c r="V122" s="37" t="e">
        <f t="shared" si="31"/>
        <v>#VALUE!</v>
      </c>
      <c r="W122" s="36" t="e">
        <f t="shared" si="31"/>
        <v>#VALUE!</v>
      </c>
      <c r="X122" s="258" t="e">
        <f t="shared" si="31"/>
        <v>#VALUE!</v>
      </c>
      <c r="Y122" s="296" t="e">
        <f t="shared" si="31"/>
        <v>#VALUE!</v>
      </c>
      <c r="Z122" s="258" t="e">
        <f t="shared" si="31"/>
        <v>#VALUE!</v>
      </c>
      <c r="AA122" s="37" t="e">
        <f t="shared" si="31"/>
        <v>#VALUE!</v>
      </c>
      <c r="AB122" s="35" t="e">
        <f t="shared" si="31"/>
        <v>#VALUE!</v>
      </c>
      <c r="AC122" s="35" t="e">
        <f t="shared" si="31"/>
        <v>#VALUE!</v>
      </c>
    </row>
    <row r="123" spans="8:29" ht="15">
      <c r="H123" s="59">
        <f>H40</f>
        <v>12</v>
      </c>
      <c r="I123" s="33">
        <f>I40</f>
        <v>42551</v>
      </c>
      <c r="J123" s="39" t="e">
        <f t="shared" ref="J123:K123" si="32">J$122/J$20*100</f>
        <v>#VALUE!</v>
      </c>
      <c r="K123" s="40" t="e">
        <f t="shared" si="32"/>
        <v>#VALUE!</v>
      </c>
      <c r="L123" s="39" t="e">
        <f t="shared" ref="L123:AC123" si="33">L$122/L$20*100</f>
        <v>#VALUE!</v>
      </c>
      <c r="M123" s="40" t="e">
        <f t="shared" si="33"/>
        <v>#VALUE!</v>
      </c>
      <c r="N123" s="41" t="e">
        <f t="shared" si="33"/>
        <v>#VALUE!</v>
      </c>
      <c r="O123" s="39" t="e">
        <f t="shared" si="33"/>
        <v>#VALUE!</v>
      </c>
      <c r="P123" s="40" t="e">
        <f t="shared" si="33"/>
        <v>#VALUE!</v>
      </c>
      <c r="Q123" s="40" t="e">
        <f t="shared" si="33"/>
        <v>#VALUE!</v>
      </c>
      <c r="R123" s="41" t="e">
        <f t="shared" si="33"/>
        <v>#VALUE!</v>
      </c>
      <c r="S123" s="39" t="e">
        <f t="shared" si="33"/>
        <v>#VALUE!</v>
      </c>
      <c r="T123" s="40" t="e">
        <f t="shared" si="33"/>
        <v>#VALUE!</v>
      </c>
      <c r="U123" s="41" t="e">
        <f t="shared" si="33"/>
        <v>#VALUE!</v>
      </c>
      <c r="V123" s="39" t="e">
        <f t="shared" si="33"/>
        <v>#VALUE!</v>
      </c>
      <c r="W123" s="41" t="e">
        <f t="shared" si="33"/>
        <v>#VALUE!</v>
      </c>
      <c r="X123" s="259" t="e">
        <f t="shared" si="33"/>
        <v>#VALUE!</v>
      </c>
      <c r="Y123" s="269" t="e">
        <f t="shared" si="33"/>
        <v>#VALUE!</v>
      </c>
      <c r="Z123" s="259" t="e">
        <f t="shared" si="33"/>
        <v>#VALUE!</v>
      </c>
      <c r="AA123" s="39" t="e">
        <f t="shared" si="33"/>
        <v>#VALUE!</v>
      </c>
      <c r="AB123" s="40" t="e">
        <f t="shared" si="33"/>
        <v>#VALUE!</v>
      </c>
      <c r="AC123" s="40" t="e">
        <f t="shared" si="33"/>
        <v>#VALUE!</v>
      </c>
    </row>
    <row r="131" spans="8:8">
      <c r="H131" s="211" t="s">
        <v>164</v>
      </c>
    </row>
    <row r="132" spans="8:8">
      <c r="H132" s="53" t="s">
        <v>181</v>
      </c>
    </row>
  </sheetData>
  <mergeCells count="128">
    <mergeCell ref="DK24:DN24"/>
    <mergeCell ref="CM24:CP24"/>
    <mergeCell ref="CQ24:CT24"/>
    <mergeCell ref="CU24:CX24"/>
    <mergeCell ref="CY24:DB24"/>
    <mergeCell ref="DC24:DF24"/>
    <mergeCell ref="DG24:DJ24"/>
    <mergeCell ref="BO24:BR24"/>
    <mergeCell ref="BS24:BV24"/>
    <mergeCell ref="BW24:BZ24"/>
    <mergeCell ref="CA24:CD24"/>
    <mergeCell ref="CE24:CH24"/>
    <mergeCell ref="CI24:CL24"/>
    <mergeCell ref="DM25:DN25"/>
    <mergeCell ref="AY33:BA33"/>
    <mergeCell ref="BB33:BE33"/>
    <mergeCell ref="BF33:BI33"/>
    <mergeCell ref="BJ33:BN33"/>
    <mergeCell ref="BO33:BR33"/>
    <mergeCell ref="BS33:BV33"/>
    <mergeCell ref="BW33:BZ33"/>
    <mergeCell ref="DA25:DB25"/>
    <mergeCell ref="DC25:DD25"/>
    <mergeCell ref="DE25:DF25"/>
    <mergeCell ref="DG25:DH25"/>
    <mergeCell ref="DI25:DJ25"/>
    <mergeCell ref="DK25:DL25"/>
    <mergeCell ref="CO25:CP25"/>
    <mergeCell ref="CQ25:CR25"/>
    <mergeCell ref="CS25:CT25"/>
    <mergeCell ref="CU25:CV25"/>
    <mergeCell ref="CW25:CX25"/>
    <mergeCell ref="CY25:CZ25"/>
    <mergeCell ref="CC25:CD25"/>
    <mergeCell ref="CE25:CF25"/>
    <mergeCell ref="DK33:DN33"/>
    <mergeCell ref="CQ33:CT33"/>
    <mergeCell ref="CA33:CD33"/>
    <mergeCell ref="CE33:CH33"/>
    <mergeCell ref="DG33:DJ33"/>
    <mergeCell ref="CI34:CJ34"/>
    <mergeCell ref="CK34:CL34"/>
    <mergeCell ref="DK34:DL34"/>
    <mergeCell ref="DM34:DN34"/>
    <mergeCell ref="CU34:CV34"/>
    <mergeCell ref="CW34:CX34"/>
    <mergeCell ref="CY34:CZ34"/>
    <mergeCell ref="DA34:DB34"/>
    <mergeCell ref="DC34:DD34"/>
    <mergeCell ref="DE34:DF34"/>
    <mergeCell ref="CM34:CN34"/>
    <mergeCell ref="CO34:CP34"/>
    <mergeCell ref="CQ34:CR34"/>
    <mergeCell ref="CS34:CT34"/>
    <mergeCell ref="DG34:DH34"/>
    <mergeCell ref="DI34:DJ34"/>
    <mergeCell ref="CU33:CX33"/>
    <mergeCell ref="CY33:DB33"/>
    <mergeCell ref="DC33:DF33"/>
    <mergeCell ref="CI33:CL33"/>
    <mergeCell ref="CM33:CP33"/>
    <mergeCell ref="BU56:BY56"/>
    <mergeCell ref="BW34:BX34"/>
    <mergeCell ref="BY34:BZ34"/>
    <mergeCell ref="CA34:CB34"/>
    <mergeCell ref="CC34:CD34"/>
    <mergeCell ref="CE34:CF34"/>
    <mergeCell ref="CG34:CH34"/>
    <mergeCell ref="BJ34:BK34"/>
    <mergeCell ref="BM34:BN34"/>
    <mergeCell ref="BO34:BP34"/>
    <mergeCell ref="BQ34:BR34"/>
    <mergeCell ref="BS34:BT34"/>
    <mergeCell ref="BU34:BV34"/>
    <mergeCell ref="CM25:CN25"/>
    <mergeCell ref="BW25:BX25"/>
    <mergeCell ref="BY25:BZ25"/>
    <mergeCell ref="CA25:CB25"/>
    <mergeCell ref="CG25:CH25"/>
    <mergeCell ref="CI25:CJ25"/>
    <mergeCell ref="CK25:CL25"/>
    <mergeCell ref="BQ25:BR25"/>
    <mergeCell ref="BS25:BT25"/>
    <mergeCell ref="BU25:BV25"/>
    <mergeCell ref="BD25:BE25"/>
    <mergeCell ref="BF25:BG25"/>
    <mergeCell ref="BH25:BI25"/>
    <mergeCell ref="BJ25:BK25"/>
    <mergeCell ref="BM25:BN25"/>
    <mergeCell ref="BH68:BI68"/>
    <mergeCell ref="BK67:BL67"/>
    <mergeCell ref="BO25:BP25"/>
    <mergeCell ref="H30:I30"/>
    <mergeCell ref="I45:I46"/>
    <mergeCell ref="I53:I54"/>
    <mergeCell ref="AZ25:BA25"/>
    <mergeCell ref="BB25:BC25"/>
    <mergeCell ref="BM67:BR67"/>
    <mergeCell ref="AI27:AJ27"/>
    <mergeCell ref="AI30:AJ30"/>
    <mergeCell ref="AZ34:BA34"/>
    <mergeCell ref="BB34:BC34"/>
    <mergeCell ref="BD34:BE34"/>
    <mergeCell ref="BF34:BG34"/>
    <mergeCell ref="BH34:BI34"/>
    <mergeCell ref="AY7:BA7"/>
    <mergeCell ref="BB7:BE7"/>
    <mergeCell ref="BF7:BI7"/>
    <mergeCell ref="BJ7:BK7"/>
    <mergeCell ref="AZ8:BA8"/>
    <mergeCell ref="AY24:BA24"/>
    <mergeCell ref="BB24:BE24"/>
    <mergeCell ref="BF24:BI24"/>
    <mergeCell ref="BJ24:BN24"/>
    <mergeCell ref="BB8:BC8"/>
    <mergeCell ref="BD8:BE8"/>
    <mergeCell ref="BF8:BG8"/>
    <mergeCell ref="BH8:BI8"/>
    <mergeCell ref="BJ8:BK8"/>
    <mergeCell ref="AH24:AJ24"/>
    <mergeCell ref="J24:AE24"/>
    <mergeCell ref="J33:AE33"/>
    <mergeCell ref="J45:AE45"/>
    <mergeCell ref="J53:AE53"/>
    <mergeCell ref="J72:AC72"/>
    <mergeCell ref="J80:AC80"/>
    <mergeCell ref="J88:AC88"/>
    <mergeCell ref="J116:AC116"/>
  </mergeCells>
  <dataValidations disablePrompts="1" count="1">
    <dataValidation type="list" allowBlank="1" showInputMessage="1" showErrorMessage="1" sqref="BA6">
      <formula1>"Yes, No"</formula1>
    </dataValidation>
  </dataValidations>
  <printOptions horizontalCentered="1"/>
  <pageMargins left="0.25" right="0.25" top="0.25" bottom="0.25" header="0.3" footer="0.15"/>
  <pageSetup scale="69" fitToHeight="2" orientation="landscape" horizontalDpi="300" verticalDpi="300" r:id="rId1"/>
  <headerFooter scaleWithDoc="0">
    <oddHeader>&amp;L&amp;G&amp;C&amp;"-,Bold"&amp;13&amp;K2E398A
&amp;15IOS Hedged Projected Carry - Constant Price - v21&amp;R&amp;"-,Bold"&amp;10&amp;K2E398A
&amp;12&amp;K2E398A    &amp;"-,Regular"&amp;10&amp;K000000
&amp;"-,Bold"&amp;K2E398A As of 06/26/2015</oddHeader>
    <oddFooter>&amp;L&amp;8&amp;K2E398AReport Created on &amp;D &amp;T&amp;C&amp;G
&amp;8&amp;K2E398APage &amp;P of &amp;N</oddFooter>
  </headerFooter>
  <rowBreaks count="1" manualBreakCount="1">
    <brk id="103" min="7" max="35" man="1"/>
  </row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10" operator="beginsWith" id="{8B3F7AC4-FE1F-4712-9ADB-A2BD78DA7AB1}">
            <xm:f>LEFT(J26,LEN("-"))="-"</xm:f>
            <xm:f>"-"</xm:f>
            <x14:dxf>
              <font>
                <color rgb="FFFF0000"/>
              </font>
            </x14:dxf>
          </x14:cfRule>
          <xm:sqref>AO26:AU26 M41:AU43 M60:O60 M50:AU52 M58:T59 Q60:T60 M61:T64 BT57:CB60 BT64:CB64 CA63:CB63 BV62:CB62 BU61:CB61 BT61:BT63 AF46:AU49 M65:AU70 M114:AC115 AD99:AU126 M124:AC132 M77:AU78 AD71:AU72 M85:AU86 AD79:AU80 M93:AU98 AD87:AU88 Q27:AE30 O27:O30 R35:AE37 R38:X40 O35:O40 R47:AE49 O47:O49 AD58:AU64 AF53:AU57 AF73:AU76 J74:K76 Q74:AE76 O74:O76 AF81:AU84 J82:K84 Q82:AE84 O82:O84 AF89:AU92</xm:sqref>
        </x14:conditionalFormatting>
        <x14:conditionalFormatting xmlns:xm="http://schemas.microsoft.com/office/excel/2006/main">
          <x14:cfRule type="beginsWith" priority="199" operator="beginsWith" id="{4D5938B9-B08E-49A1-8363-1EF1B6C6C181}">
            <xm:f>LEFT(AI28,LEN("-"))="-"</xm:f>
            <xm:f>"-"</xm:f>
            <x14:dxf>
              <font>
                <color rgb="FFFF0000"/>
              </font>
            </x14:dxf>
          </x14:cfRule>
          <xm:sqref>AI28:AJ28</xm:sqref>
        </x14:conditionalFormatting>
        <x14:conditionalFormatting xmlns:xm="http://schemas.microsoft.com/office/excel/2006/main">
          <x14:cfRule type="beginsWith" priority="194" operator="beginsWith" id="{C02EBFDE-F44F-4557-89E8-3C0B812EE60E}">
            <xm:f>LEFT(Y38,LEN("-"))="-"</xm:f>
            <xm:f>"-"</xm:f>
            <x14:dxf>
              <font>
                <color rgb="FFFF0000"/>
              </font>
            </x14:dxf>
          </x14:cfRule>
          <xm:sqref>Y38</xm:sqref>
        </x14:conditionalFormatting>
        <x14:conditionalFormatting xmlns:xm="http://schemas.microsoft.com/office/excel/2006/main">
          <x14:cfRule type="beginsWith" priority="193" operator="beginsWith" id="{DC5EBCE1-98EB-4FE0-805F-ED9E397057BC}">
            <xm:f>LEFT(Y39,LEN("-"))="-"</xm:f>
            <xm:f>"-"</xm:f>
            <x14:dxf>
              <font>
                <color rgb="FFFF0000"/>
              </font>
            </x14:dxf>
          </x14:cfRule>
          <xm:sqref>Y39:Y40</xm:sqref>
        </x14:conditionalFormatting>
        <x14:conditionalFormatting xmlns:xm="http://schemas.microsoft.com/office/excel/2006/main">
          <x14:cfRule type="beginsWith" priority="192" operator="beginsWith" id="{48B9345A-F78E-4EE5-858F-6C6C71113C02}">
            <xm:f>LEFT(Z38,LEN("-"))="-"</xm:f>
            <xm:f>"-"</xm:f>
            <x14:dxf>
              <font>
                <color rgb="FFFF0000"/>
              </font>
            </x14:dxf>
          </x14:cfRule>
          <xm:sqref>Z38:AE38</xm:sqref>
        </x14:conditionalFormatting>
        <x14:conditionalFormatting xmlns:xm="http://schemas.microsoft.com/office/excel/2006/main">
          <x14:cfRule type="beginsWith" priority="191" operator="beginsWith" id="{7F845688-2A5A-4CBA-9CDF-5C76B4AC1010}">
            <xm:f>LEFT(Z39,LEN("-"))="-"</xm:f>
            <xm:f>"-"</xm:f>
            <x14:dxf>
              <font>
                <color rgb="FFFF0000"/>
              </font>
            </x14:dxf>
          </x14:cfRule>
          <xm:sqref>Z39:AE40</xm:sqref>
        </x14:conditionalFormatting>
        <x14:conditionalFormatting xmlns:xm="http://schemas.microsoft.com/office/excel/2006/main">
          <x14:cfRule type="beginsWith" priority="164" operator="beginsWith" id="{30BBA855-C0B4-42B2-ABD8-93510A91E032}">
            <xm:f>LEFT(J30,LEN("-"))="-"</xm:f>
            <xm:f>"-"</xm:f>
            <x14:dxf>
              <font>
                <color rgb="FFFF0000"/>
              </font>
            </x14:dxf>
          </x14:cfRule>
          <xm:sqref>J30</xm:sqref>
        </x14:conditionalFormatting>
        <x14:conditionalFormatting xmlns:xm="http://schemas.microsoft.com/office/excel/2006/main">
          <x14:cfRule type="beginsWith" priority="149" operator="beginsWith" id="{895478A8-C538-4096-A0FB-4AA3B79E7965}">
            <xm:f>LEFT(K29,LEN("-"))="-"</xm:f>
            <xm:f>"-"</xm:f>
            <x14:dxf>
              <font>
                <color rgb="FFFF0000"/>
              </font>
            </x14:dxf>
          </x14:cfRule>
          <xm:sqref>K29</xm:sqref>
        </x14:conditionalFormatting>
        <x14:conditionalFormatting xmlns:xm="http://schemas.microsoft.com/office/excel/2006/main">
          <x14:cfRule type="beginsWith" priority="167" operator="beginsWith" id="{845B6230-D1FE-4A6E-9CAA-775F18FA8573}">
            <xm:f>LEFT(J27,LEN("-"))="-"</xm:f>
            <xm:f>"-"</xm:f>
            <x14:dxf>
              <font>
                <color rgb="FFFF0000"/>
              </font>
            </x14:dxf>
          </x14:cfRule>
          <xm:sqref>J27</xm:sqref>
        </x14:conditionalFormatting>
        <x14:conditionalFormatting xmlns:xm="http://schemas.microsoft.com/office/excel/2006/main">
          <x14:cfRule type="beginsWith" priority="166" operator="beginsWith" id="{3C13B5E4-8038-4F50-8367-CAB789A6655F}">
            <xm:f>LEFT(J28,LEN("-"))="-"</xm:f>
            <xm:f>"-"</xm:f>
            <x14:dxf>
              <font>
                <color rgb="FFFF0000"/>
              </font>
            </x14:dxf>
          </x14:cfRule>
          <xm:sqref>J28</xm:sqref>
        </x14:conditionalFormatting>
        <x14:conditionalFormatting xmlns:xm="http://schemas.microsoft.com/office/excel/2006/main">
          <x14:cfRule type="beginsWith" priority="165" operator="beginsWith" id="{B0806D54-BDB5-4572-BB80-44A468E4669E}">
            <xm:f>LEFT(J29,LEN("-"))="-"</xm:f>
            <xm:f>"-"</xm:f>
            <x14:dxf>
              <font>
                <color rgb="FFFF0000"/>
              </font>
            </x14:dxf>
          </x14:cfRule>
          <xm:sqref>J29</xm:sqref>
        </x14:conditionalFormatting>
        <x14:conditionalFormatting xmlns:xm="http://schemas.microsoft.com/office/excel/2006/main">
          <x14:cfRule type="beginsWith" priority="143" operator="beginsWith" id="{521C171C-7556-47BC-940C-7B592940314D}">
            <xm:f>LEFT(J35,LEN("-"))="-"</xm:f>
            <xm:f>"-"</xm:f>
            <x14:dxf>
              <font>
                <color rgb="FFFF0000"/>
              </font>
            </x14:dxf>
          </x14:cfRule>
          <xm:sqref>J35</xm:sqref>
        </x14:conditionalFormatting>
        <x14:conditionalFormatting xmlns:xm="http://schemas.microsoft.com/office/excel/2006/main">
          <x14:cfRule type="beginsWith" priority="142" operator="beginsWith" id="{2DCB77FE-BBE4-4744-B911-9AE6B33DB009}">
            <xm:f>LEFT(J36,LEN("-"))="-"</xm:f>
            <xm:f>"-"</xm:f>
            <x14:dxf>
              <font>
                <color rgb="FFFF0000"/>
              </font>
            </x14:dxf>
          </x14:cfRule>
          <xm:sqref>J36</xm:sqref>
        </x14:conditionalFormatting>
        <x14:conditionalFormatting xmlns:xm="http://schemas.microsoft.com/office/excel/2006/main">
          <x14:cfRule type="beginsWith" priority="141" operator="beginsWith" id="{EAB80ADB-7D72-4438-8E5A-C9CAE5A740B7}">
            <xm:f>LEFT(J37,LEN("-"))="-"</xm:f>
            <xm:f>"-"</xm:f>
            <x14:dxf>
              <font>
                <color rgb="FFFF0000"/>
              </font>
            </x14:dxf>
          </x14:cfRule>
          <xm:sqref>J37</xm:sqref>
        </x14:conditionalFormatting>
        <x14:conditionalFormatting xmlns:xm="http://schemas.microsoft.com/office/excel/2006/main">
          <x14:cfRule type="beginsWith" priority="140" operator="beginsWith" id="{29448447-EBCF-45DF-9236-29AF828539EE}">
            <xm:f>LEFT(J38,LEN("-"))="-"</xm:f>
            <xm:f>"-"</xm:f>
            <x14:dxf>
              <font>
                <color rgb="FFFF0000"/>
              </font>
            </x14:dxf>
          </x14:cfRule>
          <xm:sqref>J38:J40</xm:sqref>
        </x14:conditionalFormatting>
        <x14:conditionalFormatting xmlns:xm="http://schemas.microsoft.com/office/excel/2006/main">
          <x14:cfRule type="beginsWith" priority="130" operator="beginsWith" id="{CEA4B8F7-7F13-45B5-924A-2DBB50FD8B09}">
            <xm:f>LEFT(N36,LEN("-"))="-"</xm:f>
            <xm:f>"-"</xm:f>
            <x14:dxf>
              <font>
                <color rgb="FFFF0000"/>
              </font>
            </x14:dxf>
          </x14:cfRule>
          <xm:sqref>N36</xm:sqref>
        </x14:conditionalFormatting>
        <x14:conditionalFormatting xmlns:xm="http://schemas.microsoft.com/office/excel/2006/main">
          <x14:cfRule type="beginsWith" priority="129" operator="beginsWith" id="{C1BDB936-60F8-4AEF-BD3A-FC4ACCF99CF7}">
            <xm:f>LEFT(N37,LEN("-"))="-"</xm:f>
            <xm:f>"-"</xm:f>
            <x14:dxf>
              <font>
                <color rgb="FFFF0000"/>
              </font>
            </x14:dxf>
          </x14:cfRule>
          <xm:sqref>N37</xm:sqref>
        </x14:conditionalFormatting>
        <x14:conditionalFormatting xmlns:xm="http://schemas.microsoft.com/office/excel/2006/main">
          <x14:cfRule type="beginsWith" priority="128" operator="beginsWith" id="{60737E1F-CB8D-4646-9999-FA293533E7D4}">
            <xm:f>LEFT(N38,LEN("-"))="-"</xm:f>
            <xm:f>"-"</xm:f>
            <x14:dxf>
              <font>
                <color rgb="FFFF0000"/>
              </font>
            </x14:dxf>
          </x14:cfRule>
          <xm:sqref>N38</xm:sqref>
        </x14:conditionalFormatting>
        <x14:conditionalFormatting xmlns:xm="http://schemas.microsoft.com/office/excel/2006/main">
          <x14:cfRule type="beginsWith" priority="127" operator="beginsWith" id="{FEA460AF-690F-4A12-B067-3F66868701F0}">
            <xm:f>LEFT(N39,LEN("-"))="-"</xm:f>
            <xm:f>"-"</xm:f>
            <x14:dxf>
              <font>
                <color rgb="FFFF0000"/>
              </font>
            </x14:dxf>
          </x14:cfRule>
          <xm:sqref>N39:N40</xm:sqref>
        </x14:conditionalFormatting>
        <x14:conditionalFormatting xmlns:xm="http://schemas.microsoft.com/office/excel/2006/main">
          <x14:cfRule type="beginsWith" priority="151" operator="beginsWith" id="{D341062D-23E0-44DA-B3E2-389EB973762F}">
            <xm:f>LEFT(K27,LEN("-"))="-"</xm:f>
            <xm:f>"-"</xm:f>
            <x14:dxf>
              <font>
                <color rgb="FFFF0000"/>
              </font>
            </x14:dxf>
          </x14:cfRule>
          <xm:sqref>K27</xm:sqref>
        </x14:conditionalFormatting>
        <x14:conditionalFormatting xmlns:xm="http://schemas.microsoft.com/office/excel/2006/main">
          <x14:cfRule type="beginsWith" priority="150" operator="beginsWith" id="{B1A45BDC-627B-4602-81A0-B6E4863E5E6C}">
            <xm:f>LEFT(K28,LEN("-"))="-"</xm:f>
            <xm:f>"-"</xm:f>
            <x14:dxf>
              <font>
                <color rgb="FFFF0000"/>
              </font>
            </x14:dxf>
          </x14:cfRule>
          <xm:sqref>K28</xm:sqref>
        </x14:conditionalFormatting>
        <x14:conditionalFormatting xmlns:xm="http://schemas.microsoft.com/office/excel/2006/main">
          <x14:cfRule type="beginsWith" priority="148" operator="beginsWith" id="{117054AE-AE46-4E30-9C75-07BD30BD2412}">
            <xm:f>LEFT(K30,LEN("-"))="-"</xm:f>
            <xm:f>"-"</xm:f>
            <x14:dxf>
              <font>
                <color rgb="FFFF0000"/>
              </font>
            </x14:dxf>
          </x14:cfRule>
          <xm:sqref>K30</xm:sqref>
        </x14:conditionalFormatting>
        <x14:conditionalFormatting xmlns:xm="http://schemas.microsoft.com/office/excel/2006/main">
          <x14:cfRule type="beginsWith" priority="147" operator="beginsWith" id="{7120FF34-199B-409B-8F44-2B74DDA5FAD4}">
            <xm:f>LEFT(N27,LEN("-"))="-"</xm:f>
            <xm:f>"-"</xm:f>
            <x14:dxf>
              <font>
                <color rgb="FFFF0000"/>
              </font>
            </x14:dxf>
          </x14:cfRule>
          <xm:sqref>N27</xm:sqref>
        </x14:conditionalFormatting>
        <x14:conditionalFormatting xmlns:xm="http://schemas.microsoft.com/office/excel/2006/main">
          <x14:cfRule type="beginsWith" priority="146" operator="beginsWith" id="{63223ECB-E323-4263-8CAD-76B74A57B33D}">
            <xm:f>LEFT(N28,LEN("-"))="-"</xm:f>
            <xm:f>"-"</xm:f>
            <x14:dxf>
              <font>
                <color rgb="FFFF0000"/>
              </font>
            </x14:dxf>
          </x14:cfRule>
          <xm:sqref>N28</xm:sqref>
        </x14:conditionalFormatting>
        <x14:conditionalFormatting xmlns:xm="http://schemas.microsoft.com/office/excel/2006/main">
          <x14:cfRule type="beginsWith" priority="145" operator="beginsWith" id="{BAD54671-F032-4D84-BE2A-CFAC64677216}">
            <xm:f>LEFT(N29,LEN("-"))="-"</xm:f>
            <xm:f>"-"</xm:f>
            <x14:dxf>
              <font>
                <color rgb="FFFF0000"/>
              </font>
            </x14:dxf>
          </x14:cfRule>
          <xm:sqref>N29</xm:sqref>
        </x14:conditionalFormatting>
        <x14:conditionalFormatting xmlns:xm="http://schemas.microsoft.com/office/excel/2006/main">
          <x14:cfRule type="beginsWith" priority="144" operator="beginsWith" id="{22A0B7F3-0E8F-49A8-8FE5-10E9B053065F}">
            <xm:f>LEFT(N30,LEN("-"))="-"</xm:f>
            <xm:f>"-"</xm:f>
            <x14:dxf>
              <font>
                <color rgb="FFFF0000"/>
              </font>
            </x14:dxf>
          </x14:cfRule>
          <xm:sqref>N30</xm:sqref>
        </x14:conditionalFormatting>
        <x14:conditionalFormatting xmlns:xm="http://schemas.microsoft.com/office/excel/2006/main">
          <x14:cfRule type="beginsWith" priority="131" operator="beginsWith" id="{41A45108-7EC6-4943-893A-519EA80D9151}">
            <xm:f>LEFT(N35,LEN("-"))="-"</xm:f>
            <xm:f>"-"</xm:f>
            <x14:dxf>
              <font>
                <color rgb="FFFF0000"/>
              </font>
            </x14:dxf>
          </x14:cfRule>
          <xm:sqref>N35</xm:sqref>
        </x14:conditionalFormatting>
        <x14:conditionalFormatting xmlns:xm="http://schemas.microsoft.com/office/excel/2006/main">
          <x14:cfRule type="beginsWith" priority="125" operator="beginsWith" id="{8587298D-023E-4F07-8A1A-FEA4830DB9CB}">
            <xm:f>LEFT(K36,LEN("-"))="-"</xm:f>
            <xm:f>"-"</xm:f>
            <x14:dxf>
              <font>
                <color rgb="FFFF0000"/>
              </font>
            </x14:dxf>
          </x14:cfRule>
          <xm:sqref>K36</xm:sqref>
        </x14:conditionalFormatting>
        <x14:conditionalFormatting xmlns:xm="http://schemas.microsoft.com/office/excel/2006/main">
          <x14:cfRule type="beginsWith" priority="124" operator="beginsWith" id="{D3011BF8-B0A2-40C8-84BF-D27D684153F9}">
            <xm:f>LEFT(K37,LEN("-"))="-"</xm:f>
            <xm:f>"-"</xm:f>
            <x14:dxf>
              <font>
                <color rgb="FFFF0000"/>
              </font>
            </x14:dxf>
          </x14:cfRule>
          <xm:sqref>K37</xm:sqref>
        </x14:conditionalFormatting>
        <x14:conditionalFormatting xmlns:xm="http://schemas.microsoft.com/office/excel/2006/main">
          <x14:cfRule type="beginsWith" priority="123" operator="beginsWith" id="{F0896DE6-BF1A-4208-A86D-6AC918CD78D7}">
            <xm:f>LEFT(K38,LEN("-"))="-"</xm:f>
            <xm:f>"-"</xm:f>
            <x14:dxf>
              <font>
                <color rgb="FFFF0000"/>
              </font>
            </x14:dxf>
          </x14:cfRule>
          <xm:sqref>K38</xm:sqref>
        </x14:conditionalFormatting>
        <x14:conditionalFormatting xmlns:xm="http://schemas.microsoft.com/office/excel/2006/main">
          <x14:cfRule type="beginsWith" priority="122" operator="beginsWith" id="{ECC34BAA-7D2C-41C7-A328-BCCC72314A25}">
            <xm:f>LEFT(K39,LEN("-"))="-"</xm:f>
            <xm:f>"-"</xm:f>
            <x14:dxf>
              <font>
                <color rgb="FFFF0000"/>
              </font>
            </x14:dxf>
          </x14:cfRule>
          <xm:sqref>K39:K40</xm:sqref>
        </x14:conditionalFormatting>
        <x14:conditionalFormatting xmlns:xm="http://schemas.microsoft.com/office/excel/2006/main">
          <x14:cfRule type="beginsWith" priority="126" operator="beginsWith" id="{3F0CD039-BCA9-4ADF-8985-820AEB942578}">
            <xm:f>LEFT(K35,LEN("-"))="-"</xm:f>
            <xm:f>"-"</xm:f>
            <x14:dxf>
              <font>
                <color rgb="FFFF0000"/>
              </font>
            </x14:dxf>
          </x14:cfRule>
          <xm:sqref>K35</xm:sqref>
        </x14:conditionalFormatting>
        <x14:conditionalFormatting xmlns:xm="http://schemas.microsoft.com/office/excel/2006/main">
          <x14:cfRule type="beginsWith" priority="121" operator="beginsWith" id="{24A2A6C8-BAD9-4E58-B5FE-54F6E4720988}">
            <xm:f>LEFT(J49,LEN("-"))="-"</xm:f>
            <xm:f>"-"</xm:f>
            <x14:dxf>
              <font>
                <color rgb="FFFF0000"/>
              </font>
            </x14:dxf>
          </x14:cfRule>
          <xm:sqref>J49</xm:sqref>
        </x14:conditionalFormatting>
        <x14:conditionalFormatting xmlns:xm="http://schemas.microsoft.com/office/excel/2006/main">
          <x14:cfRule type="beginsWith" priority="120" operator="beginsWith" id="{1EC950BA-7F3E-4ED3-BA20-9E2BE7CF8AE1}">
            <xm:f>LEFT(J48,LEN("-"))="-"</xm:f>
            <xm:f>"-"</xm:f>
            <x14:dxf>
              <font>
                <color rgb="FFFF0000"/>
              </font>
            </x14:dxf>
          </x14:cfRule>
          <xm:sqref>J48</xm:sqref>
        </x14:conditionalFormatting>
        <x14:conditionalFormatting xmlns:xm="http://schemas.microsoft.com/office/excel/2006/main">
          <x14:cfRule type="beginsWith" priority="94" operator="beginsWith" id="{A0BDC644-9D55-4C89-883E-99176E313E52}">
            <xm:f>LEFT(N120,LEN("-"))="-"</xm:f>
            <xm:f>"-"</xm:f>
            <x14:dxf>
              <font>
                <color rgb="FFFF0000"/>
              </font>
            </x14:dxf>
          </x14:cfRule>
          <xm:sqref>N120:AC120</xm:sqref>
        </x14:conditionalFormatting>
        <x14:conditionalFormatting xmlns:xm="http://schemas.microsoft.com/office/excel/2006/main">
          <x14:cfRule type="beginsWith" priority="93" operator="beginsWith" id="{183E8DF5-5A2E-4702-90BE-1EA3CE590595}">
            <xm:f>LEFT(W121,LEN("-"))="-"</xm:f>
            <xm:f>"-"</xm:f>
            <x14:dxf>
              <font>
                <color rgb="FFFF0000"/>
              </font>
            </x14:dxf>
          </x14:cfRule>
          <xm:sqref>W121</xm:sqref>
        </x14:conditionalFormatting>
        <x14:conditionalFormatting xmlns:xm="http://schemas.microsoft.com/office/excel/2006/main">
          <x14:cfRule type="beginsWith" priority="115" operator="beginsWith" id="{22DF2ECC-4425-4885-B6AB-296EAFA78888}">
            <xm:f>LEFT(N48,LEN("-"))="-"</xm:f>
            <xm:f>"-"</xm:f>
            <x14:dxf>
              <font>
                <color rgb="FFFF0000"/>
              </font>
            </x14:dxf>
          </x14:cfRule>
          <xm:sqref>N48</xm:sqref>
        </x14:conditionalFormatting>
        <x14:conditionalFormatting xmlns:xm="http://schemas.microsoft.com/office/excel/2006/main">
          <x14:cfRule type="beginsWith" priority="113" operator="beginsWith" id="{5FFCE58E-5859-4E65-9EAA-19C315AD53EC}">
            <xm:f>LEFT(N47,LEN("-"))="-"</xm:f>
            <xm:f>"-"</xm:f>
            <x14:dxf>
              <font>
                <color rgb="FFFF0000"/>
              </font>
            </x14:dxf>
          </x14:cfRule>
          <xm:sqref>N47</xm:sqref>
        </x14:conditionalFormatting>
        <x14:conditionalFormatting xmlns:xm="http://schemas.microsoft.com/office/excel/2006/main">
          <x14:cfRule type="beginsWith" priority="114" operator="beginsWith" id="{80C61780-415D-4AFD-9639-641816CB908A}">
            <xm:f>LEFT(N49,LEN("-"))="-"</xm:f>
            <xm:f>"-"</xm:f>
            <x14:dxf>
              <font>
                <color rgb="FFFF0000"/>
              </font>
            </x14:dxf>
          </x14:cfRule>
          <xm:sqref>N49</xm:sqref>
        </x14:conditionalFormatting>
        <x14:conditionalFormatting xmlns:xm="http://schemas.microsoft.com/office/excel/2006/main">
          <x14:cfRule type="beginsWith" priority="110" operator="beginsWith" id="{ACCA56B6-9115-4889-8694-5BE9596B5275}">
            <xm:f>LEFT(K47,LEN("-"))="-"</xm:f>
            <xm:f>"-"</xm:f>
            <x14:dxf>
              <font>
                <color rgb="FFFF0000"/>
              </font>
            </x14:dxf>
          </x14:cfRule>
          <xm:sqref>K47</xm:sqref>
        </x14:conditionalFormatting>
        <x14:conditionalFormatting xmlns:xm="http://schemas.microsoft.com/office/excel/2006/main">
          <x14:cfRule type="beginsWith" priority="112" operator="beginsWith" id="{07C83566-2C23-4E77-B31A-D878E08FAE15}">
            <xm:f>LEFT(K48,LEN("-"))="-"</xm:f>
            <xm:f>"-"</xm:f>
            <x14:dxf>
              <font>
                <color rgb="FFFF0000"/>
              </font>
            </x14:dxf>
          </x14:cfRule>
          <xm:sqref>K48</xm:sqref>
        </x14:conditionalFormatting>
        <x14:conditionalFormatting xmlns:xm="http://schemas.microsoft.com/office/excel/2006/main">
          <x14:cfRule type="beginsWith" priority="111" operator="beginsWith" id="{E1C47C30-9F75-432D-8ABE-4840EBF4B56B}">
            <xm:f>LEFT(K49,LEN("-"))="-"</xm:f>
            <xm:f>"-"</xm:f>
            <x14:dxf>
              <font>
                <color rgb="FFFF0000"/>
              </font>
            </x14:dxf>
          </x14:cfRule>
          <xm:sqref>K49</xm:sqref>
        </x14:conditionalFormatting>
        <x14:conditionalFormatting xmlns:xm="http://schemas.microsoft.com/office/excel/2006/main">
          <x14:cfRule type="beginsWith" priority="106" operator="beginsWith" id="{00521ED2-9885-45E9-9318-B91D854A2CDF}">
            <xm:f>LEFT(J57,LEN("-"))="-"</xm:f>
            <xm:f>"-"</xm:f>
            <x14:dxf>
              <font>
                <color rgb="FFFF0000"/>
              </font>
            </x14:dxf>
          </x14:cfRule>
          <xm:sqref>J57</xm:sqref>
        </x14:conditionalFormatting>
        <x14:conditionalFormatting xmlns:xm="http://schemas.microsoft.com/office/excel/2006/main">
          <x14:cfRule type="beginsWith" priority="105" operator="beginsWith" id="{D853E6CB-0C23-4E80-B572-1BEE1486F090}">
            <xm:f>LEFT(J56,LEN("-"))="-"</xm:f>
            <xm:f>"-"</xm:f>
            <x14:dxf>
              <font>
                <color rgb="FFFF0000"/>
              </font>
            </x14:dxf>
          </x14:cfRule>
          <xm:sqref>J56</xm:sqref>
        </x14:conditionalFormatting>
        <x14:conditionalFormatting xmlns:xm="http://schemas.microsoft.com/office/excel/2006/main">
          <x14:cfRule type="beginsWith" priority="95" operator="beginsWith" id="{863B2171-D4FE-412C-BEB4-EBA415D4FC6F}">
            <xm:f>LEFT(N119,LEN("-"))="-"</xm:f>
            <xm:f>"-"</xm:f>
            <x14:dxf>
              <font>
                <color rgb="FFFF0000"/>
              </font>
            </x14:dxf>
          </x14:cfRule>
          <xm:sqref>N119:AC119</xm:sqref>
        </x14:conditionalFormatting>
        <x14:conditionalFormatting xmlns:xm="http://schemas.microsoft.com/office/excel/2006/main">
          <x14:cfRule type="beginsWith" priority="91" operator="beginsWith" id="{F51D0B5E-11D4-4470-8832-1EAD7E7ACFD0}">
            <xm:f>LEFT(N121,LEN("-"))="-"</xm:f>
            <xm:f>"-"</xm:f>
            <x14:dxf>
              <font>
                <color rgb="FFFF0000"/>
              </font>
            </x14:dxf>
          </x14:cfRule>
          <xm:sqref>X121:AC121 N121:V121</xm:sqref>
        </x14:conditionalFormatting>
        <x14:conditionalFormatting xmlns:xm="http://schemas.microsoft.com/office/excel/2006/main">
          <x14:cfRule type="beginsWith" priority="92" operator="beginsWith" id="{99C38C38-CB0C-4F10-8122-A04DD3646569}">
            <xm:f>LEFT(W122,LEN("-"))="-"</xm:f>
            <xm:f>"-"</xm:f>
            <x14:dxf>
              <font>
                <color rgb="FFFF0000"/>
              </font>
            </x14:dxf>
          </x14:cfRule>
          <xm:sqref>W122:W123</xm:sqref>
        </x14:conditionalFormatting>
        <x14:conditionalFormatting xmlns:xm="http://schemas.microsoft.com/office/excel/2006/main">
          <x14:cfRule type="beginsWith" priority="97" operator="beginsWith" id="{3CD0E4D0-005E-4F6B-8E79-F8A0901715AF}">
            <xm:f>LEFT(K55,LEN("-"))="-"</xm:f>
            <xm:f>"-"</xm:f>
            <x14:dxf>
              <font>
                <color rgb="FFFF0000"/>
              </font>
            </x14:dxf>
          </x14:cfRule>
          <xm:sqref>K55</xm:sqref>
        </x14:conditionalFormatting>
        <x14:conditionalFormatting xmlns:xm="http://schemas.microsoft.com/office/excel/2006/main">
          <x14:cfRule type="beginsWith" priority="99" operator="beginsWith" id="{3BA1065D-E03F-463C-B516-9CBA995BBB48}">
            <xm:f>LEFT(K56,LEN("-"))="-"</xm:f>
            <xm:f>"-"</xm:f>
            <x14:dxf>
              <font>
                <color rgb="FFFF0000"/>
              </font>
            </x14:dxf>
          </x14:cfRule>
          <xm:sqref>K56</xm:sqref>
        </x14:conditionalFormatting>
        <x14:conditionalFormatting xmlns:xm="http://schemas.microsoft.com/office/excel/2006/main">
          <x14:cfRule type="beginsWith" priority="98" operator="beginsWith" id="{F5B7DC5E-1D0A-4560-B340-FB2B710219A5}">
            <xm:f>LEFT(K57,LEN("-"))="-"</xm:f>
            <xm:f>"-"</xm:f>
            <x14:dxf>
              <font>
                <color rgb="FFFF0000"/>
              </font>
            </x14:dxf>
          </x14:cfRule>
          <xm:sqref>K57</xm:sqref>
        </x14:conditionalFormatting>
        <x14:conditionalFormatting xmlns:xm="http://schemas.microsoft.com/office/excel/2006/main">
          <x14:cfRule type="beginsWith" priority="96" operator="beginsWith" id="{26101557-6175-411E-8993-723D3A42CCE9}">
            <xm:f>LEFT(N118,LEN("-"))="-"</xm:f>
            <xm:f>"-"</xm:f>
            <x14:dxf>
              <font>
                <color rgb="FFFF0000"/>
              </font>
            </x14:dxf>
          </x14:cfRule>
          <xm:sqref>N118:AC118</xm:sqref>
        </x14:conditionalFormatting>
        <x14:conditionalFormatting xmlns:xm="http://schemas.microsoft.com/office/excel/2006/main">
          <x14:cfRule type="beginsWith" priority="90" operator="beginsWith" id="{9FFEB67E-5CC5-44D9-9ED1-6B3A2CA9013C}">
            <xm:f>LEFT(N122,LEN("-"))="-"</xm:f>
            <xm:f>"-"</xm:f>
            <x14:dxf>
              <font>
                <color rgb="FFFF0000"/>
              </font>
            </x14:dxf>
          </x14:cfRule>
          <xm:sqref>X122:AC123 N122:V123</xm:sqref>
        </x14:conditionalFormatting>
        <x14:conditionalFormatting xmlns:xm="http://schemas.microsoft.com/office/excel/2006/main">
          <x14:cfRule type="beginsWith" priority="89" operator="beginsWith" id="{23EEAE9B-5086-468A-8F4D-5CBB9A49CBCE}">
            <xm:f>LEFT(J118,LEN("-"))="-"</xm:f>
            <xm:f>"-"</xm:f>
            <x14:dxf>
              <font>
                <color rgb="FFFF0000"/>
              </font>
            </x14:dxf>
          </x14:cfRule>
          <xm:sqref>J118</xm:sqref>
        </x14:conditionalFormatting>
        <x14:conditionalFormatting xmlns:xm="http://schemas.microsoft.com/office/excel/2006/main">
          <x14:cfRule type="beginsWith" priority="88" operator="beginsWith" id="{70E6A0EE-9349-4640-82CE-C7CEA35810AA}">
            <xm:f>LEFT(J119,LEN("-"))="-"</xm:f>
            <xm:f>"-"</xm:f>
            <x14:dxf>
              <font>
                <color rgb="FFFF0000"/>
              </font>
            </x14:dxf>
          </x14:cfRule>
          <xm:sqref>J119</xm:sqref>
        </x14:conditionalFormatting>
        <x14:conditionalFormatting xmlns:xm="http://schemas.microsoft.com/office/excel/2006/main">
          <x14:cfRule type="beginsWith" priority="87" operator="beginsWith" id="{D1252A62-EBE8-4271-8D20-B6F3CA8833B7}">
            <xm:f>LEFT(J120,LEN("-"))="-"</xm:f>
            <xm:f>"-"</xm:f>
            <x14:dxf>
              <font>
                <color rgb="FFFF0000"/>
              </font>
            </x14:dxf>
          </x14:cfRule>
          <xm:sqref>J120</xm:sqref>
        </x14:conditionalFormatting>
        <x14:conditionalFormatting xmlns:xm="http://schemas.microsoft.com/office/excel/2006/main">
          <x14:cfRule type="beginsWith" priority="86" operator="beginsWith" id="{927037AD-71F8-4002-90D5-14162F66D065}">
            <xm:f>LEFT(J121,LEN("-"))="-"</xm:f>
            <xm:f>"-"</xm:f>
            <x14:dxf>
              <font>
                <color rgb="FFFF0000"/>
              </font>
            </x14:dxf>
          </x14:cfRule>
          <xm:sqref>J121:J123</xm:sqref>
        </x14:conditionalFormatting>
        <x14:conditionalFormatting xmlns:xm="http://schemas.microsoft.com/office/excel/2006/main">
          <x14:cfRule type="beginsWith" priority="85" operator="beginsWith" id="{02BE64C0-8DB3-494B-B94B-7D0254A750AC}">
            <xm:f>LEFT(L118,LEN("-"))="-"</xm:f>
            <xm:f>"-"</xm:f>
            <x14:dxf>
              <font>
                <color rgb="FFFF0000"/>
              </font>
            </x14:dxf>
          </x14:cfRule>
          <xm:sqref>L118</xm:sqref>
        </x14:conditionalFormatting>
        <x14:conditionalFormatting xmlns:xm="http://schemas.microsoft.com/office/excel/2006/main">
          <x14:cfRule type="beginsWith" priority="84" operator="beginsWith" id="{E0B22A42-7D19-4065-8270-B88E73E95598}">
            <xm:f>LEFT(L119,LEN("-"))="-"</xm:f>
            <xm:f>"-"</xm:f>
            <x14:dxf>
              <font>
                <color rgb="FFFF0000"/>
              </font>
            </x14:dxf>
          </x14:cfRule>
          <xm:sqref>L119</xm:sqref>
        </x14:conditionalFormatting>
        <x14:conditionalFormatting xmlns:xm="http://schemas.microsoft.com/office/excel/2006/main">
          <x14:cfRule type="beginsWith" priority="83" operator="beginsWith" id="{9F579C11-9238-49F7-A861-FB916F207381}">
            <xm:f>LEFT(L120,LEN("-"))="-"</xm:f>
            <xm:f>"-"</xm:f>
            <x14:dxf>
              <font>
                <color rgb="FFFF0000"/>
              </font>
            </x14:dxf>
          </x14:cfRule>
          <xm:sqref>L120</xm:sqref>
        </x14:conditionalFormatting>
        <x14:conditionalFormatting xmlns:xm="http://schemas.microsoft.com/office/excel/2006/main">
          <x14:cfRule type="beginsWith" priority="82" operator="beginsWith" id="{2903C8AF-1D1E-4971-8140-B89FCD4DB216}">
            <xm:f>LEFT(L121,LEN("-"))="-"</xm:f>
            <xm:f>"-"</xm:f>
            <x14:dxf>
              <font>
                <color rgb="FFFF0000"/>
              </font>
            </x14:dxf>
          </x14:cfRule>
          <xm:sqref>L121:L123</xm:sqref>
        </x14:conditionalFormatting>
        <x14:conditionalFormatting xmlns:xm="http://schemas.microsoft.com/office/excel/2006/main">
          <x14:cfRule type="beginsWith" priority="81" operator="beginsWith" id="{3F7B1AF6-FDF8-4237-843F-017E3F421741}">
            <xm:f>LEFT(M118,LEN("-"))="-"</xm:f>
            <xm:f>"-"</xm:f>
            <x14:dxf>
              <font>
                <color rgb="FFFF0000"/>
              </font>
            </x14:dxf>
          </x14:cfRule>
          <xm:sqref>M118</xm:sqref>
        </x14:conditionalFormatting>
        <x14:conditionalFormatting xmlns:xm="http://schemas.microsoft.com/office/excel/2006/main">
          <x14:cfRule type="beginsWith" priority="80" operator="beginsWith" id="{D269FA26-EEDA-40B0-A316-8DF2424D39E5}">
            <xm:f>LEFT(M119,LEN("-"))="-"</xm:f>
            <xm:f>"-"</xm:f>
            <x14:dxf>
              <font>
                <color rgb="FFFF0000"/>
              </font>
            </x14:dxf>
          </x14:cfRule>
          <xm:sqref>M119</xm:sqref>
        </x14:conditionalFormatting>
        <x14:conditionalFormatting xmlns:xm="http://schemas.microsoft.com/office/excel/2006/main">
          <x14:cfRule type="beginsWith" priority="75" operator="beginsWith" id="{D3F0012E-3859-4343-80F6-FA52A8968157}">
            <xm:f>LEFT(K119,LEN("-"))="-"</xm:f>
            <xm:f>"-"</xm:f>
            <x14:dxf>
              <font>
                <color rgb="FFFF0000"/>
              </font>
            </x14:dxf>
          </x14:cfRule>
          <xm:sqref>K119</xm:sqref>
        </x14:conditionalFormatting>
        <x14:conditionalFormatting xmlns:xm="http://schemas.microsoft.com/office/excel/2006/main">
          <x14:cfRule type="beginsWith" priority="74" operator="beginsWith" id="{105B6F49-849E-4598-AA2E-02C8EAD1E355}">
            <xm:f>LEFT(K120,LEN("-"))="-"</xm:f>
            <xm:f>"-"</xm:f>
            <x14:dxf>
              <font>
                <color rgb="FFFF0000"/>
              </font>
            </x14:dxf>
          </x14:cfRule>
          <xm:sqref>K120</xm:sqref>
        </x14:conditionalFormatting>
        <x14:conditionalFormatting xmlns:xm="http://schemas.microsoft.com/office/excel/2006/main">
          <x14:cfRule type="beginsWith" priority="73" operator="beginsWith" id="{8285D015-CBFD-4F3C-AFA7-2B0C7D3C0374}">
            <xm:f>LEFT(K121,LEN("-"))="-"</xm:f>
            <xm:f>"-"</xm:f>
            <x14:dxf>
              <font>
                <color rgb="FFFF0000"/>
              </font>
            </x14:dxf>
          </x14:cfRule>
          <xm:sqref>K121</xm:sqref>
        </x14:conditionalFormatting>
        <x14:conditionalFormatting xmlns:xm="http://schemas.microsoft.com/office/excel/2006/main">
          <x14:cfRule type="beginsWith" priority="72" operator="beginsWith" id="{097B0501-A049-44DC-B798-083894262F7F}">
            <xm:f>LEFT(K122,LEN("-"))="-"</xm:f>
            <xm:f>"-"</xm:f>
            <x14:dxf>
              <font>
                <color rgb="FFFF0000"/>
              </font>
            </x14:dxf>
          </x14:cfRule>
          <xm:sqref>K122:K123</xm:sqref>
        </x14:conditionalFormatting>
        <x14:conditionalFormatting xmlns:xm="http://schemas.microsoft.com/office/excel/2006/main">
          <x14:cfRule type="beginsWith" priority="79" operator="beginsWith" id="{5926B398-6DDE-4E6F-9590-C7EE2017A901}">
            <xm:f>LEFT(M120,LEN("-"))="-"</xm:f>
            <xm:f>"-"</xm:f>
            <x14:dxf>
              <font>
                <color rgb="FFFF0000"/>
              </font>
            </x14:dxf>
          </x14:cfRule>
          <xm:sqref>M120</xm:sqref>
        </x14:conditionalFormatting>
        <x14:conditionalFormatting xmlns:xm="http://schemas.microsoft.com/office/excel/2006/main">
          <x14:cfRule type="beginsWith" priority="78" operator="beginsWith" id="{69A866E3-8824-4818-B25B-8A5C8717FF57}">
            <xm:f>LEFT(M121,LEN("-"))="-"</xm:f>
            <xm:f>"-"</xm:f>
            <x14:dxf>
              <font>
                <color rgb="FFFF0000"/>
              </font>
            </x14:dxf>
          </x14:cfRule>
          <xm:sqref>M121</xm:sqref>
        </x14:conditionalFormatting>
        <x14:conditionalFormatting xmlns:xm="http://schemas.microsoft.com/office/excel/2006/main">
          <x14:cfRule type="beginsWith" priority="77" operator="beginsWith" id="{704AA57C-9CE3-45D6-AC24-3D15404DC053}">
            <xm:f>LEFT(M122,LEN("-"))="-"</xm:f>
            <xm:f>"-"</xm:f>
            <x14:dxf>
              <font>
                <color rgb="FFFF0000"/>
              </font>
            </x14:dxf>
          </x14:cfRule>
          <xm:sqref>M122:M123</xm:sqref>
        </x14:conditionalFormatting>
        <x14:conditionalFormatting xmlns:xm="http://schemas.microsoft.com/office/excel/2006/main">
          <x14:cfRule type="beginsWith" priority="76" operator="beginsWith" id="{7CC6FCC6-2496-42C2-8A3C-A13C3BCB7012}">
            <xm:f>LEFT(K118,LEN("-"))="-"</xm:f>
            <xm:f>"-"</xm:f>
            <x14:dxf>
              <font>
                <color rgb="FFFF0000"/>
              </font>
            </x14:dxf>
          </x14:cfRule>
          <xm:sqref>K118</xm:sqref>
        </x14:conditionalFormatting>
        <x14:conditionalFormatting xmlns:xm="http://schemas.microsoft.com/office/excel/2006/main">
          <x14:cfRule type="beginsWith" priority="71" operator="beginsWith" id="{75CC2E1A-AAF2-4012-9BB2-A5F2C2194F7D}">
            <xm:f>LEFT(M71,LEN("-"))="-"</xm:f>
            <xm:f>"-"</xm:f>
            <x14:dxf>
              <font>
                <color rgb="FFFF0000"/>
              </font>
            </x14:dxf>
          </x14:cfRule>
          <xm:sqref>M71:AC71</xm:sqref>
        </x14:conditionalFormatting>
        <x14:conditionalFormatting xmlns:xm="http://schemas.microsoft.com/office/excel/2006/main">
          <x14:cfRule type="beginsWith" priority="65" operator="beginsWith" id="{F107E8C1-48E9-407B-A742-BDBDE53B2E86}">
            <xm:f>LEFT(N75,LEN("-"))="-"</xm:f>
            <xm:f>"-"</xm:f>
            <x14:dxf>
              <font>
                <color rgb="FFFF0000"/>
              </font>
            </x14:dxf>
          </x14:cfRule>
          <xm:sqref>N75</xm:sqref>
        </x14:conditionalFormatting>
        <x14:conditionalFormatting xmlns:xm="http://schemas.microsoft.com/office/excel/2006/main">
          <x14:cfRule type="beginsWith" priority="66" operator="beginsWith" id="{08A511D3-B0D8-4DFF-B915-F2D2F6A36FD6}">
            <xm:f>LEFT(N74,LEN("-"))="-"</xm:f>
            <xm:f>"-"</xm:f>
            <x14:dxf>
              <font>
                <color rgb="FFFF0000"/>
              </font>
            </x14:dxf>
          </x14:cfRule>
          <xm:sqref>N74 N76</xm:sqref>
        </x14:conditionalFormatting>
        <x14:conditionalFormatting xmlns:xm="http://schemas.microsoft.com/office/excel/2006/main">
          <x14:cfRule type="beginsWith" priority="59" operator="beginsWith" id="{1F694546-86EA-45E2-BD89-C62436E4EAFE}">
            <xm:f>LEFT(N83,LEN("-"))="-"</xm:f>
            <xm:f>"-"</xm:f>
            <x14:dxf>
              <font>
                <color rgb="FFFF0000"/>
              </font>
            </x14:dxf>
          </x14:cfRule>
          <xm:sqref>N83</xm:sqref>
        </x14:conditionalFormatting>
        <x14:conditionalFormatting xmlns:xm="http://schemas.microsoft.com/office/excel/2006/main">
          <x14:cfRule type="beginsWith" priority="60" operator="beginsWith" id="{92655C81-D95A-4620-8859-CF51D49CBDF9}">
            <xm:f>LEFT(N82,LEN("-"))="-"</xm:f>
            <xm:f>"-"</xm:f>
            <x14:dxf>
              <font>
                <color rgb="FFFF0000"/>
              </font>
            </x14:dxf>
          </x14:cfRule>
          <xm:sqref>N82 N84</xm:sqref>
        </x14:conditionalFormatting>
        <x14:conditionalFormatting xmlns:xm="http://schemas.microsoft.com/office/excel/2006/main">
          <x14:cfRule type="beginsWith" priority="52" operator="beginsWith" id="{80613380-CB5E-4C28-8193-248E18AB290A}">
            <xm:f>LEFT(L27,LEN("-"))="-"</xm:f>
            <xm:f>"-"</xm:f>
            <x14:dxf>
              <font>
                <color rgb="FFFF0000"/>
              </font>
            </x14:dxf>
          </x14:cfRule>
          <xm:sqref>L27</xm:sqref>
        </x14:conditionalFormatting>
        <x14:conditionalFormatting xmlns:xm="http://schemas.microsoft.com/office/excel/2006/main">
          <x14:cfRule type="beginsWith" priority="51" operator="beginsWith" id="{88819CEA-E143-4336-A3F1-77995C4675AE}">
            <xm:f>LEFT(L28,LEN("-"))="-"</xm:f>
            <xm:f>"-"</xm:f>
            <x14:dxf>
              <font>
                <color rgb="FFFF0000"/>
              </font>
            </x14:dxf>
          </x14:cfRule>
          <xm:sqref>L28</xm:sqref>
        </x14:conditionalFormatting>
        <x14:conditionalFormatting xmlns:xm="http://schemas.microsoft.com/office/excel/2006/main">
          <x14:cfRule type="beginsWith" priority="50" operator="beginsWith" id="{85BCF3D4-F933-40B3-9805-6DED3BA8DB4A}">
            <xm:f>LEFT(L29,LEN("-"))="-"</xm:f>
            <xm:f>"-"</xm:f>
            <x14:dxf>
              <font>
                <color rgb="FFFF0000"/>
              </font>
            </x14:dxf>
          </x14:cfRule>
          <xm:sqref>L29</xm:sqref>
        </x14:conditionalFormatting>
        <x14:conditionalFormatting xmlns:xm="http://schemas.microsoft.com/office/excel/2006/main">
          <x14:cfRule type="beginsWith" priority="49" operator="beginsWith" id="{0B041B53-093C-46CB-A723-0C5FED7F276E}">
            <xm:f>LEFT(L30,LEN("-"))="-"</xm:f>
            <xm:f>"-"</xm:f>
            <x14:dxf>
              <font>
                <color rgb="FFFF0000"/>
              </font>
            </x14:dxf>
          </x14:cfRule>
          <xm:sqref>L30</xm:sqref>
        </x14:conditionalFormatting>
        <x14:conditionalFormatting xmlns:xm="http://schemas.microsoft.com/office/excel/2006/main">
          <x14:cfRule type="beginsWith" priority="48" operator="beginsWith" id="{432FADF5-B02D-4489-A0FE-DC5E027A8FA7}">
            <xm:f>LEFT(P27,LEN("-"))="-"</xm:f>
            <xm:f>"-"</xm:f>
            <x14:dxf>
              <font>
                <color rgb="FFFF0000"/>
              </font>
            </x14:dxf>
          </x14:cfRule>
          <xm:sqref>P27:P30</xm:sqref>
        </x14:conditionalFormatting>
        <x14:conditionalFormatting xmlns:xm="http://schemas.microsoft.com/office/excel/2006/main">
          <x14:cfRule type="beginsWith" priority="47" operator="beginsWith" id="{F17C9970-044A-4A0C-B3F4-CCD92CFFF645}">
            <xm:f>LEFT(M27,LEN("-"))="-"</xm:f>
            <xm:f>"-"</xm:f>
            <x14:dxf>
              <font>
                <color rgb="FFFF0000"/>
              </font>
            </x14:dxf>
          </x14:cfRule>
          <xm:sqref>M27</xm:sqref>
        </x14:conditionalFormatting>
        <x14:conditionalFormatting xmlns:xm="http://schemas.microsoft.com/office/excel/2006/main">
          <x14:cfRule type="beginsWith" priority="46" operator="beginsWith" id="{3831FC0E-6B87-4B0B-9FE5-477B06DB6360}">
            <xm:f>LEFT(M28,LEN("-"))="-"</xm:f>
            <xm:f>"-"</xm:f>
            <x14:dxf>
              <font>
                <color rgb="FFFF0000"/>
              </font>
            </x14:dxf>
          </x14:cfRule>
          <xm:sqref>M28</xm:sqref>
        </x14:conditionalFormatting>
        <x14:conditionalFormatting xmlns:xm="http://schemas.microsoft.com/office/excel/2006/main">
          <x14:cfRule type="beginsWith" priority="45" operator="beginsWith" id="{E772F5D2-2CB5-4E1A-9913-8F04DA5CF93A}">
            <xm:f>LEFT(M29,LEN("-"))="-"</xm:f>
            <xm:f>"-"</xm:f>
            <x14:dxf>
              <font>
                <color rgb="FFFF0000"/>
              </font>
            </x14:dxf>
          </x14:cfRule>
          <xm:sqref>M29</xm:sqref>
        </x14:conditionalFormatting>
        <x14:conditionalFormatting xmlns:xm="http://schemas.microsoft.com/office/excel/2006/main">
          <x14:cfRule type="beginsWith" priority="44" operator="beginsWith" id="{C82A7E3F-9BBF-48B1-91CE-9410FACDA46C}">
            <xm:f>LEFT(M30,LEN("-"))="-"</xm:f>
            <xm:f>"-"</xm:f>
            <x14:dxf>
              <font>
                <color rgb="FFFF0000"/>
              </font>
            </x14:dxf>
          </x14:cfRule>
          <xm:sqref>M30</xm:sqref>
        </x14:conditionalFormatting>
        <x14:conditionalFormatting xmlns:xm="http://schemas.microsoft.com/office/excel/2006/main">
          <x14:cfRule type="beginsWith" priority="43" operator="beginsWith" id="{34198487-6DAA-4656-B032-94806A283E09}">
            <xm:f>LEFT(L35,LEN("-"))="-"</xm:f>
            <xm:f>"-"</xm:f>
            <x14:dxf>
              <font>
                <color rgb="FFFF0000"/>
              </font>
            </x14:dxf>
          </x14:cfRule>
          <xm:sqref>L35</xm:sqref>
        </x14:conditionalFormatting>
        <x14:conditionalFormatting xmlns:xm="http://schemas.microsoft.com/office/excel/2006/main">
          <x14:cfRule type="beginsWith" priority="42" operator="beginsWith" id="{1E1C0329-1B1D-4FCA-977F-BD867E785287}">
            <xm:f>LEFT(L36,LEN("-"))="-"</xm:f>
            <xm:f>"-"</xm:f>
            <x14:dxf>
              <font>
                <color rgb="FFFF0000"/>
              </font>
            </x14:dxf>
          </x14:cfRule>
          <xm:sqref>L36</xm:sqref>
        </x14:conditionalFormatting>
        <x14:conditionalFormatting xmlns:xm="http://schemas.microsoft.com/office/excel/2006/main">
          <x14:cfRule type="beginsWith" priority="41" operator="beginsWith" id="{19093CC4-1F57-4513-92AD-241950F7E184}">
            <xm:f>LEFT(L37,LEN("-"))="-"</xm:f>
            <xm:f>"-"</xm:f>
            <x14:dxf>
              <font>
                <color rgb="FFFF0000"/>
              </font>
            </x14:dxf>
          </x14:cfRule>
          <xm:sqref>L37</xm:sqref>
        </x14:conditionalFormatting>
        <x14:conditionalFormatting xmlns:xm="http://schemas.microsoft.com/office/excel/2006/main">
          <x14:cfRule type="beginsWith" priority="40" operator="beginsWith" id="{53E67168-92E8-439A-A771-ECEC8DD5BFFA}">
            <xm:f>LEFT(L38,LEN("-"))="-"</xm:f>
            <xm:f>"-"</xm:f>
            <x14:dxf>
              <font>
                <color rgb="FFFF0000"/>
              </font>
            </x14:dxf>
          </x14:cfRule>
          <xm:sqref>L38:L40</xm:sqref>
        </x14:conditionalFormatting>
        <x14:conditionalFormatting xmlns:xm="http://schemas.microsoft.com/office/excel/2006/main">
          <x14:cfRule type="beginsWith" priority="39" operator="beginsWith" id="{C731D66E-81CB-48EE-A07D-3D5D652B8490}">
            <xm:f>LEFT(P35,LEN("-"))="-"</xm:f>
            <xm:f>"-"</xm:f>
            <x14:dxf>
              <font>
                <color rgb="FFFF0000"/>
              </font>
            </x14:dxf>
          </x14:cfRule>
          <xm:sqref>P35:P40</xm:sqref>
        </x14:conditionalFormatting>
        <x14:conditionalFormatting xmlns:xm="http://schemas.microsoft.com/office/excel/2006/main">
          <x14:cfRule type="beginsWith" priority="38" operator="beginsWith" id="{5B0BB242-5AD0-4972-BFEA-36958EE0EE7E}">
            <xm:f>LEFT(Q35,LEN("-"))="-"</xm:f>
            <xm:f>"-"</xm:f>
            <x14:dxf>
              <font>
                <color rgb="FFFF0000"/>
              </font>
            </x14:dxf>
          </x14:cfRule>
          <xm:sqref>Q35:Q40</xm:sqref>
        </x14:conditionalFormatting>
        <x14:conditionalFormatting xmlns:xm="http://schemas.microsoft.com/office/excel/2006/main">
          <x14:cfRule type="beginsWith" priority="37" operator="beginsWith" id="{0740C4D4-792F-471D-8DE1-BF001E0ACEF0}">
            <xm:f>LEFT(M35,LEN("-"))="-"</xm:f>
            <xm:f>"-"</xm:f>
            <x14:dxf>
              <font>
                <color rgb="FFFF0000"/>
              </font>
            </x14:dxf>
          </x14:cfRule>
          <xm:sqref>M35</xm:sqref>
        </x14:conditionalFormatting>
        <x14:conditionalFormatting xmlns:xm="http://schemas.microsoft.com/office/excel/2006/main">
          <x14:cfRule type="beginsWith" priority="36" operator="beginsWith" id="{A74DE5A8-BF2D-4033-95D1-68476997C067}">
            <xm:f>LEFT(M36,LEN("-"))="-"</xm:f>
            <xm:f>"-"</xm:f>
            <x14:dxf>
              <font>
                <color rgb="FFFF0000"/>
              </font>
            </x14:dxf>
          </x14:cfRule>
          <xm:sqref>M36</xm:sqref>
        </x14:conditionalFormatting>
        <x14:conditionalFormatting xmlns:xm="http://schemas.microsoft.com/office/excel/2006/main">
          <x14:cfRule type="beginsWith" priority="35" operator="beginsWith" id="{966C6BD1-E104-4EEA-AE55-1AC38FD2BE76}">
            <xm:f>LEFT(M37,LEN("-"))="-"</xm:f>
            <xm:f>"-"</xm:f>
            <x14:dxf>
              <font>
                <color rgb="FFFF0000"/>
              </font>
            </x14:dxf>
          </x14:cfRule>
          <xm:sqref>M37</xm:sqref>
        </x14:conditionalFormatting>
        <x14:conditionalFormatting xmlns:xm="http://schemas.microsoft.com/office/excel/2006/main">
          <x14:cfRule type="beginsWith" priority="34" operator="beginsWith" id="{C36D6A80-866B-48F3-844B-40385CCD7E69}">
            <xm:f>LEFT(M38,LEN("-"))="-"</xm:f>
            <xm:f>"-"</xm:f>
            <x14:dxf>
              <font>
                <color rgb="FFFF0000"/>
              </font>
            </x14:dxf>
          </x14:cfRule>
          <xm:sqref>M38</xm:sqref>
        </x14:conditionalFormatting>
        <x14:conditionalFormatting xmlns:xm="http://schemas.microsoft.com/office/excel/2006/main">
          <x14:cfRule type="beginsWith" priority="33" operator="beginsWith" id="{66153CA5-FFC1-44AD-8744-14A28255FF4C}">
            <xm:f>LEFT(M39,LEN("-"))="-"</xm:f>
            <xm:f>"-"</xm:f>
            <x14:dxf>
              <font>
                <color rgb="FFFF0000"/>
              </font>
            </x14:dxf>
          </x14:cfRule>
          <xm:sqref>M39:M40</xm:sqref>
        </x14:conditionalFormatting>
        <x14:conditionalFormatting xmlns:xm="http://schemas.microsoft.com/office/excel/2006/main">
          <x14:cfRule type="beginsWith" priority="32" operator="beginsWith" id="{0B9E12AE-F135-4DD8-9CD3-C46D0397C16B}">
            <xm:f>LEFT(L49,LEN("-"))="-"</xm:f>
            <xm:f>"-"</xm:f>
            <x14:dxf>
              <font>
                <color rgb="FFFF0000"/>
              </font>
            </x14:dxf>
          </x14:cfRule>
          <xm:sqref>L49</xm:sqref>
        </x14:conditionalFormatting>
        <x14:conditionalFormatting xmlns:xm="http://schemas.microsoft.com/office/excel/2006/main">
          <x14:cfRule type="beginsWith" priority="31" operator="beginsWith" id="{51C68581-06F8-4FDE-A0C0-A092DE114C00}">
            <xm:f>LEFT(L48,LEN("-"))="-"</xm:f>
            <xm:f>"-"</xm:f>
            <x14:dxf>
              <font>
                <color rgb="FFFF0000"/>
              </font>
            </x14:dxf>
          </x14:cfRule>
          <xm:sqref>L48</xm:sqref>
        </x14:conditionalFormatting>
        <x14:conditionalFormatting xmlns:xm="http://schemas.microsoft.com/office/excel/2006/main">
          <x14:cfRule type="beginsWith" priority="30" operator="beginsWith" id="{4F9A8FEA-BF46-4B1B-B758-D2A7E1F9F612}">
            <xm:f>LEFT(P47,LEN("-"))="-"</xm:f>
            <xm:f>"-"</xm:f>
            <x14:dxf>
              <font>
                <color rgb="FFFF0000"/>
              </font>
            </x14:dxf>
          </x14:cfRule>
          <xm:sqref>P47:P49</xm:sqref>
        </x14:conditionalFormatting>
        <x14:conditionalFormatting xmlns:xm="http://schemas.microsoft.com/office/excel/2006/main">
          <x14:cfRule type="beginsWith" priority="29" operator="beginsWith" id="{B9859842-C946-4871-8726-F7E4689B2294}">
            <xm:f>LEFT(Q47,LEN("-"))="-"</xm:f>
            <xm:f>"-"</xm:f>
            <x14:dxf>
              <font>
                <color rgb="FFFF0000"/>
              </font>
            </x14:dxf>
          </x14:cfRule>
          <xm:sqref>Q47:Q49</xm:sqref>
        </x14:conditionalFormatting>
        <x14:conditionalFormatting xmlns:xm="http://schemas.microsoft.com/office/excel/2006/main">
          <x14:cfRule type="beginsWith" priority="28" operator="beginsWith" id="{871A0149-062F-463B-9E9F-BA102F603D19}">
            <xm:f>LEFT(M47,LEN("-"))="-"</xm:f>
            <xm:f>"-"</xm:f>
            <x14:dxf>
              <font>
                <color rgb="FFFF0000"/>
              </font>
            </x14:dxf>
          </x14:cfRule>
          <xm:sqref>M47:M49</xm:sqref>
        </x14:conditionalFormatting>
        <x14:conditionalFormatting xmlns:xm="http://schemas.microsoft.com/office/excel/2006/main">
          <x14:cfRule type="beginsWith" priority="18" operator="beginsWith" id="{D0910286-A1BE-485F-9DE2-FDEF58CFAABB}">
            <xm:f>LEFT(Q55,LEN("-"))="-"</xm:f>
            <xm:f>"-"</xm:f>
            <x14:dxf>
              <font>
                <color rgb="FFFF0000"/>
              </font>
            </x14:dxf>
          </x14:cfRule>
          <xm:sqref>Q55:Q57</xm:sqref>
        </x14:conditionalFormatting>
        <x14:conditionalFormatting xmlns:xm="http://schemas.microsoft.com/office/excel/2006/main">
          <x14:cfRule type="beginsWith" priority="17" operator="beginsWith" id="{99CDA236-D6BF-4860-AAF9-CD438F5D62DE}">
            <xm:f>LEFT(M55,LEN("-"))="-"</xm:f>
            <xm:f>"-"</xm:f>
            <x14:dxf>
              <font>
                <color rgb="FFFF0000"/>
              </font>
            </x14:dxf>
          </x14:cfRule>
          <xm:sqref>M55:M57</xm:sqref>
        </x14:conditionalFormatting>
        <x14:conditionalFormatting xmlns:xm="http://schemas.microsoft.com/office/excel/2006/main">
          <x14:cfRule type="beginsWith" priority="25" operator="beginsWith" id="{61E77945-39AE-4891-870C-ADF20FE72B66}">
            <xm:f>LEFT(O55,LEN("-"))="-"</xm:f>
            <xm:f>"-"</xm:f>
            <x14:dxf>
              <font>
                <color rgb="FFFF0000"/>
              </font>
            </x14:dxf>
          </x14:cfRule>
          <xm:sqref>R55:AE57 O55:O57</xm:sqref>
        </x14:conditionalFormatting>
        <x14:conditionalFormatting xmlns:xm="http://schemas.microsoft.com/office/excel/2006/main">
          <x14:cfRule type="beginsWith" priority="24" operator="beginsWith" id="{251104D5-01AA-47C4-8AFD-A9F6C535E176}">
            <xm:f>LEFT(N56,LEN("-"))="-"</xm:f>
            <xm:f>"-"</xm:f>
            <x14:dxf>
              <font>
                <color rgb="FFFF0000"/>
              </font>
            </x14:dxf>
          </x14:cfRule>
          <xm:sqref>N56</xm:sqref>
        </x14:conditionalFormatting>
        <x14:conditionalFormatting xmlns:xm="http://schemas.microsoft.com/office/excel/2006/main">
          <x14:cfRule type="beginsWith" priority="22" operator="beginsWith" id="{78A71E63-A295-420C-BCAF-03B4698923E3}">
            <xm:f>LEFT(N55,LEN("-"))="-"</xm:f>
            <xm:f>"-"</xm:f>
            <x14:dxf>
              <font>
                <color rgb="FFFF0000"/>
              </font>
            </x14:dxf>
          </x14:cfRule>
          <xm:sqref>N55</xm:sqref>
        </x14:conditionalFormatting>
        <x14:conditionalFormatting xmlns:xm="http://schemas.microsoft.com/office/excel/2006/main">
          <x14:cfRule type="beginsWith" priority="23" operator="beginsWith" id="{2B2EA43D-EE0B-4834-9180-A082857996A4}">
            <xm:f>LEFT(N57,LEN("-"))="-"</xm:f>
            <xm:f>"-"</xm:f>
            <x14:dxf>
              <font>
                <color rgb="FFFF0000"/>
              </font>
            </x14:dxf>
          </x14:cfRule>
          <xm:sqref>N57</xm:sqref>
        </x14:conditionalFormatting>
        <x14:conditionalFormatting xmlns:xm="http://schemas.microsoft.com/office/excel/2006/main">
          <x14:cfRule type="beginsWith" priority="21" operator="beginsWith" id="{BB3D9DFD-F1C6-43BB-A357-57F89DF0DAA7}">
            <xm:f>LEFT(L57,LEN("-"))="-"</xm:f>
            <xm:f>"-"</xm:f>
            <x14:dxf>
              <font>
                <color rgb="FFFF0000"/>
              </font>
            </x14:dxf>
          </x14:cfRule>
          <xm:sqref>L57</xm:sqref>
        </x14:conditionalFormatting>
        <x14:conditionalFormatting xmlns:xm="http://schemas.microsoft.com/office/excel/2006/main">
          <x14:cfRule type="beginsWith" priority="20" operator="beginsWith" id="{5365D1ED-9005-4B76-A78D-18F63C9B1ED4}">
            <xm:f>LEFT(L56,LEN("-"))="-"</xm:f>
            <xm:f>"-"</xm:f>
            <x14:dxf>
              <font>
                <color rgb="FFFF0000"/>
              </font>
            </x14:dxf>
          </x14:cfRule>
          <xm:sqref>L56</xm:sqref>
        </x14:conditionalFormatting>
        <x14:conditionalFormatting xmlns:xm="http://schemas.microsoft.com/office/excel/2006/main">
          <x14:cfRule type="beginsWith" priority="19" operator="beginsWith" id="{D85AF148-3353-4C36-BB39-10B19ADC0BF5}">
            <xm:f>LEFT(P55,LEN("-"))="-"</xm:f>
            <xm:f>"-"</xm:f>
            <x14:dxf>
              <font>
                <color rgb="FFFF0000"/>
              </font>
            </x14:dxf>
          </x14:cfRule>
          <xm:sqref>P55:P57</xm:sqref>
        </x14:conditionalFormatting>
        <x14:conditionalFormatting xmlns:xm="http://schemas.microsoft.com/office/excel/2006/main">
          <x14:cfRule type="beginsWith" priority="16" operator="beginsWith" id="{65952CE2-FC63-4EAE-AE07-09F51D8B16EB}">
            <xm:f>LEFT(L74,LEN("-"))="-"</xm:f>
            <xm:f>"-"</xm:f>
            <x14:dxf>
              <font>
                <color rgb="FFFF0000"/>
              </font>
            </x14:dxf>
          </x14:cfRule>
          <xm:sqref>L74:L76</xm:sqref>
        </x14:conditionalFormatting>
        <x14:conditionalFormatting xmlns:xm="http://schemas.microsoft.com/office/excel/2006/main">
          <x14:cfRule type="beginsWith" priority="15" operator="beginsWith" id="{22ED2122-928D-4F07-8C28-2294378C3F60}">
            <xm:f>LEFT(P74,LEN("-"))="-"</xm:f>
            <xm:f>"-"</xm:f>
            <x14:dxf>
              <font>
                <color rgb="FFFF0000"/>
              </font>
            </x14:dxf>
          </x14:cfRule>
          <xm:sqref>P74:P76</xm:sqref>
        </x14:conditionalFormatting>
        <x14:conditionalFormatting xmlns:xm="http://schemas.microsoft.com/office/excel/2006/main">
          <x14:cfRule type="beginsWith" priority="14" operator="beginsWith" id="{B954C77A-1F27-46B2-AA98-9D259ADB275D}">
            <xm:f>LEFT(M74,LEN("-"))="-"</xm:f>
            <xm:f>"-"</xm:f>
            <x14:dxf>
              <font>
                <color rgb="FFFF0000"/>
              </font>
            </x14:dxf>
          </x14:cfRule>
          <xm:sqref>M74:M76</xm:sqref>
        </x14:conditionalFormatting>
        <x14:conditionalFormatting xmlns:xm="http://schemas.microsoft.com/office/excel/2006/main">
          <x14:cfRule type="beginsWith" priority="13" operator="beginsWith" id="{6C051479-C0BE-4A93-A185-6AB048384D18}">
            <xm:f>LEFT(P82,LEN("-"))="-"</xm:f>
            <xm:f>"-"</xm:f>
            <x14:dxf>
              <font>
                <color rgb="FFFF0000"/>
              </font>
            </x14:dxf>
          </x14:cfRule>
          <xm:sqref>P82:P84</xm:sqref>
        </x14:conditionalFormatting>
        <x14:conditionalFormatting xmlns:xm="http://schemas.microsoft.com/office/excel/2006/main">
          <x14:cfRule type="beginsWith" priority="12" operator="beginsWith" id="{6B6940DC-F10C-4C12-B60C-1E895BC0C748}">
            <xm:f>LEFT(L82,LEN("-"))="-"</xm:f>
            <xm:f>"-"</xm:f>
            <x14:dxf>
              <font>
                <color rgb="FFFF0000"/>
              </font>
            </x14:dxf>
          </x14:cfRule>
          <xm:sqref>L82:L84</xm:sqref>
        </x14:conditionalFormatting>
        <x14:conditionalFormatting xmlns:xm="http://schemas.microsoft.com/office/excel/2006/main">
          <x14:cfRule type="beginsWith" priority="10" operator="beginsWith" id="{C1CB8A80-F4C4-4827-A91C-B706E71E1C4C}">
            <xm:f>LEFT(M83,LEN("-"))="-"</xm:f>
            <xm:f>"-"</xm:f>
            <x14:dxf>
              <font>
                <color rgb="FFFF0000"/>
              </font>
            </x14:dxf>
          </x14:cfRule>
          <xm:sqref>M83</xm:sqref>
        </x14:conditionalFormatting>
        <x14:conditionalFormatting xmlns:xm="http://schemas.microsoft.com/office/excel/2006/main">
          <x14:cfRule type="beginsWith" priority="11" operator="beginsWith" id="{A8E64C1D-1C12-4652-A7E4-2D11E5DEAADF}">
            <xm:f>LEFT(M82,LEN("-"))="-"</xm:f>
            <xm:f>"-"</xm:f>
            <x14:dxf>
              <font>
                <color rgb="FFFF0000"/>
              </font>
            </x14:dxf>
          </x14:cfRule>
          <xm:sqref>M82 M84</xm:sqref>
        </x14:conditionalFormatting>
        <x14:conditionalFormatting xmlns:xm="http://schemas.microsoft.com/office/excel/2006/main">
          <x14:cfRule type="beginsWith" priority="7" operator="beginsWith" id="{9EAA5693-FD6D-4F1D-ACEA-2094B7AA67B3}">
            <xm:f>LEFT(J90,LEN("-"))="-"</xm:f>
            <xm:f>"-"</xm:f>
            <x14:dxf>
              <font>
                <color rgb="FFFF0000"/>
              </font>
            </x14:dxf>
          </x14:cfRule>
          <xm:sqref>J90:K92 Q90:AE92 O90:O92</xm:sqref>
        </x14:conditionalFormatting>
        <x14:conditionalFormatting xmlns:xm="http://schemas.microsoft.com/office/excel/2006/main">
          <x14:cfRule type="beginsWith" priority="5" operator="beginsWith" id="{CC650F1B-DF63-4410-B609-F4992E4DC430}">
            <xm:f>LEFT(N91,LEN("-"))="-"</xm:f>
            <xm:f>"-"</xm:f>
            <x14:dxf>
              <font>
                <color rgb="FFFF0000"/>
              </font>
            </x14:dxf>
          </x14:cfRule>
          <xm:sqref>N91</xm:sqref>
        </x14:conditionalFormatting>
        <x14:conditionalFormatting xmlns:xm="http://schemas.microsoft.com/office/excel/2006/main">
          <x14:cfRule type="beginsWith" priority="6" operator="beginsWith" id="{0DFE33EC-BBFC-40EA-AAD4-6A464C26B08E}">
            <xm:f>LEFT(N90,LEN("-"))="-"</xm:f>
            <xm:f>"-"</xm:f>
            <x14:dxf>
              <font>
                <color rgb="FFFF0000"/>
              </font>
            </x14:dxf>
          </x14:cfRule>
          <xm:sqref>N90 N92</xm:sqref>
        </x14:conditionalFormatting>
        <x14:conditionalFormatting xmlns:xm="http://schemas.microsoft.com/office/excel/2006/main">
          <x14:cfRule type="beginsWith" priority="4" operator="beginsWith" id="{33ABC2E0-CEBC-43F6-860B-7881ACE6A016}">
            <xm:f>LEFT(P90,LEN("-"))="-"</xm:f>
            <xm:f>"-"</xm:f>
            <x14:dxf>
              <font>
                <color rgb="FFFF0000"/>
              </font>
            </x14:dxf>
          </x14:cfRule>
          <xm:sqref>P90:P92</xm:sqref>
        </x14:conditionalFormatting>
        <x14:conditionalFormatting xmlns:xm="http://schemas.microsoft.com/office/excel/2006/main">
          <x14:cfRule type="beginsWith" priority="3" operator="beginsWith" id="{B43043E9-84C6-4916-AF0C-3D7993365573}">
            <xm:f>LEFT(L90,LEN("-"))="-"</xm:f>
            <xm:f>"-"</xm:f>
            <x14:dxf>
              <font>
                <color rgb="FFFF0000"/>
              </font>
            </x14:dxf>
          </x14:cfRule>
          <xm:sqref>L90:L92</xm:sqref>
        </x14:conditionalFormatting>
        <x14:conditionalFormatting xmlns:xm="http://schemas.microsoft.com/office/excel/2006/main">
          <x14:cfRule type="beginsWith" priority="1" operator="beginsWith" id="{91360A85-B27C-4852-B732-3DC9CFAB163E}">
            <xm:f>LEFT(M91,LEN("-"))="-"</xm:f>
            <xm:f>"-"</xm:f>
            <x14:dxf>
              <font>
                <color rgb="FFFF0000"/>
              </font>
            </x14:dxf>
          </x14:cfRule>
          <xm:sqref>M91</xm:sqref>
        </x14:conditionalFormatting>
        <x14:conditionalFormatting xmlns:xm="http://schemas.microsoft.com/office/excel/2006/main">
          <x14:cfRule type="beginsWith" priority="2" operator="beginsWith" id="{93C3FF88-73D0-4B95-8BCD-B3DBAF8E1B6F}">
            <xm:f>LEFT(M90,LEN("-"))="-"</xm:f>
            <xm:f>"-"</xm:f>
            <x14:dxf>
              <font>
                <color rgb="FFFF0000"/>
              </font>
            </x14:dxf>
          </x14:cfRule>
          <xm:sqref>M90 M92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57"/>
  <sheetViews>
    <sheetView topLeftCell="A10" workbookViewId="0">
      <selection activeCell="F24" sqref="F24"/>
    </sheetView>
  </sheetViews>
  <sheetFormatPr defaultRowHeight="12.75"/>
  <cols>
    <col min="1" max="1" width="17.5703125" bestFit="1" customWidth="1"/>
    <col min="2" max="2" width="12.140625" bestFit="1" customWidth="1"/>
    <col min="3" max="3" width="9.7109375" bestFit="1" customWidth="1"/>
    <col min="4" max="4" width="15.5703125" bestFit="1" customWidth="1"/>
    <col min="5" max="5" width="13.85546875" bestFit="1" customWidth="1"/>
    <col min="6" max="6" width="10.28515625" bestFit="1" customWidth="1"/>
    <col min="7" max="7" width="12" bestFit="1" customWidth="1"/>
    <col min="8" max="8" width="13.42578125" customWidth="1"/>
    <col min="9" max="9" width="18.5703125" bestFit="1" customWidth="1"/>
    <col min="10" max="10" width="10.7109375" bestFit="1" customWidth="1"/>
    <col min="11" max="11" width="16.42578125" bestFit="1" customWidth="1"/>
    <col min="12" max="12" width="16.140625" bestFit="1" customWidth="1"/>
    <col min="13" max="13" width="14.42578125" bestFit="1" customWidth="1"/>
    <col min="14" max="14" width="12.28515625" bestFit="1" customWidth="1"/>
  </cols>
  <sheetData>
    <row r="1" spans="1:16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81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</row>
    <row r="2" spans="1:16">
      <c r="A2">
        <v>32531</v>
      </c>
      <c r="B2" t="s">
        <v>107</v>
      </c>
      <c r="C2" t="s">
        <v>108</v>
      </c>
      <c r="D2" t="s">
        <v>135</v>
      </c>
      <c r="E2" t="s">
        <v>110</v>
      </c>
      <c r="F2" t="s">
        <v>111</v>
      </c>
      <c r="G2" t="s">
        <v>205</v>
      </c>
      <c r="H2" s="108">
        <v>42107.047037037039</v>
      </c>
      <c r="I2">
        <v>32531</v>
      </c>
      <c r="J2" t="s">
        <v>233</v>
      </c>
      <c r="K2">
        <v>-2.7620062000000001E-2</v>
      </c>
      <c r="M2" s="108">
        <v>42181.96974537037</v>
      </c>
      <c r="N2" s="108">
        <v>72686</v>
      </c>
      <c r="P2" t="e">
        <f>Table_Query_from_Cello_SQL_Server[[#This Row],[SeriesNumValue]]/#REF!</f>
        <v>#REF!</v>
      </c>
    </row>
    <row r="3" spans="1:16">
      <c r="A3">
        <v>32532</v>
      </c>
      <c r="B3" t="s">
        <v>107</v>
      </c>
      <c r="C3" t="s">
        <v>108</v>
      </c>
      <c r="D3" t="s">
        <v>109</v>
      </c>
      <c r="E3" t="s">
        <v>110</v>
      </c>
      <c r="F3" t="s">
        <v>111</v>
      </c>
      <c r="G3" t="s">
        <v>205</v>
      </c>
      <c r="H3" s="108">
        <v>42107.047037037039</v>
      </c>
      <c r="I3">
        <v>32532</v>
      </c>
      <c r="J3" t="s">
        <v>233</v>
      </c>
      <c r="K3">
        <v>-2.6780399E-2</v>
      </c>
      <c r="M3" s="108">
        <v>42181.96974537037</v>
      </c>
      <c r="N3" s="108">
        <v>72686</v>
      </c>
    </row>
    <row r="4" spans="1:16">
      <c r="A4">
        <v>32533</v>
      </c>
      <c r="B4" t="s">
        <v>107</v>
      </c>
      <c r="C4" t="s">
        <v>108</v>
      </c>
      <c r="D4" t="s">
        <v>203</v>
      </c>
      <c r="E4" t="s">
        <v>110</v>
      </c>
      <c r="F4" t="s">
        <v>111</v>
      </c>
      <c r="G4" t="s">
        <v>205</v>
      </c>
      <c r="H4" s="108">
        <v>42107.047037037039</v>
      </c>
      <c r="I4">
        <v>32533</v>
      </c>
      <c r="J4" t="s">
        <v>233</v>
      </c>
      <c r="K4">
        <v>-6.080961599999999E-2</v>
      </c>
      <c r="M4" s="108">
        <v>42181.96974537037</v>
      </c>
      <c r="N4" s="108">
        <v>72686</v>
      </c>
    </row>
    <row r="5" spans="1:16">
      <c r="A5">
        <v>32534</v>
      </c>
      <c r="B5" t="s">
        <v>107</v>
      </c>
      <c r="C5" t="s">
        <v>108</v>
      </c>
      <c r="D5" t="s">
        <v>136</v>
      </c>
      <c r="E5" t="s">
        <v>110</v>
      </c>
      <c r="F5" t="s">
        <v>111</v>
      </c>
      <c r="G5" t="s">
        <v>205</v>
      </c>
      <c r="H5" s="108">
        <v>42107.047037037039</v>
      </c>
      <c r="I5">
        <v>32534</v>
      </c>
      <c r="J5" t="s">
        <v>233</v>
      </c>
      <c r="K5">
        <v>-3.9465841000000002E-2</v>
      </c>
      <c r="M5" s="108">
        <v>42181.96974537037</v>
      </c>
      <c r="N5" s="108">
        <v>72686</v>
      </c>
    </row>
    <row r="6" spans="1:16">
      <c r="A6">
        <v>32535</v>
      </c>
      <c r="B6" t="s">
        <v>107</v>
      </c>
      <c r="C6" t="s">
        <v>108</v>
      </c>
      <c r="D6" t="s">
        <v>112</v>
      </c>
      <c r="E6" t="s">
        <v>110</v>
      </c>
      <c r="F6" t="s">
        <v>111</v>
      </c>
      <c r="G6" t="s">
        <v>205</v>
      </c>
      <c r="H6" s="108">
        <v>42107.047037037039</v>
      </c>
      <c r="I6">
        <v>32535</v>
      </c>
      <c r="J6" t="s">
        <v>233</v>
      </c>
      <c r="K6">
        <v>-3.3630390000000003E-2</v>
      </c>
      <c r="M6" s="108">
        <v>42181.96974537037</v>
      </c>
      <c r="N6" s="108">
        <v>72686</v>
      </c>
    </row>
    <row r="7" spans="1:16">
      <c r="A7">
        <v>32536</v>
      </c>
      <c r="B7" t="s">
        <v>107</v>
      </c>
      <c r="C7" t="s">
        <v>108</v>
      </c>
      <c r="D7" t="s">
        <v>113</v>
      </c>
      <c r="E7" t="s">
        <v>110</v>
      </c>
      <c r="F7" t="s">
        <v>111</v>
      </c>
      <c r="G7" t="s">
        <v>205</v>
      </c>
      <c r="H7" s="108">
        <v>42107.047037037039</v>
      </c>
      <c r="I7">
        <v>32536</v>
      </c>
      <c r="J7" t="s">
        <v>233</v>
      </c>
      <c r="K7">
        <v>-3.9418604000000003E-2</v>
      </c>
      <c r="M7" s="108">
        <v>42181.96974537037</v>
      </c>
      <c r="N7" s="108">
        <v>72686</v>
      </c>
    </row>
    <row r="8" spans="1:16">
      <c r="A8">
        <v>32537</v>
      </c>
      <c r="B8" t="s">
        <v>107</v>
      </c>
      <c r="C8" t="s">
        <v>108</v>
      </c>
      <c r="D8" t="s">
        <v>204</v>
      </c>
      <c r="E8" t="s">
        <v>110</v>
      </c>
      <c r="F8" t="s">
        <v>111</v>
      </c>
      <c r="G8" t="s">
        <v>205</v>
      </c>
      <c r="H8" s="108">
        <v>42107.047037037039</v>
      </c>
      <c r="I8">
        <v>32537</v>
      </c>
      <c r="J8" t="s">
        <v>233</v>
      </c>
      <c r="K8">
        <v>-5.9393558999999999E-2</v>
      </c>
      <c r="M8" s="108">
        <v>42181.96974537037</v>
      </c>
      <c r="N8" s="108">
        <v>72686</v>
      </c>
    </row>
    <row r="9" spans="1:16">
      <c r="A9">
        <v>32538</v>
      </c>
      <c r="B9" t="s">
        <v>107</v>
      </c>
      <c r="C9" t="s">
        <v>108</v>
      </c>
      <c r="D9" t="s">
        <v>137</v>
      </c>
      <c r="E9" t="s">
        <v>110</v>
      </c>
      <c r="F9" t="s">
        <v>111</v>
      </c>
      <c r="G9" t="s">
        <v>205</v>
      </c>
      <c r="H9" s="108">
        <v>42107.047037037039</v>
      </c>
      <c r="I9">
        <v>32538</v>
      </c>
      <c r="J9" t="s">
        <v>233</v>
      </c>
      <c r="K9">
        <v>-5.299942199999999E-2</v>
      </c>
      <c r="M9" s="108">
        <v>42181.96974537037</v>
      </c>
      <c r="N9" s="108">
        <v>72686</v>
      </c>
    </row>
    <row r="10" spans="1:16">
      <c r="A10">
        <v>32539</v>
      </c>
      <c r="B10" t="s">
        <v>107</v>
      </c>
      <c r="C10" t="s">
        <v>108</v>
      </c>
      <c r="D10" t="s">
        <v>114</v>
      </c>
      <c r="E10" t="s">
        <v>110</v>
      </c>
      <c r="F10" t="s">
        <v>111</v>
      </c>
      <c r="G10" t="s">
        <v>205</v>
      </c>
      <c r="H10" s="108">
        <v>42107.047037037039</v>
      </c>
      <c r="I10">
        <v>32539</v>
      </c>
      <c r="J10" t="s">
        <v>233</v>
      </c>
      <c r="K10">
        <v>-3.4728255E-2</v>
      </c>
      <c r="M10" s="108">
        <v>42181.96974537037</v>
      </c>
      <c r="N10" s="108">
        <v>72686</v>
      </c>
    </row>
    <row r="11" spans="1:16">
      <c r="A11">
        <v>32540</v>
      </c>
      <c r="B11" t="s">
        <v>107</v>
      </c>
      <c r="C11" t="s">
        <v>108</v>
      </c>
      <c r="D11" t="s">
        <v>115</v>
      </c>
      <c r="E11" t="s">
        <v>110</v>
      </c>
      <c r="F11" t="s">
        <v>111</v>
      </c>
      <c r="G11" t="s">
        <v>205</v>
      </c>
      <c r="H11" s="108">
        <v>42107.047037037039</v>
      </c>
      <c r="I11">
        <v>32540</v>
      </c>
      <c r="J11" t="s">
        <v>233</v>
      </c>
      <c r="K11">
        <v>-3.9922002999999998E-2</v>
      </c>
      <c r="M11" s="108">
        <v>42181.96974537037</v>
      </c>
      <c r="N11" s="108">
        <v>72686</v>
      </c>
    </row>
    <row r="12" spans="1:16">
      <c r="A12">
        <v>32541</v>
      </c>
      <c r="B12" t="s">
        <v>107</v>
      </c>
      <c r="C12" t="s">
        <v>108</v>
      </c>
      <c r="D12" t="s">
        <v>116</v>
      </c>
      <c r="E12" t="s">
        <v>110</v>
      </c>
      <c r="F12" t="s">
        <v>111</v>
      </c>
      <c r="G12" t="s">
        <v>205</v>
      </c>
      <c r="H12" s="108">
        <v>42107.047037037039</v>
      </c>
      <c r="I12">
        <v>32541</v>
      </c>
      <c r="J12" t="s">
        <v>233</v>
      </c>
      <c r="K12">
        <v>-4.5718449999999994E-2</v>
      </c>
      <c r="M12" s="108">
        <v>42181.96974537037</v>
      </c>
      <c r="N12" s="108">
        <v>72686</v>
      </c>
    </row>
    <row r="13" spans="1:16">
      <c r="A13">
        <v>32542</v>
      </c>
      <c r="B13" t="s">
        <v>107</v>
      </c>
      <c r="C13" t="s">
        <v>108</v>
      </c>
      <c r="D13" t="s">
        <v>117</v>
      </c>
      <c r="E13" t="s">
        <v>110</v>
      </c>
      <c r="F13" t="s">
        <v>111</v>
      </c>
      <c r="G13" t="s">
        <v>205</v>
      </c>
      <c r="H13" s="108">
        <v>42107.047048611108</v>
      </c>
      <c r="I13">
        <v>32542</v>
      </c>
      <c r="J13" t="s">
        <v>233</v>
      </c>
      <c r="K13">
        <v>-3.5737208999999999E-2</v>
      </c>
      <c r="M13" s="108">
        <v>42181.96974537037</v>
      </c>
      <c r="N13" s="108">
        <v>72686</v>
      </c>
    </row>
    <row r="14" spans="1:16">
      <c r="A14">
        <v>32543</v>
      </c>
      <c r="B14" t="s">
        <v>107</v>
      </c>
      <c r="C14" t="s">
        <v>108</v>
      </c>
      <c r="D14" t="s">
        <v>118</v>
      </c>
      <c r="E14" t="s">
        <v>110</v>
      </c>
      <c r="F14" t="s">
        <v>111</v>
      </c>
      <c r="G14" t="s">
        <v>205</v>
      </c>
      <c r="H14" s="108">
        <v>42107.047048611108</v>
      </c>
      <c r="I14">
        <v>32543</v>
      </c>
      <c r="J14" t="s">
        <v>233</v>
      </c>
      <c r="K14">
        <v>-4.0246985999999998E-2</v>
      </c>
      <c r="M14" s="108">
        <v>42181.969756944447</v>
      </c>
      <c r="N14" s="108">
        <v>72686</v>
      </c>
    </row>
    <row r="15" spans="1:16">
      <c r="A15">
        <v>32544</v>
      </c>
      <c r="B15" t="s">
        <v>107</v>
      </c>
      <c r="C15" t="s">
        <v>108</v>
      </c>
      <c r="D15" t="s">
        <v>119</v>
      </c>
      <c r="E15" t="s">
        <v>110</v>
      </c>
      <c r="F15" t="s">
        <v>111</v>
      </c>
      <c r="G15" t="s">
        <v>205</v>
      </c>
      <c r="H15" s="108">
        <v>42107.047048611108</v>
      </c>
      <c r="I15">
        <v>32544</v>
      </c>
      <c r="J15" t="s">
        <v>233</v>
      </c>
      <c r="K15">
        <v>-4.5573756E-2</v>
      </c>
      <c r="M15" s="108">
        <v>42181.969756944447</v>
      </c>
      <c r="N15" s="108">
        <v>72686</v>
      </c>
    </row>
    <row r="16" spans="1:16">
      <c r="A16">
        <v>32545</v>
      </c>
      <c r="B16" t="s">
        <v>107</v>
      </c>
      <c r="C16" t="s">
        <v>108</v>
      </c>
      <c r="D16" t="s">
        <v>120</v>
      </c>
      <c r="E16" t="s">
        <v>110</v>
      </c>
      <c r="F16" t="s">
        <v>111</v>
      </c>
      <c r="G16" t="s">
        <v>205</v>
      </c>
      <c r="H16" s="108">
        <v>42107.047048611108</v>
      </c>
      <c r="I16">
        <v>32545</v>
      </c>
      <c r="J16" t="s">
        <v>233</v>
      </c>
      <c r="K16">
        <v>-3.8036831E-2</v>
      </c>
      <c r="M16" s="108">
        <v>42181.969756944447</v>
      </c>
      <c r="N16" s="108">
        <v>72686</v>
      </c>
    </row>
    <row r="17" spans="1:14">
      <c r="A17">
        <v>32546</v>
      </c>
      <c r="B17" t="s">
        <v>107</v>
      </c>
      <c r="C17" t="s">
        <v>108</v>
      </c>
      <c r="D17" t="s">
        <v>121</v>
      </c>
      <c r="E17" t="s">
        <v>110</v>
      </c>
      <c r="F17" t="s">
        <v>111</v>
      </c>
      <c r="G17" t="s">
        <v>205</v>
      </c>
      <c r="H17" s="108">
        <v>42107.047048611108</v>
      </c>
      <c r="I17">
        <v>32546</v>
      </c>
      <c r="J17" t="s">
        <v>233</v>
      </c>
      <c r="K17">
        <v>-4.3821118999999999E-2</v>
      </c>
      <c r="M17" s="108">
        <v>42181.969756944447</v>
      </c>
      <c r="N17" s="108">
        <v>72686</v>
      </c>
    </row>
    <row r="18" spans="1:14">
      <c r="A18">
        <v>32547</v>
      </c>
      <c r="B18" t="s">
        <v>107</v>
      </c>
      <c r="C18" t="s">
        <v>108</v>
      </c>
      <c r="D18" t="s">
        <v>122</v>
      </c>
      <c r="E18" t="s">
        <v>110</v>
      </c>
      <c r="F18" t="s">
        <v>111</v>
      </c>
      <c r="G18" t="s">
        <v>205</v>
      </c>
      <c r="H18" s="108">
        <v>42107.047048611108</v>
      </c>
      <c r="I18">
        <v>32547</v>
      </c>
      <c r="J18" t="s">
        <v>233</v>
      </c>
      <c r="K18">
        <v>-4.9397834000000002E-2</v>
      </c>
      <c r="M18" s="108">
        <v>42181.969756944447</v>
      </c>
      <c r="N18" s="108">
        <v>72686</v>
      </c>
    </row>
    <row r="19" spans="1:14">
      <c r="A19">
        <v>32548</v>
      </c>
      <c r="B19" t="s">
        <v>107</v>
      </c>
      <c r="C19" t="s">
        <v>108</v>
      </c>
      <c r="D19" t="s">
        <v>123</v>
      </c>
      <c r="E19" t="s">
        <v>110</v>
      </c>
      <c r="F19" t="s">
        <v>111</v>
      </c>
      <c r="G19" t="s">
        <v>205</v>
      </c>
      <c r="H19" s="108">
        <v>42107.047048611108</v>
      </c>
      <c r="I19">
        <v>32548</v>
      </c>
      <c r="J19" t="s">
        <v>233</v>
      </c>
      <c r="K19">
        <v>-4.0341474000000002E-2</v>
      </c>
      <c r="M19" s="108">
        <v>42181.969756944447</v>
      </c>
      <c r="N19" s="108">
        <v>72686</v>
      </c>
    </row>
    <row r="20" spans="1:14">
      <c r="A20">
        <v>32549</v>
      </c>
      <c r="B20" t="s">
        <v>107</v>
      </c>
      <c r="C20" t="s">
        <v>108</v>
      </c>
      <c r="D20" t="s">
        <v>124</v>
      </c>
      <c r="E20" t="s">
        <v>110</v>
      </c>
      <c r="F20" t="s">
        <v>111</v>
      </c>
      <c r="G20" t="s">
        <v>205</v>
      </c>
      <c r="H20" s="108">
        <v>42107.047048611108</v>
      </c>
      <c r="I20">
        <v>32549</v>
      </c>
      <c r="J20" t="s">
        <v>233</v>
      </c>
      <c r="K20">
        <v>-3.0086580999999998E-2</v>
      </c>
      <c r="M20" s="108">
        <v>42181.969756944447</v>
      </c>
      <c r="N20" s="108">
        <v>72686</v>
      </c>
    </row>
    <row r="21" spans="1:14">
      <c r="A21">
        <v>32550</v>
      </c>
      <c r="B21" t="s">
        <v>107</v>
      </c>
      <c r="C21" t="s">
        <v>108</v>
      </c>
      <c r="D21" t="s">
        <v>125</v>
      </c>
      <c r="E21" t="s">
        <v>110</v>
      </c>
      <c r="F21" t="s">
        <v>111</v>
      </c>
      <c r="G21" t="s">
        <v>205</v>
      </c>
      <c r="H21" s="108">
        <v>42107.047048611108</v>
      </c>
      <c r="I21">
        <v>32550</v>
      </c>
      <c r="J21" t="s">
        <v>233</v>
      </c>
      <c r="K21">
        <v>-4.4198923000000001E-2</v>
      </c>
      <c r="M21" s="108">
        <v>42181.969756944447</v>
      </c>
      <c r="N21" s="108">
        <v>72686</v>
      </c>
    </row>
    <row r="22" spans="1:14">
      <c r="A22">
        <v>32551</v>
      </c>
      <c r="B22" t="s">
        <v>107</v>
      </c>
      <c r="C22" t="s">
        <v>108</v>
      </c>
      <c r="D22" t="s">
        <v>126</v>
      </c>
      <c r="E22" t="s">
        <v>110</v>
      </c>
      <c r="F22" t="s">
        <v>111</v>
      </c>
      <c r="G22" t="s">
        <v>205</v>
      </c>
      <c r="H22" s="108">
        <v>42107.047048611108</v>
      </c>
      <c r="I22">
        <v>32551</v>
      </c>
      <c r="J22" t="s">
        <v>233</v>
      </c>
      <c r="K22">
        <v>-3.4868087999999998E-2</v>
      </c>
      <c r="M22" s="108">
        <v>42181.969756944447</v>
      </c>
      <c r="N22" s="108">
        <v>72686</v>
      </c>
    </row>
    <row r="23" spans="1:14">
      <c r="A23">
        <v>32552</v>
      </c>
      <c r="B23" t="s">
        <v>107</v>
      </c>
      <c r="C23" t="s">
        <v>108</v>
      </c>
      <c r="D23" t="s">
        <v>127</v>
      </c>
      <c r="E23" t="s">
        <v>110</v>
      </c>
      <c r="F23" t="s">
        <v>111</v>
      </c>
      <c r="G23" t="s">
        <v>205</v>
      </c>
      <c r="H23" s="108">
        <v>42107.047048611108</v>
      </c>
      <c r="I23">
        <v>32552</v>
      </c>
      <c r="J23" t="s">
        <v>233</v>
      </c>
      <c r="K23">
        <v>-2.577132E-2</v>
      </c>
      <c r="M23" s="108">
        <v>42181.969756944447</v>
      </c>
      <c r="N23" s="108">
        <v>72686</v>
      </c>
    </row>
    <row r="24" spans="1:14">
      <c r="A24">
        <v>32553</v>
      </c>
      <c r="B24" t="s">
        <v>107</v>
      </c>
      <c r="C24" t="s">
        <v>108</v>
      </c>
      <c r="D24" t="s">
        <v>128</v>
      </c>
      <c r="E24" t="s">
        <v>110</v>
      </c>
      <c r="F24" t="s">
        <v>111</v>
      </c>
      <c r="G24" t="s">
        <v>205</v>
      </c>
      <c r="H24" s="108">
        <v>42107.047048611108</v>
      </c>
      <c r="I24">
        <v>32553</v>
      </c>
      <c r="J24" t="s">
        <v>233</v>
      </c>
      <c r="K24">
        <v>-4.3274805E-2</v>
      </c>
      <c r="M24" s="108">
        <v>42181.969756944447</v>
      </c>
      <c r="N24" s="108">
        <v>72686</v>
      </c>
    </row>
    <row r="25" spans="1:14">
      <c r="A25">
        <v>32554</v>
      </c>
      <c r="B25" t="s">
        <v>107</v>
      </c>
      <c r="C25" t="s">
        <v>108</v>
      </c>
      <c r="D25" t="s">
        <v>129</v>
      </c>
      <c r="E25" t="s">
        <v>110</v>
      </c>
      <c r="F25" t="s">
        <v>111</v>
      </c>
      <c r="G25" t="s">
        <v>205</v>
      </c>
      <c r="H25" s="108">
        <v>42107.047048611108</v>
      </c>
      <c r="I25">
        <v>32554</v>
      </c>
      <c r="J25" t="s">
        <v>233</v>
      </c>
      <c r="K25">
        <v>-3.0977258000000001E-2</v>
      </c>
      <c r="M25" s="108">
        <v>42181.969756944447</v>
      </c>
      <c r="N25" s="108">
        <v>72686</v>
      </c>
    </row>
    <row r="26" spans="1:14">
      <c r="A26">
        <v>32555</v>
      </c>
      <c r="B26" t="s">
        <v>107</v>
      </c>
      <c r="C26" t="s">
        <v>108</v>
      </c>
      <c r="D26" t="s">
        <v>130</v>
      </c>
      <c r="E26" t="s">
        <v>110</v>
      </c>
      <c r="F26" t="s">
        <v>111</v>
      </c>
      <c r="G26" t="s">
        <v>205</v>
      </c>
      <c r="H26" s="108">
        <v>42107.047048611108</v>
      </c>
      <c r="I26">
        <v>32555</v>
      </c>
      <c r="J26" t="s">
        <v>233</v>
      </c>
      <c r="K26">
        <v>-4.5471053999999997E-2</v>
      </c>
      <c r="M26" s="108">
        <v>42181.969756944447</v>
      </c>
      <c r="N26" s="108">
        <v>72686</v>
      </c>
    </row>
    <row r="27" spans="1:14">
      <c r="A27">
        <v>32556</v>
      </c>
      <c r="B27" t="s">
        <v>107</v>
      </c>
      <c r="C27" t="s">
        <v>108</v>
      </c>
      <c r="D27" t="s">
        <v>131</v>
      </c>
      <c r="E27" t="s">
        <v>110</v>
      </c>
      <c r="F27" t="s">
        <v>111</v>
      </c>
      <c r="G27" t="s">
        <v>205</v>
      </c>
      <c r="H27" s="108">
        <v>42107.047048611108</v>
      </c>
      <c r="I27">
        <v>32556</v>
      </c>
      <c r="J27" t="s">
        <v>233</v>
      </c>
      <c r="K27">
        <v>-3.9397407000000002E-2</v>
      </c>
      <c r="M27" s="108">
        <v>42181.969756944447</v>
      </c>
      <c r="N27" s="108">
        <v>72686</v>
      </c>
    </row>
    <row r="28" spans="1:14">
      <c r="A28">
        <v>32557</v>
      </c>
      <c r="B28" t="s">
        <v>107</v>
      </c>
      <c r="C28" t="s">
        <v>108</v>
      </c>
      <c r="D28" t="s">
        <v>132</v>
      </c>
      <c r="E28" t="s">
        <v>110</v>
      </c>
      <c r="F28" t="s">
        <v>111</v>
      </c>
      <c r="G28" t="s">
        <v>205</v>
      </c>
      <c r="H28" s="108">
        <v>42107.047048611108</v>
      </c>
      <c r="I28">
        <v>32557</v>
      </c>
      <c r="J28" t="s">
        <v>233</v>
      </c>
      <c r="K28">
        <v>-3.7093516E-2</v>
      </c>
      <c r="M28" s="108">
        <v>42181.969756944447</v>
      </c>
      <c r="N28" s="108">
        <v>72686</v>
      </c>
    </row>
    <row r="29" spans="1:14">
      <c r="A29">
        <v>32558</v>
      </c>
      <c r="B29" t="s">
        <v>107</v>
      </c>
      <c r="C29" t="s">
        <v>108</v>
      </c>
      <c r="D29" t="s">
        <v>133</v>
      </c>
      <c r="E29" t="s">
        <v>110</v>
      </c>
      <c r="F29" t="s">
        <v>111</v>
      </c>
      <c r="G29" t="s">
        <v>205</v>
      </c>
      <c r="H29" s="108">
        <v>42107.047048611108</v>
      </c>
      <c r="I29">
        <v>32558</v>
      </c>
      <c r="J29" t="s">
        <v>233</v>
      </c>
      <c r="K29">
        <v>8.0939540000000004E-3</v>
      </c>
      <c r="M29" s="108">
        <v>42181.969756944447</v>
      </c>
      <c r="N29" s="108">
        <v>72686</v>
      </c>
    </row>
    <row r="30" spans="1:14">
      <c r="A30">
        <v>32559</v>
      </c>
      <c r="B30" t="s">
        <v>107</v>
      </c>
      <c r="C30" t="s">
        <v>108</v>
      </c>
      <c r="D30" t="s">
        <v>134</v>
      </c>
      <c r="E30" t="s">
        <v>110</v>
      </c>
      <c r="F30" t="s">
        <v>111</v>
      </c>
      <c r="G30" t="s">
        <v>205</v>
      </c>
      <c r="H30" s="108">
        <v>42107.047048611108</v>
      </c>
      <c r="I30">
        <v>32559</v>
      </c>
      <c r="J30" t="s">
        <v>233</v>
      </c>
      <c r="K30">
        <v>1.4633389000000002E-2</v>
      </c>
      <c r="M30" s="108">
        <v>42181.969756944447</v>
      </c>
      <c r="N30" s="108">
        <v>72686</v>
      </c>
    </row>
    <row r="31" spans="1:14">
      <c r="A31">
        <v>33176</v>
      </c>
      <c r="B31" t="s">
        <v>107</v>
      </c>
      <c r="C31" t="s">
        <v>108</v>
      </c>
      <c r="D31" t="s">
        <v>138</v>
      </c>
      <c r="E31" t="s">
        <v>110</v>
      </c>
      <c r="F31" t="s">
        <v>111</v>
      </c>
      <c r="G31" t="s">
        <v>205</v>
      </c>
      <c r="H31" s="108">
        <v>42107.047465277778</v>
      </c>
      <c r="I31">
        <v>33176</v>
      </c>
      <c r="J31" t="s">
        <v>233</v>
      </c>
      <c r="K31">
        <v>8.0734557999999998E-2</v>
      </c>
      <c r="M31" s="108">
        <v>42181.970127314817</v>
      </c>
      <c r="N31" s="108">
        <v>72686</v>
      </c>
    </row>
    <row r="32" spans="1:14">
      <c r="A32">
        <v>33185</v>
      </c>
      <c r="B32" t="s">
        <v>107</v>
      </c>
      <c r="C32" t="s">
        <v>108</v>
      </c>
      <c r="D32" t="s">
        <v>139</v>
      </c>
      <c r="E32" t="s">
        <v>110</v>
      </c>
      <c r="F32" t="s">
        <v>111</v>
      </c>
      <c r="G32" t="s">
        <v>205</v>
      </c>
      <c r="H32" s="108">
        <v>42107.047476851854</v>
      </c>
      <c r="I32">
        <v>33185</v>
      </c>
      <c r="J32" t="s">
        <v>233</v>
      </c>
      <c r="K32">
        <v>7.0621616999999998E-2</v>
      </c>
      <c r="M32" s="108">
        <v>42181.970127314817</v>
      </c>
      <c r="N32" s="108">
        <v>72686</v>
      </c>
    </row>
    <row r="33" spans="1:14">
      <c r="A33">
        <v>33194</v>
      </c>
      <c r="B33" t="s">
        <v>107</v>
      </c>
      <c r="C33" t="s">
        <v>108</v>
      </c>
      <c r="D33" t="s">
        <v>140</v>
      </c>
      <c r="E33" t="s">
        <v>110</v>
      </c>
      <c r="F33" t="s">
        <v>111</v>
      </c>
      <c r="G33" t="s">
        <v>205</v>
      </c>
      <c r="H33" s="108">
        <v>42107.047476851854</v>
      </c>
      <c r="I33">
        <v>33194</v>
      </c>
      <c r="J33" t="s">
        <v>233</v>
      </c>
      <c r="K33">
        <v>7.5116202000000007E-2</v>
      </c>
      <c r="M33" s="108">
        <v>42181.970138888886</v>
      </c>
      <c r="N33" s="108">
        <v>72686</v>
      </c>
    </row>
    <row r="34" spans="1:14">
      <c r="A34">
        <v>35365</v>
      </c>
      <c r="B34" t="s">
        <v>107</v>
      </c>
      <c r="C34" t="s">
        <v>108</v>
      </c>
      <c r="D34" t="s">
        <v>209</v>
      </c>
      <c r="E34" t="s">
        <v>110</v>
      </c>
      <c r="F34" t="s">
        <v>111</v>
      </c>
      <c r="G34" t="s">
        <v>205</v>
      </c>
      <c r="H34" s="108">
        <v>42163.966006944444</v>
      </c>
      <c r="I34">
        <v>35365</v>
      </c>
      <c r="J34" t="s">
        <v>233</v>
      </c>
      <c r="K34">
        <v>7.1883804999999995E-2</v>
      </c>
      <c r="M34" s="108">
        <v>42181.970127314817</v>
      </c>
      <c r="N34" s="108">
        <v>72686</v>
      </c>
    </row>
    <row r="35" spans="1:14">
      <c r="A35">
        <v>35366</v>
      </c>
      <c r="B35" t="s">
        <v>107</v>
      </c>
      <c r="C35" t="s">
        <v>108</v>
      </c>
      <c r="D35" t="s">
        <v>210</v>
      </c>
      <c r="E35" t="s">
        <v>110</v>
      </c>
      <c r="F35" t="s">
        <v>111</v>
      </c>
      <c r="G35" t="s">
        <v>205</v>
      </c>
      <c r="H35" s="108">
        <v>42163.966006944444</v>
      </c>
      <c r="I35">
        <v>35366</v>
      </c>
      <c r="J35" t="s">
        <v>233</v>
      </c>
      <c r="K35">
        <v>7.1077219999999997E-2</v>
      </c>
      <c r="M35" s="108">
        <v>42181.970127314817</v>
      </c>
      <c r="N35" s="108">
        <v>72686</v>
      </c>
    </row>
    <row r="36" spans="1:14">
      <c r="A36">
        <v>35367</v>
      </c>
      <c r="B36" t="s">
        <v>107</v>
      </c>
      <c r="C36" t="s">
        <v>108</v>
      </c>
      <c r="D36" t="s">
        <v>211</v>
      </c>
      <c r="E36" t="s">
        <v>110</v>
      </c>
      <c r="F36" t="s">
        <v>111</v>
      </c>
      <c r="G36" t="s">
        <v>205</v>
      </c>
      <c r="H36" s="108">
        <v>42163.966006944444</v>
      </c>
      <c r="I36">
        <v>35367</v>
      </c>
      <c r="J36" t="s">
        <v>233</v>
      </c>
      <c r="K36">
        <v>5.9861722999999999E-2</v>
      </c>
      <c r="M36" s="108">
        <v>42181.970127314817</v>
      </c>
      <c r="N36" s="108">
        <v>72686</v>
      </c>
    </row>
    <row r="37" spans="1:14">
      <c r="A37">
        <v>35368</v>
      </c>
      <c r="B37" t="s">
        <v>107</v>
      </c>
      <c r="C37" t="s">
        <v>108</v>
      </c>
      <c r="D37" t="s">
        <v>212</v>
      </c>
      <c r="E37" t="s">
        <v>110</v>
      </c>
      <c r="F37" t="s">
        <v>111</v>
      </c>
      <c r="G37" t="s">
        <v>205</v>
      </c>
      <c r="H37" s="108">
        <v>42163.966006944444</v>
      </c>
      <c r="I37">
        <v>35368</v>
      </c>
      <c r="J37" t="s">
        <v>233</v>
      </c>
      <c r="K37">
        <v>4.9216967E-2</v>
      </c>
      <c r="M37" s="108">
        <v>42181.970127314817</v>
      </c>
      <c r="N37" s="108">
        <v>72686</v>
      </c>
    </row>
    <row r="38" spans="1:14">
      <c r="A38">
        <v>35369</v>
      </c>
      <c r="B38" t="s">
        <v>107</v>
      </c>
      <c r="C38" t="s">
        <v>108</v>
      </c>
      <c r="D38" t="s">
        <v>213</v>
      </c>
      <c r="E38" t="s">
        <v>110</v>
      </c>
      <c r="F38" t="s">
        <v>111</v>
      </c>
      <c r="G38" t="s">
        <v>205</v>
      </c>
      <c r="H38" s="108">
        <v>42163.966006944444</v>
      </c>
      <c r="I38">
        <v>35369</v>
      </c>
      <c r="J38" t="s">
        <v>233</v>
      </c>
      <c r="K38">
        <v>3.7120215999999998E-2</v>
      </c>
      <c r="M38" s="108">
        <v>42181.970127314817</v>
      </c>
      <c r="N38" s="108">
        <v>72686</v>
      </c>
    </row>
    <row r="39" spans="1:14">
      <c r="A39">
        <v>35370</v>
      </c>
      <c r="B39" t="s">
        <v>107</v>
      </c>
      <c r="C39" t="s">
        <v>108</v>
      </c>
      <c r="D39" t="s">
        <v>214</v>
      </c>
      <c r="E39" t="s">
        <v>110</v>
      </c>
      <c r="F39" t="s">
        <v>111</v>
      </c>
      <c r="G39" t="s">
        <v>205</v>
      </c>
      <c r="H39" s="108">
        <v>42163.966006944444</v>
      </c>
      <c r="I39">
        <v>35370</v>
      </c>
      <c r="J39" t="s">
        <v>233</v>
      </c>
      <c r="K39">
        <v>3.0110879E-2</v>
      </c>
      <c r="M39" s="108">
        <v>42181.970127314817</v>
      </c>
      <c r="N39" s="108">
        <v>72686</v>
      </c>
    </row>
    <row r="40" spans="1:14">
      <c r="A40">
        <v>35371</v>
      </c>
      <c r="B40" t="s">
        <v>107</v>
      </c>
      <c r="C40" t="s">
        <v>108</v>
      </c>
      <c r="D40" t="s">
        <v>215</v>
      </c>
      <c r="E40" t="s">
        <v>110</v>
      </c>
      <c r="F40" t="s">
        <v>111</v>
      </c>
      <c r="G40" t="s">
        <v>205</v>
      </c>
      <c r="H40" s="108">
        <v>42163.966006944444</v>
      </c>
      <c r="I40">
        <v>35371</v>
      </c>
      <c r="J40" t="s">
        <v>233</v>
      </c>
      <c r="K40">
        <v>2.687821E-2</v>
      </c>
      <c r="M40" s="108">
        <v>42181.970127314817</v>
      </c>
      <c r="N40" s="108">
        <v>72686</v>
      </c>
    </row>
    <row r="41" spans="1:14">
      <c r="A41">
        <v>35372</v>
      </c>
      <c r="B41" t="s">
        <v>107</v>
      </c>
      <c r="C41" t="s">
        <v>108</v>
      </c>
      <c r="D41" t="s">
        <v>216</v>
      </c>
      <c r="E41" t="s">
        <v>110</v>
      </c>
      <c r="F41" t="s">
        <v>111</v>
      </c>
      <c r="G41" t="s">
        <v>205</v>
      </c>
      <c r="H41" s="108">
        <v>42163.966006944444</v>
      </c>
      <c r="I41">
        <v>35372</v>
      </c>
      <c r="J41" t="s">
        <v>233</v>
      </c>
      <c r="K41">
        <v>2.7007501999999999E-2</v>
      </c>
      <c r="M41" s="108">
        <v>42181.970127314817</v>
      </c>
      <c r="N41" s="108">
        <v>72686</v>
      </c>
    </row>
    <row r="42" spans="1:14">
      <c r="A42">
        <v>35373</v>
      </c>
      <c r="B42" t="s">
        <v>107</v>
      </c>
      <c r="C42" t="s">
        <v>108</v>
      </c>
      <c r="D42" t="s">
        <v>217</v>
      </c>
      <c r="E42" t="s">
        <v>110</v>
      </c>
      <c r="F42" t="s">
        <v>111</v>
      </c>
      <c r="G42" t="s">
        <v>205</v>
      </c>
      <c r="H42" s="108">
        <v>42163.966006944444</v>
      </c>
      <c r="I42">
        <v>35373</v>
      </c>
      <c r="J42" t="s">
        <v>233</v>
      </c>
      <c r="K42">
        <v>7.2197072000000001E-2</v>
      </c>
      <c r="M42" s="108">
        <v>42181.970127314817</v>
      </c>
      <c r="N42" s="108">
        <v>72686</v>
      </c>
    </row>
    <row r="43" spans="1:14">
      <c r="A43">
        <v>35374</v>
      </c>
      <c r="B43" t="s">
        <v>107</v>
      </c>
      <c r="C43" t="s">
        <v>108</v>
      </c>
      <c r="D43" t="s">
        <v>218</v>
      </c>
      <c r="E43" t="s">
        <v>110</v>
      </c>
      <c r="F43" t="s">
        <v>111</v>
      </c>
      <c r="G43" t="s">
        <v>205</v>
      </c>
      <c r="H43" s="108">
        <v>42163.96601851852</v>
      </c>
      <c r="I43">
        <v>35374</v>
      </c>
      <c r="J43" t="s">
        <v>233</v>
      </c>
      <c r="K43">
        <v>7.0623375000000002E-2</v>
      </c>
      <c r="M43" s="108">
        <v>42181.970127314817</v>
      </c>
      <c r="N43" s="108">
        <v>72686</v>
      </c>
    </row>
    <row r="44" spans="1:14">
      <c r="A44">
        <v>35375</v>
      </c>
      <c r="B44" t="s">
        <v>107</v>
      </c>
      <c r="C44" t="s">
        <v>108</v>
      </c>
      <c r="D44" t="s">
        <v>219</v>
      </c>
      <c r="E44" t="s">
        <v>110</v>
      </c>
      <c r="F44" t="s">
        <v>111</v>
      </c>
      <c r="G44" t="s">
        <v>205</v>
      </c>
      <c r="H44" s="108">
        <v>42163.96601851852</v>
      </c>
      <c r="I44">
        <v>35375</v>
      </c>
      <c r="J44" t="s">
        <v>233</v>
      </c>
      <c r="K44">
        <v>5.9810568000000001E-2</v>
      </c>
      <c r="M44" s="108">
        <v>42181.970127314817</v>
      </c>
      <c r="N44" s="108">
        <v>72686</v>
      </c>
    </row>
    <row r="45" spans="1:14">
      <c r="A45">
        <v>35376</v>
      </c>
      <c r="B45" t="s">
        <v>107</v>
      </c>
      <c r="C45" t="s">
        <v>108</v>
      </c>
      <c r="D45" t="s">
        <v>220</v>
      </c>
      <c r="E45" t="s">
        <v>110</v>
      </c>
      <c r="F45" t="s">
        <v>111</v>
      </c>
      <c r="G45" t="s">
        <v>205</v>
      </c>
      <c r="H45" s="108">
        <v>42163.96601851852</v>
      </c>
      <c r="I45">
        <v>35376</v>
      </c>
      <c r="J45" t="s">
        <v>233</v>
      </c>
      <c r="K45">
        <v>4.7875252E-2</v>
      </c>
      <c r="M45" s="108">
        <v>42181.970127314817</v>
      </c>
      <c r="N45" s="108">
        <v>72686</v>
      </c>
    </row>
    <row r="46" spans="1:14">
      <c r="A46">
        <v>35377</v>
      </c>
      <c r="B46" t="s">
        <v>107</v>
      </c>
      <c r="C46" t="s">
        <v>108</v>
      </c>
      <c r="D46" t="s">
        <v>221</v>
      </c>
      <c r="E46" t="s">
        <v>110</v>
      </c>
      <c r="F46" t="s">
        <v>111</v>
      </c>
      <c r="G46" t="s">
        <v>205</v>
      </c>
      <c r="H46" s="108">
        <v>42163.96601851852</v>
      </c>
      <c r="I46">
        <v>35377</v>
      </c>
      <c r="J46" t="s">
        <v>233</v>
      </c>
      <c r="K46">
        <v>3.8715715999999997E-2</v>
      </c>
      <c r="M46" s="108">
        <v>42181.970127314817</v>
      </c>
      <c r="N46" s="108">
        <v>72686</v>
      </c>
    </row>
    <row r="47" spans="1:14">
      <c r="A47">
        <v>35378</v>
      </c>
      <c r="B47" t="s">
        <v>107</v>
      </c>
      <c r="C47" t="s">
        <v>108</v>
      </c>
      <c r="D47" t="s">
        <v>222</v>
      </c>
      <c r="E47" t="s">
        <v>110</v>
      </c>
      <c r="F47" t="s">
        <v>111</v>
      </c>
      <c r="G47" t="s">
        <v>205</v>
      </c>
      <c r="H47" s="108">
        <v>42163.96601851852</v>
      </c>
      <c r="I47">
        <v>35378</v>
      </c>
      <c r="J47" t="s">
        <v>233</v>
      </c>
      <c r="K47">
        <v>2.9878324000000001E-2</v>
      </c>
      <c r="M47" s="108">
        <v>42181.970138888886</v>
      </c>
      <c r="N47" s="108">
        <v>72686</v>
      </c>
    </row>
    <row r="48" spans="1:14">
      <c r="A48">
        <v>35379</v>
      </c>
      <c r="B48" t="s">
        <v>107</v>
      </c>
      <c r="C48" t="s">
        <v>108</v>
      </c>
      <c r="D48" t="s">
        <v>223</v>
      </c>
      <c r="E48" t="s">
        <v>110</v>
      </c>
      <c r="F48" t="s">
        <v>111</v>
      </c>
      <c r="G48" t="s">
        <v>205</v>
      </c>
      <c r="H48" s="108">
        <v>42163.96601851852</v>
      </c>
      <c r="I48">
        <v>35379</v>
      </c>
      <c r="J48" t="s">
        <v>233</v>
      </c>
      <c r="K48">
        <v>2.7557939E-2</v>
      </c>
      <c r="M48" s="108">
        <v>42181.970138888886</v>
      </c>
      <c r="N48" s="108">
        <v>72686</v>
      </c>
    </row>
    <row r="49" spans="1:14">
      <c r="A49">
        <v>35380</v>
      </c>
      <c r="B49" t="s">
        <v>107</v>
      </c>
      <c r="C49" t="s">
        <v>108</v>
      </c>
      <c r="D49" t="s">
        <v>224</v>
      </c>
      <c r="E49" t="s">
        <v>110</v>
      </c>
      <c r="F49" t="s">
        <v>111</v>
      </c>
      <c r="G49" t="s">
        <v>205</v>
      </c>
      <c r="H49" s="108">
        <v>42163.96601851852</v>
      </c>
      <c r="I49">
        <v>35380</v>
      </c>
      <c r="J49" t="s">
        <v>233</v>
      </c>
      <c r="K49">
        <v>2.7242341999999996E-2</v>
      </c>
      <c r="M49" s="108">
        <v>42181.970138888886</v>
      </c>
      <c r="N49" s="108">
        <v>72686</v>
      </c>
    </row>
    <row r="50" spans="1:14">
      <c r="A50">
        <v>35381</v>
      </c>
      <c r="B50" t="s">
        <v>107</v>
      </c>
      <c r="C50" t="s">
        <v>108</v>
      </c>
      <c r="D50" t="s">
        <v>225</v>
      </c>
      <c r="E50" t="s">
        <v>110</v>
      </c>
      <c r="F50" t="s">
        <v>111</v>
      </c>
      <c r="G50" t="s">
        <v>205</v>
      </c>
      <c r="H50" s="108">
        <v>42163.96601851852</v>
      </c>
      <c r="I50">
        <v>35381</v>
      </c>
      <c r="J50" t="s">
        <v>233</v>
      </c>
      <c r="K50">
        <v>6.9075107999999996E-2</v>
      </c>
      <c r="M50" s="108">
        <v>42181.970138888886</v>
      </c>
      <c r="N50" s="108">
        <v>72686</v>
      </c>
    </row>
    <row r="51" spans="1:14">
      <c r="A51">
        <v>35382</v>
      </c>
      <c r="B51" t="s">
        <v>107</v>
      </c>
      <c r="C51" t="s">
        <v>108</v>
      </c>
      <c r="D51" t="s">
        <v>226</v>
      </c>
      <c r="E51" t="s">
        <v>110</v>
      </c>
      <c r="F51" t="s">
        <v>111</v>
      </c>
      <c r="G51" t="s">
        <v>205</v>
      </c>
      <c r="H51" s="108">
        <v>42163.96601851852</v>
      </c>
      <c r="I51">
        <v>35382</v>
      </c>
      <c r="J51" t="s">
        <v>233</v>
      </c>
      <c r="K51">
        <v>5.8041780999999994E-2</v>
      </c>
      <c r="M51" s="108">
        <v>42181.970138888886</v>
      </c>
      <c r="N51" s="108">
        <v>72686</v>
      </c>
    </row>
    <row r="52" spans="1:14">
      <c r="A52">
        <v>35383</v>
      </c>
      <c r="B52" t="s">
        <v>107</v>
      </c>
      <c r="C52" t="s">
        <v>108</v>
      </c>
      <c r="D52" t="s">
        <v>227</v>
      </c>
      <c r="E52" t="s">
        <v>110</v>
      </c>
      <c r="F52" t="s">
        <v>111</v>
      </c>
      <c r="G52" t="s">
        <v>205</v>
      </c>
      <c r="H52" s="108">
        <v>42163.96601851852</v>
      </c>
      <c r="I52">
        <v>35383</v>
      </c>
      <c r="J52" t="s">
        <v>233</v>
      </c>
      <c r="K52">
        <v>4.9294282000000002E-2</v>
      </c>
      <c r="M52" s="108">
        <v>42181.970138888886</v>
      </c>
      <c r="N52" s="108">
        <v>72686</v>
      </c>
    </row>
    <row r="53" spans="1:14">
      <c r="A53">
        <v>35384</v>
      </c>
      <c r="B53" t="s">
        <v>107</v>
      </c>
      <c r="C53" t="s">
        <v>108</v>
      </c>
      <c r="D53" t="s">
        <v>228</v>
      </c>
      <c r="E53" t="s">
        <v>110</v>
      </c>
      <c r="F53" t="s">
        <v>111</v>
      </c>
      <c r="G53" t="s">
        <v>205</v>
      </c>
      <c r="H53" s="108">
        <v>42163.96601851852</v>
      </c>
      <c r="I53">
        <v>35384</v>
      </c>
      <c r="J53" t="s">
        <v>233</v>
      </c>
      <c r="K53">
        <v>4.3167584000000002E-2</v>
      </c>
      <c r="M53" s="108">
        <v>42181.970138888886</v>
      </c>
      <c r="N53" s="108">
        <v>72686</v>
      </c>
    </row>
    <row r="54" spans="1:14">
      <c r="A54">
        <v>35385</v>
      </c>
      <c r="B54" t="s">
        <v>107</v>
      </c>
      <c r="C54" t="s">
        <v>108</v>
      </c>
      <c r="D54" t="s">
        <v>229</v>
      </c>
      <c r="E54" t="s">
        <v>110</v>
      </c>
      <c r="F54" t="s">
        <v>111</v>
      </c>
      <c r="G54" t="s">
        <v>205</v>
      </c>
      <c r="H54" s="108">
        <v>42163.96601851852</v>
      </c>
      <c r="I54">
        <v>35385</v>
      </c>
      <c r="J54" t="s">
        <v>233</v>
      </c>
      <c r="K54">
        <v>3.4539856000000001E-2</v>
      </c>
      <c r="M54" s="108">
        <v>42181.970138888886</v>
      </c>
      <c r="N54" s="108">
        <v>72686</v>
      </c>
    </row>
    <row r="55" spans="1:14">
      <c r="A55">
        <v>35386</v>
      </c>
      <c r="B55" t="s">
        <v>107</v>
      </c>
      <c r="C55" t="s">
        <v>108</v>
      </c>
      <c r="D55" t="s">
        <v>230</v>
      </c>
      <c r="E55" t="s">
        <v>110</v>
      </c>
      <c r="F55" t="s">
        <v>111</v>
      </c>
      <c r="G55" t="s">
        <v>205</v>
      </c>
      <c r="H55" s="108">
        <v>42163.96601851852</v>
      </c>
      <c r="I55">
        <v>35386</v>
      </c>
      <c r="J55" t="s">
        <v>233</v>
      </c>
      <c r="K55">
        <v>2.7807167000000001E-2</v>
      </c>
      <c r="M55" s="108">
        <v>42181.970138888886</v>
      </c>
      <c r="N55" s="108">
        <v>72686</v>
      </c>
    </row>
    <row r="56" spans="1:14">
      <c r="A56">
        <v>35387</v>
      </c>
      <c r="B56" t="s">
        <v>107</v>
      </c>
      <c r="C56" t="s">
        <v>108</v>
      </c>
      <c r="D56" t="s">
        <v>231</v>
      </c>
      <c r="E56" t="s">
        <v>110</v>
      </c>
      <c r="F56" t="s">
        <v>111</v>
      </c>
      <c r="G56" t="s">
        <v>205</v>
      </c>
      <c r="H56" s="108">
        <v>42163.96601851852</v>
      </c>
      <c r="I56">
        <v>35387</v>
      </c>
      <c r="J56" t="s">
        <v>233</v>
      </c>
      <c r="K56">
        <v>2.5120766999999999E-2</v>
      </c>
      <c r="M56" s="108">
        <v>42181.970138888886</v>
      </c>
      <c r="N56" s="108">
        <v>72686</v>
      </c>
    </row>
    <row r="57" spans="1:14">
      <c r="A57">
        <v>35388</v>
      </c>
      <c r="B57" t="s">
        <v>107</v>
      </c>
      <c r="C57" t="s">
        <v>108</v>
      </c>
      <c r="D57" t="s">
        <v>232</v>
      </c>
      <c r="E57" t="s">
        <v>110</v>
      </c>
      <c r="F57" t="s">
        <v>111</v>
      </c>
      <c r="G57" t="s">
        <v>205</v>
      </c>
      <c r="H57" s="108">
        <v>42163.96601851852</v>
      </c>
      <c r="I57">
        <v>35388</v>
      </c>
      <c r="J57" t="s">
        <v>233</v>
      </c>
      <c r="K57">
        <v>2.4957281000000001E-2</v>
      </c>
      <c r="M57" s="108">
        <v>42181.970138888886</v>
      </c>
      <c r="N57" s="108">
        <v>72686</v>
      </c>
    </row>
  </sheetData>
  <pageMargins left="0.7" right="0.7" top="0.75" bottom="0.75" header="0.3" footer="0.3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SC_Reader" Type="http://schemas.openxmlformats.org/officeDocument/2006/relationships/image" Target="images/SC_Reader.png"/></Relationships>
</file>

<file path=customUI/customUI14.xml><?xml version="1.0" encoding="utf-8"?>
<customUI xmlns="http://schemas.microsoft.com/office/2006/01/customui" onLoad="OnLoad">
  <!-- Add Custom tab to the ribbon with your favorite buttons-->
  <!-- The example add three groups to the new tab -->
  <!-- On the last tab there is a menu with five options-->
  <ribbon startFromScratch="false">
    <!-- show some QAT -->
    <tabs>
      <!-- Hide everything but File, Home, View and Cello-->
      <!-- tab idMso="TabHome" visible="true"> </tab -->
      <!-- tab idMso="TabView" visible="true"> </tab -->
      <tab idMso="TabAddIns" visible="true"> </tab>
      <tab id="CelloTab" label="Cello" insertAfterMso="TabTeam" keytip="CC">
        <group id="Report" label="Report">
          <button id="Run" label="Run" size="large" supertip="Run the report" onAction="RunCommand" imageMso="RequestDocument"/>
          <!-- imageMso="EditLabel" /-->
          <button id="CreatePDF" label="Export Report" size="large" onAction="CreatePDFReportCommand" image="SC_Reader"/>
          <!-- separator id="MySeparator1" / -->
          <!--button id="customButton3" label="Caption 3" size="normal" onAction="Macro3" imageMso="RegionLayoutMenu" /--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41</vt:i4>
      </vt:variant>
    </vt:vector>
  </HeadingPairs>
  <TitlesOfParts>
    <vt:vector size="44" baseType="lpstr">
      <vt:lpstr>Projected Carry</vt:lpstr>
      <vt:lpstr>Hedged Adj Projected Carry</vt:lpstr>
      <vt:lpstr>Time Series Data</vt:lpstr>
      <vt:lpstr>AnnReturn</vt:lpstr>
      <vt:lpstr>CacheFileName</vt:lpstr>
      <vt:lpstr>curr_close_date</vt:lpstr>
      <vt:lpstr>CurrentCloseDate</vt:lpstr>
      <vt:lpstr>DatabaseEnv</vt:lpstr>
      <vt:lpstr>'Projected Carry'!Down25</vt:lpstr>
      <vt:lpstr>'Hedged Adj Projected Carry'!EffYieldAtHorizon</vt:lpstr>
      <vt:lpstr>EffYieldAtHorizon</vt:lpstr>
      <vt:lpstr>Forward_TBA</vt:lpstr>
      <vt:lpstr>Forward_TBA_Month</vt:lpstr>
      <vt:lpstr>Foward_TBA_Price</vt:lpstr>
      <vt:lpstr>Front_TBA</vt:lpstr>
      <vt:lpstr>Front_TBA_Full_Price</vt:lpstr>
      <vt:lpstr>Front_TBA_Month</vt:lpstr>
      <vt:lpstr>Front_TBA_Price</vt:lpstr>
      <vt:lpstr>LastEndTime</vt:lpstr>
      <vt:lpstr>LastStartTime</vt:lpstr>
      <vt:lpstr>LogFIleName</vt:lpstr>
      <vt:lpstr>'Hedged Adj Projected Carry'!OASChangeROR</vt:lpstr>
      <vt:lpstr>'Projected Carry'!OASChangeROR</vt:lpstr>
      <vt:lpstr>'Hedged Adj Projected Carry'!OASROR</vt:lpstr>
      <vt:lpstr>'Projected Carry'!OASROR</vt:lpstr>
      <vt:lpstr>PrepayModel</vt:lpstr>
      <vt:lpstr>prev_close_date</vt:lpstr>
      <vt:lpstr>PrevCloseDate</vt:lpstr>
      <vt:lpstr>'Hedged Adj Projected Carry'!PriceChangeROR</vt:lpstr>
      <vt:lpstr>'Projected Carry'!PriceChangeROR</vt:lpstr>
      <vt:lpstr>'Hedged Adj Projected Carry'!PriceROR</vt:lpstr>
      <vt:lpstr>'Projected Carry'!PriceROR</vt:lpstr>
      <vt:lpstr>'Hedged Adj Projected Carry'!Print_Area</vt:lpstr>
      <vt:lpstr>'Projected Carry'!Print_Area</vt:lpstr>
      <vt:lpstr>'Hedged Adj Projected Carry'!Print_Titles</vt:lpstr>
      <vt:lpstr>'Projected Carry'!Print_Titles</vt:lpstr>
      <vt:lpstr>ReportFileName</vt:lpstr>
      <vt:lpstr>ScheduledRunDay</vt:lpstr>
      <vt:lpstr>ScheduledRunTime</vt:lpstr>
      <vt:lpstr>TBA_1Y_Return_Constant_OAS</vt:lpstr>
      <vt:lpstr>TBA_1Y_Return_Constant_Price</vt:lpstr>
      <vt:lpstr>TBA_Roll</vt:lpstr>
      <vt:lpstr>'Projected Carry'!Up_25</vt:lpstr>
      <vt:lpstr>useLastClose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</dc:creator>
  <cp:lastModifiedBy>Lien Chen</cp:lastModifiedBy>
  <cp:lastPrinted>2015-06-27T21:12:17Z</cp:lastPrinted>
  <dcterms:created xsi:type="dcterms:W3CDTF">2013-09-19T18:46:53Z</dcterms:created>
  <dcterms:modified xsi:type="dcterms:W3CDTF">2015-10-05T17:08:23Z</dcterms:modified>
</cp:coreProperties>
</file>