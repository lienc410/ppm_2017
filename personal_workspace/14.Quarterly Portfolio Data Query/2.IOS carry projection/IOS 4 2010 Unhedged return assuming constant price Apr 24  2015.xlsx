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285" yWindow="975" windowWidth="16035" windowHeight="81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6" i="1" l="1"/>
  <c r="C8" i="1" l="1"/>
  <c r="C3" i="1"/>
  <c r="C4" i="1" l="1"/>
  <c r="C5" i="1"/>
  <c r="C7" i="1"/>
  <c r="D3" i="1"/>
  <c r="E3" i="1" s="1"/>
  <c r="G3" i="1" l="1"/>
  <c r="D7" i="1"/>
  <c r="E7" i="1" s="1"/>
  <c r="G7" i="1" s="1"/>
  <c r="D8" i="1"/>
  <c r="E8" i="1" s="1"/>
  <c r="G8" i="1" s="1"/>
  <c r="D6" i="1"/>
  <c r="E6" i="1" s="1"/>
  <c r="G6" i="1" s="1"/>
  <c r="D5" i="1"/>
  <c r="E5" i="1" s="1"/>
  <c r="G5" i="1" s="1"/>
  <c r="D4" i="1"/>
  <c r="E4" i="1" s="1"/>
  <c r="G4" i="1" s="1"/>
</calcChain>
</file>

<file path=xl/sharedStrings.xml><?xml version="1.0" encoding="utf-8"?>
<sst xmlns="http://schemas.openxmlformats.org/spreadsheetml/2006/main" count="8" uniqueCount="7">
  <si>
    <t>Horizon (month)</t>
  </si>
  <si>
    <t>Annualized return %</t>
  </si>
  <si>
    <t>Total Return %</t>
  </si>
  <si>
    <t>Monthly Return %</t>
  </si>
  <si>
    <t>CPR</t>
  </si>
  <si>
    <t>adjusted Monthly return %</t>
  </si>
  <si>
    <t>100% YB Model v21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</si>
</sst>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D18" sqref="D18"/>
    </sheetView>
  </sheetViews>
  <sheetFormatPr defaultRowHeight="15" x14ac:dyDescent="0.25"/>
  <cols>
    <col min="1" max="1" width="15.7109375" customWidth="1"/>
    <col min="2" max="2" width="19.140625" customWidth="1"/>
    <col min="3" max="3" width="14.28515625" customWidth="1"/>
    <col min="4" max="4" width="17.42578125" customWidth="1"/>
    <col min="5" max="5" width="24.140625" hidden="1" customWidth="1"/>
    <col min="7" max="7" width="19.7109375" customWidth="1"/>
  </cols>
  <sheetData>
    <row r="1" spans="1:7" x14ac:dyDescent="0.25">
      <c r="A1" s="1">
        <v>42118</v>
      </c>
      <c r="B1" t="s">
        <v>6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s="3" t="s">
        <v>4</v>
      </c>
      <c r="G2" s="3" t="s">
        <v>1</v>
      </c>
    </row>
    <row r="3" spans="1:7" x14ac:dyDescent="0.25">
      <c r="A3">
        <v>1</v>
      </c>
      <c r="B3" s="6">
        <v>-3.4209999999999998</v>
      </c>
      <c r="C3" s="2">
        <f>100*((1+B3/100)^(A3/12)-1)</f>
        <v>-0.28965352325288629</v>
      </c>
      <c r="D3" s="2">
        <f>C3</f>
        <v>-0.28965352325288629</v>
      </c>
      <c r="E3" s="2">
        <f>D3</f>
        <v>-0.28965352325288629</v>
      </c>
      <c r="F3" s="5">
        <v>19.899999999999999</v>
      </c>
      <c r="G3" s="4">
        <f>100*((1+E3/100)^12-1)</f>
        <v>-3.4209999999999963</v>
      </c>
    </row>
    <row r="4" spans="1:7" x14ac:dyDescent="0.25">
      <c r="A4">
        <v>2</v>
      </c>
      <c r="B4" s="6">
        <v>-2.855</v>
      </c>
      <c r="C4" s="2">
        <f t="shared" ref="C4:C7" si="0">100*((1+B4/100)^(A4/12)-1)</f>
        <v>-0.48159456814858004</v>
      </c>
      <c r="D4" s="2">
        <f>100*((1+C4/100)/(1+C3/100)-1)</f>
        <v>-0.19249862394215</v>
      </c>
      <c r="E4" s="2">
        <f>D4</f>
        <v>-0.19249862394215</v>
      </c>
      <c r="F4" s="5">
        <v>18.97</v>
      </c>
      <c r="G4" s="4">
        <f t="shared" ref="G4:G8" si="1">100*((1+E4/100)^12-1)</f>
        <v>-2.2856829642053489</v>
      </c>
    </row>
    <row r="5" spans="1:7" x14ac:dyDescent="0.25">
      <c r="A5">
        <v>3</v>
      </c>
      <c r="B5" s="6">
        <v>-3.7839999999999998</v>
      </c>
      <c r="C5" s="2">
        <f t="shared" si="0"/>
        <v>-0.95972798063488352</v>
      </c>
      <c r="D5" s="2">
        <f t="shared" ref="D5:D8" si="2">100*((1+C5/100)/(1+C4/100)-1)</f>
        <v>-0.48044722020161856</v>
      </c>
      <c r="E5" s="2">
        <f t="shared" ref="E5:E8" si="3">D5</f>
        <v>-0.48044722020161856</v>
      </c>
      <c r="F5" s="5">
        <v>21.86</v>
      </c>
      <c r="G5" s="4">
        <f t="shared" si="1"/>
        <v>-5.615432809533127</v>
      </c>
    </row>
    <row r="6" spans="1:7" x14ac:dyDescent="0.25">
      <c r="A6">
        <v>4</v>
      </c>
      <c r="B6" s="6">
        <v>-4.1769999999999996</v>
      </c>
      <c r="C6" s="2">
        <f>100*((1+B6/100)^(A6/12)-1)</f>
        <v>-1.412182039270804</v>
      </c>
      <c r="D6" s="2">
        <f t="shared" si="2"/>
        <v>-0.45683846521287208</v>
      </c>
      <c r="E6" s="2">
        <f t="shared" si="3"/>
        <v>-0.45683846521287208</v>
      </c>
      <c r="F6" s="5">
        <v>21.69</v>
      </c>
      <c r="G6" s="4">
        <f t="shared" si="1"/>
        <v>-5.3463948080142316</v>
      </c>
    </row>
    <row r="7" spans="1:7" x14ac:dyDescent="0.25">
      <c r="A7">
        <v>5</v>
      </c>
      <c r="B7" s="6">
        <v>-4.1470000000000002</v>
      </c>
      <c r="C7" s="2">
        <f t="shared" si="0"/>
        <v>-1.7492866004252705</v>
      </c>
      <c r="D7" s="2">
        <f t="shared" si="2"/>
        <v>-0.34193328154270564</v>
      </c>
      <c r="E7" s="2">
        <f t="shared" si="3"/>
        <v>-0.34193328154270564</v>
      </c>
      <c r="F7" s="5">
        <v>20.6</v>
      </c>
      <c r="G7" s="4">
        <f t="shared" si="1"/>
        <v>-4.0269060474193985</v>
      </c>
    </row>
    <row r="8" spans="1:7" x14ac:dyDescent="0.25">
      <c r="A8">
        <v>6</v>
      </c>
      <c r="B8" s="6">
        <v>-3.9990000000000001</v>
      </c>
      <c r="C8" s="2">
        <f>100*((1+B8/100)^(A8/12)-1)</f>
        <v>-2.0198999796387174</v>
      </c>
      <c r="D8" s="2">
        <f t="shared" si="2"/>
        <v>-0.27543146492269299</v>
      </c>
      <c r="E8" s="2">
        <f t="shared" si="3"/>
        <v>-0.27543146492269299</v>
      </c>
      <c r="F8" s="5">
        <v>19.96</v>
      </c>
      <c r="G8" s="4">
        <f t="shared" si="1"/>
        <v>-3.2555651863491741</v>
      </c>
    </row>
    <row r="14" spans="1:7" x14ac:dyDescent="0.25">
      <c r="A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Chunnip</cp:lastModifiedBy>
  <dcterms:created xsi:type="dcterms:W3CDTF">2014-10-21T12:30:43Z</dcterms:created>
  <dcterms:modified xsi:type="dcterms:W3CDTF">2015-04-27T15:48:03Z</dcterms:modified>
</cp:coreProperties>
</file>